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creener" sheetId="1" state="visible" r:id="rId1"/>
    <sheet xmlns:r="http://schemas.openxmlformats.org/officeDocument/2006/relationships" name="Database" sheetId="2" state="visible" r:id="rId2"/>
    <sheet xmlns:r="http://schemas.openxmlformats.org/officeDocument/2006/relationships" name="Pipeline" sheetId="3" state="visible" r:id="rId3"/>
    <sheet xmlns:r="http://schemas.openxmlformats.org/officeDocument/2006/relationships" name="AH" sheetId="4" state="visible" r:id="rId4"/>
    <sheet xmlns:r="http://schemas.openxmlformats.org/officeDocument/2006/relationships" name="CS League" sheetId="5" state="visible" r:id="rId5"/>
    <sheet xmlns:r="http://schemas.openxmlformats.org/officeDocument/2006/relationships" name="Verify (BBG)" sheetId="6" state="visible" r:id="rId6"/>
    <sheet xmlns:r="http://schemas.openxmlformats.org/officeDocument/2006/relationships" name="Analogs" sheetId="7" state="visible" r:id="rId7"/>
    <sheet xmlns:r="http://schemas.openxmlformats.org/officeDocument/2006/relationships" name="SizeBench" sheetId="8" state="visible" r:id="rId8"/>
    <sheet xmlns:r="http://schemas.openxmlformats.org/officeDocument/2006/relationships" name="BBG Verify" sheetId="9" state="visible" r:id="rId9"/>
    <sheet xmlns:r="http://schemas.openxmlformats.org/officeDocument/2006/relationships" name="Taxonomy" sheetId="10" state="visible" r:id="rId10"/>
    <sheet xmlns:r="http://schemas.openxmlformats.org/officeDocument/2006/relationships" name="Verification" sheetId="11" state="visible" r:id="rId11"/>
    <sheet xmlns:r="http://schemas.openxmlformats.org/officeDocument/2006/relationships" name="Calc (scoring engine)" sheetId="12" state="visible" r:id="rId12"/>
    <sheet xmlns:r="http://schemas.openxmlformats.org/officeDocument/2006/relationships" name="Notes" sheetId="13" state="visible" r:id="rId13"/>
  </sheets>
  <definedNames>
    <definedName name="AllDeals">'Calc (scoring engine)'!$AA$3:$AA$526</definedName>
    <definedName name="A_PX">Screener!$B$53</definedName>
    <definedName name="A_FX">Screener!$B$54</definedName>
    <definedName name="A_HKD">Screener!$B$55</definedName>
    <definedName name="H_TRM">Screener!$B$57</definedName>
    <definedName name="AnalogKey">Analogs!$G$13:$G$141</definedName>
    <definedName name="AnalogN">Analogs!$C$13:$C$141</definedName>
    <definedName name="AnalogMed">Analogs!$D$13:$D$141</definedName>
    <definedName name="AnalogHit">Analogs!$E$13:$E$141</definedName>
    <definedName name="SubsecKey">Analogs!$A$145:$A$184</definedName>
    <definedName name="SubsecN">Analogs!$B$145:$B$184</definedName>
    <definedName name="SubsecMed">Analogs!$C$145:$C$184</definedName>
    <definedName name="SubsecHit">Analogs!$D$145:$D$184</definedName>
    <definedName name="SubsecPE">Analogs!$E$145:$E$184</definedName>
    <definedName name="SubsecPS">Analogs!$F$145:$F$184</definedName>
    <definedName name="W_SUB">Notes!$B$24</definedName>
    <definedName name="W_SEC">Notes!$B$25</definedName>
    <definedName name="W_SIZE">Notes!$B$26</definedName>
    <definedName name="W_PROF">Notes!$B$27</definedName>
    <definedName name="W_AH">Notes!$B$28</definedName>
    <definedName name="W_REC">Notes!$B$29</definedName>
    <definedName name="W_CS">Notes!$B$30</definedName>
    <definedName name="W_PE">Notes!$B$31</definedName>
    <definedName name="W_PEHW">Notes!$B$32</definedName>
    <definedName name="W_SIZEHW">Notes!$B$33</definedName>
    <definedName name="W_RECD">Notes!$B$34</definedName>
    <definedName name="SubsectorList">Taxonomy!$E$4:$E$44</definedName>
    <definedName name="_xlnm._FilterDatabase" localSheetId="1" hidden="1">'Database'!$A$4:$BO$515</definedName>
    <definedName name="_xlnm._FilterDatabase" localSheetId="4" hidden="1">'CS League'!$A$4:$K$1057</definedName>
  </definedNames>
  <calcPr calcId="124519" fullCalcOnLoad="1"/>
</workbook>
</file>

<file path=xl/styles.xml><?xml version="1.0" encoding="utf-8"?>
<styleSheet xmlns="http://schemas.openxmlformats.org/spreadsheetml/2006/main">
  <numFmts count="10">
    <numFmt numFmtId="164" formatCode="yyyy-mm-dd"/>
    <numFmt numFmtId="165" formatCode="0.000"/>
    <numFmt numFmtId="166" formatCode="0.0&quot;%&quot;"/>
    <numFmt numFmtId="167" formatCode="#,##0.0"/>
    <numFmt numFmtId="168" formatCode="0.0&quot;%&quot;;;&quot;none&quot;"/>
    <numFmt numFmtId="169" formatCode="+0.0&quot;%&quot;;-0.0&quot;%&quot;"/>
    <numFmt numFmtId="170" formatCode="0.0"/>
    <numFmt numFmtId="171" formatCode="+0.0%;-0.0%"/>
    <numFmt numFmtId="172" formatCode="0.0000"/>
    <numFmt numFmtId="173" formatCode="0&quot;%&quot;"/>
  </numFmts>
  <fonts count="9">
    <font>
      <name val="Calibri"/>
      <family val="2"/>
      <color theme="1"/>
      <sz val="11"/>
      <scheme val="minor"/>
    </font>
    <font>
      <name val="Arial"/>
      <b val="1"/>
      <sz val="13"/>
    </font>
    <font>
      <name val="Arial"/>
      <i val="1"/>
      <color rgb="00808080"/>
      <sz val="9"/>
    </font>
    <font>
      <name val="Arial"/>
      <b val="1"/>
      <color rgb="00FFFFFF"/>
      <sz val="10"/>
    </font>
    <font>
      <name val="Arial"/>
      <sz val="10"/>
    </font>
    <font>
      <name val="Arial"/>
      <color rgb="000000FF"/>
      <sz val="10"/>
      <u val="single"/>
    </font>
    <font>
      <name val="Arial"/>
      <color rgb="000000FF"/>
      <sz val="10"/>
    </font>
    <font>
      <name val="Arial"/>
      <b val="1"/>
      <sz val="10"/>
    </font>
    <font>
      <name val="Arial"/>
      <b val="1"/>
      <color rgb="00C00000"/>
      <sz val="10"/>
    </font>
  </fonts>
  <fills count="18">
    <fill>
      <patternFill/>
    </fill>
    <fill>
      <patternFill patternType="gray125"/>
    </fill>
    <fill>
      <patternFill patternType="solid">
        <fgColor rgb="00203864"/>
      </patternFill>
    </fill>
    <fill>
      <patternFill patternType="solid">
        <fgColor rgb="00274E13"/>
      </patternFill>
    </fill>
    <fill>
      <patternFill patternType="solid">
        <fgColor rgb="007A5C00"/>
      </patternFill>
    </fill>
    <fill>
      <patternFill patternType="solid">
        <fgColor rgb="00434343"/>
      </patternFill>
    </fill>
    <fill>
      <patternFill patternType="solid">
        <fgColor rgb="00742323"/>
      </patternFill>
    </fill>
    <fill>
      <patternFill patternType="solid">
        <fgColor rgb="00274E63"/>
      </patternFill>
    </fill>
    <fill>
      <patternFill patternType="solid">
        <fgColor rgb="00305496"/>
      </patternFill>
    </fill>
    <fill>
      <patternFill patternType="solid">
        <fgColor rgb="001F7A6D"/>
      </patternFill>
    </fill>
    <fill>
      <patternFill patternType="solid">
        <fgColor rgb="00F2F2F2"/>
      </patternFill>
    </fill>
    <fill>
      <patternFill patternType="solid">
        <fgColor rgb="001F3864"/>
      </patternFill>
    </fill>
    <fill>
      <patternFill patternType="solid">
        <fgColor rgb="00DDEBF7"/>
      </patternFill>
    </fill>
    <fill>
      <patternFill patternType="solid">
        <fgColor rgb="00FDE9D9"/>
      </patternFill>
    </fill>
    <fill>
      <patternFill patternType="solid">
        <fgColor rgb="00C6EFCE"/>
      </patternFill>
    </fill>
    <fill>
      <patternFill patternType="solid">
        <fgColor rgb="00FBFCFE"/>
      </patternFill>
    </fill>
    <fill>
      <patternFill patternType="solid">
        <fgColor rgb="00F2F6FB"/>
      </patternFill>
    </fill>
    <fill>
      <patternFill patternType="solid">
        <fgColor rgb="00FFE699"/>
      </patternFill>
    </fill>
  </fills>
  <borders count="23">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
      <left style="medium">
        <color rgb="00305496"/>
      </left>
      <right/>
      <top/>
      <bottom/>
    </border>
    <border>
      <left style="thin">
        <color rgb="00B8C4D0"/>
      </left>
      <right style="thin"/>
      <top style="thin">
        <color rgb="00B8C4D0"/>
      </top>
      <bottom style="thin"/>
    </border>
    <border>
      <left/>
      <right/>
      <top style="thin">
        <color rgb="00B8C4D0"/>
      </top>
      <bottom style="thin"/>
    </border>
    <border>
      <left/>
      <right style="thin">
        <color rgb="00B8C4D0"/>
      </right>
      <top style="thin">
        <color rgb="00B8C4D0"/>
      </top>
      <bottom style="thin"/>
    </border>
    <border>
      <left style="thin">
        <color rgb="00B8C4D0"/>
      </left>
      <right style="thin"/>
      <top style="thin"/>
      <bottom style="thin"/>
    </border>
    <border>
      <left/>
      <right/>
      <top/>
      <bottom/>
    </border>
    <border>
      <left/>
      <right style="thin">
        <color rgb="00B8C4D0"/>
      </right>
      <top/>
      <bottom/>
    </border>
    <border>
      <left style="thin"/>
      <right style="thin">
        <color rgb="00B8C4D0"/>
      </right>
      <top style="thin"/>
      <bottom style="thin"/>
    </border>
    <border>
      <left style="thin">
        <color rgb="00B8C4D0"/>
      </left>
      <right style="thin"/>
      <top style="thin"/>
      <bottom style="thin">
        <color rgb="00B8C4D0"/>
      </bottom>
    </border>
    <border>
      <left style="thin"/>
      <right style="thin"/>
      <top style="thin"/>
      <bottom style="thin">
        <color rgb="00B8C4D0"/>
      </bottom>
    </border>
    <border>
      <left/>
      <right style="thin">
        <color rgb="00B8C4D0"/>
      </right>
      <top/>
      <bottom style="thin">
        <color rgb="00B8C4D0"/>
      </bottom>
    </border>
    <border>
      <left style="thin">
        <color rgb="00B8C4D0"/>
      </left>
      <right/>
      <top style="thin">
        <color rgb="00B8C4D0"/>
      </top>
      <bottom/>
    </border>
    <border>
      <left/>
      <right/>
      <top style="thin">
        <color rgb="00B8C4D0"/>
      </top>
      <bottom/>
    </border>
    <border>
      <left/>
      <right style="thin">
        <color rgb="00B8C4D0"/>
      </right>
      <top style="thin">
        <color rgb="00B8C4D0"/>
      </top>
      <bottom/>
    </border>
    <border>
      <left style="thin">
        <color rgb="00B8C4D0"/>
      </left>
      <right/>
      <top/>
      <bottom/>
    </border>
    <border>
      <left style="thin">
        <color rgb="00B8C4D0"/>
      </left>
      <right/>
      <top/>
      <bottom style="thin">
        <color rgb="00B8C4D0"/>
      </bottom>
    </border>
    <border>
      <left/>
      <right/>
      <top/>
      <bottom style="thin">
        <color rgb="00B8C4D0"/>
      </bottom>
    </border>
  </borders>
  <cellStyleXfs count="1">
    <xf numFmtId="0" fontId="0" fillId="0" borderId="0"/>
  </cellStyleXfs>
  <cellXfs count="108">
    <xf numFmtId="0" fontId="0" fillId="0" borderId="0" pivotButton="0" quotePrefix="0" xfId="0"/>
    <xf numFmtId="0" fontId="1" fillId="0" borderId="0" pivotButton="0" quotePrefix="0" xfId="0"/>
    <xf numFmtId="0" fontId="2" fillId="0" borderId="0" pivotButton="0" quotePrefix="0" xfId="0"/>
    <xf numFmtId="0" fontId="3" fillId="11" borderId="7" applyAlignment="1" pivotButton="0" quotePrefix="0" xfId="0">
      <alignment horizontal="center"/>
    </xf>
    <xf numFmtId="0" fontId="0" fillId="15" borderId="8" pivotButton="0" quotePrefix="0" xfId="0"/>
    <xf numFmtId="0" fontId="0" fillId="15" borderId="9" pivotButton="0" quotePrefix="0" xfId="0"/>
    <xf numFmtId="0" fontId="4" fillId="0" borderId="10" pivotButton="0" quotePrefix="0" xfId="0"/>
    <xf numFmtId="0" fontId="6" fillId="12" borderId="1" pivotButton="0" quotePrefix="0" xfId="0"/>
    <xf numFmtId="0" fontId="0" fillId="15" borderId="11" pivotButton="0" quotePrefix="0" xfId="0"/>
    <xf numFmtId="0" fontId="0" fillId="15" borderId="12" pivotButton="0" quotePrefix="0" xfId="0"/>
    <xf numFmtId="0" fontId="4" fillId="10" borderId="1" pivotButton="0" quotePrefix="0" xfId="0"/>
    <xf numFmtId="0" fontId="3" fillId="11" borderId="10" applyAlignment="1" pivotButton="0" quotePrefix="0" xfId="0">
      <alignment horizontal="center" vertical="center" wrapText="1"/>
    </xf>
    <xf numFmtId="0" fontId="3" fillId="11" borderId="1" applyAlignment="1" pivotButton="0" quotePrefix="0" xfId="0">
      <alignment horizontal="center" vertical="center" wrapText="1"/>
    </xf>
    <xf numFmtId="0" fontId="3" fillId="11" borderId="13" applyAlignment="1" pivotButton="0" quotePrefix="0" xfId="0">
      <alignment horizontal="center" vertical="center" wrapText="1"/>
    </xf>
    <xf numFmtId="0" fontId="7" fillId="0" borderId="0" pivotButton="0" quotePrefix="0" xfId="0"/>
    <xf numFmtId="0" fontId="2" fillId="0" borderId="12" pivotButton="0" quotePrefix="0" xfId="0"/>
    <xf numFmtId="0" fontId="4" fillId="0" borderId="1" pivotButton="0" quotePrefix="0" xfId="0"/>
    <xf numFmtId="9" fontId="4" fillId="10" borderId="1" pivotButton="0" quotePrefix="0" xfId="0"/>
    <xf numFmtId="3" fontId="4" fillId="10" borderId="1" pivotButton="0" quotePrefix="0" xfId="0"/>
    <xf numFmtId="3" fontId="6" fillId="12" borderId="1" pivotButton="0" quotePrefix="0" xfId="0"/>
    <xf numFmtId="0" fontId="0" fillId="16" borderId="12" pivotButton="0" quotePrefix="0" xfId="0"/>
    <xf numFmtId="164" fontId="4" fillId="10" borderId="1" pivotButton="0" quotePrefix="0" xfId="0"/>
    <xf numFmtId="164" fontId="6" fillId="12" borderId="1" pivotButton="0" quotePrefix="0" xfId="0"/>
    <xf numFmtId="169" fontId="4" fillId="10" borderId="1" pivotButton="0" quotePrefix="0" xfId="0"/>
    <xf numFmtId="170" fontId="4" fillId="10" borderId="1" pivotButton="0" quotePrefix="0" xfId="0"/>
    <xf numFmtId="170" fontId="6" fillId="12" borderId="1" pivotButton="0" quotePrefix="0" xfId="0"/>
    <xf numFmtId="167" fontId="4" fillId="10" borderId="1" pivotButton="0" quotePrefix="0" xfId="0"/>
    <xf numFmtId="167" fontId="6" fillId="12" borderId="1" pivotButton="0" quotePrefix="0" xfId="0"/>
    <xf numFmtId="166" fontId="4" fillId="10" borderId="1" pivotButton="0" quotePrefix="0" xfId="0"/>
    <xf numFmtId="0" fontId="4" fillId="0" borderId="14" pivotButton="0" quotePrefix="0" xfId="0"/>
    <xf numFmtId="0" fontId="6" fillId="12" borderId="15" pivotButton="0" quotePrefix="0" xfId="0"/>
    <xf numFmtId="0" fontId="4" fillId="0" borderId="15" pivotButton="0" quotePrefix="0" xfId="0"/>
    <xf numFmtId="1" fontId="6" fillId="12" borderId="15" pivotButton="0" quotePrefix="0" xfId="0"/>
    <xf numFmtId="0" fontId="2" fillId="0" borderId="16" pivotButton="0" quotePrefix="0" xfId="0"/>
    <xf numFmtId="0" fontId="0" fillId="0" borderId="4" pivotButton="0" quotePrefix="0" xfId="0"/>
    <xf numFmtId="0" fontId="0" fillId="0" borderId="5" pivotButton="0" quotePrefix="0" xfId="0"/>
    <xf numFmtId="0" fontId="3" fillId="8" borderId="1" applyAlignment="1" pivotButton="0" quotePrefix="0" xfId="0">
      <alignment horizontal="center" vertical="center" wrapText="1"/>
    </xf>
    <xf numFmtId="0" fontId="3" fillId="9" borderId="1" applyAlignment="1" pivotButton="0" quotePrefix="0" xfId="0">
      <alignment horizontal="center" vertical="center" wrapText="1"/>
    </xf>
    <xf numFmtId="0" fontId="4" fillId="10" borderId="1" applyAlignment="1" pivotButton="0" quotePrefix="0" xfId="0">
      <alignment horizontal="center"/>
    </xf>
    <xf numFmtId="165" fontId="4" fillId="10" borderId="1" pivotButton="0" quotePrefix="0" xfId="0"/>
    <xf numFmtId="2" fontId="4" fillId="10" borderId="1" pivotButton="0" quotePrefix="0" xfId="0"/>
    <xf numFmtId="168" fontId="4" fillId="10" borderId="1" pivotButton="0" quotePrefix="0" xfId="0"/>
    <xf numFmtId="171" fontId="4" fillId="10" borderId="1" pivotButton="0" quotePrefix="0" xfId="0"/>
    <xf numFmtId="1" fontId="4" fillId="10" borderId="1" pivotButton="0" quotePrefix="0" xfId="0"/>
    <xf numFmtId="0" fontId="7" fillId="0" borderId="1" pivotButton="0" quotePrefix="0" xfId="0"/>
    <xf numFmtId="172" fontId="4" fillId="10" borderId="1" pivotButton="0" quotePrefix="0" xfId="0"/>
    <xf numFmtId="0" fontId="7" fillId="0" borderId="17" pivotButton="0" quotePrefix="0" xfId="0"/>
    <xf numFmtId="0" fontId="0" fillId="0" borderId="18" pivotButton="0" quotePrefix="0" xfId="0"/>
    <xf numFmtId="0" fontId="0" fillId="0" borderId="19" pivotButton="0" quotePrefix="0" xfId="0"/>
    <xf numFmtId="0" fontId="2" fillId="0" borderId="20" pivotButton="0" quotePrefix="0" xfId="0"/>
    <xf numFmtId="0" fontId="0" fillId="0" borderId="11" pivotButton="0" quotePrefix="0" xfId="0"/>
    <xf numFmtId="0" fontId="0" fillId="0" borderId="12" pivotButton="0" quotePrefix="0" xfId="0"/>
    <xf numFmtId="0" fontId="2" fillId="0" borderId="21" pivotButton="0" quotePrefix="0" xfId="0"/>
    <xf numFmtId="0" fontId="0" fillId="0" borderId="22" pivotButton="0" quotePrefix="0" xfId="0"/>
    <xf numFmtId="0" fontId="0" fillId="0" borderId="16" pivotButton="0" quotePrefix="0" xfId="0"/>
    <xf numFmtId="0" fontId="3" fillId="2" borderId="1" applyAlignment="1" pivotButton="0" quotePrefix="0" xfId="0">
      <alignment horizontal="center" vertical="center" wrapText="1"/>
    </xf>
    <xf numFmtId="0" fontId="3" fillId="3" borderId="1" applyAlignment="1" pivotButton="0" quotePrefix="0" xfId="0">
      <alignment horizontal="center" vertical="center" wrapText="1"/>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0" fontId="3" fillId="6" borderId="1" applyAlignment="1" pivotButton="0" quotePrefix="0" xfId="0">
      <alignment horizontal="center" vertical="center" wrapText="1"/>
    </xf>
    <xf numFmtId="0" fontId="3" fillId="7" borderId="1" applyAlignment="1" pivotButton="0" quotePrefix="0" xfId="0">
      <alignment horizontal="center" vertical="center" wrapText="1"/>
    </xf>
    <xf numFmtId="49" fontId="4" fillId="0" borderId="0" pivotButton="0" quotePrefix="0" xfId="0"/>
    <xf numFmtId="0" fontId="4" fillId="0" borderId="0" pivotButton="0" quotePrefix="0" xfId="0"/>
    <xf numFmtId="164" fontId="4" fillId="0" borderId="0" pivotButton="0" quotePrefix="0" xfId="0"/>
    <xf numFmtId="3" fontId="4" fillId="0" borderId="6" pivotButton="0" quotePrefix="0" xfId="0"/>
    <xf numFmtId="165" fontId="4" fillId="0" borderId="0" pivotButton="0" quotePrefix="0" xfId="0"/>
    <xf numFmtId="166" fontId="4" fillId="0" borderId="0" pivotButton="0" quotePrefix="0" xfId="0"/>
    <xf numFmtId="3" fontId="4" fillId="0" borderId="0" pivotButton="0" quotePrefix="0" xfId="0"/>
    <xf numFmtId="167" fontId="4" fillId="0" borderId="6" pivotButton="0" quotePrefix="0" xfId="0"/>
    <xf numFmtId="2" fontId="4" fillId="0" borderId="0" pivotButton="0" quotePrefix="0" xfId="0"/>
    <xf numFmtId="168" fontId="4" fillId="0" borderId="0" pivotButton="0" quotePrefix="0" xfId="0"/>
    <xf numFmtId="169" fontId="4" fillId="0" borderId="6" pivotButton="0" quotePrefix="0" xfId="0"/>
    <xf numFmtId="169" fontId="4" fillId="0" borderId="0" pivotButton="0" quotePrefix="0" xfId="0"/>
    <xf numFmtId="170" fontId="4" fillId="0" borderId="0" pivotButton="0" quotePrefix="0" xfId="0"/>
    <xf numFmtId="0" fontId="4" fillId="0" borderId="6" pivotButton="0" quotePrefix="0" xfId="0"/>
    <xf numFmtId="0" fontId="4" fillId="10" borderId="0" pivotButton="0" quotePrefix="0" xfId="0"/>
    <xf numFmtId="0" fontId="5" fillId="0" borderId="0" pivotButton="0" quotePrefix="0" xfId="0"/>
    <xf numFmtId="170" fontId="4" fillId="10" borderId="0" pivotButton="0" quotePrefix="0" xfId="0"/>
    <xf numFmtId="2" fontId="4" fillId="10" borderId="0" pivotButton="0" quotePrefix="0" xfId="0"/>
    <xf numFmtId="171" fontId="4" fillId="0" borderId="0" pivotButton="0" quotePrefix="0" xfId="0"/>
    <xf numFmtId="3" fontId="4" fillId="10" borderId="0" pivotButton="0" quotePrefix="0" xfId="0"/>
    <xf numFmtId="0" fontId="4" fillId="13" borderId="0" pivotButton="0" quotePrefix="0" xfId="0"/>
    <xf numFmtId="165" fontId="4" fillId="13" borderId="0" pivotButton="0" quotePrefix="0" xfId="0"/>
    <xf numFmtId="170" fontId="4" fillId="13" borderId="0" pivotButton="0" quotePrefix="0" xfId="0"/>
    <xf numFmtId="166" fontId="4" fillId="13" borderId="0" pivotButton="0" quotePrefix="0" xfId="0"/>
    <xf numFmtId="169" fontId="4" fillId="13" borderId="0" pivotButton="0" quotePrefix="0" xfId="0"/>
    <xf numFmtId="0" fontId="5" fillId="13" borderId="0" pivotButton="0" quotePrefix="0" xfId="0"/>
    <xf numFmtId="0" fontId="7" fillId="14" borderId="1" pivotButton="0" quotePrefix="0" xfId="0"/>
    <xf numFmtId="1" fontId="4" fillId="0" borderId="1" pivotButton="0" quotePrefix="0" xfId="0"/>
    <xf numFmtId="0" fontId="8" fillId="0" borderId="1" pivotButton="0" quotePrefix="0" xfId="0"/>
    <xf numFmtId="49" fontId="4" fillId="0" borderId="1" pivotButton="0" quotePrefix="0" xfId="0"/>
    <xf numFmtId="165" fontId="6" fillId="12" borderId="1" pivotButton="0" quotePrefix="0" xfId="0"/>
    <xf numFmtId="171" fontId="4" fillId="0" borderId="1" pivotButton="0" quotePrefix="0" xfId="0"/>
    <xf numFmtId="173" fontId="4" fillId="0" borderId="1" pivotButton="0" quotePrefix="0" xfId="0"/>
    <xf numFmtId="169" fontId="4" fillId="0" borderId="1" pivotButton="0" quotePrefix="0" xfId="0"/>
    <xf numFmtId="0" fontId="2" fillId="0" borderId="1" pivotButton="0" quotePrefix="0" xfId="0"/>
    <xf numFmtId="164" fontId="4" fillId="0" borderId="1" pivotButton="0" quotePrefix="0" xfId="0"/>
    <xf numFmtId="165" fontId="4" fillId="0" borderId="1" pivotButton="0" quotePrefix="0" xfId="0"/>
    <xf numFmtId="165" fontId="4" fillId="17" borderId="1" pivotButton="0" quotePrefix="0" xfId="0"/>
    <xf numFmtId="3" fontId="4" fillId="0" borderId="1" pivotButton="0" quotePrefix="0" xfId="0"/>
    <xf numFmtId="166" fontId="4" fillId="0" borderId="1" pivotButton="0" quotePrefix="0" xfId="0"/>
    <xf numFmtId="170" fontId="4" fillId="0" borderId="1" pivotButton="0" quotePrefix="0" xfId="0"/>
    <xf numFmtId="0" fontId="4" fillId="0" borderId="1" applyAlignment="1" pivotButton="0" quotePrefix="0" xfId="0">
      <alignment horizontal="center"/>
    </xf>
    <xf numFmtId="4" fontId="4" fillId="10" borderId="1" pivotButton="0" quotePrefix="0" xfId="0"/>
    <xf numFmtId="4" fontId="4" fillId="0" borderId="1" pivotButton="0" quotePrefix="0" xfId="0"/>
    <xf numFmtId="0" fontId="7" fillId="10" borderId="0" pivotButton="0" quotePrefix="0" xfId="0"/>
    <xf numFmtId="167" fontId="4" fillId="0" borderId="1" pivotButton="0" quotePrefix="0" xfId="0"/>
    <xf numFmtId="0" fontId="4" fillId="0" borderId="1" applyAlignment="1" pivotButton="0" quotePrefix="0" xfId="0">
      <alignment vertical="top" wrapText="1"/>
    </xf>
  </cellXfs>
  <cellStyles count="1">
    <cellStyle name="Normal" xfId="0" builtinId="0" hidden="0"/>
  </cellStyles>
  <dxfs count="4">
    <dxf>
      <fill>
        <patternFill patternType="solid">
          <fgColor rgb="00C6EFCE"/>
        </patternFill>
      </fill>
    </dxf>
    <dxf>
      <fill>
        <patternFill patternType="solid">
          <fgColor rgb="00FFE699"/>
        </patternFill>
      </fill>
    </dxf>
    <dxf>
      <fill>
        <patternFill patternType="solid">
          <fgColor rgb="00F7F9FB"/>
        </patternFill>
      </fill>
    </dxf>
    <dxf>
      <fill>
        <patternFill patternType="solid">
          <fgColor rgb="00FFC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A-share close, last month (Bloomberg)</a:t>
            </a:r>
          </a:p>
        </rich>
      </tx>
    </title>
    <plotArea>
      <lineChart>
        <grouping val="standard"/>
        <ser>
          <idx val="0"/>
          <order val="0"/>
          <tx>
            <strRef>
              <f>'Screener'!G55</f>
            </strRef>
          </tx>
          <spPr>
            <a:ln xmlns:a="http://schemas.openxmlformats.org/drawingml/2006/main">
              <a:prstDash val="solid"/>
            </a:ln>
          </spPr>
          <marker>
            <symbol val="none"/>
            <spPr>
              <a:ln xmlns:a="http://schemas.openxmlformats.org/drawingml/2006/main">
                <a:prstDash val="solid"/>
              </a:ln>
            </spPr>
          </marker>
          <cat>
            <numRef>
              <f>'Screener'!$F$56:$F$79</f>
            </numRef>
          </cat>
          <val>
            <numRef>
              <f>'Screener'!$G$56:$G$79</f>
            </numRef>
          </val>
        </ser>
        <axId val="10"/>
        <axId val="100"/>
      </lineChart>
      <catAx>
        <axId val="10"/>
        <scaling>
          <orientation val="minMax"/>
        </scaling>
        <delete val="0"/>
        <axPos val="l"/>
        <title>
          <tx>
            <rich>
              <a:bodyPr xmlns:a="http://schemas.openxmlformats.org/drawingml/2006/main"/>
              <a:p xmlns:a="http://schemas.openxmlformats.org/drawingml/2006/main">
                <a:pPr>
                  <a:defRPr/>
                </a:pPr>
                <a:r>
                  <a:t>session</a:t>
                </a:r>
              </a:p>
            </rich>
          </tx>
        </title>
        <majorTickMark val="none"/>
        <minorTickMark val="none"/>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CNY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9</col>
      <colOff>0</colOff>
      <row>51</row>
      <rowOff>0</rowOff>
    </from>
    <ext cx="612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2A78D6"/>
    <outlinePr summaryBelow="1" summaryRight="1"/>
    <pageSetUpPr/>
  </sheetPr>
  <dimension ref="A1:BH63"/>
  <sheetViews>
    <sheetView showGridLines="0" workbookViewId="0">
      <pane xSplit="2" ySplit="20" topLeftCell="C21" activePane="bottomRight" state="frozen"/>
      <selection pane="topRight"/>
      <selection pane="bottomLeft"/>
      <selection pane="bottomRight" activeCell="A1" sqref="A1"/>
    </sheetView>
  </sheetViews>
  <sheetFormatPr baseColWidth="8" defaultRowHeight="15"/>
  <cols>
    <col width="27" customWidth="1" min="1" max="1"/>
    <col width="22" customWidth="1" min="2" max="2"/>
    <col width="12" customWidth="1" min="3" max="3"/>
    <col width="22" customWidth="1" min="4" max="4"/>
    <col width="20" customWidth="1" min="5" max="5"/>
    <col width="9" customWidth="1" min="6" max="6"/>
    <col width="11" customWidth="1" min="7" max="7"/>
    <col width="12" customWidth="1" min="8" max="8"/>
    <col width="9" customWidth="1" min="9" max="9"/>
    <col width="9" customWidth="1" min="10" max="10"/>
    <col width="9" customWidth="1" min="11" max="11"/>
    <col width="8" customWidth="1" min="12" max="12"/>
    <col width="8" customWidth="1" min="13" max="13"/>
    <col width="11" customWidth="1" min="14" max="14"/>
    <col width="12" customWidth="1" min="15" max="15"/>
    <col width="10" customWidth="1" min="16" max="16"/>
    <col width="9" customWidth="1" min="17" max="17"/>
    <col width="11" customWidth="1" min="18" max="18"/>
    <col width="11" customWidth="1" min="19" max="19"/>
    <col width="46" customWidth="1" min="20" max="20"/>
    <col width="9" customWidth="1" min="21" max="21"/>
    <col width="17" customWidth="1" min="22" max="22"/>
    <col width="9" customWidth="1" min="23" max="23"/>
    <col width="10" customWidth="1" min="24" max="24"/>
    <col width="11" customWidth="1" min="25" max="25"/>
    <col width="9" customWidth="1" min="26" max="26"/>
    <col width="9" customWidth="1" min="27" max="27"/>
    <col width="9" customWidth="1" min="28" max="28"/>
    <col width="9" customWidth="1" min="29" max="29"/>
    <col width="9" customWidth="1" min="30" max="30"/>
    <col width="9" customWidth="1" min="31" max="31"/>
    <col width="10" customWidth="1" min="32" max="32"/>
    <col width="10" customWidth="1" min="33" max="33"/>
    <col width="10" customWidth="1" min="34" max="34"/>
    <col width="10" customWidth="1" min="35" max="35"/>
    <col width="11" customWidth="1" min="36" max="36"/>
    <col width="11" customWidth="1" min="37" max="37"/>
    <col width="10" customWidth="1" min="38" max="38"/>
    <col width="11" customWidth="1" min="39" max="39"/>
    <col width="11" customWidth="1" min="40" max="40"/>
    <col width="8" customWidth="1" min="41" max="41"/>
    <col width="8" customWidth="1" min="42" max="42"/>
    <col width="10" customWidth="1" min="43" max="43"/>
    <col width="10" customWidth="1" min="44" max="44"/>
    <col width="8" customWidth="1" min="45" max="45"/>
    <col width="8" customWidth="1" min="46" max="46"/>
    <col width="11" customWidth="1" min="47" max="47"/>
    <col width="11" customWidth="1" min="48" max="48"/>
    <col width="10" customWidth="1" min="49" max="49"/>
    <col width="11" customWidth="1" min="50" max="50"/>
    <col width="11" customWidth="1" min="51" max="51"/>
    <col width="11" customWidth="1" min="52" max="52"/>
    <col width="30" customWidth="1" min="53" max="53"/>
    <col width="34" customWidth="1" min="54" max="54"/>
    <col width="10" customWidth="1" min="55" max="55"/>
    <col width="10" customWidth="1" min="56" max="56"/>
    <col width="9" customWidth="1" min="57" max="57"/>
    <col width="14" customWidth="1" min="58" max="58"/>
    <col width="8" customWidth="1" min="59" max="59"/>
    <col width="46" customWidth="1" min="60" max="60"/>
  </cols>
  <sheetData>
    <row r="1" ht="26" customHeight="1">
      <c r="A1" s="1" t="inlineStr">
        <is>
          <t>COMPS SCREENER</t>
        </is>
      </c>
    </row>
    <row r="2">
      <c r="A2" s="2" t="inlineStr">
        <is>
          <t>Pick a deal (blue). Comps are ranked SUBSECTOR FIRST — a same-subsector deal always beats a same-sector one. The score for every comp is shown in full on the right, so nothing is hidden.</t>
        </is>
      </c>
    </row>
    <row r="3"/>
    <row r="4" ht="20" customHeight="1">
      <c r="A4" s="3" t="inlineStr">
        <is>
          <t>TARGET — pick it, or type your own terms</t>
        </is>
      </c>
      <c r="B4" s="4" t="n"/>
      <c r="C4" s="4" t="n"/>
      <c r="D4" s="4" t="n"/>
      <c r="E4" s="5" t="n"/>
    </row>
    <row r="5" ht="16" customHeight="1">
      <c r="A5" s="6" t="inlineStr">
        <is>
          <t>Pick a deal (pipeline or listed)</t>
        </is>
      </c>
      <c r="B5" s="7" t="inlineStr">
        <is>
          <t>SHEIN Global Holdings Limited</t>
        </is>
      </c>
      <c r="C5" s="8" t="n"/>
      <c r="D5" s="8" t="n"/>
      <c r="E5" s="9" t="n"/>
      <c r="G5" s="10">
        <f>IF(AND($D$8="",N($D$9)&lt;=0),"Ranking on profile and recency only — no subsector, no size. Type either one in the TYPE TO OVERRIDE column and the comps re-rank as you type.",IF($D$8="","No subsector — ranking on size, profile and recency. Pick one in the override column to rank subsector-first.",IF(N($D$9)&lt;=0,"No deal size yet (normal for a PHIP-stage applicant) — ranking on subsector, profile and recency. Type the expected HK$m size in the override column to add size proximity.","Ranking subsector-first on "&amp;$D$8&amp;", size HK$"&amp;TEXT($D$9,"#,##0")&amp;"m.")))</f>
        <v/>
      </c>
    </row>
    <row r="6" ht="16" customHeight="1">
      <c r="A6" s="11" t="inlineStr">
        <is>
          <t>TARGET ATTRIBUTE</t>
        </is>
      </c>
      <c r="B6" s="12" t="inlineStr">
        <is>
          <t>From the pick</t>
        </is>
      </c>
      <c r="C6" s="12" t="inlineStr">
        <is>
          <t>TYPE TO OVERRIDE</t>
        </is>
      </c>
      <c r="D6" s="12" t="inlineStr">
        <is>
          <t>Engine uses</t>
        </is>
      </c>
      <c r="E6" s="13" t="inlineStr">
        <is>
          <t>what it does</t>
        </is>
      </c>
    </row>
    <row r="7" ht="16" customHeight="1">
      <c r="A7" s="6" t="inlineStr">
        <is>
          <t>Sector</t>
        </is>
      </c>
      <c r="B7" s="10">
        <f>IFERROR(INDEX('Calc (scoring engine)'!$AB$3:$AB$526,MATCH($B$5,AllDeals,0)),"")</f>
        <v/>
      </c>
      <c r="C7" s="7" t="n"/>
      <c r="D7" s="10">
        <f>IF($C7&lt;&gt;"",$C7,$B7)</f>
        <v/>
      </c>
      <c r="E7" s="9" t="n"/>
      <c r="G7" s="14" t="inlineStr">
        <is>
          <t>SIZE BENCHMARK</t>
        </is>
      </c>
    </row>
    <row r="8" ht="16" customHeight="1">
      <c r="A8" s="6" t="inlineStr">
        <is>
          <t>Subsector</t>
        </is>
      </c>
      <c r="B8" s="10">
        <f>IFERROR(INDEX('Calc (scoring engine)'!$AC$3:$AC$526,MATCH($B$5,AllDeals,0)),"")</f>
        <v/>
      </c>
      <c r="C8" s="7" t="n"/>
      <c r="D8" s="10">
        <f>IF($C8&lt;&gt;"",$C8,$B8)</f>
        <v/>
      </c>
      <c r="E8" s="15" t="inlineStr">
        <is>
          <t>THE GATE — same-subsector comps rank first</t>
        </is>
      </c>
      <c r="G8" s="16" t="inlineStr">
        <is>
          <t>Percentile vs 2021-26 deals</t>
        </is>
      </c>
      <c r="H8" s="17">
        <f>IF(N($D$9)&lt;=0,"n/a",COUNTIF(Database!$I$5:$I$515,"&lt;"&amp;$D$9)/COUNT(Database!$I$5:$I$515))</f>
        <v/>
      </c>
    </row>
    <row r="9" ht="16" customHeight="1">
      <c r="A9" s="6" t="inlineStr">
        <is>
          <t>Size (HK$m)</t>
        </is>
      </c>
      <c r="B9" s="18">
        <f>IFERROR(INDEX('Calc (scoring engine)'!$AD$3:$AD$526,MATCH($B$5,AllDeals,0)),"")</f>
        <v/>
      </c>
      <c r="C9" s="19" t="n"/>
      <c r="D9" s="18">
        <f>IF($C9&lt;&gt;"",$C9,$B9)</f>
        <v/>
      </c>
      <c r="E9" s="9" t="n"/>
      <c r="G9" s="16" t="inlineStr">
        <is>
          <t>Bucket</t>
        </is>
      </c>
      <c r="H9" s="10">
        <f>IF(N($D$9)&lt;=0,"size not set",IF($D$9&gt;=20000,"Mega",IF($D$9&gt;=5000,"Large",IF($D$9&gt;=1000,"Mid","Small"))))</f>
        <v/>
      </c>
    </row>
    <row r="10" ht="16" customHeight="1">
      <c r="A10" s="6" t="inlineStr">
        <is>
          <t>Profitable (Y/N)</t>
        </is>
      </c>
      <c r="B10" s="10">
        <f>IFERROR(INDEX('Calc (scoring engine)'!$AE$3:$AE$526,MATCH($B$5,AllDeals,0)),"")</f>
        <v/>
      </c>
      <c r="C10" s="7" t="n"/>
      <c r="D10" s="10">
        <f>IF($C10&lt;&gt;"",$C10,$B10)</f>
        <v/>
      </c>
      <c r="E10" s="20" t="n"/>
    </row>
    <row r="11" ht="16" customHeight="1">
      <c r="A11" s="6" t="inlineStr">
        <is>
          <t>H-share (Y/N)</t>
        </is>
      </c>
      <c r="B11" s="10">
        <f>IFERROR(INDEX('Calc (scoring engine)'!$AF$3:$AF$526,MATCH($B$5,AllDeals,0)),"")</f>
        <v/>
      </c>
      <c r="C11" s="7" t="n"/>
      <c r="D11" s="10">
        <f>IF($C11&lt;&gt;"",$C11,$B11)</f>
        <v/>
      </c>
      <c r="E11" s="9" t="n"/>
      <c r="G11" s="14" t="inlineStr">
        <is>
          <t>WHAT THE DATABASE HOLDS ON THIS DEAL</t>
        </is>
      </c>
    </row>
    <row r="12" ht="16" customHeight="1">
      <c r="A12" s="6" t="inlineStr">
        <is>
          <t>IPO / expected date</t>
        </is>
      </c>
      <c r="B12" s="21">
        <f>IFERROR(INDEX('Calc (scoring engine)'!$AG$3:$AG$526,MATCH($B$5,AllDeals,0)),"")</f>
        <v/>
      </c>
      <c r="C12" s="22" t="n"/>
      <c r="D12" s="21">
        <f>IF($C12&lt;&gt;"",$C12,IF(ISNUMBER($B12),$B12,TODAY()))</f>
        <v/>
      </c>
      <c r="E12" s="20" t="n"/>
      <c r="G12" s="16" t="inlineStr">
        <is>
          <t>Day-1</t>
        </is>
      </c>
      <c r="H12" s="23">
        <f>IFERROR(IF(INDEX(Database!$AA$5:$AA$515,MATCH($B$5,Database!$B$5:$B$515,0))="","—",INDEX(Database!$AA$5:$AA$515,MATCH($B$5,Database!$B$5:$B$515,0))),"not listed yet")</f>
        <v/>
      </c>
    </row>
    <row r="13" ht="16" customHeight="1">
      <c r="A13" s="6" t="inlineStr">
        <is>
          <t>Target P/E (x)</t>
        </is>
      </c>
      <c r="B13" s="24">
        <f>IFERROR(INDEX('Calc (scoring engine)'!$AH$3:$AH$526,MATCH($B$5,AllDeals,0)),"")</f>
        <v/>
      </c>
      <c r="C13" s="25" t="n"/>
      <c r="D13" s="24">
        <f>IF($C13&lt;&gt;"",$C13,$B13)</f>
        <v/>
      </c>
      <c r="E13" s="15" t="inlineStr">
        <is>
          <t>comps near this multiple rank higher</t>
        </is>
      </c>
      <c r="G13" s="16" t="inlineStr">
        <is>
          <t>1-month</t>
        </is>
      </c>
      <c r="H13" s="23">
        <f>IFERROR(IF(INDEX(Database!$AE$5:$AE$515,MATCH($B$5,Database!$B$5:$B$515,0))="","—",INDEX(Database!$AE$5:$AE$515,MATCH($B$5,Database!$B$5:$B$515,0))),"not listed yet")</f>
        <v/>
      </c>
    </row>
    <row r="14" ht="16" customHeight="1">
      <c r="A14" s="6" t="inlineStr">
        <is>
          <t>Public sub (x), expected</t>
        </is>
      </c>
      <c r="B14" s="26">
        <f>IFERROR(INDEX(Database!$S$5:$S$515,MATCH($B$5,Database!$B$5:$B$515,0)),"")</f>
        <v/>
      </c>
      <c r="C14" s="27" t="n"/>
      <c r="D14" s="26">
        <f>IF($C14&lt;&gt;"",$C14,$B14)</f>
        <v/>
      </c>
      <c r="E14" s="15" t="inlineStr">
        <is>
          <t>drives 'demand-similar first'</t>
        </is>
      </c>
      <c r="G14" s="16" t="inlineStr">
        <is>
          <t>Public sub (x)</t>
        </is>
      </c>
      <c r="H14" s="26">
        <f>IFERROR(IF(INDEX(Database!$S$5:$S$515,MATCH($B$5,Database!$B$5:$B$515,0))="","—",INDEX(Database!$S$5:$S$515,MATCH($B$5,Database!$B$5:$B$515,0))),"not listed yet")</f>
        <v/>
      </c>
    </row>
    <row r="15" ht="16" customHeight="1">
      <c r="A15" s="11" t="inlineStr">
        <is>
          <t>HOW TO RANK &amp; FILTER</t>
        </is>
      </c>
      <c r="B15" s="12" t="inlineStr">
        <is>
          <t>You choose</t>
        </is>
      </c>
      <c r="C15" s="12" t="inlineStr"/>
      <c r="D15" s="12" t="inlineStr"/>
      <c r="E15" s="13" t="inlineStr">
        <is>
          <t>what it does</t>
        </is>
      </c>
      <c r="G15" s="16" t="inlineStr">
        <is>
          <t>Cornerstone %</t>
        </is>
      </c>
      <c r="H15" s="28">
        <f>IFERROR(IF(INDEX(Database!$U$5:$U$515,MATCH($B$5,Database!$B$5:$B$515,0))="","—",INDEX(Database!$U$5:$U$515,MATCH($B$5,Database!$B$5:$B$515,0))),"not listed yet")</f>
        <v/>
      </c>
    </row>
    <row r="16" ht="16" customHeight="1">
      <c r="A16" s="6" t="inlineStr">
        <is>
          <t>Rank by</t>
        </is>
      </c>
      <c r="B16" s="7" t="inlineStr">
        <is>
          <t>standard</t>
        </is>
      </c>
      <c r="C16" s="8" t="n"/>
      <c r="D16" s="8" t="n"/>
      <c r="E16" s="15" t="inlineStr">
        <is>
          <t>standard = subsector-first · the other two are explained below</t>
        </is>
      </c>
      <c r="G16" s="16" t="inlineStr">
        <is>
          <t>Sponsors</t>
        </is>
      </c>
      <c r="H16" s="10">
        <f>IFERROR(IF(INDEX(Database!$BG$5:$BG$515,MATCH($B$5,Database!$B$5:$B$515,0))="","—",INDEX(Database!$BG$5:$BG$515,MATCH($B$5,Database!$B$5:$B$515,0))),"not listed yet")</f>
        <v/>
      </c>
    </row>
    <row r="17" ht="16" customHeight="1">
      <c r="A17" s="6" t="inlineStr">
        <is>
          <t>Cornerstone investor to match</t>
        </is>
      </c>
      <c r="B17" s="7" t="n"/>
      <c r="C17" s="8" t="n"/>
      <c r="D17" s="8" t="n"/>
      <c r="E17" s="15" t="inlineStr">
        <is>
          <t>type e.g. hillhouse — adds one key to 'Shared CS'</t>
        </is>
      </c>
    </row>
    <row r="18" ht="16" customHeight="1">
      <c r="A18" s="29" t="inlineStr">
        <is>
          <t>A-share filter</t>
        </is>
      </c>
      <c r="B18" s="30" t="inlineStr">
        <is>
          <t>All</t>
        </is>
      </c>
      <c r="C18" s="31" t="inlineStr">
        <is>
          <t>Comps to show</t>
        </is>
      </c>
      <c r="D18" s="32" t="n">
        <v>10</v>
      </c>
      <c r="E18" s="33" t="inlineStr">
        <is>
          <t>screen A+H only / non-A only · 3-15 comps</t>
        </is>
      </c>
    </row>
    <row r="19" ht="18" customHeight="1">
      <c r="A19" s="12" t="inlineStr">
        <is>
          <t>IDENTITY</t>
        </is>
      </c>
      <c r="B19" s="34" t="n"/>
      <c r="C19" s="34" t="n"/>
      <c r="D19" s="34" t="n"/>
      <c r="E19" s="34" t="n"/>
      <c r="F19" s="34" t="n"/>
      <c r="G19" s="35" t="n"/>
      <c r="H19" s="12" t="inlineStr">
        <is>
          <t>DEAL TERMS</t>
        </is>
      </c>
      <c r="I19" s="34" t="n"/>
      <c r="J19" s="34" t="n"/>
      <c r="K19" s="34" t="n"/>
      <c r="L19" s="34" t="n"/>
      <c r="M19" s="34" t="n"/>
      <c r="N19" s="34" t="n"/>
      <c r="O19" s="35" t="n"/>
      <c r="P19" s="12" t="inlineStr">
        <is>
          <t>DEMAND</t>
        </is>
      </c>
      <c r="Q19" s="34" t="n"/>
      <c r="R19" s="34" t="n"/>
      <c r="S19" s="34" t="n"/>
      <c r="T19" s="34" t="n"/>
      <c r="U19" s="34" t="n"/>
      <c r="V19" s="35" t="n"/>
      <c r="W19" s="12" t="inlineStr">
        <is>
          <t>PERFORMANCE</t>
        </is>
      </c>
      <c r="X19" s="34" t="n"/>
      <c r="Y19" s="34" t="n"/>
      <c r="Z19" s="34" t="n"/>
      <c r="AA19" s="34" t="n"/>
      <c r="AB19" s="34" t="n"/>
      <c r="AC19" s="34" t="n"/>
      <c r="AD19" s="34" t="n"/>
      <c r="AE19" s="34" t="n"/>
      <c r="AF19" s="34" t="n"/>
      <c r="AG19" s="34" t="n"/>
      <c r="AH19" s="34" t="n"/>
      <c r="AI19" s="34" t="n"/>
      <c r="AJ19" s="34" t="n"/>
      <c r="AK19" s="34" t="n"/>
      <c r="AL19" s="35" t="n"/>
      <c r="AM19" s="12" t="inlineStr">
        <is>
          <t>FUNDAMENTALS</t>
        </is>
      </c>
      <c r="AN19" s="34" t="n"/>
      <c r="AO19" s="34" t="n"/>
      <c r="AP19" s="34" t="n"/>
      <c r="AQ19" s="34" t="n"/>
      <c r="AR19" s="34" t="n"/>
      <c r="AS19" s="35" t="n"/>
      <c r="AT19" s="12" t="inlineStr">
        <is>
          <t>A / H</t>
        </is>
      </c>
      <c r="AU19" s="34" t="n"/>
      <c r="AV19" s="34" t="n"/>
      <c r="AW19" s="34" t="n"/>
      <c r="AX19" s="34" t="n"/>
      <c r="AY19" s="34" t="n"/>
      <c r="AZ19" s="35" t="n"/>
      <c r="BA19" s="12" t="inlineStr">
        <is>
          <t>BANKS &amp; DOCS</t>
        </is>
      </c>
      <c r="BB19" s="34" t="n"/>
      <c r="BC19" s="34" t="n"/>
      <c r="BD19" s="35" t="n"/>
      <c r="BE19" s="12" t="inlineStr">
        <is>
          <t>SCORING</t>
        </is>
      </c>
      <c r="BF19" s="34" t="n"/>
      <c r="BG19" s="34" t="n"/>
      <c r="BH19" s="35" t="n"/>
    </row>
    <row r="20" ht="26" customHeight="1">
      <c r="A20" s="36" t="inlineStr">
        <is>
          <t>Rank</t>
        </is>
      </c>
      <c r="B20" s="36" t="inlineStr">
        <is>
          <t>Name</t>
        </is>
      </c>
      <c r="C20" s="36" t="inlineStr">
        <is>
          <t>Sector</t>
        </is>
      </c>
      <c r="D20" s="36" t="inlineStr">
        <is>
          <t>Subsector</t>
        </is>
      </c>
      <c r="E20" s="36" t="inlineStr">
        <is>
          <t>Industry (AAStocks)</t>
        </is>
      </c>
      <c r="F20" s="36" t="inlineStr">
        <is>
          <t>Regime</t>
        </is>
      </c>
      <c r="G20" s="36" t="inlineStr">
        <is>
          <t>IPO date</t>
        </is>
      </c>
      <c r="H20" s="36" t="inlineStr">
        <is>
          <t>Deal size (HK$m)</t>
        </is>
      </c>
      <c r="I20" s="36" t="inlineStr">
        <is>
          <t>Range low (HK$)</t>
        </is>
      </c>
      <c r="J20" s="36" t="inlineStr">
        <is>
          <t>Max/cap (HK$)</t>
        </is>
      </c>
      <c r="K20" s="36" t="inlineStr">
        <is>
          <t>Final px (HK$)</t>
        </is>
      </c>
      <c r="L20" s="36" t="inlineStr">
        <is>
          <t>Priced at cap</t>
        </is>
      </c>
      <c r="M20" s="36" t="inlineStr">
        <is>
          <t>% of cap</t>
        </is>
      </c>
      <c r="N20" s="36" t="inlineStr">
        <is>
          <t>Priced in range %</t>
        </is>
      </c>
      <c r="O20" s="36" t="inlineStr">
        <is>
          <t>Mkt cap at IPO (HK$m)</t>
        </is>
      </c>
      <c r="P20" s="36" t="inlineStr">
        <is>
          <t>Public sub (x)</t>
        </is>
      </c>
      <c r="Q20" s="36" t="inlineStr">
        <is>
          <t>Intl sub (x)</t>
        </is>
      </c>
      <c r="R20" s="36" t="inlineStr">
        <is>
          <t>Cornerstone %</t>
        </is>
      </c>
      <c r="S20" s="36" t="inlineStr">
        <is>
          <t>Eff. free float (% of cap)</t>
        </is>
      </c>
      <c r="T20" s="36" t="inlineStr">
        <is>
          <t>Cornerstone investors</t>
        </is>
      </c>
      <c r="U20" s="36" t="inlineStr">
        <is>
          <t>Greenshoe size (%)</t>
        </is>
      </c>
      <c r="V20" s="36" t="inlineStr">
        <is>
          <t>Shoe outcome (final)</t>
        </is>
      </c>
      <c r="W20" s="36" t="inlineStr">
        <is>
          <t>Day-1</t>
        </is>
      </c>
      <c r="X20" s="36" t="inlineStr">
        <is>
          <t>Day-1 open pop</t>
        </is>
      </c>
      <c r="Y20" s="36" t="inlineStr">
        <is>
          <t>Day-1 open→close</t>
        </is>
      </c>
      <c r="Z20" s="36" t="inlineStr">
        <is>
          <t>1-week</t>
        </is>
      </c>
      <c r="AA20" s="36" t="inlineStr">
        <is>
          <t>1-month</t>
        </is>
      </c>
      <c r="AB20" s="36" t="inlineStr">
        <is>
          <t>3-month</t>
        </is>
      </c>
      <c r="AC20" s="37" t="inlineStr">
        <is>
          <t>1w ex-pop</t>
        </is>
      </c>
      <c r="AD20" s="37" t="inlineStr">
        <is>
          <t>1m ex-pop</t>
        </is>
      </c>
      <c r="AE20" s="37" t="inlineStr">
        <is>
          <t>3m ex-pop</t>
        </is>
      </c>
      <c r="AF20" s="36" t="inlineStr">
        <is>
          <t>Alpha 1w vs index</t>
        </is>
      </c>
      <c r="AG20" s="36" t="inlineStr">
        <is>
          <t>Alpha 1m vs index</t>
        </is>
      </c>
      <c r="AH20" s="36" t="inlineStr">
        <is>
          <t>Alpha 3m vs index</t>
        </is>
      </c>
      <c r="AI20" s="37" t="inlineStr">
        <is>
          <t>Alpha 1m ex-pop</t>
        </is>
      </c>
      <c r="AJ20" s="36" t="inlineStr">
        <is>
          <t>Index, IPO→1m</t>
        </is>
      </c>
      <c r="AK20" s="36" t="inlineStr">
        <is>
          <t>Index, d1→1m</t>
        </is>
      </c>
      <c r="AL20" s="36" t="inlineStr">
        <is>
          <t>Since IPO</t>
        </is>
      </c>
      <c r="AM20" s="36" t="inlineStr">
        <is>
          <t>Latest FY rev (HK$m)</t>
        </is>
      </c>
      <c r="AN20" s="36" t="inlineStr">
        <is>
          <t>Latest FY NI (HK$m)</t>
        </is>
      </c>
      <c r="AO20" s="36" t="inlineStr">
        <is>
          <t>Profitable</t>
        </is>
      </c>
      <c r="AP20" s="36" t="inlineStr">
        <is>
          <t>P/E at IPO</t>
        </is>
      </c>
      <c r="AQ20" s="36" t="inlineStr">
        <is>
          <t>P/E at IPO (BBG)</t>
        </is>
      </c>
      <c r="AR20" s="36" t="inlineStr">
        <is>
          <t>P/E today (BBG)</t>
        </is>
      </c>
      <c r="AS20" s="36" t="inlineStr">
        <is>
          <t>P/S at IPO</t>
        </is>
      </c>
      <c r="AT20" s="36" t="inlineStr">
        <is>
          <t>A/H pair</t>
        </is>
      </c>
      <c r="AU20" s="36" t="inlineStr">
        <is>
          <t>A-share code</t>
        </is>
      </c>
      <c r="AV20" s="36" t="inlineStr">
        <is>
          <t>A prem vs H at IPO</t>
        </is>
      </c>
      <c r="AW20" s="36" t="inlineStr">
        <is>
          <t>A close used (HK$)</t>
        </is>
      </c>
      <c r="AX20" s="36" t="inlineStr">
        <is>
          <t>A premium (today)</t>
        </is>
      </c>
      <c r="AY20" s="36" t="inlineStr">
        <is>
          <t>A P/E @H-IPO (BBG)</t>
        </is>
      </c>
      <c r="AZ20" s="36" t="inlineStr">
        <is>
          <t>HSAHP @IPO (BBG)</t>
        </is>
      </c>
      <c r="BA20" s="36" t="inlineStr">
        <is>
          <t>Sponsors</t>
        </is>
      </c>
      <c r="BB20" s="36" t="inlineStr">
        <is>
          <t>Bookrunners</t>
        </is>
      </c>
      <c r="BC20" s="36" t="inlineStr">
        <is>
          <t>P/E now (x)</t>
        </is>
      </c>
      <c r="BD20" s="36" t="inlineStr">
        <is>
          <t>P/S now (x)</t>
        </is>
      </c>
      <c r="BE20" s="36" t="inlineStr">
        <is>
          <t>Shared CS</t>
        </is>
      </c>
      <c r="BF20" s="36" t="inlineStr">
        <is>
          <t>Match</t>
        </is>
      </c>
      <c r="BG20" s="36" t="inlineStr">
        <is>
          <t>Score</t>
        </is>
      </c>
      <c r="BH20" s="36" t="inlineStr">
        <is>
          <t>why</t>
        </is>
      </c>
    </row>
    <row r="21">
      <c r="A21" s="38">
        <f>IF(OR(1&gt;MAX(3,MIN(15,N($D$18))),IFERROR(LARGE('Calc (scoring engine)'!$K$5:$K$515,1),-999999)&lt;=-900000),"",1)</f>
        <v/>
      </c>
      <c r="B21" s="10">
        <f>IF(OR(1&gt;MAX(3,MIN(15,N($D$18))),IFERROR(LARGE('Calc (scoring engine)'!$K$5:$K$515,1),-999999)&lt;=-900000),"",IFERROR(IF(INDEX(Database!$B$5:$B$515,MATCH(LARGE('Calc (scoring engine)'!$K$5:$K$515,1),'Calc (scoring engine)'!$K$5:$K$515,0))="","—",INDEX(Database!$B$5:$B$515,MATCH(LARGE('Calc (scoring engine)'!$K$5:$K$515,1),'Calc (scoring engine)'!$K$5:$K$515,0))),""))</f>
        <v/>
      </c>
      <c r="C21" s="10">
        <f>IF(OR(1&gt;MAX(3,MIN(15,N($D$18))),IFERROR(LARGE('Calc (scoring engine)'!$K$5:$K$515,1),-999999)&lt;=-900000),"",IFERROR(IF(INDEX(Database!$D$5:$D$515,MATCH(LARGE('Calc (scoring engine)'!$K$5:$K$515,1),'Calc (scoring engine)'!$K$5:$K$515,0))="","—",INDEX(Database!$D$5:$D$515,MATCH(LARGE('Calc (scoring engine)'!$K$5:$K$515,1),'Calc (scoring engine)'!$K$5:$K$515,0))),""))</f>
        <v/>
      </c>
      <c r="D21" s="10">
        <f>IF(OR(1&gt;MAX(3,MIN(15,N($D$18))),IFERROR(LARGE('Calc (scoring engine)'!$K$5:$K$515,1),-999999)&lt;=-900000),"",IFERROR(IF(INDEX(Database!$E$5:$E$515,MATCH(LARGE('Calc (scoring engine)'!$K$5:$K$515,1),'Calc (scoring engine)'!$K$5:$K$515,0))="","—",INDEX(Database!$E$5:$E$515,MATCH(LARGE('Calc (scoring engine)'!$K$5:$K$515,1),'Calc (scoring engine)'!$K$5:$K$515,0))),""))</f>
        <v/>
      </c>
      <c r="E21" s="10">
        <f>IF(OR(1&gt;MAX(3,MIN(15,N($D$18))),IFERROR(LARGE('Calc (scoring engine)'!$K$5:$K$515,1),-999999)&lt;=-900000),"",IFERROR(IF(INDEX(Database!$F$5:$F$515,MATCH(LARGE('Calc (scoring engine)'!$K$5:$K$515,1),'Calc (scoring engine)'!$K$5:$K$515,0))="","—",INDEX(Database!$F$5:$F$515,MATCH(LARGE('Calc (scoring engine)'!$K$5:$K$515,1),'Calc (scoring engine)'!$K$5:$K$515,0))),""))</f>
        <v/>
      </c>
      <c r="F21" s="10">
        <f>IF(OR(1&gt;MAX(3,MIN(15,N($D$18))),IFERROR(LARGE('Calc (scoring engine)'!$K$5:$K$515,1),-999999)&lt;=-900000),"",IFERROR(IF(INDEX(Database!$G$5:$G$515,MATCH(LARGE('Calc (scoring engine)'!$K$5:$K$515,1),'Calc (scoring engine)'!$K$5:$K$515,0))="","—",INDEX(Database!$G$5:$G$515,MATCH(LARGE('Calc (scoring engine)'!$K$5:$K$515,1),'Calc (scoring engine)'!$K$5:$K$515,0))),""))</f>
        <v/>
      </c>
      <c r="G21" s="21">
        <f>IF(OR(1&gt;MAX(3,MIN(15,N($D$18))),IFERROR(LARGE('Calc (scoring engine)'!$K$5:$K$515,1),-999999)&lt;=-900000),"",IFERROR(IF(INDEX(Database!$H$5:$H$515,MATCH(LARGE('Calc (scoring engine)'!$K$5:$K$515,1),'Calc (scoring engine)'!$K$5:$K$515,0))="","—",INDEX(Database!$H$5:$H$515,MATCH(LARGE('Calc (scoring engine)'!$K$5:$K$515,1),'Calc (scoring engine)'!$K$5:$K$515,0))),""))</f>
        <v/>
      </c>
      <c r="H21" s="18">
        <f>IF(OR(1&gt;MAX(3,MIN(15,N($D$18))),IFERROR(LARGE('Calc (scoring engine)'!$K$5:$K$515,1),-999999)&lt;=-900000),"",IFERROR(IF(INDEX(Database!$I$5:$I$515,MATCH(LARGE('Calc (scoring engine)'!$K$5:$K$515,1),'Calc (scoring engine)'!$K$5:$K$515,0))="","—",INDEX(Database!$I$5:$I$515,MATCH(LARGE('Calc (scoring engine)'!$K$5:$K$515,1),'Calc (scoring engine)'!$K$5:$K$515,0))),""))</f>
        <v/>
      </c>
      <c r="I21" s="39">
        <f>IF(OR(1&gt;MAX(3,MIN(15,N($D$18))),IFERROR(LARGE('Calc (scoring engine)'!$K$5:$K$515,1),-999999)&lt;=-900000),"",IFERROR(IF(INDEX(Database!$K$5:$K$515,MATCH(LARGE('Calc (scoring engine)'!$K$5:$K$515,1),'Calc (scoring engine)'!$K$5:$K$515,0))="","—",INDEX(Database!$K$5:$K$515,MATCH(LARGE('Calc (scoring engine)'!$K$5:$K$515,1),'Calc (scoring engine)'!$K$5:$K$515,0))),""))</f>
        <v/>
      </c>
      <c r="J21" s="39">
        <f>IF(OR(1&gt;MAX(3,MIN(15,N($D$18))),IFERROR(LARGE('Calc (scoring engine)'!$K$5:$K$515,1),-999999)&lt;=-900000),"",IFERROR(IF(INDEX(Database!$L$5:$L$515,MATCH(LARGE('Calc (scoring engine)'!$K$5:$K$515,1),'Calc (scoring engine)'!$K$5:$K$515,0))="","—",INDEX(Database!$L$5:$L$515,MATCH(LARGE('Calc (scoring engine)'!$K$5:$K$515,1),'Calc (scoring engine)'!$K$5:$K$515,0))),""))</f>
        <v/>
      </c>
      <c r="K21" s="39">
        <f>IF(OR(1&gt;MAX(3,MIN(15,N($D$18))),IFERROR(LARGE('Calc (scoring engine)'!$K$5:$K$515,1),-999999)&lt;=-900000),"",IFERROR(IF(INDEX(Database!$M$5:$M$515,MATCH(LARGE('Calc (scoring engine)'!$K$5:$K$515,1),'Calc (scoring engine)'!$K$5:$K$515,0))="","—",INDEX(Database!$M$5:$M$515,MATCH(LARGE('Calc (scoring engine)'!$K$5:$K$515,1),'Calc (scoring engine)'!$K$5:$K$515,0))),""))</f>
        <v/>
      </c>
      <c r="L21" s="10">
        <f>IF(OR(1&gt;MAX(3,MIN(15,N($D$18))),IFERROR(LARGE('Calc (scoring engine)'!$K$5:$K$515,1),-999999)&lt;=-900000),"",IFERROR(IF(INDEX(Database!$N$5:$N$515,MATCH(LARGE('Calc (scoring engine)'!$K$5:$K$515,1),'Calc (scoring engine)'!$K$5:$K$515,0))="","—",INDEX(Database!$N$5:$N$515,MATCH(LARGE('Calc (scoring engine)'!$K$5:$K$515,1),'Calc (scoring engine)'!$K$5:$K$515,0))),""))</f>
        <v/>
      </c>
      <c r="M21" s="28">
        <f>IF(OR(1&gt;MAX(3,MIN(15,N($D$18))),IFERROR(LARGE('Calc (scoring engine)'!$K$5:$K$515,1),-999999)&lt;=-900000),"",IFERROR(IF(INDEX(Database!$O$5:$O$515,MATCH(LARGE('Calc (scoring engine)'!$K$5:$K$515,1),'Calc (scoring engine)'!$K$5:$K$515,0))="","—",INDEX(Database!$O$5:$O$515,MATCH(LARGE('Calc (scoring engine)'!$K$5:$K$515,1),'Calc (scoring engine)'!$K$5:$K$515,0))),""))</f>
        <v/>
      </c>
      <c r="N21" s="28">
        <f>IF(OR(1&gt;MAX(3,MIN(15,N($D$18))),IFERROR(LARGE('Calc (scoring engine)'!$K$5:$K$515,1),-999999)&lt;=-900000),"",IFERROR(IF(INDEX(Database!$P$5:$P$515,MATCH(LARGE('Calc (scoring engine)'!$K$5:$K$515,1),'Calc (scoring engine)'!$K$5:$K$515,0))="","—",INDEX(Database!$P$5:$P$515,MATCH(LARGE('Calc (scoring engine)'!$K$5:$K$515,1),'Calc (scoring engine)'!$K$5:$K$515,0))),""))</f>
        <v/>
      </c>
      <c r="O21" s="18">
        <f>IF(OR(1&gt;MAX(3,MIN(15,N($D$18))),IFERROR(LARGE('Calc (scoring engine)'!$K$5:$K$515,1),-999999)&lt;=-900000),"",IFERROR(IF(INDEX(Database!$Q$5:$Q$515,MATCH(LARGE('Calc (scoring engine)'!$K$5:$K$515,1),'Calc (scoring engine)'!$K$5:$K$515,0))="","—",INDEX(Database!$Q$5:$Q$515,MATCH(LARGE('Calc (scoring engine)'!$K$5:$K$515,1),'Calc (scoring engine)'!$K$5:$K$515,0))),""))</f>
        <v/>
      </c>
      <c r="P21" s="26">
        <f>IF(OR(1&gt;MAX(3,MIN(15,N($D$18))),IFERROR(LARGE('Calc (scoring engine)'!$K$5:$K$515,1),-999999)&lt;=-900000),"",IFERROR(IF(INDEX(Database!$S$5:$S$515,MATCH(LARGE('Calc (scoring engine)'!$K$5:$K$515,1),'Calc (scoring engine)'!$K$5:$K$515,0))="","—",INDEX(Database!$S$5:$S$515,MATCH(LARGE('Calc (scoring engine)'!$K$5:$K$515,1),'Calc (scoring engine)'!$K$5:$K$515,0))),""))</f>
        <v/>
      </c>
      <c r="Q21" s="40">
        <f>IF(OR(1&gt;MAX(3,MIN(15,N($D$18))),IFERROR(LARGE('Calc (scoring engine)'!$K$5:$K$515,1),-999999)&lt;=-900000),"",IFERROR(IF(INDEX(Database!$T$5:$T$515,MATCH(LARGE('Calc (scoring engine)'!$K$5:$K$515,1),'Calc (scoring engine)'!$K$5:$K$515,0))="","—",INDEX(Database!$T$5:$T$515,MATCH(LARGE('Calc (scoring engine)'!$K$5:$K$515,1),'Calc (scoring engine)'!$K$5:$K$515,0))),""))</f>
        <v/>
      </c>
      <c r="R21" s="41">
        <f>IF(OR(1&gt;MAX(3,MIN(15,N($D$18))),IFERROR(LARGE('Calc (scoring engine)'!$K$5:$K$515,1),-999999)&lt;=-900000),"",IFERROR(IF(INDEX(Database!$U$5:$U$515,MATCH(LARGE('Calc (scoring engine)'!$K$5:$K$515,1),'Calc (scoring engine)'!$K$5:$K$515,0))="","—",INDEX(Database!$U$5:$U$515,MATCH(LARGE('Calc (scoring engine)'!$K$5:$K$515,1),'Calc (scoring engine)'!$K$5:$K$515,0))),""))</f>
        <v/>
      </c>
      <c r="S21" s="28">
        <f>IF(OR(1&gt;MAX(3,MIN(15,N($D$18))),IFERROR(LARGE('Calc (scoring engine)'!$K$5:$K$515,1),-999999)&lt;=-900000),"",IFERROR(IF(INDEX(Database!$V$5:$V$515,MATCH(LARGE('Calc (scoring engine)'!$K$5:$K$515,1),'Calc (scoring engine)'!$K$5:$K$515,0))="","—",INDEX(Database!$V$5:$V$515,MATCH(LARGE('Calc (scoring engine)'!$K$5:$K$515,1),'Calc (scoring engine)'!$K$5:$K$515,0))),""))</f>
        <v/>
      </c>
      <c r="T21" s="10">
        <f>IF(OR(1&gt;MAX(3,MIN(15,N($D$18))),IFERROR(LARGE('Calc (scoring engine)'!$K$5:$K$515,1),-999999)&lt;=-900000),"",IFERROR(IF(INDEX(Database!$W$5:$W$515,MATCH(LARGE('Calc (scoring engine)'!$K$5:$K$515,1),'Calc (scoring engine)'!$K$5:$K$515,0))="","—",INDEX(Database!$W$5:$W$515,MATCH(LARGE('Calc (scoring engine)'!$K$5:$K$515,1),'Calc (scoring engine)'!$K$5:$K$515,0))),""))</f>
        <v/>
      </c>
      <c r="U21" s="28">
        <f>IF(OR(1&gt;MAX(3,MIN(15,N($D$18))),IFERROR(LARGE('Calc (scoring engine)'!$K$5:$K$515,1),-999999)&lt;=-900000),"",IFERROR(IF(INDEX(Database!$Y$5:$Y$515,MATCH(LARGE('Calc (scoring engine)'!$K$5:$K$515,1),'Calc (scoring engine)'!$K$5:$K$515,0))="","—",INDEX(Database!$Y$5:$Y$515,MATCH(LARGE('Calc (scoring engine)'!$K$5:$K$515,1),'Calc (scoring engine)'!$K$5:$K$515,0))),""))</f>
        <v/>
      </c>
      <c r="V21" s="10">
        <f>IF(OR(1&gt;MAX(3,MIN(15,N($D$18))),IFERROR(LARGE('Calc (scoring engine)'!$K$5:$K$515,1),-999999)&lt;=-900000),"",IFERROR(IF(INDEX(Database!$Z$5:$Z$515,MATCH(LARGE('Calc (scoring engine)'!$K$5:$K$515,1),'Calc (scoring engine)'!$K$5:$K$515,0))="","—",INDEX(Database!$Z$5:$Z$515,MATCH(LARGE('Calc (scoring engine)'!$K$5:$K$515,1),'Calc (scoring engine)'!$K$5:$K$515,0))),""))</f>
        <v/>
      </c>
      <c r="W21" s="23">
        <f>IF(OR(1&gt;MAX(3,MIN(15,N($D$18))),IFERROR(LARGE('Calc (scoring engine)'!$K$5:$K$515,1),-999999)&lt;=-900000),"",IFERROR(IF(INDEX(Database!$AA$5:$AA$515,MATCH(LARGE('Calc (scoring engine)'!$K$5:$K$515,1),'Calc (scoring engine)'!$K$5:$K$515,0))="","—",INDEX(Database!$AA$5:$AA$515,MATCH(LARGE('Calc (scoring engine)'!$K$5:$K$515,1),'Calc (scoring engine)'!$K$5:$K$515,0))),""))</f>
        <v/>
      </c>
      <c r="X21" s="23">
        <f>IF(OR(1&gt;MAX(3,MIN(15,N($D$18))),IFERROR(LARGE('Calc (scoring engine)'!$K$5:$K$515,1),-999999)&lt;=-900000),"",IFERROR(IF(INDEX(Database!$AB$5:$AB$515,MATCH(LARGE('Calc (scoring engine)'!$K$5:$K$515,1),'Calc (scoring engine)'!$K$5:$K$515,0))="","—",INDEX(Database!$AB$5:$AB$515,MATCH(LARGE('Calc (scoring engine)'!$K$5:$K$515,1),'Calc (scoring engine)'!$K$5:$K$515,0))),""))</f>
        <v/>
      </c>
      <c r="Y21" s="23">
        <f>IF(OR(1&gt;MAX(3,MIN(15,N($D$18))),IFERROR(LARGE('Calc (scoring engine)'!$K$5:$K$515,1),-999999)&lt;=-900000),"",IFERROR(IF(INDEX(Database!$AC$5:$AC$515,MATCH(LARGE('Calc (scoring engine)'!$K$5:$K$515,1),'Calc (scoring engine)'!$K$5:$K$515,0))="","—",INDEX(Database!$AC$5:$AC$515,MATCH(LARGE('Calc (scoring engine)'!$K$5:$K$515,1),'Calc (scoring engine)'!$K$5:$K$515,0))),""))</f>
        <v/>
      </c>
      <c r="Z21" s="23">
        <f>IF(OR(1&gt;MAX(3,MIN(15,N($D$18))),IFERROR(LARGE('Calc (scoring engine)'!$K$5:$K$515,1),-999999)&lt;=-900000),"",IFERROR(IF(INDEX(Database!$AD$5:$AD$515,MATCH(LARGE('Calc (scoring engine)'!$K$5:$K$515,1),'Calc (scoring engine)'!$K$5:$K$515,0))="","—",INDEX(Database!$AD$5:$AD$515,MATCH(LARGE('Calc (scoring engine)'!$K$5:$K$515,1),'Calc (scoring engine)'!$K$5:$K$515,0))),""))</f>
        <v/>
      </c>
      <c r="AA21" s="23">
        <f>IF(OR(1&gt;MAX(3,MIN(15,N($D$18))),IFERROR(LARGE('Calc (scoring engine)'!$K$5:$K$515,1),-999999)&lt;=-900000),"",IFERROR(IF(INDEX(Database!$AE$5:$AE$515,MATCH(LARGE('Calc (scoring engine)'!$K$5:$K$515,1),'Calc (scoring engine)'!$K$5:$K$515,0))="","—",INDEX(Database!$AE$5:$AE$515,MATCH(LARGE('Calc (scoring engine)'!$K$5:$K$515,1),'Calc (scoring engine)'!$K$5:$K$515,0))),""))</f>
        <v/>
      </c>
      <c r="AB21" s="23">
        <f>IF(OR(1&gt;MAX(3,MIN(15,N($D$18))),IFERROR(LARGE('Calc (scoring engine)'!$K$5:$K$515,1),-999999)&lt;=-900000),"",IFERROR(IF(INDEX(Database!$AF$5:$AF$515,MATCH(LARGE('Calc (scoring engine)'!$K$5:$K$515,1),'Calc (scoring engine)'!$K$5:$K$515,0))="","—",INDEX(Database!$AF$5:$AF$515,MATCH(LARGE('Calc (scoring engine)'!$K$5:$K$515,1),'Calc (scoring engine)'!$K$5:$K$515,0))),""))</f>
        <v/>
      </c>
      <c r="AC21" s="23">
        <f>IF(OR(1&gt;MAX(3,MIN(15,N($D$18))),IFERROR(LARGE('Calc (scoring engine)'!$K$5:$K$515,1),-999999)&lt;=-900000),"",IFERROR(IF(INDEX(Database!$AG$5:$AG$515,MATCH(LARGE('Calc (scoring engine)'!$K$5:$K$515,1),'Calc (scoring engine)'!$K$5:$K$515,0))="","—",INDEX(Database!$AG$5:$AG$515,MATCH(LARGE('Calc (scoring engine)'!$K$5:$K$515,1),'Calc (scoring engine)'!$K$5:$K$515,0))),""))</f>
        <v/>
      </c>
      <c r="AD21" s="23">
        <f>IF(OR(1&gt;MAX(3,MIN(15,N($D$18))),IFERROR(LARGE('Calc (scoring engine)'!$K$5:$K$515,1),-999999)&lt;=-900000),"",IFERROR(IF(INDEX(Database!$AH$5:$AH$515,MATCH(LARGE('Calc (scoring engine)'!$K$5:$K$515,1),'Calc (scoring engine)'!$K$5:$K$515,0))="","—",INDEX(Database!$AH$5:$AH$515,MATCH(LARGE('Calc (scoring engine)'!$K$5:$K$515,1),'Calc (scoring engine)'!$K$5:$K$515,0))),""))</f>
        <v/>
      </c>
      <c r="AE21" s="23">
        <f>IF(OR(1&gt;MAX(3,MIN(15,N($D$18))),IFERROR(LARGE('Calc (scoring engine)'!$K$5:$K$515,1),-999999)&lt;=-900000),"",IFERROR(IF(INDEX(Database!$AI$5:$AI$515,MATCH(LARGE('Calc (scoring engine)'!$K$5:$K$515,1),'Calc (scoring engine)'!$K$5:$K$515,0))="","—",INDEX(Database!$AI$5:$AI$515,MATCH(LARGE('Calc (scoring engine)'!$K$5:$K$515,1),'Calc (scoring engine)'!$K$5:$K$515,0))),""))</f>
        <v/>
      </c>
      <c r="AF21" s="23">
        <f>IF(OR(1&gt;MAX(3,MIN(15,N($D$18))),IFERROR(LARGE('Calc (scoring engine)'!$K$5:$K$515,1),-999999)&lt;=-900000),"",IFERROR(IF(INDEX(Database!$AJ$5:$AJ$515,MATCH(LARGE('Calc (scoring engine)'!$K$5:$K$515,1),'Calc (scoring engine)'!$K$5:$K$515,0))="","—",INDEX(Database!$AJ$5:$AJ$515,MATCH(LARGE('Calc (scoring engine)'!$K$5:$K$515,1),'Calc (scoring engine)'!$K$5:$K$515,0))),""))</f>
        <v/>
      </c>
      <c r="AG21" s="23">
        <f>IF(OR(1&gt;MAX(3,MIN(15,N($D$18))),IFERROR(LARGE('Calc (scoring engine)'!$K$5:$K$515,1),-999999)&lt;=-900000),"",IFERROR(IF(INDEX(Database!$AK$5:$AK$515,MATCH(LARGE('Calc (scoring engine)'!$K$5:$K$515,1),'Calc (scoring engine)'!$K$5:$K$515,0))="","—",INDEX(Database!$AK$5:$AK$515,MATCH(LARGE('Calc (scoring engine)'!$K$5:$K$515,1),'Calc (scoring engine)'!$K$5:$K$515,0))),""))</f>
        <v/>
      </c>
      <c r="AH21" s="23">
        <f>IF(OR(1&gt;MAX(3,MIN(15,N($D$18))),IFERROR(LARGE('Calc (scoring engine)'!$K$5:$K$515,1),-999999)&lt;=-900000),"",IFERROR(IF(INDEX(Database!$AL$5:$AL$515,MATCH(LARGE('Calc (scoring engine)'!$K$5:$K$515,1),'Calc (scoring engine)'!$K$5:$K$515,0))="","—",INDEX(Database!$AL$5:$AL$515,MATCH(LARGE('Calc (scoring engine)'!$K$5:$K$515,1),'Calc (scoring engine)'!$K$5:$K$515,0))),""))</f>
        <v/>
      </c>
      <c r="AI21" s="23">
        <f>IF(OR(1&gt;MAX(3,MIN(15,N($D$18))),IFERROR(LARGE('Calc (scoring engine)'!$K$5:$K$515,1),-999999)&lt;=-900000),"",IFERROR(IF(INDEX(Database!$AM$5:$AM$515,MATCH(LARGE('Calc (scoring engine)'!$K$5:$K$515,1),'Calc (scoring engine)'!$K$5:$K$515,0))="","—",INDEX(Database!$AM$5:$AM$515,MATCH(LARGE('Calc (scoring engine)'!$K$5:$K$515,1),'Calc (scoring engine)'!$K$5:$K$515,0))),""))</f>
        <v/>
      </c>
      <c r="AJ21" s="23">
        <f>IF(OR(1&gt;MAX(3,MIN(15,N($D$18))),IFERROR(LARGE('Calc (scoring engine)'!$K$5:$K$515,1),-999999)&lt;=-900000),"",IFERROR(IF(INDEX(Database!$AN$5:$AN$515,MATCH(LARGE('Calc (scoring engine)'!$K$5:$K$515,1),'Calc (scoring engine)'!$K$5:$K$515,0))="","—",INDEX(Database!$AN$5:$AN$515,MATCH(LARGE('Calc (scoring engine)'!$K$5:$K$515,1),'Calc (scoring engine)'!$K$5:$K$515,0))),""))</f>
        <v/>
      </c>
      <c r="AK21" s="23">
        <f>IF(OR(1&gt;MAX(3,MIN(15,N($D$18))),IFERROR(LARGE('Calc (scoring engine)'!$K$5:$K$515,1),-999999)&lt;=-900000),"",IFERROR(IF(INDEX(Database!$AO$5:$AO$515,MATCH(LARGE('Calc (scoring engine)'!$K$5:$K$515,1),'Calc (scoring engine)'!$K$5:$K$515,0))="","—",INDEX(Database!$AO$5:$AO$515,MATCH(LARGE('Calc (scoring engine)'!$K$5:$K$515,1),'Calc (scoring engine)'!$K$5:$K$515,0))),""))</f>
        <v/>
      </c>
      <c r="AL21" s="23">
        <f>IF(OR(1&gt;MAX(3,MIN(15,N($D$18))),IFERROR(LARGE('Calc (scoring engine)'!$K$5:$K$515,1),-999999)&lt;=-900000),"",IFERROR(IF(INDEX(Database!$AQ$5:$AQ$515,MATCH(LARGE('Calc (scoring engine)'!$K$5:$K$515,1),'Calc (scoring engine)'!$K$5:$K$515,0))="","—",INDEX(Database!$AQ$5:$AQ$515,MATCH(LARGE('Calc (scoring engine)'!$K$5:$K$515,1),'Calc (scoring engine)'!$K$5:$K$515,0))),""))</f>
        <v/>
      </c>
      <c r="AM21" s="18">
        <f>IF(OR(1&gt;MAX(3,MIN(15,N($D$18))),IFERROR(LARGE('Calc (scoring engine)'!$K$5:$K$515,1),-999999)&lt;=-900000),"",IFERROR(IF(INDEX(Database!$AS$5:$AS$515,MATCH(LARGE('Calc (scoring engine)'!$K$5:$K$515,1),'Calc (scoring engine)'!$K$5:$K$515,0))="","—",INDEX(Database!$AS$5:$AS$515,MATCH(LARGE('Calc (scoring engine)'!$K$5:$K$515,1),'Calc (scoring engine)'!$K$5:$K$515,0))),""))</f>
        <v/>
      </c>
      <c r="AN21" s="18">
        <f>IF(OR(1&gt;MAX(3,MIN(15,N($D$18))),IFERROR(LARGE('Calc (scoring engine)'!$K$5:$K$515,1),-999999)&lt;=-900000),"",IFERROR(IF(INDEX(Database!$AT$5:$AT$515,MATCH(LARGE('Calc (scoring engine)'!$K$5:$K$515,1),'Calc (scoring engine)'!$K$5:$K$515,0))="","—",INDEX(Database!$AT$5:$AT$515,MATCH(LARGE('Calc (scoring engine)'!$K$5:$K$515,1),'Calc (scoring engine)'!$K$5:$K$515,0))),""))</f>
        <v/>
      </c>
      <c r="AO21" s="10">
        <f>IF(OR(1&gt;MAX(3,MIN(15,N($D$18))),IFERROR(LARGE('Calc (scoring engine)'!$K$5:$K$515,1),-999999)&lt;=-900000),"",IFERROR(IF(INDEX(Database!$AU$5:$AU$515,MATCH(LARGE('Calc (scoring engine)'!$K$5:$K$515,1),'Calc (scoring engine)'!$K$5:$K$515,0))="","—",INDEX(Database!$AU$5:$AU$515,MATCH(LARGE('Calc (scoring engine)'!$K$5:$K$515,1),'Calc (scoring engine)'!$K$5:$K$515,0))),""))</f>
        <v/>
      </c>
      <c r="AP21" s="24">
        <f>IF(OR(1&gt;MAX(3,MIN(15,N($D$18))),IFERROR(LARGE('Calc (scoring engine)'!$K$5:$K$515,1),-999999)&lt;=-900000),"",IFERROR(IF(N(INDEX(Database!$AV$5:$AV$515,MATCH(LARGE('Calc (scoring engine)'!$K$5:$K$515,1),'Calc (scoring engine)'!$K$5:$K$515,0)))&lt;=0,IF(INDEX(Database!$AU$5:$AU$515,MATCH(LARGE('Calc (scoring engine)'!$K$5:$K$515,1),'Calc (scoring engine)'!$K$5:$K$515,0))="N","n/m","—"),INDEX(Database!$AV$5:$AV$515,MATCH(LARGE('Calc (scoring engine)'!$K$5:$K$515,1),'Calc (scoring engine)'!$K$5:$K$515,0))),""))</f>
        <v/>
      </c>
      <c r="AQ21" s="24">
        <f>IF(OR(1&gt;MAX(3,MIN(15,N($D$18))),IFERROR(LARGE('Calc (scoring engine)'!$K$5:$K$515,1),-999999)&lt;=-900000),"",IFERROR(IF(INDEX(Database!$AW$5:$AW$515,MATCH(LARGE('Calc (scoring engine)'!$K$5:$K$515,1),'Calc (scoring engine)'!$K$5:$K$515,0))="","—",INDEX(Database!$AW$5:$AW$515,MATCH(LARGE('Calc (scoring engine)'!$K$5:$K$515,1),'Calc (scoring engine)'!$K$5:$K$515,0))),""))</f>
        <v/>
      </c>
      <c r="AR21" s="24">
        <f>IF(OR(1&gt;MAX(3,MIN(15,N($D$18))),IFERROR(LARGE('Calc (scoring engine)'!$K$5:$K$515,1),-999999)&lt;=-900000),"",IFERROR(IF(INDEX(Database!$AX$5:$AX$515,MATCH(LARGE('Calc (scoring engine)'!$K$5:$K$515,1),'Calc (scoring engine)'!$K$5:$K$515,0))="","—",INDEX(Database!$AX$5:$AX$515,MATCH(LARGE('Calc (scoring engine)'!$K$5:$K$515,1),'Calc (scoring engine)'!$K$5:$K$515,0))),""))</f>
        <v/>
      </c>
      <c r="AS21" s="24">
        <f>IF(OR(1&gt;MAX(3,MIN(15,N($D$18))),IFERROR(LARGE('Calc (scoring engine)'!$K$5:$K$515,1),-999999)&lt;=-900000),"",IFERROR(IF(INDEX(Database!$AY$5:$AY$515,MATCH(LARGE('Calc (scoring engine)'!$K$5:$K$515,1),'Calc (scoring engine)'!$K$5:$K$515,0))="","—",INDEX(Database!$AY$5:$AY$515,MATCH(LARGE('Calc (scoring engine)'!$K$5:$K$515,1),'Calc (scoring engine)'!$K$5:$K$515,0))),""))</f>
        <v/>
      </c>
      <c r="AT21" s="10">
        <f>IF(OR(1&gt;MAX(3,MIN(15,N($D$18))),IFERROR(LARGE('Calc (scoring engine)'!$K$5:$K$515,1),-999999)&lt;=-900000),"",IFERROR(IF(INDEX(Database!$AZ$5:$AZ$515,MATCH(LARGE('Calc (scoring engine)'!$K$5:$K$515,1),'Calc (scoring engine)'!$K$5:$K$515,0))="","—",INDEX(Database!$AZ$5:$AZ$515,MATCH(LARGE('Calc (scoring engine)'!$K$5:$K$515,1),'Calc (scoring engine)'!$K$5:$K$515,0))),""))</f>
        <v/>
      </c>
      <c r="AU21" s="10">
        <f>IF(OR(1&gt;MAX(3,MIN(15,N($D$18))),IFERROR(LARGE('Calc (scoring engine)'!$K$5:$K$515,1),-999999)&lt;=-900000),"",IFERROR(IF(INDEX(Database!$BA$5:$BA$515,MATCH(LARGE('Calc (scoring engine)'!$K$5:$K$515,1),'Calc (scoring engine)'!$K$5:$K$515,0))="","—",INDEX(Database!$BA$5:$BA$515,MATCH(LARGE('Calc (scoring engine)'!$K$5:$K$515,1),'Calc (scoring engine)'!$K$5:$K$515,0))),""))</f>
        <v/>
      </c>
      <c r="AV21" s="23">
        <f>IF(OR(1&gt;MAX(3,MIN(15,N($D$18))),IFERROR(LARGE('Calc (scoring engine)'!$K$5:$K$515,1),-999999)&lt;=-900000),"",IFERROR(IF(INDEX(Database!$BB$5:$BB$515,MATCH(LARGE('Calc (scoring engine)'!$K$5:$K$515,1),'Calc (scoring engine)'!$K$5:$K$515,0))="","—",INDEX(Database!$BB$5:$BB$515,MATCH(LARGE('Calc (scoring engine)'!$K$5:$K$515,1),'Calc (scoring engine)'!$K$5:$K$515,0))),""))</f>
        <v/>
      </c>
      <c r="AW21" s="39">
        <f>IF(OR(1&gt;MAX(3,MIN(15,N($D$18))),IFERROR(LARGE('Calc (scoring engine)'!$K$5:$K$515,1),-999999)&lt;=-900000),"",IFERROR(IF(INDEX(Database!$BC$5:$BC$515,MATCH(LARGE('Calc (scoring engine)'!$K$5:$K$515,1),'Calc (scoring engine)'!$K$5:$K$515,0))="","—",INDEX(Database!$BC$5:$BC$515,MATCH(LARGE('Calc (scoring engine)'!$K$5:$K$515,1),'Calc (scoring engine)'!$K$5:$K$515,0))),""))</f>
        <v/>
      </c>
      <c r="AX21" s="42">
        <f>IF(OR(1&gt;MAX(3,MIN(15,N($D$18))),IFERROR(LARGE('Calc (scoring engine)'!$K$5:$K$515,1),-999999)&lt;=-900000),"",IFERROR(IF(INDEX(Database!$BD$5:$BD$515,MATCH(LARGE('Calc (scoring engine)'!$K$5:$K$515,1),'Calc (scoring engine)'!$K$5:$K$515,0))="","—",INDEX(Database!$BD$5:$BD$515,MATCH(LARGE('Calc (scoring engine)'!$K$5:$K$515,1),'Calc (scoring engine)'!$K$5:$K$515,0))),""))</f>
        <v/>
      </c>
      <c r="AY21" s="24">
        <f>IF(OR(1&gt;MAX(3,MIN(15,N($D$18))),IFERROR(LARGE('Calc (scoring engine)'!$K$5:$K$515,1),-999999)&lt;=-900000),"",IFERROR(IF(INDEX(Database!$BE$5:$BE$515,MATCH(LARGE('Calc (scoring engine)'!$K$5:$K$515,1),'Calc (scoring engine)'!$K$5:$K$515,0))="","—",INDEX(Database!$BE$5:$BE$515,MATCH(LARGE('Calc (scoring engine)'!$K$5:$K$515,1),'Calc (scoring engine)'!$K$5:$K$515,0))),""))</f>
        <v/>
      </c>
      <c r="AZ21" s="24">
        <f>IF(OR(1&gt;MAX(3,MIN(15,N($D$18))),IFERROR(LARGE('Calc (scoring engine)'!$K$5:$K$515,1),-999999)&lt;=-900000),"",IFERROR(IF(INDEX(Database!$BF$5:$BF$515,MATCH(LARGE('Calc (scoring engine)'!$K$5:$K$515,1),'Calc (scoring engine)'!$K$5:$K$515,0))="","—",INDEX(Database!$BF$5:$BF$515,MATCH(LARGE('Calc (scoring engine)'!$K$5:$K$515,1),'Calc (scoring engine)'!$K$5:$K$515,0))),""))</f>
        <v/>
      </c>
      <c r="BA21" s="10">
        <f>IF(OR(1&gt;MAX(3,MIN(15,N($D$18))),IFERROR(LARGE('Calc (scoring engine)'!$K$5:$K$515,1),-999999)&lt;=-900000),"",IFERROR(IF(INDEX(Database!$BG$5:$BG$515,MATCH(LARGE('Calc (scoring engine)'!$K$5:$K$515,1),'Calc (scoring engine)'!$K$5:$K$515,0))="","—",INDEX(Database!$BG$5:$BG$515,MATCH(LARGE('Calc (scoring engine)'!$K$5:$K$515,1),'Calc (scoring engine)'!$K$5:$K$515,0))),""))</f>
        <v/>
      </c>
      <c r="BB21" s="10">
        <f>IF(OR(1&gt;MAX(3,MIN(15,N($D$18))),IFERROR(LARGE('Calc (scoring engine)'!$K$5:$K$515,1),-999999)&lt;=-900000),"",IFERROR(IF(INDEX(Database!$BI$5:$BI$515,MATCH(LARGE('Calc (scoring engine)'!$K$5:$K$515,1),'Calc (scoring engine)'!$K$5:$K$515,0))="","—",INDEX(Database!$BI$5:$BI$515,MATCH(LARGE('Calc (scoring engine)'!$K$5:$K$515,1),'Calc (scoring engine)'!$K$5:$K$515,0))),""))</f>
        <v/>
      </c>
      <c r="BC21" s="24">
        <f>IF(OR(1&gt;MAX(3,MIN(15,N($D$18))),IFERROR(LARGE('Calc (scoring engine)'!$K$5:$K$515,1),-999999)&lt;=-900000),"",IFERROR(IFERROR(BDP(TEXT(INDEX(Database!$A$5:$A$515,MATCH(LARGE('Calc (scoring engine)'!$K$5:$K$515,1),'Calc (scoring engine)'!$K$5:$K$515,0)),"0")&amp;" HK Equity","PE_RATIO"),IF(INDEX(Database!$AX$5:$AX$515,MATCH(LARGE('Calc (scoring engine)'!$K$5:$K$515,1),'Calc (scoring engine)'!$K$5:$K$515,0))="","—",INDEX(Database!$AX$5:$AX$515,MATCH(LARGE('Calc (scoring engine)'!$K$5:$K$515,1),'Calc (scoring engine)'!$K$5:$K$515,0)))),""))</f>
        <v/>
      </c>
      <c r="BD21" s="24">
        <f>IF(OR(1&gt;MAX(3,MIN(15,N($D$18))),IFERROR(LARGE('Calc (scoring engine)'!$K$5:$K$515,1),-999999)&lt;=-900000),"",IFERROR(IFERROR(BDP(TEXT(INDEX(Database!$A$5:$A$515,MATCH(LARGE('Calc (scoring engine)'!$K$5:$K$515,1),'Calc (scoring engine)'!$K$5:$K$515,0)),"0")&amp;" HK Equity","PX_TO_SALES_RATIO"),IF(INDEX(Database!$AY$5:$AY$515,MATCH(LARGE('Calc (scoring engine)'!$K$5:$K$515,1),'Calc (scoring engine)'!$K$5:$K$515,0))="","—",INDEX(Database!$AY$5:$AY$515,MATCH(LARGE('Calc (scoring engine)'!$K$5:$K$515,1),'Calc (scoring engine)'!$K$5:$K$515,0)))),""))</f>
        <v/>
      </c>
      <c r="BE21" s="43">
        <f>IF(OR(1&gt;MAX(3,MIN(15,N($D$18))),IFERROR(LARGE('Calc (scoring engine)'!$K$5:$K$515,1),-999999)&lt;=-900000),"",IFERROR(IF(INDEX('Calc (scoring engine)'!$H$5:$H$515,MATCH(LARGE('Calc (scoring engine)'!$K$5:$K$515,1),'Calc (scoring engine)'!$K$5:$K$515,0))&gt;0,INDEX('Calc (scoring engine)'!$H$5:$H$515,MATCH(LARGE('Calc (scoring engine)'!$K$5:$K$515,1),'Calc (scoring engine)'!$K$5:$K$515,0)),""),""))</f>
        <v/>
      </c>
      <c r="BF21" s="10">
        <f>IF(OR(1&gt;MAX(3,MIN(15,N($D$18))),IFERROR(LARGE('Calc (scoring engine)'!$K$5:$K$515,1),-999999)&lt;=-900000),"",IF(IFERROR(INDEX('Calc (scoring engine)'!$B$5:$B$515,MATCH(LARGE('Calc (scoring engine)'!$K$5:$K$515,1),'Calc (scoring engine)'!$K$5:$K$515,0)),0)=1,"same subsector","sector only"))</f>
        <v/>
      </c>
      <c r="BG21" s="43">
        <f>IF(OR(1&gt;MAX(3,MIN(15,N($D$18))),IFERROR(LARGE('Calc (scoring engine)'!$K$5:$K$515,1),-999999)&lt;=-900000),"",ROUND(IFERROR(LARGE('Calc (scoring engine)'!$K$5:$K$515,1),0),0))</f>
        <v/>
      </c>
      <c r="BH21" s="10">
        <f>IF(OR(1&gt;MAX(3,MIN(15,N($D$18))),IFERROR(LARGE('Calc (scoring engine)'!$K$5:$K$515,1),-999999)&lt;=-900000),"",IFERROR("sub "&amp;INDEX('Calc (scoring engine)'!$B$5:$B$515,MATCH(LARGE('Calc (scoring engine)'!$K$5:$K$515,1),'Calc (scoring engine)'!$K$5:$K$515,0))*W_SUB&amp;" + size "&amp;ROUND(INDEX('Calc (scoring engine)'!$D$5:$D$515,MATCH(LARGE('Calc (scoring engine)'!$K$5:$K$515,1),'Calc (scoring engine)'!$K$5:$K$515,0))*W_SIZE,0)&amp;" + prof "&amp;INDEX('Calc (scoring engine)'!$E$5:$E$515,MATCH(LARGE('Calc (scoring engine)'!$K$5:$K$515,1),'Calc (scoring engine)'!$K$5:$K$515,0))*W_PROF&amp;" + recency "&amp;ROUND(INDEX('Calc (scoring engine)'!$G$5:$G$515,MATCH(LARGE('Calc (scoring engine)'!$K$5:$K$515,1),'Calc (scoring engine)'!$K$5:$K$515,0))*W_REC,0)&amp;IF(INDEX('Calc (scoring engine)'!$H$5:$H$515,MATCH(LARGE('Calc (scoring engine)'!$K$5:$K$515,1),'Calc (scoring engine)'!$K$5:$K$515,0))&gt;0," + shared CS x"&amp;INDEX('Calc (scoring engine)'!$H$5:$H$515,MATCH(LARGE('Calc (scoring engine)'!$K$5:$K$515,1),'Calc (scoring engine)'!$K$5:$K$515,0)),""),""))</f>
        <v/>
      </c>
    </row>
    <row r="22">
      <c r="A22" s="38">
        <f>IF(OR(2&gt;MAX(3,MIN(15,N($D$18))),IFERROR(LARGE('Calc (scoring engine)'!$K$5:$K$515,2),-999999)&lt;=-900000),"",2)</f>
        <v/>
      </c>
      <c r="B22" s="10">
        <f>IF(OR(2&gt;MAX(3,MIN(15,N($D$18))),IFERROR(LARGE('Calc (scoring engine)'!$K$5:$K$515,2),-999999)&lt;=-900000),"",IFERROR(IF(INDEX(Database!$B$5:$B$515,MATCH(LARGE('Calc (scoring engine)'!$K$5:$K$515,2),'Calc (scoring engine)'!$K$5:$K$515,0))="","—",INDEX(Database!$B$5:$B$515,MATCH(LARGE('Calc (scoring engine)'!$K$5:$K$515,2),'Calc (scoring engine)'!$K$5:$K$515,0))),""))</f>
        <v/>
      </c>
      <c r="C22" s="10">
        <f>IF(OR(2&gt;MAX(3,MIN(15,N($D$18))),IFERROR(LARGE('Calc (scoring engine)'!$K$5:$K$515,2),-999999)&lt;=-900000),"",IFERROR(IF(INDEX(Database!$D$5:$D$515,MATCH(LARGE('Calc (scoring engine)'!$K$5:$K$515,2),'Calc (scoring engine)'!$K$5:$K$515,0))="","—",INDEX(Database!$D$5:$D$515,MATCH(LARGE('Calc (scoring engine)'!$K$5:$K$515,2),'Calc (scoring engine)'!$K$5:$K$515,0))),""))</f>
        <v/>
      </c>
      <c r="D22" s="10">
        <f>IF(OR(2&gt;MAX(3,MIN(15,N($D$18))),IFERROR(LARGE('Calc (scoring engine)'!$K$5:$K$515,2),-999999)&lt;=-900000),"",IFERROR(IF(INDEX(Database!$E$5:$E$515,MATCH(LARGE('Calc (scoring engine)'!$K$5:$K$515,2),'Calc (scoring engine)'!$K$5:$K$515,0))="","—",INDEX(Database!$E$5:$E$515,MATCH(LARGE('Calc (scoring engine)'!$K$5:$K$515,2),'Calc (scoring engine)'!$K$5:$K$515,0))),""))</f>
        <v/>
      </c>
      <c r="E22" s="10">
        <f>IF(OR(2&gt;MAX(3,MIN(15,N($D$18))),IFERROR(LARGE('Calc (scoring engine)'!$K$5:$K$515,2),-999999)&lt;=-900000),"",IFERROR(IF(INDEX(Database!$F$5:$F$515,MATCH(LARGE('Calc (scoring engine)'!$K$5:$K$515,2),'Calc (scoring engine)'!$K$5:$K$515,0))="","—",INDEX(Database!$F$5:$F$515,MATCH(LARGE('Calc (scoring engine)'!$K$5:$K$515,2),'Calc (scoring engine)'!$K$5:$K$515,0))),""))</f>
        <v/>
      </c>
      <c r="F22" s="10">
        <f>IF(OR(2&gt;MAX(3,MIN(15,N($D$18))),IFERROR(LARGE('Calc (scoring engine)'!$K$5:$K$515,2),-999999)&lt;=-900000),"",IFERROR(IF(INDEX(Database!$G$5:$G$515,MATCH(LARGE('Calc (scoring engine)'!$K$5:$K$515,2),'Calc (scoring engine)'!$K$5:$K$515,0))="","—",INDEX(Database!$G$5:$G$515,MATCH(LARGE('Calc (scoring engine)'!$K$5:$K$515,2),'Calc (scoring engine)'!$K$5:$K$515,0))),""))</f>
        <v/>
      </c>
      <c r="G22" s="21">
        <f>IF(OR(2&gt;MAX(3,MIN(15,N($D$18))),IFERROR(LARGE('Calc (scoring engine)'!$K$5:$K$515,2),-999999)&lt;=-900000),"",IFERROR(IF(INDEX(Database!$H$5:$H$515,MATCH(LARGE('Calc (scoring engine)'!$K$5:$K$515,2),'Calc (scoring engine)'!$K$5:$K$515,0))="","—",INDEX(Database!$H$5:$H$515,MATCH(LARGE('Calc (scoring engine)'!$K$5:$K$515,2),'Calc (scoring engine)'!$K$5:$K$515,0))),""))</f>
        <v/>
      </c>
      <c r="H22" s="18">
        <f>IF(OR(2&gt;MAX(3,MIN(15,N($D$18))),IFERROR(LARGE('Calc (scoring engine)'!$K$5:$K$515,2),-999999)&lt;=-900000),"",IFERROR(IF(INDEX(Database!$I$5:$I$515,MATCH(LARGE('Calc (scoring engine)'!$K$5:$K$515,2),'Calc (scoring engine)'!$K$5:$K$515,0))="","—",INDEX(Database!$I$5:$I$515,MATCH(LARGE('Calc (scoring engine)'!$K$5:$K$515,2),'Calc (scoring engine)'!$K$5:$K$515,0))),""))</f>
        <v/>
      </c>
      <c r="I22" s="39">
        <f>IF(OR(2&gt;MAX(3,MIN(15,N($D$18))),IFERROR(LARGE('Calc (scoring engine)'!$K$5:$K$515,2),-999999)&lt;=-900000),"",IFERROR(IF(INDEX(Database!$K$5:$K$515,MATCH(LARGE('Calc (scoring engine)'!$K$5:$K$515,2),'Calc (scoring engine)'!$K$5:$K$515,0))="","—",INDEX(Database!$K$5:$K$515,MATCH(LARGE('Calc (scoring engine)'!$K$5:$K$515,2),'Calc (scoring engine)'!$K$5:$K$515,0))),""))</f>
        <v/>
      </c>
      <c r="J22" s="39">
        <f>IF(OR(2&gt;MAX(3,MIN(15,N($D$18))),IFERROR(LARGE('Calc (scoring engine)'!$K$5:$K$515,2),-999999)&lt;=-900000),"",IFERROR(IF(INDEX(Database!$L$5:$L$515,MATCH(LARGE('Calc (scoring engine)'!$K$5:$K$515,2),'Calc (scoring engine)'!$K$5:$K$515,0))="","—",INDEX(Database!$L$5:$L$515,MATCH(LARGE('Calc (scoring engine)'!$K$5:$K$515,2),'Calc (scoring engine)'!$K$5:$K$515,0))),""))</f>
        <v/>
      </c>
      <c r="K22" s="39">
        <f>IF(OR(2&gt;MAX(3,MIN(15,N($D$18))),IFERROR(LARGE('Calc (scoring engine)'!$K$5:$K$515,2),-999999)&lt;=-900000),"",IFERROR(IF(INDEX(Database!$M$5:$M$515,MATCH(LARGE('Calc (scoring engine)'!$K$5:$K$515,2),'Calc (scoring engine)'!$K$5:$K$515,0))="","—",INDEX(Database!$M$5:$M$515,MATCH(LARGE('Calc (scoring engine)'!$K$5:$K$515,2),'Calc (scoring engine)'!$K$5:$K$515,0))),""))</f>
        <v/>
      </c>
      <c r="L22" s="10">
        <f>IF(OR(2&gt;MAX(3,MIN(15,N($D$18))),IFERROR(LARGE('Calc (scoring engine)'!$K$5:$K$515,2),-999999)&lt;=-900000),"",IFERROR(IF(INDEX(Database!$N$5:$N$515,MATCH(LARGE('Calc (scoring engine)'!$K$5:$K$515,2),'Calc (scoring engine)'!$K$5:$K$515,0))="","—",INDEX(Database!$N$5:$N$515,MATCH(LARGE('Calc (scoring engine)'!$K$5:$K$515,2),'Calc (scoring engine)'!$K$5:$K$515,0))),""))</f>
        <v/>
      </c>
      <c r="M22" s="28">
        <f>IF(OR(2&gt;MAX(3,MIN(15,N($D$18))),IFERROR(LARGE('Calc (scoring engine)'!$K$5:$K$515,2),-999999)&lt;=-900000),"",IFERROR(IF(INDEX(Database!$O$5:$O$515,MATCH(LARGE('Calc (scoring engine)'!$K$5:$K$515,2),'Calc (scoring engine)'!$K$5:$K$515,0))="","—",INDEX(Database!$O$5:$O$515,MATCH(LARGE('Calc (scoring engine)'!$K$5:$K$515,2),'Calc (scoring engine)'!$K$5:$K$515,0))),""))</f>
        <v/>
      </c>
      <c r="N22" s="28">
        <f>IF(OR(2&gt;MAX(3,MIN(15,N($D$18))),IFERROR(LARGE('Calc (scoring engine)'!$K$5:$K$515,2),-999999)&lt;=-900000),"",IFERROR(IF(INDEX(Database!$P$5:$P$515,MATCH(LARGE('Calc (scoring engine)'!$K$5:$K$515,2),'Calc (scoring engine)'!$K$5:$K$515,0))="","—",INDEX(Database!$P$5:$P$515,MATCH(LARGE('Calc (scoring engine)'!$K$5:$K$515,2),'Calc (scoring engine)'!$K$5:$K$515,0))),""))</f>
        <v/>
      </c>
      <c r="O22" s="18">
        <f>IF(OR(2&gt;MAX(3,MIN(15,N($D$18))),IFERROR(LARGE('Calc (scoring engine)'!$K$5:$K$515,2),-999999)&lt;=-900000),"",IFERROR(IF(INDEX(Database!$Q$5:$Q$515,MATCH(LARGE('Calc (scoring engine)'!$K$5:$K$515,2),'Calc (scoring engine)'!$K$5:$K$515,0))="","—",INDEX(Database!$Q$5:$Q$515,MATCH(LARGE('Calc (scoring engine)'!$K$5:$K$515,2),'Calc (scoring engine)'!$K$5:$K$515,0))),""))</f>
        <v/>
      </c>
      <c r="P22" s="26">
        <f>IF(OR(2&gt;MAX(3,MIN(15,N($D$18))),IFERROR(LARGE('Calc (scoring engine)'!$K$5:$K$515,2),-999999)&lt;=-900000),"",IFERROR(IF(INDEX(Database!$S$5:$S$515,MATCH(LARGE('Calc (scoring engine)'!$K$5:$K$515,2),'Calc (scoring engine)'!$K$5:$K$515,0))="","—",INDEX(Database!$S$5:$S$515,MATCH(LARGE('Calc (scoring engine)'!$K$5:$K$515,2),'Calc (scoring engine)'!$K$5:$K$515,0))),""))</f>
        <v/>
      </c>
      <c r="Q22" s="40">
        <f>IF(OR(2&gt;MAX(3,MIN(15,N($D$18))),IFERROR(LARGE('Calc (scoring engine)'!$K$5:$K$515,2),-999999)&lt;=-900000),"",IFERROR(IF(INDEX(Database!$T$5:$T$515,MATCH(LARGE('Calc (scoring engine)'!$K$5:$K$515,2),'Calc (scoring engine)'!$K$5:$K$515,0))="","—",INDEX(Database!$T$5:$T$515,MATCH(LARGE('Calc (scoring engine)'!$K$5:$K$515,2),'Calc (scoring engine)'!$K$5:$K$515,0))),""))</f>
        <v/>
      </c>
      <c r="R22" s="41">
        <f>IF(OR(2&gt;MAX(3,MIN(15,N($D$18))),IFERROR(LARGE('Calc (scoring engine)'!$K$5:$K$515,2),-999999)&lt;=-900000),"",IFERROR(IF(INDEX(Database!$U$5:$U$515,MATCH(LARGE('Calc (scoring engine)'!$K$5:$K$515,2),'Calc (scoring engine)'!$K$5:$K$515,0))="","—",INDEX(Database!$U$5:$U$515,MATCH(LARGE('Calc (scoring engine)'!$K$5:$K$515,2),'Calc (scoring engine)'!$K$5:$K$515,0))),""))</f>
        <v/>
      </c>
      <c r="S22" s="28">
        <f>IF(OR(2&gt;MAX(3,MIN(15,N($D$18))),IFERROR(LARGE('Calc (scoring engine)'!$K$5:$K$515,2),-999999)&lt;=-900000),"",IFERROR(IF(INDEX(Database!$V$5:$V$515,MATCH(LARGE('Calc (scoring engine)'!$K$5:$K$515,2),'Calc (scoring engine)'!$K$5:$K$515,0))="","—",INDEX(Database!$V$5:$V$515,MATCH(LARGE('Calc (scoring engine)'!$K$5:$K$515,2),'Calc (scoring engine)'!$K$5:$K$515,0))),""))</f>
        <v/>
      </c>
      <c r="T22" s="10">
        <f>IF(OR(2&gt;MAX(3,MIN(15,N($D$18))),IFERROR(LARGE('Calc (scoring engine)'!$K$5:$K$515,2),-999999)&lt;=-900000),"",IFERROR(IF(INDEX(Database!$W$5:$W$515,MATCH(LARGE('Calc (scoring engine)'!$K$5:$K$515,2),'Calc (scoring engine)'!$K$5:$K$515,0))="","—",INDEX(Database!$W$5:$W$515,MATCH(LARGE('Calc (scoring engine)'!$K$5:$K$515,2),'Calc (scoring engine)'!$K$5:$K$515,0))),""))</f>
        <v/>
      </c>
      <c r="U22" s="28">
        <f>IF(OR(2&gt;MAX(3,MIN(15,N($D$18))),IFERROR(LARGE('Calc (scoring engine)'!$K$5:$K$515,2),-999999)&lt;=-900000),"",IFERROR(IF(INDEX(Database!$Y$5:$Y$515,MATCH(LARGE('Calc (scoring engine)'!$K$5:$K$515,2),'Calc (scoring engine)'!$K$5:$K$515,0))="","—",INDEX(Database!$Y$5:$Y$515,MATCH(LARGE('Calc (scoring engine)'!$K$5:$K$515,2),'Calc (scoring engine)'!$K$5:$K$515,0))),""))</f>
        <v/>
      </c>
      <c r="V22" s="10">
        <f>IF(OR(2&gt;MAX(3,MIN(15,N($D$18))),IFERROR(LARGE('Calc (scoring engine)'!$K$5:$K$515,2),-999999)&lt;=-900000),"",IFERROR(IF(INDEX(Database!$Z$5:$Z$515,MATCH(LARGE('Calc (scoring engine)'!$K$5:$K$515,2),'Calc (scoring engine)'!$K$5:$K$515,0))="","—",INDEX(Database!$Z$5:$Z$515,MATCH(LARGE('Calc (scoring engine)'!$K$5:$K$515,2),'Calc (scoring engine)'!$K$5:$K$515,0))),""))</f>
        <v/>
      </c>
      <c r="W22" s="23">
        <f>IF(OR(2&gt;MAX(3,MIN(15,N($D$18))),IFERROR(LARGE('Calc (scoring engine)'!$K$5:$K$515,2),-999999)&lt;=-900000),"",IFERROR(IF(INDEX(Database!$AA$5:$AA$515,MATCH(LARGE('Calc (scoring engine)'!$K$5:$K$515,2),'Calc (scoring engine)'!$K$5:$K$515,0))="","—",INDEX(Database!$AA$5:$AA$515,MATCH(LARGE('Calc (scoring engine)'!$K$5:$K$515,2),'Calc (scoring engine)'!$K$5:$K$515,0))),""))</f>
        <v/>
      </c>
      <c r="X22" s="23">
        <f>IF(OR(2&gt;MAX(3,MIN(15,N($D$18))),IFERROR(LARGE('Calc (scoring engine)'!$K$5:$K$515,2),-999999)&lt;=-900000),"",IFERROR(IF(INDEX(Database!$AB$5:$AB$515,MATCH(LARGE('Calc (scoring engine)'!$K$5:$K$515,2),'Calc (scoring engine)'!$K$5:$K$515,0))="","—",INDEX(Database!$AB$5:$AB$515,MATCH(LARGE('Calc (scoring engine)'!$K$5:$K$515,2),'Calc (scoring engine)'!$K$5:$K$515,0))),""))</f>
        <v/>
      </c>
      <c r="Y22" s="23">
        <f>IF(OR(2&gt;MAX(3,MIN(15,N($D$18))),IFERROR(LARGE('Calc (scoring engine)'!$K$5:$K$515,2),-999999)&lt;=-900000),"",IFERROR(IF(INDEX(Database!$AC$5:$AC$515,MATCH(LARGE('Calc (scoring engine)'!$K$5:$K$515,2),'Calc (scoring engine)'!$K$5:$K$515,0))="","—",INDEX(Database!$AC$5:$AC$515,MATCH(LARGE('Calc (scoring engine)'!$K$5:$K$515,2),'Calc (scoring engine)'!$K$5:$K$515,0))),""))</f>
        <v/>
      </c>
      <c r="Z22" s="23">
        <f>IF(OR(2&gt;MAX(3,MIN(15,N($D$18))),IFERROR(LARGE('Calc (scoring engine)'!$K$5:$K$515,2),-999999)&lt;=-900000),"",IFERROR(IF(INDEX(Database!$AD$5:$AD$515,MATCH(LARGE('Calc (scoring engine)'!$K$5:$K$515,2),'Calc (scoring engine)'!$K$5:$K$515,0))="","—",INDEX(Database!$AD$5:$AD$515,MATCH(LARGE('Calc (scoring engine)'!$K$5:$K$515,2),'Calc (scoring engine)'!$K$5:$K$515,0))),""))</f>
        <v/>
      </c>
      <c r="AA22" s="23">
        <f>IF(OR(2&gt;MAX(3,MIN(15,N($D$18))),IFERROR(LARGE('Calc (scoring engine)'!$K$5:$K$515,2),-999999)&lt;=-900000),"",IFERROR(IF(INDEX(Database!$AE$5:$AE$515,MATCH(LARGE('Calc (scoring engine)'!$K$5:$K$515,2),'Calc (scoring engine)'!$K$5:$K$515,0))="","—",INDEX(Database!$AE$5:$AE$515,MATCH(LARGE('Calc (scoring engine)'!$K$5:$K$515,2),'Calc (scoring engine)'!$K$5:$K$515,0))),""))</f>
        <v/>
      </c>
      <c r="AB22" s="23">
        <f>IF(OR(2&gt;MAX(3,MIN(15,N($D$18))),IFERROR(LARGE('Calc (scoring engine)'!$K$5:$K$515,2),-999999)&lt;=-900000),"",IFERROR(IF(INDEX(Database!$AF$5:$AF$515,MATCH(LARGE('Calc (scoring engine)'!$K$5:$K$515,2),'Calc (scoring engine)'!$K$5:$K$515,0))="","—",INDEX(Database!$AF$5:$AF$515,MATCH(LARGE('Calc (scoring engine)'!$K$5:$K$515,2),'Calc (scoring engine)'!$K$5:$K$515,0))),""))</f>
        <v/>
      </c>
      <c r="AC22" s="23">
        <f>IF(OR(2&gt;MAX(3,MIN(15,N($D$18))),IFERROR(LARGE('Calc (scoring engine)'!$K$5:$K$515,2),-999999)&lt;=-900000),"",IFERROR(IF(INDEX(Database!$AG$5:$AG$515,MATCH(LARGE('Calc (scoring engine)'!$K$5:$K$515,2),'Calc (scoring engine)'!$K$5:$K$515,0))="","—",INDEX(Database!$AG$5:$AG$515,MATCH(LARGE('Calc (scoring engine)'!$K$5:$K$515,2),'Calc (scoring engine)'!$K$5:$K$515,0))),""))</f>
        <v/>
      </c>
      <c r="AD22" s="23">
        <f>IF(OR(2&gt;MAX(3,MIN(15,N($D$18))),IFERROR(LARGE('Calc (scoring engine)'!$K$5:$K$515,2),-999999)&lt;=-900000),"",IFERROR(IF(INDEX(Database!$AH$5:$AH$515,MATCH(LARGE('Calc (scoring engine)'!$K$5:$K$515,2),'Calc (scoring engine)'!$K$5:$K$515,0))="","—",INDEX(Database!$AH$5:$AH$515,MATCH(LARGE('Calc (scoring engine)'!$K$5:$K$515,2),'Calc (scoring engine)'!$K$5:$K$515,0))),""))</f>
        <v/>
      </c>
      <c r="AE22" s="23">
        <f>IF(OR(2&gt;MAX(3,MIN(15,N($D$18))),IFERROR(LARGE('Calc (scoring engine)'!$K$5:$K$515,2),-999999)&lt;=-900000),"",IFERROR(IF(INDEX(Database!$AI$5:$AI$515,MATCH(LARGE('Calc (scoring engine)'!$K$5:$K$515,2),'Calc (scoring engine)'!$K$5:$K$515,0))="","—",INDEX(Database!$AI$5:$AI$515,MATCH(LARGE('Calc (scoring engine)'!$K$5:$K$515,2),'Calc (scoring engine)'!$K$5:$K$515,0))),""))</f>
        <v/>
      </c>
      <c r="AF22" s="23">
        <f>IF(OR(2&gt;MAX(3,MIN(15,N($D$18))),IFERROR(LARGE('Calc (scoring engine)'!$K$5:$K$515,2),-999999)&lt;=-900000),"",IFERROR(IF(INDEX(Database!$AJ$5:$AJ$515,MATCH(LARGE('Calc (scoring engine)'!$K$5:$K$515,2),'Calc (scoring engine)'!$K$5:$K$515,0))="","—",INDEX(Database!$AJ$5:$AJ$515,MATCH(LARGE('Calc (scoring engine)'!$K$5:$K$515,2),'Calc (scoring engine)'!$K$5:$K$515,0))),""))</f>
        <v/>
      </c>
      <c r="AG22" s="23">
        <f>IF(OR(2&gt;MAX(3,MIN(15,N($D$18))),IFERROR(LARGE('Calc (scoring engine)'!$K$5:$K$515,2),-999999)&lt;=-900000),"",IFERROR(IF(INDEX(Database!$AK$5:$AK$515,MATCH(LARGE('Calc (scoring engine)'!$K$5:$K$515,2),'Calc (scoring engine)'!$K$5:$K$515,0))="","—",INDEX(Database!$AK$5:$AK$515,MATCH(LARGE('Calc (scoring engine)'!$K$5:$K$515,2),'Calc (scoring engine)'!$K$5:$K$515,0))),""))</f>
        <v/>
      </c>
      <c r="AH22" s="23">
        <f>IF(OR(2&gt;MAX(3,MIN(15,N($D$18))),IFERROR(LARGE('Calc (scoring engine)'!$K$5:$K$515,2),-999999)&lt;=-900000),"",IFERROR(IF(INDEX(Database!$AL$5:$AL$515,MATCH(LARGE('Calc (scoring engine)'!$K$5:$K$515,2),'Calc (scoring engine)'!$K$5:$K$515,0))="","—",INDEX(Database!$AL$5:$AL$515,MATCH(LARGE('Calc (scoring engine)'!$K$5:$K$515,2),'Calc (scoring engine)'!$K$5:$K$515,0))),""))</f>
        <v/>
      </c>
      <c r="AI22" s="23">
        <f>IF(OR(2&gt;MAX(3,MIN(15,N($D$18))),IFERROR(LARGE('Calc (scoring engine)'!$K$5:$K$515,2),-999999)&lt;=-900000),"",IFERROR(IF(INDEX(Database!$AM$5:$AM$515,MATCH(LARGE('Calc (scoring engine)'!$K$5:$K$515,2),'Calc (scoring engine)'!$K$5:$K$515,0))="","—",INDEX(Database!$AM$5:$AM$515,MATCH(LARGE('Calc (scoring engine)'!$K$5:$K$515,2),'Calc (scoring engine)'!$K$5:$K$515,0))),""))</f>
        <v/>
      </c>
      <c r="AJ22" s="23">
        <f>IF(OR(2&gt;MAX(3,MIN(15,N($D$18))),IFERROR(LARGE('Calc (scoring engine)'!$K$5:$K$515,2),-999999)&lt;=-900000),"",IFERROR(IF(INDEX(Database!$AN$5:$AN$515,MATCH(LARGE('Calc (scoring engine)'!$K$5:$K$515,2),'Calc (scoring engine)'!$K$5:$K$515,0))="","—",INDEX(Database!$AN$5:$AN$515,MATCH(LARGE('Calc (scoring engine)'!$K$5:$K$515,2),'Calc (scoring engine)'!$K$5:$K$515,0))),""))</f>
        <v/>
      </c>
      <c r="AK22" s="23">
        <f>IF(OR(2&gt;MAX(3,MIN(15,N($D$18))),IFERROR(LARGE('Calc (scoring engine)'!$K$5:$K$515,2),-999999)&lt;=-900000),"",IFERROR(IF(INDEX(Database!$AO$5:$AO$515,MATCH(LARGE('Calc (scoring engine)'!$K$5:$K$515,2),'Calc (scoring engine)'!$K$5:$K$515,0))="","—",INDEX(Database!$AO$5:$AO$515,MATCH(LARGE('Calc (scoring engine)'!$K$5:$K$515,2),'Calc (scoring engine)'!$K$5:$K$515,0))),""))</f>
        <v/>
      </c>
      <c r="AL22" s="23">
        <f>IF(OR(2&gt;MAX(3,MIN(15,N($D$18))),IFERROR(LARGE('Calc (scoring engine)'!$K$5:$K$515,2),-999999)&lt;=-900000),"",IFERROR(IF(INDEX(Database!$AQ$5:$AQ$515,MATCH(LARGE('Calc (scoring engine)'!$K$5:$K$515,2),'Calc (scoring engine)'!$K$5:$K$515,0))="","—",INDEX(Database!$AQ$5:$AQ$515,MATCH(LARGE('Calc (scoring engine)'!$K$5:$K$515,2),'Calc (scoring engine)'!$K$5:$K$515,0))),""))</f>
        <v/>
      </c>
      <c r="AM22" s="18">
        <f>IF(OR(2&gt;MAX(3,MIN(15,N($D$18))),IFERROR(LARGE('Calc (scoring engine)'!$K$5:$K$515,2),-999999)&lt;=-900000),"",IFERROR(IF(INDEX(Database!$AS$5:$AS$515,MATCH(LARGE('Calc (scoring engine)'!$K$5:$K$515,2),'Calc (scoring engine)'!$K$5:$K$515,0))="","—",INDEX(Database!$AS$5:$AS$515,MATCH(LARGE('Calc (scoring engine)'!$K$5:$K$515,2),'Calc (scoring engine)'!$K$5:$K$515,0))),""))</f>
        <v/>
      </c>
      <c r="AN22" s="18">
        <f>IF(OR(2&gt;MAX(3,MIN(15,N($D$18))),IFERROR(LARGE('Calc (scoring engine)'!$K$5:$K$515,2),-999999)&lt;=-900000),"",IFERROR(IF(INDEX(Database!$AT$5:$AT$515,MATCH(LARGE('Calc (scoring engine)'!$K$5:$K$515,2),'Calc (scoring engine)'!$K$5:$K$515,0))="","—",INDEX(Database!$AT$5:$AT$515,MATCH(LARGE('Calc (scoring engine)'!$K$5:$K$515,2),'Calc (scoring engine)'!$K$5:$K$515,0))),""))</f>
        <v/>
      </c>
      <c r="AO22" s="10">
        <f>IF(OR(2&gt;MAX(3,MIN(15,N($D$18))),IFERROR(LARGE('Calc (scoring engine)'!$K$5:$K$515,2),-999999)&lt;=-900000),"",IFERROR(IF(INDEX(Database!$AU$5:$AU$515,MATCH(LARGE('Calc (scoring engine)'!$K$5:$K$515,2),'Calc (scoring engine)'!$K$5:$K$515,0))="","—",INDEX(Database!$AU$5:$AU$515,MATCH(LARGE('Calc (scoring engine)'!$K$5:$K$515,2),'Calc (scoring engine)'!$K$5:$K$515,0))),""))</f>
        <v/>
      </c>
      <c r="AP22" s="24">
        <f>IF(OR(2&gt;MAX(3,MIN(15,N($D$18))),IFERROR(LARGE('Calc (scoring engine)'!$K$5:$K$515,2),-999999)&lt;=-900000),"",IFERROR(IF(N(INDEX(Database!$AV$5:$AV$515,MATCH(LARGE('Calc (scoring engine)'!$K$5:$K$515,2),'Calc (scoring engine)'!$K$5:$K$515,0)))&lt;=0,IF(INDEX(Database!$AU$5:$AU$515,MATCH(LARGE('Calc (scoring engine)'!$K$5:$K$515,2),'Calc (scoring engine)'!$K$5:$K$515,0))="N","n/m","—"),INDEX(Database!$AV$5:$AV$515,MATCH(LARGE('Calc (scoring engine)'!$K$5:$K$515,2),'Calc (scoring engine)'!$K$5:$K$515,0))),""))</f>
        <v/>
      </c>
      <c r="AQ22" s="24">
        <f>IF(OR(2&gt;MAX(3,MIN(15,N($D$18))),IFERROR(LARGE('Calc (scoring engine)'!$K$5:$K$515,2),-999999)&lt;=-900000),"",IFERROR(IF(INDEX(Database!$AW$5:$AW$515,MATCH(LARGE('Calc (scoring engine)'!$K$5:$K$515,2),'Calc (scoring engine)'!$K$5:$K$515,0))="","—",INDEX(Database!$AW$5:$AW$515,MATCH(LARGE('Calc (scoring engine)'!$K$5:$K$515,2),'Calc (scoring engine)'!$K$5:$K$515,0))),""))</f>
        <v/>
      </c>
      <c r="AR22" s="24">
        <f>IF(OR(2&gt;MAX(3,MIN(15,N($D$18))),IFERROR(LARGE('Calc (scoring engine)'!$K$5:$K$515,2),-999999)&lt;=-900000),"",IFERROR(IF(INDEX(Database!$AX$5:$AX$515,MATCH(LARGE('Calc (scoring engine)'!$K$5:$K$515,2),'Calc (scoring engine)'!$K$5:$K$515,0))="","—",INDEX(Database!$AX$5:$AX$515,MATCH(LARGE('Calc (scoring engine)'!$K$5:$K$515,2),'Calc (scoring engine)'!$K$5:$K$515,0))),""))</f>
        <v/>
      </c>
      <c r="AS22" s="24">
        <f>IF(OR(2&gt;MAX(3,MIN(15,N($D$18))),IFERROR(LARGE('Calc (scoring engine)'!$K$5:$K$515,2),-999999)&lt;=-900000),"",IFERROR(IF(INDEX(Database!$AY$5:$AY$515,MATCH(LARGE('Calc (scoring engine)'!$K$5:$K$515,2),'Calc (scoring engine)'!$K$5:$K$515,0))="","—",INDEX(Database!$AY$5:$AY$515,MATCH(LARGE('Calc (scoring engine)'!$K$5:$K$515,2),'Calc (scoring engine)'!$K$5:$K$515,0))),""))</f>
        <v/>
      </c>
      <c r="AT22" s="10">
        <f>IF(OR(2&gt;MAX(3,MIN(15,N($D$18))),IFERROR(LARGE('Calc (scoring engine)'!$K$5:$K$515,2),-999999)&lt;=-900000),"",IFERROR(IF(INDEX(Database!$AZ$5:$AZ$515,MATCH(LARGE('Calc (scoring engine)'!$K$5:$K$515,2),'Calc (scoring engine)'!$K$5:$K$515,0))="","—",INDEX(Database!$AZ$5:$AZ$515,MATCH(LARGE('Calc (scoring engine)'!$K$5:$K$515,2),'Calc (scoring engine)'!$K$5:$K$515,0))),""))</f>
        <v/>
      </c>
      <c r="AU22" s="10">
        <f>IF(OR(2&gt;MAX(3,MIN(15,N($D$18))),IFERROR(LARGE('Calc (scoring engine)'!$K$5:$K$515,2),-999999)&lt;=-900000),"",IFERROR(IF(INDEX(Database!$BA$5:$BA$515,MATCH(LARGE('Calc (scoring engine)'!$K$5:$K$515,2),'Calc (scoring engine)'!$K$5:$K$515,0))="","—",INDEX(Database!$BA$5:$BA$515,MATCH(LARGE('Calc (scoring engine)'!$K$5:$K$515,2),'Calc (scoring engine)'!$K$5:$K$515,0))),""))</f>
        <v/>
      </c>
      <c r="AV22" s="23">
        <f>IF(OR(2&gt;MAX(3,MIN(15,N($D$18))),IFERROR(LARGE('Calc (scoring engine)'!$K$5:$K$515,2),-999999)&lt;=-900000),"",IFERROR(IF(INDEX(Database!$BB$5:$BB$515,MATCH(LARGE('Calc (scoring engine)'!$K$5:$K$515,2),'Calc (scoring engine)'!$K$5:$K$515,0))="","—",INDEX(Database!$BB$5:$BB$515,MATCH(LARGE('Calc (scoring engine)'!$K$5:$K$515,2),'Calc (scoring engine)'!$K$5:$K$515,0))),""))</f>
        <v/>
      </c>
      <c r="AW22" s="39">
        <f>IF(OR(2&gt;MAX(3,MIN(15,N($D$18))),IFERROR(LARGE('Calc (scoring engine)'!$K$5:$K$515,2),-999999)&lt;=-900000),"",IFERROR(IF(INDEX(Database!$BC$5:$BC$515,MATCH(LARGE('Calc (scoring engine)'!$K$5:$K$515,2),'Calc (scoring engine)'!$K$5:$K$515,0))="","—",INDEX(Database!$BC$5:$BC$515,MATCH(LARGE('Calc (scoring engine)'!$K$5:$K$515,2),'Calc (scoring engine)'!$K$5:$K$515,0))),""))</f>
        <v/>
      </c>
      <c r="AX22" s="42">
        <f>IF(OR(2&gt;MAX(3,MIN(15,N($D$18))),IFERROR(LARGE('Calc (scoring engine)'!$K$5:$K$515,2),-999999)&lt;=-900000),"",IFERROR(IF(INDEX(Database!$BD$5:$BD$515,MATCH(LARGE('Calc (scoring engine)'!$K$5:$K$515,2),'Calc (scoring engine)'!$K$5:$K$515,0))="","—",INDEX(Database!$BD$5:$BD$515,MATCH(LARGE('Calc (scoring engine)'!$K$5:$K$515,2),'Calc (scoring engine)'!$K$5:$K$515,0))),""))</f>
        <v/>
      </c>
      <c r="AY22" s="24">
        <f>IF(OR(2&gt;MAX(3,MIN(15,N($D$18))),IFERROR(LARGE('Calc (scoring engine)'!$K$5:$K$515,2),-999999)&lt;=-900000),"",IFERROR(IF(INDEX(Database!$BE$5:$BE$515,MATCH(LARGE('Calc (scoring engine)'!$K$5:$K$515,2),'Calc (scoring engine)'!$K$5:$K$515,0))="","—",INDEX(Database!$BE$5:$BE$515,MATCH(LARGE('Calc (scoring engine)'!$K$5:$K$515,2),'Calc (scoring engine)'!$K$5:$K$515,0))),""))</f>
        <v/>
      </c>
      <c r="AZ22" s="24">
        <f>IF(OR(2&gt;MAX(3,MIN(15,N($D$18))),IFERROR(LARGE('Calc (scoring engine)'!$K$5:$K$515,2),-999999)&lt;=-900000),"",IFERROR(IF(INDEX(Database!$BF$5:$BF$515,MATCH(LARGE('Calc (scoring engine)'!$K$5:$K$515,2),'Calc (scoring engine)'!$K$5:$K$515,0))="","—",INDEX(Database!$BF$5:$BF$515,MATCH(LARGE('Calc (scoring engine)'!$K$5:$K$515,2),'Calc (scoring engine)'!$K$5:$K$515,0))),""))</f>
        <v/>
      </c>
      <c r="BA22" s="10">
        <f>IF(OR(2&gt;MAX(3,MIN(15,N($D$18))),IFERROR(LARGE('Calc (scoring engine)'!$K$5:$K$515,2),-999999)&lt;=-900000),"",IFERROR(IF(INDEX(Database!$BG$5:$BG$515,MATCH(LARGE('Calc (scoring engine)'!$K$5:$K$515,2),'Calc (scoring engine)'!$K$5:$K$515,0))="","—",INDEX(Database!$BG$5:$BG$515,MATCH(LARGE('Calc (scoring engine)'!$K$5:$K$515,2),'Calc (scoring engine)'!$K$5:$K$515,0))),""))</f>
        <v/>
      </c>
      <c r="BB22" s="10">
        <f>IF(OR(2&gt;MAX(3,MIN(15,N($D$18))),IFERROR(LARGE('Calc (scoring engine)'!$K$5:$K$515,2),-999999)&lt;=-900000),"",IFERROR(IF(INDEX(Database!$BI$5:$BI$515,MATCH(LARGE('Calc (scoring engine)'!$K$5:$K$515,2),'Calc (scoring engine)'!$K$5:$K$515,0))="","—",INDEX(Database!$BI$5:$BI$515,MATCH(LARGE('Calc (scoring engine)'!$K$5:$K$515,2),'Calc (scoring engine)'!$K$5:$K$515,0))),""))</f>
        <v/>
      </c>
      <c r="BC22" s="24">
        <f>IF(OR(2&gt;MAX(3,MIN(15,N($D$18))),IFERROR(LARGE('Calc (scoring engine)'!$K$5:$K$515,2),-999999)&lt;=-900000),"",IFERROR(IFERROR(BDP(TEXT(INDEX(Database!$A$5:$A$515,MATCH(LARGE('Calc (scoring engine)'!$K$5:$K$515,2),'Calc (scoring engine)'!$K$5:$K$515,0)),"0")&amp;" HK Equity","PE_RATIO"),IF(INDEX(Database!$AX$5:$AX$515,MATCH(LARGE('Calc (scoring engine)'!$K$5:$K$515,2),'Calc (scoring engine)'!$K$5:$K$515,0))="","—",INDEX(Database!$AX$5:$AX$515,MATCH(LARGE('Calc (scoring engine)'!$K$5:$K$515,2),'Calc (scoring engine)'!$K$5:$K$515,0)))),""))</f>
        <v/>
      </c>
      <c r="BD22" s="24">
        <f>IF(OR(2&gt;MAX(3,MIN(15,N($D$18))),IFERROR(LARGE('Calc (scoring engine)'!$K$5:$K$515,2),-999999)&lt;=-900000),"",IFERROR(IFERROR(BDP(TEXT(INDEX(Database!$A$5:$A$515,MATCH(LARGE('Calc (scoring engine)'!$K$5:$K$515,2),'Calc (scoring engine)'!$K$5:$K$515,0)),"0")&amp;" HK Equity","PX_TO_SALES_RATIO"),IF(INDEX(Database!$AY$5:$AY$515,MATCH(LARGE('Calc (scoring engine)'!$K$5:$K$515,2),'Calc (scoring engine)'!$K$5:$K$515,0))="","—",INDEX(Database!$AY$5:$AY$515,MATCH(LARGE('Calc (scoring engine)'!$K$5:$K$515,2),'Calc (scoring engine)'!$K$5:$K$515,0)))),""))</f>
        <v/>
      </c>
      <c r="BE22" s="43">
        <f>IF(OR(2&gt;MAX(3,MIN(15,N($D$18))),IFERROR(LARGE('Calc (scoring engine)'!$K$5:$K$515,2),-999999)&lt;=-900000),"",IFERROR(IF(INDEX('Calc (scoring engine)'!$H$5:$H$515,MATCH(LARGE('Calc (scoring engine)'!$K$5:$K$515,2),'Calc (scoring engine)'!$K$5:$K$515,0))&gt;0,INDEX('Calc (scoring engine)'!$H$5:$H$515,MATCH(LARGE('Calc (scoring engine)'!$K$5:$K$515,2),'Calc (scoring engine)'!$K$5:$K$515,0)),""),""))</f>
        <v/>
      </c>
      <c r="BF22" s="10">
        <f>IF(OR(2&gt;MAX(3,MIN(15,N($D$18))),IFERROR(LARGE('Calc (scoring engine)'!$K$5:$K$515,2),-999999)&lt;=-900000),"",IF(IFERROR(INDEX('Calc (scoring engine)'!$B$5:$B$515,MATCH(LARGE('Calc (scoring engine)'!$K$5:$K$515,2),'Calc (scoring engine)'!$K$5:$K$515,0)),0)=1,"same subsector","sector only"))</f>
        <v/>
      </c>
      <c r="BG22" s="43">
        <f>IF(OR(2&gt;MAX(3,MIN(15,N($D$18))),IFERROR(LARGE('Calc (scoring engine)'!$K$5:$K$515,2),-999999)&lt;=-900000),"",ROUND(IFERROR(LARGE('Calc (scoring engine)'!$K$5:$K$515,2),0),0))</f>
        <v/>
      </c>
      <c r="BH22" s="10">
        <f>IF(OR(2&gt;MAX(3,MIN(15,N($D$18))),IFERROR(LARGE('Calc (scoring engine)'!$K$5:$K$515,2),-999999)&lt;=-900000),"",IFERROR("sub "&amp;INDEX('Calc (scoring engine)'!$B$5:$B$515,MATCH(LARGE('Calc (scoring engine)'!$K$5:$K$515,2),'Calc (scoring engine)'!$K$5:$K$515,0))*W_SUB&amp;" + size "&amp;ROUND(INDEX('Calc (scoring engine)'!$D$5:$D$515,MATCH(LARGE('Calc (scoring engine)'!$K$5:$K$515,2),'Calc (scoring engine)'!$K$5:$K$515,0))*W_SIZE,0)&amp;" + prof "&amp;INDEX('Calc (scoring engine)'!$E$5:$E$515,MATCH(LARGE('Calc (scoring engine)'!$K$5:$K$515,2),'Calc (scoring engine)'!$K$5:$K$515,0))*W_PROF&amp;" + recency "&amp;ROUND(INDEX('Calc (scoring engine)'!$G$5:$G$515,MATCH(LARGE('Calc (scoring engine)'!$K$5:$K$515,2),'Calc (scoring engine)'!$K$5:$K$515,0))*W_REC,0)&amp;IF(INDEX('Calc (scoring engine)'!$H$5:$H$515,MATCH(LARGE('Calc (scoring engine)'!$K$5:$K$515,2),'Calc (scoring engine)'!$K$5:$K$515,0))&gt;0," + shared CS x"&amp;INDEX('Calc (scoring engine)'!$H$5:$H$515,MATCH(LARGE('Calc (scoring engine)'!$K$5:$K$515,2),'Calc (scoring engine)'!$K$5:$K$515,0)),""),""))</f>
        <v/>
      </c>
    </row>
    <row r="23">
      <c r="A23" s="38">
        <f>IF(OR(3&gt;MAX(3,MIN(15,N($D$18))),IFERROR(LARGE('Calc (scoring engine)'!$K$5:$K$515,3),-999999)&lt;=-900000),"",3)</f>
        <v/>
      </c>
      <c r="B23" s="10">
        <f>IF(OR(3&gt;MAX(3,MIN(15,N($D$18))),IFERROR(LARGE('Calc (scoring engine)'!$K$5:$K$515,3),-999999)&lt;=-900000),"",IFERROR(IF(INDEX(Database!$B$5:$B$515,MATCH(LARGE('Calc (scoring engine)'!$K$5:$K$515,3),'Calc (scoring engine)'!$K$5:$K$515,0))="","—",INDEX(Database!$B$5:$B$515,MATCH(LARGE('Calc (scoring engine)'!$K$5:$K$515,3),'Calc (scoring engine)'!$K$5:$K$515,0))),""))</f>
        <v/>
      </c>
      <c r="C23" s="10">
        <f>IF(OR(3&gt;MAX(3,MIN(15,N($D$18))),IFERROR(LARGE('Calc (scoring engine)'!$K$5:$K$515,3),-999999)&lt;=-900000),"",IFERROR(IF(INDEX(Database!$D$5:$D$515,MATCH(LARGE('Calc (scoring engine)'!$K$5:$K$515,3),'Calc (scoring engine)'!$K$5:$K$515,0))="","—",INDEX(Database!$D$5:$D$515,MATCH(LARGE('Calc (scoring engine)'!$K$5:$K$515,3),'Calc (scoring engine)'!$K$5:$K$515,0))),""))</f>
        <v/>
      </c>
      <c r="D23" s="10">
        <f>IF(OR(3&gt;MAX(3,MIN(15,N($D$18))),IFERROR(LARGE('Calc (scoring engine)'!$K$5:$K$515,3),-999999)&lt;=-900000),"",IFERROR(IF(INDEX(Database!$E$5:$E$515,MATCH(LARGE('Calc (scoring engine)'!$K$5:$K$515,3),'Calc (scoring engine)'!$K$5:$K$515,0))="","—",INDEX(Database!$E$5:$E$515,MATCH(LARGE('Calc (scoring engine)'!$K$5:$K$515,3),'Calc (scoring engine)'!$K$5:$K$515,0))),""))</f>
        <v/>
      </c>
      <c r="E23" s="10">
        <f>IF(OR(3&gt;MAX(3,MIN(15,N($D$18))),IFERROR(LARGE('Calc (scoring engine)'!$K$5:$K$515,3),-999999)&lt;=-900000),"",IFERROR(IF(INDEX(Database!$F$5:$F$515,MATCH(LARGE('Calc (scoring engine)'!$K$5:$K$515,3),'Calc (scoring engine)'!$K$5:$K$515,0))="","—",INDEX(Database!$F$5:$F$515,MATCH(LARGE('Calc (scoring engine)'!$K$5:$K$515,3),'Calc (scoring engine)'!$K$5:$K$515,0))),""))</f>
        <v/>
      </c>
      <c r="F23" s="10">
        <f>IF(OR(3&gt;MAX(3,MIN(15,N($D$18))),IFERROR(LARGE('Calc (scoring engine)'!$K$5:$K$515,3),-999999)&lt;=-900000),"",IFERROR(IF(INDEX(Database!$G$5:$G$515,MATCH(LARGE('Calc (scoring engine)'!$K$5:$K$515,3),'Calc (scoring engine)'!$K$5:$K$515,0))="","—",INDEX(Database!$G$5:$G$515,MATCH(LARGE('Calc (scoring engine)'!$K$5:$K$515,3),'Calc (scoring engine)'!$K$5:$K$515,0))),""))</f>
        <v/>
      </c>
      <c r="G23" s="21">
        <f>IF(OR(3&gt;MAX(3,MIN(15,N($D$18))),IFERROR(LARGE('Calc (scoring engine)'!$K$5:$K$515,3),-999999)&lt;=-900000),"",IFERROR(IF(INDEX(Database!$H$5:$H$515,MATCH(LARGE('Calc (scoring engine)'!$K$5:$K$515,3),'Calc (scoring engine)'!$K$5:$K$515,0))="","—",INDEX(Database!$H$5:$H$515,MATCH(LARGE('Calc (scoring engine)'!$K$5:$K$515,3),'Calc (scoring engine)'!$K$5:$K$515,0))),""))</f>
        <v/>
      </c>
      <c r="H23" s="18">
        <f>IF(OR(3&gt;MAX(3,MIN(15,N($D$18))),IFERROR(LARGE('Calc (scoring engine)'!$K$5:$K$515,3),-999999)&lt;=-900000),"",IFERROR(IF(INDEX(Database!$I$5:$I$515,MATCH(LARGE('Calc (scoring engine)'!$K$5:$K$515,3),'Calc (scoring engine)'!$K$5:$K$515,0))="","—",INDEX(Database!$I$5:$I$515,MATCH(LARGE('Calc (scoring engine)'!$K$5:$K$515,3),'Calc (scoring engine)'!$K$5:$K$515,0))),""))</f>
        <v/>
      </c>
      <c r="I23" s="39">
        <f>IF(OR(3&gt;MAX(3,MIN(15,N($D$18))),IFERROR(LARGE('Calc (scoring engine)'!$K$5:$K$515,3),-999999)&lt;=-900000),"",IFERROR(IF(INDEX(Database!$K$5:$K$515,MATCH(LARGE('Calc (scoring engine)'!$K$5:$K$515,3),'Calc (scoring engine)'!$K$5:$K$515,0))="","—",INDEX(Database!$K$5:$K$515,MATCH(LARGE('Calc (scoring engine)'!$K$5:$K$515,3),'Calc (scoring engine)'!$K$5:$K$515,0))),""))</f>
        <v/>
      </c>
      <c r="J23" s="39">
        <f>IF(OR(3&gt;MAX(3,MIN(15,N($D$18))),IFERROR(LARGE('Calc (scoring engine)'!$K$5:$K$515,3),-999999)&lt;=-900000),"",IFERROR(IF(INDEX(Database!$L$5:$L$515,MATCH(LARGE('Calc (scoring engine)'!$K$5:$K$515,3),'Calc (scoring engine)'!$K$5:$K$515,0))="","—",INDEX(Database!$L$5:$L$515,MATCH(LARGE('Calc (scoring engine)'!$K$5:$K$515,3),'Calc (scoring engine)'!$K$5:$K$515,0))),""))</f>
        <v/>
      </c>
      <c r="K23" s="39">
        <f>IF(OR(3&gt;MAX(3,MIN(15,N($D$18))),IFERROR(LARGE('Calc (scoring engine)'!$K$5:$K$515,3),-999999)&lt;=-900000),"",IFERROR(IF(INDEX(Database!$M$5:$M$515,MATCH(LARGE('Calc (scoring engine)'!$K$5:$K$515,3),'Calc (scoring engine)'!$K$5:$K$515,0))="","—",INDEX(Database!$M$5:$M$515,MATCH(LARGE('Calc (scoring engine)'!$K$5:$K$515,3),'Calc (scoring engine)'!$K$5:$K$515,0))),""))</f>
        <v/>
      </c>
      <c r="L23" s="10">
        <f>IF(OR(3&gt;MAX(3,MIN(15,N($D$18))),IFERROR(LARGE('Calc (scoring engine)'!$K$5:$K$515,3),-999999)&lt;=-900000),"",IFERROR(IF(INDEX(Database!$N$5:$N$515,MATCH(LARGE('Calc (scoring engine)'!$K$5:$K$515,3),'Calc (scoring engine)'!$K$5:$K$515,0))="","—",INDEX(Database!$N$5:$N$515,MATCH(LARGE('Calc (scoring engine)'!$K$5:$K$515,3),'Calc (scoring engine)'!$K$5:$K$515,0))),""))</f>
        <v/>
      </c>
      <c r="M23" s="28">
        <f>IF(OR(3&gt;MAX(3,MIN(15,N($D$18))),IFERROR(LARGE('Calc (scoring engine)'!$K$5:$K$515,3),-999999)&lt;=-900000),"",IFERROR(IF(INDEX(Database!$O$5:$O$515,MATCH(LARGE('Calc (scoring engine)'!$K$5:$K$515,3),'Calc (scoring engine)'!$K$5:$K$515,0))="","—",INDEX(Database!$O$5:$O$515,MATCH(LARGE('Calc (scoring engine)'!$K$5:$K$515,3),'Calc (scoring engine)'!$K$5:$K$515,0))),""))</f>
        <v/>
      </c>
      <c r="N23" s="28">
        <f>IF(OR(3&gt;MAX(3,MIN(15,N($D$18))),IFERROR(LARGE('Calc (scoring engine)'!$K$5:$K$515,3),-999999)&lt;=-900000),"",IFERROR(IF(INDEX(Database!$P$5:$P$515,MATCH(LARGE('Calc (scoring engine)'!$K$5:$K$515,3),'Calc (scoring engine)'!$K$5:$K$515,0))="","—",INDEX(Database!$P$5:$P$515,MATCH(LARGE('Calc (scoring engine)'!$K$5:$K$515,3),'Calc (scoring engine)'!$K$5:$K$515,0))),""))</f>
        <v/>
      </c>
      <c r="O23" s="18">
        <f>IF(OR(3&gt;MAX(3,MIN(15,N($D$18))),IFERROR(LARGE('Calc (scoring engine)'!$K$5:$K$515,3),-999999)&lt;=-900000),"",IFERROR(IF(INDEX(Database!$Q$5:$Q$515,MATCH(LARGE('Calc (scoring engine)'!$K$5:$K$515,3),'Calc (scoring engine)'!$K$5:$K$515,0))="","—",INDEX(Database!$Q$5:$Q$515,MATCH(LARGE('Calc (scoring engine)'!$K$5:$K$515,3),'Calc (scoring engine)'!$K$5:$K$515,0))),""))</f>
        <v/>
      </c>
      <c r="P23" s="26">
        <f>IF(OR(3&gt;MAX(3,MIN(15,N($D$18))),IFERROR(LARGE('Calc (scoring engine)'!$K$5:$K$515,3),-999999)&lt;=-900000),"",IFERROR(IF(INDEX(Database!$S$5:$S$515,MATCH(LARGE('Calc (scoring engine)'!$K$5:$K$515,3),'Calc (scoring engine)'!$K$5:$K$515,0))="","—",INDEX(Database!$S$5:$S$515,MATCH(LARGE('Calc (scoring engine)'!$K$5:$K$515,3),'Calc (scoring engine)'!$K$5:$K$515,0))),""))</f>
        <v/>
      </c>
      <c r="Q23" s="40">
        <f>IF(OR(3&gt;MAX(3,MIN(15,N($D$18))),IFERROR(LARGE('Calc (scoring engine)'!$K$5:$K$515,3),-999999)&lt;=-900000),"",IFERROR(IF(INDEX(Database!$T$5:$T$515,MATCH(LARGE('Calc (scoring engine)'!$K$5:$K$515,3),'Calc (scoring engine)'!$K$5:$K$515,0))="","—",INDEX(Database!$T$5:$T$515,MATCH(LARGE('Calc (scoring engine)'!$K$5:$K$515,3),'Calc (scoring engine)'!$K$5:$K$515,0))),""))</f>
        <v/>
      </c>
      <c r="R23" s="41">
        <f>IF(OR(3&gt;MAX(3,MIN(15,N($D$18))),IFERROR(LARGE('Calc (scoring engine)'!$K$5:$K$515,3),-999999)&lt;=-900000),"",IFERROR(IF(INDEX(Database!$U$5:$U$515,MATCH(LARGE('Calc (scoring engine)'!$K$5:$K$515,3),'Calc (scoring engine)'!$K$5:$K$515,0))="","—",INDEX(Database!$U$5:$U$515,MATCH(LARGE('Calc (scoring engine)'!$K$5:$K$515,3),'Calc (scoring engine)'!$K$5:$K$515,0))),""))</f>
        <v/>
      </c>
      <c r="S23" s="28">
        <f>IF(OR(3&gt;MAX(3,MIN(15,N($D$18))),IFERROR(LARGE('Calc (scoring engine)'!$K$5:$K$515,3),-999999)&lt;=-900000),"",IFERROR(IF(INDEX(Database!$V$5:$V$515,MATCH(LARGE('Calc (scoring engine)'!$K$5:$K$515,3),'Calc (scoring engine)'!$K$5:$K$515,0))="","—",INDEX(Database!$V$5:$V$515,MATCH(LARGE('Calc (scoring engine)'!$K$5:$K$515,3),'Calc (scoring engine)'!$K$5:$K$515,0))),""))</f>
        <v/>
      </c>
      <c r="T23" s="10">
        <f>IF(OR(3&gt;MAX(3,MIN(15,N($D$18))),IFERROR(LARGE('Calc (scoring engine)'!$K$5:$K$515,3),-999999)&lt;=-900000),"",IFERROR(IF(INDEX(Database!$W$5:$W$515,MATCH(LARGE('Calc (scoring engine)'!$K$5:$K$515,3),'Calc (scoring engine)'!$K$5:$K$515,0))="","—",INDEX(Database!$W$5:$W$515,MATCH(LARGE('Calc (scoring engine)'!$K$5:$K$515,3),'Calc (scoring engine)'!$K$5:$K$515,0))),""))</f>
        <v/>
      </c>
      <c r="U23" s="28">
        <f>IF(OR(3&gt;MAX(3,MIN(15,N($D$18))),IFERROR(LARGE('Calc (scoring engine)'!$K$5:$K$515,3),-999999)&lt;=-900000),"",IFERROR(IF(INDEX(Database!$Y$5:$Y$515,MATCH(LARGE('Calc (scoring engine)'!$K$5:$K$515,3),'Calc (scoring engine)'!$K$5:$K$515,0))="","—",INDEX(Database!$Y$5:$Y$515,MATCH(LARGE('Calc (scoring engine)'!$K$5:$K$515,3),'Calc (scoring engine)'!$K$5:$K$515,0))),""))</f>
        <v/>
      </c>
      <c r="V23" s="10">
        <f>IF(OR(3&gt;MAX(3,MIN(15,N($D$18))),IFERROR(LARGE('Calc (scoring engine)'!$K$5:$K$515,3),-999999)&lt;=-900000),"",IFERROR(IF(INDEX(Database!$Z$5:$Z$515,MATCH(LARGE('Calc (scoring engine)'!$K$5:$K$515,3),'Calc (scoring engine)'!$K$5:$K$515,0))="","—",INDEX(Database!$Z$5:$Z$515,MATCH(LARGE('Calc (scoring engine)'!$K$5:$K$515,3),'Calc (scoring engine)'!$K$5:$K$515,0))),""))</f>
        <v/>
      </c>
      <c r="W23" s="23">
        <f>IF(OR(3&gt;MAX(3,MIN(15,N($D$18))),IFERROR(LARGE('Calc (scoring engine)'!$K$5:$K$515,3),-999999)&lt;=-900000),"",IFERROR(IF(INDEX(Database!$AA$5:$AA$515,MATCH(LARGE('Calc (scoring engine)'!$K$5:$K$515,3),'Calc (scoring engine)'!$K$5:$K$515,0))="","—",INDEX(Database!$AA$5:$AA$515,MATCH(LARGE('Calc (scoring engine)'!$K$5:$K$515,3),'Calc (scoring engine)'!$K$5:$K$515,0))),""))</f>
        <v/>
      </c>
      <c r="X23" s="23">
        <f>IF(OR(3&gt;MAX(3,MIN(15,N($D$18))),IFERROR(LARGE('Calc (scoring engine)'!$K$5:$K$515,3),-999999)&lt;=-900000),"",IFERROR(IF(INDEX(Database!$AB$5:$AB$515,MATCH(LARGE('Calc (scoring engine)'!$K$5:$K$515,3),'Calc (scoring engine)'!$K$5:$K$515,0))="","—",INDEX(Database!$AB$5:$AB$515,MATCH(LARGE('Calc (scoring engine)'!$K$5:$K$515,3),'Calc (scoring engine)'!$K$5:$K$515,0))),""))</f>
        <v/>
      </c>
      <c r="Y23" s="23">
        <f>IF(OR(3&gt;MAX(3,MIN(15,N($D$18))),IFERROR(LARGE('Calc (scoring engine)'!$K$5:$K$515,3),-999999)&lt;=-900000),"",IFERROR(IF(INDEX(Database!$AC$5:$AC$515,MATCH(LARGE('Calc (scoring engine)'!$K$5:$K$515,3),'Calc (scoring engine)'!$K$5:$K$515,0))="","—",INDEX(Database!$AC$5:$AC$515,MATCH(LARGE('Calc (scoring engine)'!$K$5:$K$515,3),'Calc (scoring engine)'!$K$5:$K$515,0))),""))</f>
        <v/>
      </c>
      <c r="Z23" s="23">
        <f>IF(OR(3&gt;MAX(3,MIN(15,N($D$18))),IFERROR(LARGE('Calc (scoring engine)'!$K$5:$K$515,3),-999999)&lt;=-900000),"",IFERROR(IF(INDEX(Database!$AD$5:$AD$515,MATCH(LARGE('Calc (scoring engine)'!$K$5:$K$515,3),'Calc (scoring engine)'!$K$5:$K$515,0))="","—",INDEX(Database!$AD$5:$AD$515,MATCH(LARGE('Calc (scoring engine)'!$K$5:$K$515,3),'Calc (scoring engine)'!$K$5:$K$515,0))),""))</f>
        <v/>
      </c>
      <c r="AA23" s="23">
        <f>IF(OR(3&gt;MAX(3,MIN(15,N($D$18))),IFERROR(LARGE('Calc (scoring engine)'!$K$5:$K$515,3),-999999)&lt;=-900000),"",IFERROR(IF(INDEX(Database!$AE$5:$AE$515,MATCH(LARGE('Calc (scoring engine)'!$K$5:$K$515,3),'Calc (scoring engine)'!$K$5:$K$515,0))="","—",INDEX(Database!$AE$5:$AE$515,MATCH(LARGE('Calc (scoring engine)'!$K$5:$K$515,3),'Calc (scoring engine)'!$K$5:$K$515,0))),""))</f>
        <v/>
      </c>
      <c r="AB23" s="23">
        <f>IF(OR(3&gt;MAX(3,MIN(15,N($D$18))),IFERROR(LARGE('Calc (scoring engine)'!$K$5:$K$515,3),-999999)&lt;=-900000),"",IFERROR(IF(INDEX(Database!$AF$5:$AF$515,MATCH(LARGE('Calc (scoring engine)'!$K$5:$K$515,3),'Calc (scoring engine)'!$K$5:$K$515,0))="","—",INDEX(Database!$AF$5:$AF$515,MATCH(LARGE('Calc (scoring engine)'!$K$5:$K$515,3),'Calc (scoring engine)'!$K$5:$K$515,0))),""))</f>
        <v/>
      </c>
      <c r="AC23" s="23">
        <f>IF(OR(3&gt;MAX(3,MIN(15,N($D$18))),IFERROR(LARGE('Calc (scoring engine)'!$K$5:$K$515,3),-999999)&lt;=-900000),"",IFERROR(IF(INDEX(Database!$AG$5:$AG$515,MATCH(LARGE('Calc (scoring engine)'!$K$5:$K$515,3),'Calc (scoring engine)'!$K$5:$K$515,0))="","—",INDEX(Database!$AG$5:$AG$515,MATCH(LARGE('Calc (scoring engine)'!$K$5:$K$515,3),'Calc (scoring engine)'!$K$5:$K$515,0))),""))</f>
        <v/>
      </c>
      <c r="AD23" s="23">
        <f>IF(OR(3&gt;MAX(3,MIN(15,N($D$18))),IFERROR(LARGE('Calc (scoring engine)'!$K$5:$K$515,3),-999999)&lt;=-900000),"",IFERROR(IF(INDEX(Database!$AH$5:$AH$515,MATCH(LARGE('Calc (scoring engine)'!$K$5:$K$515,3),'Calc (scoring engine)'!$K$5:$K$515,0))="","—",INDEX(Database!$AH$5:$AH$515,MATCH(LARGE('Calc (scoring engine)'!$K$5:$K$515,3),'Calc (scoring engine)'!$K$5:$K$515,0))),""))</f>
        <v/>
      </c>
      <c r="AE23" s="23">
        <f>IF(OR(3&gt;MAX(3,MIN(15,N($D$18))),IFERROR(LARGE('Calc (scoring engine)'!$K$5:$K$515,3),-999999)&lt;=-900000),"",IFERROR(IF(INDEX(Database!$AI$5:$AI$515,MATCH(LARGE('Calc (scoring engine)'!$K$5:$K$515,3),'Calc (scoring engine)'!$K$5:$K$515,0))="","—",INDEX(Database!$AI$5:$AI$515,MATCH(LARGE('Calc (scoring engine)'!$K$5:$K$515,3),'Calc (scoring engine)'!$K$5:$K$515,0))),""))</f>
        <v/>
      </c>
      <c r="AF23" s="23">
        <f>IF(OR(3&gt;MAX(3,MIN(15,N($D$18))),IFERROR(LARGE('Calc (scoring engine)'!$K$5:$K$515,3),-999999)&lt;=-900000),"",IFERROR(IF(INDEX(Database!$AJ$5:$AJ$515,MATCH(LARGE('Calc (scoring engine)'!$K$5:$K$515,3),'Calc (scoring engine)'!$K$5:$K$515,0))="","—",INDEX(Database!$AJ$5:$AJ$515,MATCH(LARGE('Calc (scoring engine)'!$K$5:$K$515,3),'Calc (scoring engine)'!$K$5:$K$515,0))),""))</f>
        <v/>
      </c>
      <c r="AG23" s="23">
        <f>IF(OR(3&gt;MAX(3,MIN(15,N($D$18))),IFERROR(LARGE('Calc (scoring engine)'!$K$5:$K$515,3),-999999)&lt;=-900000),"",IFERROR(IF(INDEX(Database!$AK$5:$AK$515,MATCH(LARGE('Calc (scoring engine)'!$K$5:$K$515,3),'Calc (scoring engine)'!$K$5:$K$515,0))="","—",INDEX(Database!$AK$5:$AK$515,MATCH(LARGE('Calc (scoring engine)'!$K$5:$K$515,3),'Calc (scoring engine)'!$K$5:$K$515,0))),""))</f>
        <v/>
      </c>
      <c r="AH23" s="23">
        <f>IF(OR(3&gt;MAX(3,MIN(15,N($D$18))),IFERROR(LARGE('Calc (scoring engine)'!$K$5:$K$515,3),-999999)&lt;=-900000),"",IFERROR(IF(INDEX(Database!$AL$5:$AL$515,MATCH(LARGE('Calc (scoring engine)'!$K$5:$K$515,3),'Calc (scoring engine)'!$K$5:$K$515,0))="","—",INDEX(Database!$AL$5:$AL$515,MATCH(LARGE('Calc (scoring engine)'!$K$5:$K$515,3),'Calc (scoring engine)'!$K$5:$K$515,0))),""))</f>
        <v/>
      </c>
      <c r="AI23" s="23">
        <f>IF(OR(3&gt;MAX(3,MIN(15,N($D$18))),IFERROR(LARGE('Calc (scoring engine)'!$K$5:$K$515,3),-999999)&lt;=-900000),"",IFERROR(IF(INDEX(Database!$AM$5:$AM$515,MATCH(LARGE('Calc (scoring engine)'!$K$5:$K$515,3),'Calc (scoring engine)'!$K$5:$K$515,0))="","—",INDEX(Database!$AM$5:$AM$515,MATCH(LARGE('Calc (scoring engine)'!$K$5:$K$515,3),'Calc (scoring engine)'!$K$5:$K$515,0))),""))</f>
        <v/>
      </c>
      <c r="AJ23" s="23">
        <f>IF(OR(3&gt;MAX(3,MIN(15,N($D$18))),IFERROR(LARGE('Calc (scoring engine)'!$K$5:$K$515,3),-999999)&lt;=-900000),"",IFERROR(IF(INDEX(Database!$AN$5:$AN$515,MATCH(LARGE('Calc (scoring engine)'!$K$5:$K$515,3),'Calc (scoring engine)'!$K$5:$K$515,0))="","—",INDEX(Database!$AN$5:$AN$515,MATCH(LARGE('Calc (scoring engine)'!$K$5:$K$515,3),'Calc (scoring engine)'!$K$5:$K$515,0))),""))</f>
        <v/>
      </c>
      <c r="AK23" s="23">
        <f>IF(OR(3&gt;MAX(3,MIN(15,N($D$18))),IFERROR(LARGE('Calc (scoring engine)'!$K$5:$K$515,3),-999999)&lt;=-900000),"",IFERROR(IF(INDEX(Database!$AO$5:$AO$515,MATCH(LARGE('Calc (scoring engine)'!$K$5:$K$515,3),'Calc (scoring engine)'!$K$5:$K$515,0))="","—",INDEX(Database!$AO$5:$AO$515,MATCH(LARGE('Calc (scoring engine)'!$K$5:$K$515,3),'Calc (scoring engine)'!$K$5:$K$515,0))),""))</f>
        <v/>
      </c>
      <c r="AL23" s="23">
        <f>IF(OR(3&gt;MAX(3,MIN(15,N($D$18))),IFERROR(LARGE('Calc (scoring engine)'!$K$5:$K$515,3),-999999)&lt;=-900000),"",IFERROR(IF(INDEX(Database!$AQ$5:$AQ$515,MATCH(LARGE('Calc (scoring engine)'!$K$5:$K$515,3),'Calc (scoring engine)'!$K$5:$K$515,0))="","—",INDEX(Database!$AQ$5:$AQ$515,MATCH(LARGE('Calc (scoring engine)'!$K$5:$K$515,3),'Calc (scoring engine)'!$K$5:$K$515,0))),""))</f>
        <v/>
      </c>
      <c r="AM23" s="18">
        <f>IF(OR(3&gt;MAX(3,MIN(15,N($D$18))),IFERROR(LARGE('Calc (scoring engine)'!$K$5:$K$515,3),-999999)&lt;=-900000),"",IFERROR(IF(INDEX(Database!$AS$5:$AS$515,MATCH(LARGE('Calc (scoring engine)'!$K$5:$K$515,3),'Calc (scoring engine)'!$K$5:$K$515,0))="","—",INDEX(Database!$AS$5:$AS$515,MATCH(LARGE('Calc (scoring engine)'!$K$5:$K$515,3),'Calc (scoring engine)'!$K$5:$K$515,0))),""))</f>
        <v/>
      </c>
      <c r="AN23" s="18">
        <f>IF(OR(3&gt;MAX(3,MIN(15,N($D$18))),IFERROR(LARGE('Calc (scoring engine)'!$K$5:$K$515,3),-999999)&lt;=-900000),"",IFERROR(IF(INDEX(Database!$AT$5:$AT$515,MATCH(LARGE('Calc (scoring engine)'!$K$5:$K$515,3),'Calc (scoring engine)'!$K$5:$K$515,0))="","—",INDEX(Database!$AT$5:$AT$515,MATCH(LARGE('Calc (scoring engine)'!$K$5:$K$515,3),'Calc (scoring engine)'!$K$5:$K$515,0))),""))</f>
        <v/>
      </c>
      <c r="AO23" s="10">
        <f>IF(OR(3&gt;MAX(3,MIN(15,N($D$18))),IFERROR(LARGE('Calc (scoring engine)'!$K$5:$K$515,3),-999999)&lt;=-900000),"",IFERROR(IF(INDEX(Database!$AU$5:$AU$515,MATCH(LARGE('Calc (scoring engine)'!$K$5:$K$515,3),'Calc (scoring engine)'!$K$5:$K$515,0))="","—",INDEX(Database!$AU$5:$AU$515,MATCH(LARGE('Calc (scoring engine)'!$K$5:$K$515,3),'Calc (scoring engine)'!$K$5:$K$515,0))),""))</f>
        <v/>
      </c>
      <c r="AP23" s="24">
        <f>IF(OR(3&gt;MAX(3,MIN(15,N($D$18))),IFERROR(LARGE('Calc (scoring engine)'!$K$5:$K$515,3),-999999)&lt;=-900000),"",IFERROR(IF(N(INDEX(Database!$AV$5:$AV$515,MATCH(LARGE('Calc (scoring engine)'!$K$5:$K$515,3),'Calc (scoring engine)'!$K$5:$K$515,0)))&lt;=0,IF(INDEX(Database!$AU$5:$AU$515,MATCH(LARGE('Calc (scoring engine)'!$K$5:$K$515,3),'Calc (scoring engine)'!$K$5:$K$515,0))="N","n/m","—"),INDEX(Database!$AV$5:$AV$515,MATCH(LARGE('Calc (scoring engine)'!$K$5:$K$515,3),'Calc (scoring engine)'!$K$5:$K$515,0))),""))</f>
        <v/>
      </c>
      <c r="AQ23" s="24">
        <f>IF(OR(3&gt;MAX(3,MIN(15,N($D$18))),IFERROR(LARGE('Calc (scoring engine)'!$K$5:$K$515,3),-999999)&lt;=-900000),"",IFERROR(IF(INDEX(Database!$AW$5:$AW$515,MATCH(LARGE('Calc (scoring engine)'!$K$5:$K$515,3),'Calc (scoring engine)'!$K$5:$K$515,0))="","—",INDEX(Database!$AW$5:$AW$515,MATCH(LARGE('Calc (scoring engine)'!$K$5:$K$515,3),'Calc (scoring engine)'!$K$5:$K$515,0))),""))</f>
        <v/>
      </c>
      <c r="AR23" s="24">
        <f>IF(OR(3&gt;MAX(3,MIN(15,N($D$18))),IFERROR(LARGE('Calc (scoring engine)'!$K$5:$K$515,3),-999999)&lt;=-900000),"",IFERROR(IF(INDEX(Database!$AX$5:$AX$515,MATCH(LARGE('Calc (scoring engine)'!$K$5:$K$515,3),'Calc (scoring engine)'!$K$5:$K$515,0))="","—",INDEX(Database!$AX$5:$AX$515,MATCH(LARGE('Calc (scoring engine)'!$K$5:$K$515,3),'Calc (scoring engine)'!$K$5:$K$515,0))),""))</f>
        <v/>
      </c>
      <c r="AS23" s="24">
        <f>IF(OR(3&gt;MAX(3,MIN(15,N($D$18))),IFERROR(LARGE('Calc (scoring engine)'!$K$5:$K$515,3),-999999)&lt;=-900000),"",IFERROR(IF(INDEX(Database!$AY$5:$AY$515,MATCH(LARGE('Calc (scoring engine)'!$K$5:$K$515,3),'Calc (scoring engine)'!$K$5:$K$515,0))="","—",INDEX(Database!$AY$5:$AY$515,MATCH(LARGE('Calc (scoring engine)'!$K$5:$K$515,3),'Calc (scoring engine)'!$K$5:$K$515,0))),""))</f>
        <v/>
      </c>
      <c r="AT23" s="10">
        <f>IF(OR(3&gt;MAX(3,MIN(15,N($D$18))),IFERROR(LARGE('Calc (scoring engine)'!$K$5:$K$515,3),-999999)&lt;=-900000),"",IFERROR(IF(INDEX(Database!$AZ$5:$AZ$515,MATCH(LARGE('Calc (scoring engine)'!$K$5:$K$515,3),'Calc (scoring engine)'!$K$5:$K$515,0))="","—",INDEX(Database!$AZ$5:$AZ$515,MATCH(LARGE('Calc (scoring engine)'!$K$5:$K$515,3),'Calc (scoring engine)'!$K$5:$K$515,0))),""))</f>
        <v/>
      </c>
      <c r="AU23" s="10">
        <f>IF(OR(3&gt;MAX(3,MIN(15,N($D$18))),IFERROR(LARGE('Calc (scoring engine)'!$K$5:$K$515,3),-999999)&lt;=-900000),"",IFERROR(IF(INDEX(Database!$BA$5:$BA$515,MATCH(LARGE('Calc (scoring engine)'!$K$5:$K$515,3),'Calc (scoring engine)'!$K$5:$K$515,0))="","—",INDEX(Database!$BA$5:$BA$515,MATCH(LARGE('Calc (scoring engine)'!$K$5:$K$515,3),'Calc (scoring engine)'!$K$5:$K$515,0))),""))</f>
        <v/>
      </c>
      <c r="AV23" s="23">
        <f>IF(OR(3&gt;MAX(3,MIN(15,N($D$18))),IFERROR(LARGE('Calc (scoring engine)'!$K$5:$K$515,3),-999999)&lt;=-900000),"",IFERROR(IF(INDEX(Database!$BB$5:$BB$515,MATCH(LARGE('Calc (scoring engine)'!$K$5:$K$515,3),'Calc (scoring engine)'!$K$5:$K$515,0))="","—",INDEX(Database!$BB$5:$BB$515,MATCH(LARGE('Calc (scoring engine)'!$K$5:$K$515,3),'Calc (scoring engine)'!$K$5:$K$515,0))),""))</f>
        <v/>
      </c>
      <c r="AW23" s="39">
        <f>IF(OR(3&gt;MAX(3,MIN(15,N($D$18))),IFERROR(LARGE('Calc (scoring engine)'!$K$5:$K$515,3),-999999)&lt;=-900000),"",IFERROR(IF(INDEX(Database!$BC$5:$BC$515,MATCH(LARGE('Calc (scoring engine)'!$K$5:$K$515,3),'Calc (scoring engine)'!$K$5:$K$515,0))="","—",INDEX(Database!$BC$5:$BC$515,MATCH(LARGE('Calc (scoring engine)'!$K$5:$K$515,3),'Calc (scoring engine)'!$K$5:$K$515,0))),""))</f>
        <v/>
      </c>
      <c r="AX23" s="42">
        <f>IF(OR(3&gt;MAX(3,MIN(15,N($D$18))),IFERROR(LARGE('Calc (scoring engine)'!$K$5:$K$515,3),-999999)&lt;=-900000),"",IFERROR(IF(INDEX(Database!$BD$5:$BD$515,MATCH(LARGE('Calc (scoring engine)'!$K$5:$K$515,3),'Calc (scoring engine)'!$K$5:$K$515,0))="","—",INDEX(Database!$BD$5:$BD$515,MATCH(LARGE('Calc (scoring engine)'!$K$5:$K$515,3),'Calc (scoring engine)'!$K$5:$K$515,0))),""))</f>
        <v/>
      </c>
      <c r="AY23" s="24">
        <f>IF(OR(3&gt;MAX(3,MIN(15,N($D$18))),IFERROR(LARGE('Calc (scoring engine)'!$K$5:$K$515,3),-999999)&lt;=-900000),"",IFERROR(IF(INDEX(Database!$BE$5:$BE$515,MATCH(LARGE('Calc (scoring engine)'!$K$5:$K$515,3),'Calc (scoring engine)'!$K$5:$K$515,0))="","—",INDEX(Database!$BE$5:$BE$515,MATCH(LARGE('Calc (scoring engine)'!$K$5:$K$515,3),'Calc (scoring engine)'!$K$5:$K$515,0))),""))</f>
        <v/>
      </c>
      <c r="AZ23" s="24">
        <f>IF(OR(3&gt;MAX(3,MIN(15,N($D$18))),IFERROR(LARGE('Calc (scoring engine)'!$K$5:$K$515,3),-999999)&lt;=-900000),"",IFERROR(IF(INDEX(Database!$BF$5:$BF$515,MATCH(LARGE('Calc (scoring engine)'!$K$5:$K$515,3),'Calc (scoring engine)'!$K$5:$K$515,0))="","—",INDEX(Database!$BF$5:$BF$515,MATCH(LARGE('Calc (scoring engine)'!$K$5:$K$515,3),'Calc (scoring engine)'!$K$5:$K$515,0))),""))</f>
        <v/>
      </c>
      <c r="BA23" s="10">
        <f>IF(OR(3&gt;MAX(3,MIN(15,N($D$18))),IFERROR(LARGE('Calc (scoring engine)'!$K$5:$K$515,3),-999999)&lt;=-900000),"",IFERROR(IF(INDEX(Database!$BG$5:$BG$515,MATCH(LARGE('Calc (scoring engine)'!$K$5:$K$515,3),'Calc (scoring engine)'!$K$5:$K$515,0))="","—",INDEX(Database!$BG$5:$BG$515,MATCH(LARGE('Calc (scoring engine)'!$K$5:$K$515,3),'Calc (scoring engine)'!$K$5:$K$515,0))),""))</f>
        <v/>
      </c>
      <c r="BB23" s="10">
        <f>IF(OR(3&gt;MAX(3,MIN(15,N($D$18))),IFERROR(LARGE('Calc (scoring engine)'!$K$5:$K$515,3),-999999)&lt;=-900000),"",IFERROR(IF(INDEX(Database!$BI$5:$BI$515,MATCH(LARGE('Calc (scoring engine)'!$K$5:$K$515,3),'Calc (scoring engine)'!$K$5:$K$515,0))="","—",INDEX(Database!$BI$5:$BI$515,MATCH(LARGE('Calc (scoring engine)'!$K$5:$K$515,3),'Calc (scoring engine)'!$K$5:$K$515,0))),""))</f>
        <v/>
      </c>
      <c r="BC23" s="24">
        <f>IF(OR(3&gt;MAX(3,MIN(15,N($D$18))),IFERROR(LARGE('Calc (scoring engine)'!$K$5:$K$515,3),-999999)&lt;=-900000),"",IFERROR(IFERROR(BDP(TEXT(INDEX(Database!$A$5:$A$515,MATCH(LARGE('Calc (scoring engine)'!$K$5:$K$515,3),'Calc (scoring engine)'!$K$5:$K$515,0)),"0")&amp;" HK Equity","PE_RATIO"),IF(INDEX(Database!$AX$5:$AX$515,MATCH(LARGE('Calc (scoring engine)'!$K$5:$K$515,3),'Calc (scoring engine)'!$K$5:$K$515,0))="","—",INDEX(Database!$AX$5:$AX$515,MATCH(LARGE('Calc (scoring engine)'!$K$5:$K$515,3),'Calc (scoring engine)'!$K$5:$K$515,0)))),""))</f>
        <v/>
      </c>
      <c r="BD23" s="24">
        <f>IF(OR(3&gt;MAX(3,MIN(15,N($D$18))),IFERROR(LARGE('Calc (scoring engine)'!$K$5:$K$515,3),-999999)&lt;=-900000),"",IFERROR(IFERROR(BDP(TEXT(INDEX(Database!$A$5:$A$515,MATCH(LARGE('Calc (scoring engine)'!$K$5:$K$515,3),'Calc (scoring engine)'!$K$5:$K$515,0)),"0")&amp;" HK Equity","PX_TO_SALES_RATIO"),IF(INDEX(Database!$AY$5:$AY$515,MATCH(LARGE('Calc (scoring engine)'!$K$5:$K$515,3),'Calc (scoring engine)'!$K$5:$K$515,0))="","—",INDEX(Database!$AY$5:$AY$515,MATCH(LARGE('Calc (scoring engine)'!$K$5:$K$515,3),'Calc (scoring engine)'!$K$5:$K$515,0)))),""))</f>
        <v/>
      </c>
      <c r="BE23" s="43">
        <f>IF(OR(3&gt;MAX(3,MIN(15,N($D$18))),IFERROR(LARGE('Calc (scoring engine)'!$K$5:$K$515,3),-999999)&lt;=-900000),"",IFERROR(IF(INDEX('Calc (scoring engine)'!$H$5:$H$515,MATCH(LARGE('Calc (scoring engine)'!$K$5:$K$515,3),'Calc (scoring engine)'!$K$5:$K$515,0))&gt;0,INDEX('Calc (scoring engine)'!$H$5:$H$515,MATCH(LARGE('Calc (scoring engine)'!$K$5:$K$515,3),'Calc (scoring engine)'!$K$5:$K$515,0)),""),""))</f>
        <v/>
      </c>
      <c r="BF23" s="10">
        <f>IF(OR(3&gt;MAX(3,MIN(15,N($D$18))),IFERROR(LARGE('Calc (scoring engine)'!$K$5:$K$515,3),-999999)&lt;=-900000),"",IF(IFERROR(INDEX('Calc (scoring engine)'!$B$5:$B$515,MATCH(LARGE('Calc (scoring engine)'!$K$5:$K$515,3),'Calc (scoring engine)'!$K$5:$K$515,0)),0)=1,"same subsector","sector only"))</f>
        <v/>
      </c>
      <c r="BG23" s="43">
        <f>IF(OR(3&gt;MAX(3,MIN(15,N($D$18))),IFERROR(LARGE('Calc (scoring engine)'!$K$5:$K$515,3),-999999)&lt;=-900000),"",ROUND(IFERROR(LARGE('Calc (scoring engine)'!$K$5:$K$515,3),0),0))</f>
        <v/>
      </c>
      <c r="BH23" s="10">
        <f>IF(OR(3&gt;MAX(3,MIN(15,N($D$18))),IFERROR(LARGE('Calc (scoring engine)'!$K$5:$K$515,3),-999999)&lt;=-900000),"",IFERROR("sub "&amp;INDEX('Calc (scoring engine)'!$B$5:$B$515,MATCH(LARGE('Calc (scoring engine)'!$K$5:$K$515,3),'Calc (scoring engine)'!$K$5:$K$515,0))*W_SUB&amp;" + size "&amp;ROUND(INDEX('Calc (scoring engine)'!$D$5:$D$515,MATCH(LARGE('Calc (scoring engine)'!$K$5:$K$515,3),'Calc (scoring engine)'!$K$5:$K$515,0))*W_SIZE,0)&amp;" + prof "&amp;INDEX('Calc (scoring engine)'!$E$5:$E$515,MATCH(LARGE('Calc (scoring engine)'!$K$5:$K$515,3),'Calc (scoring engine)'!$K$5:$K$515,0))*W_PROF&amp;" + recency "&amp;ROUND(INDEX('Calc (scoring engine)'!$G$5:$G$515,MATCH(LARGE('Calc (scoring engine)'!$K$5:$K$515,3),'Calc (scoring engine)'!$K$5:$K$515,0))*W_REC,0)&amp;IF(INDEX('Calc (scoring engine)'!$H$5:$H$515,MATCH(LARGE('Calc (scoring engine)'!$K$5:$K$515,3),'Calc (scoring engine)'!$K$5:$K$515,0))&gt;0," + shared CS x"&amp;INDEX('Calc (scoring engine)'!$H$5:$H$515,MATCH(LARGE('Calc (scoring engine)'!$K$5:$K$515,3),'Calc (scoring engine)'!$K$5:$K$515,0)),""),""))</f>
        <v/>
      </c>
    </row>
    <row r="24">
      <c r="A24" s="38">
        <f>IF(OR(4&gt;MAX(3,MIN(15,N($D$18))),IFERROR(LARGE('Calc (scoring engine)'!$K$5:$K$515,4),-999999)&lt;=-900000),"",4)</f>
        <v/>
      </c>
      <c r="B24" s="10">
        <f>IF(OR(4&gt;MAX(3,MIN(15,N($D$18))),IFERROR(LARGE('Calc (scoring engine)'!$K$5:$K$515,4),-999999)&lt;=-900000),"",IFERROR(IF(INDEX(Database!$B$5:$B$515,MATCH(LARGE('Calc (scoring engine)'!$K$5:$K$515,4),'Calc (scoring engine)'!$K$5:$K$515,0))="","—",INDEX(Database!$B$5:$B$515,MATCH(LARGE('Calc (scoring engine)'!$K$5:$K$515,4),'Calc (scoring engine)'!$K$5:$K$515,0))),""))</f>
        <v/>
      </c>
      <c r="C24" s="10">
        <f>IF(OR(4&gt;MAX(3,MIN(15,N($D$18))),IFERROR(LARGE('Calc (scoring engine)'!$K$5:$K$515,4),-999999)&lt;=-900000),"",IFERROR(IF(INDEX(Database!$D$5:$D$515,MATCH(LARGE('Calc (scoring engine)'!$K$5:$K$515,4),'Calc (scoring engine)'!$K$5:$K$515,0))="","—",INDEX(Database!$D$5:$D$515,MATCH(LARGE('Calc (scoring engine)'!$K$5:$K$515,4),'Calc (scoring engine)'!$K$5:$K$515,0))),""))</f>
        <v/>
      </c>
      <c r="D24" s="10">
        <f>IF(OR(4&gt;MAX(3,MIN(15,N($D$18))),IFERROR(LARGE('Calc (scoring engine)'!$K$5:$K$515,4),-999999)&lt;=-900000),"",IFERROR(IF(INDEX(Database!$E$5:$E$515,MATCH(LARGE('Calc (scoring engine)'!$K$5:$K$515,4),'Calc (scoring engine)'!$K$5:$K$515,0))="","—",INDEX(Database!$E$5:$E$515,MATCH(LARGE('Calc (scoring engine)'!$K$5:$K$515,4),'Calc (scoring engine)'!$K$5:$K$515,0))),""))</f>
        <v/>
      </c>
      <c r="E24" s="10">
        <f>IF(OR(4&gt;MAX(3,MIN(15,N($D$18))),IFERROR(LARGE('Calc (scoring engine)'!$K$5:$K$515,4),-999999)&lt;=-900000),"",IFERROR(IF(INDEX(Database!$F$5:$F$515,MATCH(LARGE('Calc (scoring engine)'!$K$5:$K$515,4),'Calc (scoring engine)'!$K$5:$K$515,0))="","—",INDEX(Database!$F$5:$F$515,MATCH(LARGE('Calc (scoring engine)'!$K$5:$K$515,4),'Calc (scoring engine)'!$K$5:$K$515,0))),""))</f>
        <v/>
      </c>
      <c r="F24" s="10">
        <f>IF(OR(4&gt;MAX(3,MIN(15,N($D$18))),IFERROR(LARGE('Calc (scoring engine)'!$K$5:$K$515,4),-999999)&lt;=-900000),"",IFERROR(IF(INDEX(Database!$G$5:$G$515,MATCH(LARGE('Calc (scoring engine)'!$K$5:$K$515,4),'Calc (scoring engine)'!$K$5:$K$515,0))="","—",INDEX(Database!$G$5:$G$515,MATCH(LARGE('Calc (scoring engine)'!$K$5:$K$515,4),'Calc (scoring engine)'!$K$5:$K$515,0))),""))</f>
        <v/>
      </c>
      <c r="G24" s="21">
        <f>IF(OR(4&gt;MAX(3,MIN(15,N($D$18))),IFERROR(LARGE('Calc (scoring engine)'!$K$5:$K$515,4),-999999)&lt;=-900000),"",IFERROR(IF(INDEX(Database!$H$5:$H$515,MATCH(LARGE('Calc (scoring engine)'!$K$5:$K$515,4),'Calc (scoring engine)'!$K$5:$K$515,0))="","—",INDEX(Database!$H$5:$H$515,MATCH(LARGE('Calc (scoring engine)'!$K$5:$K$515,4),'Calc (scoring engine)'!$K$5:$K$515,0))),""))</f>
        <v/>
      </c>
      <c r="H24" s="18">
        <f>IF(OR(4&gt;MAX(3,MIN(15,N($D$18))),IFERROR(LARGE('Calc (scoring engine)'!$K$5:$K$515,4),-999999)&lt;=-900000),"",IFERROR(IF(INDEX(Database!$I$5:$I$515,MATCH(LARGE('Calc (scoring engine)'!$K$5:$K$515,4),'Calc (scoring engine)'!$K$5:$K$515,0))="","—",INDEX(Database!$I$5:$I$515,MATCH(LARGE('Calc (scoring engine)'!$K$5:$K$515,4),'Calc (scoring engine)'!$K$5:$K$515,0))),""))</f>
        <v/>
      </c>
      <c r="I24" s="39">
        <f>IF(OR(4&gt;MAX(3,MIN(15,N($D$18))),IFERROR(LARGE('Calc (scoring engine)'!$K$5:$K$515,4),-999999)&lt;=-900000),"",IFERROR(IF(INDEX(Database!$K$5:$K$515,MATCH(LARGE('Calc (scoring engine)'!$K$5:$K$515,4),'Calc (scoring engine)'!$K$5:$K$515,0))="","—",INDEX(Database!$K$5:$K$515,MATCH(LARGE('Calc (scoring engine)'!$K$5:$K$515,4),'Calc (scoring engine)'!$K$5:$K$515,0))),""))</f>
        <v/>
      </c>
      <c r="J24" s="39">
        <f>IF(OR(4&gt;MAX(3,MIN(15,N($D$18))),IFERROR(LARGE('Calc (scoring engine)'!$K$5:$K$515,4),-999999)&lt;=-900000),"",IFERROR(IF(INDEX(Database!$L$5:$L$515,MATCH(LARGE('Calc (scoring engine)'!$K$5:$K$515,4),'Calc (scoring engine)'!$K$5:$K$515,0))="","—",INDEX(Database!$L$5:$L$515,MATCH(LARGE('Calc (scoring engine)'!$K$5:$K$515,4),'Calc (scoring engine)'!$K$5:$K$515,0))),""))</f>
        <v/>
      </c>
      <c r="K24" s="39">
        <f>IF(OR(4&gt;MAX(3,MIN(15,N($D$18))),IFERROR(LARGE('Calc (scoring engine)'!$K$5:$K$515,4),-999999)&lt;=-900000),"",IFERROR(IF(INDEX(Database!$M$5:$M$515,MATCH(LARGE('Calc (scoring engine)'!$K$5:$K$515,4),'Calc (scoring engine)'!$K$5:$K$515,0))="","—",INDEX(Database!$M$5:$M$515,MATCH(LARGE('Calc (scoring engine)'!$K$5:$K$515,4),'Calc (scoring engine)'!$K$5:$K$515,0))),""))</f>
        <v/>
      </c>
      <c r="L24" s="10">
        <f>IF(OR(4&gt;MAX(3,MIN(15,N($D$18))),IFERROR(LARGE('Calc (scoring engine)'!$K$5:$K$515,4),-999999)&lt;=-900000),"",IFERROR(IF(INDEX(Database!$N$5:$N$515,MATCH(LARGE('Calc (scoring engine)'!$K$5:$K$515,4),'Calc (scoring engine)'!$K$5:$K$515,0))="","—",INDEX(Database!$N$5:$N$515,MATCH(LARGE('Calc (scoring engine)'!$K$5:$K$515,4),'Calc (scoring engine)'!$K$5:$K$515,0))),""))</f>
        <v/>
      </c>
      <c r="M24" s="28">
        <f>IF(OR(4&gt;MAX(3,MIN(15,N($D$18))),IFERROR(LARGE('Calc (scoring engine)'!$K$5:$K$515,4),-999999)&lt;=-900000),"",IFERROR(IF(INDEX(Database!$O$5:$O$515,MATCH(LARGE('Calc (scoring engine)'!$K$5:$K$515,4),'Calc (scoring engine)'!$K$5:$K$515,0))="","—",INDEX(Database!$O$5:$O$515,MATCH(LARGE('Calc (scoring engine)'!$K$5:$K$515,4),'Calc (scoring engine)'!$K$5:$K$515,0))),""))</f>
        <v/>
      </c>
      <c r="N24" s="28">
        <f>IF(OR(4&gt;MAX(3,MIN(15,N($D$18))),IFERROR(LARGE('Calc (scoring engine)'!$K$5:$K$515,4),-999999)&lt;=-900000),"",IFERROR(IF(INDEX(Database!$P$5:$P$515,MATCH(LARGE('Calc (scoring engine)'!$K$5:$K$515,4),'Calc (scoring engine)'!$K$5:$K$515,0))="","—",INDEX(Database!$P$5:$P$515,MATCH(LARGE('Calc (scoring engine)'!$K$5:$K$515,4),'Calc (scoring engine)'!$K$5:$K$515,0))),""))</f>
        <v/>
      </c>
      <c r="O24" s="18">
        <f>IF(OR(4&gt;MAX(3,MIN(15,N($D$18))),IFERROR(LARGE('Calc (scoring engine)'!$K$5:$K$515,4),-999999)&lt;=-900000),"",IFERROR(IF(INDEX(Database!$Q$5:$Q$515,MATCH(LARGE('Calc (scoring engine)'!$K$5:$K$515,4),'Calc (scoring engine)'!$K$5:$K$515,0))="","—",INDEX(Database!$Q$5:$Q$515,MATCH(LARGE('Calc (scoring engine)'!$K$5:$K$515,4),'Calc (scoring engine)'!$K$5:$K$515,0))),""))</f>
        <v/>
      </c>
      <c r="P24" s="26">
        <f>IF(OR(4&gt;MAX(3,MIN(15,N($D$18))),IFERROR(LARGE('Calc (scoring engine)'!$K$5:$K$515,4),-999999)&lt;=-900000),"",IFERROR(IF(INDEX(Database!$S$5:$S$515,MATCH(LARGE('Calc (scoring engine)'!$K$5:$K$515,4),'Calc (scoring engine)'!$K$5:$K$515,0))="","—",INDEX(Database!$S$5:$S$515,MATCH(LARGE('Calc (scoring engine)'!$K$5:$K$515,4),'Calc (scoring engine)'!$K$5:$K$515,0))),""))</f>
        <v/>
      </c>
      <c r="Q24" s="40">
        <f>IF(OR(4&gt;MAX(3,MIN(15,N($D$18))),IFERROR(LARGE('Calc (scoring engine)'!$K$5:$K$515,4),-999999)&lt;=-900000),"",IFERROR(IF(INDEX(Database!$T$5:$T$515,MATCH(LARGE('Calc (scoring engine)'!$K$5:$K$515,4),'Calc (scoring engine)'!$K$5:$K$515,0))="","—",INDEX(Database!$T$5:$T$515,MATCH(LARGE('Calc (scoring engine)'!$K$5:$K$515,4),'Calc (scoring engine)'!$K$5:$K$515,0))),""))</f>
        <v/>
      </c>
      <c r="R24" s="41">
        <f>IF(OR(4&gt;MAX(3,MIN(15,N($D$18))),IFERROR(LARGE('Calc (scoring engine)'!$K$5:$K$515,4),-999999)&lt;=-900000),"",IFERROR(IF(INDEX(Database!$U$5:$U$515,MATCH(LARGE('Calc (scoring engine)'!$K$5:$K$515,4),'Calc (scoring engine)'!$K$5:$K$515,0))="","—",INDEX(Database!$U$5:$U$515,MATCH(LARGE('Calc (scoring engine)'!$K$5:$K$515,4),'Calc (scoring engine)'!$K$5:$K$515,0))),""))</f>
        <v/>
      </c>
      <c r="S24" s="28">
        <f>IF(OR(4&gt;MAX(3,MIN(15,N($D$18))),IFERROR(LARGE('Calc (scoring engine)'!$K$5:$K$515,4),-999999)&lt;=-900000),"",IFERROR(IF(INDEX(Database!$V$5:$V$515,MATCH(LARGE('Calc (scoring engine)'!$K$5:$K$515,4),'Calc (scoring engine)'!$K$5:$K$515,0))="","—",INDEX(Database!$V$5:$V$515,MATCH(LARGE('Calc (scoring engine)'!$K$5:$K$515,4),'Calc (scoring engine)'!$K$5:$K$515,0))),""))</f>
        <v/>
      </c>
      <c r="T24" s="10">
        <f>IF(OR(4&gt;MAX(3,MIN(15,N($D$18))),IFERROR(LARGE('Calc (scoring engine)'!$K$5:$K$515,4),-999999)&lt;=-900000),"",IFERROR(IF(INDEX(Database!$W$5:$W$515,MATCH(LARGE('Calc (scoring engine)'!$K$5:$K$515,4),'Calc (scoring engine)'!$K$5:$K$515,0))="","—",INDEX(Database!$W$5:$W$515,MATCH(LARGE('Calc (scoring engine)'!$K$5:$K$515,4),'Calc (scoring engine)'!$K$5:$K$515,0))),""))</f>
        <v/>
      </c>
      <c r="U24" s="28">
        <f>IF(OR(4&gt;MAX(3,MIN(15,N($D$18))),IFERROR(LARGE('Calc (scoring engine)'!$K$5:$K$515,4),-999999)&lt;=-900000),"",IFERROR(IF(INDEX(Database!$Y$5:$Y$515,MATCH(LARGE('Calc (scoring engine)'!$K$5:$K$515,4),'Calc (scoring engine)'!$K$5:$K$515,0))="","—",INDEX(Database!$Y$5:$Y$515,MATCH(LARGE('Calc (scoring engine)'!$K$5:$K$515,4),'Calc (scoring engine)'!$K$5:$K$515,0))),""))</f>
        <v/>
      </c>
      <c r="V24" s="10">
        <f>IF(OR(4&gt;MAX(3,MIN(15,N($D$18))),IFERROR(LARGE('Calc (scoring engine)'!$K$5:$K$515,4),-999999)&lt;=-900000),"",IFERROR(IF(INDEX(Database!$Z$5:$Z$515,MATCH(LARGE('Calc (scoring engine)'!$K$5:$K$515,4),'Calc (scoring engine)'!$K$5:$K$515,0))="","—",INDEX(Database!$Z$5:$Z$515,MATCH(LARGE('Calc (scoring engine)'!$K$5:$K$515,4),'Calc (scoring engine)'!$K$5:$K$515,0))),""))</f>
        <v/>
      </c>
      <c r="W24" s="23">
        <f>IF(OR(4&gt;MAX(3,MIN(15,N($D$18))),IFERROR(LARGE('Calc (scoring engine)'!$K$5:$K$515,4),-999999)&lt;=-900000),"",IFERROR(IF(INDEX(Database!$AA$5:$AA$515,MATCH(LARGE('Calc (scoring engine)'!$K$5:$K$515,4),'Calc (scoring engine)'!$K$5:$K$515,0))="","—",INDEX(Database!$AA$5:$AA$515,MATCH(LARGE('Calc (scoring engine)'!$K$5:$K$515,4),'Calc (scoring engine)'!$K$5:$K$515,0))),""))</f>
        <v/>
      </c>
      <c r="X24" s="23">
        <f>IF(OR(4&gt;MAX(3,MIN(15,N($D$18))),IFERROR(LARGE('Calc (scoring engine)'!$K$5:$K$515,4),-999999)&lt;=-900000),"",IFERROR(IF(INDEX(Database!$AB$5:$AB$515,MATCH(LARGE('Calc (scoring engine)'!$K$5:$K$515,4),'Calc (scoring engine)'!$K$5:$K$515,0))="","—",INDEX(Database!$AB$5:$AB$515,MATCH(LARGE('Calc (scoring engine)'!$K$5:$K$515,4),'Calc (scoring engine)'!$K$5:$K$515,0))),""))</f>
        <v/>
      </c>
      <c r="Y24" s="23">
        <f>IF(OR(4&gt;MAX(3,MIN(15,N($D$18))),IFERROR(LARGE('Calc (scoring engine)'!$K$5:$K$515,4),-999999)&lt;=-900000),"",IFERROR(IF(INDEX(Database!$AC$5:$AC$515,MATCH(LARGE('Calc (scoring engine)'!$K$5:$K$515,4),'Calc (scoring engine)'!$K$5:$K$515,0))="","—",INDEX(Database!$AC$5:$AC$515,MATCH(LARGE('Calc (scoring engine)'!$K$5:$K$515,4),'Calc (scoring engine)'!$K$5:$K$515,0))),""))</f>
        <v/>
      </c>
      <c r="Z24" s="23">
        <f>IF(OR(4&gt;MAX(3,MIN(15,N($D$18))),IFERROR(LARGE('Calc (scoring engine)'!$K$5:$K$515,4),-999999)&lt;=-900000),"",IFERROR(IF(INDEX(Database!$AD$5:$AD$515,MATCH(LARGE('Calc (scoring engine)'!$K$5:$K$515,4),'Calc (scoring engine)'!$K$5:$K$515,0))="","—",INDEX(Database!$AD$5:$AD$515,MATCH(LARGE('Calc (scoring engine)'!$K$5:$K$515,4),'Calc (scoring engine)'!$K$5:$K$515,0))),""))</f>
        <v/>
      </c>
      <c r="AA24" s="23">
        <f>IF(OR(4&gt;MAX(3,MIN(15,N($D$18))),IFERROR(LARGE('Calc (scoring engine)'!$K$5:$K$515,4),-999999)&lt;=-900000),"",IFERROR(IF(INDEX(Database!$AE$5:$AE$515,MATCH(LARGE('Calc (scoring engine)'!$K$5:$K$515,4),'Calc (scoring engine)'!$K$5:$K$515,0))="","—",INDEX(Database!$AE$5:$AE$515,MATCH(LARGE('Calc (scoring engine)'!$K$5:$K$515,4),'Calc (scoring engine)'!$K$5:$K$515,0))),""))</f>
        <v/>
      </c>
      <c r="AB24" s="23">
        <f>IF(OR(4&gt;MAX(3,MIN(15,N($D$18))),IFERROR(LARGE('Calc (scoring engine)'!$K$5:$K$515,4),-999999)&lt;=-900000),"",IFERROR(IF(INDEX(Database!$AF$5:$AF$515,MATCH(LARGE('Calc (scoring engine)'!$K$5:$K$515,4),'Calc (scoring engine)'!$K$5:$K$515,0))="","—",INDEX(Database!$AF$5:$AF$515,MATCH(LARGE('Calc (scoring engine)'!$K$5:$K$515,4),'Calc (scoring engine)'!$K$5:$K$515,0))),""))</f>
        <v/>
      </c>
      <c r="AC24" s="23">
        <f>IF(OR(4&gt;MAX(3,MIN(15,N($D$18))),IFERROR(LARGE('Calc (scoring engine)'!$K$5:$K$515,4),-999999)&lt;=-900000),"",IFERROR(IF(INDEX(Database!$AG$5:$AG$515,MATCH(LARGE('Calc (scoring engine)'!$K$5:$K$515,4),'Calc (scoring engine)'!$K$5:$K$515,0))="","—",INDEX(Database!$AG$5:$AG$515,MATCH(LARGE('Calc (scoring engine)'!$K$5:$K$515,4),'Calc (scoring engine)'!$K$5:$K$515,0))),""))</f>
        <v/>
      </c>
      <c r="AD24" s="23">
        <f>IF(OR(4&gt;MAX(3,MIN(15,N($D$18))),IFERROR(LARGE('Calc (scoring engine)'!$K$5:$K$515,4),-999999)&lt;=-900000),"",IFERROR(IF(INDEX(Database!$AH$5:$AH$515,MATCH(LARGE('Calc (scoring engine)'!$K$5:$K$515,4),'Calc (scoring engine)'!$K$5:$K$515,0))="","—",INDEX(Database!$AH$5:$AH$515,MATCH(LARGE('Calc (scoring engine)'!$K$5:$K$515,4),'Calc (scoring engine)'!$K$5:$K$515,0))),""))</f>
        <v/>
      </c>
      <c r="AE24" s="23">
        <f>IF(OR(4&gt;MAX(3,MIN(15,N($D$18))),IFERROR(LARGE('Calc (scoring engine)'!$K$5:$K$515,4),-999999)&lt;=-900000),"",IFERROR(IF(INDEX(Database!$AI$5:$AI$515,MATCH(LARGE('Calc (scoring engine)'!$K$5:$K$515,4),'Calc (scoring engine)'!$K$5:$K$515,0))="","—",INDEX(Database!$AI$5:$AI$515,MATCH(LARGE('Calc (scoring engine)'!$K$5:$K$515,4),'Calc (scoring engine)'!$K$5:$K$515,0))),""))</f>
        <v/>
      </c>
      <c r="AF24" s="23">
        <f>IF(OR(4&gt;MAX(3,MIN(15,N($D$18))),IFERROR(LARGE('Calc (scoring engine)'!$K$5:$K$515,4),-999999)&lt;=-900000),"",IFERROR(IF(INDEX(Database!$AJ$5:$AJ$515,MATCH(LARGE('Calc (scoring engine)'!$K$5:$K$515,4),'Calc (scoring engine)'!$K$5:$K$515,0))="","—",INDEX(Database!$AJ$5:$AJ$515,MATCH(LARGE('Calc (scoring engine)'!$K$5:$K$515,4),'Calc (scoring engine)'!$K$5:$K$515,0))),""))</f>
        <v/>
      </c>
      <c r="AG24" s="23">
        <f>IF(OR(4&gt;MAX(3,MIN(15,N($D$18))),IFERROR(LARGE('Calc (scoring engine)'!$K$5:$K$515,4),-999999)&lt;=-900000),"",IFERROR(IF(INDEX(Database!$AK$5:$AK$515,MATCH(LARGE('Calc (scoring engine)'!$K$5:$K$515,4),'Calc (scoring engine)'!$K$5:$K$515,0))="","—",INDEX(Database!$AK$5:$AK$515,MATCH(LARGE('Calc (scoring engine)'!$K$5:$K$515,4),'Calc (scoring engine)'!$K$5:$K$515,0))),""))</f>
        <v/>
      </c>
      <c r="AH24" s="23">
        <f>IF(OR(4&gt;MAX(3,MIN(15,N($D$18))),IFERROR(LARGE('Calc (scoring engine)'!$K$5:$K$515,4),-999999)&lt;=-900000),"",IFERROR(IF(INDEX(Database!$AL$5:$AL$515,MATCH(LARGE('Calc (scoring engine)'!$K$5:$K$515,4),'Calc (scoring engine)'!$K$5:$K$515,0))="","—",INDEX(Database!$AL$5:$AL$515,MATCH(LARGE('Calc (scoring engine)'!$K$5:$K$515,4),'Calc (scoring engine)'!$K$5:$K$515,0))),""))</f>
        <v/>
      </c>
      <c r="AI24" s="23">
        <f>IF(OR(4&gt;MAX(3,MIN(15,N($D$18))),IFERROR(LARGE('Calc (scoring engine)'!$K$5:$K$515,4),-999999)&lt;=-900000),"",IFERROR(IF(INDEX(Database!$AM$5:$AM$515,MATCH(LARGE('Calc (scoring engine)'!$K$5:$K$515,4),'Calc (scoring engine)'!$K$5:$K$515,0))="","—",INDEX(Database!$AM$5:$AM$515,MATCH(LARGE('Calc (scoring engine)'!$K$5:$K$515,4),'Calc (scoring engine)'!$K$5:$K$515,0))),""))</f>
        <v/>
      </c>
      <c r="AJ24" s="23">
        <f>IF(OR(4&gt;MAX(3,MIN(15,N($D$18))),IFERROR(LARGE('Calc (scoring engine)'!$K$5:$K$515,4),-999999)&lt;=-900000),"",IFERROR(IF(INDEX(Database!$AN$5:$AN$515,MATCH(LARGE('Calc (scoring engine)'!$K$5:$K$515,4),'Calc (scoring engine)'!$K$5:$K$515,0))="","—",INDEX(Database!$AN$5:$AN$515,MATCH(LARGE('Calc (scoring engine)'!$K$5:$K$515,4),'Calc (scoring engine)'!$K$5:$K$515,0))),""))</f>
        <v/>
      </c>
      <c r="AK24" s="23">
        <f>IF(OR(4&gt;MAX(3,MIN(15,N($D$18))),IFERROR(LARGE('Calc (scoring engine)'!$K$5:$K$515,4),-999999)&lt;=-900000),"",IFERROR(IF(INDEX(Database!$AO$5:$AO$515,MATCH(LARGE('Calc (scoring engine)'!$K$5:$K$515,4),'Calc (scoring engine)'!$K$5:$K$515,0))="","—",INDEX(Database!$AO$5:$AO$515,MATCH(LARGE('Calc (scoring engine)'!$K$5:$K$515,4),'Calc (scoring engine)'!$K$5:$K$515,0))),""))</f>
        <v/>
      </c>
      <c r="AL24" s="23">
        <f>IF(OR(4&gt;MAX(3,MIN(15,N($D$18))),IFERROR(LARGE('Calc (scoring engine)'!$K$5:$K$515,4),-999999)&lt;=-900000),"",IFERROR(IF(INDEX(Database!$AQ$5:$AQ$515,MATCH(LARGE('Calc (scoring engine)'!$K$5:$K$515,4),'Calc (scoring engine)'!$K$5:$K$515,0))="","—",INDEX(Database!$AQ$5:$AQ$515,MATCH(LARGE('Calc (scoring engine)'!$K$5:$K$515,4),'Calc (scoring engine)'!$K$5:$K$515,0))),""))</f>
        <v/>
      </c>
      <c r="AM24" s="18">
        <f>IF(OR(4&gt;MAX(3,MIN(15,N($D$18))),IFERROR(LARGE('Calc (scoring engine)'!$K$5:$K$515,4),-999999)&lt;=-900000),"",IFERROR(IF(INDEX(Database!$AS$5:$AS$515,MATCH(LARGE('Calc (scoring engine)'!$K$5:$K$515,4),'Calc (scoring engine)'!$K$5:$K$515,0))="","—",INDEX(Database!$AS$5:$AS$515,MATCH(LARGE('Calc (scoring engine)'!$K$5:$K$515,4),'Calc (scoring engine)'!$K$5:$K$515,0))),""))</f>
        <v/>
      </c>
      <c r="AN24" s="18">
        <f>IF(OR(4&gt;MAX(3,MIN(15,N($D$18))),IFERROR(LARGE('Calc (scoring engine)'!$K$5:$K$515,4),-999999)&lt;=-900000),"",IFERROR(IF(INDEX(Database!$AT$5:$AT$515,MATCH(LARGE('Calc (scoring engine)'!$K$5:$K$515,4),'Calc (scoring engine)'!$K$5:$K$515,0))="","—",INDEX(Database!$AT$5:$AT$515,MATCH(LARGE('Calc (scoring engine)'!$K$5:$K$515,4),'Calc (scoring engine)'!$K$5:$K$515,0))),""))</f>
        <v/>
      </c>
      <c r="AO24" s="10">
        <f>IF(OR(4&gt;MAX(3,MIN(15,N($D$18))),IFERROR(LARGE('Calc (scoring engine)'!$K$5:$K$515,4),-999999)&lt;=-900000),"",IFERROR(IF(INDEX(Database!$AU$5:$AU$515,MATCH(LARGE('Calc (scoring engine)'!$K$5:$K$515,4),'Calc (scoring engine)'!$K$5:$K$515,0))="","—",INDEX(Database!$AU$5:$AU$515,MATCH(LARGE('Calc (scoring engine)'!$K$5:$K$515,4),'Calc (scoring engine)'!$K$5:$K$515,0))),""))</f>
        <v/>
      </c>
      <c r="AP24" s="24">
        <f>IF(OR(4&gt;MAX(3,MIN(15,N($D$18))),IFERROR(LARGE('Calc (scoring engine)'!$K$5:$K$515,4),-999999)&lt;=-900000),"",IFERROR(IF(N(INDEX(Database!$AV$5:$AV$515,MATCH(LARGE('Calc (scoring engine)'!$K$5:$K$515,4),'Calc (scoring engine)'!$K$5:$K$515,0)))&lt;=0,IF(INDEX(Database!$AU$5:$AU$515,MATCH(LARGE('Calc (scoring engine)'!$K$5:$K$515,4),'Calc (scoring engine)'!$K$5:$K$515,0))="N","n/m","—"),INDEX(Database!$AV$5:$AV$515,MATCH(LARGE('Calc (scoring engine)'!$K$5:$K$515,4),'Calc (scoring engine)'!$K$5:$K$515,0))),""))</f>
        <v/>
      </c>
      <c r="AQ24" s="24">
        <f>IF(OR(4&gt;MAX(3,MIN(15,N($D$18))),IFERROR(LARGE('Calc (scoring engine)'!$K$5:$K$515,4),-999999)&lt;=-900000),"",IFERROR(IF(INDEX(Database!$AW$5:$AW$515,MATCH(LARGE('Calc (scoring engine)'!$K$5:$K$515,4),'Calc (scoring engine)'!$K$5:$K$515,0))="","—",INDEX(Database!$AW$5:$AW$515,MATCH(LARGE('Calc (scoring engine)'!$K$5:$K$515,4),'Calc (scoring engine)'!$K$5:$K$515,0))),""))</f>
        <v/>
      </c>
      <c r="AR24" s="24">
        <f>IF(OR(4&gt;MAX(3,MIN(15,N($D$18))),IFERROR(LARGE('Calc (scoring engine)'!$K$5:$K$515,4),-999999)&lt;=-900000),"",IFERROR(IF(INDEX(Database!$AX$5:$AX$515,MATCH(LARGE('Calc (scoring engine)'!$K$5:$K$515,4),'Calc (scoring engine)'!$K$5:$K$515,0))="","—",INDEX(Database!$AX$5:$AX$515,MATCH(LARGE('Calc (scoring engine)'!$K$5:$K$515,4),'Calc (scoring engine)'!$K$5:$K$515,0))),""))</f>
        <v/>
      </c>
      <c r="AS24" s="24">
        <f>IF(OR(4&gt;MAX(3,MIN(15,N($D$18))),IFERROR(LARGE('Calc (scoring engine)'!$K$5:$K$515,4),-999999)&lt;=-900000),"",IFERROR(IF(INDEX(Database!$AY$5:$AY$515,MATCH(LARGE('Calc (scoring engine)'!$K$5:$K$515,4),'Calc (scoring engine)'!$K$5:$K$515,0))="","—",INDEX(Database!$AY$5:$AY$515,MATCH(LARGE('Calc (scoring engine)'!$K$5:$K$515,4),'Calc (scoring engine)'!$K$5:$K$515,0))),""))</f>
        <v/>
      </c>
      <c r="AT24" s="10">
        <f>IF(OR(4&gt;MAX(3,MIN(15,N($D$18))),IFERROR(LARGE('Calc (scoring engine)'!$K$5:$K$515,4),-999999)&lt;=-900000),"",IFERROR(IF(INDEX(Database!$AZ$5:$AZ$515,MATCH(LARGE('Calc (scoring engine)'!$K$5:$K$515,4),'Calc (scoring engine)'!$K$5:$K$515,0))="","—",INDEX(Database!$AZ$5:$AZ$515,MATCH(LARGE('Calc (scoring engine)'!$K$5:$K$515,4),'Calc (scoring engine)'!$K$5:$K$515,0))),""))</f>
        <v/>
      </c>
      <c r="AU24" s="10">
        <f>IF(OR(4&gt;MAX(3,MIN(15,N($D$18))),IFERROR(LARGE('Calc (scoring engine)'!$K$5:$K$515,4),-999999)&lt;=-900000),"",IFERROR(IF(INDEX(Database!$BA$5:$BA$515,MATCH(LARGE('Calc (scoring engine)'!$K$5:$K$515,4),'Calc (scoring engine)'!$K$5:$K$515,0))="","—",INDEX(Database!$BA$5:$BA$515,MATCH(LARGE('Calc (scoring engine)'!$K$5:$K$515,4),'Calc (scoring engine)'!$K$5:$K$515,0))),""))</f>
        <v/>
      </c>
      <c r="AV24" s="23">
        <f>IF(OR(4&gt;MAX(3,MIN(15,N($D$18))),IFERROR(LARGE('Calc (scoring engine)'!$K$5:$K$515,4),-999999)&lt;=-900000),"",IFERROR(IF(INDEX(Database!$BB$5:$BB$515,MATCH(LARGE('Calc (scoring engine)'!$K$5:$K$515,4),'Calc (scoring engine)'!$K$5:$K$515,0))="","—",INDEX(Database!$BB$5:$BB$515,MATCH(LARGE('Calc (scoring engine)'!$K$5:$K$515,4),'Calc (scoring engine)'!$K$5:$K$515,0))),""))</f>
        <v/>
      </c>
      <c r="AW24" s="39">
        <f>IF(OR(4&gt;MAX(3,MIN(15,N($D$18))),IFERROR(LARGE('Calc (scoring engine)'!$K$5:$K$515,4),-999999)&lt;=-900000),"",IFERROR(IF(INDEX(Database!$BC$5:$BC$515,MATCH(LARGE('Calc (scoring engine)'!$K$5:$K$515,4),'Calc (scoring engine)'!$K$5:$K$515,0))="","—",INDEX(Database!$BC$5:$BC$515,MATCH(LARGE('Calc (scoring engine)'!$K$5:$K$515,4),'Calc (scoring engine)'!$K$5:$K$515,0))),""))</f>
        <v/>
      </c>
      <c r="AX24" s="42">
        <f>IF(OR(4&gt;MAX(3,MIN(15,N($D$18))),IFERROR(LARGE('Calc (scoring engine)'!$K$5:$K$515,4),-999999)&lt;=-900000),"",IFERROR(IF(INDEX(Database!$BD$5:$BD$515,MATCH(LARGE('Calc (scoring engine)'!$K$5:$K$515,4),'Calc (scoring engine)'!$K$5:$K$515,0))="","—",INDEX(Database!$BD$5:$BD$515,MATCH(LARGE('Calc (scoring engine)'!$K$5:$K$515,4),'Calc (scoring engine)'!$K$5:$K$515,0))),""))</f>
        <v/>
      </c>
      <c r="AY24" s="24">
        <f>IF(OR(4&gt;MAX(3,MIN(15,N($D$18))),IFERROR(LARGE('Calc (scoring engine)'!$K$5:$K$515,4),-999999)&lt;=-900000),"",IFERROR(IF(INDEX(Database!$BE$5:$BE$515,MATCH(LARGE('Calc (scoring engine)'!$K$5:$K$515,4),'Calc (scoring engine)'!$K$5:$K$515,0))="","—",INDEX(Database!$BE$5:$BE$515,MATCH(LARGE('Calc (scoring engine)'!$K$5:$K$515,4),'Calc (scoring engine)'!$K$5:$K$515,0))),""))</f>
        <v/>
      </c>
      <c r="AZ24" s="24">
        <f>IF(OR(4&gt;MAX(3,MIN(15,N($D$18))),IFERROR(LARGE('Calc (scoring engine)'!$K$5:$K$515,4),-999999)&lt;=-900000),"",IFERROR(IF(INDEX(Database!$BF$5:$BF$515,MATCH(LARGE('Calc (scoring engine)'!$K$5:$K$515,4),'Calc (scoring engine)'!$K$5:$K$515,0))="","—",INDEX(Database!$BF$5:$BF$515,MATCH(LARGE('Calc (scoring engine)'!$K$5:$K$515,4),'Calc (scoring engine)'!$K$5:$K$515,0))),""))</f>
        <v/>
      </c>
      <c r="BA24" s="10">
        <f>IF(OR(4&gt;MAX(3,MIN(15,N($D$18))),IFERROR(LARGE('Calc (scoring engine)'!$K$5:$K$515,4),-999999)&lt;=-900000),"",IFERROR(IF(INDEX(Database!$BG$5:$BG$515,MATCH(LARGE('Calc (scoring engine)'!$K$5:$K$515,4),'Calc (scoring engine)'!$K$5:$K$515,0))="","—",INDEX(Database!$BG$5:$BG$515,MATCH(LARGE('Calc (scoring engine)'!$K$5:$K$515,4),'Calc (scoring engine)'!$K$5:$K$515,0))),""))</f>
        <v/>
      </c>
      <c r="BB24" s="10">
        <f>IF(OR(4&gt;MAX(3,MIN(15,N($D$18))),IFERROR(LARGE('Calc (scoring engine)'!$K$5:$K$515,4),-999999)&lt;=-900000),"",IFERROR(IF(INDEX(Database!$BI$5:$BI$515,MATCH(LARGE('Calc (scoring engine)'!$K$5:$K$515,4),'Calc (scoring engine)'!$K$5:$K$515,0))="","—",INDEX(Database!$BI$5:$BI$515,MATCH(LARGE('Calc (scoring engine)'!$K$5:$K$515,4),'Calc (scoring engine)'!$K$5:$K$515,0))),""))</f>
        <v/>
      </c>
      <c r="BC24" s="24">
        <f>IF(OR(4&gt;MAX(3,MIN(15,N($D$18))),IFERROR(LARGE('Calc (scoring engine)'!$K$5:$K$515,4),-999999)&lt;=-900000),"",IFERROR(IFERROR(BDP(TEXT(INDEX(Database!$A$5:$A$515,MATCH(LARGE('Calc (scoring engine)'!$K$5:$K$515,4),'Calc (scoring engine)'!$K$5:$K$515,0)),"0")&amp;" HK Equity","PE_RATIO"),IF(INDEX(Database!$AX$5:$AX$515,MATCH(LARGE('Calc (scoring engine)'!$K$5:$K$515,4),'Calc (scoring engine)'!$K$5:$K$515,0))="","—",INDEX(Database!$AX$5:$AX$515,MATCH(LARGE('Calc (scoring engine)'!$K$5:$K$515,4),'Calc (scoring engine)'!$K$5:$K$515,0)))),""))</f>
        <v/>
      </c>
      <c r="BD24" s="24">
        <f>IF(OR(4&gt;MAX(3,MIN(15,N($D$18))),IFERROR(LARGE('Calc (scoring engine)'!$K$5:$K$515,4),-999999)&lt;=-900000),"",IFERROR(IFERROR(BDP(TEXT(INDEX(Database!$A$5:$A$515,MATCH(LARGE('Calc (scoring engine)'!$K$5:$K$515,4),'Calc (scoring engine)'!$K$5:$K$515,0)),"0")&amp;" HK Equity","PX_TO_SALES_RATIO"),IF(INDEX(Database!$AY$5:$AY$515,MATCH(LARGE('Calc (scoring engine)'!$K$5:$K$515,4),'Calc (scoring engine)'!$K$5:$K$515,0))="","—",INDEX(Database!$AY$5:$AY$515,MATCH(LARGE('Calc (scoring engine)'!$K$5:$K$515,4),'Calc (scoring engine)'!$K$5:$K$515,0)))),""))</f>
        <v/>
      </c>
      <c r="BE24" s="43">
        <f>IF(OR(4&gt;MAX(3,MIN(15,N($D$18))),IFERROR(LARGE('Calc (scoring engine)'!$K$5:$K$515,4),-999999)&lt;=-900000),"",IFERROR(IF(INDEX('Calc (scoring engine)'!$H$5:$H$515,MATCH(LARGE('Calc (scoring engine)'!$K$5:$K$515,4),'Calc (scoring engine)'!$K$5:$K$515,0))&gt;0,INDEX('Calc (scoring engine)'!$H$5:$H$515,MATCH(LARGE('Calc (scoring engine)'!$K$5:$K$515,4),'Calc (scoring engine)'!$K$5:$K$515,0)),""),""))</f>
        <v/>
      </c>
      <c r="BF24" s="10">
        <f>IF(OR(4&gt;MAX(3,MIN(15,N($D$18))),IFERROR(LARGE('Calc (scoring engine)'!$K$5:$K$515,4),-999999)&lt;=-900000),"",IF(IFERROR(INDEX('Calc (scoring engine)'!$B$5:$B$515,MATCH(LARGE('Calc (scoring engine)'!$K$5:$K$515,4),'Calc (scoring engine)'!$K$5:$K$515,0)),0)=1,"same subsector","sector only"))</f>
        <v/>
      </c>
      <c r="BG24" s="43">
        <f>IF(OR(4&gt;MAX(3,MIN(15,N($D$18))),IFERROR(LARGE('Calc (scoring engine)'!$K$5:$K$515,4),-999999)&lt;=-900000),"",ROUND(IFERROR(LARGE('Calc (scoring engine)'!$K$5:$K$515,4),0),0))</f>
        <v/>
      </c>
      <c r="BH24" s="10">
        <f>IF(OR(4&gt;MAX(3,MIN(15,N($D$18))),IFERROR(LARGE('Calc (scoring engine)'!$K$5:$K$515,4),-999999)&lt;=-900000),"",IFERROR("sub "&amp;INDEX('Calc (scoring engine)'!$B$5:$B$515,MATCH(LARGE('Calc (scoring engine)'!$K$5:$K$515,4),'Calc (scoring engine)'!$K$5:$K$515,0))*W_SUB&amp;" + size "&amp;ROUND(INDEX('Calc (scoring engine)'!$D$5:$D$515,MATCH(LARGE('Calc (scoring engine)'!$K$5:$K$515,4),'Calc (scoring engine)'!$K$5:$K$515,0))*W_SIZE,0)&amp;" + prof "&amp;INDEX('Calc (scoring engine)'!$E$5:$E$515,MATCH(LARGE('Calc (scoring engine)'!$K$5:$K$515,4),'Calc (scoring engine)'!$K$5:$K$515,0))*W_PROF&amp;" + recency "&amp;ROUND(INDEX('Calc (scoring engine)'!$G$5:$G$515,MATCH(LARGE('Calc (scoring engine)'!$K$5:$K$515,4),'Calc (scoring engine)'!$K$5:$K$515,0))*W_REC,0)&amp;IF(INDEX('Calc (scoring engine)'!$H$5:$H$515,MATCH(LARGE('Calc (scoring engine)'!$K$5:$K$515,4),'Calc (scoring engine)'!$K$5:$K$515,0))&gt;0," + shared CS x"&amp;INDEX('Calc (scoring engine)'!$H$5:$H$515,MATCH(LARGE('Calc (scoring engine)'!$K$5:$K$515,4),'Calc (scoring engine)'!$K$5:$K$515,0)),""),""))</f>
        <v/>
      </c>
    </row>
    <row r="25">
      <c r="A25" s="38">
        <f>IF(OR(5&gt;MAX(3,MIN(15,N($D$18))),IFERROR(LARGE('Calc (scoring engine)'!$K$5:$K$515,5),-999999)&lt;=-900000),"",5)</f>
        <v/>
      </c>
      <c r="B25" s="10">
        <f>IF(OR(5&gt;MAX(3,MIN(15,N($D$18))),IFERROR(LARGE('Calc (scoring engine)'!$K$5:$K$515,5),-999999)&lt;=-900000),"",IFERROR(IF(INDEX(Database!$B$5:$B$515,MATCH(LARGE('Calc (scoring engine)'!$K$5:$K$515,5),'Calc (scoring engine)'!$K$5:$K$515,0))="","—",INDEX(Database!$B$5:$B$515,MATCH(LARGE('Calc (scoring engine)'!$K$5:$K$515,5),'Calc (scoring engine)'!$K$5:$K$515,0))),""))</f>
        <v/>
      </c>
      <c r="C25" s="10">
        <f>IF(OR(5&gt;MAX(3,MIN(15,N($D$18))),IFERROR(LARGE('Calc (scoring engine)'!$K$5:$K$515,5),-999999)&lt;=-900000),"",IFERROR(IF(INDEX(Database!$D$5:$D$515,MATCH(LARGE('Calc (scoring engine)'!$K$5:$K$515,5),'Calc (scoring engine)'!$K$5:$K$515,0))="","—",INDEX(Database!$D$5:$D$515,MATCH(LARGE('Calc (scoring engine)'!$K$5:$K$515,5),'Calc (scoring engine)'!$K$5:$K$515,0))),""))</f>
        <v/>
      </c>
      <c r="D25" s="10">
        <f>IF(OR(5&gt;MAX(3,MIN(15,N($D$18))),IFERROR(LARGE('Calc (scoring engine)'!$K$5:$K$515,5),-999999)&lt;=-900000),"",IFERROR(IF(INDEX(Database!$E$5:$E$515,MATCH(LARGE('Calc (scoring engine)'!$K$5:$K$515,5),'Calc (scoring engine)'!$K$5:$K$515,0))="","—",INDEX(Database!$E$5:$E$515,MATCH(LARGE('Calc (scoring engine)'!$K$5:$K$515,5),'Calc (scoring engine)'!$K$5:$K$515,0))),""))</f>
        <v/>
      </c>
      <c r="E25" s="10">
        <f>IF(OR(5&gt;MAX(3,MIN(15,N($D$18))),IFERROR(LARGE('Calc (scoring engine)'!$K$5:$K$515,5),-999999)&lt;=-900000),"",IFERROR(IF(INDEX(Database!$F$5:$F$515,MATCH(LARGE('Calc (scoring engine)'!$K$5:$K$515,5),'Calc (scoring engine)'!$K$5:$K$515,0))="","—",INDEX(Database!$F$5:$F$515,MATCH(LARGE('Calc (scoring engine)'!$K$5:$K$515,5),'Calc (scoring engine)'!$K$5:$K$515,0))),""))</f>
        <v/>
      </c>
      <c r="F25" s="10">
        <f>IF(OR(5&gt;MAX(3,MIN(15,N($D$18))),IFERROR(LARGE('Calc (scoring engine)'!$K$5:$K$515,5),-999999)&lt;=-900000),"",IFERROR(IF(INDEX(Database!$G$5:$G$515,MATCH(LARGE('Calc (scoring engine)'!$K$5:$K$515,5),'Calc (scoring engine)'!$K$5:$K$515,0))="","—",INDEX(Database!$G$5:$G$515,MATCH(LARGE('Calc (scoring engine)'!$K$5:$K$515,5),'Calc (scoring engine)'!$K$5:$K$515,0))),""))</f>
        <v/>
      </c>
      <c r="G25" s="21">
        <f>IF(OR(5&gt;MAX(3,MIN(15,N($D$18))),IFERROR(LARGE('Calc (scoring engine)'!$K$5:$K$515,5),-999999)&lt;=-900000),"",IFERROR(IF(INDEX(Database!$H$5:$H$515,MATCH(LARGE('Calc (scoring engine)'!$K$5:$K$515,5),'Calc (scoring engine)'!$K$5:$K$515,0))="","—",INDEX(Database!$H$5:$H$515,MATCH(LARGE('Calc (scoring engine)'!$K$5:$K$515,5),'Calc (scoring engine)'!$K$5:$K$515,0))),""))</f>
        <v/>
      </c>
      <c r="H25" s="18">
        <f>IF(OR(5&gt;MAX(3,MIN(15,N($D$18))),IFERROR(LARGE('Calc (scoring engine)'!$K$5:$K$515,5),-999999)&lt;=-900000),"",IFERROR(IF(INDEX(Database!$I$5:$I$515,MATCH(LARGE('Calc (scoring engine)'!$K$5:$K$515,5),'Calc (scoring engine)'!$K$5:$K$515,0))="","—",INDEX(Database!$I$5:$I$515,MATCH(LARGE('Calc (scoring engine)'!$K$5:$K$515,5),'Calc (scoring engine)'!$K$5:$K$515,0))),""))</f>
        <v/>
      </c>
      <c r="I25" s="39">
        <f>IF(OR(5&gt;MAX(3,MIN(15,N($D$18))),IFERROR(LARGE('Calc (scoring engine)'!$K$5:$K$515,5),-999999)&lt;=-900000),"",IFERROR(IF(INDEX(Database!$K$5:$K$515,MATCH(LARGE('Calc (scoring engine)'!$K$5:$K$515,5),'Calc (scoring engine)'!$K$5:$K$515,0))="","—",INDEX(Database!$K$5:$K$515,MATCH(LARGE('Calc (scoring engine)'!$K$5:$K$515,5),'Calc (scoring engine)'!$K$5:$K$515,0))),""))</f>
        <v/>
      </c>
      <c r="J25" s="39">
        <f>IF(OR(5&gt;MAX(3,MIN(15,N($D$18))),IFERROR(LARGE('Calc (scoring engine)'!$K$5:$K$515,5),-999999)&lt;=-900000),"",IFERROR(IF(INDEX(Database!$L$5:$L$515,MATCH(LARGE('Calc (scoring engine)'!$K$5:$K$515,5),'Calc (scoring engine)'!$K$5:$K$515,0))="","—",INDEX(Database!$L$5:$L$515,MATCH(LARGE('Calc (scoring engine)'!$K$5:$K$515,5),'Calc (scoring engine)'!$K$5:$K$515,0))),""))</f>
        <v/>
      </c>
      <c r="K25" s="39">
        <f>IF(OR(5&gt;MAX(3,MIN(15,N($D$18))),IFERROR(LARGE('Calc (scoring engine)'!$K$5:$K$515,5),-999999)&lt;=-900000),"",IFERROR(IF(INDEX(Database!$M$5:$M$515,MATCH(LARGE('Calc (scoring engine)'!$K$5:$K$515,5),'Calc (scoring engine)'!$K$5:$K$515,0))="","—",INDEX(Database!$M$5:$M$515,MATCH(LARGE('Calc (scoring engine)'!$K$5:$K$515,5),'Calc (scoring engine)'!$K$5:$K$515,0))),""))</f>
        <v/>
      </c>
      <c r="L25" s="10">
        <f>IF(OR(5&gt;MAX(3,MIN(15,N($D$18))),IFERROR(LARGE('Calc (scoring engine)'!$K$5:$K$515,5),-999999)&lt;=-900000),"",IFERROR(IF(INDEX(Database!$N$5:$N$515,MATCH(LARGE('Calc (scoring engine)'!$K$5:$K$515,5),'Calc (scoring engine)'!$K$5:$K$515,0))="","—",INDEX(Database!$N$5:$N$515,MATCH(LARGE('Calc (scoring engine)'!$K$5:$K$515,5),'Calc (scoring engine)'!$K$5:$K$515,0))),""))</f>
        <v/>
      </c>
      <c r="M25" s="28">
        <f>IF(OR(5&gt;MAX(3,MIN(15,N($D$18))),IFERROR(LARGE('Calc (scoring engine)'!$K$5:$K$515,5),-999999)&lt;=-900000),"",IFERROR(IF(INDEX(Database!$O$5:$O$515,MATCH(LARGE('Calc (scoring engine)'!$K$5:$K$515,5),'Calc (scoring engine)'!$K$5:$K$515,0))="","—",INDEX(Database!$O$5:$O$515,MATCH(LARGE('Calc (scoring engine)'!$K$5:$K$515,5),'Calc (scoring engine)'!$K$5:$K$515,0))),""))</f>
        <v/>
      </c>
      <c r="N25" s="28">
        <f>IF(OR(5&gt;MAX(3,MIN(15,N($D$18))),IFERROR(LARGE('Calc (scoring engine)'!$K$5:$K$515,5),-999999)&lt;=-900000),"",IFERROR(IF(INDEX(Database!$P$5:$P$515,MATCH(LARGE('Calc (scoring engine)'!$K$5:$K$515,5),'Calc (scoring engine)'!$K$5:$K$515,0))="","—",INDEX(Database!$P$5:$P$515,MATCH(LARGE('Calc (scoring engine)'!$K$5:$K$515,5),'Calc (scoring engine)'!$K$5:$K$515,0))),""))</f>
        <v/>
      </c>
      <c r="O25" s="18">
        <f>IF(OR(5&gt;MAX(3,MIN(15,N($D$18))),IFERROR(LARGE('Calc (scoring engine)'!$K$5:$K$515,5),-999999)&lt;=-900000),"",IFERROR(IF(INDEX(Database!$Q$5:$Q$515,MATCH(LARGE('Calc (scoring engine)'!$K$5:$K$515,5),'Calc (scoring engine)'!$K$5:$K$515,0))="","—",INDEX(Database!$Q$5:$Q$515,MATCH(LARGE('Calc (scoring engine)'!$K$5:$K$515,5),'Calc (scoring engine)'!$K$5:$K$515,0))),""))</f>
        <v/>
      </c>
      <c r="P25" s="26">
        <f>IF(OR(5&gt;MAX(3,MIN(15,N($D$18))),IFERROR(LARGE('Calc (scoring engine)'!$K$5:$K$515,5),-999999)&lt;=-900000),"",IFERROR(IF(INDEX(Database!$S$5:$S$515,MATCH(LARGE('Calc (scoring engine)'!$K$5:$K$515,5),'Calc (scoring engine)'!$K$5:$K$515,0))="","—",INDEX(Database!$S$5:$S$515,MATCH(LARGE('Calc (scoring engine)'!$K$5:$K$515,5),'Calc (scoring engine)'!$K$5:$K$515,0))),""))</f>
        <v/>
      </c>
      <c r="Q25" s="40">
        <f>IF(OR(5&gt;MAX(3,MIN(15,N($D$18))),IFERROR(LARGE('Calc (scoring engine)'!$K$5:$K$515,5),-999999)&lt;=-900000),"",IFERROR(IF(INDEX(Database!$T$5:$T$515,MATCH(LARGE('Calc (scoring engine)'!$K$5:$K$515,5),'Calc (scoring engine)'!$K$5:$K$515,0))="","—",INDEX(Database!$T$5:$T$515,MATCH(LARGE('Calc (scoring engine)'!$K$5:$K$515,5),'Calc (scoring engine)'!$K$5:$K$515,0))),""))</f>
        <v/>
      </c>
      <c r="R25" s="41">
        <f>IF(OR(5&gt;MAX(3,MIN(15,N($D$18))),IFERROR(LARGE('Calc (scoring engine)'!$K$5:$K$515,5),-999999)&lt;=-900000),"",IFERROR(IF(INDEX(Database!$U$5:$U$515,MATCH(LARGE('Calc (scoring engine)'!$K$5:$K$515,5),'Calc (scoring engine)'!$K$5:$K$515,0))="","—",INDEX(Database!$U$5:$U$515,MATCH(LARGE('Calc (scoring engine)'!$K$5:$K$515,5),'Calc (scoring engine)'!$K$5:$K$515,0))),""))</f>
        <v/>
      </c>
      <c r="S25" s="28">
        <f>IF(OR(5&gt;MAX(3,MIN(15,N($D$18))),IFERROR(LARGE('Calc (scoring engine)'!$K$5:$K$515,5),-999999)&lt;=-900000),"",IFERROR(IF(INDEX(Database!$V$5:$V$515,MATCH(LARGE('Calc (scoring engine)'!$K$5:$K$515,5),'Calc (scoring engine)'!$K$5:$K$515,0))="","—",INDEX(Database!$V$5:$V$515,MATCH(LARGE('Calc (scoring engine)'!$K$5:$K$515,5),'Calc (scoring engine)'!$K$5:$K$515,0))),""))</f>
        <v/>
      </c>
      <c r="T25" s="10">
        <f>IF(OR(5&gt;MAX(3,MIN(15,N($D$18))),IFERROR(LARGE('Calc (scoring engine)'!$K$5:$K$515,5),-999999)&lt;=-900000),"",IFERROR(IF(INDEX(Database!$W$5:$W$515,MATCH(LARGE('Calc (scoring engine)'!$K$5:$K$515,5),'Calc (scoring engine)'!$K$5:$K$515,0))="","—",INDEX(Database!$W$5:$W$515,MATCH(LARGE('Calc (scoring engine)'!$K$5:$K$515,5),'Calc (scoring engine)'!$K$5:$K$515,0))),""))</f>
        <v/>
      </c>
      <c r="U25" s="28">
        <f>IF(OR(5&gt;MAX(3,MIN(15,N($D$18))),IFERROR(LARGE('Calc (scoring engine)'!$K$5:$K$515,5),-999999)&lt;=-900000),"",IFERROR(IF(INDEX(Database!$Y$5:$Y$515,MATCH(LARGE('Calc (scoring engine)'!$K$5:$K$515,5),'Calc (scoring engine)'!$K$5:$K$515,0))="","—",INDEX(Database!$Y$5:$Y$515,MATCH(LARGE('Calc (scoring engine)'!$K$5:$K$515,5),'Calc (scoring engine)'!$K$5:$K$515,0))),""))</f>
        <v/>
      </c>
      <c r="V25" s="10">
        <f>IF(OR(5&gt;MAX(3,MIN(15,N($D$18))),IFERROR(LARGE('Calc (scoring engine)'!$K$5:$K$515,5),-999999)&lt;=-900000),"",IFERROR(IF(INDEX(Database!$Z$5:$Z$515,MATCH(LARGE('Calc (scoring engine)'!$K$5:$K$515,5),'Calc (scoring engine)'!$K$5:$K$515,0))="","—",INDEX(Database!$Z$5:$Z$515,MATCH(LARGE('Calc (scoring engine)'!$K$5:$K$515,5),'Calc (scoring engine)'!$K$5:$K$515,0))),""))</f>
        <v/>
      </c>
      <c r="W25" s="23">
        <f>IF(OR(5&gt;MAX(3,MIN(15,N($D$18))),IFERROR(LARGE('Calc (scoring engine)'!$K$5:$K$515,5),-999999)&lt;=-900000),"",IFERROR(IF(INDEX(Database!$AA$5:$AA$515,MATCH(LARGE('Calc (scoring engine)'!$K$5:$K$515,5),'Calc (scoring engine)'!$K$5:$K$515,0))="","—",INDEX(Database!$AA$5:$AA$515,MATCH(LARGE('Calc (scoring engine)'!$K$5:$K$515,5),'Calc (scoring engine)'!$K$5:$K$515,0))),""))</f>
        <v/>
      </c>
      <c r="X25" s="23">
        <f>IF(OR(5&gt;MAX(3,MIN(15,N($D$18))),IFERROR(LARGE('Calc (scoring engine)'!$K$5:$K$515,5),-999999)&lt;=-900000),"",IFERROR(IF(INDEX(Database!$AB$5:$AB$515,MATCH(LARGE('Calc (scoring engine)'!$K$5:$K$515,5),'Calc (scoring engine)'!$K$5:$K$515,0))="","—",INDEX(Database!$AB$5:$AB$515,MATCH(LARGE('Calc (scoring engine)'!$K$5:$K$515,5),'Calc (scoring engine)'!$K$5:$K$515,0))),""))</f>
        <v/>
      </c>
      <c r="Y25" s="23">
        <f>IF(OR(5&gt;MAX(3,MIN(15,N($D$18))),IFERROR(LARGE('Calc (scoring engine)'!$K$5:$K$515,5),-999999)&lt;=-900000),"",IFERROR(IF(INDEX(Database!$AC$5:$AC$515,MATCH(LARGE('Calc (scoring engine)'!$K$5:$K$515,5),'Calc (scoring engine)'!$K$5:$K$515,0))="","—",INDEX(Database!$AC$5:$AC$515,MATCH(LARGE('Calc (scoring engine)'!$K$5:$K$515,5),'Calc (scoring engine)'!$K$5:$K$515,0))),""))</f>
        <v/>
      </c>
      <c r="Z25" s="23">
        <f>IF(OR(5&gt;MAX(3,MIN(15,N($D$18))),IFERROR(LARGE('Calc (scoring engine)'!$K$5:$K$515,5),-999999)&lt;=-900000),"",IFERROR(IF(INDEX(Database!$AD$5:$AD$515,MATCH(LARGE('Calc (scoring engine)'!$K$5:$K$515,5),'Calc (scoring engine)'!$K$5:$K$515,0))="","—",INDEX(Database!$AD$5:$AD$515,MATCH(LARGE('Calc (scoring engine)'!$K$5:$K$515,5),'Calc (scoring engine)'!$K$5:$K$515,0))),""))</f>
        <v/>
      </c>
      <c r="AA25" s="23">
        <f>IF(OR(5&gt;MAX(3,MIN(15,N($D$18))),IFERROR(LARGE('Calc (scoring engine)'!$K$5:$K$515,5),-999999)&lt;=-900000),"",IFERROR(IF(INDEX(Database!$AE$5:$AE$515,MATCH(LARGE('Calc (scoring engine)'!$K$5:$K$515,5),'Calc (scoring engine)'!$K$5:$K$515,0))="","—",INDEX(Database!$AE$5:$AE$515,MATCH(LARGE('Calc (scoring engine)'!$K$5:$K$515,5),'Calc (scoring engine)'!$K$5:$K$515,0))),""))</f>
        <v/>
      </c>
      <c r="AB25" s="23">
        <f>IF(OR(5&gt;MAX(3,MIN(15,N($D$18))),IFERROR(LARGE('Calc (scoring engine)'!$K$5:$K$515,5),-999999)&lt;=-900000),"",IFERROR(IF(INDEX(Database!$AF$5:$AF$515,MATCH(LARGE('Calc (scoring engine)'!$K$5:$K$515,5),'Calc (scoring engine)'!$K$5:$K$515,0))="","—",INDEX(Database!$AF$5:$AF$515,MATCH(LARGE('Calc (scoring engine)'!$K$5:$K$515,5),'Calc (scoring engine)'!$K$5:$K$515,0))),""))</f>
        <v/>
      </c>
      <c r="AC25" s="23">
        <f>IF(OR(5&gt;MAX(3,MIN(15,N($D$18))),IFERROR(LARGE('Calc (scoring engine)'!$K$5:$K$515,5),-999999)&lt;=-900000),"",IFERROR(IF(INDEX(Database!$AG$5:$AG$515,MATCH(LARGE('Calc (scoring engine)'!$K$5:$K$515,5),'Calc (scoring engine)'!$K$5:$K$515,0))="","—",INDEX(Database!$AG$5:$AG$515,MATCH(LARGE('Calc (scoring engine)'!$K$5:$K$515,5),'Calc (scoring engine)'!$K$5:$K$515,0))),""))</f>
        <v/>
      </c>
      <c r="AD25" s="23">
        <f>IF(OR(5&gt;MAX(3,MIN(15,N($D$18))),IFERROR(LARGE('Calc (scoring engine)'!$K$5:$K$515,5),-999999)&lt;=-900000),"",IFERROR(IF(INDEX(Database!$AH$5:$AH$515,MATCH(LARGE('Calc (scoring engine)'!$K$5:$K$515,5),'Calc (scoring engine)'!$K$5:$K$515,0))="","—",INDEX(Database!$AH$5:$AH$515,MATCH(LARGE('Calc (scoring engine)'!$K$5:$K$515,5),'Calc (scoring engine)'!$K$5:$K$515,0))),""))</f>
        <v/>
      </c>
      <c r="AE25" s="23">
        <f>IF(OR(5&gt;MAX(3,MIN(15,N($D$18))),IFERROR(LARGE('Calc (scoring engine)'!$K$5:$K$515,5),-999999)&lt;=-900000),"",IFERROR(IF(INDEX(Database!$AI$5:$AI$515,MATCH(LARGE('Calc (scoring engine)'!$K$5:$K$515,5),'Calc (scoring engine)'!$K$5:$K$515,0))="","—",INDEX(Database!$AI$5:$AI$515,MATCH(LARGE('Calc (scoring engine)'!$K$5:$K$515,5),'Calc (scoring engine)'!$K$5:$K$515,0))),""))</f>
        <v/>
      </c>
      <c r="AF25" s="23">
        <f>IF(OR(5&gt;MAX(3,MIN(15,N($D$18))),IFERROR(LARGE('Calc (scoring engine)'!$K$5:$K$515,5),-999999)&lt;=-900000),"",IFERROR(IF(INDEX(Database!$AJ$5:$AJ$515,MATCH(LARGE('Calc (scoring engine)'!$K$5:$K$515,5),'Calc (scoring engine)'!$K$5:$K$515,0))="","—",INDEX(Database!$AJ$5:$AJ$515,MATCH(LARGE('Calc (scoring engine)'!$K$5:$K$515,5),'Calc (scoring engine)'!$K$5:$K$515,0))),""))</f>
        <v/>
      </c>
      <c r="AG25" s="23">
        <f>IF(OR(5&gt;MAX(3,MIN(15,N($D$18))),IFERROR(LARGE('Calc (scoring engine)'!$K$5:$K$515,5),-999999)&lt;=-900000),"",IFERROR(IF(INDEX(Database!$AK$5:$AK$515,MATCH(LARGE('Calc (scoring engine)'!$K$5:$K$515,5),'Calc (scoring engine)'!$K$5:$K$515,0))="","—",INDEX(Database!$AK$5:$AK$515,MATCH(LARGE('Calc (scoring engine)'!$K$5:$K$515,5),'Calc (scoring engine)'!$K$5:$K$515,0))),""))</f>
        <v/>
      </c>
      <c r="AH25" s="23">
        <f>IF(OR(5&gt;MAX(3,MIN(15,N($D$18))),IFERROR(LARGE('Calc (scoring engine)'!$K$5:$K$515,5),-999999)&lt;=-900000),"",IFERROR(IF(INDEX(Database!$AL$5:$AL$515,MATCH(LARGE('Calc (scoring engine)'!$K$5:$K$515,5),'Calc (scoring engine)'!$K$5:$K$515,0))="","—",INDEX(Database!$AL$5:$AL$515,MATCH(LARGE('Calc (scoring engine)'!$K$5:$K$515,5),'Calc (scoring engine)'!$K$5:$K$515,0))),""))</f>
        <v/>
      </c>
      <c r="AI25" s="23">
        <f>IF(OR(5&gt;MAX(3,MIN(15,N($D$18))),IFERROR(LARGE('Calc (scoring engine)'!$K$5:$K$515,5),-999999)&lt;=-900000),"",IFERROR(IF(INDEX(Database!$AM$5:$AM$515,MATCH(LARGE('Calc (scoring engine)'!$K$5:$K$515,5),'Calc (scoring engine)'!$K$5:$K$515,0))="","—",INDEX(Database!$AM$5:$AM$515,MATCH(LARGE('Calc (scoring engine)'!$K$5:$K$515,5),'Calc (scoring engine)'!$K$5:$K$515,0))),""))</f>
        <v/>
      </c>
      <c r="AJ25" s="23">
        <f>IF(OR(5&gt;MAX(3,MIN(15,N($D$18))),IFERROR(LARGE('Calc (scoring engine)'!$K$5:$K$515,5),-999999)&lt;=-900000),"",IFERROR(IF(INDEX(Database!$AN$5:$AN$515,MATCH(LARGE('Calc (scoring engine)'!$K$5:$K$515,5),'Calc (scoring engine)'!$K$5:$K$515,0))="","—",INDEX(Database!$AN$5:$AN$515,MATCH(LARGE('Calc (scoring engine)'!$K$5:$K$515,5),'Calc (scoring engine)'!$K$5:$K$515,0))),""))</f>
        <v/>
      </c>
      <c r="AK25" s="23">
        <f>IF(OR(5&gt;MAX(3,MIN(15,N($D$18))),IFERROR(LARGE('Calc (scoring engine)'!$K$5:$K$515,5),-999999)&lt;=-900000),"",IFERROR(IF(INDEX(Database!$AO$5:$AO$515,MATCH(LARGE('Calc (scoring engine)'!$K$5:$K$515,5),'Calc (scoring engine)'!$K$5:$K$515,0))="","—",INDEX(Database!$AO$5:$AO$515,MATCH(LARGE('Calc (scoring engine)'!$K$5:$K$515,5),'Calc (scoring engine)'!$K$5:$K$515,0))),""))</f>
        <v/>
      </c>
      <c r="AL25" s="23">
        <f>IF(OR(5&gt;MAX(3,MIN(15,N($D$18))),IFERROR(LARGE('Calc (scoring engine)'!$K$5:$K$515,5),-999999)&lt;=-900000),"",IFERROR(IF(INDEX(Database!$AQ$5:$AQ$515,MATCH(LARGE('Calc (scoring engine)'!$K$5:$K$515,5),'Calc (scoring engine)'!$K$5:$K$515,0))="","—",INDEX(Database!$AQ$5:$AQ$515,MATCH(LARGE('Calc (scoring engine)'!$K$5:$K$515,5),'Calc (scoring engine)'!$K$5:$K$515,0))),""))</f>
        <v/>
      </c>
      <c r="AM25" s="18">
        <f>IF(OR(5&gt;MAX(3,MIN(15,N($D$18))),IFERROR(LARGE('Calc (scoring engine)'!$K$5:$K$515,5),-999999)&lt;=-900000),"",IFERROR(IF(INDEX(Database!$AS$5:$AS$515,MATCH(LARGE('Calc (scoring engine)'!$K$5:$K$515,5),'Calc (scoring engine)'!$K$5:$K$515,0))="","—",INDEX(Database!$AS$5:$AS$515,MATCH(LARGE('Calc (scoring engine)'!$K$5:$K$515,5),'Calc (scoring engine)'!$K$5:$K$515,0))),""))</f>
        <v/>
      </c>
      <c r="AN25" s="18">
        <f>IF(OR(5&gt;MAX(3,MIN(15,N($D$18))),IFERROR(LARGE('Calc (scoring engine)'!$K$5:$K$515,5),-999999)&lt;=-900000),"",IFERROR(IF(INDEX(Database!$AT$5:$AT$515,MATCH(LARGE('Calc (scoring engine)'!$K$5:$K$515,5),'Calc (scoring engine)'!$K$5:$K$515,0))="","—",INDEX(Database!$AT$5:$AT$515,MATCH(LARGE('Calc (scoring engine)'!$K$5:$K$515,5),'Calc (scoring engine)'!$K$5:$K$515,0))),""))</f>
        <v/>
      </c>
      <c r="AO25" s="10">
        <f>IF(OR(5&gt;MAX(3,MIN(15,N($D$18))),IFERROR(LARGE('Calc (scoring engine)'!$K$5:$K$515,5),-999999)&lt;=-900000),"",IFERROR(IF(INDEX(Database!$AU$5:$AU$515,MATCH(LARGE('Calc (scoring engine)'!$K$5:$K$515,5),'Calc (scoring engine)'!$K$5:$K$515,0))="","—",INDEX(Database!$AU$5:$AU$515,MATCH(LARGE('Calc (scoring engine)'!$K$5:$K$515,5),'Calc (scoring engine)'!$K$5:$K$515,0))),""))</f>
        <v/>
      </c>
      <c r="AP25" s="24">
        <f>IF(OR(5&gt;MAX(3,MIN(15,N($D$18))),IFERROR(LARGE('Calc (scoring engine)'!$K$5:$K$515,5),-999999)&lt;=-900000),"",IFERROR(IF(N(INDEX(Database!$AV$5:$AV$515,MATCH(LARGE('Calc (scoring engine)'!$K$5:$K$515,5),'Calc (scoring engine)'!$K$5:$K$515,0)))&lt;=0,IF(INDEX(Database!$AU$5:$AU$515,MATCH(LARGE('Calc (scoring engine)'!$K$5:$K$515,5),'Calc (scoring engine)'!$K$5:$K$515,0))="N","n/m","—"),INDEX(Database!$AV$5:$AV$515,MATCH(LARGE('Calc (scoring engine)'!$K$5:$K$515,5),'Calc (scoring engine)'!$K$5:$K$515,0))),""))</f>
        <v/>
      </c>
      <c r="AQ25" s="24">
        <f>IF(OR(5&gt;MAX(3,MIN(15,N($D$18))),IFERROR(LARGE('Calc (scoring engine)'!$K$5:$K$515,5),-999999)&lt;=-900000),"",IFERROR(IF(INDEX(Database!$AW$5:$AW$515,MATCH(LARGE('Calc (scoring engine)'!$K$5:$K$515,5),'Calc (scoring engine)'!$K$5:$K$515,0))="","—",INDEX(Database!$AW$5:$AW$515,MATCH(LARGE('Calc (scoring engine)'!$K$5:$K$515,5),'Calc (scoring engine)'!$K$5:$K$515,0))),""))</f>
        <v/>
      </c>
      <c r="AR25" s="24">
        <f>IF(OR(5&gt;MAX(3,MIN(15,N($D$18))),IFERROR(LARGE('Calc (scoring engine)'!$K$5:$K$515,5),-999999)&lt;=-900000),"",IFERROR(IF(INDEX(Database!$AX$5:$AX$515,MATCH(LARGE('Calc (scoring engine)'!$K$5:$K$515,5),'Calc (scoring engine)'!$K$5:$K$515,0))="","—",INDEX(Database!$AX$5:$AX$515,MATCH(LARGE('Calc (scoring engine)'!$K$5:$K$515,5),'Calc (scoring engine)'!$K$5:$K$515,0))),""))</f>
        <v/>
      </c>
      <c r="AS25" s="24">
        <f>IF(OR(5&gt;MAX(3,MIN(15,N($D$18))),IFERROR(LARGE('Calc (scoring engine)'!$K$5:$K$515,5),-999999)&lt;=-900000),"",IFERROR(IF(INDEX(Database!$AY$5:$AY$515,MATCH(LARGE('Calc (scoring engine)'!$K$5:$K$515,5),'Calc (scoring engine)'!$K$5:$K$515,0))="","—",INDEX(Database!$AY$5:$AY$515,MATCH(LARGE('Calc (scoring engine)'!$K$5:$K$515,5),'Calc (scoring engine)'!$K$5:$K$515,0))),""))</f>
        <v/>
      </c>
      <c r="AT25" s="10">
        <f>IF(OR(5&gt;MAX(3,MIN(15,N($D$18))),IFERROR(LARGE('Calc (scoring engine)'!$K$5:$K$515,5),-999999)&lt;=-900000),"",IFERROR(IF(INDEX(Database!$AZ$5:$AZ$515,MATCH(LARGE('Calc (scoring engine)'!$K$5:$K$515,5),'Calc (scoring engine)'!$K$5:$K$515,0))="","—",INDEX(Database!$AZ$5:$AZ$515,MATCH(LARGE('Calc (scoring engine)'!$K$5:$K$515,5),'Calc (scoring engine)'!$K$5:$K$515,0))),""))</f>
        <v/>
      </c>
      <c r="AU25" s="10">
        <f>IF(OR(5&gt;MAX(3,MIN(15,N($D$18))),IFERROR(LARGE('Calc (scoring engine)'!$K$5:$K$515,5),-999999)&lt;=-900000),"",IFERROR(IF(INDEX(Database!$BA$5:$BA$515,MATCH(LARGE('Calc (scoring engine)'!$K$5:$K$515,5),'Calc (scoring engine)'!$K$5:$K$515,0))="","—",INDEX(Database!$BA$5:$BA$515,MATCH(LARGE('Calc (scoring engine)'!$K$5:$K$515,5),'Calc (scoring engine)'!$K$5:$K$515,0))),""))</f>
        <v/>
      </c>
      <c r="AV25" s="23">
        <f>IF(OR(5&gt;MAX(3,MIN(15,N($D$18))),IFERROR(LARGE('Calc (scoring engine)'!$K$5:$K$515,5),-999999)&lt;=-900000),"",IFERROR(IF(INDEX(Database!$BB$5:$BB$515,MATCH(LARGE('Calc (scoring engine)'!$K$5:$K$515,5),'Calc (scoring engine)'!$K$5:$K$515,0))="","—",INDEX(Database!$BB$5:$BB$515,MATCH(LARGE('Calc (scoring engine)'!$K$5:$K$515,5),'Calc (scoring engine)'!$K$5:$K$515,0))),""))</f>
        <v/>
      </c>
      <c r="AW25" s="39">
        <f>IF(OR(5&gt;MAX(3,MIN(15,N($D$18))),IFERROR(LARGE('Calc (scoring engine)'!$K$5:$K$515,5),-999999)&lt;=-900000),"",IFERROR(IF(INDEX(Database!$BC$5:$BC$515,MATCH(LARGE('Calc (scoring engine)'!$K$5:$K$515,5),'Calc (scoring engine)'!$K$5:$K$515,0))="","—",INDEX(Database!$BC$5:$BC$515,MATCH(LARGE('Calc (scoring engine)'!$K$5:$K$515,5),'Calc (scoring engine)'!$K$5:$K$515,0))),""))</f>
        <v/>
      </c>
      <c r="AX25" s="42">
        <f>IF(OR(5&gt;MAX(3,MIN(15,N($D$18))),IFERROR(LARGE('Calc (scoring engine)'!$K$5:$K$515,5),-999999)&lt;=-900000),"",IFERROR(IF(INDEX(Database!$BD$5:$BD$515,MATCH(LARGE('Calc (scoring engine)'!$K$5:$K$515,5),'Calc (scoring engine)'!$K$5:$K$515,0))="","—",INDEX(Database!$BD$5:$BD$515,MATCH(LARGE('Calc (scoring engine)'!$K$5:$K$515,5),'Calc (scoring engine)'!$K$5:$K$515,0))),""))</f>
        <v/>
      </c>
      <c r="AY25" s="24">
        <f>IF(OR(5&gt;MAX(3,MIN(15,N($D$18))),IFERROR(LARGE('Calc (scoring engine)'!$K$5:$K$515,5),-999999)&lt;=-900000),"",IFERROR(IF(INDEX(Database!$BE$5:$BE$515,MATCH(LARGE('Calc (scoring engine)'!$K$5:$K$515,5),'Calc (scoring engine)'!$K$5:$K$515,0))="","—",INDEX(Database!$BE$5:$BE$515,MATCH(LARGE('Calc (scoring engine)'!$K$5:$K$515,5),'Calc (scoring engine)'!$K$5:$K$515,0))),""))</f>
        <v/>
      </c>
      <c r="AZ25" s="24">
        <f>IF(OR(5&gt;MAX(3,MIN(15,N($D$18))),IFERROR(LARGE('Calc (scoring engine)'!$K$5:$K$515,5),-999999)&lt;=-900000),"",IFERROR(IF(INDEX(Database!$BF$5:$BF$515,MATCH(LARGE('Calc (scoring engine)'!$K$5:$K$515,5),'Calc (scoring engine)'!$K$5:$K$515,0))="","—",INDEX(Database!$BF$5:$BF$515,MATCH(LARGE('Calc (scoring engine)'!$K$5:$K$515,5),'Calc (scoring engine)'!$K$5:$K$515,0))),""))</f>
        <v/>
      </c>
      <c r="BA25" s="10">
        <f>IF(OR(5&gt;MAX(3,MIN(15,N($D$18))),IFERROR(LARGE('Calc (scoring engine)'!$K$5:$K$515,5),-999999)&lt;=-900000),"",IFERROR(IF(INDEX(Database!$BG$5:$BG$515,MATCH(LARGE('Calc (scoring engine)'!$K$5:$K$515,5),'Calc (scoring engine)'!$K$5:$K$515,0))="","—",INDEX(Database!$BG$5:$BG$515,MATCH(LARGE('Calc (scoring engine)'!$K$5:$K$515,5),'Calc (scoring engine)'!$K$5:$K$515,0))),""))</f>
        <v/>
      </c>
      <c r="BB25" s="10">
        <f>IF(OR(5&gt;MAX(3,MIN(15,N($D$18))),IFERROR(LARGE('Calc (scoring engine)'!$K$5:$K$515,5),-999999)&lt;=-900000),"",IFERROR(IF(INDEX(Database!$BI$5:$BI$515,MATCH(LARGE('Calc (scoring engine)'!$K$5:$K$515,5),'Calc (scoring engine)'!$K$5:$K$515,0))="","—",INDEX(Database!$BI$5:$BI$515,MATCH(LARGE('Calc (scoring engine)'!$K$5:$K$515,5),'Calc (scoring engine)'!$K$5:$K$515,0))),""))</f>
        <v/>
      </c>
      <c r="BC25" s="24">
        <f>IF(OR(5&gt;MAX(3,MIN(15,N($D$18))),IFERROR(LARGE('Calc (scoring engine)'!$K$5:$K$515,5),-999999)&lt;=-900000),"",IFERROR(IFERROR(BDP(TEXT(INDEX(Database!$A$5:$A$515,MATCH(LARGE('Calc (scoring engine)'!$K$5:$K$515,5),'Calc (scoring engine)'!$K$5:$K$515,0)),"0")&amp;" HK Equity","PE_RATIO"),IF(INDEX(Database!$AX$5:$AX$515,MATCH(LARGE('Calc (scoring engine)'!$K$5:$K$515,5),'Calc (scoring engine)'!$K$5:$K$515,0))="","—",INDEX(Database!$AX$5:$AX$515,MATCH(LARGE('Calc (scoring engine)'!$K$5:$K$515,5),'Calc (scoring engine)'!$K$5:$K$515,0)))),""))</f>
        <v/>
      </c>
      <c r="BD25" s="24">
        <f>IF(OR(5&gt;MAX(3,MIN(15,N($D$18))),IFERROR(LARGE('Calc (scoring engine)'!$K$5:$K$515,5),-999999)&lt;=-900000),"",IFERROR(IFERROR(BDP(TEXT(INDEX(Database!$A$5:$A$515,MATCH(LARGE('Calc (scoring engine)'!$K$5:$K$515,5),'Calc (scoring engine)'!$K$5:$K$515,0)),"0")&amp;" HK Equity","PX_TO_SALES_RATIO"),IF(INDEX(Database!$AY$5:$AY$515,MATCH(LARGE('Calc (scoring engine)'!$K$5:$K$515,5),'Calc (scoring engine)'!$K$5:$K$515,0))="","—",INDEX(Database!$AY$5:$AY$515,MATCH(LARGE('Calc (scoring engine)'!$K$5:$K$515,5),'Calc (scoring engine)'!$K$5:$K$515,0)))),""))</f>
        <v/>
      </c>
      <c r="BE25" s="43">
        <f>IF(OR(5&gt;MAX(3,MIN(15,N($D$18))),IFERROR(LARGE('Calc (scoring engine)'!$K$5:$K$515,5),-999999)&lt;=-900000),"",IFERROR(IF(INDEX('Calc (scoring engine)'!$H$5:$H$515,MATCH(LARGE('Calc (scoring engine)'!$K$5:$K$515,5),'Calc (scoring engine)'!$K$5:$K$515,0))&gt;0,INDEX('Calc (scoring engine)'!$H$5:$H$515,MATCH(LARGE('Calc (scoring engine)'!$K$5:$K$515,5),'Calc (scoring engine)'!$K$5:$K$515,0)),""),""))</f>
        <v/>
      </c>
      <c r="BF25" s="10">
        <f>IF(OR(5&gt;MAX(3,MIN(15,N($D$18))),IFERROR(LARGE('Calc (scoring engine)'!$K$5:$K$515,5),-999999)&lt;=-900000),"",IF(IFERROR(INDEX('Calc (scoring engine)'!$B$5:$B$515,MATCH(LARGE('Calc (scoring engine)'!$K$5:$K$515,5),'Calc (scoring engine)'!$K$5:$K$515,0)),0)=1,"same subsector","sector only"))</f>
        <v/>
      </c>
      <c r="BG25" s="43">
        <f>IF(OR(5&gt;MAX(3,MIN(15,N($D$18))),IFERROR(LARGE('Calc (scoring engine)'!$K$5:$K$515,5),-999999)&lt;=-900000),"",ROUND(IFERROR(LARGE('Calc (scoring engine)'!$K$5:$K$515,5),0),0))</f>
        <v/>
      </c>
      <c r="BH25" s="10">
        <f>IF(OR(5&gt;MAX(3,MIN(15,N($D$18))),IFERROR(LARGE('Calc (scoring engine)'!$K$5:$K$515,5),-999999)&lt;=-900000),"",IFERROR("sub "&amp;INDEX('Calc (scoring engine)'!$B$5:$B$515,MATCH(LARGE('Calc (scoring engine)'!$K$5:$K$515,5),'Calc (scoring engine)'!$K$5:$K$515,0))*W_SUB&amp;" + size "&amp;ROUND(INDEX('Calc (scoring engine)'!$D$5:$D$515,MATCH(LARGE('Calc (scoring engine)'!$K$5:$K$515,5),'Calc (scoring engine)'!$K$5:$K$515,0))*W_SIZE,0)&amp;" + prof "&amp;INDEX('Calc (scoring engine)'!$E$5:$E$515,MATCH(LARGE('Calc (scoring engine)'!$K$5:$K$515,5),'Calc (scoring engine)'!$K$5:$K$515,0))*W_PROF&amp;" + recency "&amp;ROUND(INDEX('Calc (scoring engine)'!$G$5:$G$515,MATCH(LARGE('Calc (scoring engine)'!$K$5:$K$515,5),'Calc (scoring engine)'!$K$5:$K$515,0))*W_REC,0)&amp;IF(INDEX('Calc (scoring engine)'!$H$5:$H$515,MATCH(LARGE('Calc (scoring engine)'!$K$5:$K$515,5),'Calc (scoring engine)'!$K$5:$K$515,0))&gt;0," + shared CS x"&amp;INDEX('Calc (scoring engine)'!$H$5:$H$515,MATCH(LARGE('Calc (scoring engine)'!$K$5:$K$515,5),'Calc (scoring engine)'!$K$5:$K$515,0)),""),""))</f>
        <v/>
      </c>
    </row>
    <row r="26">
      <c r="A26" s="38">
        <f>IF(OR(6&gt;MAX(3,MIN(15,N($D$18))),IFERROR(LARGE('Calc (scoring engine)'!$K$5:$K$515,6),-999999)&lt;=-900000),"",6)</f>
        <v/>
      </c>
      <c r="B26" s="10">
        <f>IF(OR(6&gt;MAX(3,MIN(15,N($D$18))),IFERROR(LARGE('Calc (scoring engine)'!$K$5:$K$515,6),-999999)&lt;=-900000),"",IFERROR(IF(INDEX(Database!$B$5:$B$515,MATCH(LARGE('Calc (scoring engine)'!$K$5:$K$515,6),'Calc (scoring engine)'!$K$5:$K$515,0))="","—",INDEX(Database!$B$5:$B$515,MATCH(LARGE('Calc (scoring engine)'!$K$5:$K$515,6),'Calc (scoring engine)'!$K$5:$K$515,0))),""))</f>
        <v/>
      </c>
      <c r="C26" s="10">
        <f>IF(OR(6&gt;MAX(3,MIN(15,N($D$18))),IFERROR(LARGE('Calc (scoring engine)'!$K$5:$K$515,6),-999999)&lt;=-900000),"",IFERROR(IF(INDEX(Database!$D$5:$D$515,MATCH(LARGE('Calc (scoring engine)'!$K$5:$K$515,6),'Calc (scoring engine)'!$K$5:$K$515,0))="","—",INDEX(Database!$D$5:$D$515,MATCH(LARGE('Calc (scoring engine)'!$K$5:$K$515,6),'Calc (scoring engine)'!$K$5:$K$515,0))),""))</f>
        <v/>
      </c>
      <c r="D26" s="10">
        <f>IF(OR(6&gt;MAX(3,MIN(15,N($D$18))),IFERROR(LARGE('Calc (scoring engine)'!$K$5:$K$515,6),-999999)&lt;=-900000),"",IFERROR(IF(INDEX(Database!$E$5:$E$515,MATCH(LARGE('Calc (scoring engine)'!$K$5:$K$515,6),'Calc (scoring engine)'!$K$5:$K$515,0))="","—",INDEX(Database!$E$5:$E$515,MATCH(LARGE('Calc (scoring engine)'!$K$5:$K$515,6),'Calc (scoring engine)'!$K$5:$K$515,0))),""))</f>
        <v/>
      </c>
      <c r="E26" s="10">
        <f>IF(OR(6&gt;MAX(3,MIN(15,N($D$18))),IFERROR(LARGE('Calc (scoring engine)'!$K$5:$K$515,6),-999999)&lt;=-900000),"",IFERROR(IF(INDEX(Database!$F$5:$F$515,MATCH(LARGE('Calc (scoring engine)'!$K$5:$K$515,6),'Calc (scoring engine)'!$K$5:$K$515,0))="","—",INDEX(Database!$F$5:$F$515,MATCH(LARGE('Calc (scoring engine)'!$K$5:$K$515,6),'Calc (scoring engine)'!$K$5:$K$515,0))),""))</f>
        <v/>
      </c>
      <c r="F26" s="10">
        <f>IF(OR(6&gt;MAX(3,MIN(15,N($D$18))),IFERROR(LARGE('Calc (scoring engine)'!$K$5:$K$515,6),-999999)&lt;=-900000),"",IFERROR(IF(INDEX(Database!$G$5:$G$515,MATCH(LARGE('Calc (scoring engine)'!$K$5:$K$515,6),'Calc (scoring engine)'!$K$5:$K$515,0))="","—",INDEX(Database!$G$5:$G$515,MATCH(LARGE('Calc (scoring engine)'!$K$5:$K$515,6),'Calc (scoring engine)'!$K$5:$K$515,0))),""))</f>
        <v/>
      </c>
      <c r="G26" s="21">
        <f>IF(OR(6&gt;MAX(3,MIN(15,N($D$18))),IFERROR(LARGE('Calc (scoring engine)'!$K$5:$K$515,6),-999999)&lt;=-900000),"",IFERROR(IF(INDEX(Database!$H$5:$H$515,MATCH(LARGE('Calc (scoring engine)'!$K$5:$K$515,6),'Calc (scoring engine)'!$K$5:$K$515,0))="","—",INDEX(Database!$H$5:$H$515,MATCH(LARGE('Calc (scoring engine)'!$K$5:$K$515,6),'Calc (scoring engine)'!$K$5:$K$515,0))),""))</f>
        <v/>
      </c>
      <c r="H26" s="18">
        <f>IF(OR(6&gt;MAX(3,MIN(15,N($D$18))),IFERROR(LARGE('Calc (scoring engine)'!$K$5:$K$515,6),-999999)&lt;=-900000),"",IFERROR(IF(INDEX(Database!$I$5:$I$515,MATCH(LARGE('Calc (scoring engine)'!$K$5:$K$515,6),'Calc (scoring engine)'!$K$5:$K$515,0))="","—",INDEX(Database!$I$5:$I$515,MATCH(LARGE('Calc (scoring engine)'!$K$5:$K$515,6),'Calc (scoring engine)'!$K$5:$K$515,0))),""))</f>
        <v/>
      </c>
      <c r="I26" s="39">
        <f>IF(OR(6&gt;MAX(3,MIN(15,N($D$18))),IFERROR(LARGE('Calc (scoring engine)'!$K$5:$K$515,6),-999999)&lt;=-900000),"",IFERROR(IF(INDEX(Database!$K$5:$K$515,MATCH(LARGE('Calc (scoring engine)'!$K$5:$K$515,6),'Calc (scoring engine)'!$K$5:$K$515,0))="","—",INDEX(Database!$K$5:$K$515,MATCH(LARGE('Calc (scoring engine)'!$K$5:$K$515,6),'Calc (scoring engine)'!$K$5:$K$515,0))),""))</f>
        <v/>
      </c>
      <c r="J26" s="39">
        <f>IF(OR(6&gt;MAX(3,MIN(15,N($D$18))),IFERROR(LARGE('Calc (scoring engine)'!$K$5:$K$515,6),-999999)&lt;=-900000),"",IFERROR(IF(INDEX(Database!$L$5:$L$515,MATCH(LARGE('Calc (scoring engine)'!$K$5:$K$515,6),'Calc (scoring engine)'!$K$5:$K$515,0))="","—",INDEX(Database!$L$5:$L$515,MATCH(LARGE('Calc (scoring engine)'!$K$5:$K$515,6),'Calc (scoring engine)'!$K$5:$K$515,0))),""))</f>
        <v/>
      </c>
      <c r="K26" s="39">
        <f>IF(OR(6&gt;MAX(3,MIN(15,N($D$18))),IFERROR(LARGE('Calc (scoring engine)'!$K$5:$K$515,6),-999999)&lt;=-900000),"",IFERROR(IF(INDEX(Database!$M$5:$M$515,MATCH(LARGE('Calc (scoring engine)'!$K$5:$K$515,6),'Calc (scoring engine)'!$K$5:$K$515,0))="","—",INDEX(Database!$M$5:$M$515,MATCH(LARGE('Calc (scoring engine)'!$K$5:$K$515,6),'Calc (scoring engine)'!$K$5:$K$515,0))),""))</f>
        <v/>
      </c>
      <c r="L26" s="10">
        <f>IF(OR(6&gt;MAX(3,MIN(15,N($D$18))),IFERROR(LARGE('Calc (scoring engine)'!$K$5:$K$515,6),-999999)&lt;=-900000),"",IFERROR(IF(INDEX(Database!$N$5:$N$515,MATCH(LARGE('Calc (scoring engine)'!$K$5:$K$515,6),'Calc (scoring engine)'!$K$5:$K$515,0))="","—",INDEX(Database!$N$5:$N$515,MATCH(LARGE('Calc (scoring engine)'!$K$5:$K$515,6),'Calc (scoring engine)'!$K$5:$K$515,0))),""))</f>
        <v/>
      </c>
      <c r="M26" s="28">
        <f>IF(OR(6&gt;MAX(3,MIN(15,N($D$18))),IFERROR(LARGE('Calc (scoring engine)'!$K$5:$K$515,6),-999999)&lt;=-900000),"",IFERROR(IF(INDEX(Database!$O$5:$O$515,MATCH(LARGE('Calc (scoring engine)'!$K$5:$K$515,6),'Calc (scoring engine)'!$K$5:$K$515,0))="","—",INDEX(Database!$O$5:$O$515,MATCH(LARGE('Calc (scoring engine)'!$K$5:$K$515,6),'Calc (scoring engine)'!$K$5:$K$515,0))),""))</f>
        <v/>
      </c>
      <c r="N26" s="28">
        <f>IF(OR(6&gt;MAX(3,MIN(15,N($D$18))),IFERROR(LARGE('Calc (scoring engine)'!$K$5:$K$515,6),-999999)&lt;=-900000),"",IFERROR(IF(INDEX(Database!$P$5:$P$515,MATCH(LARGE('Calc (scoring engine)'!$K$5:$K$515,6),'Calc (scoring engine)'!$K$5:$K$515,0))="","—",INDEX(Database!$P$5:$P$515,MATCH(LARGE('Calc (scoring engine)'!$K$5:$K$515,6),'Calc (scoring engine)'!$K$5:$K$515,0))),""))</f>
        <v/>
      </c>
      <c r="O26" s="18">
        <f>IF(OR(6&gt;MAX(3,MIN(15,N($D$18))),IFERROR(LARGE('Calc (scoring engine)'!$K$5:$K$515,6),-999999)&lt;=-900000),"",IFERROR(IF(INDEX(Database!$Q$5:$Q$515,MATCH(LARGE('Calc (scoring engine)'!$K$5:$K$515,6),'Calc (scoring engine)'!$K$5:$K$515,0))="","—",INDEX(Database!$Q$5:$Q$515,MATCH(LARGE('Calc (scoring engine)'!$K$5:$K$515,6),'Calc (scoring engine)'!$K$5:$K$515,0))),""))</f>
        <v/>
      </c>
      <c r="P26" s="26">
        <f>IF(OR(6&gt;MAX(3,MIN(15,N($D$18))),IFERROR(LARGE('Calc (scoring engine)'!$K$5:$K$515,6),-999999)&lt;=-900000),"",IFERROR(IF(INDEX(Database!$S$5:$S$515,MATCH(LARGE('Calc (scoring engine)'!$K$5:$K$515,6),'Calc (scoring engine)'!$K$5:$K$515,0))="","—",INDEX(Database!$S$5:$S$515,MATCH(LARGE('Calc (scoring engine)'!$K$5:$K$515,6),'Calc (scoring engine)'!$K$5:$K$515,0))),""))</f>
        <v/>
      </c>
      <c r="Q26" s="40">
        <f>IF(OR(6&gt;MAX(3,MIN(15,N($D$18))),IFERROR(LARGE('Calc (scoring engine)'!$K$5:$K$515,6),-999999)&lt;=-900000),"",IFERROR(IF(INDEX(Database!$T$5:$T$515,MATCH(LARGE('Calc (scoring engine)'!$K$5:$K$515,6),'Calc (scoring engine)'!$K$5:$K$515,0))="","—",INDEX(Database!$T$5:$T$515,MATCH(LARGE('Calc (scoring engine)'!$K$5:$K$515,6),'Calc (scoring engine)'!$K$5:$K$515,0))),""))</f>
        <v/>
      </c>
      <c r="R26" s="41">
        <f>IF(OR(6&gt;MAX(3,MIN(15,N($D$18))),IFERROR(LARGE('Calc (scoring engine)'!$K$5:$K$515,6),-999999)&lt;=-900000),"",IFERROR(IF(INDEX(Database!$U$5:$U$515,MATCH(LARGE('Calc (scoring engine)'!$K$5:$K$515,6),'Calc (scoring engine)'!$K$5:$K$515,0))="","—",INDEX(Database!$U$5:$U$515,MATCH(LARGE('Calc (scoring engine)'!$K$5:$K$515,6),'Calc (scoring engine)'!$K$5:$K$515,0))),""))</f>
        <v/>
      </c>
      <c r="S26" s="28">
        <f>IF(OR(6&gt;MAX(3,MIN(15,N($D$18))),IFERROR(LARGE('Calc (scoring engine)'!$K$5:$K$515,6),-999999)&lt;=-900000),"",IFERROR(IF(INDEX(Database!$V$5:$V$515,MATCH(LARGE('Calc (scoring engine)'!$K$5:$K$515,6),'Calc (scoring engine)'!$K$5:$K$515,0))="","—",INDEX(Database!$V$5:$V$515,MATCH(LARGE('Calc (scoring engine)'!$K$5:$K$515,6),'Calc (scoring engine)'!$K$5:$K$515,0))),""))</f>
        <v/>
      </c>
      <c r="T26" s="10">
        <f>IF(OR(6&gt;MAX(3,MIN(15,N($D$18))),IFERROR(LARGE('Calc (scoring engine)'!$K$5:$K$515,6),-999999)&lt;=-900000),"",IFERROR(IF(INDEX(Database!$W$5:$W$515,MATCH(LARGE('Calc (scoring engine)'!$K$5:$K$515,6),'Calc (scoring engine)'!$K$5:$K$515,0))="","—",INDEX(Database!$W$5:$W$515,MATCH(LARGE('Calc (scoring engine)'!$K$5:$K$515,6),'Calc (scoring engine)'!$K$5:$K$515,0))),""))</f>
        <v/>
      </c>
      <c r="U26" s="28">
        <f>IF(OR(6&gt;MAX(3,MIN(15,N($D$18))),IFERROR(LARGE('Calc (scoring engine)'!$K$5:$K$515,6),-999999)&lt;=-900000),"",IFERROR(IF(INDEX(Database!$Y$5:$Y$515,MATCH(LARGE('Calc (scoring engine)'!$K$5:$K$515,6),'Calc (scoring engine)'!$K$5:$K$515,0))="","—",INDEX(Database!$Y$5:$Y$515,MATCH(LARGE('Calc (scoring engine)'!$K$5:$K$515,6),'Calc (scoring engine)'!$K$5:$K$515,0))),""))</f>
        <v/>
      </c>
      <c r="V26" s="10">
        <f>IF(OR(6&gt;MAX(3,MIN(15,N($D$18))),IFERROR(LARGE('Calc (scoring engine)'!$K$5:$K$515,6),-999999)&lt;=-900000),"",IFERROR(IF(INDEX(Database!$Z$5:$Z$515,MATCH(LARGE('Calc (scoring engine)'!$K$5:$K$515,6),'Calc (scoring engine)'!$K$5:$K$515,0))="","—",INDEX(Database!$Z$5:$Z$515,MATCH(LARGE('Calc (scoring engine)'!$K$5:$K$515,6),'Calc (scoring engine)'!$K$5:$K$515,0))),""))</f>
        <v/>
      </c>
      <c r="W26" s="23">
        <f>IF(OR(6&gt;MAX(3,MIN(15,N($D$18))),IFERROR(LARGE('Calc (scoring engine)'!$K$5:$K$515,6),-999999)&lt;=-900000),"",IFERROR(IF(INDEX(Database!$AA$5:$AA$515,MATCH(LARGE('Calc (scoring engine)'!$K$5:$K$515,6),'Calc (scoring engine)'!$K$5:$K$515,0))="","—",INDEX(Database!$AA$5:$AA$515,MATCH(LARGE('Calc (scoring engine)'!$K$5:$K$515,6),'Calc (scoring engine)'!$K$5:$K$515,0))),""))</f>
        <v/>
      </c>
      <c r="X26" s="23">
        <f>IF(OR(6&gt;MAX(3,MIN(15,N($D$18))),IFERROR(LARGE('Calc (scoring engine)'!$K$5:$K$515,6),-999999)&lt;=-900000),"",IFERROR(IF(INDEX(Database!$AB$5:$AB$515,MATCH(LARGE('Calc (scoring engine)'!$K$5:$K$515,6),'Calc (scoring engine)'!$K$5:$K$515,0))="","—",INDEX(Database!$AB$5:$AB$515,MATCH(LARGE('Calc (scoring engine)'!$K$5:$K$515,6),'Calc (scoring engine)'!$K$5:$K$515,0))),""))</f>
        <v/>
      </c>
      <c r="Y26" s="23">
        <f>IF(OR(6&gt;MAX(3,MIN(15,N($D$18))),IFERROR(LARGE('Calc (scoring engine)'!$K$5:$K$515,6),-999999)&lt;=-900000),"",IFERROR(IF(INDEX(Database!$AC$5:$AC$515,MATCH(LARGE('Calc (scoring engine)'!$K$5:$K$515,6),'Calc (scoring engine)'!$K$5:$K$515,0))="","—",INDEX(Database!$AC$5:$AC$515,MATCH(LARGE('Calc (scoring engine)'!$K$5:$K$515,6),'Calc (scoring engine)'!$K$5:$K$515,0))),""))</f>
        <v/>
      </c>
      <c r="Z26" s="23">
        <f>IF(OR(6&gt;MAX(3,MIN(15,N($D$18))),IFERROR(LARGE('Calc (scoring engine)'!$K$5:$K$515,6),-999999)&lt;=-900000),"",IFERROR(IF(INDEX(Database!$AD$5:$AD$515,MATCH(LARGE('Calc (scoring engine)'!$K$5:$K$515,6),'Calc (scoring engine)'!$K$5:$K$515,0))="","—",INDEX(Database!$AD$5:$AD$515,MATCH(LARGE('Calc (scoring engine)'!$K$5:$K$515,6),'Calc (scoring engine)'!$K$5:$K$515,0))),""))</f>
        <v/>
      </c>
      <c r="AA26" s="23">
        <f>IF(OR(6&gt;MAX(3,MIN(15,N($D$18))),IFERROR(LARGE('Calc (scoring engine)'!$K$5:$K$515,6),-999999)&lt;=-900000),"",IFERROR(IF(INDEX(Database!$AE$5:$AE$515,MATCH(LARGE('Calc (scoring engine)'!$K$5:$K$515,6),'Calc (scoring engine)'!$K$5:$K$515,0))="","—",INDEX(Database!$AE$5:$AE$515,MATCH(LARGE('Calc (scoring engine)'!$K$5:$K$515,6),'Calc (scoring engine)'!$K$5:$K$515,0))),""))</f>
        <v/>
      </c>
      <c r="AB26" s="23">
        <f>IF(OR(6&gt;MAX(3,MIN(15,N($D$18))),IFERROR(LARGE('Calc (scoring engine)'!$K$5:$K$515,6),-999999)&lt;=-900000),"",IFERROR(IF(INDEX(Database!$AF$5:$AF$515,MATCH(LARGE('Calc (scoring engine)'!$K$5:$K$515,6),'Calc (scoring engine)'!$K$5:$K$515,0))="","—",INDEX(Database!$AF$5:$AF$515,MATCH(LARGE('Calc (scoring engine)'!$K$5:$K$515,6),'Calc (scoring engine)'!$K$5:$K$515,0))),""))</f>
        <v/>
      </c>
      <c r="AC26" s="23">
        <f>IF(OR(6&gt;MAX(3,MIN(15,N($D$18))),IFERROR(LARGE('Calc (scoring engine)'!$K$5:$K$515,6),-999999)&lt;=-900000),"",IFERROR(IF(INDEX(Database!$AG$5:$AG$515,MATCH(LARGE('Calc (scoring engine)'!$K$5:$K$515,6),'Calc (scoring engine)'!$K$5:$K$515,0))="","—",INDEX(Database!$AG$5:$AG$515,MATCH(LARGE('Calc (scoring engine)'!$K$5:$K$515,6),'Calc (scoring engine)'!$K$5:$K$515,0))),""))</f>
        <v/>
      </c>
      <c r="AD26" s="23">
        <f>IF(OR(6&gt;MAX(3,MIN(15,N($D$18))),IFERROR(LARGE('Calc (scoring engine)'!$K$5:$K$515,6),-999999)&lt;=-900000),"",IFERROR(IF(INDEX(Database!$AH$5:$AH$515,MATCH(LARGE('Calc (scoring engine)'!$K$5:$K$515,6),'Calc (scoring engine)'!$K$5:$K$515,0))="","—",INDEX(Database!$AH$5:$AH$515,MATCH(LARGE('Calc (scoring engine)'!$K$5:$K$515,6),'Calc (scoring engine)'!$K$5:$K$515,0))),""))</f>
        <v/>
      </c>
      <c r="AE26" s="23">
        <f>IF(OR(6&gt;MAX(3,MIN(15,N($D$18))),IFERROR(LARGE('Calc (scoring engine)'!$K$5:$K$515,6),-999999)&lt;=-900000),"",IFERROR(IF(INDEX(Database!$AI$5:$AI$515,MATCH(LARGE('Calc (scoring engine)'!$K$5:$K$515,6),'Calc (scoring engine)'!$K$5:$K$515,0))="","—",INDEX(Database!$AI$5:$AI$515,MATCH(LARGE('Calc (scoring engine)'!$K$5:$K$515,6),'Calc (scoring engine)'!$K$5:$K$515,0))),""))</f>
        <v/>
      </c>
      <c r="AF26" s="23">
        <f>IF(OR(6&gt;MAX(3,MIN(15,N($D$18))),IFERROR(LARGE('Calc (scoring engine)'!$K$5:$K$515,6),-999999)&lt;=-900000),"",IFERROR(IF(INDEX(Database!$AJ$5:$AJ$515,MATCH(LARGE('Calc (scoring engine)'!$K$5:$K$515,6),'Calc (scoring engine)'!$K$5:$K$515,0))="","—",INDEX(Database!$AJ$5:$AJ$515,MATCH(LARGE('Calc (scoring engine)'!$K$5:$K$515,6),'Calc (scoring engine)'!$K$5:$K$515,0))),""))</f>
        <v/>
      </c>
      <c r="AG26" s="23">
        <f>IF(OR(6&gt;MAX(3,MIN(15,N($D$18))),IFERROR(LARGE('Calc (scoring engine)'!$K$5:$K$515,6),-999999)&lt;=-900000),"",IFERROR(IF(INDEX(Database!$AK$5:$AK$515,MATCH(LARGE('Calc (scoring engine)'!$K$5:$K$515,6),'Calc (scoring engine)'!$K$5:$K$515,0))="","—",INDEX(Database!$AK$5:$AK$515,MATCH(LARGE('Calc (scoring engine)'!$K$5:$K$515,6),'Calc (scoring engine)'!$K$5:$K$515,0))),""))</f>
        <v/>
      </c>
      <c r="AH26" s="23">
        <f>IF(OR(6&gt;MAX(3,MIN(15,N($D$18))),IFERROR(LARGE('Calc (scoring engine)'!$K$5:$K$515,6),-999999)&lt;=-900000),"",IFERROR(IF(INDEX(Database!$AL$5:$AL$515,MATCH(LARGE('Calc (scoring engine)'!$K$5:$K$515,6),'Calc (scoring engine)'!$K$5:$K$515,0))="","—",INDEX(Database!$AL$5:$AL$515,MATCH(LARGE('Calc (scoring engine)'!$K$5:$K$515,6),'Calc (scoring engine)'!$K$5:$K$515,0))),""))</f>
        <v/>
      </c>
      <c r="AI26" s="23">
        <f>IF(OR(6&gt;MAX(3,MIN(15,N($D$18))),IFERROR(LARGE('Calc (scoring engine)'!$K$5:$K$515,6),-999999)&lt;=-900000),"",IFERROR(IF(INDEX(Database!$AM$5:$AM$515,MATCH(LARGE('Calc (scoring engine)'!$K$5:$K$515,6),'Calc (scoring engine)'!$K$5:$K$515,0))="","—",INDEX(Database!$AM$5:$AM$515,MATCH(LARGE('Calc (scoring engine)'!$K$5:$K$515,6),'Calc (scoring engine)'!$K$5:$K$515,0))),""))</f>
        <v/>
      </c>
      <c r="AJ26" s="23">
        <f>IF(OR(6&gt;MAX(3,MIN(15,N($D$18))),IFERROR(LARGE('Calc (scoring engine)'!$K$5:$K$515,6),-999999)&lt;=-900000),"",IFERROR(IF(INDEX(Database!$AN$5:$AN$515,MATCH(LARGE('Calc (scoring engine)'!$K$5:$K$515,6),'Calc (scoring engine)'!$K$5:$K$515,0))="","—",INDEX(Database!$AN$5:$AN$515,MATCH(LARGE('Calc (scoring engine)'!$K$5:$K$515,6),'Calc (scoring engine)'!$K$5:$K$515,0))),""))</f>
        <v/>
      </c>
      <c r="AK26" s="23">
        <f>IF(OR(6&gt;MAX(3,MIN(15,N($D$18))),IFERROR(LARGE('Calc (scoring engine)'!$K$5:$K$515,6),-999999)&lt;=-900000),"",IFERROR(IF(INDEX(Database!$AO$5:$AO$515,MATCH(LARGE('Calc (scoring engine)'!$K$5:$K$515,6),'Calc (scoring engine)'!$K$5:$K$515,0))="","—",INDEX(Database!$AO$5:$AO$515,MATCH(LARGE('Calc (scoring engine)'!$K$5:$K$515,6),'Calc (scoring engine)'!$K$5:$K$515,0))),""))</f>
        <v/>
      </c>
      <c r="AL26" s="23">
        <f>IF(OR(6&gt;MAX(3,MIN(15,N($D$18))),IFERROR(LARGE('Calc (scoring engine)'!$K$5:$K$515,6),-999999)&lt;=-900000),"",IFERROR(IF(INDEX(Database!$AQ$5:$AQ$515,MATCH(LARGE('Calc (scoring engine)'!$K$5:$K$515,6),'Calc (scoring engine)'!$K$5:$K$515,0))="","—",INDEX(Database!$AQ$5:$AQ$515,MATCH(LARGE('Calc (scoring engine)'!$K$5:$K$515,6),'Calc (scoring engine)'!$K$5:$K$515,0))),""))</f>
        <v/>
      </c>
      <c r="AM26" s="18">
        <f>IF(OR(6&gt;MAX(3,MIN(15,N($D$18))),IFERROR(LARGE('Calc (scoring engine)'!$K$5:$K$515,6),-999999)&lt;=-900000),"",IFERROR(IF(INDEX(Database!$AS$5:$AS$515,MATCH(LARGE('Calc (scoring engine)'!$K$5:$K$515,6),'Calc (scoring engine)'!$K$5:$K$515,0))="","—",INDEX(Database!$AS$5:$AS$515,MATCH(LARGE('Calc (scoring engine)'!$K$5:$K$515,6),'Calc (scoring engine)'!$K$5:$K$515,0))),""))</f>
        <v/>
      </c>
      <c r="AN26" s="18">
        <f>IF(OR(6&gt;MAX(3,MIN(15,N($D$18))),IFERROR(LARGE('Calc (scoring engine)'!$K$5:$K$515,6),-999999)&lt;=-900000),"",IFERROR(IF(INDEX(Database!$AT$5:$AT$515,MATCH(LARGE('Calc (scoring engine)'!$K$5:$K$515,6),'Calc (scoring engine)'!$K$5:$K$515,0))="","—",INDEX(Database!$AT$5:$AT$515,MATCH(LARGE('Calc (scoring engine)'!$K$5:$K$515,6),'Calc (scoring engine)'!$K$5:$K$515,0))),""))</f>
        <v/>
      </c>
      <c r="AO26" s="10">
        <f>IF(OR(6&gt;MAX(3,MIN(15,N($D$18))),IFERROR(LARGE('Calc (scoring engine)'!$K$5:$K$515,6),-999999)&lt;=-900000),"",IFERROR(IF(INDEX(Database!$AU$5:$AU$515,MATCH(LARGE('Calc (scoring engine)'!$K$5:$K$515,6),'Calc (scoring engine)'!$K$5:$K$515,0))="","—",INDEX(Database!$AU$5:$AU$515,MATCH(LARGE('Calc (scoring engine)'!$K$5:$K$515,6),'Calc (scoring engine)'!$K$5:$K$515,0))),""))</f>
        <v/>
      </c>
      <c r="AP26" s="24">
        <f>IF(OR(6&gt;MAX(3,MIN(15,N($D$18))),IFERROR(LARGE('Calc (scoring engine)'!$K$5:$K$515,6),-999999)&lt;=-900000),"",IFERROR(IF(N(INDEX(Database!$AV$5:$AV$515,MATCH(LARGE('Calc (scoring engine)'!$K$5:$K$515,6),'Calc (scoring engine)'!$K$5:$K$515,0)))&lt;=0,IF(INDEX(Database!$AU$5:$AU$515,MATCH(LARGE('Calc (scoring engine)'!$K$5:$K$515,6),'Calc (scoring engine)'!$K$5:$K$515,0))="N","n/m","—"),INDEX(Database!$AV$5:$AV$515,MATCH(LARGE('Calc (scoring engine)'!$K$5:$K$515,6),'Calc (scoring engine)'!$K$5:$K$515,0))),""))</f>
        <v/>
      </c>
      <c r="AQ26" s="24">
        <f>IF(OR(6&gt;MAX(3,MIN(15,N($D$18))),IFERROR(LARGE('Calc (scoring engine)'!$K$5:$K$515,6),-999999)&lt;=-900000),"",IFERROR(IF(INDEX(Database!$AW$5:$AW$515,MATCH(LARGE('Calc (scoring engine)'!$K$5:$K$515,6),'Calc (scoring engine)'!$K$5:$K$515,0))="","—",INDEX(Database!$AW$5:$AW$515,MATCH(LARGE('Calc (scoring engine)'!$K$5:$K$515,6),'Calc (scoring engine)'!$K$5:$K$515,0))),""))</f>
        <v/>
      </c>
      <c r="AR26" s="24">
        <f>IF(OR(6&gt;MAX(3,MIN(15,N($D$18))),IFERROR(LARGE('Calc (scoring engine)'!$K$5:$K$515,6),-999999)&lt;=-900000),"",IFERROR(IF(INDEX(Database!$AX$5:$AX$515,MATCH(LARGE('Calc (scoring engine)'!$K$5:$K$515,6),'Calc (scoring engine)'!$K$5:$K$515,0))="","—",INDEX(Database!$AX$5:$AX$515,MATCH(LARGE('Calc (scoring engine)'!$K$5:$K$515,6),'Calc (scoring engine)'!$K$5:$K$515,0))),""))</f>
        <v/>
      </c>
      <c r="AS26" s="24">
        <f>IF(OR(6&gt;MAX(3,MIN(15,N($D$18))),IFERROR(LARGE('Calc (scoring engine)'!$K$5:$K$515,6),-999999)&lt;=-900000),"",IFERROR(IF(INDEX(Database!$AY$5:$AY$515,MATCH(LARGE('Calc (scoring engine)'!$K$5:$K$515,6),'Calc (scoring engine)'!$K$5:$K$515,0))="","—",INDEX(Database!$AY$5:$AY$515,MATCH(LARGE('Calc (scoring engine)'!$K$5:$K$515,6),'Calc (scoring engine)'!$K$5:$K$515,0))),""))</f>
        <v/>
      </c>
      <c r="AT26" s="10">
        <f>IF(OR(6&gt;MAX(3,MIN(15,N($D$18))),IFERROR(LARGE('Calc (scoring engine)'!$K$5:$K$515,6),-999999)&lt;=-900000),"",IFERROR(IF(INDEX(Database!$AZ$5:$AZ$515,MATCH(LARGE('Calc (scoring engine)'!$K$5:$K$515,6),'Calc (scoring engine)'!$K$5:$K$515,0))="","—",INDEX(Database!$AZ$5:$AZ$515,MATCH(LARGE('Calc (scoring engine)'!$K$5:$K$515,6),'Calc (scoring engine)'!$K$5:$K$515,0))),""))</f>
        <v/>
      </c>
      <c r="AU26" s="10">
        <f>IF(OR(6&gt;MAX(3,MIN(15,N($D$18))),IFERROR(LARGE('Calc (scoring engine)'!$K$5:$K$515,6),-999999)&lt;=-900000),"",IFERROR(IF(INDEX(Database!$BA$5:$BA$515,MATCH(LARGE('Calc (scoring engine)'!$K$5:$K$515,6),'Calc (scoring engine)'!$K$5:$K$515,0))="","—",INDEX(Database!$BA$5:$BA$515,MATCH(LARGE('Calc (scoring engine)'!$K$5:$K$515,6),'Calc (scoring engine)'!$K$5:$K$515,0))),""))</f>
        <v/>
      </c>
      <c r="AV26" s="23">
        <f>IF(OR(6&gt;MAX(3,MIN(15,N($D$18))),IFERROR(LARGE('Calc (scoring engine)'!$K$5:$K$515,6),-999999)&lt;=-900000),"",IFERROR(IF(INDEX(Database!$BB$5:$BB$515,MATCH(LARGE('Calc (scoring engine)'!$K$5:$K$515,6),'Calc (scoring engine)'!$K$5:$K$515,0))="","—",INDEX(Database!$BB$5:$BB$515,MATCH(LARGE('Calc (scoring engine)'!$K$5:$K$515,6),'Calc (scoring engine)'!$K$5:$K$515,0))),""))</f>
        <v/>
      </c>
      <c r="AW26" s="39">
        <f>IF(OR(6&gt;MAX(3,MIN(15,N($D$18))),IFERROR(LARGE('Calc (scoring engine)'!$K$5:$K$515,6),-999999)&lt;=-900000),"",IFERROR(IF(INDEX(Database!$BC$5:$BC$515,MATCH(LARGE('Calc (scoring engine)'!$K$5:$K$515,6),'Calc (scoring engine)'!$K$5:$K$515,0))="","—",INDEX(Database!$BC$5:$BC$515,MATCH(LARGE('Calc (scoring engine)'!$K$5:$K$515,6),'Calc (scoring engine)'!$K$5:$K$515,0))),""))</f>
        <v/>
      </c>
      <c r="AX26" s="42">
        <f>IF(OR(6&gt;MAX(3,MIN(15,N($D$18))),IFERROR(LARGE('Calc (scoring engine)'!$K$5:$K$515,6),-999999)&lt;=-900000),"",IFERROR(IF(INDEX(Database!$BD$5:$BD$515,MATCH(LARGE('Calc (scoring engine)'!$K$5:$K$515,6),'Calc (scoring engine)'!$K$5:$K$515,0))="","—",INDEX(Database!$BD$5:$BD$515,MATCH(LARGE('Calc (scoring engine)'!$K$5:$K$515,6),'Calc (scoring engine)'!$K$5:$K$515,0))),""))</f>
        <v/>
      </c>
      <c r="AY26" s="24">
        <f>IF(OR(6&gt;MAX(3,MIN(15,N($D$18))),IFERROR(LARGE('Calc (scoring engine)'!$K$5:$K$515,6),-999999)&lt;=-900000),"",IFERROR(IF(INDEX(Database!$BE$5:$BE$515,MATCH(LARGE('Calc (scoring engine)'!$K$5:$K$515,6),'Calc (scoring engine)'!$K$5:$K$515,0))="","—",INDEX(Database!$BE$5:$BE$515,MATCH(LARGE('Calc (scoring engine)'!$K$5:$K$515,6),'Calc (scoring engine)'!$K$5:$K$515,0))),""))</f>
        <v/>
      </c>
      <c r="AZ26" s="24">
        <f>IF(OR(6&gt;MAX(3,MIN(15,N($D$18))),IFERROR(LARGE('Calc (scoring engine)'!$K$5:$K$515,6),-999999)&lt;=-900000),"",IFERROR(IF(INDEX(Database!$BF$5:$BF$515,MATCH(LARGE('Calc (scoring engine)'!$K$5:$K$515,6),'Calc (scoring engine)'!$K$5:$K$515,0))="","—",INDEX(Database!$BF$5:$BF$515,MATCH(LARGE('Calc (scoring engine)'!$K$5:$K$515,6),'Calc (scoring engine)'!$K$5:$K$515,0))),""))</f>
        <v/>
      </c>
      <c r="BA26" s="10">
        <f>IF(OR(6&gt;MAX(3,MIN(15,N($D$18))),IFERROR(LARGE('Calc (scoring engine)'!$K$5:$K$515,6),-999999)&lt;=-900000),"",IFERROR(IF(INDEX(Database!$BG$5:$BG$515,MATCH(LARGE('Calc (scoring engine)'!$K$5:$K$515,6),'Calc (scoring engine)'!$K$5:$K$515,0))="","—",INDEX(Database!$BG$5:$BG$515,MATCH(LARGE('Calc (scoring engine)'!$K$5:$K$515,6),'Calc (scoring engine)'!$K$5:$K$515,0))),""))</f>
        <v/>
      </c>
      <c r="BB26" s="10">
        <f>IF(OR(6&gt;MAX(3,MIN(15,N($D$18))),IFERROR(LARGE('Calc (scoring engine)'!$K$5:$K$515,6),-999999)&lt;=-900000),"",IFERROR(IF(INDEX(Database!$BI$5:$BI$515,MATCH(LARGE('Calc (scoring engine)'!$K$5:$K$515,6),'Calc (scoring engine)'!$K$5:$K$515,0))="","—",INDEX(Database!$BI$5:$BI$515,MATCH(LARGE('Calc (scoring engine)'!$K$5:$K$515,6),'Calc (scoring engine)'!$K$5:$K$515,0))),""))</f>
        <v/>
      </c>
      <c r="BC26" s="24">
        <f>IF(OR(6&gt;MAX(3,MIN(15,N($D$18))),IFERROR(LARGE('Calc (scoring engine)'!$K$5:$K$515,6),-999999)&lt;=-900000),"",IFERROR(IFERROR(BDP(TEXT(INDEX(Database!$A$5:$A$515,MATCH(LARGE('Calc (scoring engine)'!$K$5:$K$515,6),'Calc (scoring engine)'!$K$5:$K$515,0)),"0")&amp;" HK Equity","PE_RATIO"),IF(INDEX(Database!$AX$5:$AX$515,MATCH(LARGE('Calc (scoring engine)'!$K$5:$K$515,6),'Calc (scoring engine)'!$K$5:$K$515,0))="","—",INDEX(Database!$AX$5:$AX$515,MATCH(LARGE('Calc (scoring engine)'!$K$5:$K$515,6),'Calc (scoring engine)'!$K$5:$K$515,0)))),""))</f>
        <v/>
      </c>
      <c r="BD26" s="24">
        <f>IF(OR(6&gt;MAX(3,MIN(15,N($D$18))),IFERROR(LARGE('Calc (scoring engine)'!$K$5:$K$515,6),-999999)&lt;=-900000),"",IFERROR(IFERROR(BDP(TEXT(INDEX(Database!$A$5:$A$515,MATCH(LARGE('Calc (scoring engine)'!$K$5:$K$515,6),'Calc (scoring engine)'!$K$5:$K$515,0)),"0")&amp;" HK Equity","PX_TO_SALES_RATIO"),IF(INDEX(Database!$AY$5:$AY$515,MATCH(LARGE('Calc (scoring engine)'!$K$5:$K$515,6),'Calc (scoring engine)'!$K$5:$K$515,0))="","—",INDEX(Database!$AY$5:$AY$515,MATCH(LARGE('Calc (scoring engine)'!$K$5:$K$515,6),'Calc (scoring engine)'!$K$5:$K$515,0)))),""))</f>
        <v/>
      </c>
      <c r="BE26" s="43">
        <f>IF(OR(6&gt;MAX(3,MIN(15,N($D$18))),IFERROR(LARGE('Calc (scoring engine)'!$K$5:$K$515,6),-999999)&lt;=-900000),"",IFERROR(IF(INDEX('Calc (scoring engine)'!$H$5:$H$515,MATCH(LARGE('Calc (scoring engine)'!$K$5:$K$515,6),'Calc (scoring engine)'!$K$5:$K$515,0))&gt;0,INDEX('Calc (scoring engine)'!$H$5:$H$515,MATCH(LARGE('Calc (scoring engine)'!$K$5:$K$515,6),'Calc (scoring engine)'!$K$5:$K$515,0)),""),""))</f>
        <v/>
      </c>
      <c r="BF26" s="10">
        <f>IF(OR(6&gt;MAX(3,MIN(15,N($D$18))),IFERROR(LARGE('Calc (scoring engine)'!$K$5:$K$515,6),-999999)&lt;=-900000),"",IF(IFERROR(INDEX('Calc (scoring engine)'!$B$5:$B$515,MATCH(LARGE('Calc (scoring engine)'!$K$5:$K$515,6),'Calc (scoring engine)'!$K$5:$K$515,0)),0)=1,"same subsector","sector only"))</f>
        <v/>
      </c>
      <c r="BG26" s="43">
        <f>IF(OR(6&gt;MAX(3,MIN(15,N($D$18))),IFERROR(LARGE('Calc (scoring engine)'!$K$5:$K$515,6),-999999)&lt;=-900000),"",ROUND(IFERROR(LARGE('Calc (scoring engine)'!$K$5:$K$515,6),0),0))</f>
        <v/>
      </c>
      <c r="BH26" s="10">
        <f>IF(OR(6&gt;MAX(3,MIN(15,N($D$18))),IFERROR(LARGE('Calc (scoring engine)'!$K$5:$K$515,6),-999999)&lt;=-900000),"",IFERROR("sub "&amp;INDEX('Calc (scoring engine)'!$B$5:$B$515,MATCH(LARGE('Calc (scoring engine)'!$K$5:$K$515,6),'Calc (scoring engine)'!$K$5:$K$515,0))*W_SUB&amp;" + size "&amp;ROUND(INDEX('Calc (scoring engine)'!$D$5:$D$515,MATCH(LARGE('Calc (scoring engine)'!$K$5:$K$515,6),'Calc (scoring engine)'!$K$5:$K$515,0))*W_SIZE,0)&amp;" + prof "&amp;INDEX('Calc (scoring engine)'!$E$5:$E$515,MATCH(LARGE('Calc (scoring engine)'!$K$5:$K$515,6),'Calc (scoring engine)'!$K$5:$K$515,0))*W_PROF&amp;" + recency "&amp;ROUND(INDEX('Calc (scoring engine)'!$G$5:$G$515,MATCH(LARGE('Calc (scoring engine)'!$K$5:$K$515,6),'Calc (scoring engine)'!$K$5:$K$515,0))*W_REC,0)&amp;IF(INDEX('Calc (scoring engine)'!$H$5:$H$515,MATCH(LARGE('Calc (scoring engine)'!$K$5:$K$515,6),'Calc (scoring engine)'!$K$5:$K$515,0))&gt;0," + shared CS x"&amp;INDEX('Calc (scoring engine)'!$H$5:$H$515,MATCH(LARGE('Calc (scoring engine)'!$K$5:$K$515,6),'Calc (scoring engine)'!$K$5:$K$515,0)),""),""))</f>
        <v/>
      </c>
    </row>
    <row r="27">
      <c r="A27" s="38">
        <f>IF(OR(7&gt;MAX(3,MIN(15,N($D$18))),IFERROR(LARGE('Calc (scoring engine)'!$K$5:$K$515,7),-999999)&lt;=-900000),"",7)</f>
        <v/>
      </c>
      <c r="B27" s="10">
        <f>IF(OR(7&gt;MAX(3,MIN(15,N($D$18))),IFERROR(LARGE('Calc (scoring engine)'!$K$5:$K$515,7),-999999)&lt;=-900000),"",IFERROR(IF(INDEX(Database!$B$5:$B$515,MATCH(LARGE('Calc (scoring engine)'!$K$5:$K$515,7),'Calc (scoring engine)'!$K$5:$K$515,0))="","—",INDEX(Database!$B$5:$B$515,MATCH(LARGE('Calc (scoring engine)'!$K$5:$K$515,7),'Calc (scoring engine)'!$K$5:$K$515,0))),""))</f>
        <v/>
      </c>
      <c r="C27" s="10">
        <f>IF(OR(7&gt;MAX(3,MIN(15,N($D$18))),IFERROR(LARGE('Calc (scoring engine)'!$K$5:$K$515,7),-999999)&lt;=-900000),"",IFERROR(IF(INDEX(Database!$D$5:$D$515,MATCH(LARGE('Calc (scoring engine)'!$K$5:$K$515,7),'Calc (scoring engine)'!$K$5:$K$515,0))="","—",INDEX(Database!$D$5:$D$515,MATCH(LARGE('Calc (scoring engine)'!$K$5:$K$515,7),'Calc (scoring engine)'!$K$5:$K$515,0))),""))</f>
        <v/>
      </c>
      <c r="D27" s="10">
        <f>IF(OR(7&gt;MAX(3,MIN(15,N($D$18))),IFERROR(LARGE('Calc (scoring engine)'!$K$5:$K$515,7),-999999)&lt;=-900000),"",IFERROR(IF(INDEX(Database!$E$5:$E$515,MATCH(LARGE('Calc (scoring engine)'!$K$5:$K$515,7),'Calc (scoring engine)'!$K$5:$K$515,0))="","—",INDEX(Database!$E$5:$E$515,MATCH(LARGE('Calc (scoring engine)'!$K$5:$K$515,7),'Calc (scoring engine)'!$K$5:$K$515,0))),""))</f>
        <v/>
      </c>
      <c r="E27" s="10">
        <f>IF(OR(7&gt;MAX(3,MIN(15,N($D$18))),IFERROR(LARGE('Calc (scoring engine)'!$K$5:$K$515,7),-999999)&lt;=-900000),"",IFERROR(IF(INDEX(Database!$F$5:$F$515,MATCH(LARGE('Calc (scoring engine)'!$K$5:$K$515,7),'Calc (scoring engine)'!$K$5:$K$515,0))="","—",INDEX(Database!$F$5:$F$515,MATCH(LARGE('Calc (scoring engine)'!$K$5:$K$515,7),'Calc (scoring engine)'!$K$5:$K$515,0))),""))</f>
        <v/>
      </c>
      <c r="F27" s="10">
        <f>IF(OR(7&gt;MAX(3,MIN(15,N($D$18))),IFERROR(LARGE('Calc (scoring engine)'!$K$5:$K$515,7),-999999)&lt;=-900000),"",IFERROR(IF(INDEX(Database!$G$5:$G$515,MATCH(LARGE('Calc (scoring engine)'!$K$5:$K$515,7),'Calc (scoring engine)'!$K$5:$K$515,0))="","—",INDEX(Database!$G$5:$G$515,MATCH(LARGE('Calc (scoring engine)'!$K$5:$K$515,7),'Calc (scoring engine)'!$K$5:$K$515,0))),""))</f>
        <v/>
      </c>
      <c r="G27" s="21">
        <f>IF(OR(7&gt;MAX(3,MIN(15,N($D$18))),IFERROR(LARGE('Calc (scoring engine)'!$K$5:$K$515,7),-999999)&lt;=-900000),"",IFERROR(IF(INDEX(Database!$H$5:$H$515,MATCH(LARGE('Calc (scoring engine)'!$K$5:$K$515,7),'Calc (scoring engine)'!$K$5:$K$515,0))="","—",INDEX(Database!$H$5:$H$515,MATCH(LARGE('Calc (scoring engine)'!$K$5:$K$515,7),'Calc (scoring engine)'!$K$5:$K$515,0))),""))</f>
        <v/>
      </c>
      <c r="H27" s="18">
        <f>IF(OR(7&gt;MAX(3,MIN(15,N($D$18))),IFERROR(LARGE('Calc (scoring engine)'!$K$5:$K$515,7),-999999)&lt;=-900000),"",IFERROR(IF(INDEX(Database!$I$5:$I$515,MATCH(LARGE('Calc (scoring engine)'!$K$5:$K$515,7),'Calc (scoring engine)'!$K$5:$K$515,0))="","—",INDEX(Database!$I$5:$I$515,MATCH(LARGE('Calc (scoring engine)'!$K$5:$K$515,7),'Calc (scoring engine)'!$K$5:$K$515,0))),""))</f>
        <v/>
      </c>
      <c r="I27" s="39">
        <f>IF(OR(7&gt;MAX(3,MIN(15,N($D$18))),IFERROR(LARGE('Calc (scoring engine)'!$K$5:$K$515,7),-999999)&lt;=-900000),"",IFERROR(IF(INDEX(Database!$K$5:$K$515,MATCH(LARGE('Calc (scoring engine)'!$K$5:$K$515,7),'Calc (scoring engine)'!$K$5:$K$515,0))="","—",INDEX(Database!$K$5:$K$515,MATCH(LARGE('Calc (scoring engine)'!$K$5:$K$515,7),'Calc (scoring engine)'!$K$5:$K$515,0))),""))</f>
        <v/>
      </c>
      <c r="J27" s="39">
        <f>IF(OR(7&gt;MAX(3,MIN(15,N($D$18))),IFERROR(LARGE('Calc (scoring engine)'!$K$5:$K$515,7),-999999)&lt;=-900000),"",IFERROR(IF(INDEX(Database!$L$5:$L$515,MATCH(LARGE('Calc (scoring engine)'!$K$5:$K$515,7),'Calc (scoring engine)'!$K$5:$K$515,0))="","—",INDEX(Database!$L$5:$L$515,MATCH(LARGE('Calc (scoring engine)'!$K$5:$K$515,7),'Calc (scoring engine)'!$K$5:$K$515,0))),""))</f>
        <v/>
      </c>
      <c r="K27" s="39">
        <f>IF(OR(7&gt;MAX(3,MIN(15,N($D$18))),IFERROR(LARGE('Calc (scoring engine)'!$K$5:$K$515,7),-999999)&lt;=-900000),"",IFERROR(IF(INDEX(Database!$M$5:$M$515,MATCH(LARGE('Calc (scoring engine)'!$K$5:$K$515,7),'Calc (scoring engine)'!$K$5:$K$515,0))="","—",INDEX(Database!$M$5:$M$515,MATCH(LARGE('Calc (scoring engine)'!$K$5:$K$515,7),'Calc (scoring engine)'!$K$5:$K$515,0))),""))</f>
        <v/>
      </c>
      <c r="L27" s="10">
        <f>IF(OR(7&gt;MAX(3,MIN(15,N($D$18))),IFERROR(LARGE('Calc (scoring engine)'!$K$5:$K$515,7),-999999)&lt;=-900000),"",IFERROR(IF(INDEX(Database!$N$5:$N$515,MATCH(LARGE('Calc (scoring engine)'!$K$5:$K$515,7),'Calc (scoring engine)'!$K$5:$K$515,0))="","—",INDEX(Database!$N$5:$N$515,MATCH(LARGE('Calc (scoring engine)'!$K$5:$K$515,7),'Calc (scoring engine)'!$K$5:$K$515,0))),""))</f>
        <v/>
      </c>
      <c r="M27" s="28">
        <f>IF(OR(7&gt;MAX(3,MIN(15,N($D$18))),IFERROR(LARGE('Calc (scoring engine)'!$K$5:$K$515,7),-999999)&lt;=-900000),"",IFERROR(IF(INDEX(Database!$O$5:$O$515,MATCH(LARGE('Calc (scoring engine)'!$K$5:$K$515,7),'Calc (scoring engine)'!$K$5:$K$515,0))="","—",INDEX(Database!$O$5:$O$515,MATCH(LARGE('Calc (scoring engine)'!$K$5:$K$515,7),'Calc (scoring engine)'!$K$5:$K$515,0))),""))</f>
        <v/>
      </c>
      <c r="N27" s="28">
        <f>IF(OR(7&gt;MAX(3,MIN(15,N($D$18))),IFERROR(LARGE('Calc (scoring engine)'!$K$5:$K$515,7),-999999)&lt;=-900000),"",IFERROR(IF(INDEX(Database!$P$5:$P$515,MATCH(LARGE('Calc (scoring engine)'!$K$5:$K$515,7),'Calc (scoring engine)'!$K$5:$K$515,0))="","—",INDEX(Database!$P$5:$P$515,MATCH(LARGE('Calc (scoring engine)'!$K$5:$K$515,7),'Calc (scoring engine)'!$K$5:$K$515,0))),""))</f>
        <v/>
      </c>
      <c r="O27" s="18">
        <f>IF(OR(7&gt;MAX(3,MIN(15,N($D$18))),IFERROR(LARGE('Calc (scoring engine)'!$K$5:$K$515,7),-999999)&lt;=-900000),"",IFERROR(IF(INDEX(Database!$Q$5:$Q$515,MATCH(LARGE('Calc (scoring engine)'!$K$5:$K$515,7),'Calc (scoring engine)'!$K$5:$K$515,0))="","—",INDEX(Database!$Q$5:$Q$515,MATCH(LARGE('Calc (scoring engine)'!$K$5:$K$515,7),'Calc (scoring engine)'!$K$5:$K$515,0))),""))</f>
        <v/>
      </c>
      <c r="P27" s="26">
        <f>IF(OR(7&gt;MAX(3,MIN(15,N($D$18))),IFERROR(LARGE('Calc (scoring engine)'!$K$5:$K$515,7),-999999)&lt;=-900000),"",IFERROR(IF(INDEX(Database!$S$5:$S$515,MATCH(LARGE('Calc (scoring engine)'!$K$5:$K$515,7),'Calc (scoring engine)'!$K$5:$K$515,0))="","—",INDEX(Database!$S$5:$S$515,MATCH(LARGE('Calc (scoring engine)'!$K$5:$K$515,7),'Calc (scoring engine)'!$K$5:$K$515,0))),""))</f>
        <v/>
      </c>
      <c r="Q27" s="40">
        <f>IF(OR(7&gt;MAX(3,MIN(15,N($D$18))),IFERROR(LARGE('Calc (scoring engine)'!$K$5:$K$515,7),-999999)&lt;=-900000),"",IFERROR(IF(INDEX(Database!$T$5:$T$515,MATCH(LARGE('Calc (scoring engine)'!$K$5:$K$515,7),'Calc (scoring engine)'!$K$5:$K$515,0))="","—",INDEX(Database!$T$5:$T$515,MATCH(LARGE('Calc (scoring engine)'!$K$5:$K$515,7),'Calc (scoring engine)'!$K$5:$K$515,0))),""))</f>
        <v/>
      </c>
      <c r="R27" s="41">
        <f>IF(OR(7&gt;MAX(3,MIN(15,N($D$18))),IFERROR(LARGE('Calc (scoring engine)'!$K$5:$K$515,7),-999999)&lt;=-900000),"",IFERROR(IF(INDEX(Database!$U$5:$U$515,MATCH(LARGE('Calc (scoring engine)'!$K$5:$K$515,7),'Calc (scoring engine)'!$K$5:$K$515,0))="","—",INDEX(Database!$U$5:$U$515,MATCH(LARGE('Calc (scoring engine)'!$K$5:$K$515,7),'Calc (scoring engine)'!$K$5:$K$515,0))),""))</f>
        <v/>
      </c>
      <c r="S27" s="28">
        <f>IF(OR(7&gt;MAX(3,MIN(15,N($D$18))),IFERROR(LARGE('Calc (scoring engine)'!$K$5:$K$515,7),-999999)&lt;=-900000),"",IFERROR(IF(INDEX(Database!$V$5:$V$515,MATCH(LARGE('Calc (scoring engine)'!$K$5:$K$515,7),'Calc (scoring engine)'!$K$5:$K$515,0))="","—",INDEX(Database!$V$5:$V$515,MATCH(LARGE('Calc (scoring engine)'!$K$5:$K$515,7),'Calc (scoring engine)'!$K$5:$K$515,0))),""))</f>
        <v/>
      </c>
      <c r="T27" s="10">
        <f>IF(OR(7&gt;MAX(3,MIN(15,N($D$18))),IFERROR(LARGE('Calc (scoring engine)'!$K$5:$K$515,7),-999999)&lt;=-900000),"",IFERROR(IF(INDEX(Database!$W$5:$W$515,MATCH(LARGE('Calc (scoring engine)'!$K$5:$K$515,7),'Calc (scoring engine)'!$K$5:$K$515,0))="","—",INDEX(Database!$W$5:$W$515,MATCH(LARGE('Calc (scoring engine)'!$K$5:$K$515,7),'Calc (scoring engine)'!$K$5:$K$515,0))),""))</f>
        <v/>
      </c>
      <c r="U27" s="28">
        <f>IF(OR(7&gt;MAX(3,MIN(15,N($D$18))),IFERROR(LARGE('Calc (scoring engine)'!$K$5:$K$515,7),-999999)&lt;=-900000),"",IFERROR(IF(INDEX(Database!$Y$5:$Y$515,MATCH(LARGE('Calc (scoring engine)'!$K$5:$K$515,7),'Calc (scoring engine)'!$K$5:$K$515,0))="","—",INDEX(Database!$Y$5:$Y$515,MATCH(LARGE('Calc (scoring engine)'!$K$5:$K$515,7),'Calc (scoring engine)'!$K$5:$K$515,0))),""))</f>
        <v/>
      </c>
      <c r="V27" s="10">
        <f>IF(OR(7&gt;MAX(3,MIN(15,N($D$18))),IFERROR(LARGE('Calc (scoring engine)'!$K$5:$K$515,7),-999999)&lt;=-900000),"",IFERROR(IF(INDEX(Database!$Z$5:$Z$515,MATCH(LARGE('Calc (scoring engine)'!$K$5:$K$515,7),'Calc (scoring engine)'!$K$5:$K$515,0))="","—",INDEX(Database!$Z$5:$Z$515,MATCH(LARGE('Calc (scoring engine)'!$K$5:$K$515,7),'Calc (scoring engine)'!$K$5:$K$515,0))),""))</f>
        <v/>
      </c>
      <c r="W27" s="23">
        <f>IF(OR(7&gt;MAX(3,MIN(15,N($D$18))),IFERROR(LARGE('Calc (scoring engine)'!$K$5:$K$515,7),-999999)&lt;=-900000),"",IFERROR(IF(INDEX(Database!$AA$5:$AA$515,MATCH(LARGE('Calc (scoring engine)'!$K$5:$K$515,7),'Calc (scoring engine)'!$K$5:$K$515,0))="","—",INDEX(Database!$AA$5:$AA$515,MATCH(LARGE('Calc (scoring engine)'!$K$5:$K$515,7),'Calc (scoring engine)'!$K$5:$K$515,0))),""))</f>
        <v/>
      </c>
      <c r="X27" s="23">
        <f>IF(OR(7&gt;MAX(3,MIN(15,N($D$18))),IFERROR(LARGE('Calc (scoring engine)'!$K$5:$K$515,7),-999999)&lt;=-900000),"",IFERROR(IF(INDEX(Database!$AB$5:$AB$515,MATCH(LARGE('Calc (scoring engine)'!$K$5:$K$515,7),'Calc (scoring engine)'!$K$5:$K$515,0))="","—",INDEX(Database!$AB$5:$AB$515,MATCH(LARGE('Calc (scoring engine)'!$K$5:$K$515,7),'Calc (scoring engine)'!$K$5:$K$515,0))),""))</f>
        <v/>
      </c>
      <c r="Y27" s="23">
        <f>IF(OR(7&gt;MAX(3,MIN(15,N($D$18))),IFERROR(LARGE('Calc (scoring engine)'!$K$5:$K$515,7),-999999)&lt;=-900000),"",IFERROR(IF(INDEX(Database!$AC$5:$AC$515,MATCH(LARGE('Calc (scoring engine)'!$K$5:$K$515,7),'Calc (scoring engine)'!$K$5:$K$515,0))="","—",INDEX(Database!$AC$5:$AC$515,MATCH(LARGE('Calc (scoring engine)'!$K$5:$K$515,7),'Calc (scoring engine)'!$K$5:$K$515,0))),""))</f>
        <v/>
      </c>
      <c r="Z27" s="23">
        <f>IF(OR(7&gt;MAX(3,MIN(15,N($D$18))),IFERROR(LARGE('Calc (scoring engine)'!$K$5:$K$515,7),-999999)&lt;=-900000),"",IFERROR(IF(INDEX(Database!$AD$5:$AD$515,MATCH(LARGE('Calc (scoring engine)'!$K$5:$K$515,7),'Calc (scoring engine)'!$K$5:$K$515,0))="","—",INDEX(Database!$AD$5:$AD$515,MATCH(LARGE('Calc (scoring engine)'!$K$5:$K$515,7),'Calc (scoring engine)'!$K$5:$K$515,0))),""))</f>
        <v/>
      </c>
      <c r="AA27" s="23">
        <f>IF(OR(7&gt;MAX(3,MIN(15,N($D$18))),IFERROR(LARGE('Calc (scoring engine)'!$K$5:$K$515,7),-999999)&lt;=-900000),"",IFERROR(IF(INDEX(Database!$AE$5:$AE$515,MATCH(LARGE('Calc (scoring engine)'!$K$5:$K$515,7),'Calc (scoring engine)'!$K$5:$K$515,0))="","—",INDEX(Database!$AE$5:$AE$515,MATCH(LARGE('Calc (scoring engine)'!$K$5:$K$515,7),'Calc (scoring engine)'!$K$5:$K$515,0))),""))</f>
        <v/>
      </c>
      <c r="AB27" s="23">
        <f>IF(OR(7&gt;MAX(3,MIN(15,N($D$18))),IFERROR(LARGE('Calc (scoring engine)'!$K$5:$K$515,7),-999999)&lt;=-900000),"",IFERROR(IF(INDEX(Database!$AF$5:$AF$515,MATCH(LARGE('Calc (scoring engine)'!$K$5:$K$515,7),'Calc (scoring engine)'!$K$5:$K$515,0))="","—",INDEX(Database!$AF$5:$AF$515,MATCH(LARGE('Calc (scoring engine)'!$K$5:$K$515,7),'Calc (scoring engine)'!$K$5:$K$515,0))),""))</f>
        <v/>
      </c>
      <c r="AC27" s="23">
        <f>IF(OR(7&gt;MAX(3,MIN(15,N($D$18))),IFERROR(LARGE('Calc (scoring engine)'!$K$5:$K$515,7),-999999)&lt;=-900000),"",IFERROR(IF(INDEX(Database!$AG$5:$AG$515,MATCH(LARGE('Calc (scoring engine)'!$K$5:$K$515,7),'Calc (scoring engine)'!$K$5:$K$515,0))="","—",INDEX(Database!$AG$5:$AG$515,MATCH(LARGE('Calc (scoring engine)'!$K$5:$K$515,7),'Calc (scoring engine)'!$K$5:$K$515,0))),""))</f>
        <v/>
      </c>
      <c r="AD27" s="23">
        <f>IF(OR(7&gt;MAX(3,MIN(15,N($D$18))),IFERROR(LARGE('Calc (scoring engine)'!$K$5:$K$515,7),-999999)&lt;=-900000),"",IFERROR(IF(INDEX(Database!$AH$5:$AH$515,MATCH(LARGE('Calc (scoring engine)'!$K$5:$K$515,7),'Calc (scoring engine)'!$K$5:$K$515,0))="","—",INDEX(Database!$AH$5:$AH$515,MATCH(LARGE('Calc (scoring engine)'!$K$5:$K$515,7),'Calc (scoring engine)'!$K$5:$K$515,0))),""))</f>
        <v/>
      </c>
      <c r="AE27" s="23">
        <f>IF(OR(7&gt;MAX(3,MIN(15,N($D$18))),IFERROR(LARGE('Calc (scoring engine)'!$K$5:$K$515,7),-999999)&lt;=-900000),"",IFERROR(IF(INDEX(Database!$AI$5:$AI$515,MATCH(LARGE('Calc (scoring engine)'!$K$5:$K$515,7),'Calc (scoring engine)'!$K$5:$K$515,0))="","—",INDEX(Database!$AI$5:$AI$515,MATCH(LARGE('Calc (scoring engine)'!$K$5:$K$515,7),'Calc (scoring engine)'!$K$5:$K$515,0))),""))</f>
        <v/>
      </c>
      <c r="AF27" s="23">
        <f>IF(OR(7&gt;MAX(3,MIN(15,N($D$18))),IFERROR(LARGE('Calc (scoring engine)'!$K$5:$K$515,7),-999999)&lt;=-900000),"",IFERROR(IF(INDEX(Database!$AJ$5:$AJ$515,MATCH(LARGE('Calc (scoring engine)'!$K$5:$K$515,7),'Calc (scoring engine)'!$K$5:$K$515,0))="","—",INDEX(Database!$AJ$5:$AJ$515,MATCH(LARGE('Calc (scoring engine)'!$K$5:$K$515,7),'Calc (scoring engine)'!$K$5:$K$515,0))),""))</f>
        <v/>
      </c>
      <c r="AG27" s="23">
        <f>IF(OR(7&gt;MAX(3,MIN(15,N($D$18))),IFERROR(LARGE('Calc (scoring engine)'!$K$5:$K$515,7),-999999)&lt;=-900000),"",IFERROR(IF(INDEX(Database!$AK$5:$AK$515,MATCH(LARGE('Calc (scoring engine)'!$K$5:$K$515,7),'Calc (scoring engine)'!$K$5:$K$515,0))="","—",INDEX(Database!$AK$5:$AK$515,MATCH(LARGE('Calc (scoring engine)'!$K$5:$K$515,7),'Calc (scoring engine)'!$K$5:$K$515,0))),""))</f>
        <v/>
      </c>
      <c r="AH27" s="23">
        <f>IF(OR(7&gt;MAX(3,MIN(15,N($D$18))),IFERROR(LARGE('Calc (scoring engine)'!$K$5:$K$515,7),-999999)&lt;=-900000),"",IFERROR(IF(INDEX(Database!$AL$5:$AL$515,MATCH(LARGE('Calc (scoring engine)'!$K$5:$K$515,7),'Calc (scoring engine)'!$K$5:$K$515,0))="","—",INDEX(Database!$AL$5:$AL$515,MATCH(LARGE('Calc (scoring engine)'!$K$5:$K$515,7),'Calc (scoring engine)'!$K$5:$K$515,0))),""))</f>
        <v/>
      </c>
      <c r="AI27" s="23">
        <f>IF(OR(7&gt;MAX(3,MIN(15,N($D$18))),IFERROR(LARGE('Calc (scoring engine)'!$K$5:$K$515,7),-999999)&lt;=-900000),"",IFERROR(IF(INDEX(Database!$AM$5:$AM$515,MATCH(LARGE('Calc (scoring engine)'!$K$5:$K$515,7),'Calc (scoring engine)'!$K$5:$K$515,0))="","—",INDEX(Database!$AM$5:$AM$515,MATCH(LARGE('Calc (scoring engine)'!$K$5:$K$515,7),'Calc (scoring engine)'!$K$5:$K$515,0))),""))</f>
        <v/>
      </c>
      <c r="AJ27" s="23">
        <f>IF(OR(7&gt;MAX(3,MIN(15,N($D$18))),IFERROR(LARGE('Calc (scoring engine)'!$K$5:$K$515,7),-999999)&lt;=-900000),"",IFERROR(IF(INDEX(Database!$AN$5:$AN$515,MATCH(LARGE('Calc (scoring engine)'!$K$5:$K$515,7),'Calc (scoring engine)'!$K$5:$K$515,0))="","—",INDEX(Database!$AN$5:$AN$515,MATCH(LARGE('Calc (scoring engine)'!$K$5:$K$515,7),'Calc (scoring engine)'!$K$5:$K$515,0))),""))</f>
        <v/>
      </c>
      <c r="AK27" s="23">
        <f>IF(OR(7&gt;MAX(3,MIN(15,N($D$18))),IFERROR(LARGE('Calc (scoring engine)'!$K$5:$K$515,7),-999999)&lt;=-900000),"",IFERROR(IF(INDEX(Database!$AO$5:$AO$515,MATCH(LARGE('Calc (scoring engine)'!$K$5:$K$515,7),'Calc (scoring engine)'!$K$5:$K$515,0))="","—",INDEX(Database!$AO$5:$AO$515,MATCH(LARGE('Calc (scoring engine)'!$K$5:$K$515,7),'Calc (scoring engine)'!$K$5:$K$515,0))),""))</f>
        <v/>
      </c>
      <c r="AL27" s="23">
        <f>IF(OR(7&gt;MAX(3,MIN(15,N($D$18))),IFERROR(LARGE('Calc (scoring engine)'!$K$5:$K$515,7),-999999)&lt;=-900000),"",IFERROR(IF(INDEX(Database!$AQ$5:$AQ$515,MATCH(LARGE('Calc (scoring engine)'!$K$5:$K$515,7),'Calc (scoring engine)'!$K$5:$K$515,0))="","—",INDEX(Database!$AQ$5:$AQ$515,MATCH(LARGE('Calc (scoring engine)'!$K$5:$K$515,7),'Calc (scoring engine)'!$K$5:$K$515,0))),""))</f>
        <v/>
      </c>
      <c r="AM27" s="18">
        <f>IF(OR(7&gt;MAX(3,MIN(15,N($D$18))),IFERROR(LARGE('Calc (scoring engine)'!$K$5:$K$515,7),-999999)&lt;=-900000),"",IFERROR(IF(INDEX(Database!$AS$5:$AS$515,MATCH(LARGE('Calc (scoring engine)'!$K$5:$K$515,7),'Calc (scoring engine)'!$K$5:$K$515,0))="","—",INDEX(Database!$AS$5:$AS$515,MATCH(LARGE('Calc (scoring engine)'!$K$5:$K$515,7),'Calc (scoring engine)'!$K$5:$K$515,0))),""))</f>
        <v/>
      </c>
      <c r="AN27" s="18">
        <f>IF(OR(7&gt;MAX(3,MIN(15,N($D$18))),IFERROR(LARGE('Calc (scoring engine)'!$K$5:$K$515,7),-999999)&lt;=-900000),"",IFERROR(IF(INDEX(Database!$AT$5:$AT$515,MATCH(LARGE('Calc (scoring engine)'!$K$5:$K$515,7),'Calc (scoring engine)'!$K$5:$K$515,0))="","—",INDEX(Database!$AT$5:$AT$515,MATCH(LARGE('Calc (scoring engine)'!$K$5:$K$515,7),'Calc (scoring engine)'!$K$5:$K$515,0))),""))</f>
        <v/>
      </c>
      <c r="AO27" s="10">
        <f>IF(OR(7&gt;MAX(3,MIN(15,N($D$18))),IFERROR(LARGE('Calc (scoring engine)'!$K$5:$K$515,7),-999999)&lt;=-900000),"",IFERROR(IF(INDEX(Database!$AU$5:$AU$515,MATCH(LARGE('Calc (scoring engine)'!$K$5:$K$515,7),'Calc (scoring engine)'!$K$5:$K$515,0))="","—",INDEX(Database!$AU$5:$AU$515,MATCH(LARGE('Calc (scoring engine)'!$K$5:$K$515,7),'Calc (scoring engine)'!$K$5:$K$515,0))),""))</f>
        <v/>
      </c>
      <c r="AP27" s="24">
        <f>IF(OR(7&gt;MAX(3,MIN(15,N($D$18))),IFERROR(LARGE('Calc (scoring engine)'!$K$5:$K$515,7),-999999)&lt;=-900000),"",IFERROR(IF(N(INDEX(Database!$AV$5:$AV$515,MATCH(LARGE('Calc (scoring engine)'!$K$5:$K$515,7),'Calc (scoring engine)'!$K$5:$K$515,0)))&lt;=0,IF(INDEX(Database!$AU$5:$AU$515,MATCH(LARGE('Calc (scoring engine)'!$K$5:$K$515,7),'Calc (scoring engine)'!$K$5:$K$515,0))="N","n/m","—"),INDEX(Database!$AV$5:$AV$515,MATCH(LARGE('Calc (scoring engine)'!$K$5:$K$515,7),'Calc (scoring engine)'!$K$5:$K$515,0))),""))</f>
        <v/>
      </c>
      <c r="AQ27" s="24">
        <f>IF(OR(7&gt;MAX(3,MIN(15,N($D$18))),IFERROR(LARGE('Calc (scoring engine)'!$K$5:$K$515,7),-999999)&lt;=-900000),"",IFERROR(IF(INDEX(Database!$AW$5:$AW$515,MATCH(LARGE('Calc (scoring engine)'!$K$5:$K$515,7),'Calc (scoring engine)'!$K$5:$K$515,0))="","—",INDEX(Database!$AW$5:$AW$515,MATCH(LARGE('Calc (scoring engine)'!$K$5:$K$515,7),'Calc (scoring engine)'!$K$5:$K$515,0))),""))</f>
        <v/>
      </c>
      <c r="AR27" s="24">
        <f>IF(OR(7&gt;MAX(3,MIN(15,N($D$18))),IFERROR(LARGE('Calc (scoring engine)'!$K$5:$K$515,7),-999999)&lt;=-900000),"",IFERROR(IF(INDEX(Database!$AX$5:$AX$515,MATCH(LARGE('Calc (scoring engine)'!$K$5:$K$515,7),'Calc (scoring engine)'!$K$5:$K$515,0))="","—",INDEX(Database!$AX$5:$AX$515,MATCH(LARGE('Calc (scoring engine)'!$K$5:$K$515,7),'Calc (scoring engine)'!$K$5:$K$515,0))),""))</f>
        <v/>
      </c>
      <c r="AS27" s="24">
        <f>IF(OR(7&gt;MAX(3,MIN(15,N($D$18))),IFERROR(LARGE('Calc (scoring engine)'!$K$5:$K$515,7),-999999)&lt;=-900000),"",IFERROR(IF(INDEX(Database!$AY$5:$AY$515,MATCH(LARGE('Calc (scoring engine)'!$K$5:$K$515,7),'Calc (scoring engine)'!$K$5:$K$515,0))="","—",INDEX(Database!$AY$5:$AY$515,MATCH(LARGE('Calc (scoring engine)'!$K$5:$K$515,7),'Calc (scoring engine)'!$K$5:$K$515,0))),""))</f>
        <v/>
      </c>
      <c r="AT27" s="10">
        <f>IF(OR(7&gt;MAX(3,MIN(15,N($D$18))),IFERROR(LARGE('Calc (scoring engine)'!$K$5:$K$515,7),-999999)&lt;=-900000),"",IFERROR(IF(INDEX(Database!$AZ$5:$AZ$515,MATCH(LARGE('Calc (scoring engine)'!$K$5:$K$515,7),'Calc (scoring engine)'!$K$5:$K$515,0))="","—",INDEX(Database!$AZ$5:$AZ$515,MATCH(LARGE('Calc (scoring engine)'!$K$5:$K$515,7),'Calc (scoring engine)'!$K$5:$K$515,0))),""))</f>
        <v/>
      </c>
      <c r="AU27" s="10">
        <f>IF(OR(7&gt;MAX(3,MIN(15,N($D$18))),IFERROR(LARGE('Calc (scoring engine)'!$K$5:$K$515,7),-999999)&lt;=-900000),"",IFERROR(IF(INDEX(Database!$BA$5:$BA$515,MATCH(LARGE('Calc (scoring engine)'!$K$5:$K$515,7),'Calc (scoring engine)'!$K$5:$K$515,0))="","—",INDEX(Database!$BA$5:$BA$515,MATCH(LARGE('Calc (scoring engine)'!$K$5:$K$515,7),'Calc (scoring engine)'!$K$5:$K$515,0))),""))</f>
        <v/>
      </c>
      <c r="AV27" s="23">
        <f>IF(OR(7&gt;MAX(3,MIN(15,N($D$18))),IFERROR(LARGE('Calc (scoring engine)'!$K$5:$K$515,7),-999999)&lt;=-900000),"",IFERROR(IF(INDEX(Database!$BB$5:$BB$515,MATCH(LARGE('Calc (scoring engine)'!$K$5:$K$515,7),'Calc (scoring engine)'!$K$5:$K$515,0))="","—",INDEX(Database!$BB$5:$BB$515,MATCH(LARGE('Calc (scoring engine)'!$K$5:$K$515,7),'Calc (scoring engine)'!$K$5:$K$515,0))),""))</f>
        <v/>
      </c>
      <c r="AW27" s="39">
        <f>IF(OR(7&gt;MAX(3,MIN(15,N($D$18))),IFERROR(LARGE('Calc (scoring engine)'!$K$5:$K$515,7),-999999)&lt;=-900000),"",IFERROR(IF(INDEX(Database!$BC$5:$BC$515,MATCH(LARGE('Calc (scoring engine)'!$K$5:$K$515,7),'Calc (scoring engine)'!$K$5:$K$515,0))="","—",INDEX(Database!$BC$5:$BC$515,MATCH(LARGE('Calc (scoring engine)'!$K$5:$K$515,7),'Calc (scoring engine)'!$K$5:$K$515,0))),""))</f>
        <v/>
      </c>
      <c r="AX27" s="42">
        <f>IF(OR(7&gt;MAX(3,MIN(15,N($D$18))),IFERROR(LARGE('Calc (scoring engine)'!$K$5:$K$515,7),-999999)&lt;=-900000),"",IFERROR(IF(INDEX(Database!$BD$5:$BD$515,MATCH(LARGE('Calc (scoring engine)'!$K$5:$K$515,7),'Calc (scoring engine)'!$K$5:$K$515,0))="","—",INDEX(Database!$BD$5:$BD$515,MATCH(LARGE('Calc (scoring engine)'!$K$5:$K$515,7),'Calc (scoring engine)'!$K$5:$K$515,0))),""))</f>
        <v/>
      </c>
      <c r="AY27" s="24">
        <f>IF(OR(7&gt;MAX(3,MIN(15,N($D$18))),IFERROR(LARGE('Calc (scoring engine)'!$K$5:$K$515,7),-999999)&lt;=-900000),"",IFERROR(IF(INDEX(Database!$BE$5:$BE$515,MATCH(LARGE('Calc (scoring engine)'!$K$5:$K$515,7),'Calc (scoring engine)'!$K$5:$K$515,0))="","—",INDEX(Database!$BE$5:$BE$515,MATCH(LARGE('Calc (scoring engine)'!$K$5:$K$515,7),'Calc (scoring engine)'!$K$5:$K$515,0))),""))</f>
        <v/>
      </c>
      <c r="AZ27" s="24">
        <f>IF(OR(7&gt;MAX(3,MIN(15,N($D$18))),IFERROR(LARGE('Calc (scoring engine)'!$K$5:$K$515,7),-999999)&lt;=-900000),"",IFERROR(IF(INDEX(Database!$BF$5:$BF$515,MATCH(LARGE('Calc (scoring engine)'!$K$5:$K$515,7),'Calc (scoring engine)'!$K$5:$K$515,0))="","—",INDEX(Database!$BF$5:$BF$515,MATCH(LARGE('Calc (scoring engine)'!$K$5:$K$515,7),'Calc (scoring engine)'!$K$5:$K$515,0))),""))</f>
        <v/>
      </c>
      <c r="BA27" s="10">
        <f>IF(OR(7&gt;MAX(3,MIN(15,N($D$18))),IFERROR(LARGE('Calc (scoring engine)'!$K$5:$K$515,7),-999999)&lt;=-900000),"",IFERROR(IF(INDEX(Database!$BG$5:$BG$515,MATCH(LARGE('Calc (scoring engine)'!$K$5:$K$515,7),'Calc (scoring engine)'!$K$5:$K$515,0))="","—",INDEX(Database!$BG$5:$BG$515,MATCH(LARGE('Calc (scoring engine)'!$K$5:$K$515,7),'Calc (scoring engine)'!$K$5:$K$515,0))),""))</f>
        <v/>
      </c>
      <c r="BB27" s="10">
        <f>IF(OR(7&gt;MAX(3,MIN(15,N($D$18))),IFERROR(LARGE('Calc (scoring engine)'!$K$5:$K$515,7),-999999)&lt;=-900000),"",IFERROR(IF(INDEX(Database!$BI$5:$BI$515,MATCH(LARGE('Calc (scoring engine)'!$K$5:$K$515,7),'Calc (scoring engine)'!$K$5:$K$515,0))="","—",INDEX(Database!$BI$5:$BI$515,MATCH(LARGE('Calc (scoring engine)'!$K$5:$K$515,7),'Calc (scoring engine)'!$K$5:$K$515,0))),""))</f>
        <v/>
      </c>
      <c r="BC27" s="24">
        <f>IF(OR(7&gt;MAX(3,MIN(15,N($D$18))),IFERROR(LARGE('Calc (scoring engine)'!$K$5:$K$515,7),-999999)&lt;=-900000),"",IFERROR(IFERROR(BDP(TEXT(INDEX(Database!$A$5:$A$515,MATCH(LARGE('Calc (scoring engine)'!$K$5:$K$515,7),'Calc (scoring engine)'!$K$5:$K$515,0)),"0")&amp;" HK Equity","PE_RATIO"),IF(INDEX(Database!$AX$5:$AX$515,MATCH(LARGE('Calc (scoring engine)'!$K$5:$K$515,7),'Calc (scoring engine)'!$K$5:$K$515,0))="","—",INDEX(Database!$AX$5:$AX$515,MATCH(LARGE('Calc (scoring engine)'!$K$5:$K$515,7),'Calc (scoring engine)'!$K$5:$K$515,0)))),""))</f>
        <v/>
      </c>
      <c r="BD27" s="24">
        <f>IF(OR(7&gt;MAX(3,MIN(15,N($D$18))),IFERROR(LARGE('Calc (scoring engine)'!$K$5:$K$515,7),-999999)&lt;=-900000),"",IFERROR(IFERROR(BDP(TEXT(INDEX(Database!$A$5:$A$515,MATCH(LARGE('Calc (scoring engine)'!$K$5:$K$515,7),'Calc (scoring engine)'!$K$5:$K$515,0)),"0")&amp;" HK Equity","PX_TO_SALES_RATIO"),IF(INDEX(Database!$AY$5:$AY$515,MATCH(LARGE('Calc (scoring engine)'!$K$5:$K$515,7),'Calc (scoring engine)'!$K$5:$K$515,0))="","—",INDEX(Database!$AY$5:$AY$515,MATCH(LARGE('Calc (scoring engine)'!$K$5:$K$515,7),'Calc (scoring engine)'!$K$5:$K$515,0)))),""))</f>
        <v/>
      </c>
      <c r="BE27" s="43">
        <f>IF(OR(7&gt;MAX(3,MIN(15,N($D$18))),IFERROR(LARGE('Calc (scoring engine)'!$K$5:$K$515,7),-999999)&lt;=-900000),"",IFERROR(IF(INDEX('Calc (scoring engine)'!$H$5:$H$515,MATCH(LARGE('Calc (scoring engine)'!$K$5:$K$515,7),'Calc (scoring engine)'!$K$5:$K$515,0))&gt;0,INDEX('Calc (scoring engine)'!$H$5:$H$515,MATCH(LARGE('Calc (scoring engine)'!$K$5:$K$515,7),'Calc (scoring engine)'!$K$5:$K$515,0)),""),""))</f>
        <v/>
      </c>
      <c r="BF27" s="10">
        <f>IF(OR(7&gt;MAX(3,MIN(15,N($D$18))),IFERROR(LARGE('Calc (scoring engine)'!$K$5:$K$515,7),-999999)&lt;=-900000),"",IF(IFERROR(INDEX('Calc (scoring engine)'!$B$5:$B$515,MATCH(LARGE('Calc (scoring engine)'!$K$5:$K$515,7),'Calc (scoring engine)'!$K$5:$K$515,0)),0)=1,"same subsector","sector only"))</f>
        <v/>
      </c>
      <c r="BG27" s="43">
        <f>IF(OR(7&gt;MAX(3,MIN(15,N($D$18))),IFERROR(LARGE('Calc (scoring engine)'!$K$5:$K$515,7),-999999)&lt;=-900000),"",ROUND(IFERROR(LARGE('Calc (scoring engine)'!$K$5:$K$515,7),0),0))</f>
        <v/>
      </c>
      <c r="BH27" s="10">
        <f>IF(OR(7&gt;MAX(3,MIN(15,N($D$18))),IFERROR(LARGE('Calc (scoring engine)'!$K$5:$K$515,7),-999999)&lt;=-900000),"",IFERROR("sub "&amp;INDEX('Calc (scoring engine)'!$B$5:$B$515,MATCH(LARGE('Calc (scoring engine)'!$K$5:$K$515,7),'Calc (scoring engine)'!$K$5:$K$515,0))*W_SUB&amp;" + size "&amp;ROUND(INDEX('Calc (scoring engine)'!$D$5:$D$515,MATCH(LARGE('Calc (scoring engine)'!$K$5:$K$515,7),'Calc (scoring engine)'!$K$5:$K$515,0))*W_SIZE,0)&amp;" + prof "&amp;INDEX('Calc (scoring engine)'!$E$5:$E$515,MATCH(LARGE('Calc (scoring engine)'!$K$5:$K$515,7),'Calc (scoring engine)'!$K$5:$K$515,0))*W_PROF&amp;" + recency "&amp;ROUND(INDEX('Calc (scoring engine)'!$G$5:$G$515,MATCH(LARGE('Calc (scoring engine)'!$K$5:$K$515,7),'Calc (scoring engine)'!$K$5:$K$515,0))*W_REC,0)&amp;IF(INDEX('Calc (scoring engine)'!$H$5:$H$515,MATCH(LARGE('Calc (scoring engine)'!$K$5:$K$515,7),'Calc (scoring engine)'!$K$5:$K$515,0))&gt;0," + shared CS x"&amp;INDEX('Calc (scoring engine)'!$H$5:$H$515,MATCH(LARGE('Calc (scoring engine)'!$K$5:$K$515,7),'Calc (scoring engine)'!$K$5:$K$515,0)),""),""))</f>
        <v/>
      </c>
    </row>
    <row r="28">
      <c r="A28" s="38">
        <f>IF(OR(8&gt;MAX(3,MIN(15,N($D$18))),IFERROR(LARGE('Calc (scoring engine)'!$K$5:$K$515,8),-999999)&lt;=-900000),"",8)</f>
        <v/>
      </c>
      <c r="B28" s="10">
        <f>IF(OR(8&gt;MAX(3,MIN(15,N($D$18))),IFERROR(LARGE('Calc (scoring engine)'!$K$5:$K$515,8),-999999)&lt;=-900000),"",IFERROR(IF(INDEX(Database!$B$5:$B$515,MATCH(LARGE('Calc (scoring engine)'!$K$5:$K$515,8),'Calc (scoring engine)'!$K$5:$K$515,0))="","—",INDEX(Database!$B$5:$B$515,MATCH(LARGE('Calc (scoring engine)'!$K$5:$K$515,8),'Calc (scoring engine)'!$K$5:$K$515,0))),""))</f>
        <v/>
      </c>
      <c r="C28" s="10">
        <f>IF(OR(8&gt;MAX(3,MIN(15,N($D$18))),IFERROR(LARGE('Calc (scoring engine)'!$K$5:$K$515,8),-999999)&lt;=-900000),"",IFERROR(IF(INDEX(Database!$D$5:$D$515,MATCH(LARGE('Calc (scoring engine)'!$K$5:$K$515,8),'Calc (scoring engine)'!$K$5:$K$515,0))="","—",INDEX(Database!$D$5:$D$515,MATCH(LARGE('Calc (scoring engine)'!$K$5:$K$515,8),'Calc (scoring engine)'!$K$5:$K$515,0))),""))</f>
        <v/>
      </c>
      <c r="D28" s="10">
        <f>IF(OR(8&gt;MAX(3,MIN(15,N($D$18))),IFERROR(LARGE('Calc (scoring engine)'!$K$5:$K$515,8),-999999)&lt;=-900000),"",IFERROR(IF(INDEX(Database!$E$5:$E$515,MATCH(LARGE('Calc (scoring engine)'!$K$5:$K$515,8),'Calc (scoring engine)'!$K$5:$K$515,0))="","—",INDEX(Database!$E$5:$E$515,MATCH(LARGE('Calc (scoring engine)'!$K$5:$K$515,8),'Calc (scoring engine)'!$K$5:$K$515,0))),""))</f>
        <v/>
      </c>
      <c r="E28" s="10">
        <f>IF(OR(8&gt;MAX(3,MIN(15,N($D$18))),IFERROR(LARGE('Calc (scoring engine)'!$K$5:$K$515,8),-999999)&lt;=-900000),"",IFERROR(IF(INDEX(Database!$F$5:$F$515,MATCH(LARGE('Calc (scoring engine)'!$K$5:$K$515,8),'Calc (scoring engine)'!$K$5:$K$515,0))="","—",INDEX(Database!$F$5:$F$515,MATCH(LARGE('Calc (scoring engine)'!$K$5:$K$515,8),'Calc (scoring engine)'!$K$5:$K$515,0))),""))</f>
        <v/>
      </c>
      <c r="F28" s="10">
        <f>IF(OR(8&gt;MAX(3,MIN(15,N($D$18))),IFERROR(LARGE('Calc (scoring engine)'!$K$5:$K$515,8),-999999)&lt;=-900000),"",IFERROR(IF(INDEX(Database!$G$5:$G$515,MATCH(LARGE('Calc (scoring engine)'!$K$5:$K$515,8),'Calc (scoring engine)'!$K$5:$K$515,0))="","—",INDEX(Database!$G$5:$G$515,MATCH(LARGE('Calc (scoring engine)'!$K$5:$K$515,8),'Calc (scoring engine)'!$K$5:$K$515,0))),""))</f>
        <v/>
      </c>
      <c r="G28" s="21">
        <f>IF(OR(8&gt;MAX(3,MIN(15,N($D$18))),IFERROR(LARGE('Calc (scoring engine)'!$K$5:$K$515,8),-999999)&lt;=-900000),"",IFERROR(IF(INDEX(Database!$H$5:$H$515,MATCH(LARGE('Calc (scoring engine)'!$K$5:$K$515,8),'Calc (scoring engine)'!$K$5:$K$515,0))="","—",INDEX(Database!$H$5:$H$515,MATCH(LARGE('Calc (scoring engine)'!$K$5:$K$515,8),'Calc (scoring engine)'!$K$5:$K$515,0))),""))</f>
        <v/>
      </c>
      <c r="H28" s="18">
        <f>IF(OR(8&gt;MAX(3,MIN(15,N($D$18))),IFERROR(LARGE('Calc (scoring engine)'!$K$5:$K$515,8),-999999)&lt;=-900000),"",IFERROR(IF(INDEX(Database!$I$5:$I$515,MATCH(LARGE('Calc (scoring engine)'!$K$5:$K$515,8),'Calc (scoring engine)'!$K$5:$K$515,0))="","—",INDEX(Database!$I$5:$I$515,MATCH(LARGE('Calc (scoring engine)'!$K$5:$K$515,8),'Calc (scoring engine)'!$K$5:$K$515,0))),""))</f>
        <v/>
      </c>
      <c r="I28" s="39">
        <f>IF(OR(8&gt;MAX(3,MIN(15,N($D$18))),IFERROR(LARGE('Calc (scoring engine)'!$K$5:$K$515,8),-999999)&lt;=-900000),"",IFERROR(IF(INDEX(Database!$K$5:$K$515,MATCH(LARGE('Calc (scoring engine)'!$K$5:$K$515,8),'Calc (scoring engine)'!$K$5:$K$515,0))="","—",INDEX(Database!$K$5:$K$515,MATCH(LARGE('Calc (scoring engine)'!$K$5:$K$515,8),'Calc (scoring engine)'!$K$5:$K$515,0))),""))</f>
        <v/>
      </c>
      <c r="J28" s="39">
        <f>IF(OR(8&gt;MAX(3,MIN(15,N($D$18))),IFERROR(LARGE('Calc (scoring engine)'!$K$5:$K$515,8),-999999)&lt;=-900000),"",IFERROR(IF(INDEX(Database!$L$5:$L$515,MATCH(LARGE('Calc (scoring engine)'!$K$5:$K$515,8),'Calc (scoring engine)'!$K$5:$K$515,0))="","—",INDEX(Database!$L$5:$L$515,MATCH(LARGE('Calc (scoring engine)'!$K$5:$K$515,8),'Calc (scoring engine)'!$K$5:$K$515,0))),""))</f>
        <v/>
      </c>
      <c r="K28" s="39">
        <f>IF(OR(8&gt;MAX(3,MIN(15,N($D$18))),IFERROR(LARGE('Calc (scoring engine)'!$K$5:$K$515,8),-999999)&lt;=-900000),"",IFERROR(IF(INDEX(Database!$M$5:$M$515,MATCH(LARGE('Calc (scoring engine)'!$K$5:$K$515,8),'Calc (scoring engine)'!$K$5:$K$515,0))="","—",INDEX(Database!$M$5:$M$515,MATCH(LARGE('Calc (scoring engine)'!$K$5:$K$515,8),'Calc (scoring engine)'!$K$5:$K$515,0))),""))</f>
        <v/>
      </c>
      <c r="L28" s="10">
        <f>IF(OR(8&gt;MAX(3,MIN(15,N($D$18))),IFERROR(LARGE('Calc (scoring engine)'!$K$5:$K$515,8),-999999)&lt;=-900000),"",IFERROR(IF(INDEX(Database!$N$5:$N$515,MATCH(LARGE('Calc (scoring engine)'!$K$5:$K$515,8),'Calc (scoring engine)'!$K$5:$K$515,0))="","—",INDEX(Database!$N$5:$N$515,MATCH(LARGE('Calc (scoring engine)'!$K$5:$K$515,8),'Calc (scoring engine)'!$K$5:$K$515,0))),""))</f>
        <v/>
      </c>
      <c r="M28" s="28">
        <f>IF(OR(8&gt;MAX(3,MIN(15,N($D$18))),IFERROR(LARGE('Calc (scoring engine)'!$K$5:$K$515,8),-999999)&lt;=-900000),"",IFERROR(IF(INDEX(Database!$O$5:$O$515,MATCH(LARGE('Calc (scoring engine)'!$K$5:$K$515,8),'Calc (scoring engine)'!$K$5:$K$515,0))="","—",INDEX(Database!$O$5:$O$515,MATCH(LARGE('Calc (scoring engine)'!$K$5:$K$515,8),'Calc (scoring engine)'!$K$5:$K$515,0))),""))</f>
        <v/>
      </c>
      <c r="N28" s="28">
        <f>IF(OR(8&gt;MAX(3,MIN(15,N($D$18))),IFERROR(LARGE('Calc (scoring engine)'!$K$5:$K$515,8),-999999)&lt;=-900000),"",IFERROR(IF(INDEX(Database!$P$5:$P$515,MATCH(LARGE('Calc (scoring engine)'!$K$5:$K$515,8),'Calc (scoring engine)'!$K$5:$K$515,0))="","—",INDEX(Database!$P$5:$P$515,MATCH(LARGE('Calc (scoring engine)'!$K$5:$K$515,8),'Calc (scoring engine)'!$K$5:$K$515,0))),""))</f>
        <v/>
      </c>
      <c r="O28" s="18">
        <f>IF(OR(8&gt;MAX(3,MIN(15,N($D$18))),IFERROR(LARGE('Calc (scoring engine)'!$K$5:$K$515,8),-999999)&lt;=-900000),"",IFERROR(IF(INDEX(Database!$Q$5:$Q$515,MATCH(LARGE('Calc (scoring engine)'!$K$5:$K$515,8),'Calc (scoring engine)'!$K$5:$K$515,0))="","—",INDEX(Database!$Q$5:$Q$515,MATCH(LARGE('Calc (scoring engine)'!$K$5:$K$515,8),'Calc (scoring engine)'!$K$5:$K$515,0))),""))</f>
        <v/>
      </c>
      <c r="P28" s="26">
        <f>IF(OR(8&gt;MAX(3,MIN(15,N($D$18))),IFERROR(LARGE('Calc (scoring engine)'!$K$5:$K$515,8),-999999)&lt;=-900000),"",IFERROR(IF(INDEX(Database!$S$5:$S$515,MATCH(LARGE('Calc (scoring engine)'!$K$5:$K$515,8),'Calc (scoring engine)'!$K$5:$K$515,0))="","—",INDEX(Database!$S$5:$S$515,MATCH(LARGE('Calc (scoring engine)'!$K$5:$K$515,8),'Calc (scoring engine)'!$K$5:$K$515,0))),""))</f>
        <v/>
      </c>
      <c r="Q28" s="40">
        <f>IF(OR(8&gt;MAX(3,MIN(15,N($D$18))),IFERROR(LARGE('Calc (scoring engine)'!$K$5:$K$515,8),-999999)&lt;=-900000),"",IFERROR(IF(INDEX(Database!$T$5:$T$515,MATCH(LARGE('Calc (scoring engine)'!$K$5:$K$515,8),'Calc (scoring engine)'!$K$5:$K$515,0))="","—",INDEX(Database!$T$5:$T$515,MATCH(LARGE('Calc (scoring engine)'!$K$5:$K$515,8),'Calc (scoring engine)'!$K$5:$K$515,0))),""))</f>
        <v/>
      </c>
      <c r="R28" s="41">
        <f>IF(OR(8&gt;MAX(3,MIN(15,N($D$18))),IFERROR(LARGE('Calc (scoring engine)'!$K$5:$K$515,8),-999999)&lt;=-900000),"",IFERROR(IF(INDEX(Database!$U$5:$U$515,MATCH(LARGE('Calc (scoring engine)'!$K$5:$K$515,8),'Calc (scoring engine)'!$K$5:$K$515,0))="","—",INDEX(Database!$U$5:$U$515,MATCH(LARGE('Calc (scoring engine)'!$K$5:$K$515,8),'Calc (scoring engine)'!$K$5:$K$515,0))),""))</f>
        <v/>
      </c>
      <c r="S28" s="28">
        <f>IF(OR(8&gt;MAX(3,MIN(15,N($D$18))),IFERROR(LARGE('Calc (scoring engine)'!$K$5:$K$515,8),-999999)&lt;=-900000),"",IFERROR(IF(INDEX(Database!$V$5:$V$515,MATCH(LARGE('Calc (scoring engine)'!$K$5:$K$515,8),'Calc (scoring engine)'!$K$5:$K$515,0))="","—",INDEX(Database!$V$5:$V$515,MATCH(LARGE('Calc (scoring engine)'!$K$5:$K$515,8),'Calc (scoring engine)'!$K$5:$K$515,0))),""))</f>
        <v/>
      </c>
      <c r="T28" s="10">
        <f>IF(OR(8&gt;MAX(3,MIN(15,N($D$18))),IFERROR(LARGE('Calc (scoring engine)'!$K$5:$K$515,8),-999999)&lt;=-900000),"",IFERROR(IF(INDEX(Database!$W$5:$W$515,MATCH(LARGE('Calc (scoring engine)'!$K$5:$K$515,8),'Calc (scoring engine)'!$K$5:$K$515,0))="","—",INDEX(Database!$W$5:$W$515,MATCH(LARGE('Calc (scoring engine)'!$K$5:$K$515,8),'Calc (scoring engine)'!$K$5:$K$515,0))),""))</f>
        <v/>
      </c>
      <c r="U28" s="28">
        <f>IF(OR(8&gt;MAX(3,MIN(15,N($D$18))),IFERROR(LARGE('Calc (scoring engine)'!$K$5:$K$515,8),-999999)&lt;=-900000),"",IFERROR(IF(INDEX(Database!$Y$5:$Y$515,MATCH(LARGE('Calc (scoring engine)'!$K$5:$K$515,8),'Calc (scoring engine)'!$K$5:$K$515,0))="","—",INDEX(Database!$Y$5:$Y$515,MATCH(LARGE('Calc (scoring engine)'!$K$5:$K$515,8),'Calc (scoring engine)'!$K$5:$K$515,0))),""))</f>
        <v/>
      </c>
      <c r="V28" s="10">
        <f>IF(OR(8&gt;MAX(3,MIN(15,N($D$18))),IFERROR(LARGE('Calc (scoring engine)'!$K$5:$K$515,8),-999999)&lt;=-900000),"",IFERROR(IF(INDEX(Database!$Z$5:$Z$515,MATCH(LARGE('Calc (scoring engine)'!$K$5:$K$515,8),'Calc (scoring engine)'!$K$5:$K$515,0))="","—",INDEX(Database!$Z$5:$Z$515,MATCH(LARGE('Calc (scoring engine)'!$K$5:$K$515,8),'Calc (scoring engine)'!$K$5:$K$515,0))),""))</f>
        <v/>
      </c>
      <c r="W28" s="23">
        <f>IF(OR(8&gt;MAX(3,MIN(15,N($D$18))),IFERROR(LARGE('Calc (scoring engine)'!$K$5:$K$515,8),-999999)&lt;=-900000),"",IFERROR(IF(INDEX(Database!$AA$5:$AA$515,MATCH(LARGE('Calc (scoring engine)'!$K$5:$K$515,8),'Calc (scoring engine)'!$K$5:$K$515,0))="","—",INDEX(Database!$AA$5:$AA$515,MATCH(LARGE('Calc (scoring engine)'!$K$5:$K$515,8),'Calc (scoring engine)'!$K$5:$K$515,0))),""))</f>
        <v/>
      </c>
      <c r="X28" s="23">
        <f>IF(OR(8&gt;MAX(3,MIN(15,N($D$18))),IFERROR(LARGE('Calc (scoring engine)'!$K$5:$K$515,8),-999999)&lt;=-900000),"",IFERROR(IF(INDEX(Database!$AB$5:$AB$515,MATCH(LARGE('Calc (scoring engine)'!$K$5:$K$515,8),'Calc (scoring engine)'!$K$5:$K$515,0))="","—",INDEX(Database!$AB$5:$AB$515,MATCH(LARGE('Calc (scoring engine)'!$K$5:$K$515,8),'Calc (scoring engine)'!$K$5:$K$515,0))),""))</f>
        <v/>
      </c>
      <c r="Y28" s="23">
        <f>IF(OR(8&gt;MAX(3,MIN(15,N($D$18))),IFERROR(LARGE('Calc (scoring engine)'!$K$5:$K$515,8),-999999)&lt;=-900000),"",IFERROR(IF(INDEX(Database!$AC$5:$AC$515,MATCH(LARGE('Calc (scoring engine)'!$K$5:$K$515,8),'Calc (scoring engine)'!$K$5:$K$515,0))="","—",INDEX(Database!$AC$5:$AC$515,MATCH(LARGE('Calc (scoring engine)'!$K$5:$K$515,8),'Calc (scoring engine)'!$K$5:$K$515,0))),""))</f>
        <v/>
      </c>
      <c r="Z28" s="23">
        <f>IF(OR(8&gt;MAX(3,MIN(15,N($D$18))),IFERROR(LARGE('Calc (scoring engine)'!$K$5:$K$515,8),-999999)&lt;=-900000),"",IFERROR(IF(INDEX(Database!$AD$5:$AD$515,MATCH(LARGE('Calc (scoring engine)'!$K$5:$K$515,8),'Calc (scoring engine)'!$K$5:$K$515,0))="","—",INDEX(Database!$AD$5:$AD$515,MATCH(LARGE('Calc (scoring engine)'!$K$5:$K$515,8),'Calc (scoring engine)'!$K$5:$K$515,0))),""))</f>
        <v/>
      </c>
      <c r="AA28" s="23">
        <f>IF(OR(8&gt;MAX(3,MIN(15,N($D$18))),IFERROR(LARGE('Calc (scoring engine)'!$K$5:$K$515,8),-999999)&lt;=-900000),"",IFERROR(IF(INDEX(Database!$AE$5:$AE$515,MATCH(LARGE('Calc (scoring engine)'!$K$5:$K$515,8),'Calc (scoring engine)'!$K$5:$K$515,0))="","—",INDEX(Database!$AE$5:$AE$515,MATCH(LARGE('Calc (scoring engine)'!$K$5:$K$515,8),'Calc (scoring engine)'!$K$5:$K$515,0))),""))</f>
        <v/>
      </c>
      <c r="AB28" s="23">
        <f>IF(OR(8&gt;MAX(3,MIN(15,N($D$18))),IFERROR(LARGE('Calc (scoring engine)'!$K$5:$K$515,8),-999999)&lt;=-900000),"",IFERROR(IF(INDEX(Database!$AF$5:$AF$515,MATCH(LARGE('Calc (scoring engine)'!$K$5:$K$515,8),'Calc (scoring engine)'!$K$5:$K$515,0))="","—",INDEX(Database!$AF$5:$AF$515,MATCH(LARGE('Calc (scoring engine)'!$K$5:$K$515,8),'Calc (scoring engine)'!$K$5:$K$515,0))),""))</f>
        <v/>
      </c>
      <c r="AC28" s="23">
        <f>IF(OR(8&gt;MAX(3,MIN(15,N($D$18))),IFERROR(LARGE('Calc (scoring engine)'!$K$5:$K$515,8),-999999)&lt;=-900000),"",IFERROR(IF(INDEX(Database!$AG$5:$AG$515,MATCH(LARGE('Calc (scoring engine)'!$K$5:$K$515,8),'Calc (scoring engine)'!$K$5:$K$515,0))="","—",INDEX(Database!$AG$5:$AG$515,MATCH(LARGE('Calc (scoring engine)'!$K$5:$K$515,8),'Calc (scoring engine)'!$K$5:$K$515,0))),""))</f>
        <v/>
      </c>
      <c r="AD28" s="23">
        <f>IF(OR(8&gt;MAX(3,MIN(15,N($D$18))),IFERROR(LARGE('Calc (scoring engine)'!$K$5:$K$515,8),-999999)&lt;=-900000),"",IFERROR(IF(INDEX(Database!$AH$5:$AH$515,MATCH(LARGE('Calc (scoring engine)'!$K$5:$K$515,8),'Calc (scoring engine)'!$K$5:$K$515,0))="","—",INDEX(Database!$AH$5:$AH$515,MATCH(LARGE('Calc (scoring engine)'!$K$5:$K$515,8),'Calc (scoring engine)'!$K$5:$K$515,0))),""))</f>
        <v/>
      </c>
      <c r="AE28" s="23">
        <f>IF(OR(8&gt;MAX(3,MIN(15,N($D$18))),IFERROR(LARGE('Calc (scoring engine)'!$K$5:$K$515,8),-999999)&lt;=-900000),"",IFERROR(IF(INDEX(Database!$AI$5:$AI$515,MATCH(LARGE('Calc (scoring engine)'!$K$5:$K$515,8),'Calc (scoring engine)'!$K$5:$K$515,0))="","—",INDEX(Database!$AI$5:$AI$515,MATCH(LARGE('Calc (scoring engine)'!$K$5:$K$515,8),'Calc (scoring engine)'!$K$5:$K$515,0))),""))</f>
        <v/>
      </c>
      <c r="AF28" s="23">
        <f>IF(OR(8&gt;MAX(3,MIN(15,N($D$18))),IFERROR(LARGE('Calc (scoring engine)'!$K$5:$K$515,8),-999999)&lt;=-900000),"",IFERROR(IF(INDEX(Database!$AJ$5:$AJ$515,MATCH(LARGE('Calc (scoring engine)'!$K$5:$K$515,8),'Calc (scoring engine)'!$K$5:$K$515,0))="","—",INDEX(Database!$AJ$5:$AJ$515,MATCH(LARGE('Calc (scoring engine)'!$K$5:$K$515,8),'Calc (scoring engine)'!$K$5:$K$515,0))),""))</f>
        <v/>
      </c>
      <c r="AG28" s="23">
        <f>IF(OR(8&gt;MAX(3,MIN(15,N($D$18))),IFERROR(LARGE('Calc (scoring engine)'!$K$5:$K$515,8),-999999)&lt;=-900000),"",IFERROR(IF(INDEX(Database!$AK$5:$AK$515,MATCH(LARGE('Calc (scoring engine)'!$K$5:$K$515,8),'Calc (scoring engine)'!$K$5:$K$515,0))="","—",INDEX(Database!$AK$5:$AK$515,MATCH(LARGE('Calc (scoring engine)'!$K$5:$K$515,8),'Calc (scoring engine)'!$K$5:$K$515,0))),""))</f>
        <v/>
      </c>
      <c r="AH28" s="23">
        <f>IF(OR(8&gt;MAX(3,MIN(15,N($D$18))),IFERROR(LARGE('Calc (scoring engine)'!$K$5:$K$515,8),-999999)&lt;=-900000),"",IFERROR(IF(INDEX(Database!$AL$5:$AL$515,MATCH(LARGE('Calc (scoring engine)'!$K$5:$K$515,8),'Calc (scoring engine)'!$K$5:$K$515,0))="","—",INDEX(Database!$AL$5:$AL$515,MATCH(LARGE('Calc (scoring engine)'!$K$5:$K$515,8),'Calc (scoring engine)'!$K$5:$K$515,0))),""))</f>
        <v/>
      </c>
      <c r="AI28" s="23">
        <f>IF(OR(8&gt;MAX(3,MIN(15,N($D$18))),IFERROR(LARGE('Calc (scoring engine)'!$K$5:$K$515,8),-999999)&lt;=-900000),"",IFERROR(IF(INDEX(Database!$AM$5:$AM$515,MATCH(LARGE('Calc (scoring engine)'!$K$5:$K$515,8),'Calc (scoring engine)'!$K$5:$K$515,0))="","—",INDEX(Database!$AM$5:$AM$515,MATCH(LARGE('Calc (scoring engine)'!$K$5:$K$515,8),'Calc (scoring engine)'!$K$5:$K$515,0))),""))</f>
        <v/>
      </c>
      <c r="AJ28" s="23">
        <f>IF(OR(8&gt;MAX(3,MIN(15,N($D$18))),IFERROR(LARGE('Calc (scoring engine)'!$K$5:$K$515,8),-999999)&lt;=-900000),"",IFERROR(IF(INDEX(Database!$AN$5:$AN$515,MATCH(LARGE('Calc (scoring engine)'!$K$5:$K$515,8),'Calc (scoring engine)'!$K$5:$K$515,0))="","—",INDEX(Database!$AN$5:$AN$515,MATCH(LARGE('Calc (scoring engine)'!$K$5:$K$515,8),'Calc (scoring engine)'!$K$5:$K$515,0))),""))</f>
        <v/>
      </c>
      <c r="AK28" s="23">
        <f>IF(OR(8&gt;MAX(3,MIN(15,N($D$18))),IFERROR(LARGE('Calc (scoring engine)'!$K$5:$K$515,8),-999999)&lt;=-900000),"",IFERROR(IF(INDEX(Database!$AO$5:$AO$515,MATCH(LARGE('Calc (scoring engine)'!$K$5:$K$515,8),'Calc (scoring engine)'!$K$5:$K$515,0))="","—",INDEX(Database!$AO$5:$AO$515,MATCH(LARGE('Calc (scoring engine)'!$K$5:$K$515,8),'Calc (scoring engine)'!$K$5:$K$515,0))),""))</f>
        <v/>
      </c>
      <c r="AL28" s="23">
        <f>IF(OR(8&gt;MAX(3,MIN(15,N($D$18))),IFERROR(LARGE('Calc (scoring engine)'!$K$5:$K$515,8),-999999)&lt;=-900000),"",IFERROR(IF(INDEX(Database!$AQ$5:$AQ$515,MATCH(LARGE('Calc (scoring engine)'!$K$5:$K$515,8),'Calc (scoring engine)'!$K$5:$K$515,0))="","—",INDEX(Database!$AQ$5:$AQ$515,MATCH(LARGE('Calc (scoring engine)'!$K$5:$K$515,8),'Calc (scoring engine)'!$K$5:$K$515,0))),""))</f>
        <v/>
      </c>
      <c r="AM28" s="18">
        <f>IF(OR(8&gt;MAX(3,MIN(15,N($D$18))),IFERROR(LARGE('Calc (scoring engine)'!$K$5:$K$515,8),-999999)&lt;=-900000),"",IFERROR(IF(INDEX(Database!$AS$5:$AS$515,MATCH(LARGE('Calc (scoring engine)'!$K$5:$K$515,8),'Calc (scoring engine)'!$K$5:$K$515,0))="","—",INDEX(Database!$AS$5:$AS$515,MATCH(LARGE('Calc (scoring engine)'!$K$5:$K$515,8),'Calc (scoring engine)'!$K$5:$K$515,0))),""))</f>
        <v/>
      </c>
      <c r="AN28" s="18">
        <f>IF(OR(8&gt;MAX(3,MIN(15,N($D$18))),IFERROR(LARGE('Calc (scoring engine)'!$K$5:$K$515,8),-999999)&lt;=-900000),"",IFERROR(IF(INDEX(Database!$AT$5:$AT$515,MATCH(LARGE('Calc (scoring engine)'!$K$5:$K$515,8),'Calc (scoring engine)'!$K$5:$K$515,0))="","—",INDEX(Database!$AT$5:$AT$515,MATCH(LARGE('Calc (scoring engine)'!$K$5:$K$515,8),'Calc (scoring engine)'!$K$5:$K$515,0))),""))</f>
        <v/>
      </c>
      <c r="AO28" s="10">
        <f>IF(OR(8&gt;MAX(3,MIN(15,N($D$18))),IFERROR(LARGE('Calc (scoring engine)'!$K$5:$K$515,8),-999999)&lt;=-900000),"",IFERROR(IF(INDEX(Database!$AU$5:$AU$515,MATCH(LARGE('Calc (scoring engine)'!$K$5:$K$515,8),'Calc (scoring engine)'!$K$5:$K$515,0))="","—",INDEX(Database!$AU$5:$AU$515,MATCH(LARGE('Calc (scoring engine)'!$K$5:$K$515,8),'Calc (scoring engine)'!$K$5:$K$515,0))),""))</f>
        <v/>
      </c>
      <c r="AP28" s="24">
        <f>IF(OR(8&gt;MAX(3,MIN(15,N($D$18))),IFERROR(LARGE('Calc (scoring engine)'!$K$5:$K$515,8),-999999)&lt;=-900000),"",IFERROR(IF(N(INDEX(Database!$AV$5:$AV$515,MATCH(LARGE('Calc (scoring engine)'!$K$5:$K$515,8),'Calc (scoring engine)'!$K$5:$K$515,0)))&lt;=0,IF(INDEX(Database!$AU$5:$AU$515,MATCH(LARGE('Calc (scoring engine)'!$K$5:$K$515,8),'Calc (scoring engine)'!$K$5:$K$515,0))="N","n/m","—"),INDEX(Database!$AV$5:$AV$515,MATCH(LARGE('Calc (scoring engine)'!$K$5:$K$515,8),'Calc (scoring engine)'!$K$5:$K$515,0))),""))</f>
        <v/>
      </c>
      <c r="AQ28" s="24">
        <f>IF(OR(8&gt;MAX(3,MIN(15,N($D$18))),IFERROR(LARGE('Calc (scoring engine)'!$K$5:$K$515,8),-999999)&lt;=-900000),"",IFERROR(IF(INDEX(Database!$AW$5:$AW$515,MATCH(LARGE('Calc (scoring engine)'!$K$5:$K$515,8),'Calc (scoring engine)'!$K$5:$K$515,0))="","—",INDEX(Database!$AW$5:$AW$515,MATCH(LARGE('Calc (scoring engine)'!$K$5:$K$515,8),'Calc (scoring engine)'!$K$5:$K$515,0))),""))</f>
        <v/>
      </c>
      <c r="AR28" s="24">
        <f>IF(OR(8&gt;MAX(3,MIN(15,N($D$18))),IFERROR(LARGE('Calc (scoring engine)'!$K$5:$K$515,8),-999999)&lt;=-900000),"",IFERROR(IF(INDEX(Database!$AX$5:$AX$515,MATCH(LARGE('Calc (scoring engine)'!$K$5:$K$515,8),'Calc (scoring engine)'!$K$5:$K$515,0))="","—",INDEX(Database!$AX$5:$AX$515,MATCH(LARGE('Calc (scoring engine)'!$K$5:$K$515,8),'Calc (scoring engine)'!$K$5:$K$515,0))),""))</f>
        <v/>
      </c>
      <c r="AS28" s="24">
        <f>IF(OR(8&gt;MAX(3,MIN(15,N($D$18))),IFERROR(LARGE('Calc (scoring engine)'!$K$5:$K$515,8),-999999)&lt;=-900000),"",IFERROR(IF(INDEX(Database!$AY$5:$AY$515,MATCH(LARGE('Calc (scoring engine)'!$K$5:$K$515,8),'Calc (scoring engine)'!$K$5:$K$515,0))="","—",INDEX(Database!$AY$5:$AY$515,MATCH(LARGE('Calc (scoring engine)'!$K$5:$K$515,8),'Calc (scoring engine)'!$K$5:$K$515,0))),""))</f>
        <v/>
      </c>
      <c r="AT28" s="10">
        <f>IF(OR(8&gt;MAX(3,MIN(15,N($D$18))),IFERROR(LARGE('Calc (scoring engine)'!$K$5:$K$515,8),-999999)&lt;=-900000),"",IFERROR(IF(INDEX(Database!$AZ$5:$AZ$515,MATCH(LARGE('Calc (scoring engine)'!$K$5:$K$515,8),'Calc (scoring engine)'!$K$5:$K$515,0))="","—",INDEX(Database!$AZ$5:$AZ$515,MATCH(LARGE('Calc (scoring engine)'!$K$5:$K$515,8),'Calc (scoring engine)'!$K$5:$K$515,0))),""))</f>
        <v/>
      </c>
      <c r="AU28" s="10">
        <f>IF(OR(8&gt;MAX(3,MIN(15,N($D$18))),IFERROR(LARGE('Calc (scoring engine)'!$K$5:$K$515,8),-999999)&lt;=-900000),"",IFERROR(IF(INDEX(Database!$BA$5:$BA$515,MATCH(LARGE('Calc (scoring engine)'!$K$5:$K$515,8),'Calc (scoring engine)'!$K$5:$K$515,0))="","—",INDEX(Database!$BA$5:$BA$515,MATCH(LARGE('Calc (scoring engine)'!$K$5:$K$515,8),'Calc (scoring engine)'!$K$5:$K$515,0))),""))</f>
        <v/>
      </c>
      <c r="AV28" s="23">
        <f>IF(OR(8&gt;MAX(3,MIN(15,N($D$18))),IFERROR(LARGE('Calc (scoring engine)'!$K$5:$K$515,8),-999999)&lt;=-900000),"",IFERROR(IF(INDEX(Database!$BB$5:$BB$515,MATCH(LARGE('Calc (scoring engine)'!$K$5:$K$515,8),'Calc (scoring engine)'!$K$5:$K$515,0))="","—",INDEX(Database!$BB$5:$BB$515,MATCH(LARGE('Calc (scoring engine)'!$K$5:$K$515,8),'Calc (scoring engine)'!$K$5:$K$515,0))),""))</f>
        <v/>
      </c>
      <c r="AW28" s="39">
        <f>IF(OR(8&gt;MAX(3,MIN(15,N($D$18))),IFERROR(LARGE('Calc (scoring engine)'!$K$5:$K$515,8),-999999)&lt;=-900000),"",IFERROR(IF(INDEX(Database!$BC$5:$BC$515,MATCH(LARGE('Calc (scoring engine)'!$K$5:$K$515,8),'Calc (scoring engine)'!$K$5:$K$515,0))="","—",INDEX(Database!$BC$5:$BC$515,MATCH(LARGE('Calc (scoring engine)'!$K$5:$K$515,8),'Calc (scoring engine)'!$K$5:$K$515,0))),""))</f>
        <v/>
      </c>
      <c r="AX28" s="42">
        <f>IF(OR(8&gt;MAX(3,MIN(15,N($D$18))),IFERROR(LARGE('Calc (scoring engine)'!$K$5:$K$515,8),-999999)&lt;=-900000),"",IFERROR(IF(INDEX(Database!$BD$5:$BD$515,MATCH(LARGE('Calc (scoring engine)'!$K$5:$K$515,8),'Calc (scoring engine)'!$K$5:$K$515,0))="","—",INDEX(Database!$BD$5:$BD$515,MATCH(LARGE('Calc (scoring engine)'!$K$5:$K$515,8),'Calc (scoring engine)'!$K$5:$K$515,0))),""))</f>
        <v/>
      </c>
      <c r="AY28" s="24">
        <f>IF(OR(8&gt;MAX(3,MIN(15,N($D$18))),IFERROR(LARGE('Calc (scoring engine)'!$K$5:$K$515,8),-999999)&lt;=-900000),"",IFERROR(IF(INDEX(Database!$BE$5:$BE$515,MATCH(LARGE('Calc (scoring engine)'!$K$5:$K$515,8),'Calc (scoring engine)'!$K$5:$K$515,0))="","—",INDEX(Database!$BE$5:$BE$515,MATCH(LARGE('Calc (scoring engine)'!$K$5:$K$515,8),'Calc (scoring engine)'!$K$5:$K$515,0))),""))</f>
        <v/>
      </c>
      <c r="AZ28" s="24">
        <f>IF(OR(8&gt;MAX(3,MIN(15,N($D$18))),IFERROR(LARGE('Calc (scoring engine)'!$K$5:$K$515,8),-999999)&lt;=-900000),"",IFERROR(IF(INDEX(Database!$BF$5:$BF$515,MATCH(LARGE('Calc (scoring engine)'!$K$5:$K$515,8),'Calc (scoring engine)'!$K$5:$K$515,0))="","—",INDEX(Database!$BF$5:$BF$515,MATCH(LARGE('Calc (scoring engine)'!$K$5:$K$515,8),'Calc (scoring engine)'!$K$5:$K$515,0))),""))</f>
        <v/>
      </c>
      <c r="BA28" s="10">
        <f>IF(OR(8&gt;MAX(3,MIN(15,N($D$18))),IFERROR(LARGE('Calc (scoring engine)'!$K$5:$K$515,8),-999999)&lt;=-900000),"",IFERROR(IF(INDEX(Database!$BG$5:$BG$515,MATCH(LARGE('Calc (scoring engine)'!$K$5:$K$515,8),'Calc (scoring engine)'!$K$5:$K$515,0))="","—",INDEX(Database!$BG$5:$BG$515,MATCH(LARGE('Calc (scoring engine)'!$K$5:$K$515,8),'Calc (scoring engine)'!$K$5:$K$515,0))),""))</f>
        <v/>
      </c>
      <c r="BB28" s="10">
        <f>IF(OR(8&gt;MAX(3,MIN(15,N($D$18))),IFERROR(LARGE('Calc (scoring engine)'!$K$5:$K$515,8),-999999)&lt;=-900000),"",IFERROR(IF(INDEX(Database!$BI$5:$BI$515,MATCH(LARGE('Calc (scoring engine)'!$K$5:$K$515,8),'Calc (scoring engine)'!$K$5:$K$515,0))="","—",INDEX(Database!$BI$5:$BI$515,MATCH(LARGE('Calc (scoring engine)'!$K$5:$K$515,8),'Calc (scoring engine)'!$K$5:$K$515,0))),""))</f>
        <v/>
      </c>
      <c r="BC28" s="24">
        <f>IF(OR(8&gt;MAX(3,MIN(15,N($D$18))),IFERROR(LARGE('Calc (scoring engine)'!$K$5:$K$515,8),-999999)&lt;=-900000),"",IFERROR(IFERROR(BDP(TEXT(INDEX(Database!$A$5:$A$515,MATCH(LARGE('Calc (scoring engine)'!$K$5:$K$515,8),'Calc (scoring engine)'!$K$5:$K$515,0)),"0")&amp;" HK Equity","PE_RATIO"),IF(INDEX(Database!$AX$5:$AX$515,MATCH(LARGE('Calc (scoring engine)'!$K$5:$K$515,8),'Calc (scoring engine)'!$K$5:$K$515,0))="","—",INDEX(Database!$AX$5:$AX$515,MATCH(LARGE('Calc (scoring engine)'!$K$5:$K$515,8),'Calc (scoring engine)'!$K$5:$K$515,0)))),""))</f>
        <v/>
      </c>
      <c r="BD28" s="24">
        <f>IF(OR(8&gt;MAX(3,MIN(15,N($D$18))),IFERROR(LARGE('Calc (scoring engine)'!$K$5:$K$515,8),-999999)&lt;=-900000),"",IFERROR(IFERROR(BDP(TEXT(INDEX(Database!$A$5:$A$515,MATCH(LARGE('Calc (scoring engine)'!$K$5:$K$515,8),'Calc (scoring engine)'!$K$5:$K$515,0)),"0")&amp;" HK Equity","PX_TO_SALES_RATIO"),IF(INDEX(Database!$AY$5:$AY$515,MATCH(LARGE('Calc (scoring engine)'!$K$5:$K$515,8),'Calc (scoring engine)'!$K$5:$K$515,0))="","—",INDEX(Database!$AY$5:$AY$515,MATCH(LARGE('Calc (scoring engine)'!$K$5:$K$515,8),'Calc (scoring engine)'!$K$5:$K$515,0)))),""))</f>
        <v/>
      </c>
      <c r="BE28" s="43">
        <f>IF(OR(8&gt;MAX(3,MIN(15,N($D$18))),IFERROR(LARGE('Calc (scoring engine)'!$K$5:$K$515,8),-999999)&lt;=-900000),"",IFERROR(IF(INDEX('Calc (scoring engine)'!$H$5:$H$515,MATCH(LARGE('Calc (scoring engine)'!$K$5:$K$515,8),'Calc (scoring engine)'!$K$5:$K$515,0))&gt;0,INDEX('Calc (scoring engine)'!$H$5:$H$515,MATCH(LARGE('Calc (scoring engine)'!$K$5:$K$515,8),'Calc (scoring engine)'!$K$5:$K$515,0)),""),""))</f>
        <v/>
      </c>
      <c r="BF28" s="10">
        <f>IF(OR(8&gt;MAX(3,MIN(15,N($D$18))),IFERROR(LARGE('Calc (scoring engine)'!$K$5:$K$515,8),-999999)&lt;=-900000),"",IF(IFERROR(INDEX('Calc (scoring engine)'!$B$5:$B$515,MATCH(LARGE('Calc (scoring engine)'!$K$5:$K$515,8),'Calc (scoring engine)'!$K$5:$K$515,0)),0)=1,"same subsector","sector only"))</f>
        <v/>
      </c>
      <c r="BG28" s="43">
        <f>IF(OR(8&gt;MAX(3,MIN(15,N($D$18))),IFERROR(LARGE('Calc (scoring engine)'!$K$5:$K$515,8),-999999)&lt;=-900000),"",ROUND(IFERROR(LARGE('Calc (scoring engine)'!$K$5:$K$515,8),0),0))</f>
        <v/>
      </c>
      <c r="BH28" s="10">
        <f>IF(OR(8&gt;MAX(3,MIN(15,N($D$18))),IFERROR(LARGE('Calc (scoring engine)'!$K$5:$K$515,8),-999999)&lt;=-900000),"",IFERROR("sub "&amp;INDEX('Calc (scoring engine)'!$B$5:$B$515,MATCH(LARGE('Calc (scoring engine)'!$K$5:$K$515,8),'Calc (scoring engine)'!$K$5:$K$515,0))*W_SUB&amp;" + size "&amp;ROUND(INDEX('Calc (scoring engine)'!$D$5:$D$515,MATCH(LARGE('Calc (scoring engine)'!$K$5:$K$515,8),'Calc (scoring engine)'!$K$5:$K$515,0))*W_SIZE,0)&amp;" + prof "&amp;INDEX('Calc (scoring engine)'!$E$5:$E$515,MATCH(LARGE('Calc (scoring engine)'!$K$5:$K$515,8),'Calc (scoring engine)'!$K$5:$K$515,0))*W_PROF&amp;" + recency "&amp;ROUND(INDEX('Calc (scoring engine)'!$G$5:$G$515,MATCH(LARGE('Calc (scoring engine)'!$K$5:$K$515,8),'Calc (scoring engine)'!$K$5:$K$515,0))*W_REC,0)&amp;IF(INDEX('Calc (scoring engine)'!$H$5:$H$515,MATCH(LARGE('Calc (scoring engine)'!$K$5:$K$515,8),'Calc (scoring engine)'!$K$5:$K$515,0))&gt;0," + shared CS x"&amp;INDEX('Calc (scoring engine)'!$H$5:$H$515,MATCH(LARGE('Calc (scoring engine)'!$K$5:$K$515,8),'Calc (scoring engine)'!$K$5:$K$515,0)),""),""))</f>
        <v/>
      </c>
    </row>
    <row r="29">
      <c r="A29" s="38">
        <f>IF(OR(9&gt;MAX(3,MIN(15,N($D$18))),IFERROR(LARGE('Calc (scoring engine)'!$K$5:$K$515,9),-999999)&lt;=-900000),"",9)</f>
        <v/>
      </c>
      <c r="B29" s="10">
        <f>IF(OR(9&gt;MAX(3,MIN(15,N($D$18))),IFERROR(LARGE('Calc (scoring engine)'!$K$5:$K$515,9),-999999)&lt;=-900000),"",IFERROR(IF(INDEX(Database!$B$5:$B$515,MATCH(LARGE('Calc (scoring engine)'!$K$5:$K$515,9),'Calc (scoring engine)'!$K$5:$K$515,0))="","—",INDEX(Database!$B$5:$B$515,MATCH(LARGE('Calc (scoring engine)'!$K$5:$K$515,9),'Calc (scoring engine)'!$K$5:$K$515,0))),""))</f>
        <v/>
      </c>
      <c r="C29" s="10">
        <f>IF(OR(9&gt;MAX(3,MIN(15,N($D$18))),IFERROR(LARGE('Calc (scoring engine)'!$K$5:$K$515,9),-999999)&lt;=-900000),"",IFERROR(IF(INDEX(Database!$D$5:$D$515,MATCH(LARGE('Calc (scoring engine)'!$K$5:$K$515,9),'Calc (scoring engine)'!$K$5:$K$515,0))="","—",INDEX(Database!$D$5:$D$515,MATCH(LARGE('Calc (scoring engine)'!$K$5:$K$515,9),'Calc (scoring engine)'!$K$5:$K$515,0))),""))</f>
        <v/>
      </c>
      <c r="D29" s="10">
        <f>IF(OR(9&gt;MAX(3,MIN(15,N($D$18))),IFERROR(LARGE('Calc (scoring engine)'!$K$5:$K$515,9),-999999)&lt;=-900000),"",IFERROR(IF(INDEX(Database!$E$5:$E$515,MATCH(LARGE('Calc (scoring engine)'!$K$5:$K$515,9),'Calc (scoring engine)'!$K$5:$K$515,0))="","—",INDEX(Database!$E$5:$E$515,MATCH(LARGE('Calc (scoring engine)'!$K$5:$K$515,9),'Calc (scoring engine)'!$K$5:$K$515,0))),""))</f>
        <v/>
      </c>
      <c r="E29" s="10">
        <f>IF(OR(9&gt;MAX(3,MIN(15,N($D$18))),IFERROR(LARGE('Calc (scoring engine)'!$K$5:$K$515,9),-999999)&lt;=-900000),"",IFERROR(IF(INDEX(Database!$F$5:$F$515,MATCH(LARGE('Calc (scoring engine)'!$K$5:$K$515,9),'Calc (scoring engine)'!$K$5:$K$515,0))="","—",INDEX(Database!$F$5:$F$515,MATCH(LARGE('Calc (scoring engine)'!$K$5:$K$515,9),'Calc (scoring engine)'!$K$5:$K$515,0))),""))</f>
        <v/>
      </c>
      <c r="F29" s="10">
        <f>IF(OR(9&gt;MAX(3,MIN(15,N($D$18))),IFERROR(LARGE('Calc (scoring engine)'!$K$5:$K$515,9),-999999)&lt;=-900000),"",IFERROR(IF(INDEX(Database!$G$5:$G$515,MATCH(LARGE('Calc (scoring engine)'!$K$5:$K$515,9),'Calc (scoring engine)'!$K$5:$K$515,0))="","—",INDEX(Database!$G$5:$G$515,MATCH(LARGE('Calc (scoring engine)'!$K$5:$K$515,9),'Calc (scoring engine)'!$K$5:$K$515,0))),""))</f>
        <v/>
      </c>
      <c r="G29" s="21">
        <f>IF(OR(9&gt;MAX(3,MIN(15,N($D$18))),IFERROR(LARGE('Calc (scoring engine)'!$K$5:$K$515,9),-999999)&lt;=-900000),"",IFERROR(IF(INDEX(Database!$H$5:$H$515,MATCH(LARGE('Calc (scoring engine)'!$K$5:$K$515,9),'Calc (scoring engine)'!$K$5:$K$515,0))="","—",INDEX(Database!$H$5:$H$515,MATCH(LARGE('Calc (scoring engine)'!$K$5:$K$515,9),'Calc (scoring engine)'!$K$5:$K$515,0))),""))</f>
        <v/>
      </c>
      <c r="H29" s="18">
        <f>IF(OR(9&gt;MAX(3,MIN(15,N($D$18))),IFERROR(LARGE('Calc (scoring engine)'!$K$5:$K$515,9),-999999)&lt;=-900000),"",IFERROR(IF(INDEX(Database!$I$5:$I$515,MATCH(LARGE('Calc (scoring engine)'!$K$5:$K$515,9),'Calc (scoring engine)'!$K$5:$K$515,0))="","—",INDEX(Database!$I$5:$I$515,MATCH(LARGE('Calc (scoring engine)'!$K$5:$K$515,9),'Calc (scoring engine)'!$K$5:$K$515,0))),""))</f>
        <v/>
      </c>
      <c r="I29" s="39">
        <f>IF(OR(9&gt;MAX(3,MIN(15,N($D$18))),IFERROR(LARGE('Calc (scoring engine)'!$K$5:$K$515,9),-999999)&lt;=-900000),"",IFERROR(IF(INDEX(Database!$K$5:$K$515,MATCH(LARGE('Calc (scoring engine)'!$K$5:$K$515,9),'Calc (scoring engine)'!$K$5:$K$515,0))="","—",INDEX(Database!$K$5:$K$515,MATCH(LARGE('Calc (scoring engine)'!$K$5:$K$515,9),'Calc (scoring engine)'!$K$5:$K$515,0))),""))</f>
        <v/>
      </c>
      <c r="J29" s="39">
        <f>IF(OR(9&gt;MAX(3,MIN(15,N($D$18))),IFERROR(LARGE('Calc (scoring engine)'!$K$5:$K$515,9),-999999)&lt;=-900000),"",IFERROR(IF(INDEX(Database!$L$5:$L$515,MATCH(LARGE('Calc (scoring engine)'!$K$5:$K$515,9),'Calc (scoring engine)'!$K$5:$K$515,0))="","—",INDEX(Database!$L$5:$L$515,MATCH(LARGE('Calc (scoring engine)'!$K$5:$K$515,9),'Calc (scoring engine)'!$K$5:$K$515,0))),""))</f>
        <v/>
      </c>
      <c r="K29" s="39">
        <f>IF(OR(9&gt;MAX(3,MIN(15,N($D$18))),IFERROR(LARGE('Calc (scoring engine)'!$K$5:$K$515,9),-999999)&lt;=-900000),"",IFERROR(IF(INDEX(Database!$M$5:$M$515,MATCH(LARGE('Calc (scoring engine)'!$K$5:$K$515,9),'Calc (scoring engine)'!$K$5:$K$515,0))="","—",INDEX(Database!$M$5:$M$515,MATCH(LARGE('Calc (scoring engine)'!$K$5:$K$515,9),'Calc (scoring engine)'!$K$5:$K$515,0))),""))</f>
        <v/>
      </c>
      <c r="L29" s="10">
        <f>IF(OR(9&gt;MAX(3,MIN(15,N($D$18))),IFERROR(LARGE('Calc (scoring engine)'!$K$5:$K$515,9),-999999)&lt;=-900000),"",IFERROR(IF(INDEX(Database!$N$5:$N$515,MATCH(LARGE('Calc (scoring engine)'!$K$5:$K$515,9),'Calc (scoring engine)'!$K$5:$K$515,0))="","—",INDEX(Database!$N$5:$N$515,MATCH(LARGE('Calc (scoring engine)'!$K$5:$K$515,9),'Calc (scoring engine)'!$K$5:$K$515,0))),""))</f>
        <v/>
      </c>
      <c r="M29" s="28">
        <f>IF(OR(9&gt;MAX(3,MIN(15,N($D$18))),IFERROR(LARGE('Calc (scoring engine)'!$K$5:$K$515,9),-999999)&lt;=-900000),"",IFERROR(IF(INDEX(Database!$O$5:$O$515,MATCH(LARGE('Calc (scoring engine)'!$K$5:$K$515,9),'Calc (scoring engine)'!$K$5:$K$515,0))="","—",INDEX(Database!$O$5:$O$515,MATCH(LARGE('Calc (scoring engine)'!$K$5:$K$515,9),'Calc (scoring engine)'!$K$5:$K$515,0))),""))</f>
        <v/>
      </c>
      <c r="N29" s="28">
        <f>IF(OR(9&gt;MAX(3,MIN(15,N($D$18))),IFERROR(LARGE('Calc (scoring engine)'!$K$5:$K$515,9),-999999)&lt;=-900000),"",IFERROR(IF(INDEX(Database!$P$5:$P$515,MATCH(LARGE('Calc (scoring engine)'!$K$5:$K$515,9),'Calc (scoring engine)'!$K$5:$K$515,0))="","—",INDEX(Database!$P$5:$P$515,MATCH(LARGE('Calc (scoring engine)'!$K$5:$K$515,9),'Calc (scoring engine)'!$K$5:$K$515,0))),""))</f>
        <v/>
      </c>
      <c r="O29" s="18">
        <f>IF(OR(9&gt;MAX(3,MIN(15,N($D$18))),IFERROR(LARGE('Calc (scoring engine)'!$K$5:$K$515,9),-999999)&lt;=-900000),"",IFERROR(IF(INDEX(Database!$Q$5:$Q$515,MATCH(LARGE('Calc (scoring engine)'!$K$5:$K$515,9),'Calc (scoring engine)'!$K$5:$K$515,0))="","—",INDEX(Database!$Q$5:$Q$515,MATCH(LARGE('Calc (scoring engine)'!$K$5:$K$515,9),'Calc (scoring engine)'!$K$5:$K$515,0))),""))</f>
        <v/>
      </c>
      <c r="P29" s="26">
        <f>IF(OR(9&gt;MAX(3,MIN(15,N($D$18))),IFERROR(LARGE('Calc (scoring engine)'!$K$5:$K$515,9),-999999)&lt;=-900000),"",IFERROR(IF(INDEX(Database!$S$5:$S$515,MATCH(LARGE('Calc (scoring engine)'!$K$5:$K$515,9),'Calc (scoring engine)'!$K$5:$K$515,0))="","—",INDEX(Database!$S$5:$S$515,MATCH(LARGE('Calc (scoring engine)'!$K$5:$K$515,9),'Calc (scoring engine)'!$K$5:$K$515,0))),""))</f>
        <v/>
      </c>
      <c r="Q29" s="40">
        <f>IF(OR(9&gt;MAX(3,MIN(15,N($D$18))),IFERROR(LARGE('Calc (scoring engine)'!$K$5:$K$515,9),-999999)&lt;=-900000),"",IFERROR(IF(INDEX(Database!$T$5:$T$515,MATCH(LARGE('Calc (scoring engine)'!$K$5:$K$515,9),'Calc (scoring engine)'!$K$5:$K$515,0))="","—",INDEX(Database!$T$5:$T$515,MATCH(LARGE('Calc (scoring engine)'!$K$5:$K$515,9),'Calc (scoring engine)'!$K$5:$K$515,0))),""))</f>
        <v/>
      </c>
      <c r="R29" s="41">
        <f>IF(OR(9&gt;MAX(3,MIN(15,N($D$18))),IFERROR(LARGE('Calc (scoring engine)'!$K$5:$K$515,9),-999999)&lt;=-900000),"",IFERROR(IF(INDEX(Database!$U$5:$U$515,MATCH(LARGE('Calc (scoring engine)'!$K$5:$K$515,9),'Calc (scoring engine)'!$K$5:$K$515,0))="","—",INDEX(Database!$U$5:$U$515,MATCH(LARGE('Calc (scoring engine)'!$K$5:$K$515,9),'Calc (scoring engine)'!$K$5:$K$515,0))),""))</f>
        <v/>
      </c>
      <c r="S29" s="28">
        <f>IF(OR(9&gt;MAX(3,MIN(15,N($D$18))),IFERROR(LARGE('Calc (scoring engine)'!$K$5:$K$515,9),-999999)&lt;=-900000),"",IFERROR(IF(INDEX(Database!$V$5:$V$515,MATCH(LARGE('Calc (scoring engine)'!$K$5:$K$515,9),'Calc (scoring engine)'!$K$5:$K$515,0))="","—",INDEX(Database!$V$5:$V$515,MATCH(LARGE('Calc (scoring engine)'!$K$5:$K$515,9),'Calc (scoring engine)'!$K$5:$K$515,0))),""))</f>
        <v/>
      </c>
      <c r="T29" s="10">
        <f>IF(OR(9&gt;MAX(3,MIN(15,N($D$18))),IFERROR(LARGE('Calc (scoring engine)'!$K$5:$K$515,9),-999999)&lt;=-900000),"",IFERROR(IF(INDEX(Database!$W$5:$W$515,MATCH(LARGE('Calc (scoring engine)'!$K$5:$K$515,9),'Calc (scoring engine)'!$K$5:$K$515,0))="","—",INDEX(Database!$W$5:$W$515,MATCH(LARGE('Calc (scoring engine)'!$K$5:$K$515,9),'Calc (scoring engine)'!$K$5:$K$515,0))),""))</f>
        <v/>
      </c>
      <c r="U29" s="28">
        <f>IF(OR(9&gt;MAX(3,MIN(15,N($D$18))),IFERROR(LARGE('Calc (scoring engine)'!$K$5:$K$515,9),-999999)&lt;=-900000),"",IFERROR(IF(INDEX(Database!$Y$5:$Y$515,MATCH(LARGE('Calc (scoring engine)'!$K$5:$K$515,9),'Calc (scoring engine)'!$K$5:$K$515,0))="","—",INDEX(Database!$Y$5:$Y$515,MATCH(LARGE('Calc (scoring engine)'!$K$5:$K$515,9),'Calc (scoring engine)'!$K$5:$K$515,0))),""))</f>
        <v/>
      </c>
      <c r="V29" s="10">
        <f>IF(OR(9&gt;MAX(3,MIN(15,N($D$18))),IFERROR(LARGE('Calc (scoring engine)'!$K$5:$K$515,9),-999999)&lt;=-900000),"",IFERROR(IF(INDEX(Database!$Z$5:$Z$515,MATCH(LARGE('Calc (scoring engine)'!$K$5:$K$515,9),'Calc (scoring engine)'!$K$5:$K$515,0))="","—",INDEX(Database!$Z$5:$Z$515,MATCH(LARGE('Calc (scoring engine)'!$K$5:$K$515,9),'Calc (scoring engine)'!$K$5:$K$515,0))),""))</f>
        <v/>
      </c>
      <c r="W29" s="23">
        <f>IF(OR(9&gt;MAX(3,MIN(15,N($D$18))),IFERROR(LARGE('Calc (scoring engine)'!$K$5:$K$515,9),-999999)&lt;=-900000),"",IFERROR(IF(INDEX(Database!$AA$5:$AA$515,MATCH(LARGE('Calc (scoring engine)'!$K$5:$K$515,9),'Calc (scoring engine)'!$K$5:$K$515,0))="","—",INDEX(Database!$AA$5:$AA$515,MATCH(LARGE('Calc (scoring engine)'!$K$5:$K$515,9),'Calc (scoring engine)'!$K$5:$K$515,0))),""))</f>
        <v/>
      </c>
      <c r="X29" s="23">
        <f>IF(OR(9&gt;MAX(3,MIN(15,N($D$18))),IFERROR(LARGE('Calc (scoring engine)'!$K$5:$K$515,9),-999999)&lt;=-900000),"",IFERROR(IF(INDEX(Database!$AB$5:$AB$515,MATCH(LARGE('Calc (scoring engine)'!$K$5:$K$515,9),'Calc (scoring engine)'!$K$5:$K$515,0))="","—",INDEX(Database!$AB$5:$AB$515,MATCH(LARGE('Calc (scoring engine)'!$K$5:$K$515,9),'Calc (scoring engine)'!$K$5:$K$515,0))),""))</f>
        <v/>
      </c>
      <c r="Y29" s="23">
        <f>IF(OR(9&gt;MAX(3,MIN(15,N($D$18))),IFERROR(LARGE('Calc (scoring engine)'!$K$5:$K$515,9),-999999)&lt;=-900000),"",IFERROR(IF(INDEX(Database!$AC$5:$AC$515,MATCH(LARGE('Calc (scoring engine)'!$K$5:$K$515,9),'Calc (scoring engine)'!$K$5:$K$515,0))="","—",INDEX(Database!$AC$5:$AC$515,MATCH(LARGE('Calc (scoring engine)'!$K$5:$K$515,9),'Calc (scoring engine)'!$K$5:$K$515,0))),""))</f>
        <v/>
      </c>
      <c r="Z29" s="23">
        <f>IF(OR(9&gt;MAX(3,MIN(15,N($D$18))),IFERROR(LARGE('Calc (scoring engine)'!$K$5:$K$515,9),-999999)&lt;=-900000),"",IFERROR(IF(INDEX(Database!$AD$5:$AD$515,MATCH(LARGE('Calc (scoring engine)'!$K$5:$K$515,9),'Calc (scoring engine)'!$K$5:$K$515,0))="","—",INDEX(Database!$AD$5:$AD$515,MATCH(LARGE('Calc (scoring engine)'!$K$5:$K$515,9),'Calc (scoring engine)'!$K$5:$K$515,0))),""))</f>
        <v/>
      </c>
      <c r="AA29" s="23">
        <f>IF(OR(9&gt;MAX(3,MIN(15,N($D$18))),IFERROR(LARGE('Calc (scoring engine)'!$K$5:$K$515,9),-999999)&lt;=-900000),"",IFERROR(IF(INDEX(Database!$AE$5:$AE$515,MATCH(LARGE('Calc (scoring engine)'!$K$5:$K$515,9),'Calc (scoring engine)'!$K$5:$K$515,0))="","—",INDEX(Database!$AE$5:$AE$515,MATCH(LARGE('Calc (scoring engine)'!$K$5:$K$515,9),'Calc (scoring engine)'!$K$5:$K$515,0))),""))</f>
        <v/>
      </c>
      <c r="AB29" s="23">
        <f>IF(OR(9&gt;MAX(3,MIN(15,N($D$18))),IFERROR(LARGE('Calc (scoring engine)'!$K$5:$K$515,9),-999999)&lt;=-900000),"",IFERROR(IF(INDEX(Database!$AF$5:$AF$515,MATCH(LARGE('Calc (scoring engine)'!$K$5:$K$515,9),'Calc (scoring engine)'!$K$5:$K$515,0))="","—",INDEX(Database!$AF$5:$AF$515,MATCH(LARGE('Calc (scoring engine)'!$K$5:$K$515,9),'Calc (scoring engine)'!$K$5:$K$515,0))),""))</f>
        <v/>
      </c>
      <c r="AC29" s="23">
        <f>IF(OR(9&gt;MAX(3,MIN(15,N($D$18))),IFERROR(LARGE('Calc (scoring engine)'!$K$5:$K$515,9),-999999)&lt;=-900000),"",IFERROR(IF(INDEX(Database!$AG$5:$AG$515,MATCH(LARGE('Calc (scoring engine)'!$K$5:$K$515,9),'Calc (scoring engine)'!$K$5:$K$515,0))="","—",INDEX(Database!$AG$5:$AG$515,MATCH(LARGE('Calc (scoring engine)'!$K$5:$K$515,9),'Calc (scoring engine)'!$K$5:$K$515,0))),""))</f>
        <v/>
      </c>
      <c r="AD29" s="23">
        <f>IF(OR(9&gt;MAX(3,MIN(15,N($D$18))),IFERROR(LARGE('Calc (scoring engine)'!$K$5:$K$515,9),-999999)&lt;=-900000),"",IFERROR(IF(INDEX(Database!$AH$5:$AH$515,MATCH(LARGE('Calc (scoring engine)'!$K$5:$K$515,9),'Calc (scoring engine)'!$K$5:$K$515,0))="","—",INDEX(Database!$AH$5:$AH$515,MATCH(LARGE('Calc (scoring engine)'!$K$5:$K$515,9),'Calc (scoring engine)'!$K$5:$K$515,0))),""))</f>
        <v/>
      </c>
      <c r="AE29" s="23">
        <f>IF(OR(9&gt;MAX(3,MIN(15,N($D$18))),IFERROR(LARGE('Calc (scoring engine)'!$K$5:$K$515,9),-999999)&lt;=-900000),"",IFERROR(IF(INDEX(Database!$AI$5:$AI$515,MATCH(LARGE('Calc (scoring engine)'!$K$5:$K$515,9),'Calc (scoring engine)'!$K$5:$K$515,0))="","—",INDEX(Database!$AI$5:$AI$515,MATCH(LARGE('Calc (scoring engine)'!$K$5:$K$515,9),'Calc (scoring engine)'!$K$5:$K$515,0))),""))</f>
        <v/>
      </c>
      <c r="AF29" s="23">
        <f>IF(OR(9&gt;MAX(3,MIN(15,N($D$18))),IFERROR(LARGE('Calc (scoring engine)'!$K$5:$K$515,9),-999999)&lt;=-900000),"",IFERROR(IF(INDEX(Database!$AJ$5:$AJ$515,MATCH(LARGE('Calc (scoring engine)'!$K$5:$K$515,9),'Calc (scoring engine)'!$K$5:$K$515,0))="","—",INDEX(Database!$AJ$5:$AJ$515,MATCH(LARGE('Calc (scoring engine)'!$K$5:$K$515,9),'Calc (scoring engine)'!$K$5:$K$515,0))),""))</f>
        <v/>
      </c>
      <c r="AG29" s="23">
        <f>IF(OR(9&gt;MAX(3,MIN(15,N($D$18))),IFERROR(LARGE('Calc (scoring engine)'!$K$5:$K$515,9),-999999)&lt;=-900000),"",IFERROR(IF(INDEX(Database!$AK$5:$AK$515,MATCH(LARGE('Calc (scoring engine)'!$K$5:$K$515,9),'Calc (scoring engine)'!$K$5:$K$515,0))="","—",INDEX(Database!$AK$5:$AK$515,MATCH(LARGE('Calc (scoring engine)'!$K$5:$K$515,9),'Calc (scoring engine)'!$K$5:$K$515,0))),""))</f>
        <v/>
      </c>
      <c r="AH29" s="23">
        <f>IF(OR(9&gt;MAX(3,MIN(15,N($D$18))),IFERROR(LARGE('Calc (scoring engine)'!$K$5:$K$515,9),-999999)&lt;=-900000),"",IFERROR(IF(INDEX(Database!$AL$5:$AL$515,MATCH(LARGE('Calc (scoring engine)'!$K$5:$K$515,9),'Calc (scoring engine)'!$K$5:$K$515,0))="","—",INDEX(Database!$AL$5:$AL$515,MATCH(LARGE('Calc (scoring engine)'!$K$5:$K$515,9),'Calc (scoring engine)'!$K$5:$K$515,0))),""))</f>
        <v/>
      </c>
      <c r="AI29" s="23">
        <f>IF(OR(9&gt;MAX(3,MIN(15,N($D$18))),IFERROR(LARGE('Calc (scoring engine)'!$K$5:$K$515,9),-999999)&lt;=-900000),"",IFERROR(IF(INDEX(Database!$AM$5:$AM$515,MATCH(LARGE('Calc (scoring engine)'!$K$5:$K$515,9),'Calc (scoring engine)'!$K$5:$K$515,0))="","—",INDEX(Database!$AM$5:$AM$515,MATCH(LARGE('Calc (scoring engine)'!$K$5:$K$515,9),'Calc (scoring engine)'!$K$5:$K$515,0))),""))</f>
        <v/>
      </c>
      <c r="AJ29" s="23">
        <f>IF(OR(9&gt;MAX(3,MIN(15,N($D$18))),IFERROR(LARGE('Calc (scoring engine)'!$K$5:$K$515,9),-999999)&lt;=-900000),"",IFERROR(IF(INDEX(Database!$AN$5:$AN$515,MATCH(LARGE('Calc (scoring engine)'!$K$5:$K$515,9),'Calc (scoring engine)'!$K$5:$K$515,0))="","—",INDEX(Database!$AN$5:$AN$515,MATCH(LARGE('Calc (scoring engine)'!$K$5:$K$515,9),'Calc (scoring engine)'!$K$5:$K$515,0))),""))</f>
        <v/>
      </c>
      <c r="AK29" s="23">
        <f>IF(OR(9&gt;MAX(3,MIN(15,N($D$18))),IFERROR(LARGE('Calc (scoring engine)'!$K$5:$K$515,9),-999999)&lt;=-900000),"",IFERROR(IF(INDEX(Database!$AO$5:$AO$515,MATCH(LARGE('Calc (scoring engine)'!$K$5:$K$515,9),'Calc (scoring engine)'!$K$5:$K$515,0))="","—",INDEX(Database!$AO$5:$AO$515,MATCH(LARGE('Calc (scoring engine)'!$K$5:$K$515,9),'Calc (scoring engine)'!$K$5:$K$515,0))),""))</f>
        <v/>
      </c>
      <c r="AL29" s="23">
        <f>IF(OR(9&gt;MAX(3,MIN(15,N($D$18))),IFERROR(LARGE('Calc (scoring engine)'!$K$5:$K$515,9),-999999)&lt;=-900000),"",IFERROR(IF(INDEX(Database!$AQ$5:$AQ$515,MATCH(LARGE('Calc (scoring engine)'!$K$5:$K$515,9),'Calc (scoring engine)'!$K$5:$K$515,0))="","—",INDEX(Database!$AQ$5:$AQ$515,MATCH(LARGE('Calc (scoring engine)'!$K$5:$K$515,9),'Calc (scoring engine)'!$K$5:$K$515,0))),""))</f>
        <v/>
      </c>
      <c r="AM29" s="18">
        <f>IF(OR(9&gt;MAX(3,MIN(15,N($D$18))),IFERROR(LARGE('Calc (scoring engine)'!$K$5:$K$515,9),-999999)&lt;=-900000),"",IFERROR(IF(INDEX(Database!$AS$5:$AS$515,MATCH(LARGE('Calc (scoring engine)'!$K$5:$K$515,9),'Calc (scoring engine)'!$K$5:$K$515,0))="","—",INDEX(Database!$AS$5:$AS$515,MATCH(LARGE('Calc (scoring engine)'!$K$5:$K$515,9),'Calc (scoring engine)'!$K$5:$K$515,0))),""))</f>
        <v/>
      </c>
      <c r="AN29" s="18">
        <f>IF(OR(9&gt;MAX(3,MIN(15,N($D$18))),IFERROR(LARGE('Calc (scoring engine)'!$K$5:$K$515,9),-999999)&lt;=-900000),"",IFERROR(IF(INDEX(Database!$AT$5:$AT$515,MATCH(LARGE('Calc (scoring engine)'!$K$5:$K$515,9),'Calc (scoring engine)'!$K$5:$K$515,0))="","—",INDEX(Database!$AT$5:$AT$515,MATCH(LARGE('Calc (scoring engine)'!$K$5:$K$515,9),'Calc (scoring engine)'!$K$5:$K$515,0))),""))</f>
        <v/>
      </c>
      <c r="AO29" s="10">
        <f>IF(OR(9&gt;MAX(3,MIN(15,N($D$18))),IFERROR(LARGE('Calc (scoring engine)'!$K$5:$K$515,9),-999999)&lt;=-900000),"",IFERROR(IF(INDEX(Database!$AU$5:$AU$515,MATCH(LARGE('Calc (scoring engine)'!$K$5:$K$515,9),'Calc (scoring engine)'!$K$5:$K$515,0))="","—",INDEX(Database!$AU$5:$AU$515,MATCH(LARGE('Calc (scoring engine)'!$K$5:$K$515,9),'Calc (scoring engine)'!$K$5:$K$515,0))),""))</f>
        <v/>
      </c>
      <c r="AP29" s="24">
        <f>IF(OR(9&gt;MAX(3,MIN(15,N($D$18))),IFERROR(LARGE('Calc (scoring engine)'!$K$5:$K$515,9),-999999)&lt;=-900000),"",IFERROR(IF(N(INDEX(Database!$AV$5:$AV$515,MATCH(LARGE('Calc (scoring engine)'!$K$5:$K$515,9),'Calc (scoring engine)'!$K$5:$K$515,0)))&lt;=0,IF(INDEX(Database!$AU$5:$AU$515,MATCH(LARGE('Calc (scoring engine)'!$K$5:$K$515,9),'Calc (scoring engine)'!$K$5:$K$515,0))="N","n/m","—"),INDEX(Database!$AV$5:$AV$515,MATCH(LARGE('Calc (scoring engine)'!$K$5:$K$515,9),'Calc (scoring engine)'!$K$5:$K$515,0))),""))</f>
        <v/>
      </c>
      <c r="AQ29" s="24">
        <f>IF(OR(9&gt;MAX(3,MIN(15,N($D$18))),IFERROR(LARGE('Calc (scoring engine)'!$K$5:$K$515,9),-999999)&lt;=-900000),"",IFERROR(IF(INDEX(Database!$AW$5:$AW$515,MATCH(LARGE('Calc (scoring engine)'!$K$5:$K$515,9),'Calc (scoring engine)'!$K$5:$K$515,0))="","—",INDEX(Database!$AW$5:$AW$515,MATCH(LARGE('Calc (scoring engine)'!$K$5:$K$515,9),'Calc (scoring engine)'!$K$5:$K$515,0))),""))</f>
        <v/>
      </c>
      <c r="AR29" s="24">
        <f>IF(OR(9&gt;MAX(3,MIN(15,N($D$18))),IFERROR(LARGE('Calc (scoring engine)'!$K$5:$K$515,9),-999999)&lt;=-900000),"",IFERROR(IF(INDEX(Database!$AX$5:$AX$515,MATCH(LARGE('Calc (scoring engine)'!$K$5:$K$515,9),'Calc (scoring engine)'!$K$5:$K$515,0))="","—",INDEX(Database!$AX$5:$AX$515,MATCH(LARGE('Calc (scoring engine)'!$K$5:$K$515,9),'Calc (scoring engine)'!$K$5:$K$515,0))),""))</f>
        <v/>
      </c>
      <c r="AS29" s="24">
        <f>IF(OR(9&gt;MAX(3,MIN(15,N($D$18))),IFERROR(LARGE('Calc (scoring engine)'!$K$5:$K$515,9),-999999)&lt;=-900000),"",IFERROR(IF(INDEX(Database!$AY$5:$AY$515,MATCH(LARGE('Calc (scoring engine)'!$K$5:$K$515,9),'Calc (scoring engine)'!$K$5:$K$515,0))="","—",INDEX(Database!$AY$5:$AY$515,MATCH(LARGE('Calc (scoring engine)'!$K$5:$K$515,9),'Calc (scoring engine)'!$K$5:$K$515,0))),""))</f>
        <v/>
      </c>
      <c r="AT29" s="10">
        <f>IF(OR(9&gt;MAX(3,MIN(15,N($D$18))),IFERROR(LARGE('Calc (scoring engine)'!$K$5:$K$515,9),-999999)&lt;=-900000),"",IFERROR(IF(INDEX(Database!$AZ$5:$AZ$515,MATCH(LARGE('Calc (scoring engine)'!$K$5:$K$515,9),'Calc (scoring engine)'!$K$5:$K$515,0))="","—",INDEX(Database!$AZ$5:$AZ$515,MATCH(LARGE('Calc (scoring engine)'!$K$5:$K$515,9),'Calc (scoring engine)'!$K$5:$K$515,0))),""))</f>
        <v/>
      </c>
      <c r="AU29" s="10">
        <f>IF(OR(9&gt;MAX(3,MIN(15,N($D$18))),IFERROR(LARGE('Calc (scoring engine)'!$K$5:$K$515,9),-999999)&lt;=-900000),"",IFERROR(IF(INDEX(Database!$BA$5:$BA$515,MATCH(LARGE('Calc (scoring engine)'!$K$5:$K$515,9),'Calc (scoring engine)'!$K$5:$K$515,0))="","—",INDEX(Database!$BA$5:$BA$515,MATCH(LARGE('Calc (scoring engine)'!$K$5:$K$515,9),'Calc (scoring engine)'!$K$5:$K$515,0))),""))</f>
        <v/>
      </c>
      <c r="AV29" s="23">
        <f>IF(OR(9&gt;MAX(3,MIN(15,N($D$18))),IFERROR(LARGE('Calc (scoring engine)'!$K$5:$K$515,9),-999999)&lt;=-900000),"",IFERROR(IF(INDEX(Database!$BB$5:$BB$515,MATCH(LARGE('Calc (scoring engine)'!$K$5:$K$515,9),'Calc (scoring engine)'!$K$5:$K$515,0))="","—",INDEX(Database!$BB$5:$BB$515,MATCH(LARGE('Calc (scoring engine)'!$K$5:$K$515,9),'Calc (scoring engine)'!$K$5:$K$515,0))),""))</f>
        <v/>
      </c>
      <c r="AW29" s="39">
        <f>IF(OR(9&gt;MAX(3,MIN(15,N($D$18))),IFERROR(LARGE('Calc (scoring engine)'!$K$5:$K$515,9),-999999)&lt;=-900000),"",IFERROR(IF(INDEX(Database!$BC$5:$BC$515,MATCH(LARGE('Calc (scoring engine)'!$K$5:$K$515,9),'Calc (scoring engine)'!$K$5:$K$515,0))="","—",INDEX(Database!$BC$5:$BC$515,MATCH(LARGE('Calc (scoring engine)'!$K$5:$K$515,9),'Calc (scoring engine)'!$K$5:$K$515,0))),""))</f>
        <v/>
      </c>
      <c r="AX29" s="42">
        <f>IF(OR(9&gt;MAX(3,MIN(15,N($D$18))),IFERROR(LARGE('Calc (scoring engine)'!$K$5:$K$515,9),-999999)&lt;=-900000),"",IFERROR(IF(INDEX(Database!$BD$5:$BD$515,MATCH(LARGE('Calc (scoring engine)'!$K$5:$K$515,9),'Calc (scoring engine)'!$K$5:$K$515,0))="","—",INDEX(Database!$BD$5:$BD$515,MATCH(LARGE('Calc (scoring engine)'!$K$5:$K$515,9),'Calc (scoring engine)'!$K$5:$K$515,0))),""))</f>
        <v/>
      </c>
      <c r="AY29" s="24">
        <f>IF(OR(9&gt;MAX(3,MIN(15,N($D$18))),IFERROR(LARGE('Calc (scoring engine)'!$K$5:$K$515,9),-999999)&lt;=-900000),"",IFERROR(IF(INDEX(Database!$BE$5:$BE$515,MATCH(LARGE('Calc (scoring engine)'!$K$5:$K$515,9),'Calc (scoring engine)'!$K$5:$K$515,0))="","—",INDEX(Database!$BE$5:$BE$515,MATCH(LARGE('Calc (scoring engine)'!$K$5:$K$515,9),'Calc (scoring engine)'!$K$5:$K$515,0))),""))</f>
        <v/>
      </c>
      <c r="AZ29" s="24">
        <f>IF(OR(9&gt;MAX(3,MIN(15,N($D$18))),IFERROR(LARGE('Calc (scoring engine)'!$K$5:$K$515,9),-999999)&lt;=-900000),"",IFERROR(IF(INDEX(Database!$BF$5:$BF$515,MATCH(LARGE('Calc (scoring engine)'!$K$5:$K$515,9),'Calc (scoring engine)'!$K$5:$K$515,0))="","—",INDEX(Database!$BF$5:$BF$515,MATCH(LARGE('Calc (scoring engine)'!$K$5:$K$515,9),'Calc (scoring engine)'!$K$5:$K$515,0))),""))</f>
        <v/>
      </c>
      <c r="BA29" s="10">
        <f>IF(OR(9&gt;MAX(3,MIN(15,N($D$18))),IFERROR(LARGE('Calc (scoring engine)'!$K$5:$K$515,9),-999999)&lt;=-900000),"",IFERROR(IF(INDEX(Database!$BG$5:$BG$515,MATCH(LARGE('Calc (scoring engine)'!$K$5:$K$515,9),'Calc (scoring engine)'!$K$5:$K$515,0))="","—",INDEX(Database!$BG$5:$BG$515,MATCH(LARGE('Calc (scoring engine)'!$K$5:$K$515,9),'Calc (scoring engine)'!$K$5:$K$515,0))),""))</f>
        <v/>
      </c>
      <c r="BB29" s="10">
        <f>IF(OR(9&gt;MAX(3,MIN(15,N($D$18))),IFERROR(LARGE('Calc (scoring engine)'!$K$5:$K$515,9),-999999)&lt;=-900000),"",IFERROR(IF(INDEX(Database!$BI$5:$BI$515,MATCH(LARGE('Calc (scoring engine)'!$K$5:$K$515,9),'Calc (scoring engine)'!$K$5:$K$515,0))="","—",INDEX(Database!$BI$5:$BI$515,MATCH(LARGE('Calc (scoring engine)'!$K$5:$K$515,9),'Calc (scoring engine)'!$K$5:$K$515,0))),""))</f>
        <v/>
      </c>
      <c r="BC29" s="24">
        <f>IF(OR(9&gt;MAX(3,MIN(15,N($D$18))),IFERROR(LARGE('Calc (scoring engine)'!$K$5:$K$515,9),-999999)&lt;=-900000),"",IFERROR(IFERROR(BDP(TEXT(INDEX(Database!$A$5:$A$515,MATCH(LARGE('Calc (scoring engine)'!$K$5:$K$515,9),'Calc (scoring engine)'!$K$5:$K$515,0)),"0")&amp;" HK Equity","PE_RATIO"),IF(INDEX(Database!$AX$5:$AX$515,MATCH(LARGE('Calc (scoring engine)'!$K$5:$K$515,9),'Calc (scoring engine)'!$K$5:$K$515,0))="","—",INDEX(Database!$AX$5:$AX$515,MATCH(LARGE('Calc (scoring engine)'!$K$5:$K$515,9),'Calc (scoring engine)'!$K$5:$K$515,0)))),""))</f>
        <v/>
      </c>
      <c r="BD29" s="24">
        <f>IF(OR(9&gt;MAX(3,MIN(15,N($D$18))),IFERROR(LARGE('Calc (scoring engine)'!$K$5:$K$515,9),-999999)&lt;=-900000),"",IFERROR(IFERROR(BDP(TEXT(INDEX(Database!$A$5:$A$515,MATCH(LARGE('Calc (scoring engine)'!$K$5:$K$515,9),'Calc (scoring engine)'!$K$5:$K$515,0)),"0")&amp;" HK Equity","PX_TO_SALES_RATIO"),IF(INDEX(Database!$AY$5:$AY$515,MATCH(LARGE('Calc (scoring engine)'!$K$5:$K$515,9),'Calc (scoring engine)'!$K$5:$K$515,0))="","—",INDEX(Database!$AY$5:$AY$515,MATCH(LARGE('Calc (scoring engine)'!$K$5:$K$515,9),'Calc (scoring engine)'!$K$5:$K$515,0)))),""))</f>
        <v/>
      </c>
      <c r="BE29" s="43">
        <f>IF(OR(9&gt;MAX(3,MIN(15,N($D$18))),IFERROR(LARGE('Calc (scoring engine)'!$K$5:$K$515,9),-999999)&lt;=-900000),"",IFERROR(IF(INDEX('Calc (scoring engine)'!$H$5:$H$515,MATCH(LARGE('Calc (scoring engine)'!$K$5:$K$515,9),'Calc (scoring engine)'!$K$5:$K$515,0))&gt;0,INDEX('Calc (scoring engine)'!$H$5:$H$515,MATCH(LARGE('Calc (scoring engine)'!$K$5:$K$515,9),'Calc (scoring engine)'!$K$5:$K$515,0)),""),""))</f>
        <v/>
      </c>
      <c r="BF29" s="10">
        <f>IF(OR(9&gt;MAX(3,MIN(15,N($D$18))),IFERROR(LARGE('Calc (scoring engine)'!$K$5:$K$515,9),-999999)&lt;=-900000),"",IF(IFERROR(INDEX('Calc (scoring engine)'!$B$5:$B$515,MATCH(LARGE('Calc (scoring engine)'!$K$5:$K$515,9),'Calc (scoring engine)'!$K$5:$K$515,0)),0)=1,"same subsector","sector only"))</f>
        <v/>
      </c>
      <c r="BG29" s="43">
        <f>IF(OR(9&gt;MAX(3,MIN(15,N($D$18))),IFERROR(LARGE('Calc (scoring engine)'!$K$5:$K$515,9),-999999)&lt;=-900000),"",ROUND(IFERROR(LARGE('Calc (scoring engine)'!$K$5:$K$515,9),0),0))</f>
        <v/>
      </c>
      <c r="BH29" s="10">
        <f>IF(OR(9&gt;MAX(3,MIN(15,N($D$18))),IFERROR(LARGE('Calc (scoring engine)'!$K$5:$K$515,9),-999999)&lt;=-900000),"",IFERROR("sub "&amp;INDEX('Calc (scoring engine)'!$B$5:$B$515,MATCH(LARGE('Calc (scoring engine)'!$K$5:$K$515,9),'Calc (scoring engine)'!$K$5:$K$515,0))*W_SUB&amp;" + size "&amp;ROUND(INDEX('Calc (scoring engine)'!$D$5:$D$515,MATCH(LARGE('Calc (scoring engine)'!$K$5:$K$515,9),'Calc (scoring engine)'!$K$5:$K$515,0))*W_SIZE,0)&amp;" + prof "&amp;INDEX('Calc (scoring engine)'!$E$5:$E$515,MATCH(LARGE('Calc (scoring engine)'!$K$5:$K$515,9),'Calc (scoring engine)'!$K$5:$K$515,0))*W_PROF&amp;" + recency "&amp;ROUND(INDEX('Calc (scoring engine)'!$G$5:$G$515,MATCH(LARGE('Calc (scoring engine)'!$K$5:$K$515,9),'Calc (scoring engine)'!$K$5:$K$515,0))*W_REC,0)&amp;IF(INDEX('Calc (scoring engine)'!$H$5:$H$515,MATCH(LARGE('Calc (scoring engine)'!$K$5:$K$515,9),'Calc (scoring engine)'!$K$5:$K$515,0))&gt;0," + shared CS x"&amp;INDEX('Calc (scoring engine)'!$H$5:$H$515,MATCH(LARGE('Calc (scoring engine)'!$K$5:$K$515,9),'Calc (scoring engine)'!$K$5:$K$515,0)),""),""))</f>
        <v/>
      </c>
    </row>
    <row r="30">
      <c r="A30" s="38">
        <f>IF(OR(10&gt;MAX(3,MIN(15,N($D$18))),IFERROR(LARGE('Calc (scoring engine)'!$K$5:$K$515,10),-999999)&lt;=-900000),"",10)</f>
        <v/>
      </c>
      <c r="B30" s="10">
        <f>IF(OR(10&gt;MAX(3,MIN(15,N($D$18))),IFERROR(LARGE('Calc (scoring engine)'!$K$5:$K$515,10),-999999)&lt;=-900000),"",IFERROR(IF(INDEX(Database!$B$5:$B$515,MATCH(LARGE('Calc (scoring engine)'!$K$5:$K$515,10),'Calc (scoring engine)'!$K$5:$K$515,0))="","—",INDEX(Database!$B$5:$B$515,MATCH(LARGE('Calc (scoring engine)'!$K$5:$K$515,10),'Calc (scoring engine)'!$K$5:$K$515,0))),""))</f>
        <v/>
      </c>
      <c r="C30" s="10">
        <f>IF(OR(10&gt;MAX(3,MIN(15,N($D$18))),IFERROR(LARGE('Calc (scoring engine)'!$K$5:$K$515,10),-999999)&lt;=-900000),"",IFERROR(IF(INDEX(Database!$D$5:$D$515,MATCH(LARGE('Calc (scoring engine)'!$K$5:$K$515,10),'Calc (scoring engine)'!$K$5:$K$515,0))="","—",INDEX(Database!$D$5:$D$515,MATCH(LARGE('Calc (scoring engine)'!$K$5:$K$515,10),'Calc (scoring engine)'!$K$5:$K$515,0))),""))</f>
        <v/>
      </c>
      <c r="D30" s="10">
        <f>IF(OR(10&gt;MAX(3,MIN(15,N($D$18))),IFERROR(LARGE('Calc (scoring engine)'!$K$5:$K$515,10),-999999)&lt;=-900000),"",IFERROR(IF(INDEX(Database!$E$5:$E$515,MATCH(LARGE('Calc (scoring engine)'!$K$5:$K$515,10),'Calc (scoring engine)'!$K$5:$K$515,0))="","—",INDEX(Database!$E$5:$E$515,MATCH(LARGE('Calc (scoring engine)'!$K$5:$K$515,10),'Calc (scoring engine)'!$K$5:$K$515,0))),""))</f>
        <v/>
      </c>
      <c r="E30" s="10">
        <f>IF(OR(10&gt;MAX(3,MIN(15,N($D$18))),IFERROR(LARGE('Calc (scoring engine)'!$K$5:$K$515,10),-999999)&lt;=-900000),"",IFERROR(IF(INDEX(Database!$F$5:$F$515,MATCH(LARGE('Calc (scoring engine)'!$K$5:$K$515,10),'Calc (scoring engine)'!$K$5:$K$515,0))="","—",INDEX(Database!$F$5:$F$515,MATCH(LARGE('Calc (scoring engine)'!$K$5:$K$515,10),'Calc (scoring engine)'!$K$5:$K$515,0))),""))</f>
        <v/>
      </c>
      <c r="F30" s="10">
        <f>IF(OR(10&gt;MAX(3,MIN(15,N($D$18))),IFERROR(LARGE('Calc (scoring engine)'!$K$5:$K$515,10),-999999)&lt;=-900000),"",IFERROR(IF(INDEX(Database!$G$5:$G$515,MATCH(LARGE('Calc (scoring engine)'!$K$5:$K$515,10),'Calc (scoring engine)'!$K$5:$K$515,0))="","—",INDEX(Database!$G$5:$G$515,MATCH(LARGE('Calc (scoring engine)'!$K$5:$K$515,10),'Calc (scoring engine)'!$K$5:$K$515,0))),""))</f>
        <v/>
      </c>
      <c r="G30" s="21">
        <f>IF(OR(10&gt;MAX(3,MIN(15,N($D$18))),IFERROR(LARGE('Calc (scoring engine)'!$K$5:$K$515,10),-999999)&lt;=-900000),"",IFERROR(IF(INDEX(Database!$H$5:$H$515,MATCH(LARGE('Calc (scoring engine)'!$K$5:$K$515,10),'Calc (scoring engine)'!$K$5:$K$515,0))="","—",INDEX(Database!$H$5:$H$515,MATCH(LARGE('Calc (scoring engine)'!$K$5:$K$515,10),'Calc (scoring engine)'!$K$5:$K$515,0))),""))</f>
        <v/>
      </c>
      <c r="H30" s="18">
        <f>IF(OR(10&gt;MAX(3,MIN(15,N($D$18))),IFERROR(LARGE('Calc (scoring engine)'!$K$5:$K$515,10),-999999)&lt;=-900000),"",IFERROR(IF(INDEX(Database!$I$5:$I$515,MATCH(LARGE('Calc (scoring engine)'!$K$5:$K$515,10),'Calc (scoring engine)'!$K$5:$K$515,0))="","—",INDEX(Database!$I$5:$I$515,MATCH(LARGE('Calc (scoring engine)'!$K$5:$K$515,10),'Calc (scoring engine)'!$K$5:$K$515,0))),""))</f>
        <v/>
      </c>
      <c r="I30" s="39">
        <f>IF(OR(10&gt;MAX(3,MIN(15,N($D$18))),IFERROR(LARGE('Calc (scoring engine)'!$K$5:$K$515,10),-999999)&lt;=-900000),"",IFERROR(IF(INDEX(Database!$K$5:$K$515,MATCH(LARGE('Calc (scoring engine)'!$K$5:$K$515,10),'Calc (scoring engine)'!$K$5:$K$515,0))="","—",INDEX(Database!$K$5:$K$515,MATCH(LARGE('Calc (scoring engine)'!$K$5:$K$515,10),'Calc (scoring engine)'!$K$5:$K$515,0))),""))</f>
        <v/>
      </c>
      <c r="J30" s="39">
        <f>IF(OR(10&gt;MAX(3,MIN(15,N($D$18))),IFERROR(LARGE('Calc (scoring engine)'!$K$5:$K$515,10),-999999)&lt;=-900000),"",IFERROR(IF(INDEX(Database!$L$5:$L$515,MATCH(LARGE('Calc (scoring engine)'!$K$5:$K$515,10),'Calc (scoring engine)'!$K$5:$K$515,0))="","—",INDEX(Database!$L$5:$L$515,MATCH(LARGE('Calc (scoring engine)'!$K$5:$K$515,10),'Calc (scoring engine)'!$K$5:$K$515,0))),""))</f>
        <v/>
      </c>
      <c r="K30" s="39">
        <f>IF(OR(10&gt;MAX(3,MIN(15,N($D$18))),IFERROR(LARGE('Calc (scoring engine)'!$K$5:$K$515,10),-999999)&lt;=-900000),"",IFERROR(IF(INDEX(Database!$M$5:$M$515,MATCH(LARGE('Calc (scoring engine)'!$K$5:$K$515,10),'Calc (scoring engine)'!$K$5:$K$515,0))="","—",INDEX(Database!$M$5:$M$515,MATCH(LARGE('Calc (scoring engine)'!$K$5:$K$515,10),'Calc (scoring engine)'!$K$5:$K$515,0))),""))</f>
        <v/>
      </c>
      <c r="L30" s="10">
        <f>IF(OR(10&gt;MAX(3,MIN(15,N($D$18))),IFERROR(LARGE('Calc (scoring engine)'!$K$5:$K$515,10),-999999)&lt;=-900000),"",IFERROR(IF(INDEX(Database!$N$5:$N$515,MATCH(LARGE('Calc (scoring engine)'!$K$5:$K$515,10),'Calc (scoring engine)'!$K$5:$K$515,0))="","—",INDEX(Database!$N$5:$N$515,MATCH(LARGE('Calc (scoring engine)'!$K$5:$K$515,10),'Calc (scoring engine)'!$K$5:$K$515,0))),""))</f>
        <v/>
      </c>
      <c r="M30" s="28">
        <f>IF(OR(10&gt;MAX(3,MIN(15,N($D$18))),IFERROR(LARGE('Calc (scoring engine)'!$K$5:$K$515,10),-999999)&lt;=-900000),"",IFERROR(IF(INDEX(Database!$O$5:$O$515,MATCH(LARGE('Calc (scoring engine)'!$K$5:$K$515,10),'Calc (scoring engine)'!$K$5:$K$515,0))="","—",INDEX(Database!$O$5:$O$515,MATCH(LARGE('Calc (scoring engine)'!$K$5:$K$515,10),'Calc (scoring engine)'!$K$5:$K$515,0))),""))</f>
        <v/>
      </c>
      <c r="N30" s="28">
        <f>IF(OR(10&gt;MAX(3,MIN(15,N($D$18))),IFERROR(LARGE('Calc (scoring engine)'!$K$5:$K$515,10),-999999)&lt;=-900000),"",IFERROR(IF(INDEX(Database!$P$5:$P$515,MATCH(LARGE('Calc (scoring engine)'!$K$5:$K$515,10),'Calc (scoring engine)'!$K$5:$K$515,0))="","—",INDEX(Database!$P$5:$P$515,MATCH(LARGE('Calc (scoring engine)'!$K$5:$K$515,10),'Calc (scoring engine)'!$K$5:$K$515,0))),""))</f>
        <v/>
      </c>
      <c r="O30" s="18">
        <f>IF(OR(10&gt;MAX(3,MIN(15,N($D$18))),IFERROR(LARGE('Calc (scoring engine)'!$K$5:$K$515,10),-999999)&lt;=-900000),"",IFERROR(IF(INDEX(Database!$Q$5:$Q$515,MATCH(LARGE('Calc (scoring engine)'!$K$5:$K$515,10),'Calc (scoring engine)'!$K$5:$K$515,0))="","—",INDEX(Database!$Q$5:$Q$515,MATCH(LARGE('Calc (scoring engine)'!$K$5:$K$515,10),'Calc (scoring engine)'!$K$5:$K$515,0))),""))</f>
        <v/>
      </c>
      <c r="P30" s="26">
        <f>IF(OR(10&gt;MAX(3,MIN(15,N($D$18))),IFERROR(LARGE('Calc (scoring engine)'!$K$5:$K$515,10),-999999)&lt;=-900000),"",IFERROR(IF(INDEX(Database!$S$5:$S$515,MATCH(LARGE('Calc (scoring engine)'!$K$5:$K$515,10),'Calc (scoring engine)'!$K$5:$K$515,0))="","—",INDEX(Database!$S$5:$S$515,MATCH(LARGE('Calc (scoring engine)'!$K$5:$K$515,10),'Calc (scoring engine)'!$K$5:$K$515,0))),""))</f>
        <v/>
      </c>
      <c r="Q30" s="40">
        <f>IF(OR(10&gt;MAX(3,MIN(15,N($D$18))),IFERROR(LARGE('Calc (scoring engine)'!$K$5:$K$515,10),-999999)&lt;=-900000),"",IFERROR(IF(INDEX(Database!$T$5:$T$515,MATCH(LARGE('Calc (scoring engine)'!$K$5:$K$515,10),'Calc (scoring engine)'!$K$5:$K$515,0))="","—",INDEX(Database!$T$5:$T$515,MATCH(LARGE('Calc (scoring engine)'!$K$5:$K$515,10),'Calc (scoring engine)'!$K$5:$K$515,0))),""))</f>
        <v/>
      </c>
      <c r="R30" s="41">
        <f>IF(OR(10&gt;MAX(3,MIN(15,N($D$18))),IFERROR(LARGE('Calc (scoring engine)'!$K$5:$K$515,10),-999999)&lt;=-900000),"",IFERROR(IF(INDEX(Database!$U$5:$U$515,MATCH(LARGE('Calc (scoring engine)'!$K$5:$K$515,10),'Calc (scoring engine)'!$K$5:$K$515,0))="","—",INDEX(Database!$U$5:$U$515,MATCH(LARGE('Calc (scoring engine)'!$K$5:$K$515,10),'Calc (scoring engine)'!$K$5:$K$515,0))),""))</f>
        <v/>
      </c>
      <c r="S30" s="28">
        <f>IF(OR(10&gt;MAX(3,MIN(15,N($D$18))),IFERROR(LARGE('Calc (scoring engine)'!$K$5:$K$515,10),-999999)&lt;=-900000),"",IFERROR(IF(INDEX(Database!$V$5:$V$515,MATCH(LARGE('Calc (scoring engine)'!$K$5:$K$515,10),'Calc (scoring engine)'!$K$5:$K$515,0))="","—",INDEX(Database!$V$5:$V$515,MATCH(LARGE('Calc (scoring engine)'!$K$5:$K$515,10),'Calc (scoring engine)'!$K$5:$K$515,0))),""))</f>
        <v/>
      </c>
      <c r="T30" s="10">
        <f>IF(OR(10&gt;MAX(3,MIN(15,N($D$18))),IFERROR(LARGE('Calc (scoring engine)'!$K$5:$K$515,10),-999999)&lt;=-900000),"",IFERROR(IF(INDEX(Database!$W$5:$W$515,MATCH(LARGE('Calc (scoring engine)'!$K$5:$K$515,10),'Calc (scoring engine)'!$K$5:$K$515,0))="","—",INDEX(Database!$W$5:$W$515,MATCH(LARGE('Calc (scoring engine)'!$K$5:$K$515,10),'Calc (scoring engine)'!$K$5:$K$515,0))),""))</f>
        <v/>
      </c>
      <c r="U30" s="28">
        <f>IF(OR(10&gt;MAX(3,MIN(15,N($D$18))),IFERROR(LARGE('Calc (scoring engine)'!$K$5:$K$515,10),-999999)&lt;=-900000),"",IFERROR(IF(INDEX(Database!$Y$5:$Y$515,MATCH(LARGE('Calc (scoring engine)'!$K$5:$K$515,10),'Calc (scoring engine)'!$K$5:$K$515,0))="","—",INDEX(Database!$Y$5:$Y$515,MATCH(LARGE('Calc (scoring engine)'!$K$5:$K$515,10),'Calc (scoring engine)'!$K$5:$K$515,0))),""))</f>
        <v/>
      </c>
      <c r="V30" s="10">
        <f>IF(OR(10&gt;MAX(3,MIN(15,N($D$18))),IFERROR(LARGE('Calc (scoring engine)'!$K$5:$K$515,10),-999999)&lt;=-900000),"",IFERROR(IF(INDEX(Database!$Z$5:$Z$515,MATCH(LARGE('Calc (scoring engine)'!$K$5:$K$515,10),'Calc (scoring engine)'!$K$5:$K$515,0))="","—",INDEX(Database!$Z$5:$Z$515,MATCH(LARGE('Calc (scoring engine)'!$K$5:$K$515,10),'Calc (scoring engine)'!$K$5:$K$515,0))),""))</f>
        <v/>
      </c>
      <c r="W30" s="23">
        <f>IF(OR(10&gt;MAX(3,MIN(15,N($D$18))),IFERROR(LARGE('Calc (scoring engine)'!$K$5:$K$515,10),-999999)&lt;=-900000),"",IFERROR(IF(INDEX(Database!$AA$5:$AA$515,MATCH(LARGE('Calc (scoring engine)'!$K$5:$K$515,10),'Calc (scoring engine)'!$K$5:$K$515,0))="","—",INDEX(Database!$AA$5:$AA$515,MATCH(LARGE('Calc (scoring engine)'!$K$5:$K$515,10),'Calc (scoring engine)'!$K$5:$K$515,0))),""))</f>
        <v/>
      </c>
      <c r="X30" s="23">
        <f>IF(OR(10&gt;MAX(3,MIN(15,N($D$18))),IFERROR(LARGE('Calc (scoring engine)'!$K$5:$K$515,10),-999999)&lt;=-900000),"",IFERROR(IF(INDEX(Database!$AB$5:$AB$515,MATCH(LARGE('Calc (scoring engine)'!$K$5:$K$515,10),'Calc (scoring engine)'!$K$5:$K$515,0))="","—",INDEX(Database!$AB$5:$AB$515,MATCH(LARGE('Calc (scoring engine)'!$K$5:$K$515,10),'Calc (scoring engine)'!$K$5:$K$515,0))),""))</f>
        <v/>
      </c>
      <c r="Y30" s="23">
        <f>IF(OR(10&gt;MAX(3,MIN(15,N($D$18))),IFERROR(LARGE('Calc (scoring engine)'!$K$5:$K$515,10),-999999)&lt;=-900000),"",IFERROR(IF(INDEX(Database!$AC$5:$AC$515,MATCH(LARGE('Calc (scoring engine)'!$K$5:$K$515,10),'Calc (scoring engine)'!$K$5:$K$515,0))="","—",INDEX(Database!$AC$5:$AC$515,MATCH(LARGE('Calc (scoring engine)'!$K$5:$K$515,10),'Calc (scoring engine)'!$K$5:$K$515,0))),""))</f>
        <v/>
      </c>
      <c r="Z30" s="23">
        <f>IF(OR(10&gt;MAX(3,MIN(15,N($D$18))),IFERROR(LARGE('Calc (scoring engine)'!$K$5:$K$515,10),-999999)&lt;=-900000),"",IFERROR(IF(INDEX(Database!$AD$5:$AD$515,MATCH(LARGE('Calc (scoring engine)'!$K$5:$K$515,10),'Calc (scoring engine)'!$K$5:$K$515,0))="","—",INDEX(Database!$AD$5:$AD$515,MATCH(LARGE('Calc (scoring engine)'!$K$5:$K$515,10),'Calc (scoring engine)'!$K$5:$K$515,0))),""))</f>
        <v/>
      </c>
      <c r="AA30" s="23">
        <f>IF(OR(10&gt;MAX(3,MIN(15,N($D$18))),IFERROR(LARGE('Calc (scoring engine)'!$K$5:$K$515,10),-999999)&lt;=-900000),"",IFERROR(IF(INDEX(Database!$AE$5:$AE$515,MATCH(LARGE('Calc (scoring engine)'!$K$5:$K$515,10),'Calc (scoring engine)'!$K$5:$K$515,0))="","—",INDEX(Database!$AE$5:$AE$515,MATCH(LARGE('Calc (scoring engine)'!$K$5:$K$515,10),'Calc (scoring engine)'!$K$5:$K$515,0))),""))</f>
        <v/>
      </c>
      <c r="AB30" s="23">
        <f>IF(OR(10&gt;MAX(3,MIN(15,N($D$18))),IFERROR(LARGE('Calc (scoring engine)'!$K$5:$K$515,10),-999999)&lt;=-900000),"",IFERROR(IF(INDEX(Database!$AF$5:$AF$515,MATCH(LARGE('Calc (scoring engine)'!$K$5:$K$515,10),'Calc (scoring engine)'!$K$5:$K$515,0))="","—",INDEX(Database!$AF$5:$AF$515,MATCH(LARGE('Calc (scoring engine)'!$K$5:$K$515,10),'Calc (scoring engine)'!$K$5:$K$515,0))),""))</f>
        <v/>
      </c>
      <c r="AC30" s="23">
        <f>IF(OR(10&gt;MAX(3,MIN(15,N($D$18))),IFERROR(LARGE('Calc (scoring engine)'!$K$5:$K$515,10),-999999)&lt;=-900000),"",IFERROR(IF(INDEX(Database!$AG$5:$AG$515,MATCH(LARGE('Calc (scoring engine)'!$K$5:$K$515,10),'Calc (scoring engine)'!$K$5:$K$515,0))="","—",INDEX(Database!$AG$5:$AG$515,MATCH(LARGE('Calc (scoring engine)'!$K$5:$K$515,10),'Calc (scoring engine)'!$K$5:$K$515,0))),""))</f>
        <v/>
      </c>
      <c r="AD30" s="23">
        <f>IF(OR(10&gt;MAX(3,MIN(15,N($D$18))),IFERROR(LARGE('Calc (scoring engine)'!$K$5:$K$515,10),-999999)&lt;=-900000),"",IFERROR(IF(INDEX(Database!$AH$5:$AH$515,MATCH(LARGE('Calc (scoring engine)'!$K$5:$K$515,10),'Calc (scoring engine)'!$K$5:$K$515,0))="","—",INDEX(Database!$AH$5:$AH$515,MATCH(LARGE('Calc (scoring engine)'!$K$5:$K$515,10),'Calc (scoring engine)'!$K$5:$K$515,0))),""))</f>
        <v/>
      </c>
      <c r="AE30" s="23">
        <f>IF(OR(10&gt;MAX(3,MIN(15,N($D$18))),IFERROR(LARGE('Calc (scoring engine)'!$K$5:$K$515,10),-999999)&lt;=-900000),"",IFERROR(IF(INDEX(Database!$AI$5:$AI$515,MATCH(LARGE('Calc (scoring engine)'!$K$5:$K$515,10),'Calc (scoring engine)'!$K$5:$K$515,0))="","—",INDEX(Database!$AI$5:$AI$515,MATCH(LARGE('Calc (scoring engine)'!$K$5:$K$515,10),'Calc (scoring engine)'!$K$5:$K$515,0))),""))</f>
        <v/>
      </c>
      <c r="AF30" s="23">
        <f>IF(OR(10&gt;MAX(3,MIN(15,N($D$18))),IFERROR(LARGE('Calc (scoring engine)'!$K$5:$K$515,10),-999999)&lt;=-900000),"",IFERROR(IF(INDEX(Database!$AJ$5:$AJ$515,MATCH(LARGE('Calc (scoring engine)'!$K$5:$K$515,10),'Calc (scoring engine)'!$K$5:$K$515,0))="","—",INDEX(Database!$AJ$5:$AJ$515,MATCH(LARGE('Calc (scoring engine)'!$K$5:$K$515,10),'Calc (scoring engine)'!$K$5:$K$515,0))),""))</f>
        <v/>
      </c>
      <c r="AG30" s="23">
        <f>IF(OR(10&gt;MAX(3,MIN(15,N($D$18))),IFERROR(LARGE('Calc (scoring engine)'!$K$5:$K$515,10),-999999)&lt;=-900000),"",IFERROR(IF(INDEX(Database!$AK$5:$AK$515,MATCH(LARGE('Calc (scoring engine)'!$K$5:$K$515,10),'Calc (scoring engine)'!$K$5:$K$515,0))="","—",INDEX(Database!$AK$5:$AK$515,MATCH(LARGE('Calc (scoring engine)'!$K$5:$K$515,10),'Calc (scoring engine)'!$K$5:$K$515,0))),""))</f>
        <v/>
      </c>
      <c r="AH30" s="23">
        <f>IF(OR(10&gt;MAX(3,MIN(15,N($D$18))),IFERROR(LARGE('Calc (scoring engine)'!$K$5:$K$515,10),-999999)&lt;=-900000),"",IFERROR(IF(INDEX(Database!$AL$5:$AL$515,MATCH(LARGE('Calc (scoring engine)'!$K$5:$K$515,10),'Calc (scoring engine)'!$K$5:$K$515,0))="","—",INDEX(Database!$AL$5:$AL$515,MATCH(LARGE('Calc (scoring engine)'!$K$5:$K$515,10),'Calc (scoring engine)'!$K$5:$K$515,0))),""))</f>
        <v/>
      </c>
      <c r="AI30" s="23">
        <f>IF(OR(10&gt;MAX(3,MIN(15,N($D$18))),IFERROR(LARGE('Calc (scoring engine)'!$K$5:$K$515,10),-999999)&lt;=-900000),"",IFERROR(IF(INDEX(Database!$AM$5:$AM$515,MATCH(LARGE('Calc (scoring engine)'!$K$5:$K$515,10),'Calc (scoring engine)'!$K$5:$K$515,0))="","—",INDEX(Database!$AM$5:$AM$515,MATCH(LARGE('Calc (scoring engine)'!$K$5:$K$515,10),'Calc (scoring engine)'!$K$5:$K$515,0))),""))</f>
        <v/>
      </c>
      <c r="AJ30" s="23">
        <f>IF(OR(10&gt;MAX(3,MIN(15,N($D$18))),IFERROR(LARGE('Calc (scoring engine)'!$K$5:$K$515,10),-999999)&lt;=-900000),"",IFERROR(IF(INDEX(Database!$AN$5:$AN$515,MATCH(LARGE('Calc (scoring engine)'!$K$5:$K$515,10),'Calc (scoring engine)'!$K$5:$K$515,0))="","—",INDEX(Database!$AN$5:$AN$515,MATCH(LARGE('Calc (scoring engine)'!$K$5:$K$515,10),'Calc (scoring engine)'!$K$5:$K$515,0))),""))</f>
        <v/>
      </c>
      <c r="AK30" s="23">
        <f>IF(OR(10&gt;MAX(3,MIN(15,N($D$18))),IFERROR(LARGE('Calc (scoring engine)'!$K$5:$K$515,10),-999999)&lt;=-900000),"",IFERROR(IF(INDEX(Database!$AO$5:$AO$515,MATCH(LARGE('Calc (scoring engine)'!$K$5:$K$515,10),'Calc (scoring engine)'!$K$5:$K$515,0))="","—",INDEX(Database!$AO$5:$AO$515,MATCH(LARGE('Calc (scoring engine)'!$K$5:$K$515,10),'Calc (scoring engine)'!$K$5:$K$515,0))),""))</f>
        <v/>
      </c>
      <c r="AL30" s="23">
        <f>IF(OR(10&gt;MAX(3,MIN(15,N($D$18))),IFERROR(LARGE('Calc (scoring engine)'!$K$5:$K$515,10),-999999)&lt;=-900000),"",IFERROR(IF(INDEX(Database!$AQ$5:$AQ$515,MATCH(LARGE('Calc (scoring engine)'!$K$5:$K$515,10),'Calc (scoring engine)'!$K$5:$K$515,0))="","—",INDEX(Database!$AQ$5:$AQ$515,MATCH(LARGE('Calc (scoring engine)'!$K$5:$K$515,10),'Calc (scoring engine)'!$K$5:$K$515,0))),""))</f>
        <v/>
      </c>
      <c r="AM30" s="18">
        <f>IF(OR(10&gt;MAX(3,MIN(15,N($D$18))),IFERROR(LARGE('Calc (scoring engine)'!$K$5:$K$515,10),-999999)&lt;=-900000),"",IFERROR(IF(INDEX(Database!$AS$5:$AS$515,MATCH(LARGE('Calc (scoring engine)'!$K$5:$K$515,10),'Calc (scoring engine)'!$K$5:$K$515,0))="","—",INDEX(Database!$AS$5:$AS$515,MATCH(LARGE('Calc (scoring engine)'!$K$5:$K$515,10),'Calc (scoring engine)'!$K$5:$K$515,0))),""))</f>
        <v/>
      </c>
      <c r="AN30" s="18">
        <f>IF(OR(10&gt;MAX(3,MIN(15,N($D$18))),IFERROR(LARGE('Calc (scoring engine)'!$K$5:$K$515,10),-999999)&lt;=-900000),"",IFERROR(IF(INDEX(Database!$AT$5:$AT$515,MATCH(LARGE('Calc (scoring engine)'!$K$5:$K$515,10),'Calc (scoring engine)'!$K$5:$K$515,0))="","—",INDEX(Database!$AT$5:$AT$515,MATCH(LARGE('Calc (scoring engine)'!$K$5:$K$515,10),'Calc (scoring engine)'!$K$5:$K$515,0))),""))</f>
        <v/>
      </c>
      <c r="AO30" s="10">
        <f>IF(OR(10&gt;MAX(3,MIN(15,N($D$18))),IFERROR(LARGE('Calc (scoring engine)'!$K$5:$K$515,10),-999999)&lt;=-900000),"",IFERROR(IF(INDEX(Database!$AU$5:$AU$515,MATCH(LARGE('Calc (scoring engine)'!$K$5:$K$515,10),'Calc (scoring engine)'!$K$5:$K$515,0))="","—",INDEX(Database!$AU$5:$AU$515,MATCH(LARGE('Calc (scoring engine)'!$K$5:$K$515,10),'Calc (scoring engine)'!$K$5:$K$515,0))),""))</f>
        <v/>
      </c>
      <c r="AP30" s="24">
        <f>IF(OR(10&gt;MAX(3,MIN(15,N($D$18))),IFERROR(LARGE('Calc (scoring engine)'!$K$5:$K$515,10),-999999)&lt;=-900000),"",IFERROR(IF(N(INDEX(Database!$AV$5:$AV$515,MATCH(LARGE('Calc (scoring engine)'!$K$5:$K$515,10),'Calc (scoring engine)'!$K$5:$K$515,0)))&lt;=0,IF(INDEX(Database!$AU$5:$AU$515,MATCH(LARGE('Calc (scoring engine)'!$K$5:$K$515,10),'Calc (scoring engine)'!$K$5:$K$515,0))="N","n/m","—"),INDEX(Database!$AV$5:$AV$515,MATCH(LARGE('Calc (scoring engine)'!$K$5:$K$515,10),'Calc (scoring engine)'!$K$5:$K$515,0))),""))</f>
        <v/>
      </c>
      <c r="AQ30" s="24">
        <f>IF(OR(10&gt;MAX(3,MIN(15,N($D$18))),IFERROR(LARGE('Calc (scoring engine)'!$K$5:$K$515,10),-999999)&lt;=-900000),"",IFERROR(IF(INDEX(Database!$AW$5:$AW$515,MATCH(LARGE('Calc (scoring engine)'!$K$5:$K$515,10),'Calc (scoring engine)'!$K$5:$K$515,0))="","—",INDEX(Database!$AW$5:$AW$515,MATCH(LARGE('Calc (scoring engine)'!$K$5:$K$515,10),'Calc (scoring engine)'!$K$5:$K$515,0))),""))</f>
        <v/>
      </c>
      <c r="AR30" s="24">
        <f>IF(OR(10&gt;MAX(3,MIN(15,N($D$18))),IFERROR(LARGE('Calc (scoring engine)'!$K$5:$K$515,10),-999999)&lt;=-900000),"",IFERROR(IF(INDEX(Database!$AX$5:$AX$515,MATCH(LARGE('Calc (scoring engine)'!$K$5:$K$515,10),'Calc (scoring engine)'!$K$5:$K$515,0))="","—",INDEX(Database!$AX$5:$AX$515,MATCH(LARGE('Calc (scoring engine)'!$K$5:$K$515,10),'Calc (scoring engine)'!$K$5:$K$515,0))),""))</f>
        <v/>
      </c>
      <c r="AS30" s="24">
        <f>IF(OR(10&gt;MAX(3,MIN(15,N($D$18))),IFERROR(LARGE('Calc (scoring engine)'!$K$5:$K$515,10),-999999)&lt;=-900000),"",IFERROR(IF(INDEX(Database!$AY$5:$AY$515,MATCH(LARGE('Calc (scoring engine)'!$K$5:$K$515,10),'Calc (scoring engine)'!$K$5:$K$515,0))="","—",INDEX(Database!$AY$5:$AY$515,MATCH(LARGE('Calc (scoring engine)'!$K$5:$K$515,10),'Calc (scoring engine)'!$K$5:$K$515,0))),""))</f>
        <v/>
      </c>
      <c r="AT30" s="10">
        <f>IF(OR(10&gt;MAX(3,MIN(15,N($D$18))),IFERROR(LARGE('Calc (scoring engine)'!$K$5:$K$515,10),-999999)&lt;=-900000),"",IFERROR(IF(INDEX(Database!$AZ$5:$AZ$515,MATCH(LARGE('Calc (scoring engine)'!$K$5:$K$515,10),'Calc (scoring engine)'!$K$5:$K$515,0))="","—",INDEX(Database!$AZ$5:$AZ$515,MATCH(LARGE('Calc (scoring engine)'!$K$5:$K$515,10),'Calc (scoring engine)'!$K$5:$K$515,0))),""))</f>
        <v/>
      </c>
      <c r="AU30" s="10">
        <f>IF(OR(10&gt;MAX(3,MIN(15,N($D$18))),IFERROR(LARGE('Calc (scoring engine)'!$K$5:$K$515,10),-999999)&lt;=-900000),"",IFERROR(IF(INDEX(Database!$BA$5:$BA$515,MATCH(LARGE('Calc (scoring engine)'!$K$5:$K$515,10),'Calc (scoring engine)'!$K$5:$K$515,0))="","—",INDEX(Database!$BA$5:$BA$515,MATCH(LARGE('Calc (scoring engine)'!$K$5:$K$515,10),'Calc (scoring engine)'!$K$5:$K$515,0))),""))</f>
        <v/>
      </c>
      <c r="AV30" s="23">
        <f>IF(OR(10&gt;MAX(3,MIN(15,N($D$18))),IFERROR(LARGE('Calc (scoring engine)'!$K$5:$K$515,10),-999999)&lt;=-900000),"",IFERROR(IF(INDEX(Database!$BB$5:$BB$515,MATCH(LARGE('Calc (scoring engine)'!$K$5:$K$515,10),'Calc (scoring engine)'!$K$5:$K$515,0))="","—",INDEX(Database!$BB$5:$BB$515,MATCH(LARGE('Calc (scoring engine)'!$K$5:$K$515,10),'Calc (scoring engine)'!$K$5:$K$515,0))),""))</f>
        <v/>
      </c>
      <c r="AW30" s="39">
        <f>IF(OR(10&gt;MAX(3,MIN(15,N($D$18))),IFERROR(LARGE('Calc (scoring engine)'!$K$5:$K$515,10),-999999)&lt;=-900000),"",IFERROR(IF(INDEX(Database!$BC$5:$BC$515,MATCH(LARGE('Calc (scoring engine)'!$K$5:$K$515,10),'Calc (scoring engine)'!$K$5:$K$515,0))="","—",INDEX(Database!$BC$5:$BC$515,MATCH(LARGE('Calc (scoring engine)'!$K$5:$K$515,10),'Calc (scoring engine)'!$K$5:$K$515,0))),""))</f>
        <v/>
      </c>
      <c r="AX30" s="42">
        <f>IF(OR(10&gt;MAX(3,MIN(15,N($D$18))),IFERROR(LARGE('Calc (scoring engine)'!$K$5:$K$515,10),-999999)&lt;=-900000),"",IFERROR(IF(INDEX(Database!$BD$5:$BD$515,MATCH(LARGE('Calc (scoring engine)'!$K$5:$K$515,10),'Calc (scoring engine)'!$K$5:$K$515,0))="","—",INDEX(Database!$BD$5:$BD$515,MATCH(LARGE('Calc (scoring engine)'!$K$5:$K$515,10),'Calc (scoring engine)'!$K$5:$K$515,0))),""))</f>
        <v/>
      </c>
      <c r="AY30" s="24">
        <f>IF(OR(10&gt;MAX(3,MIN(15,N($D$18))),IFERROR(LARGE('Calc (scoring engine)'!$K$5:$K$515,10),-999999)&lt;=-900000),"",IFERROR(IF(INDEX(Database!$BE$5:$BE$515,MATCH(LARGE('Calc (scoring engine)'!$K$5:$K$515,10),'Calc (scoring engine)'!$K$5:$K$515,0))="","—",INDEX(Database!$BE$5:$BE$515,MATCH(LARGE('Calc (scoring engine)'!$K$5:$K$515,10),'Calc (scoring engine)'!$K$5:$K$515,0))),""))</f>
        <v/>
      </c>
      <c r="AZ30" s="24">
        <f>IF(OR(10&gt;MAX(3,MIN(15,N($D$18))),IFERROR(LARGE('Calc (scoring engine)'!$K$5:$K$515,10),-999999)&lt;=-900000),"",IFERROR(IF(INDEX(Database!$BF$5:$BF$515,MATCH(LARGE('Calc (scoring engine)'!$K$5:$K$515,10),'Calc (scoring engine)'!$K$5:$K$515,0))="","—",INDEX(Database!$BF$5:$BF$515,MATCH(LARGE('Calc (scoring engine)'!$K$5:$K$515,10),'Calc (scoring engine)'!$K$5:$K$515,0))),""))</f>
        <v/>
      </c>
      <c r="BA30" s="10">
        <f>IF(OR(10&gt;MAX(3,MIN(15,N($D$18))),IFERROR(LARGE('Calc (scoring engine)'!$K$5:$K$515,10),-999999)&lt;=-900000),"",IFERROR(IF(INDEX(Database!$BG$5:$BG$515,MATCH(LARGE('Calc (scoring engine)'!$K$5:$K$515,10),'Calc (scoring engine)'!$K$5:$K$515,0))="","—",INDEX(Database!$BG$5:$BG$515,MATCH(LARGE('Calc (scoring engine)'!$K$5:$K$515,10),'Calc (scoring engine)'!$K$5:$K$515,0))),""))</f>
        <v/>
      </c>
      <c r="BB30" s="10">
        <f>IF(OR(10&gt;MAX(3,MIN(15,N($D$18))),IFERROR(LARGE('Calc (scoring engine)'!$K$5:$K$515,10),-999999)&lt;=-900000),"",IFERROR(IF(INDEX(Database!$BI$5:$BI$515,MATCH(LARGE('Calc (scoring engine)'!$K$5:$K$515,10),'Calc (scoring engine)'!$K$5:$K$515,0))="","—",INDEX(Database!$BI$5:$BI$515,MATCH(LARGE('Calc (scoring engine)'!$K$5:$K$515,10),'Calc (scoring engine)'!$K$5:$K$515,0))),""))</f>
        <v/>
      </c>
      <c r="BC30" s="24">
        <f>IF(OR(10&gt;MAX(3,MIN(15,N($D$18))),IFERROR(LARGE('Calc (scoring engine)'!$K$5:$K$515,10),-999999)&lt;=-900000),"",IFERROR(IFERROR(BDP(TEXT(INDEX(Database!$A$5:$A$515,MATCH(LARGE('Calc (scoring engine)'!$K$5:$K$515,10),'Calc (scoring engine)'!$K$5:$K$515,0)),"0")&amp;" HK Equity","PE_RATIO"),IF(INDEX(Database!$AX$5:$AX$515,MATCH(LARGE('Calc (scoring engine)'!$K$5:$K$515,10),'Calc (scoring engine)'!$K$5:$K$515,0))="","—",INDEX(Database!$AX$5:$AX$515,MATCH(LARGE('Calc (scoring engine)'!$K$5:$K$515,10),'Calc (scoring engine)'!$K$5:$K$515,0)))),""))</f>
        <v/>
      </c>
      <c r="BD30" s="24">
        <f>IF(OR(10&gt;MAX(3,MIN(15,N($D$18))),IFERROR(LARGE('Calc (scoring engine)'!$K$5:$K$515,10),-999999)&lt;=-900000),"",IFERROR(IFERROR(BDP(TEXT(INDEX(Database!$A$5:$A$515,MATCH(LARGE('Calc (scoring engine)'!$K$5:$K$515,10),'Calc (scoring engine)'!$K$5:$K$515,0)),"0")&amp;" HK Equity","PX_TO_SALES_RATIO"),IF(INDEX(Database!$AY$5:$AY$515,MATCH(LARGE('Calc (scoring engine)'!$K$5:$K$515,10),'Calc (scoring engine)'!$K$5:$K$515,0))="","—",INDEX(Database!$AY$5:$AY$515,MATCH(LARGE('Calc (scoring engine)'!$K$5:$K$515,10),'Calc (scoring engine)'!$K$5:$K$515,0)))),""))</f>
        <v/>
      </c>
      <c r="BE30" s="43">
        <f>IF(OR(10&gt;MAX(3,MIN(15,N($D$18))),IFERROR(LARGE('Calc (scoring engine)'!$K$5:$K$515,10),-999999)&lt;=-900000),"",IFERROR(IF(INDEX('Calc (scoring engine)'!$H$5:$H$515,MATCH(LARGE('Calc (scoring engine)'!$K$5:$K$515,10),'Calc (scoring engine)'!$K$5:$K$515,0))&gt;0,INDEX('Calc (scoring engine)'!$H$5:$H$515,MATCH(LARGE('Calc (scoring engine)'!$K$5:$K$515,10),'Calc (scoring engine)'!$K$5:$K$515,0)),""),""))</f>
        <v/>
      </c>
      <c r="BF30" s="10">
        <f>IF(OR(10&gt;MAX(3,MIN(15,N($D$18))),IFERROR(LARGE('Calc (scoring engine)'!$K$5:$K$515,10),-999999)&lt;=-900000),"",IF(IFERROR(INDEX('Calc (scoring engine)'!$B$5:$B$515,MATCH(LARGE('Calc (scoring engine)'!$K$5:$K$515,10),'Calc (scoring engine)'!$K$5:$K$515,0)),0)=1,"same subsector","sector only"))</f>
        <v/>
      </c>
      <c r="BG30" s="43">
        <f>IF(OR(10&gt;MAX(3,MIN(15,N($D$18))),IFERROR(LARGE('Calc (scoring engine)'!$K$5:$K$515,10),-999999)&lt;=-900000),"",ROUND(IFERROR(LARGE('Calc (scoring engine)'!$K$5:$K$515,10),0),0))</f>
        <v/>
      </c>
      <c r="BH30" s="10">
        <f>IF(OR(10&gt;MAX(3,MIN(15,N($D$18))),IFERROR(LARGE('Calc (scoring engine)'!$K$5:$K$515,10),-999999)&lt;=-900000),"",IFERROR("sub "&amp;INDEX('Calc (scoring engine)'!$B$5:$B$515,MATCH(LARGE('Calc (scoring engine)'!$K$5:$K$515,10),'Calc (scoring engine)'!$K$5:$K$515,0))*W_SUB&amp;" + size "&amp;ROUND(INDEX('Calc (scoring engine)'!$D$5:$D$515,MATCH(LARGE('Calc (scoring engine)'!$K$5:$K$515,10),'Calc (scoring engine)'!$K$5:$K$515,0))*W_SIZE,0)&amp;" + prof "&amp;INDEX('Calc (scoring engine)'!$E$5:$E$515,MATCH(LARGE('Calc (scoring engine)'!$K$5:$K$515,10),'Calc (scoring engine)'!$K$5:$K$515,0))*W_PROF&amp;" + recency "&amp;ROUND(INDEX('Calc (scoring engine)'!$G$5:$G$515,MATCH(LARGE('Calc (scoring engine)'!$K$5:$K$515,10),'Calc (scoring engine)'!$K$5:$K$515,0))*W_REC,0)&amp;IF(INDEX('Calc (scoring engine)'!$H$5:$H$515,MATCH(LARGE('Calc (scoring engine)'!$K$5:$K$515,10),'Calc (scoring engine)'!$K$5:$K$515,0))&gt;0," + shared CS x"&amp;INDEX('Calc (scoring engine)'!$H$5:$H$515,MATCH(LARGE('Calc (scoring engine)'!$K$5:$K$515,10),'Calc (scoring engine)'!$K$5:$K$515,0)),""),""))</f>
        <v/>
      </c>
    </row>
    <row r="31">
      <c r="A31" s="38">
        <f>IF(OR(11&gt;MAX(3,MIN(15,N($D$18))),IFERROR(LARGE('Calc (scoring engine)'!$K$5:$K$515,11),-999999)&lt;=-900000),"",11)</f>
        <v/>
      </c>
      <c r="B31" s="10">
        <f>IF(OR(11&gt;MAX(3,MIN(15,N($D$18))),IFERROR(LARGE('Calc (scoring engine)'!$K$5:$K$515,11),-999999)&lt;=-900000),"",IFERROR(IF(INDEX(Database!$B$5:$B$515,MATCH(LARGE('Calc (scoring engine)'!$K$5:$K$515,11),'Calc (scoring engine)'!$K$5:$K$515,0))="","—",INDEX(Database!$B$5:$B$515,MATCH(LARGE('Calc (scoring engine)'!$K$5:$K$515,11),'Calc (scoring engine)'!$K$5:$K$515,0))),""))</f>
        <v/>
      </c>
      <c r="C31" s="10">
        <f>IF(OR(11&gt;MAX(3,MIN(15,N($D$18))),IFERROR(LARGE('Calc (scoring engine)'!$K$5:$K$515,11),-999999)&lt;=-900000),"",IFERROR(IF(INDEX(Database!$D$5:$D$515,MATCH(LARGE('Calc (scoring engine)'!$K$5:$K$515,11),'Calc (scoring engine)'!$K$5:$K$515,0))="","—",INDEX(Database!$D$5:$D$515,MATCH(LARGE('Calc (scoring engine)'!$K$5:$K$515,11),'Calc (scoring engine)'!$K$5:$K$515,0))),""))</f>
        <v/>
      </c>
      <c r="D31" s="10">
        <f>IF(OR(11&gt;MAX(3,MIN(15,N($D$18))),IFERROR(LARGE('Calc (scoring engine)'!$K$5:$K$515,11),-999999)&lt;=-900000),"",IFERROR(IF(INDEX(Database!$E$5:$E$515,MATCH(LARGE('Calc (scoring engine)'!$K$5:$K$515,11),'Calc (scoring engine)'!$K$5:$K$515,0))="","—",INDEX(Database!$E$5:$E$515,MATCH(LARGE('Calc (scoring engine)'!$K$5:$K$515,11),'Calc (scoring engine)'!$K$5:$K$515,0))),""))</f>
        <v/>
      </c>
      <c r="E31" s="10">
        <f>IF(OR(11&gt;MAX(3,MIN(15,N($D$18))),IFERROR(LARGE('Calc (scoring engine)'!$K$5:$K$515,11),-999999)&lt;=-900000),"",IFERROR(IF(INDEX(Database!$F$5:$F$515,MATCH(LARGE('Calc (scoring engine)'!$K$5:$K$515,11),'Calc (scoring engine)'!$K$5:$K$515,0))="","—",INDEX(Database!$F$5:$F$515,MATCH(LARGE('Calc (scoring engine)'!$K$5:$K$515,11),'Calc (scoring engine)'!$K$5:$K$515,0))),""))</f>
        <v/>
      </c>
      <c r="F31" s="10">
        <f>IF(OR(11&gt;MAX(3,MIN(15,N($D$18))),IFERROR(LARGE('Calc (scoring engine)'!$K$5:$K$515,11),-999999)&lt;=-900000),"",IFERROR(IF(INDEX(Database!$G$5:$G$515,MATCH(LARGE('Calc (scoring engine)'!$K$5:$K$515,11),'Calc (scoring engine)'!$K$5:$K$515,0))="","—",INDEX(Database!$G$5:$G$515,MATCH(LARGE('Calc (scoring engine)'!$K$5:$K$515,11),'Calc (scoring engine)'!$K$5:$K$515,0))),""))</f>
        <v/>
      </c>
      <c r="G31" s="21">
        <f>IF(OR(11&gt;MAX(3,MIN(15,N($D$18))),IFERROR(LARGE('Calc (scoring engine)'!$K$5:$K$515,11),-999999)&lt;=-900000),"",IFERROR(IF(INDEX(Database!$H$5:$H$515,MATCH(LARGE('Calc (scoring engine)'!$K$5:$K$515,11),'Calc (scoring engine)'!$K$5:$K$515,0))="","—",INDEX(Database!$H$5:$H$515,MATCH(LARGE('Calc (scoring engine)'!$K$5:$K$515,11),'Calc (scoring engine)'!$K$5:$K$515,0))),""))</f>
        <v/>
      </c>
      <c r="H31" s="18">
        <f>IF(OR(11&gt;MAX(3,MIN(15,N($D$18))),IFERROR(LARGE('Calc (scoring engine)'!$K$5:$K$515,11),-999999)&lt;=-900000),"",IFERROR(IF(INDEX(Database!$I$5:$I$515,MATCH(LARGE('Calc (scoring engine)'!$K$5:$K$515,11),'Calc (scoring engine)'!$K$5:$K$515,0))="","—",INDEX(Database!$I$5:$I$515,MATCH(LARGE('Calc (scoring engine)'!$K$5:$K$515,11),'Calc (scoring engine)'!$K$5:$K$515,0))),""))</f>
        <v/>
      </c>
      <c r="I31" s="39">
        <f>IF(OR(11&gt;MAX(3,MIN(15,N($D$18))),IFERROR(LARGE('Calc (scoring engine)'!$K$5:$K$515,11),-999999)&lt;=-900000),"",IFERROR(IF(INDEX(Database!$K$5:$K$515,MATCH(LARGE('Calc (scoring engine)'!$K$5:$K$515,11),'Calc (scoring engine)'!$K$5:$K$515,0))="","—",INDEX(Database!$K$5:$K$515,MATCH(LARGE('Calc (scoring engine)'!$K$5:$K$515,11),'Calc (scoring engine)'!$K$5:$K$515,0))),""))</f>
        <v/>
      </c>
      <c r="J31" s="39">
        <f>IF(OR(11&gt;MAX(3,MIN(15,N($D$18))),IFERROR(LARGE('Calc (scoring engine)'!$K$5:$K$515,11),-999999)&lt;=-900000),"",IFERROR(IF(INDEX(Database!$L$5:$L$515,MATCH(LARGE('Calc (scoring engine)'!$K$5:$K$515,11),'Calc (scoring engine)'!$K$5:$K$515,0))="","—",INDEX(Database!$L$5:$L$515,MATCH(LARGE('Calc (scoring engine)'!$K$5:$K$515,11),'Calc (scoring engine)'!$K$5:$K$515,0))),""))</f>
        <v/>
      </c>
      <c r="K31" s="39">
        <f>IF(OR(11&gt;MAX(3,MIN(15,N($D$18))),IFERROR(LARGE('Calc (scoring engine)'!$K$5:$K$515,11),-999999)&lt;=-900000),"",IFERROR(IF(INDEX(Database!$M$5:$M$515,MATCH(LARGE('Calc (scoring engine)'!$K$5:$K$515,11),'Calc (scoring engine)'!$K$5:$K$515,0))="","—",INDEX(Database!$M$5:$M$515,MATCH(LARGE('Calc (scoring engine)'!$K$5:$K$515,11),'Calc (scoring engine)'!$K$5:$K$515,0))),""))</f>
        <v/>
      </c>
      <c r="L31" s="10">
        <f>IF(OR(11&gt;MAX(3,MIN(15,N($D$18))),IFERROR(LARGE('Calc (scoring engine)'!$K$5:$K$515,11),-999999)&lt;=-900000),"",IFERROR(IF(INDEX(Database!$N$5:$N$515,MATCH(LARGE('Calc (scoring engine)'!$K$5:$K$515,11),'Calc (scoring engine)'!$K$5:$K$515,0))="","—",INDEX(Database!$N$5:$N$515,MATCH(LARGE('Calc (scoring engine)'!$K$5:$K$515,11),'Calc (scoring engine)'!$K$5:$K$515,0))),""))</f>
        <v/>
      </c>
      <c r="M31" s="28">
        <f>IF(OR(11&gt;MAX(3,MIN(15,N($D$18))),IFERROR(LARGE('Calc (scoring engine)'!$K$5:$K$515,11),-999999)&lt;=-900000),"",IFERROR(IF(INDEX(Database!$O$5:$O$515,MATCH(LARGE('Calc (scoring engine)'!$K$5:$K$515,11),'Calc (scoring engine)'!$K$5:$K$515,0))="","—",INDEX(Database!$O$5:$O$515,MATCH(LARGE('Calc (scoring engine)'!$K$5:$K$515,11),'Calc (scoring engine)'!$K$5:$K$515,0))),""))</f>
        <v/>
      </c>
      <c r="N31" s="28">
        <f>IF(OR(11&gt;MAX(3,MIN(15,N($D$18))),IFERROR(LARGE('Calc (scoring engine)'!$K$5:$K$515,11),-999999)&lt;=-900000),"",IFERROR(IF(INDEX(Database!$P$5:$P$515,MATCH(LARGE('Calc (scoring engine)'!$K$5:$K$515,11),'Calc (scoring engine)'!$K$5:$K$515,0))="","—",INDEX(Database!$P$5:$P$515,MATCH(LARGE('Calc (scoring engine)'!$K$5:$K$515,11),'Calc (scoring engine)'!$K$5:$K$515,0))),""))</f>
        <v/>
      </c>
      <c r="O31" s="18">
        <f>IF(OR(11&gt;MAX(3,MIN(15,N($D$18))),IFERROR(LARGE('Calc (scoring engine)'!$K$5:$K$515,11),-999999)&lt;=-900000),"",IFERROR(IF(INDEX(Database!$Q$5:$Q$515,MATCH(LARGE('Calc (scoring engine)'!$K$5:$K$515,11),'Calc (scoring engine)'!$K$5:$K$515,0))="","—",INDEX(Database!$Q$5:$Q$515,MATCH(LARGE('Calc (scoring engine)'!$K$5:$K$515,11),'Calc (scoring engine)'!$K$5:$K$515,0))),""))</f>
        <v/>
      </c>
      <c r="P31" s="26">
        <f>IF(OR(11&gt;MAX(3,MIN(15,N($D$18))),IFERROR(LARGE('Calc (scoring engine)'!$K$5:$K$515,11),-999999)&lt;=-900000),"",IFERROR(IF(INDEX(Database!$S$5:$S$515,MATCH(LARGE('Calc (scoring engine)'!$K$5:$K$515,11),'Calc (scoring engine)'!$K$5:$K$515,0))="","—",INDEX(Database!$S$5:$S$515,MATCH(LARGE('Calc (scoring engine)'!$K$5:$K$515,11),'Calc (scoring engine)'!$K$5:$K$515,0))),""))</f>
        <v/>
      </c>
      <c r="Q31" s="40">
        <f>IF(OR(11&gt;MAX(3,MIN(15,N($D$18))),IFERROR(LARGE('Calc (scoring engine)'!$K$5:$K$515,11),-999999)&lt;=-900000),"",IFERROR(IF(INDEX(Database!$T$5:$T$515,MATCH(LARGE('Calc (scoring engine)'!$K$5:$K$515,11),'Calc (scoring engine)'!$K$5:$K$515,0))="","—",INDEX(Database!$T$5:$T$515,MATCH(LARGE('Calc (scoring engine)'!$K$5:$K$515,11),'Calc (scoring engine)'!$K$5:$K$515,0))),""))</f>
        <v/>
      </c>
      <c r="R31" s="41">
        <f>IF(OR(11&gt;MAX(3,MIN(15,N($D$18))),IFERROR(LARGE('Calc (scoring engine)'!$K$5:$K$515,11),-999999)&lt;=-900000),"",IFERROR(IF(INDEX(Database!$U$5:$U$515,MATCH(LARGE('Calc (scoring engine)'!$K$5:$K$515,11),'Calc (scoring engine)'!$K$5:$K$515,0))="","—",INDEX(Database!$U$5:$U$515,MATCH(LARGE('Calc (scoring engine)'!$K$5:$K$515,11),'Calc (scoring engine)'!$K$5:$K$515,0))),""))</f>
        <v/>
      </c>
      <c r="S31" s="28">
        <f>IF(OR(11&gt;MAX(3,MIN(15,N($D$18))),IFERROR(LARGE('Calc (scoring engine)'!$K$5:$K$515,11),-999999)&lt;=-900000),"",IFERROR(IF(INDEX(Database!$V$5:$V$515,MATCH(LARGE('Calc (scoring engine)'!$K$5:$K$515,11),'Calc (scoring engine)'!$K$5:$K$515,0))="","—",INDEX(Database!$V$5:$V$515,MATCH(LARGE('Calc (scoring engine)'!$K$5:$K$515,11),'Calc (scoring engine)'!$K$5:$K$515,0))),""))</f>
        <v/>
      </c>
      <c r="T31" s="10">
        <f>IF(OR(11&gt;MAX(3,MIN(15,N($D$18))),IFERROR(LARGE('Calc (scoring engine)'!$K$5:$K$515,11),-999999)&lt;=-900000),"",IFERROR(IF(INDEX(Database!$W$5:$W$515,MATCH(LARGE('Calc (scoring engine)'!$K$5:$K$515,11),'Calc (scoring engine)'!$K$5:$K$515,0))="","—",INDEX(Database!$W$5:$W$515,MATCH(LARGE('Calc (scoring engine)'!$K$5:$K$515,11),'Calc (scoring engine)'!$K$5:$K$515,0))),""))</f>
        <v/>
      </c>
      <c r="U31" s="28">
        <f>IF(OR(11&gt;MAX(3,MIN(15,N($D$18))),IFERROR(LARGE('Calc (scoring engine)'!$K$5:$K$515,11),-999999)&lt;=-900000),"",IFERROR(IF(INDEX(Database!$Y$5:$Y$515,MATCH(LARGE('Calc (scoring engine)'!$K$5:$K$515,11),'Calc (scoring engine)'!$K$5:$K$515,0))="","—",INDEX(Database!$Y$5:$Y$515,MATCH(LARGE('Calc (scoring engine)'!$K$5:$K$515,11),'Calc (scoring engine)'!$K$5:$K$515,0))),""))</f>
        <v/>
      </c>
      <c r="V31" s="10">
        <f>IF(OR(11&gt;MAX(3,MIN(15,N($D$18))),IFERROR(LARGE('Calc (scoring engine)'!$K$5:$K$515,11),-999999)&lt;=-900000),"",IFERROR(IF(INDEX(Database!$Z$5:$Z$515,MATCH(LARGE('Calc (scoring engine)'!$K$5:$K$515,11),'Calc (scoring engine)'!$K$5:$K$515,0))="","—",INDEX(Database!$Z$5:$Z$515,MATCH(LARGE('Calc (scoring engine)'!$K$5:$K$515,11),'Calc (scoring engine)'!$K$5:$K$515,0))),""))</f>
        <v/>
      </c>
      <c r="W31" s="23">
        <f>IF(OR(11&gt;MAX(3,MIN(15,N($D$18))),IFERROR(LARGE('Calc (scoring engine)'!$K$5:$K$515,11),-999999)&lt;=-900000),"",IFERROR(IF(INDEX(Database!$AA$5:$AA$515,MATCH(LARGE('Calc (scoring engine)'!$K$5:$K$515,11),'Calc (scoring engine)'!$K$5:$K$515,0))="","—",INDEX(Database!$AA$5:$AA$515,MATCH(LARGE('Calc (scoring engine)'!$K$5:$K$515,11),'Calc (scoring engine)'!$K$5:$K$515,0))),""))</f>
        <v/>
      </c>
      <c r="X31" s="23">
        <f>IF(OR(11&gt;MAX(3,MIN(15,N($D$18))),IFERROR(LARGE('Calc (scoring engine)'!$K$5:$K$515,11),-999999)&lt;=-900000),"",IFERROR(IF(INDEX(Database!$AB$5:$AB$515,MATCH(LARGE('Calc (scoring engine)'!$K$5:$K$515,11),'Calc (scoring engine)'!$K$5:$K$515,0))="","—",INDEX(Database!$AB$5:$AB$515,MATCH(LARGE('Calc (scoring engine)'!$K$5:$K$515,11),'Calc (scoring engine)'!$K$5:$K$515,0))),""))</f>
        <v/>
      </c>
      <c r="Y31" s="23">
        <f>IF(OR(11&gt;MAX(3,MIN(15,N($D$18))),IFERROR(LARGE('Calc (scoring engine)'!$K$5:$K$515,11),-999999)&lt;=-900000),"",IFERROR(IF(INDEX(Database!$AC$5:$AC$515,MATCH(LARGE('Calc (scoring engine)'!$K$5:$K$515,11),'Calc (scoring engine)'!$K$5:$K$515,0))="","—",INDEX(Database!$AC$5:$AC$515,MATCH(LARGE('Calc (scoring engine)'!$K$5:$K$515,11),'Calc (scoring engine)'!$K$5:$K$515,0))),""))</f>
        <v/>
      </c>
      <c r="Z31" s="23">
        <f>IF(OR(11&gt;MAX(3,MIN(15,N($D$18))),IFERROR(LARGE('Calc (scoring engine)'!$K$5:$K$515,11),-999999)&lt;=-900000),"",IFERROR(IF(INDEX(Database!$AD$5:$AD$515,MATCH(LARGE('Calc (scoring engine)'!$K$5:$K$515,11),'Calc (scoring engine)'!$K$5:$K$515,0))="","—",INDEX(Database!$AD$5:$AD$515,MATCH(LARGE('Calc (scoring engine)'!$K$5:$K$515,11),'Calc (scoring engine)'!$K$5:$K$515,0))),""))</f>
        <v/>
      </c>
      <c r="AA31" s="23">
        <f>IF(OR(11&gt;MAX(3,MIN(15,N($D$18))),IFERROR(LARGE('Calc (scoring engine)'!$K$5:$K$515,11),-999999)&lt;=-900000),"",IFERROR(IF(INDEX(Database!$AE$5:$AE$515,MATCH(LARGE('Calc (scoring engine)'!$K$5:$K$515,11),'Calc (scoring engine)'!$K$5:$K$515,0))="","—",INDEX(Database!$AE$5:$AE$515,MATCH(LARGE('Calc (scoring engine)'!$K$5:$K$515,11),'Calc (scoring engine)'!$K$5:$K$515,0))),""))</f>
        <v/>
      </c>
      <c r="AB31" s="23">
        <f>IF(OR(11&gt;MAX(3,MIN(15,N($D$18))),IFERROR(LARGE('Calc (scoring engine)'!$K$5:$K$515,11),-999999)&lt;=-900000),"",IFERROR(IF(INDEX(Database!$AF$5:$AF$515,MATCH(LARGE('Calc (scoring engine)'!$K$5:$K$515,11),'Calc (scoring engine)'!$K$5:$K$515,0))="","—",INDEX(Database!$AF$5:$AF$515,MATCH(LARGE('Calc (scoring engine)'!$K$5:$K$515,11),'Calc (scoring engine)'!$K$5:$K$515,0))),""))</f>
        <v/>
      </c>
      <c r="AC31" s="23">
        <f>IF(OR(11&gt;MAX(3,MIN(15,N($D$18))),IFERROR(LARGE('Calc (scoring engine)'!$K$5:$K$515,11),-999999)&lt;=-900000),"",IFERROR(IF(INDEX(Database!$AG$5:$AG$515,MATCH(LARGE('Calc (scoring engine)'!$K$5:$K$515,11),'Calc (scoring engine)'!$K$5:$K$515,0))="","—",INDEX(Database!$AG$5:$AG$515,MATCH(LARGE('Calc (scoring engine)'!$K$5:$K$515,11),'Calc (scoring engine)'!$K$5:$K$515,0))),""))</f>
        <v/>
      </c>
      <c r="AD31" s="23">
        <f>IF(OR(11&gt;MAX(3,MIN(15,N($D$18))),IFERROR(LARGE('Calc (scoring engine)'!$K$5:$K$515,11),-999999)&lt;=-900000),"",IFERROR(IF(INDEX(Database!$AH$5:$AH$515,MATCH(LARGE('Calc (scoring engine)'!$K$5:$K$515,11),'Calc (scoring engine)'!$K$5:$K$515,0))="","—",INDEX(Database!$AH$5:$AH$515,MATCH(LARGE('Calc (scoring engine)'!$K$5:$K$515,11),'Calc (scoring engine)'!$K$5:$K$515,0))),""))</f>
        <v/>
      </c>
      <c r="AE31" s="23">
        <f>IF(OR(11&gt;MAX(3,MIN(15,N($D$18))),IFERROR(LARGE('Calc (scoring engine)'!$K$5:$K$515,11),-999999)&lt;=-900000),"",IFERROR(IF(INDEX(Database!$AI$5:$AI$515,MATCH(LARGE('Calc (scoring engine)'!$K$5:$K$515,11),'Calc (scoring engine)'!$K$5:$K$515,0))="","—",INDEX(Database!$AI$5:$AI$515,MATCH(LARGE('Calc (scoring engine)'!$K$5:$K$515,11),'Calc (scoring engine)'!$K$5:$K$515,0))),""))</f>
        <v/>
      </c>
      <c r="AF31" s="23">
        <f>IF(OR(11&gt;MAX(3,MIN(15,N($D$18))),IFERROR(LARGE('Calc (scoring engine)'!$K$5:$K$515,11),-999999)&lt;=-900000),"",IFERROR(IF(INDEX(Database!$AJ$5:$AJ$515,MATCH(LARGE('Calc (scoring engine)'!$K$5:$K$515,11),'Calc (scoring engine)'!$K$5:$K$515,0))="","—",INDEX(Database!$AJ$5:$AJ$515,MATCH(LARGE('Calc (scoring engine)'!$K$5:$K$515,11),'Calc (scoring engine)'!$K$5:$K$515,0))),""))</f>
        <v/>
      </c>
      <c r="AG31" s="23">
        <f>IF(OR(11&gt;MAX(3,MIN(15,N($D$18))),IFERROR(LARGE('Calc (scoring engine)'!$K$5:$K$515,11),-999999)&lt;=-900000),"",IFERROR(IF(INDEX(Database!$AK$5:$AK$515,MATCH(LARGE('Calc (scoring engine)'!$K$5:$K$515,11),'Calc (scoring engine)'!$K$5:$K$515,0))="","—",INDEX(Database!$AK$5:$AK$515,MATCH(LARGE('Calc (scoring engine)'!$K$5:$K$515,11),'Calc (scoring engine)'!$K$5:$K$515,0))),""))</f>
        <v/>
      </c>
      <c r="AH31" s="23">
        <f>IF(OR(11&gt;MAX(3,MIN(15,N($D$18))),IFERROR(LARGE('Calc (scoring engine)'!$K$5:$K$515,11),-999999)&lt;=-900000),"",IFERROR(IF(INDEX(Database!$AL$5:$AL$515,MATCH(LARGE('Calc (scoring engine)'!$K$5:$K$515,11),'Calc (scoring engine)'!$K$5:$K$515,0))="","—",INDEX(Database!$AL$5:$AL$515,MATCH(LARGE('Calc (scoring engine)'!$K$5:$K$515,11),'Calc (scoring engine)'!$K$5:$K$515,0))),""))</f>
        <v/>
      </c>
      <c r="AI31" s="23">
        <f>IF(OR(11&gt;MAX(3,MIN(15,N($D$18))),IFERROR(LARGE('Calc (scoring engine)'!$K$5:$K$515,11),-999999)&lt;=-900000),"",IFERROR(IF(INDEX(Database!$AM$5:$AM$515,MATCH(LARGE('Calc (scoring engine)'!$K$5:$K$515,11),'Calc (scoring engine)'!$K$5:$K$515,0))="","—",INDEX(Database!$AM$5:$AM$515,MATCH(LARGE('Calc (scoring engine)'!$K$5:$K$515,11),'Calc (scoring engine)'!$K$5:$K$515,0))),""))</f>
        <v/>
      </c>
      <c r="AJ31" s="23">
        <f>IF(OR(11&gt;MAX(3,MIN(15,N($D$18))),IFERROR(LARGE('Calc (scoring engine)'!$K$5:$K$515,11),-999999)&lt;=-900000),"",IFERROR(IF(INDEX(Database!$AN$5:$AN$515,MATCH(LARGE('Calc (scoring engine)'!$K$5:$K$515,11),'Calc (scoring engine)'!$K$5:$K$515,0))="","—",INDEX(Database!$AN$5:$AN$515,MATCH(LARGE('Calc (scoring engine)'!$K$5:$K$515,11),'Calc (scoring engine)'!$K$5:$K$515,0))),""))</f>
        <v/>
      </c>
      <c r="AK31" s="23">
        <f>IF(OR(11&gt;MAX(3,MIN(15,N($D$18))),IFERROR(LARGE('Calc (scoring engine)'!$K$5:$K$515,11),-999999)&lt;=-900000),"",IFERROR(IF(INDEX(Database!$AO$5:$AO$515,MATCH(LARGE('Calc (scoring engine)'!$K$5:$K$515,11),'Calc (scoring engine)'!$K$5:$K$515,0))="","—",INDEX(Database!$AO$5:$AO$515,MATCH(LARGE('Calc (scoring engine)'!$K$5:$K$515,11),'Calc (scoring engine)'!$K$5:$K$515,0))),""))</f>
        <v/>
      </c>
      <c r="AL31" s="23">
        <f>IF(OR(11&gt;MAX(3,MIN(15,N($D$18))),IFERROR(LARGE('Calc (scoring engine)'!$K$5:$K$515,11),-999999)&lt;=-900000),"",IFERROR(IF(INDEX(Database!$AQ$5:$AQ$515,MATCH(LARGE('Calc (scoring engine)'!$K$5:$K$515,11),'Calc (scoring engine)'!$K$5:$K$515,0))="","—",INDEX(Database!$AQ$5:$AQ$515,MATCH(LARGE('Calc (scoring engine)'!$K$5:$K$515,11),'Calc (scoring engine)'!$K$5:$K$515,0))),""))</f>
        <v/>
      </c>
      <c r="AM31" s="18">
        <f>IF(OR(11&gt;MAX(3,MIN(15,N($D$18))),IFERROR(LARGE('Calc (scoring engine)'!$K$5:$K$515,11),-999999)&lt;=-900000),"",IFERROR(IF(INDEX(Database!$AS$5:$AS$515,MATCH(LARGE('Calc (scoring engine)'!$K$5:$K$515,11),'Calc (scoring engine)'!$K$5:$K$515,0))="","—",INDEX(Database!$AS$5:$AS$515,MATCH(LARGE('Calc (scoring engine)'!$K$5:$K$515,11),'Calc (scoring engine)'!$K$5:$K$515,0))),""))</f>
        <v/>
      </c>
      <c r="AN31" s="18">
        <f>IF(OR(11&gt;MAX(3,MIN(15,N($D$18))),IFERROR(LARGE('Calc (scoring engine)'!$K$5:$K$515,11),-999999)&lt;=-900000),"",IFERROR(IF(INDEX(Database!$AT$5:$AT$515,MATCH(LARGE('Calc (scoring engine)'!$K$5:$K$515,11),'Calc (scoring engine)'!$K$5:$K$515,0))="","—",INDEX(Database!$AT$5:$AT$515,MATCH(LARGE('Calc (scoring engine)'!$K$5:$K$515,11),'Calc (scoring engine)'!$K$5:$K$515,0))),""))</f>
        <v/>
      </c>
      <c r="AO31" s="10">
        <f>IF(OR(11&gt;MAX(3,MIN(15,N($D$18))),IFERROR(LARGE('Calc (scoring engine)'!$K$5:$K$515,11),-999999)&lt;=-900000),"",IFERROR(IF(INDEX(Database!$AU$5:$AU$515,MATCH(LARGE('Calc (scoring engine)'!$K$5:$K$515,11),'Calc (scoring engine)'!$K$5:$K$515,0))="","—",INDEX(Database!$AU$5:$AU$515,MATCH(LARGE('Calc (scoring engine)'!$K$5:$K$515,11),'Calc (scoring engine)'!$K$5:$K$515,0))),""))</f>
        <v/>
      </c>
      <c r="AP31" s="24">
        <f>IF(OR(11&gt;MAX(3,MIN(15,N($D$18))),IFERROR(LARGE('Calc (scoring engine)'!$K$5:$K$515,11),-999999)&lt;=-900000),"",IFERROR(IF(N(INDEX(Database!$AV$5:$AV$515,MATCH(LARGE('Calc (scoring engine)'!$K$5:$K$515,11),'Calc (scoring engine)'!$K$5:$K$515,0)))&lt;=0,IF(INDEX(Database!$AU$5:$AU$515,MATCH(LARGE('Calc (scoring engine)'!$K$5:$K$515,11),'Calc (scoring engine)'!$K$5:$K$515,0))="N","n/m","—"),INDEX(Database!$AV$5:$AV$515,MATCH(LARGE('Calc (scoring engine)'!$K$5:$K$515,11),'Calc (scoring engine)'!$K$5:$K$515,0))),""))</f>
        <v/>
      </c>
      <c r="AQ31" s="24">
        <f>IF(OR(11&gt;MAX(3,MIN(15,N($D$18))),IFERROR(LARGE('Calc (scoring engine)'!$K$5:$K$515,11),-999999)&lt;=-900000),"",IFERROR(IF(INDEX(Database!$AW$5:$AW$515,MATCH(LARGE('Calc (scoring engine)'!$K$5:$K$515,11),'Calc (scoring engine)'!$K$5:$K$515,0))="","—",INDEX(Database!$AW$5:$AW$515,MATCH(LARGE('Calc (scoring engine)'!$K$5:$K$515,11),'Calc (scoring engine)'!$K$5:$K$515,0))),""))</f>
        <v/>
      </c>
      <c r="AR31" s="24">
        <f>IF(OR(11&gt;MAX(3,MIN(15,N($D$18))),IFERROR(LARGE('Calc (scoring engine)'!$K$5:$K$515,11),-999999)&lt;=-900000),"",IFERROR(IF(INDEX(Database!$AX$5:$AX$515,MATCH(LARGE('Calc (scoring engine)'!$K$5:$K$515,11),'Calc (scoring engine)'!$K$5:$K$515,0))="","—",INDEX(Database!$AX$5:$AX$515,MATCH(LARGE('Calc (scoring engine)'!$K$5:$K$515,11),'Calc (scoring engine)'!$K$5:$K$515,0))),""))</f>
        <v/>
      </c>
      <c r="AS31" s="24">
        <f>IF(OR(11&gt;MAX(3,MIN(15,N($D$18))),IFERROR(LARGE('Calc (scoring engine)'!$K$5:$K$515,11),-999999)&lt;=-900000),"",IFERROR(IF(INDEX(Database!$AY$5:$AY$515,MATCH(LARGE('Calc (scoring engine)'!$K$5:$K$515,11),'Calc (scoring engine)'!$K$5:$K$515,0))="","—",INDEX(Database!$AY$5:$AY$515,MATCH(LARGE('Calc (scoring engine)'!$K$5:$K$515,11),'Calc (scoring engine)'!$K$5:$K$515,0))),""))</f>
        <v/>
      </c>
      <c r="AT31" s="10">
        <f>IF(OR(11&gt;MAX(3,MIN(15,N($D$18))),IFERROR(LARGE('Calc (scoring engine)'!$K$5:$K$515,11),-999999)&lt;=-900000),"",IFERROR(IF(INDEX(Database!$AZ$5:$AZ$515,MATCH(LARGE('Calc (scoring engine)'!$K$5:$K$515,11),'Calc (scoring engine)'!$K$5:$K$515,0))="","—",INDEX(Database!$AZ$5:$AZ$515,MATCH(LARGE('Calc (scoring engine)'!$K$5:$K$515,11),'Calc (scoring engine)'!$K$5:$K$515,0))),""))</f>
        <v/>
      </c>
      <c r="AU31" s="10">
        <f>IF(OR(11&gt;MAX(3,MIN(15,N($D$18))),IFERROR(LARGE('Calc (scoring engine)'!$K$5:$K$515,11),-999999)&lt;=-900000),"",IFERROR(IF(INDEX(Database!$BA$5:$BA$515,MATCH(LARGE('Calc (scoring engine)'!$K$5:$K$515,11),'Calc (scoring engine)'!$K$5:$K$515,0))="","—",INDEX(Database!$BA$5:$BA$515,MATCH(LARGE('Calc (scoring engine)'!$K$5:$K$515,11),'Calc (scoring engine)'!$K$5:$K$515,0))),""))</f>
        <v/>
      </c>
      <c r="AV31" s="23">
        <f>IF(OR(11&gt;MAX(3,MIN(15,N($D$18))),IFERROR(LARGE('Calc (scoring engine)'!$K$5:$K$515,11),-999999)&lt;=-900000),"",IFERROR(IF(INDEX(Database!$BB$5:$BB$515,MATCH(LARGE('Calc (scoring engine)'!$K$5:$K$515,11),'Calc (scoring engine)'!$K$5:$K$515,0))="","—",INDEX(Database!$BB$5:$BB$515,MATCH(LARGE('Calc (scoring engine)'!$K$5:$K$515,11),'Calc (scoring engine)'!$K$5:$K$515,0))),""))</f>
        <v/>
      </c>
      <c r="AW31" s="39">
        <f>IF(OR(11&gt;MAX(3,MIN(15,N($D$18))),IFERROR(LARGE('Calc (scoring engine)'!$K$5:$K$515,11),-999999)&lt;=-900000),"",IFERROR(IF(INDEX(Database!$BC$5:$BC$515,MATCH(LARGE('Calc (scoring engine)'!$K$5:$K$515,11),'Calc (scoring engine)'!$K$5:$K$515,0))="","—",INDEX(Database!$BC$5:$BC$515,MATCH(LARGE('Calc (scoring engine)'!$K$5:$K$515,11),'Calc (scoring engine)'!$K$5:$K$515,0))),""))</f>
        <v/>
      </c>
      <c r="AX31" s="42">
        <f>IF(OR(11&gt;MAX(3,MIN(15,N($D$18))),IFERROR(LARGE('Calc (scoring engine)'!$K$5:$K$515,11),-999999)&lt;=-900000),"",IFERROR(IF(INDEX(Database!$BD$5:$BD$515,MATCH(LARGE('Calc (scoring engine)'!$K$5:$K$515,11),'Calc (scoring engine)'!$K$5:$K$515,0))="","—",INDEX(Database!$BD$5:$BD$515,MATCH(LARGE('Calc (scoring engine)'!$K$5:$K$515,11),'Calc (scoring engine)'!$K$5:$K$515,0))),""))</f>
        <v/>
      </c>
      <c r="AY31" s="24">
        <f>IF(OR(11&gt;MAX(3,MIN(15,N($D$18))),IFERROR(LARGE('Calc (scoring engine)'!$K$5:$K$515,11),-999999)&lt;=-900000),"",IFERROR(IF(INDEX(Database!$BE$5:$BE$515,MATCH(LARGE('Calc (scoring engine)'!$K$5:$K$515,11),'Calc (scoring engine)'!$K$5:$K$515,0))="","—",INDEX(Database!$BE$5:$BE$515,MATCH(LARGE('Calc (scoring engine)'!$K$5:$K$515,11),'Calc (scoring engine)'!$K$5:$K$515,0))),""))</f>
        <v/>
      </c>
      <c r="AZ31" s="24">
        <f>IF(OR(11&gt;MAX(3,MIN(15,N($D$18))),IFERROR(LARGE('Calc (scoring engine)'!$K$5:$K$515,11),-999999)&lt;=-900000),"",IFERROR(IF(INDEX(Database!$BF$5:$BF$515,MATCH(LARGE('Calc (scoring engine)'!$K$5:$K$515,11),'Calc (scoring engine)'!$K$5:$K$515,0))="","—",INDEX(Database!$BF$5:$BF$515,MATCH(LARGE('Calc (scoring engine)'!$K$5:$K$515,11),'Calc (scoring engine)'!$K$5:$K$515,0))),""))</f>
        <v/>
      </c>
      <c r="BA31" s="10">
        <f>IF(OR(11&gt;MAX(3,MIN(15,N($D$18))),IFERROR(LARGE('Calc (scoring engine)'!$K$5:$K$515,11),-999999)&lt;=-900000),"",IFERROR(IF(INDEX(Database!$BG$5:$BG$515,MATCH(LARGE('Calc (scoring engine)'!$K$5:$K$515,11),'Calc (scoring engine)'!$K$5:$K$515,0))="","—",INDEX(Database!$BG$5:$BG$515,MATCH(LARGE('Calc (scoring engine)'!$K$5:$K$515,11),'Calc (scoring engine)'!$K$5:$K$515,0))),""))</f>
        <v/>
      </c>
      <c r="BB31" s="10">
        <f>IF(OR(11&gt;MAX(3,MIN(15,N($D$18))),IFERROR(LARGE('Calc (scoring engine)'!$K$5:$K$515,11),-999999)&lt;=-900000),"",IFERROR(IF(INDEX(Database!$BI$5:$BI$515,MATCH(LARGE('Calc (scoring engine)'!$K$5:$K$515,11),'Calc (scoring engine)'!$K$5:$K$515,0))="","—",INDEX(Database!$BI$5:$BI$515,MATCH(LARGE('Calc (scoring engine)'!$K$5:$K$515,11),'Calc (scoring engine)'!$K$5:$K$515,0))),""))</f>
        <v/>
      </c>
      <c r="BC31" s="24">
        <f>IF(OR(11&gt;MAX(3,MIN(15,N($D$18))),IFERROR(LARGE('Calc (scoring engine)'!$K$5:$K$515,11),-999999)&lt;=-900000),"",IFERROR(IFERROR(BDP(TEXT(INDEX(Database!$A$5:$A$515,MATCH(LARGE('Calc (scoring engine)'!$K$5:$K$515,11),'Calc (scoring engine)'!$K$5:$K$515,0)),"0")&amp;" HK Equity","PE_RATIO"),IF(INDEX(Database!$AX$5:$AX$515,MATCH(LARGE('Calc (scoring engine)'!$K$5:$K$515,11),'Calc (scoring engine)'!$K$5:$K$515,0))="","—",INDEX(Database!$AX$5:$AX$515,MATCH(LARGE('Calc (scoring engine)'!$K$5:$K$515,11),'Calc (scoring engine)'!$K$5:$K$515,0)))),""))</f>
        <v/>
      </c>
      <c r="BD31" s="24">
        <f>IF(OR(11&gt;MAX(3,MIN(15,N($D$18))),IFERROR(LARGE('Calc (scoring engine)'!$K$5:$K$515,11),-999999)&lt;=-900000),"",IFERROR(IFERROR(BDP(TEXT(INDEX(Database!$A$5:$A$515,MATCH(LARGE('Calc (scoring engine)'!$K$5:$K$515,11),'Calc (scoring engine)'!$K$5:$K$515,0)),"0")&amp;" HK Equity","PX_TO_SALES_RATIO"),IF(INDEX(Database!$AY$5:$AY$515,MATCH(LARGE('Calc (scoring engine)'!$K$5:$K$515,11),'Calc (scoring engine)'!$K$5:$K$515,0))="","—",INDEX(Database!$AY$5:$AY$515,MATCH(LARGE('Calc (scoring engine)'!$K$5:$K$515,11),'Calc (scoring engine)'!$K$5:$K$515,0)))),""))</f>
        <v/>
      </c>
      <c r="BE31" s="43">
        <f>IF(OR(11&gt;MAX(3,MIN(15,N($D$18))),IFERROR(LARGE('Calc (scoring engine)'!$K$5:$K$515,11),-999999)&lt;=-900000),"",IFERROR(IF(INDEX('Calc (scoring engine)'!$H$5:$H$515,MATCH(LARGE('Calc (scoring engine)'!$K$5:$K$515,11),'Calc (scoring engine)'!$K$5:$K$515,0))&gt;0,INDEX('Calc (scoring engine)'!$H$5:$H$515,MATCH(LARGE('Calc (scoring engine)'!$K$5:$K$515,11),'Calc (scoring engine)'!$K$5:$K$515,0)),""),""))</f>
        <v/>
      </c>
      <c r="BF31" s="10">
        <f>IF(OR(11&gt;MAX(3,MIN(15,N($D$18))),IFERROR(LARGE('Calc (scoring engine)'!$K$5:$K$515,11),-999999)&lt;=-900000),"",IF(IFERROR(INDEX('Calc (scoring engine)'!$B$5:$B$515,MATCH(LARGE('Calc (scoring engine)'!$K$5:$K$515,11),'Calc (scoring engine)'!$K$5:$K$515,0)),0)=1,"same subsector","sector only"))</f>
        <v/>
      </c>
      <c r="BG31" s="43">
        <f>IF(OR(11&gt;MAX(3,MIN(15,N($D$18))),IFERROR(LARGE('Calc (scoring engine)'!$K$5:$K$515,11),-999999)&lt;=-900000),"",ROUND(IFERROR(LARGE('Calc (scoring engine)'!$K$5:$K$515,11),0),0))</f>
        <v/>
      </c>
      <c r="BH31" s="10">
        <f>IF(OR(11&gt;MAX(3,MIN(15,N($D$18))),IFERROR(LARGE('Calc (scoring engine)'!$K$5:$K$515,11),-999999)&lt;=-900000),"",IFERROR("sub "&amp;INDEX('Calc (scoring engine)'!$B$5:$B$515,MATCH(LARGE('Calc (scoring engine)'!$K$5:$K$515,11),'Calc (scoring engine)'!$K$5:$K$515,0))*W_SUB&amp;" + size "&amp;ROUND(INDEX('Calc (scoring engine)'!$D$5:$D$515,MATCH(LARGE('Calc (scoring engine)'!$K$5:$K$515,11),'Calc (scoring engine)'!$K$5:$K$515,0))*W_SIZE,0)&amp;" + prof "&amp;INDEX('Calc (scoring engine)'!$E$5:$E$515,MATCH(LARGE('Calc (scoring engine)'!$K$5:$K$515,11),'Calc (scoring engine)'!$K$5:$K$515,0))*W_PROF&amp;" + recency "&amp;ROUND(INDEX('Calc (scoring engine)'!$G$5:$G$515,MATCH(LARGE('Calc (scoring engine)'!$K$5:$K$515,11),'Calc (scoring engine)'!$K$5:$K$515,0))*W_REC,0)&amp;IF(INDEX('Calc (scoring engine)'!$H$5:$H$515,MATCH(LARGE('Calc (scoring engine)'!$K$5:$K$515,11),'Calc (scoring engine)'!$K$5:$K$515,0))&gt;0," + shared CS x"&amp;INDEX('Calc (scoring engine)'!$H$5:$H$515,MATCH(LARGE('Calc (scoring engine)'!$K$5:$K$515,11),'Calc (scoring engine)'!$K$5:$K$515,0)),""),""))</f>
        <v/>
      </c>
    </row>
    <row r="32">
      <c r="A32" s="38">
        <f>IF(OR(12&gt;MAX(3,MIN(15,N($D$18))),IFERROR(LARGE('Calc (scoring engine)'!$K$5:$K$515,12),-999999)&lt;=-900000),"",12)</f>
        <v/>
      </c>
      <c r="B32" s="10">
        <f>IF(OR(12&gt;MAX(3,MIN(15,N($D$18))),IFERROR(LARGE('Calc (scoring engine)'!$K$5:$K$515,12),-999999)&lt;=-900000),"",IFERROR(IF(INDEX(Database!$B$5:$B$515,MATCH(LARGE('Calc (scoring engine)'!$K$5:$K$515,12),'Calc (scoring engine)'!$K$5:$K$515,0))="","—",INDEX(Database!$B$5:$B$515,MATCH(LARGE('Calc (scoring engine)'!$K$5:$K$515,12),'Calc (scoring engine)'!$K$5:$K$515,0))),""))</f>
        <v/>
      </c>
      <c r="C32" s="10">
        <f>IF(OR(12&gt;MAX(3,MIN(15,N($D$18))),IFERROR(LARGE('Calc (scoring engine)'!$K$5:$K$515,12),-999999)&lt;=-900000),"",IFERROR(IF(INDEX(Database!$D$5:$D$515,MATCH(LARGE('Calc (scoring engine)'!$K$5:$K$515,12),'Calc (scoring engine)'!$K$5:$K$515,0))="","—",INDEX(Database!$D$5:$D$515,MATCH(LARGE('Calc (scoring engine)'!$K$5:$K$515,12),'Calc (scoring engine)'!$K$5:$K$515,0))),""))</f>
        <v/>
      </c>
      <c r="D32" s="10">
        <f>IF(OR(12&gt;MAX(3,MIN(15,N($D$18))),IFERROR(LARGE('Calc (scoring engine)'!$K$5:$K$515,12),-999999)&lt;=-900000),"",IFERROR(IF(INDEX(Database!$E$5:$E$515,MATCH(LARGE('Calc (scoring engine)'!$K$5:$K$515,12),'Calc (scoring engine)'!$K$5:$K$515,0))="","—",INDEX(Database!$E$5:$E$515,MATCH(LARGE('Calc (scoring engine)'!$K$5:$K$515,12),'Calc (scoring engine)'!$K$5:$K$515,0))),""))</f>
        <v/>
      </c>
      <c r="E32" s="10">
        <f>IF(OR(12&gt;MAX(3,MIN(15,N($D$18))),IFERROR(LARGE('Calc (scoring engine)'!$K$5:$K$515,12),-999999)&lt;=-900000),"",IFERROR(IF(INDEX(Database!$F$5:$F$515,MATCH(LARGE('Calc (scoring engine)'!$K$5:$K$515,12),'Calc (scoring engine)'!$K$5:$K$515,0))="","—",INDEX(Database!$F$5:$F$515,MATCH(LARGE('Calc (scoring engine)'!$K$5:$K$515,12),'Calc (scoring engine)'!$K$5:$K$515,0))),""))</f>
        <v/>
      </c>
      <c r="F32" s="10">
        <f>IF(OR(12&gt;MAX(3,MIN(15,N($D$18))),IFERROR(LARGE('Calc (scoring engine)'!$K$5:$K$515,12),-999999)&lt;=-900000),"",IFERROR(IF(INDEX(Database!$G$5:$G$515,MATCH(LARGE('Calc (scoring engine)'!$K$5:$K$515,12),'Calc (scoring engine)'!$K$5:$K$515,0))="","—",INDEX(Database!$G$5:$G$515,MATCH(LARGE('Calc (scoring engine)'!$K$5:$K$515,12),'Calc (scoring engine)'!$K$5:$K$515,0))),""))</f>
        <v/>
      </c>
      <c r="G32" s="21">
        <f>IF(OR(12&gt;MAX(3,MIN(15,N($D$18))),IFERROR(LARGE('Calc (scoring engine)'!$K$5:$K$515,12),-999999)&lt;=-900000),"",IFERROR(IF(INDEX(Database!$H$5:$H$515,MATCH(LARGE('Calc (scoring engine)'!$K$5:$K$515,12),'Calc (scoring engine)'!$K$5:$K$515,0))="","—",INDEX(Database!$H$5:$H$515,MATCH(LARGE('Calc (scoring engine)'!$K$5:$K$515,12),'Calc (scoring engine)'!$K$5:$K$515,0))),""))</f>
        <v/>
      </c>
      <c r="H32" s="18">
        <f>IF(OR(12&gt;MAX(3,MIN(15,N($D$18))),IFERROR(LARGE('Calc (scoring engine)'!$K$5:$K$515,12),-999999)&lt;=-900000),"",IFERROR(IF(INDEX(Database!$I$5:$I$515,MATCH(LARGE('Calc (scoring engine)'!$K$5:$K$515,12),'Calc (scoring engine)'!$K$5:$K$515,0))="","—",INDEX(Database!$I$5:$I$515,MATCH(LARGE('Calc (scoring engine)'!$K$5:$K$515,12),'Calc (scoring engine)'!$K$5:$K$515,0))),""))</f>
        <v/>
      </c>
      <c r="I32" s="39">
        <f>IF(OR(12&gt;MAX(3,MIN(15,N($D$18))),IFERROR(LARGE('Calc (scoring engine)'!$K$5:$K$515,12),-999999)&lt;=-900000),"",IFERROR(IF(INDEX(Database!$K$5:$K$515,MATCH(LARGE('Calc (scoring engine)'!$K$5:$K$515,12),'Calc (scoring engine)'!$K$5:$K$515,0))="","—",INDEX(Database!$K$5:$K$515,MATCH(LARGE('Calc (scoring engine)'!$K$5:$K$515,12),'Calc (scoring engine)'!$K$5:$K$515,0))),""))</f>
        <v/>
      </c>
      <c r="J32" s="39">
        <f>IF(OR(12&gt;MAX(3,MIN(15,N($D$18))),IFERROR(LARGE('Calc (scoring engine)'!$K$5:$K$515,12),-999999)&lt;=-900000),"",IFERROR(IF(INDEX(Database!$L$5:$L$515,MATCH(LARGE('Calc (scoring engine)'!$K$5:$K$515,12),'Calc (scoring engine)'!$K$5:$K$515,0))="","—",INDEX(Database!$L$5:$L$515,MATCH(LARGE('Calc (scoring engine)'!$K$5:$K$515,12),'Calc (scoring engine)'!$K$5:$K$515,0))),""))</f>
        <v/>
      </c>
      <c r="K32" s="39">
        <f>IF(OR(12&gt;MAX(3,MIN(15,N($D$18))),IFERROR(LARGE('Calc (scoring engine)'!$K$5:$K$515,12),-999999)&lt;=-900000),"",IFERROR(IF(INDEX(Database!$M$5:$M$515,MATCH(LARGE('Calc (scoring engine)'!$K$5:$K$515,12),'Calc (scoring engine)'!$K$5:$K$515,0))="","—",INDEX(Database!$M$5:$M$515,MATCH(LARGE('Calc (scoring engine)'!$K$5:$K$515,12),'Calc (scoring engine)'!$K$5:$K$515,0))),""))</f>
        <v/>
      </c>
      <c r="L32" s="10">
        <f>IF(OR(12&gt;MAX(3,MIN(15,N($D$18))),IFERROR(LARGE('Calc (scoring engine)'!$K$5:$K$515,12),-999999)&lt;=-900000),"",IFERROR(IF(INDEX(Database!$N$5:$N$515,MATCH(LARGE('Calc (scoring engine)'!$K$5:$K$515,12),'Calc (scoring engine)'!$K$5:$K$515,0))="","—",INDEX(Database!$N$5:$N$515,MATCH(LARGE('Calc (scoring engine)'!$K$5:$K$515,12),'Calc (scoring engine)'!$K$5:$K$515,0))),""))</f>
        <v/>
      </c>
      <c r="M32" s="28">
        <f>IF(OR(12&gt;MAX(3,MIN(15,N($D$18))),IFERROR(LARGE('Calc (scoring engine)'!$K$5:$K$515,12),-999999)&lt;=-900000),"",IFERROR(IF(INDEX(Database!$O$5:$O$515,MATCH(LARGE('Calc (scoring engine)'!$K$5:$K$515,12),'Calc (scoring engine)'!$K$5:$K$515,0))="","—",INDEX(Database!$O$5:$O$515,MATCH(LARGE('Calc (scoring engine)'!$K$5:$K$515,12),'Calc (scoring engine)'!$K$5:$K$515,0))),""))</f>
        <v/>
      </c>
      <c r="N32" s="28">
        <f>IF(OR(12&gt;MAX(3,MIN(15,N($D$18))),IFERROR(LARGE('Calc (scoring engine)'!$K$5:$K$515,12),-999999)&lt;=-900000),"",IFERROR(IF(INDEX(Database!$P$5:$P$515,MATCH(LARGE('Calc (scoring engine)'!$K$5:$K$515,12),'Calc (scoring engine)'!$K$5:$K$515,0))="","—",INDEX(Database!$P$5:$P$515,MATCH(LARGE('Calc (scoring engine)'!$K$5:$K$515,12),'Calc (scoring engine)'!$K$5:$K$515,0))),""))</f>
        <v/>
      </c>
      <c r="O32" s="18">
        <f>IF(OR(12&gt;MAX(3,MIN(15,N($D$18))),IFERROR(LARGE('Calc (scoring engine)'!$K$5:$K$515,12),-999999)&lt;=-900000),"",IFERROR(IF(INDEX(Database!$Q$5:$Q$515,MATCH(LARGE('Calc (scoring engine)'!$K$5:$K$515,12),'Calc (scoring engine)'!$K$5:$K$515,0))="","—",INDEX(Database!$Q$5:$Q$515,MATCH(LARGE('Calc (scoring engine)'!$K$5:$K$515,12),'Calc (scoring engine)'!$K$5:$K$515,0))),""))</f>
        <v/>
      </c>
      <c r="P32" s="26">
        <f>IF(OR(12&gt;MAX(3,MIN(15,N($D$18))),IFERROR(LARGE('Calc (scoring engine)'!$K$5:$K$515,12),-999999)&lt;=-900000),"",IFERROR(IF(INDEX(Database!$S$5:$S$515,MATCH(LARGE('Calc (scoring engine)'!$K$5:$K$515,12),'Calc (scoring engine)'!$K$5:$K$515,0))="","—",INDEX(Database!$S$5:$S$515,MATCH(LARGE('Calc (scoring engine)'!$K$5:$K$515,12),'Calc (scoring engine)'!$K$5:$K$515,0))),""))</f>
        <v/>
      </c>
      <c r="Q32" s="40">
        <f>IF(OR(12&gt;MAX(3,MIN(15,N($D$18))),IFERROR(LARGE('Calc (scoring engine)'!$K$5:$K$515,12),-999999)&lt;=-900000),"",IFERROR(IF(INDEX(Database!$T$5:$T$515,MATCH(LARGE('Calc (scoring engine)'!$K$5:$K$515,12),'Calc (scoring engine)'!$K$5:$K$515,0))="","—",INDEX(Database!$T$5:$T$515,MATCH(LARGE('Calc (scoring engine)'!$K$5:$K$515,12),'Calc (scoring engine)'!$K$5:$K$515,0))),""))</f>
        <v/>
      </c>
      <c r="R32" s="41">
        <f>IF(OR(12&gt;MAX(3,MIN(15,N($D$18))),IFERROR(LARGE('Calc (scoring engine)'!$K$5:$K$515,12),-999999)&lt;=-900000),"",IFERROR(IF(INDEX(Database!$U$5:$U$515,MATCH(LARGE('Calc (scoring engine)'!$K$5:$K$515,12),'Calc (scoring engine)'!$K$5:$K$515,0))="","—",INDEX(Database!$U$5:$U$515,MATCH(LARGE('Calc (scoring engine)'!$K$5:$K$515,12),'Calc (scoring engine)'!$K$5:$K$515,0))),""))</f>
        <v/>
      </c>
      <c r="S32" s="28">
        <f>IF(OR(12&gt;MAX(3,MIN(15,N($D$18))),IFERROR(LARGE('Calc (scoring engine)'!$K$5:$K$515,12),-999999)&lt;=-900000),"",IFERROR(IF(INDEX(Database!$V$5:$V$515,MATCH(LARGE('Calc (scoring engine)'!$K$5:$K$515,12),'Calc (scoring engine)'!$K$5:$K$515,0))="","—",INDEX(Database!$V$5:$V$515,MATCH(LARGE('Calc (scoring engine)'!$K$5:$K$515,12),'Calc (scoring engine)'!$K$5:$K$515,0))),""))</f>
        <v/>
      </c>
      <c r="T32" s="10">
        <f>IF(OR(12&gt;MAX(3,MIN(15,N($D$18))),IFERROR(LARGE('Calc (scoring engine)'!$K$5:$K$515,12),-999999)&lt;=-900000),"",IFERROR(IF(INDEX(Database!$W$5:$W$515,MATCH(LARGE('Calc (scoring engine)'!$K$5:$K$515,12),'Calc (scoring engine)'!$K$5:$K$515,0))="","—",INDEX(Database!$W$5:$W$515,MATCH(LARGE('Calc (scoring engine)'!$K$5:$K$515,12),'Calc (scoring engine)'!$K$5:$K$515,0))),""))</f>
        <v/>
      </c>
      <c r="U32" s="28">
        <f>IF(OR(12&gt;MAX(3,MIN(15,N($D$18))),IFERROR(LARGE('Calc (scoring engine)'!$K$5:$K$515,12),-999999)&lt;=-900000),"",IFERROR(IF(INDEX(Database!$Y$5:$Y$515,MATCH(LARGE('Calc (scoring engine)'!$K$5:$K$515,12),'Calc (scoring engine)'!$K$5:$K$515,0))="","—",INDEX(Database!$Y$5:$Y$515,MATCH(LARGE('Calc (scoring engine)'!$K$5:$K$515,12),'Calc (scoring engine)'!$K$5:$K$515,0))),""))</f>
        <v/>
      </c>
      <c r="V32" s="10">
        <f>IF(OR(12&gt;MAX(3,MIN(15,N($D$18))),IFERROR(LARGE('Calc (scoring engine)'!$K$5:$K$515,12),-999999)&lt;=-900000),"",IFERROR(IF(INDEX(Database!$Z$5:$Z$515,MATCH(LARGE('Calc (scoring engine)'!$K$5:$K$515,12),'Calc (scoring engine)'!$K$5:$K$515,0))="","—",INDEX(Database!$Z$5:$Z$515,MATCH(LARGE('Calc (scoring engine)'!$K$5:$K$515,12),'Calc (scoring engine)'!$K$5:$K$515,0))),""))</f>
        <v/>
      </c>
      <c r="W32" s="23">
        <f>IF(OR(12&gt;MAX(3,MIN(15,N($D$18))),IFERROR(LARGE('Calc (scoring engine)'!$K$5:$K$515,12),-999999)&lt;=-900000),"",IFERROR(IF(INDEX(Database!$AA$5:$AA$515,MATCH(LARGE('Calc (scoring engine)'!$K$5:$K$515,12),'Calc (scoring engine)'!$K$5:$K$515,0))="","—",INDEX(Database!$AA$5:$AA$515,MATCH(LARGE('Calc (scoring engine)'!$K$5:$K$515,12),'Calc (scoring engine)'!$K$5:$K$515,0))),""))</f>
        <v/>
      </c>
      <c r="X32" s="23">
        <f>IF(OR(12&gt;MAX(3,MIN(15,N($D$18))),IFERROR(LARGE('Calc (scoring engine)'!$K$5:$K$515,12),-999999)&lt;=-900000),"",IFERROR(IF(INDEX(Database!$AB$5:$AB$515,MATCH(LARGE('Calc (scoring engine)'!$K$5:$K$515,12),'Calc (scoring engine)'!$K$5:$K$515,0))="","—",INDEX(Database!$AB$5:$AB$515,MATCH(LARGE('Calc (scoring engine)'!$K$5:$K$515,12),'Calc (scoring engine)'!$K$5:$K$515,0))),""))</f>
        <v/>
      </c>
      <c r="Y32" s="23">
        <f>IF(OR(12&gt;MAX(3,MIN(15,N($D$18))),IFERROR(LARGE('Calc (scoring engine)'!$K$5:$K$515,12),-999999)&lt;=-900000),"",IFERROR(IF(INDEX(Database!$AC$5:$AC$515,MATCH(LARGE('Calc (scoring engine)'!$K$5:$K$515,12),'Calc (scoring engine)'!$K$5:$K$515,0))="","—",INDEX(Database!$AC$5:$AC$515,MATCH(LARGE('Calc (scoring engine)'!$K$5:$K$515,12),'Calc (scoring engine)'!$K$5:$K$515,0))),""))</f>
        <v/>
      </c>
      <c r="Z32" s="23">
        <f>IF(OR(12&gt;MAX(3,MIN(15,N($D$18))),IFERROR(LARGE('Calc (scoring engine)'!$K$5:$K$515,12),-999999)&lt;=-900000),"",IFERROR(IF(INDEX(Database!$AD$5:$AD$515,MATCH(LARGE('Calc (scoring engine)'!$K$5:$K$515,12),'Calc (scoring engine)'!$K$5:$K$515,0))="","—",INDEX(Database!$AD$5:$AD$515,MATCH(LARGE('Calc (scoring engine)'!$K$5:$K$515,12),'Calc (scoring engine)'!$K$5:$K$515,0))),""))</f>
        <v/>
      </c>
      <c r="AA32" s="23">
        <f>IF(OR(12&gt;MAX(3,MIN(15,N($D$18))),IFERROR(LARGE('Calc (scoring engine)'!$K$5:$K$515,12),-999999)&lt;=-900000),"",IFERROR(IF(INDEX(Database!$AE$5:$AE$515,MATCH(LARGE('Calc (scoring engine)'!$K$5:$K$515,12),'Calc (scoring engine)'!$K$5:$K$515,0))="","—",INDEX(Database!$AE$5:$AE$515,MATCH(LARGE('Calc (scoring engine)'!$K$5:$K$515,12),'Calc (scoring engine)'!$K$5:$K$515,0))),""))</f>
        <v/>
      </c>
      <c r="AB32" s="23">
        <f>IF(OR(12&gt;MAX(3,MIN(15,N($D$18))),IFERROR(LARGE('Calc (scoring engine)'!$K$5:$K$515,12),-999999)&lt;=-900000),"",IFERROR(IF(INDEX(Database!$AF$5:$AF$515,MATCH(LARGE('Calc (scoring engine)'!$K$5:$K$515,12),'Calc (scoring engine)'!$K$5:$K$515,0))="","—",INDEX(Database!$AF$5:$AF$515,MATCH(LARGE('Calc (scoring engine)'!$K$5:$K$515,12),'Calc (scoring engine)'!$K$5:$K$515,0))),""))</f>
        <v/>
      </c>
      <c r="AC32" s="23">
        <f>IF(OR(12&gt;MAX(3,MIN(15,N($D$18))),IFERROR(LARGE('Calc (scoring engine)'!$K$5:$K$515,12),-999999)&lt;=-900000),"",IFERROR(IF(INDEX(Database!$AG$5:$AG$515,MATCH(LARGE('Calc (scoring engine)'!$K$5:$K$515,12),'Calc (scoring engine)'!$K$5:$K$515,0))="","—",INDEX(Database!$AG$5:$AG$515,MATCH(LARGE('Calc (scoring engine)'!$K$5:$K$515,12),'Calc (scoring engine)'!$K$5:$K$515,0))),""))</f>
        <v/>
      </c>
      <c r="AD32" s="23">
        <f>IF(OR(12&gt;MAX(3,MIN(15,N($D$18))),IFERROR(LARGE('Calc (scoring engine)'!$K$5:$K$515,12),-999999)&lt;=-900000),"",IFERROR(IF(INDEX(Database!$AH$5:$AH$515,MATCH(LARGE('Calc (scoring engine)'!$K$5:$K$515,12),'Calc (scoring engine)'!$K$5:$K$515,0))="","—",INDEX(Database!$AH$5:$AH$515,MATCH(LARGE('Calc (scoring engine)'!$K$5:$K$515,12),'Calc (scoring engine)'!$K$5:$K$515,0))),""))</f>
        <v/>
      </c>
      <c r="AE32" s="23">
        <f>IF(OR(12&gt;MAX(3,MIN(15,N($D$18))),IFERROR(LARGE('Calc (scoring engine)'!$K$5:$K$515,12),-999999)&lt;=-900000),"",IFERROR(IF(INDEX(Database!$AI$5:$AI$515,MATCH(LARGE('Calc (scoring engine)'!$K$5:$K$515,12),'Calc (scoring engine)'!$K$5:$K$515,0))="","—",INDEX(Database!$AI$5:$AI$515,MATCH(LARGE('Calc (scoring engine)'!$K$5:$K$515,12),'Calc (scoring engine)'!$K$5:$K$515,0))),""))</f>
        <v/>
      </c>
      <c r="AF32" s="23">
        <f>IF(OR(12&gt;MAX(3,MIN(15,N($D$18))),IFERROR(LARGE('Calc (scoring engine)'!$K$5:$K$515,12),-999999)&lt;=-900000),"",IFERROR(IF(INDEX(Database!$AJ$5:$AJ$515,MATCH(LARGE('Calc (scoring engine)'!$K$5:$K$515,12),'Calc (scoring engine)'!$K$5:$K$515,0))="","—",INDEX(Database!$AJ$5:$AJ$515,MATCH(LARGE('Calc (scoring engine)'!$K$5:$K$515,12),'Calc (scoring engine)'!$K$5:$K$515,0))),""))</f>
        <v/>
      </c>
      <c r="AG32" s="23">
        <f>IF(OR(12&gt;MAX(3,MIN(15,N($D$18))),IFERROR(LARGE('Calc (scoring engine)'!$K$5:$K$515,12),-999999)&lt;=-900000),"",IFERROR(IF(INDEX(Database!$AK$5:$AK$515,MATCH(LARGE('Calc (scoring engine)'!$K$5:$K$515,12),'Calc (scoring engine)'!$K$5:$K$515,0))="","—",INDEX(Database!$AK$5:$AK$515,MATCH(LARGE('Calc (scoring engine)'!$K$5:$K$515,12),'Calc (scoring engine)'!$K$5:$K$515,0))),""))</f>
        <v/>
      </c>
      <c r="AH32" s="23">
        <f>IF(OR(12&gt;MAX(3,MIN(15,N($D$18))),IFERROR(LARGE('Calc (scoring engine)'!$K$5:$K$515,12),-999999)&lt;=-900000),"",IFERROR(IF(INDEX(Database!$AL$5:$AL$515,MATCH(LARGE('Calc (scoring engine)'!$K$5:$K$515,12),'Calc (scoring engine)'!$K$5:$K$515,0))="","—",INDEX(Database!$AL$5:$AL$515,MATCH(LARGE('Calc (scoring engine)'!$K$5:$K$515,12),'Calc (scoring engine)'!$K$5:$K$515,0))),""))</f>
        <v/>
      </c>
      <c r="AI32" s="23">
        <f>IF(OR(12&gt;MAX(3,MIN(15,N($D$18))),IFERROR(LARGE('Calc (scoring engine)'!$K$5:$K$515,12),-999999)&lt;=-900000),"",IFERROR(IF(INDEX(Database!$AM$5:$AM$515,MATCH(LARGE('Calc (scoring engine)'!$K$5:$K$515,12),'Calc (scoring engine)'!$K$5:$K$515,0))="","—",INDEX(Database!$AM$5:$AM$515,MATCH(LARGE('Calc (scoring engine)'!$K$5:$K$515,12),'Calc (scoring engine)'!$K$5:$K$515,0))),""))</f>
        <v/>
      </c>
      <c r="AJ32" s="23">
        <f>IF(OR(12&gt;MAX(3,MIN(15,N($D$18))),IFERROR(LARGE('Calc (scoring engine)'!$K$5:$K$515,12),-999999)&lt;=-900000),"",IFERROR(IF(INDEX(Database!$AN$5:$AN$515,MATCH(LARGE('Calc (scoring engine)'!$K$5:$K$515,12),'Calc (scoring engine)'!$K$5:$K$515,0))="","—",INDEX(Database!$AN$5:$AN$515,MATCH(LARGE('Calc (scoring engine)'!$K$5:$K$515,12),'Calc (scoring engine)'!$K$5:$K$515,0))),""))</f>
        <v/>
      </c>
      <c r="AK32" s="23">
        <f>IF(OR(12&gt;MAX(3,MIN(15,N($D$18))),IFERROR(LARGE('Calc (scoring engine)'!$K$5:$K$515,12),-999999)&lt;=-900000),"",IFERROR(IF(INDEX(Database!$AO$5:$AO$515,MATCH(LARGE('Calc (scoring engine)'!$K$5:$K$515,12),'Calc (scoring engine)'!$K$5:$K$515,0))="","—",INDEX(Database!$AO$5:$AO$515,MATCH(LARGE('Calc (scoring engine)'!$K$5:$K$515,12),'Calc (scoring engine)'!$K$5:$K$515,0))),""))</f>
        <v/>
      </c>
      <c r="AL32" s="23">
        <f>IF(OR(12&gt;MAX(3,MIN(15,N($D$18))),IFERROR(LARGE('Calc (scoring engine)'!$K$5:$K$515,12),-999999)&lt;=-900000),"",IFERROR(IF(INDEX(Database!$AQ$5:$AQ$515,MATCH(LARGE('Calc (scoring engine)'!$K$5:$K$515,12),'Calc (scoring engine)'!$K$5:$K$515,0))="","—",INDEX(Database!$AQ$5:$AQ$515,MATCH(LARGE('Calc (scoring engine)'!$K$5:$K$515,12),'Calc (scoring engine)'!$K$5:$K$515,0))),""))</f>
        <v/>
      </c>
      <c r="AM32" s="18">
        <f>IF(OR(12&gt;MAX(3,MIN(15,N($D$18))),IFERROR(LARGE('Calc (scoring engine)'!$K$5:$K$515,12),-999999)&lt;=-900000),"",IFERROR(IF(INDEX(Database!$AS$5:$AS$515,MATCH(LARGE('Calc (scoring engine)'!$K$5:$K$515,12),'Calc (scoring engine)'!$K$5:$K$515,0))="","—",INDEX(Database!$AS$5:$AS$515,MATCH(LARGE('Calc (scoring engine)'!$K$5:$K$515,12),'Calc (scoring engine)'!$K$5:$K$515,0))),""))</f>
        <v/>
      </c>
      <c r="AN32" s="18">
        <f>IF(OR(12&gt;MAX(3,MIN(15,N($D$18))),IFERROR(LARGE('Calc (scoring engine)'!$K$5:$K$515,12),-999999)&lt;=-900000),"",IFERROR(IF(INDEX(Database!$AT$5:$AT$515,MATCH(LARGE('Calc (scoring engine)'!$K$5:$K$515,12),'Calc (scoring engine)'!$K$5:$K$515,0))="","—",INDEX(Database!$AT$5:$AT$515,MATCH(LARGE('Calc (scoring engine)'!$K$5:$K$515,12),'Calc (scoring engine)'!$K$5:$K$515,0))),""))</f>
        <v/>
      </c>
      <c r="AO32" s="10">
        <f>IF(OR(12&gt;MAX(3,MIN(15,N($D$18))),IFERROR(LARGE('Calc (scoring engine)'!$K$5:$K$515,12),-999999)&lt;=-900000),"",IFERROR(IF(INDEX(Database!$AU$5:$AU$515,MATCH(LARGE('Calc (scoring engine)'!$K$5:$K$515,12),'Calc (scoring engine)'!$K$5:$K$515,0))="","—",INDEX(Database!$AU$5:$AU$515,MATCH(LARGE('Calc (scoring engine)'!$K$5:$K$515,12),'Calc (scoring engine)'!$K$5:$K$515,0))),""))</f>
        <v/>
      </c>
      <c r="AP32" s="24">
        <f>IF(OR(12&gt;MAX(3,MIN(15,N($D$18))),IFERROR(LARGE('Calc (scoring engine)'!$K$5:$K$515,12),-999999)&lt;=-900000),"",IFERROR(IF(N(INDEX(Database!$AV$5:$AV$515,MATCH(LARGE('Calc (scoring engine)'!$K$5:$K$515,12),'Calc (scoring engine)'!$K$5:$K$515,0)))&lt;=0,IF(INDEX(Database!$AU$5:$AU$515,MATCH(LARGE('Calc (scoring engine)'!$K$5:$K$515,12),'Calc (scoring engine)'!$K$5:$K$515,0))="N","n/m","—"),INDEX(Database!$AV$5:$AV$515,MATCH(LARGE('Calc (scoring engine)'!$K$5:$K$515,12),'Calc (scoring engine)'!$K$5:$K$515,0))),""))</f>
        <v/>
      </c>
      <c r="AQ32" s="24">
        <f>IF(OR(12&gt;MAX(3,MIN(15,N($D$18))),IFERROR(LARGE('Calc (scoring engine)'!$K$5:$K$515,12),-999999)&lt;=-900000),"",IFERROR(IF(INDEX(Database!$AW$5:$AW$515,MATCH(LARGE('Calc (scoring engine)'!$K$5:$K$515,12),'Calc (scoring engine)'!$K$5:$K$515,0))="","—",INDEX(Database!$AW$5:$AW$515,MATCH(LARGE('Calc (scoring engine)'!$K$5:$K$515,12),'Calc (scoring engine)'!$K$5:$K$515,0))),""))</f>
        <v/>
      </c>
      <c r="AR32" s="24">
        <f>IF(OR(12&gt;MAX(3,MIN(15,N($D$18))),IFERROR(LARGE('Calc (scoring engine)'!$K$5:$K$515,12),-999999)&lt;=-900000),"",IFERROR(IF(INDEX(Database!$AX$5:$AX$515,MATCH(LARGE('Calc (scoring engine)'!$K$5:$K$515,12),'Calc (scoring engine)'!$K$5:$K$515,0))="","—",INDEX(Database!$AX$5:$AX$515,MATCH(LARGE('Calc (scoring engine)'!$K$5:$K$515,12),'Calc (scoring engine)'!$K$5:$K$515,0))),""))</f>
        <v/>
      </c>
      <c r="AS32" s="24">
        <f>IF(OR(12&gt;MAX(3,MIN(15,N($D$18))),IFERROR(LARGE('Calc (scoring engine)'!$K$5:$K$515,12),-999999)&lt;=-900000),"",IFERROR(IF(INDEX(Database!$AY$5:$AY$515,MATCH(LARGE('Calc (scoring engine)'!$K$5:$K$515,12),'Calc (scoring engine)'!$K$5:$K$515,0))="","—",INDEX(Database!$AY$5:$AY$515,MATCH(LARGE('Calc (scoring engine)'!$K$5:$K$515,12),'Calc (scoring engine)'!$K$5:$K$515,0))),""))</f>
        <v/>
      </c>
      <c r="AT32" s="10">
        <f>IF(OR(12&gt;MAX(3,MIN(15,N($D$18))),IFERROR(LARGE('Calc (scoring engine)'!$K$5:$K$515,12),-999999)&lt;=-900000),"",IFERROR(IF(INDEX(Database!$AZ$5:$AZ$515,MATCH(LARGE('Calc (scoring engine)'!$K$5:$K$515,12),'Calc (scoring engine)'!$K$5:$K$515,0))="","—",INDEX(Database!$AZ$5:$AZ$515,MATCH(LARGE('Calc (scoring engine)'!$K$5:$K$515,12),'Calc (scoring engine)'!$K$5:$K$515,0))),""))</f>
        <v/>
      </c>
      <c r="AU32" s="10">
        <f>IF(OR(12&gt;MAX(3,MIN(15,N($D$18))),IFERROR(LARGE('Calc (scoring engine)'!$K$5:$K$515,12),-999999)&lt;=-900000),"",IFERROR(IF(INDEX(Database!$BA$5:$BA$515,MATCH(LARGE('Calc (scoring engine)'!$K$5:$K$515,12),'Calc (scoring engine)'!$K$5:$K$515,0))="","—",INDEX(Database!$BA$5:$BA$515,MATCH(LARGE('Calc (scoring engine)'!$K$5:$K$515,12),'Calc (scoring engine)'!$K$5:$K$515,0))),""))</f>
        <v/>
      </c>
      <c r="AV32" s="23">
        <f>IF(OR(12&gt;MAX(3,MIN(15,N($D$18))),IFERROR(LARGE('Calc (scoring engine)'!$K$5:$K$515,12),-999999)&lt;=-900000),"",IFERROR(IF(INDEX(Database!$BB$5:$BB$515,MATCH(LARGE('Calc (scoring engine)'!$K$5:$K$515,12),'Calc (scoring engine)'!$K$5:$K$515,0))="","—",INDEX(Database!$BB$5:$BB$515,MATCH(LARGE('Calc (scoring engine)'!$K$5:$K$515,12),'Calc (scoring engine)'!$K$5:$K$515,0))),""))</f>
        <v/>
      </c>
      <c r="AW32" s="39">
        <f>IF(OR(12&gt;MAX(3,MIN(15,N($D$18))),IFERROR(LARGE('Calc (scoring engine)'!$K$5:$K$515,12),-999999)&lt;=-900000),"",IFERROR(IF(INDEX(Database!$BC$5:$BC$515,MATCH(LARGE('Calc (scoring engine)'!$K$5:$K$515,12),'Calc (scoring engine)'!$K$5:$K$515,0))="","—",INDEX(Database!$BC$5:$BC$515,MATCH(LARGE('Calc (scoring engine)'!$K$5:$K$515,12),'Calc (scoring engine)'!$K$5:$K$515,0))),""))</f>
        <v/>
      </c>
      <c r="AX32" s="42">
        <f>IF(OR(12&gt;MAX(3,MIN(15,N($D$18))),IFERROR(LARGE('Calc (scoring engine)'!$K$5:$K$515,12),-999999)&lt;=-900000),"",IFERROR(IF(INDEX(Database!$BD$5:$BD$515,MATCH(LARGE('Calc (scoring engine)'!$K$5:$K$515,12),'Calc (scoring engine)'!$K$5:$K$515,0))="","—",INDEX(Database!$BD$5:$BD$515,MATCH(LARGE('Calc (scoring engine)'!$K$5:$K$515,12),'Calc (scoring engine)'!$K$5:$K$515,0))),""))</f>
        <v/>
      </c>
      <c r="AY32" s="24">
        <f>IF(OR(12&gt;MAX(3,MIN(15,N($D$18))),IFERROR(LARGE('Calc (scoring engine)'!$K$5:$K$515,12),-999999)&lt;=-900000),"",IFERROR(IF(INDEX(Database!$BE$5:$BE$515,MATCH(LARGE('Calc (scoring engine)'!$K$5:$K$515,12),'Calc (scoring engine)'!$K$5:$K$515,0))="","—",INDEX(Database!$BE$5:$BE$515,MATCH(LARGE('Calc (scoring engine)'!$K$5:$K$515,12),'Calc (scoring engine)'!$K$5:$K$515,0))),""))</f>
        <v/>
      </c>
      <c r="AZ32" s="24">
        <f>IF(OR(12&gt;MAX(3,MIN(15,N($D$18))),IFERROR(LARGE('Calc (scoring engine)'!$K$5:$K$515,12),-999999)&lt;=-900000),"",IFERROR(IF(INDEX(Database!$BF$5:$BF$515,MATCH(LARGE('Calc (scoring engine)'!$K$5:$K$515,12),'Calc (scoring engine)'!$K$5:$K$515,0))="","—",INDEX(Database!$BF$5:$BF$515,MATCH(LARGE('Calc (scoring engine)'!$K$5:$K$515,12),'Calc (scoring engine)'!$K$5:$K$515,0))),""))</f>
        <v/>
      </c>
      <c r="BA32" s="10">
        <f>IF(OR(12&gt;MAX(3,MIN(15,N($D$18))),IFERROR(LARGE('Calc (scoring engine)'!$K$5:$K$515,12),-999999)&lt;=-900000),"",IFERROR(IF(INDEX(Database!$BG$5:$BG$515,MATCH(LARGE('Calc (scoring engine)'!$K$5:$K$515,12),'Calc (scoring engine)'!$K$5:$K$515,0))="","—",INDEX(Database!$BG$5:$BG$515,MATCH(LARGE('Calc (scoring engine)'!$K$5:$K$515,12),'Calc (scoring engine)'!$K$5:$K$515,0))),""))</f>
        <v/>
      </c>
      <c r="BB32" s="10">
        <f>IF(OR(12&gt;MAX(3,MIN(15,N($D$18))),IFERROR(LARGE('Calc (scoring engine)'!$K$5:$K$515,12),-999999)&lt;=-900000),"",IFERROR(IF(INDEX(Database!$BI$5:$BI$515,MATCH(LARGE('Calc (scoring engine)'!$K$5:$K$515,12),'Calc (scoring engine)'!$K$5:$K$515,0))="","—",INDEX(Database!$BI$5:$BI$515,MATCH(LARGE('Calc (scoring engine)'!$K$5:$K$515,12),'Calc (scoring engine)'!$K$5:$K$515,0))),""))</f>
        <v/>
      </c>
      <c r="BC32" s="24">
        <f>IF(OR(12&gt;MAX(3,MIN(15,N($D$18))),IFERROR(LARGE('Calc (scoring engine)'!$K$5:$K$515,12),-999999)&lt;=-900000),"",IFERROR(IFERROR(BDP(TEXT(INDEX(Database!$A$5:$A$515,MATCH(LARGE('Calc (scoring engine)'!$K$5:$K$515,12),'Calc (scoring engine)'!$K$5:$K$515,0)),"0")&amp;" HK Equity","PE_RATIO"),IF(INDEX(Database!$AX$5:$AX$515,MATCH(LARGE('Calc (scoring engine)'!$K$5:$K$515,12),'Calc (scoring engine)'!$K$5:$K$515,0))="","—",INDEX(Database!$AX$5:$AX$515,MATCH(LARGE('Calc (scoring engine)'!$K$5:$K$515,12),'Calc (scoring engine)'!$K$5:$K$515,0)))),""))</f>
        <v/>
      </c>
      <c r="BD32" s="24">
        <f>IF(OR(12&gt;MAX(3,MIN(15,N($D$18))),IFERROR(LARGE('Calc (scoring engine)'!$K$5:$K$515,12),-999999)&lt;=-900000),"",IFERROR(IFERROR(BDP(TEXT(INDEX(Database!$A$5:$A$515,MATCH(LARGE('Calc (scoring engine)'!$K$5:$K$515,12),'Calc (scoring engine)'!$K$5:$K$515,0)),"0")&amp;" HK Equity","PX_TO_SALES_RATIO"),IF(INDEX(Database!$AY$5:$AY$515,MATCH(LARGE('Calc (scoring engine)'!$K$5:$K$515,12),'Calc (scoring engine)'!$K$5:$K$515,0))="","—",INDEX(Database!$AY$5:$AY$515,MATCH(LARGE('Calc (scoring engine)'!$K$5:$K$515,12),'Calc (scoring engine)'!$K$5:$K$515,0)))),""))</f>
        <v/>
      </c>
      <c r="BE32" s="43">
        <f>IF(OR(12&gt;MAX(3,MIN(15,N($D$18))),IFERROR(LARGE('Calc (scoring engine)'!$K$5:$K$515,12),-999999)&lt;=-900000),"",IFERROR(IF(INDEX('Calc (scoring engine)'!$H$5:$H$515,MATCH(LARGE('Calc (scoring engine)'!$K$5:$K$515,12),'Calc (scoring engine)'!$K$5:$K$515,0))&gt;0,INDEX('Calc (scoring engine)'!$H$5:$H$515,MATCH(LARGE('Calc (scoring engine)'!$K$5:$K$515,12),'Calc (scoring engine)'!$K$5:$K$515,0)),""),""))</f>
        <v/>
      </c>
      <c r="BF32" s="10">
        <f>IF(OR(12&gt;MAX(3,MIN(15,N($D$18))),IFERROR(LARGE('Calc (scoring engine)'!$K$5:$K$515,12),-999999)&lt;=-900000),"",IF(IFERROR(INDEX('Calc (scoring engine)'!$B$5:$B$515,MATCH(LARGE('Calc (scoring engine)'!$K$5:$K$515,12),'Calc (scoring engine)'!$K$5:$K$515,0)),0)=1,"same subsector","sector only"))</f>
        <v/>
      </c>
      <c r="BG32" s="43">
        <f>IF(OR(12&gt;MAX(3,MIN(15,N($D$18))),IFERROR(LARGE('Calc (scoring engine)'!$K$5:$K$515,12),-999999)&lt;=-900000),"",ROUND(IFERROR(LARGE('Calc (scoring engine)'!$K$5:$K$515,12),0),0))</f>
        <v/>
      </c>
      <c r="BH32" s="10">
        <f>IF(OR(12&gt;MAX(3,MIN(15,N($D$18))),IFERROR(LARGE('Calc (scoring engine)'!$K$5:$K$515,12),-999999)&lt;=-900000),"",IFERROR("sub "&amp;INDEX('Calc (scoring engine)'!$B$5:$B$515,MATCH(LARGE('Calc (scoring engine)'!$K$5:$K$515,12),'Calc (scoring engine)'!$K$5:$K$515,0))*W_SUB&amp;" + size "&amp;ROUND(INDEX('Calc (scoring engine)'!$D$5:$D$515,MATCH(LARGE('Calc (scoring engine)'!$K$5:$K$515,12),'Calc (scoring engine)'!$K$5:$K$515,0))*W_SIZE,0)&amp;" + prof "&amp;INDEX('Calc (scoring engine)'!$E$5:$E$515,MATCH(LARGE('Calc (scoring engine)'!$K$5:$K$515,12),'Calc (scoring engine)'!$K$5:$K$515,0))*W_PROF&amp;" + recency "&amp;ROUND(INDEX('Calc (scoring engine)'!$G$5:$G$515,MATCH(LARGE('Calc (scoring engine)'!$K$5:$K$515,12),'Calc (scoring engine)'!$K$5:$K$515,0))*W_REC,0)&amp;IF(INDEX('Calc (scoring engine)'!$H$5:$H$515,MATCH(LARGE('Calc (scoring engine)'!$K$5:$K$515,12),'Calc (scoring engine)'!$K$5:$K$515,0))&gt;0," + shared CS x"&amp;INDEX('Calc (scoring engine)'!$H$5:$H$515,MATCH(LARGE('Calc (scoring engine)'!$K$5:$K$515,12),'Calc (scoring engine)'!$K$5:$K$515,0)),""),""))</f>
        <v/>
      </c>
    </row>
    <row r="33">
      <c r="A33" s="38">
        <f>IF(OR(13&gt;MAX(3,MIN(15,N($D$18))),IFERROR(LARGE('Calc (scoring engine)'!$K$5:$K$515,13),-999999)&lt;=-900000),"",13)</f>
        <v/>
      </c>
      <c r="B33" s="10">
        <f>IF(OR(13&gt;MAX(3,MIN(15,N($D$18))),IFERROR(LARGE('Calc (scoring engine)'!$K$5:$K$515,13),-999999)&lt;=-900000),"",IFERROR(IF(INDEX(Database!$B$5:$B$515,MATCH(LARGE('Calc (scoring engine)'!$K$5:$K$515,13),'Calc (scoring engine)'!$K$5:$K$515,0))="","—",INDEX(Database!$B$5:$B$515,MATCH(LARGE('Calc (scoring engine)'!$K$5:$K$515,13),'Calc (scoring engine)'!$K$5:$K$515,0))),""))</f>
        <v/>
      </c>
      <c r="C33" s="10">
        <f>IF(OR(13&gt;MAX(3,MIN(15,N($D$18))),IFERROR(LARGE('Calc (scoring engine)'!$K$5:$K$515,13),-999999)&lt;=-900000),"",IFERROR(IF(INDEX(Database!$D$5:$D$515,MATCH(LARGE('Calc (scoring engine)'!$K$5:$K$515,13),'Calc (scoring engine)'!$K$5:$K$515,0))="","—",INDEX(Database!$D$5:$D$515,MATCH(LARGE('Calc (scoring engine)'!$K$5:$K$515,13),'Calc (scoring engine)'!$K$5:$K$515,0))),""))</f>
        <v/>
      </c>
      <c r="D33" s="10">
        <f>IF(OR(13&gt;MAX(3,MIN(15,N($D$18))),IFERROR(LARGE('Calc (scoring engine)'!$K$5:$K$515,13),-999999)&lt;=-900000),"",IFERROR(IF(INDEX(Database!$E$5:$E$515,MATCH(LARGE('Calc (scoring engine)'!$K$5:$K$515,13),'Calc (scoring engine)'!$K$5:$K$515,0))="","—",INDEX(Database!$E$5:$E$515,MATCH(LARGE('Calc (scoring engine)'!$K$5:$K$515,13),'Calc (scoring engine)'!$K$5:$K$515,0))),""))</f>
        <v/>
      </c>
      <c r="E33" s="10">
        <f>IF(OR(13&gt;MAX(3,MIN(15,N($D$18))),IFERROR(LARGE('Calc (scoring engine)'!$K$5:$K$515,13),-999999)&lt;=-900000),"",IFERROR(IF(INDEX(Database!$F$5:$F$515,MATCH(LARGE('Calc (scoring engine)'!$K$5:$K$515,13),'Calc (scoring engine)'!$K$5:$K$515,0))="","—",INDEX(Database!$F$5:$F$515,MATCH(LARGE('Calc (scoring engine)'!$K$5:$K$515,13),'Calc (scoring engine)'!$K$5:$K$515,0))),""))</f>
        <v/>
      </c>
      <c r="F33" s="10">
        <f>IF(OR(13&gt;MAX(3,MIN(15,N($D$18))),IFERROR(LARGE('Calc (scoring engine)'!$K$5:$K$515,13),-999999)&lt;=-900000),"",IFERROR(IF(INDEX(Database!$G$5:$G$515,MATCH(LARGE('Calc (scoring engine)'!$K$5:$K$515,13),'Calc (scoring engine)'!$K$5:$K$515,0))="","—",INDEX(Database!$G$5:$G$515,MATCH(LARGE('Calc (scoring engine)'!$K$5:$K$515,13),'Calc (scoring engine)'!$K$5:$K$515,0))),""))</f>
        <v/>
      </c>
      <c r="G33" s="21">
        <f>IF(OR(13&gt;MAX(3,MIN(15,N($D$18))),IFERROR(LARGE('Calc (scoring engine)'!$K$5:$K$515,13),-999999)&lt;=-900000),"",IFERROR(IF(INDEX(Database!$H$5:$H$515,MATCH(LARGE('Calc (scoring engine)'!$K$5:$K$515,13),'Calc (scoring engine)'!$K$5:$K$515,0))="","—",INDEX(Database!$H$5:$H$515,MATCH(LARGE('Calc (scoring engine)'!$K$5:$K$515,13),'Calc (scoring engine)'!$K$5:$K$515,0))),""))</f>
        <v/>
      </c>
      <c r="H33" s="18">
        <f>IF(OR(13&gt;MAX(3,MIN(15,N($D$18))),IFERROR(LARGE('Calc (scoring engine)'!$K$5:$K$515,13),-999999)&lt;=-900000),"",IFERROR(IF(INDEX(Database!$I$5:$I$515,MATCH(LARGE('Calc (scoring engine)'!$K$5:$K$515,13),'Calc (scoring engine)'!$K$5:$K$515,0))="","—",INDEX(Database!$I$5:$I$515,MATCH(LARGE('Calc (scoring engine)'!$K$5:$K$515,13),'Calc (scoring engine)'!$K$5:$K$515,0))),""))</f>
        <v/>
      </c>
      <c r="I33" s="39">
        <f>IF(OR(13&gt;MAX(3,MIN(15,N($D$18))),IFERROR(LARGE('Calc (scoring engine)'!$K$5:$K$515,13),-999999)&lt;=-900000),"",IFERROR(IF(INDEX(Database!$K$5:$K$515,MATCH(LARGE('Calc (scoring engine)'!$K$5:$K$515,13),'Calc (scoring engine)'!$K$5:$K$515,0))="","—",INDEX(Database!$K$5:$K$515,MATCH(LARGE('Calc (scoring engine)'!$K$5:$K$515,13),'Calc (scoring engine)'!$K$5:$K$515,0))),""))</f>
        <v/>
      </c>
      <c r="J33" s="39">
        <f>IF(OR(13&gt;MAX(3,MIN(15,N($D$18))),IFERROR(LARGE('Calc (scoring engine)'!$K$5:$K$515,13),-999999)&lt;=-900000),"",IFERROR(IF(INDEX(Database!$L$5:$L$515,MATCH(LARGE('Calc (scoring engine)'!$K$5:$K$515,13),'Calc (scoring engine)'!$K$5:$K$515,0))="","—",INDEX(Database!$L$5:$L$515,MATCH(LARGE('Calc (scoring engine)'!$K$5:$K$515,13),'Calc (scoring engine)'!$K$5:$K$515,0))),""))</f>
        <v/>
      </c>
      <c r="K33" s="39">
        <f>IF(OR(13&gt;MAX(3,MIN(15,N($D$18))),IFERROR(LARGE('Calc (scoring engine)'!$K$5:$K$515,13),-999999)&lt;=-900000),"",IFERROR(IF(INDEX(Database!$M$5:$M$515,MATCH(LARGE('Calc (scoring engine)'!$K$5:$K$515,13),'Calc (scoring engine)'!$K$5:$K$515,0))="","—",INDEX(Database!$M$5:$M$515,MATCH(LARGE('Calc (scoring engine)'!$K$5:$K$515,13),'Calc (scoring engine)'!$K$5:$K$515,0))),""))</f>
        <v/>
      </c>
      <c r="L33" s="10">
        <f>IF(OR(13&gt;MAX(3,MIN(15,N($D$18))),IFERROR(LARGE('Calc (scoring engine)'!$K$5:$K$515,13),-999999)&lt;=-900000),"",IFERROR(IF(INDEX(Database!$N$5:$N$515,MATCH(LARGE('Calc (scoring engine)'!$K$5:$K$515,13),'Calc (scoring engine)'!$K$5:$K$515,0))="","—",INDEX(Database!$N$5:$N$515,MATCH(LARGE('Calc (scoring engine)'!$K$5:$K$515,13),'Calc (scoring engine)'!$K$5:$K$515,0))),""))</f>
        <v/>
      </c>
      <c r="M33" s="28">
        <f>IF(OR(13&gt;MAX(3,MIN(15,N($D$18))),IFERROR(LARGE('Calc (scoring engine)'!$K$5:$K$515,13),-999999)&lt;=-900000),"",IFERROR(IF(INDEX(Database!$O$5:$O$515,MATCH(LARGE('Calc (scoring engine)'!$K$5:$K$515,13),'Calc (scoring engine)'!$K$5:$K$515,0))="","—",INDEX(Database!$O$5:$O$515,MATCH(LARGE('Calc (scoring engine)'!$K$5:$K$515,13),'Calc (scoring engine)'!$K$5:$K$515,0))),""))</f>
        <v/>
      </c>
      <c r="N33" s="28">
        <f>IF(OR(13&gt;MAX(3,MIN(15,N($D$18))),IFERROR(LARGE('Calc (scoring engine)'!$K$5:$K$515,13),-999999)&lt;=-900000),"",IFERROR(IF(INDEX(Database!$P$5:$P$515,MATCH(LARGE('Calc (scoring engine)'!$K$5:$K$515,13),'Calc (scoring engine)'!$K$5:$K$515,0))="","—",INDEX(Database!$P$5:$P$515,MATCH(LARGE('Calc (scoring engine)'!$K$5:$K$515,13),'Calc (scoring engine)'!$K$5:$K$515,0))),""))</f>
        <v/>
      </c>
      <c r="O33" s="18">
        <f>IF(OR(13&gt;MAX(3,MIN(15,N($D$18))),IFERROR(LARGE('Calc (scoring engine)'!$K$5:$K$515,13),-999999)&lt;=-900000),"",IFERROR(IF(INDEX(Database!$Q$5:$Q$515,MATCH(LARGE('Calc (scoring engine)'!$K$5:$K$515,13),'Calc (scoring engine)'!$K$5:$K$515,0))="","—",INDEX(Database!$Q$5:$Q$515,MATCH(LARGE('Calc (scoring engine)'!$K$5:$K$515,13),'Calc (scoring engine)'!$K$5:$K$515,0))),""))</f>
        <v/>
      </c>
      <c r="P33" s="26">
        <f>IF(OR(13&gt;MAX(3,MIN(15,N($D$18))),IFERROR(LARGE('Calc (scoring engine)'!$K$5:$K$515,13),-999999)&lt;=-900000),"",IFERROR(IF(INDEX(Database!$S$5:$S$515,MATCH(LARGE('Calc (scoring engine)'!$K$5:$K$515,13),'Calc (scoring engine)'!$K$5:$K$515,0))="","—",INDEX(Database!$S$5:$S$515,MATCH(LARGE('Calc (scoring engine)'!$K$5:$K$515,13),'Calc (scoring engine)'!$K$5:$K$515,0))),""))</f>
        <v/>
      </c>
      <c r="Q33" s="40">
        <f>IF(OR(13&gt;MAX(3,MIN(15,N($D$18))),IFERROR(LARGE('Calc (scoring engine)'!$K$5:$K$515,13),-999999)&lt;=-900000),"",IFERROR(IF(INDEX(Database!$T$5:$T$515,MATCH(LARGE('Calc (scoring engine)'!$K$5:$K$515,13),'Calc (scoring engine)'!$K$5:$K$515,0))="","—",INDEX(Database!$T$5:$T$515,MATCH(LARGE('Calc (scoring engine)'!$K$5:$K$515,13),'Calc (scoring engine)'!$K$5:$K$515,0))),""))</f>
        <v/>
      </c>
      <c r="R33" s="41">
        <f>IF(OR(13&gt;MAX(3,MIN(15,N($D$18))),IFERROR(LARGE('Calc (scoring engine)'!$K$5:$K$515,13),-999999)&lt;=-900000),"",IFERROR(IF(INDEX(Database!$U$5:$U$515,MATCH(LARGE('Calc (scoring engine)'!$K$5:$K$515,13),'Calc (scoring engine)'!$K$5:$K$515,0))="","—",INDEX(Database!$U$5:$U$515,MATCH(LARGE('Calc (scoring engine)'!$K$5:$K$515,13),'Calc (scoring engine)'!$K$5:$K$515,0))),""))</f>
        <v/>
      </c>
      <c r="S33" s="28">
        <f>IF(OR(13&gt;MAX(3,MIN(15,N($D$18))),IFERROR(LARGE('Calc (scoring engine)'!$K$5:$K$515,13),-999999)&lt;=-900000),"",IFERROR(IF(INDEX(Database!$V$5:$V$515,MATCH(LARGE('Calc (scoring engine)'!$K$5:$K$515,13),'Calc (scoring engine)'!$K$5:$K$515,0))="","—",INDEX(Database!$V$5:$V$515,MATCH(LARGE('Calc (scoring engine)'!$K$5:$K$515,13),'Calc (scoring engine)'!$K$5:$K$515,0))),""))</f>
        <v/>
      </c>
      <c r="T33" s="10">
        <f>IF(OR(13&gt;MAX(3,MIN(15,N($D$18))),IFERROR(LARGE('Calc (scoring engine)'!$K$5:$K$515,13),-999999)&lt;=-900000),"",IFERROR(IF(INDEX(Database!$W$5:$W$515,MATCH(LARGE('Calc (scoring engine)'!$K$5:$K$515,13),'Calc (scoring engine)'!$K$5:$K$515,0))="","—",INDEX(Database!$W$5:$W$515,MATCH(LARGE('Calc (scoring engine)'!$K$5:$K$515,13),'Calc (scoring engine)'!$K$5:$K$515,0))),""))</f>
        <v/>
      </c>
      <c r="U33" s="28">
        <f>IF(OR(13&gt;MAX(3,MIN(15,N($D$18))),IFERROR(LARGE('Calc (scoring engine)'!$K$5:$K$515,13),-999999)&lt;=-900000),"",IFERROR(IF(INDEX(Database!$Y$5:$Y$515,MATCH(LARGE('Calc (scoring engine)'!$K$5:$K$515,13),'Calc (scoring engine)'!$K$5:$K$515,0))="","—",INDEX(Database!$Y$5:$Y$515,MATCH(LARGE('Calc (scoring engine)'!$K$5:$K$515,13),'Calc (scoring engine)'!$K$5:$K$515,0))),""))</f>
        <v/>
      </c>
      <c r="V33" s="10">
        <f>IF(OR(13&gt;MAX(3,MIN(15,N($D$18))),IFERROR(LARGE('Calc (scoring engine)'!$K$5:$K$515,13),-999999)&lt;=-900000),"",IFERROR(IF(INDEX(Database!$Z$5:$Z$515,MATCH(LARGE('Calc (scoring engine)'!$K$5:$K$515,13),'Calc (scoring engine)'!$K$5:$K$515,0))="","—",INDEX(Database!$Z$5:$Z$515,MATCH(LARGE('Calc (scoring engine)'!$K$5:$K$515,13),'Calc (scoring engine)'!$K$5:$K$515,0))),""))</f>
        <v/>
      </c>
      <c r="W33" s="23">
        <f>IF(OR(13&gt;MAX(3,MIN(15,N($D$18))),IFERROR(LARGE('Calc (scoring engine)'!$K$5:$K$515,13),-999999)&lt;=-900000),"",IFERROR(IF(INDEX(Database!$AA$5:$AA$515,MATCH(LARGE('Calc (scoring engine)'!$K$5:$K$515,13),'Calc (scoring engine)'!$K$5:$K$515,0))="","—",INDEX(Database!$AA$5:$AA$515,MATCH(LARGE('Calc (scoring engine)'!$K$5:$K$515,13),'Calc (scoring engine)'!$K$5:$K$515,0))),""))</f>
        <v/>
      </c>
      <c r="X33" s="23">
        <f>IF(OR(13&gt;MAX(3,MIN(15,N($D$18))),IFERROR(LARGE('Calc (scoring engine)'!$K$5:$K$515,13),-999999)&lt;=-900000),"",IFERROR(IF(INDEX(Database!$AB$5:$AB$515,MATCH(LARGE('Calc (scoring engine)'!$K$5:$K$515,13),'Calc (scoring engine)'!$K$5:$K$515,0))="","—",INDEX(Database!$AB$5:$AB$515,MATCH(LARGE('Calc (scoring engine)'!$K$5:$K$515,13),'Calc (scoring engine)'!$K$5:$K$515,0))),""))</f>
        <v/>
      </c>
      <c r="Y33" s="23">
        <f>IF(OR(13&gt;MAX(3,MIN(15,N($D$18))),IFERROR(LARGE('Calc (scoring engine)'!$K$5:$K$515,13),-999999)&lt;=-900000),"",IFERROR(IF(INDEX(Database!$AC$5:$AC$515,MATCH(LARGE('Calc (scoring engine)'!$K$5:$K$515,13),'Calc (scoring engine)'!$K$5:$K$515,0))="","—",INDEX(Database!$AC$5:$AC$515,MATCH(LARGE('Calc (scoring engine)'!$K$5:$K$515,13),'Calc (scoring engine)'!$K$5:$K$515,0))),""))</f>
        <v/>
      </c>
      <c r="Z33" s="23">
        <f>IF(OR(13&gt;MAX(3,MIN(15,N($D$18))),IFERROR(LARGE('Calc (scoring engine)'!$K$5:$K$515,13),-999999)&lt;=-900000),"",IFERROR(IF(INDEX(Database!$AD$5:$AD$515,MATCH(LARGE('Calc (scoring engine)'!$K$5:$K$515,13),'Calc (scoring engine)'!$K$5:$K$515,0))="","—",INDEX(Database!$AD$5:$AD$515,MATCH(LARGE('Calc (scoring engine)'!$K$5:$K$515,13),'Calc (scoring engine)'!$K$5:$K$515,0))),""))</f>
        <v/>
      </c>
      <c r="AA33" s="23">
        <f>IF(OR(13&gt;MAX(3,MIN(15,N($D$18))),IFERROR(LARGE('Calc (scoring engine)'!$K$5:$K$515,13),-999999)&lt;=-900000),"",IFERROR(IF(INDEX(Database!$AE$5:$AE$515,MATCH(LARGE('Calc (scoring engine)'!$K$5:$K$515,13),'Calc (scoring engine)'!$K$5:$K$515,0))="","—",INDEX(Database!$AE$5:$AE$515,MATCH(LARGE('Calc (scoring engine)'!$K$5:$K$515,13),'Calc (scoring engine)'!$K$5:$K$515,0))),""))</f>
        <v/>
      </c>
      <c r="AB33" s="23">
        <f>IF(OR(13&gt;MAX(3,MIN(15,N($D$18))),IFERROR(LARGE('Calc (scoring engine)'!$K$5:$K$515,13),-999999)&lt;=-900000),"",IFERROR(IF(INDEX(Database!$AF$5:$AF$515,MATCH(LARGE('Calc (scoring engine)'!$K$5:$K$515,13),'Calc (scoring engine)'!$K$5:$K$515,0))="","—",INDEX(Database!$AF$5:$AF$515,MATCH(LARGE('Calc (scoring engine)'!$K$5:$K$515,13),'Calc (scoring engine)'!$K$5:$K$515,0))),""))</f>
        <v/>
      </c>
      <c r="AC33" s="23">
        <f>IF(OR(13&gt;MAX(3,MIN(15,N($D$18))),IFERROR(LARGE('Calc (scoring engine)'!$K$5:$K$515,13),-999999)&lt;=-900000),"",IFERROR(IF(INDEX(Database!$AG$5:$AG$515,MATCH(LARGE('Calc (scoring engine)'!$K$5:$K$515,13),'Calc (scoring engine)'!$K$5:$K$515,0))="","—",INDEX(Database!$AG$5:$AG$515,MATCH(LARGE('Calc (scoring engine)'!$K$5:$K$515,13),'Calc (scoring engine)'!$K$5:$K$515,0))),""))</f>
        <v/>
      </c>
      <c r="AD33" s="23">
        <f>IF(OR(13&gt;MAX(3,MIN(15,N($D$18))),IFERROR(LARGE('Calc (scoring engine)'!$K$5:$K$515,13),-999999)&lt;=-900000),"",IFERROR(IF(INDEX(Database!$AH$5:$AH$515,MATCH(LARGE('Calc (scoring engine)'!$K$5:$K$515,13),'Calc (scoring engine)'!$K$5:$K$515,0))="","—",INDEX(Database!$AH$5:$AH$515,MATCH(LARGE('Calc (scoring engine)'!$K$5:$K$515,13),'Calc (scoring engine)'!$K$5:$K$515,0))),""))</f>
        <v/>
      </c>
      <c r="AE33" s="23">
        <f>IF(OR(13&gt;MAX(3,MIN(15,N($D$18))),IFERROR(LARGE('Calc (scoring engine)'!$K$5:$K$515,13),-999999)&lt;=-900000),"",IFERROR(IF(INDEX(Database!$AI$5:$AI$515,MATCH(LARGE('Calc (scoring engine)'!$K$5:$K$515,13),'Calc (scoring engine)'!$K$5:$K$515,0))="","—",INDEX(Database!$AI$5:$AI$515,MATCH(LARGE('Calc (scoring engine)'!$K$5:$K$515,13),'Calc (scoring engine)'!$K$5:$K$515,0))),""))</f>
        <v/>
      </c>
      <c r="AF33" s="23">
        <f>IF(OR(13&gt;MAX(3,MIN(15,N($D$18))),IFERROR(LARGE('Calc (scoring engine)'!$K$5:$K$515,13),-999999)&lt;=-900000),"",IFERROR(IF(INDEX(Database!$AJ$5:$AJ$515,MATCH(LARGE('Calc (scoring engine)'!$K$5:$K$515,13),'Calc (scoring engine)'!$K$5:$K$515,0))="","—",INDEX(Database!$AJ$5:$AJ$515,MATCH(LARGE('Calc (scoring engine)'!$K$5:$K$515,13),'Calc (scoring engine)'!$K$5:$K$515,0))),""))</f>
        <v/>
      </c>
      <c r="AG33" s="23">
        <f>IF(OR(13&gt;MAX(3,MIN(15,N($D$18))),IFERROR(LARGE('Calc (scoring engine)'!$K$5:$K$515,13),-999999)&lt;=-900000),"",IFERROR(IF(INDEX(Database!$AK$5:$AK$515,MATCH(LARGE('Calc (scoring engine)'!$K$5:$K$515,13),'Calc (scoring engine)'!$K$5:$K$515,0))="","—",INDEX(Database!$AK$5:$AK$515,MATCH(LARGE('Calc (scoring engine)'!$K$5:$K$515,13),'Calc (scoring engine)'!$K$5:$K$515,0))),""))</f>
        <v/>
      </c>
      <c r="AH33" s="23">
        <f>IF(OR(13&gt;MAX(3,MIN(15,N($D$18))),IFERROR(LARGE('Calc (scoring engine)'!$K$5:$K$515,13),-999999)&lt;=-900000),"",IFERROR(IF(INDEX(Database!$AL$5:$AL$515,MATCH(LARGE('Calc (scoring engine)'!$K$5:$K$515,13),'Calc (scoring engine)'!$K$5:$K$515,0))="","—",INDEX(Database!$AL$5:$AL$515,MATCH(LARGE('Calc (scoring engine)'!$K$5:$K$515,13),'Calc (scoring engine)'!$K$5:$K$515,0))),""))</f>
        <v/>
      </c>
      <c r="AI33" s="23">
        <f>IF(OR(13&gt;MAX(3,MIN(15,N($D$18))),IFERROR(LARGE('Calc (scoring engine)'!$K$5:$K$515,13),-999999)&lt;=-900000),"",IFERROR(IF(INDEX(Database!$AM$5:$AM$515,MATCH(LARGE('Calc (scoring engine)'!$K$5:$K$515,13),'Calc (scoring engine)'!$K$5:$K$515,0))="","—",INDEX(Database!$AM$5:$AM$515,MATCH(LARGE('Calc (scoring engine)'!$K$5:$K$515,13),'Calc (scoring engine)'!$K$5:$K$515,0))),""))</f>
        <v/>
      </c>
      <c r="AJ33" s="23">
        <f>IF(OR(13&gt;MAX(3,MIN(15,N($D$18))),IFERROR(LARGE('Calc (scoring engine)'!$K$5:$K$515,13),-999999)&lt;=-900000),"",IFERROR(IF(INDEX(Database!$AN$5:$AN$515,MATCH(LARGE('Calc (scoring engine)'!$K$5:$K$515,13),'Calc (scoring engine)'!$K$5:$K$515,0))="","—",INDEX(Database!$AN$5:$AN$515,MATCH(LARGE('Calc (scoring engine)'!$K$5:$K$515,13),'Calc (scoring engine)'!$K$5:$K$515,0))),""))</f>
        <v/>
      </c>
      <c r="AK33" s="23">
        <f>IF(OR(13&gt;MAX(3,MIN(15,N($D$18))),IFERROR(LARGE('Calc (scoring engine)'!$K$5:$K$515,13),-999999)&lt;=-900000),"",IFERROR(IF(INDEX(Database!$AO$5:$AO$515,MATCH(LARGE('Calc (scoring engine)'!$K$5:$K$515,13),'Calc (scoring engine)'!$K$5:$K$515,0))="","—",INDEX(Database!$AO$5:$AO$515,MATCH(LARGE('Calc (scoring engine)'!$K$5:$K$515,13),'Calc (scoring engine)'!$K$5:$K$515,0))),""))</f>
        <v/>
      </c>
      <c r="AL33" s="23">
        <f>IF(OR(13&gt;MAX(3,MIN(15,N($D$18))),IFERROR(LARGE('Calc (scoring engine)'!$K$5:$K$515,13),-999999)&lt;=-900000),"",IFERROR(IF(INDEX(Database!$AQ$5:$AQ$515,MATCH(LARGE('Calc (scoring engine)'!$K$5:$K$515,13),'Calc (scoring engine)'!$K$5:$K$515,0))="","—",INDEX(Database!$AQ$5:$AQ$515,MATCH(LARGE('Calc (scoring engine)'!$K$5:$K$515,13),'Calc (scoring engine)'!$K$5:$K$515,0))),""))</f>
        <v/>
      </c>
      <c r="AM33" s="18">
        <f>IF(OR(13&gt;MAX(3,MIN(15,N($D$18))),IFERROR(LARGE('Calc (scoring engine)'!$K$5:$K$515,13),-999999)&lt;=-900000),"",IFERROR(IF(INDEX(Database!$AS$5:$AS$515,MATCH(LARGE('Calc (scoring engine)'!$K$5:$K$515,13),'Calc (scoring engine)'!$K$5:$K$515,0))="","—",INDEX(Database!$AS$5:$AS$515,MATCH(LARGE('Calc (scoring engine)'!$K$5:$K$515,13),'Calc (scoring engine)'!$K$5:$K$515,0))),""))</f>
        <v/>
      </c>
      <c r="AN33" s="18">
        <f>IF(OR(13&gt;MAX(3,MIN(15,N($D$18))),IFERROR(LARGE('Calc (scoring engine)'!$K$5:$K$515,13),-999999)&lt;=-900000),"",IFERROR(IF(INDEX(Database!$AT$5:$AT$515,MATCH(LARGE('Calc (scoring engine)'!$K$5:$K$515,13),'Calc (scoring engine)'!$K$5:$K$515,0))="","—",INDEX(Database!$AT$5:$AT$515,MATCH(LARGE('Calc (scoring engine)'!$K$5:$K$515,13),'Calc (scoring engine)'!$K$5:$K$515,0))),""))</f>
        <v/>
      </c>
      <c r="AO33" s="10">
        <f>IF(OR(13&gt;MAX(3,MIN(15,N($D$18))),IFERROR(LARGE('Calc (scoring engine)'!$K$5:$K$515,13),-999999)&lt;=-900000),"",IFERROR(IF(INDEX(Database!$AU$5:$AU$515,MATCH(LARGE('Calc (scoring engine)'!$K$5:$K$515,13),'Calc (scoring engine)'!$K$5:$K$515,0))="","—",INDEX(Database!$AU$5:$AU$515,MATCH(LARGE('Calc (scoring engine)'!$K$5:$K$515,13),'Calc (scoring engine)'!$K$5:$K$515,0))),""))</f>
        <v/>
      </c>
      <c r="AP33" s="24">
        <f>IF(OR(13&gt;MAX(3,MIN(15,N($D$18))),IFERROR(LARGE('Calc (scoring engine)'!$K$5:$K$515,13),-999999)&lt;=-900000),"",IFERROR(IF(N(INDEX(Database!$AV$5:$AV$515,MATCH(LARGE('Calc (scoring engine)'!$K$5:$K$515,13),'Calc (scoring engine)'!$K$5:$K$515,0)))&lt;=0,IF(INDEX(Database!$AU$5:$AU$515,MATCH(LARGE('Calc (scoring engine)'!$K$5:$K$515,13),'Calc (scoring engine)'!$K$5:$K$515,0))="N","n/m","—"),INDEX(Database!$AV$5:$AV$515,MATCH(LARGE('Calc (scoring engine)'!$K$5:$K$515,13),'Calc (scoring engine)'!$K$5:$K$515,0))),""))</f>
        <v/>
      </c>
      <c r="AQ33" s="24">
        <f>IF(OR(13&gt;MAX(3,MIN(15,N($D$18))),IFERROR(LARGE('Calc (scoring engine)'!$K$5:$K$515,13),-999999)&lt;=-900000),"",IFERROR(IF(INDEX(Database!$AW$5:$AW$515,MATCH(LARGE('Calc (scoring engine)'!$K$5:$K$515,13),'Calc (scoring engine)'!$K$5:$K$515,0))="","—",INDEX(Database!$AW$5:$AW$515,MATCH(LARGE('Calc (scoring engine)'!$K$5:$K$515,13),'Calc (scoring engine)'!$K$5:$K$515,0))),""))</f>
        <v/>
      </c>
      <c r="AR33" s="24">
        <f>IF(OR(13&gt;MAX(3,MIN(15,N($D$18))),IFERROR(LARGE('Calc (scoring engine)'!$K$5:$K$515,13),-999999)&lt;=-900000),"",IFERROR(IF(INDEX(Database!$AX$5:$AX$515,MATCH(LARGE('Calc (scoring engine)'!$K$5:$K$515,13),'Calc (scoring engine)'!$K$5:$K$515,0))="","—",INDEX(Database!$AX$5:$AX$515,MATCH(LARGE('Calc (scoring engine)'!$K$5:$K$515,13),'Calc (scoring engine)'!$K$5:$K$515,0))),""))</f>
        <v/>
      </c>
      <c r="AS33" s="24">
        <f>IF(OR(13&gt;MAX(3,MIN(15,N($D$18))),IFERROR(LARGE('Calc (scoring engine)'!$K$5:$K$515,13),-999999)&lt;=-900000),"",IFERROR(IF(INDEX(Database!$AY$5:$AY$515,MATCH(LARGE('Calc (scoring engine)'!$K$5:$K$515,13),'Calc (scoring engine)'!$K$5:$K$515,0))="","—",INDEX(Database!$AY$5:$AY$515,MATCH(LARGE('Calc (scoring engine)'!$K$5:$K$515,13),'Calc (scoring engine)'!$K$5:$K$515,0))),""))</f>
        <v/>
      </c>
      <c r="AT33" s="10">
        <f>IF(OR(13&gt;MAX(3,MIN(15,N($D$18))),IFERROR(LARGE('Calc (scoring engine)'!$K$5:$K$515,13),-999999)&lt;=-900000),"",IFERROR(IF(INDEX(Database!$AZ$5:$AZ$515,MATCH(LARGE('Calc (scoring engine)'!$K$5:$K$515,13),'Calc (scoring engine)'!$K$5:$K$515,0))="","—",INDEX(Database!$AZ$5:$AZ$515,MATCH(LARGE('Calc (scoring engine)'!$K$5:$K$515,13),'Calc (scoring engine)'!$K$5:$K$515,0))),""))</f>
        <v/>
      </c>
      <c r="AU33" s="10">
        <f>IF(OR(13&gt;MAX(3,MIN(15,N($D$18))),IFERROR(LARGE('Calc (scoring engine)'!$K$5:$K$515,13),-999999)&lt;=-900000),"",IFERROR(IF(INDEX(Database!$BA$5:$BA$515,MATCH(LARGE('Calc (scoring engine)'!$K$5:$K$515,13),'Calc (scoring engine)'!$K$5:$K$515,0))="","—",INDEX(Database!$BA$5:$BA$515,MATCH(LARGE('Calc (scoring engine)'!$K$5:$K$515,13),'Calc (scoring engine)'!$K$5:$K$515,0))),""))</f>
        <v/>
      </c>
      <c r="AV33" s="23">
        <f>IF(OR(13&gt;MAX(3,MIN(15,N($D$18))),IFERROR(LARGE('Calc (scoring engine)'!$K$5:$K$515,13),-999999)&lt;=-900000),"",IFERROR(IF(INDEX(Database!$BB$5:$BB$515,MATCH(LARGE('Calc (scoring engine)'!$K$5:$K$515,13),'Calc (scoring engine)'!$K$5:$K$515,0))="","—",INDEX(Database!$BB$5:$BB$515,MATCH(LARGE('Calc (scoring engine)'!$K$5:$K$515,13),'Calc (scoring engine)'!$K$5:$K$515,0))),""))</f>
        <v/>
      </c>
      <c r="AW33" s="39">
        <f>IF(OR(13&gt;MAX(3,MIN(15,N($D$18))),IFERROR(LARGE('Calc (scoring engine)'!$K$5:$K$515,13),-999999)&lt;=-900000),"",IFERROR(IF(INDEX(Database!$BC$5:$BC$515,MATCH(LARGE('Calc (scoring engine)'!$K$5:$K$515,13),'Calc (scoring engine)'!$K$5:$K$515,0))="","—",INDEX(Database!$BC$5:$BC$515,MATCH(LARGE('Calc (scoring engine)'!$K$5:$K$515,13),'Calc (scoring engine)'!$K$5:$K$515,0))),""))</f>
        <v/>
      </c>
      <c r="AX33" s="42">
        <f>IF(OR(13&gt;MAX(3,MIN(15,N($D$18))),IFERROR(LARGE('Calc (scoring engine)'!$K$5:$K$515,13),-999999)&lt;=-900000),"",IFERROR(IF(INDEX(Database!$BD$5:$BD$515,MATCH(LARGE('Calc (scoring engine)'!$K$5:$K$515,13),'Calc (scoring engine)'!$K$5:$K$515,0))="","—",INDEX(Database!$BD$5:$BD$515,MATCH(LARGE('Calc (scoring engine)'!$K$5:$K$515,13),'Calc (scoring engine)'!$K$5:$K$515,0))),""))</f>
        <v/>
      </c>
      <c r="AY33" s="24">
        <f>IF(OR(13&gt;MAX(3,MIN(15,N($D$18))),IFERROR(LARGE('Calc (scoring engine)'!$K$5:$K$515,13),-999999)&lt;=-900000),"",IFERROR(IF(INDEX(Database!$BE$5:$BE$515,MATCH(LARGE('Calc (scoring engine)'!$K$5:$K$515,13),'Calc (scoring engine)'!$K$5:$K$515,0))="","—",INDEX(Database!$BE$5:$BE$515,MATCH(LARGE('Calc (scoring engine)'!$K$5:$K$515,13),'Calc (scoring engine)'!$K$5:$K$515,0))),""))</f>
        <v/>
      </c>
      <c r="AZ33" s="24">
        <f>IF(OR(13&gt;MAX(3,MIN(15,N($D$18))),IFERROR(LARGE('Calc (scoring engine)'!$K$5:$K$515,13),-999999)&lt;=-900000),"",IFERROR(IF(INDEX(Database!$BF$5:$BF$515,MATCH(LARGE('Calc (scoring engine)'!$K$5:$K$515,13),'Calc (scoring engine)'!$K$5:$K$515,0))="","—",INDEX(Database!$BF$5:$BF$515,MATCH(LARGE('Calc (scoring engine)'!$K$5:$K$515,13),'Calc (scoring engine)'!$K$5:$K$515,0))),""))</f>
        <v/>
      </c>
      <c r="BA33" s="10">
        <f>IF(OR(13&gt;MAX(3,MIN(15,N($D$18))),IFERROR(LARGE('Calc (scoring engine)'!$K$5:$K$515,13),-999999)&lt;=-900000),"",IFERROR(IF(INDEX(Database!$BG$5:$BG$515,MATCH(LARGE('Calc (scoring engine)'!$K$5:$K$515,13),'Calc (scoring engine)'!$K$5:$K$515,0))="","—",INDEX(Database!$BG$5:$BG$515,MATCH(LARGE('Calc (scoring engine)'!$K$5:$K$515,13),'Calc (scoring engine)'!$K$5:$K$515,0))),""))</f>
        <v/>
      </c>
      <c r="BB33" s="10">
        <f>IF(OR(13&gt;MAX(3,MIN(15,N($D$18))),IFERROR(LARGE('Calc (scoring engine)'!$K$5:$K$515,13),-999999)&lt;=-900000),"",IFERROR(IF(INDEX(Database!$BI$5:$BI$515,MATCH(LARGE('Calc (scoring engine)'!$K$5:$K$515,13),'Calc (scoring engine)'!$K$5:$K$515,0))="","—",INDEX(Database!$BI$5:$BI$515,MATCH(LARGE('Calc (scoring engine)'!$K$5:$K$515,13),'Calc (scoring engine)'!$K$5:$K$515,0))),""))</f>
        <v/>
      </c>
      <c r="BC33" s="24">
        <f>IF(OR(13&gt;MAX(3,MIN(15,N($D$18))),IFERROR(LARGE('Calc (scoring engine)'!$K$5:$K$515,13),-999999)&lt;=-900000),"",IFERROR(IFERROR(BDP(TEXT(INDEX(Database!$A$5:$A$515,MATCH(LARGE('Calc (scoring engine)'!$K$5:$K$515,13),'Calc (scoring engine)'!$K$5:$K$515,0)),"0")&amp;" HK Equity","PE_RATIO"),IF(INDEX(Database!$AX$5:$AX$515,MATCH(LARGE('Calc (scoring engine)'!$K$5:$K$515,13),'Calc (scoring engine)'!$K$5:$K$515,0))="","—",INDEX(Database!$AX$5:$AX$515,MATCH(LARGE('Calc (scoring engine)'!$K$5:$K$515,13),'Calc (scoring engine)'!$K$5:$K$515,0)))),""))</f>
        <v/>
      </c>
      <c r="BD33" s="24">
        <f>IF(OR(13&gt;MAX(3,MIN(15,N($D$18))),IFERROR(LARGE('Calc (scoring engine)'!$K$5:$K$515,13),-999999)&lt;=-900000),"",IFERROR(IFERROR(BDP(TEXT(INDEX(Database!$A$5:$A$515,MATCH(LARGE('Calc (scoring engine)'!$K$5:$K$515,13),'Calc (scoring engine)'!$K$5:$K$515,0)),"0")&amp;" HK Equity","PX_TO_SALES_RATIO"),IF(INDEX(Database!$AY$5:$AY$515,MATCH(LARGE('Calc (scoring engine)'!$K$5:$K$515,13),'Calc (scoring engine)'!$K$5:$K$515,0))="","—",INDEX(Database!$AY$5:$AY$515,MATCH(LARGE('Calc (scoring engine)'!$K$5:$K$515,13),'Calc (scoring engine)'!$K$5:$K$515,0)))),""))</f>
        <v/>
      </c>
      <c r="BE33" s="43">
        <f>IF(OR(13&gt;MAX(3,MIN(15,N($D$18))),IFERROR(LARGE('Calc (scoring engine)'!$K$5:$K$515,13),-999999)&lt;=-900000),"",IFERROR(IF(INDEX('Calc (scoring engine)'!$H$5:$H$515,MATCH(LARGE('Calc (scoring engine)'!$K$5:$K$515,13),'Calc (scoring engine)'!$K$5:$K$515,0))&gt;0,INDEX('Calc (scoring engine)'!$H$5:$H$515,MATCH(LARGE('Calc (scoring engine)'!$K$5:$K$515,13),'Calc (scoring engine)'!$K$5:$K$515,0)),""),""))</f>
        <v/>
      </c>
      <c r="BF33" s="10">
        <f>IF(OR(13&gt;MAX(3,MIN(15,N($D$18))),IFERROR(LARGE('Calc (scoring engine)'!$K$5:$K$515,13),-999999)&lt;=-900000),"",IF(IFERROR(INDEX('Calc (scoring engine)'!$B$5:$B$515,MATCH(LARGE('Calc (scoring engine)'!$K$5:$K$515,13),'Calc (scoring engine)'!$K$5:$K$515,0)),0)=1,"same subsector","sector only"))</f>
        <v/>
      </c>
      <c r="BG33" s="43">
        <f>IF(OR(13&gt;MAX(3,MIN(15,N($D$18))),IFERROR(LARGE('Calc (scoring engine)'!$K$5:$K$515,13),-999999)&lt;=-900000),"",ROUND(IFERROR(LARGE('Calc (scoring engine)'!$K$5:$K$515,13),0),0))</f>
        <v/>
      </c>
      <c r="BH33" s="10">
        <f>IF(OR(13&gt;MAX(3,MIN(15,N($D$18))),IFERROR(LARGE('Calc (scoring engine)'!$K$5:$K$515,13),-999999)&lt;=-900000),"",IFERROR("sub "&amp;INDEX('Calc (scoring engine)'!$B$5:$B$515,MATCH(LARGE('Calc (scoring engine)'!$K$5:$K$515,13),'Calc (scoring engine)'!$K$5:$K$515,0))*W_SUB&amp;" + size "&amp;ROUND(INDEX('Calc (scoring engine)'!$D$5:$D$515,MATCH(LARGE('Calc (scoring engine)'!$K$5:$K$515,13),'Calc (scoring engine)'!$K$5:$K$515,0))*W_SIZE,0)&amp;" + prof "&amp;INDEX('Calc (scoring engine)'!$E$5:$E$515,MATCH(LARGE('Calc (scoring engine)'!$K$5:$K$515,13),'Calc (scoring engine)'!$K$5:$K$515,0))*W_PROF&amp;" + recency "&amp;ROUND(INDEX('Calc (scoring engine)'!$G$5:$G$515,MATCH(LARGE('Calc (scoring engine)'!$K$5:$K$515,13),'Calc (scoring engine)'!$K$5:$K$515,0))*W_REC,0)&amp;IF(INDEX('Calc (scoring engine)'!$H$5:$H$515,MATCH(LARGE('Calc (scoring engine)'!$K$5:$K$515,13),'Calc (scoring engine)'!$K$5:$K$515,0))&gt;0," + shared CS x"&amp;INDEX('Calc (scoring engine)'!$H$5:$H$515,MATCH(LARGE('Calc (scoring engine)'!$K$5:$K$515,13),'Calc (scoring engine)'!$K$5:$K$515,0)),""),""))</f>
        <v/>
      </c>
    </row>
    <row r="34">
      <c r="A34" s="38">
        <f>IF(OR(14&gt;MAX(3,MIN(15,N($D$18))),IFERROR(LARGE('Calc (scoring engine)'!$K$5:$K$515,14),-999999)&lt;=-900000),"",14)</f>
        <v/>
      </c>
      <c r="B34" s="10">
        <f>IF(OR(14&gt;MAX(3,MIN(15,N($D$18))),IFERROR(LARGE('Calc (scoring engine)'!$K$5:$K$515,14),-999999)&lt;=-900000),"",IFERROR(IF(INDEX(Database!$B$5:$B$515,MATCH(LARGE('Calc (scoring engine)'!$K$5:$K$515,14),'Calc (scoring engine)'!$K$5:$K$515,0))="","—",INDEX(Database!$B$5:$B$515,MATCH(LARGE('Calc (scoring engine)'!$K$5:$K$515,14),'Calc (scoring engine)'!$K$5:$K$515,0))),""))</f>
        <v/>
      </c>
      <c r="C34" s="10">
        <f>IF(OR(14&gt;MAX(3,MIN(15,N($D$18))),IFERROR(LARGE('Calc (scoring engine)'!$K$5:$K$515,14),-999999)&lt;=-900000),"",IFERROR(IF(INDEX(Database!$D$5:$D$515,MATCH(LARGE('Calc (scoring engine)'!$K$5:$K$515,14),'Calc (scoring engine)'!$K$5:$K$515,0))="","—",INDEX(Database!$D$5:$D$515,MATCH(LARGE('Calc (scoring engine)'!$K$5:$K$515,14),'Calc (scoring engine)'!$K$5:$K$515,0))),""))</f>
        <v/>
      </c>
      <c r="D34" s="10">
        <f>IF(OR(14&gt;MAX(3,MIN(15,N($D$18))),IFERROR(LARGE('Calc (scoring engine)'!$K$5:$K$515,14),-999999)&lt;=-900000),"",IFERROR(IF(INDEX(Database!$E$5:$E$515,MATCH(LARGE('Calc (scoring engine)'!$K$5:$K$515,14),'Calc (scoring engine)'!$K$5:$K$515,0))="","—",INDEX(Database!$E$5:$E$515,MATCH(LARGE('Calc (scoring engine)'!$K$5:$K$515,14),'Calc (scoring engine)'!$K$5:$K$515,0))),""))</f>
        <v/>
      </c>
      <c r="E34" s="10">
        <f>IF(OR(14&gt;MAX(3,MIN(15,N($D$18))),IFERROR(LARGE('Calc (scoring engine)'!$K$5:$K$515,14),-999999)&lt;=-900000),"",IFERROR(IF(INDEX(Database!$F$5:$F$515,MATCH(LARGE('Calc (scoring engine)'!$K$5:$K$515,14),'Calc (scoring engine)'!$K$5:$K$515,0))="","—",INDEX(Database!$F$5:$F$515,MATCH(LARGE('Calc (scoring engine)'!$K$5:$K$515,14),'Calc (scoring engine)'!$K$5:$K$515,0))),""))</f>
        <v/>
      </c>
      <c r="F34" s="10">
        <f>IF(OR(14&gt;MAX(3,MIN(15,N($D$18))),IFERROR(LARGE('Calc (scoring engine)'!$K$5:$K$515,14),-999999)&lt;=-900000),"",IFERROR(IF(INDEX(Database!$G$5:$G$515,MATCH(LARGE('Calc (scoring engine)'!$K$5:$K$515,14),'Calc (scoring engine)'!$K$5:$K$515,0))="","—",INDEX(Database!$G$5:$G$515,MATCH(LARGE('Calc (scoring engine)'!$K$5:$K$515,14),'Calc (scoring engine)'!$K$5:$K$515,0))),""))</f>
        <v/>
      </c>
      <c r="G34" s="21">
        <f>IF(OR(14&gt;MAX(3,MIN(15,N($D$18))),IFERROR(LARGE('Calc (scoring engine)'!$K$5:$K$515,14),-999999)&lt;=-900000),"",IFERROR(IF(INDEX(Database!$H$5:$H$515,MATCH(LARGE('Calc (scoring engine)'!$K$5:$K$515,14),'Calc (scoring engine)'!$K$5:$K$515,0))="","—",INDEX(Database!$H$5:$H$515,MATCH(LARGE('Calc (scoring engine)'!$K$5:$K$515,14),'Calc (scoring engine)'!$K$5:$K$515,0))),""))</f>
        <v/>
      </c>
      <c r="H34" s="18">
        <f>IF(OR(14&gt;MAX(3,MIN(15,N($D$18))),IFERROR(LARGE('Calc (scoring engine)'!$K$5:$K$515,14),-999999)&lt;=-900000),"",IFERROR(IF(INDEX(Database!$I$5:$I$515,MATCH(LARGE('Calc (scoring engine)'!$K$5:$K$515,14),'Calc (scoring engine)'!$K$5:$K$515,0))="","—",INDEX(Database!$I$5:$I$515,MATCH(LARGE('Calc (scoring engine)'!$K$5:$K$515,14),'Calc (scoring engine)'!$K$5:$K$515,0))),""))</f>
        <v/>
      </c>
      <c r="I34" s="39">
        <f>IF(OR(14&gt;MAX(3,MIN(15,N($D$18))),IFERROR(LARGE('Calc (scoring engine)'!$K$5:$K$515,14),-999999)&lt;=-900000),"",IFERROR(IF(INDEX(Database!$K$5:$K$515,MATCH(LARGE('Calc (scoring engine)'!$K$5:$K$515,14),'Calc (scoring engine)'!$K$5:$K$515,0))="","—",INDEX(Database!$K$5:$K$515,MATCH(LARGE('Calc (scoring engine)'!$K$5:$K$515,14),'Calc (scoring engine)'!$K$5:$K$515,0))),""))</f>
        <v/>
      </c>
      <c r="J34" s="39">
        <f>IF(OR(14&gt;MAX(3,MIN(15,N($D$18))),IFERROR(LARGE('Calc (scoring engine)'!$K$5:$K$515,14),-999999)&lt;=-900000),"",IFERROR(IF(INDEX(Database!$L$5:$L$515,MATCH(LARGE('Calc (scoring engine)'!$K$5:$K$515,14),'Calc (scoring engine)'!$K$5:$K$515,0))="","—",INDEX(Database!$L$5:$L$515,MATCH(LARGE('Calc (scoring engine)'!$K$5:$K$515,14),'Calc (scoring engine)'!$K$5:$K$515,0))),""))</f>
        <v/>
      </c>
      <c r="K34" s="39">
        <f>IF(OR(14&gt;MAX(3,MIN(15,N($D$18))),IFERROR(LARGE('Calc (scoring engine)'!$K$5:$K$515,14),-999999)&lt;=-900000),"",IFERROR(IF(INDEX(Database!$M$5:$M$515,MATCH(LARGE('Calc (scoring engine)'!$K$5:$K$515,14),'Calc (scoring engine)'!$K$5:$K$515,0))="","—",INDEX(Database!$M$5:$M$515,MATCH(LARGE('Calc (scoring engine)'!$K$5:$K$515,14),'Calc (scoring engine)'!$K$5:$K$515,0))),""))</f>
        <v/>
      </c>
      <c r="L34" s="10">
        <f>IF(OR(14&gt;MAX(3,MIN(15,N($D$18))),IFERROR(LARGE('Calc (scoring engine)'!$K$5:$K$515,14),-999999)&lt;=-900000),"",IFERROR(IF(INDEX(Database!$N$5:$N$515,MATCH(LARGE('Calc (scoring engine)'!$K$5:$K$515,14),'Calc (scoring engine)'!$K$5:$K$515,0))="","—",INDEX(Database!$N$5:$N$515,MATCH(LARGE('Calc (scoring engine)'!$K$5:$K$515,14),'Calc (scoring engine)'!$K$5:$K$515,0))),""))</f>
        <v/>
      </c>
      <c r="M34" s="28">
        <f>IF(OR(14&gt;MAX(3,MIN(15,N($D$18))),IFERROR(LARGE('Calc (scoring engine)'!$K$5:$K$515,14),-999999)&lt;=-900000),"",IFERROR(IF(INDEX(Database!$O$5:$O$515,MATCH(LARGE('Calc (scoring engine)'!$K$5:$K$515,14),'Calc (scoring engine)'!$K$5:$K$515,0))="","—",INDEX(Database!$O$5:$O$515,MATCH(LARGE('Calc (scoring engine)'!$K$5:$K$515,14),'Calc (scoring engine)'!$K$5:$K$515,0))),""))</f>
        <v/>
      </c>
      <c r="N34" s="28">
        <f>IF(OR(14&gt;MAX(3,MIN(15,N($D$18))),IFERROR(LARGE('Calc (scoring engine)'!$K$5:$K$515,14),-999999)&lt;=-900000),"",IFERROR(IF(INDEX(Database!$P$5:$P$515,MATCH(LARGE('Calc (scoring engine)'!$K$5:$K$515,14),'Calc (scoring engine)'!$K$5:$K$515,0))="","—",INDEX(Database!$P$5:$P$515,MATCH(LARGE('Calc (scoring engine)'!$K$5:$K$515,14),'Calc (scoring engine)'!$K$5:$K$515,0))),""))</f>
        <v/>
      </c>
      <c r="O34" s="18">
        <f>IF(OR(14&gt;MAX(3,MIN(15,N($D$18))),IFERROR(LARGE('Calc (scoring engine)'!$K$5:$K$515,14),-999999)&lt;=-900000),"",IFERROR(IF(INDEX(Database!$Q$5:$Q$515,MATCH(LARGE('Calc (scoring engine)'!$K$5:$K$515,14),'Calc (scoring engine)'!$K$5:$K$515,0))="","—",INDEX(Database!$Q$5:$Q$515,MATCH(LARGE('Calc (scoring engine)'!$K$5:$K$515,14),'Calc (scoring engine)'!$K$5:$K$515,0))),""))</f>
        <v/>
      </c>
      <c r="P34" s="26">
        <f>IF(OR(14&gt;MAX(3,MIN(15,N($D$18))),IFERROR(LARGE('Calc (scoring engine)'!$K$5:$K$515,14),-999999)&lt;=-900000),"",IFERROR(IF(INDEX(Database!$S$5:$S$515,MATCH(LARGE('Calc (scoring engine)'!$K$5:$K$515,14),'Calc (scoring engine)'!$K$5:$K$515,0))="","—",INDEX(Database!$S$5:$S$515,MATCH(LARGE('Calc (scoring engine)'!$K$5:$K$515,14),'Calc (scoring engine)'!$K$5:$K$515,0))),""))</f>
        <v/>
      </c>
      <c r="Q34" s="40">
        <f>IF(OR(14&gt;MAX(3,MIN(15,N($D$18))),IFERROR(LARGE('Calc (scoring engine)'!$K$5:$K$515,14),-999999)&lt;=-900000),"",IFERROR(IF(INDEX(Database!$T$5:$T$515,MATCH(LARGE('Calc (scoring engine)'!$K$5:$K$515,14),'Calc (scoring engine)'!$K$5:$K$515,0))="","—",INDEX(Database!$T$5:$T$515,MATCH(LARGE('Calc (scoring engine)'!$K$5:$K$515,14),'Calc (scoring engine)'!$K$5:$K$515,0))),""))</f>
        <v/>
      </c>
      <c r="R34" s="41">
        <f>IF(OR(14&gt;MAX(3,MIN(15,N($D$18))),IFERROR(LARGE('Calc (scoring engine)'!$K$5:$K$515,14),-999999)&lt;=-900000),"",IFERROR(IF(INDEX(Database!$U$5:$U$515,MATCH(LARGE('Calc (scoring engine)'!$K$5:$K$515,14),'Calc (scoring engine)'!$K$5:$K$515,0))="","—",INDEX(Database!$U$5:$U$515,MATCH(LARGE('Calc (scoring engine)'!$K$5:$K$515,14),'Calc (scoring engine)'!$K$5:$K$515,0))),""))</f>
        <v/>
      </c>
      <c r="S34" s="28">
        <f>IF(OR(14&gt;MAX(3,MIN(15,N($D$18))),IFERROR(LARGE('Calc (scoring engine)'!$K$5:$K$515,14),-999999)&lt;=-900000),"",IFERROR(IF(INDEX(Database!$V$5:$V$515,MATCH(LARGE('Calc (scoring engine)'!$K$5:$K$515,14),'Calc (scoring engine)'!$K$5:$K$515,0))="","—",INDEX(Database!$V$5:$V$515,MATCH(LARGE('Calc (scoring engine)'!$K$5:$K$515,14),'Calc (scoring engine)'!$K$5:$K$515,0))),""))</f>
        <v/>
      </c>
      <c r="T34" s="10">
        <f>IF(OR(14&gt;MAX(3,MIN(15,N($D$18))),IFERROR(LARGE('Calc (scoring engine)'!$K$5:$K$515,14),-999999)&lt;=-900000),"",IFERROR(IF(INDEX(Database!$W$5:$W$515,MATCH(LARGE('Calc (scoring engine)'!$K$5:$K$515,14),'Calc (scoring engine)'!$K$5:$K$515,0))="","—",INDEX(Database!$W$5:$W$515,MATCH(LARGE('Calc (scoring engine)'!$K$5:$K$515,14),'Calc (scoring engine)'!$K$5:$K$515,0))),""))</f>
        <v/>
      </c>
      <c r="U34" s="28">
        <f>IF(OR(14&gt;MAX(3,MIN(15,N($D$18))),IFERROR(LARGE('Calc (scoring engine)'!$K$5:$K$515,14),-999999)&lt;=-900000),"",IFERROR(IF(INDEX(Database!$Y$5:$Y$515,MATCH(LARGE('Calc (scoring engine)'!$K$5:$K$515,14),'Calc (scoring engine)'!$K$5:$K$515,0))="","—",INDEX(Database!$Y$5:$Y$515,MATCH(LARGE('Calc (scoring engine)'!$K$5:$K$515,14),'Calc (scoring engine)'!$K$5:$K$515,0))),""))</f>
        <v/>
      </c>
      <c r="V34" s="10">
        <f>IF(OR(14&gt;MAX(3,MIN(15,N($D$18))),IFERROR(LARGE('Calc (scoring engine)'!$K$5:$K$515,14),-999999)&lt;=-900000),"",IFERROR(IF(INDEX(Database!$Z$5:$Z$515,MATCH(LARGE('Calc (scoring engine)'!$K$5:$K$515,14),'Calc (scoring engine)'!$K$5:$K$515,0))="","—",INDEX(Database!$Z$5:$Z$515,MATCH(LARGE('Calc (scoring engine)'!$K$5:$K$515,14),'Calc (scoring engine)'!$K$5:$K$515,0))),""))</f>
        <v/>
      </c>
      <c r="W34" s="23">
        <f>IF(OR(14&gt;MAX(3,MIN(15,N($D$18))),IFERROR(LARGE('Calc (scoring engine)'!$K$5:$K$515,14),-999999)&lt;=-900000),"",IFERROR(IF(INDEX(Database!$AA$5:$AA$515,MATCH(LARGE('Calc (scoring engine)'!$K$5:$K$515,14),'Calc (scoring engine)'!$K$5:$K$515,0))="","—",INDEX(Database!$AA$5:$AA$515,MATCH(LARGE('Calc (scoring engine)'!$K$5:$K$515,14),'Calc (scoring engine)'!$K$5:$K$515,0))),""))</f>
        <v/>
      </c>
      <c r="X34" s="23">
        <f>IF(OR(14&gt;MAX(3,MIN(15,N($D$18))),IFERROR(LARGE('Calc (scoring engine)'!$K$5:$K$515,14),-999999)&lt;=-900000),"",IFERROR(IF(INDEX(Database!$AB$5:$AB$515,MATCH(LARGE('Calc (scoring engine)'!$K$5:$K$515,14),'Calc (scoring engine)'!$K$5:$K$515,0))="","—",INDEX(Database!$AB$5:$AB$515,MATCH(LARGE('Calc (scoring engine)'!$K$5:$K$515,14),'Calc (scoring engine)'!$K$5:$K$515,0))),""))</f>
        <v/>
      </c>
      <c r="Y34" s="23">
        <f>IF(OR(14&gt;MAX(3,MIN(15,N($D$18))),IFERROR(LARGE('Calc (scoring engine)'!$K$5:$K$515,14),-999999)&lt;=-900000),"",IFERROR(IF(INDEX(Database!$AC$5:$AC$515,MATCH(LARGE('Calc (scoring engine)'!$K$5:$K$515,14),'Calc (scoring engine)'!$K$5:$K$515,0))="","—",INDEX(Database!$AC$5:$AC$515,MATCH(LARGE('Calc (scoring engine)'!$K$5:$K$515,14),'Calc (scoring engine)'!$K$5:$K$515,0))),""))</f>
        <v/>
      </c>
      <c r="Z34" s="23">
        <f>IF(OR(14&gt;MAX(3,MIN(15,N($D$18))),IFERROR(LARGE('Calc (scoring engine)'!$K$5:$K$515,14),-999999)&lt;=-900000),"",IFERROR(IF(INDEX(Database!$AD$5:$AD$515,MATCH(LARGE('Calc (scoring engine)'!$K$5:$K$515,14),'Calc (scoring engine)'!$K$5:$K$515,0))="","—",INDEX(Database!$AD$5:$AD$515,MATCH(LARGE('Calc (scoring engine)'!$K$5:$K$515,14),'Calc (scoring engine)'!$K$5:$K$515,0))),""))</f>
        <v/>
      </c>
      <c r="AA34" s="23">
        <f>IF(OR(14&gt;MAX(3,MIN(15,N($D$18))),IFERROR(LARGE('Calc (scoring engine)'!$K$5:$K$515,14),-999999)&lt;=-900000),"",IFERROR(IF(INDEX(Database!$AE$5:$AE$515,MATCH(LARGE('Calc (scoring engine)'!$K$5:$K$515,14),'Calc (scoring engine)'!$K$5:$K$515,0))="","—",INDEX(Database!$AE$5:$AE$515,MATCH(LARGE('Calc (scoring engine)'!$K$5:$K$515,14),'Calc (scoring engine)'!$K$5:$K$515,0))),""))</f>
        <v/>
      </c>
      <c r="AB34" s="23">
        <f>IF(OR(14&gt;MAX(3,MIN(15,N($D$18))),IFERROR(LARGE('Calc (scoring engine)'!$K$5:$K$515,14),-999999)&lt;=-900000),"",IFERROR(IF(INDEX(Database!$AF$5:$AF$515,MATCH(LARGE('Calc (scoring engine)'!$K$5:$K$515,14),'Calc (scoring engine)'!$K$5:$K$515,0))="","—",INDEX(Database!$AF$5:$AF$515,MATCH(LARGE('Calc (scoring engine)'!$K$5:$K$515,14),'Calc (scoring engine)'!$K$5:$K$515,0))),""))</f>
        <v/>
      </c>
      <c r="AC34" s="23">
        <f>IF(OR(14&gt;MAX(3,MIN(15,N($D$18))),IFERROR(LARGE('Calc (scoring engine)'!$K$5:$K$515,14),-999999)&lt;=-900000),"",IFERROR(IF(INDEX(Database!$AG$5:$AG$515,MATCH(LARGE('Calc (scoring engine)'!$K$5:$K$515,14),'Calc (scoring engine)'!$K$5:$K$515,0))="","—",INDEX(Database!$AG$5:$AG$515,MATCH(LARGE('Calc (scoring engine)'!$K$5:$K$515,14),'Calc (scoring engine)'!$K$5:$K$515,0))),""))</f>
        <v/>
      </c>
      <c r="AD34" s="23">
        <f>IF(OR(14&gt;MAX(3,MIN(15,N($D$18))),IFERROR(LARGE('Calc (scoring engine)'!$K$5:$K$515,14),-999999)&lt;=-900000),"",IFERROR(IF(INDEX(Database!$AH$5:$AH$515,MATCH(LARGE('Calc (scoring engine)'!$K$5:$K$515,14),'Calc (scoring engine)'!$K$5:$K$515,0))="","—",INDEX(Database!$AH$5:$AH$515,MATCH(LARGE('Calc (scoring engine)'!$K$5:$K$515,14),'Calc (scoring engine)'!$K$5:$K$515,0))),""))</f>
        <v/>
      </c>
      <c r="AE34" s="23">
        <f>IF(OR(14&gt;MAX(3,MIN(15,N($D$18))),IFERROR(LARGE('Calc (scoring engine)'!$K$5:$K$515,14),-999999)&lt;=-900000),"",IFERROR(IF(INDEX(Database!$AI$5:$AI$515,MATCH(LARGE('Calc (scoring engine)'!$K$5:$K$515,14),'Calc (scoring engine)'!$K$5:$K$515,0))="","—",INDEX(Database!$AI$5:$AI$515,MATCH(LARGE('Calc (scoring engine)'!$K$5:$K$515,14),'Calc (scoring engine)'!$K$5:$K$515,0))),""))</f>
        <v/>
      </c>
      <c r="AF34" s="23">
        <f>IF(OR(14&gt;MAX(3,MIN(15,N($D$18))),IFERROR(LARGE('Calc (scoring engine)'!$K$5:$K$515,14),-999999)&lt;=-900000),"",IFERROR(IF(INDEX(Database!$AJ$5:$AJ$515,MATCH(LARGE('Calc (scoring engine)'!$K$5:$K$515,14),'Calc (scoring engine)'!$K$5:$K$515,0))="","—",INDEX(Database!$AJ$5:$AJ$515,MATCH(LARGE('Calc (scoring engine)'!$K$5:$K$515,14),'Calc (scoring engine)'!$K$5:$K$515,0))),""))</f>
        <v/>
      </c>
      <c r="AG34" s="23">
        <f>IF(OR(14&gt;MAX(3,MIN(15,N($D$18))),IFERROR(LARGE('Calc (scoring engine)'!$K$5:$K$515,14),-999999)&lt;=-900000),"",IFERROR(IF(INDEX(Database!$AK$5:$AK$515,MATCH(LARGE('Calc (scoring engine)'!$K$5:$K$515,14),'Calc (scoring engine)'!$K$5:$K$515,0))="","—",INDEX(Database!$AK$5:$AK$515,MATCH(LARGE('Calc (scoring engine)'!$K$5:$K$515,14),'Calc (scoring engine)'!$K$5:$K$515,0))),""))</f>
        <v/>
      </c>
      <c r="AH34" s="23">
        <f>IF(OR(14&gt;MAX(3,MIN(15,N($D$18))),IFERROR(LARGE('Calc (scoring engine)'!$K$5:$K$515,14),-999999)&lt;=-900000),"",IFERROR(IF(INDEX(Database!$AL$5:$AL$515,MATCH(LARGE('Calc (scoring engine)'!$K$5:$K$515,14),'Calc (scoring engine)'!$K$5:$K$515,0))="","—",INDEX(Database!$AL$5:$AL$515,MATCH(LARGE('Calc (scoring engine)'!$K$5:$K$515,14),'Calc (scoring engine)'!$K$5:$K$515,0))),""))</f>
        <v/>
      </c>
      <c r="AI34" s="23">
        <f>IF(OR(14&gt;MAX(3,MIN(15,N($D$18))),IFERROR(LARGE('Calc (scoring engine)'!$K$5:$K$515,14),-999999)&lt;=-900000),"",IFERROR(IF(INDEX(Database!$AM$5:$AM$515,MATCH(LARGE('Calc (scoring engine)'!$K$5:$K$515,14),'Calc (scoring engine)'!$K$5:$K$515,0))="","—",INDEX(Database!$AM$5:$AM$515,MATCH(LARGE('Calc (scoring engine)'!$K$5:$K$515,14),'Calc (scoring engine)'!$K$5:$K$515,0))),""))</f>
        <v/>
      </c>
      <c r="AJ34" s="23">
        <f>IF(OR(14&gt;MAX(3,MIN(15,N($D$18))),IFERROR(LARGE('Calc (scoring engine)'!$K$5:$K$515,14),-999999)&lt;=-900000),"",IFERROR(IF(INDEX(Database!$AN$5:$AN$515,MATCH(LARGE('Calc (scoring engine)'!$K$5:$K$515,14),'Calc (scoring engine)'!$K$5:$K$515,0))="","—",INDEX(Database!$AN$5:$AN$515,MATCH(LARGE('Calc (scoring engine)'!$K$5:$K$515,14),'Calc (scoring engine)'!$K$5:$K$515,0))),""))</f>
        <v/>
      </c>
      <c r="AK34" s="23">
        <f>IF(OR(14&gt;MAX(3,MIN(15,N($D$18))),IFERROR(LARGE('Calc (scoring engine)'!$K$5:$K$515,14),-999999)&lt;=-900000),"",IFERROR(IF(INDEX(Database!$AO$5:$AO$515,MATCH(LARGE('Calc (scoring engine)'!$K$5:$K$515,14),'Calc (scoring engine)'!$K$5:$K$515,0))="","—",INDEX(Database!$AO$5:$AO$515,MATCH(LARGE('Calc (scoring engine)'!$K$5:$K$515,14),'Calc (scoring engine)'!$K$5:$K$515,0))),""))</f>
        <v/>
      </c>
      <c r="AL34" s="23">
        <f>IF(OR(14&gt;MAX(3,MIN(15,N($D$18))),IFERROR(LARGE('Calc (scoring engine)'!$K$5:$K$515,14),-999999)&lt;=-900000),"",IFERROR(IF(INDEX(Database!$AQ$5:$AQ$515,MATCH(LARGE('Calc (scoring engine)'!$K$5:$K$515,14),'Calc (scoring engine)'!$K$5:$K$515,0))="","—",INDEX(Database!$AQ$5:$AQ$515,MATCH(LARGE('Calc (scoring engine)'!$K$5:$K$515,14),'Calc (scoring engine)'!$K$5:$K$515,0))),""))</f>
        <v/>
      </c>
      <c r="AM34" s="18">
        <f>IF(OR(14&gt;MAX(3,MIN(15,N($D$18))),IFERROR(LARGE('Calc (scoring engine)'!$K$5:$K$515,14),-999999)&lt;=-900000),"",IFERROR(IF(INDEX(Database!$AS$5:$AS$515,MATCH(LARGE('Calc (scoring engine)'!$K$5:$K$515,14),'Calc (scoring engine)'!$K$5:$K$515,0))="","—",INDEX(Database!$AS$5:$AS$515,MATCH(LARGE('Calc (scoring engine)'!$K$5:$K$515,14),'Calc (scoring engine)'!$K$5:$K$515,0))),""))</f>
        <v/>
      </c>
      <c r="AN34" s="18">
        <f>IF(OR(14&gt;MAX(3,MIN(15,N($D$18))),IFERROR(LARGE('Calc (scoring engine)'!$K$5:$K$515,14),-999999)&lt;=-900000),"",IFERROR(IF(INDEX(Database!$AT$5:$AT$515,MATCH(LARGE('Calc (scoring engine)'!$K$5:$K$515,14),'Calc (scoring engine)'!$K$5:$K$515,0))="","—",INDEX(Database!$AT$5:$AT$515,MATCH(LARGE('Calc (scoring engine)'!$K$5:$K$515,14),'Calc (scoring engine)'!$K$5:$K$515,0))),""))</f>
        <v/>
      </c>
      <c r="AO34" s="10">
        <f>IF(OR(14&gt;MAX(3,MIN(15,N($D$18))),IFERROR(LARGE('Calc (scoring engine)'!$K$5:$K$515,14),-999999)&lt;=-900000),"",IFERROR(IF(INDEX(Database!$AU$5:$AU$515,MATCH(LARGE('Calc (scoring engine)'!$K$5:$K$515,14),'Calc (scoring engine)'!$K$5:$K$515,0))="","—",INDEX(Database!$AU$5:$AU$515,MATCH(LARGE('Calc (scoring engine)'!$K$5:$K$515,14),'Calc (scoring engine)'!$K$5:$K$515,0))),""))</f>
        <v/>
      </c>
      <c r="AP34" s="24">
        <f>IF(OR(14&gt;MAX(3,MIN(15,N($D$18))),IFERROR(LARGE('Calc (scoring engine)'!$K$5:$K$515,14),-999999)&lt;=-900000),"",IFERROR(IF(N(INDEX(Database!$AV$5:$AV$515,MATCH(LARGE('Calc (scoring engine)'!$K$5:$K$515,14),'Calc (scoring engine)'!$K$5:$K$515,0)))&lt;=0,IF(INDEX(Database!$AU$5:$AU$515,MATCH(LARGE('Calc (scoring engine)'!$K$5:$K$515,14),'Calc (scoring engine)'!$K$5:$K$515,0))="N","n/m","—"),INDEX(Database!$AV$5:$AV$515,MATCH(LARGE('Calc (scoring engine)'!$K$5:$K$515,14),'Calc (scoring engine)'!$K$5:$K$515,0))),""))</f>
        <v/>
      </c>
      <c r="AQ34" s="24">
        <f>IF(OR(14&gt;MAX(3,MIN(15,N($D$18))),IFERROR(LARGE('Calc (scoring engine)'!$K$5:$K$515,14),-999999)&lt;=-900000),"",IFERROR(IF(INDEX(Database!$AW$5:$AW$515,MATCH(LARGE('Calc (scoring engine)'!$K$5:$K$515,14),'Calc (scoring engine)'!$K$5:$K$515,0))="","—",INDEX(Database!$AW$5:$AW$515,MATCH(LARGE('Calc (scoring engine)'!$K$5:$K$515,14),'Calc (scoring engine)'!$K$5:$K$515,0))),""))</f>
        <v/>
      </c>
      <c r="AR34" s="24">
        <f>IF(OR(14&gt;MAX(3,MIN(15,N($D$18))),IFERROR(LARGE('Calc (scoring engine)'!$K$5:$K$515,14),-999999)&lt;=-900000),"",IFERROR(IF(INDEX(Database!$AX$5:$AX$515,MATCH(LARGE('Calc (scoring engine)'!$K$5:$K$515,14),'Calc (scoring engine)'!$K$5:$K$515,0))="","—",INDEX(Database!$AX$5:$AX$515,MATCH(LARGE('Calc (scoring engine)'!$K$5:$K$515,14),'Calc (scoring engine)'!$K$5:$K$515,0))),""))</f>
        <v/>
      </c>
      <c r="AS34" s="24">
        <f>IF(OR(14&gt;MAX(3,MIN(15,N($D$18))),IFERROR(LARGE('Calc (scoring engine)'!$K$5:$K$515,14),-999999)&lt;=-900000),"",IFERROR(IF(INDEX(Database!$AY$5:$AY$515,MATCH(LARGE('Calc (scoring engine)'!$K$5:$K$515,14),'Calc (scoring engine)'!$K$5:$K$515,0))="","—",INDEX(Database!$AY$5:$AY$515,MATCH(LARGE('Calc (scoring engine)'!$K$5:$K$515,14),'Calc (scoring engine)'!$K$5:$K$515,0))),""))</f>
        <v/>
      </c>
      <c r="AT34" s="10">
        <f>IF(OR(14&gt;MAX(3,MIN(15,N($D$18))),IFERROR(LARGE('Calc (scoring engine)'!$K$5:$K$515,14),-999999)&lt;=-900000),"",IFERROR(IF(INDEX(Database!$AZ$5:$AZ$515,MATCH(LARGE('Calc (scoring engine)'!$K$5:$K$515,14),'Calc (scoring engine)'!$K$5:$K$515,0))="","—",INDEX(Database!$AZ$5:$AZ$515,MATCH(LARGE('Calc (scoring engine)'!$K$5:$K$515,14),'Calc (scoring engine)'!$K$5:$K$515,0))),""))</f>
        <v/>
      </c>
      <c r="AU34" s="10">
        <f>IF(OR(14&gt;MAX(3,MIN(15,N($D$18))),IFERROR(LARGE('Calc (scoring engine)'!$K$5:$K$515,14),-999999)&lt;=-900000),"",IFERROR(IF(INDEX(Database!$BA$5:$BA$515,MATCH(LARGE('Calc (scoring engine)'!$K$5:$K$515,14),'Calc (scoring engine)'!$K$5:$K$515,0))="","—",INDEX(Database!$BA$5:$BA$515,MATCH(LARGE('Calc (scoring engine)'!$K$5:$K$515,14),'Calc (scoring engine)'!$K$5:$K$515,0))),""))</f>
        <v/>
      </c>
      <c r="AV34" s="23">
        <f>IF(OR(14&gt;MAX(3,MIN(15,N($D$18))),IFERROR(LARGE('Calc (scoring engine)'!$K$5:$K$515,14),-999999)&lt;=-900000),"",IFERROR(IF(INDEX(Database!$BB$5:$BB$515,MATCH(LARGE('Calc (scoring engine)'!$K$5:$K$515,14),'Calc (scoring engine)'!$K$5:$K$515,0))="","—",INDEX(Database!$BB$5:$BB$515,MATCH(LARGE('Calc (scoring engine)'!$K$5:$K$515,14),'Calc (scoring engine)'!$K$5:$K$515,0))),""))</f>
        <v/>
      </c>
      <c r="AW34" s="39">
        <f>IF(OR(14&gt;MAX(3,MIN(15,N($D$18))),IFERROR(LARGE('Calc (scoring engine)'!$K$5:$K$515,14),-999999)&lt;=-900000),"",IFERROR(IF(INDEX(Database!$BC$5:$BC$515,MATCH(LARGE('Calc (scoring engine)'!$K$5:$K$515,14),'Calc (scoring engine)'!$K$5:$K$515,0))="","—",INDEX(Database!$BC$5:$BC$515,MATCH(LARGE('Calc (scoring engine)'!$K$5:$K$515,14),'Calc (scoring engine)'!$K$5:$K$515,0))),""))</f>
        <v/>
      </c>
      <c r="AX34" s="42">
        <f>IF(OR(14&gt;MAX(3,MIN(15,N($D$18))),IFERROR(LARGE('Calc (scoring engine)'!$K$5:$K$515,14),-999999)&lt;=-900000),"",IFERROR(IF(INDEX(Database!$BD$5:$BD$515,MATCH(LARGE('Calc (scoring engine)'!$K$5:$K$515,14),'Calc (scoring engine)'!$K$5:$K$515,0))="","—",INDEX(Database!$BD$5:$BD$515,MATCH(LARGE('Calc (scoring engine)'!$K$5:$K$515,14),'Calc (scoring engine)'!$K$5:$K$515,0))),""))</f>
        <v/>
      </c>
      <c r="AY34" s="24">
        <f>IF(OR(14&gt;MAX(3,MIN(15,N($D$18))),IFERROR(LARGE('Calc (scoring engine)'!$K$5:$K$515,14),-999999)&lt;=-900000),"",IFERROR(IF(INDEX(Database!$BE$5:$BE$515,MATCH(LARGE('Calc (scoring engine)'!$K$5:$K$515,14),'Calc (scoring engine)'!$K$5:$K$515,0))="","—",INDEX(Database!$BE$5:$BE$515,MATCH(LARGE('Calc (scoring engine)'!$K$5:$K$515,14),'Calc (scoring engine)'!$K$5:$K$515,0))),""))</f>
        <v/>
      </c>
      <c r="AZ34" s="24">
        <f>IF(OR(14&gt;MAX(3,MIN(15,N($D$18))),IFERROR(LARGE('Calc (scoring engine)'!$K$5:$K$515,14),-999999)&lt;=-900000),"",IFERROR(IF(INDEX(Database!$BF$5:$BF$515,MATCH(LARGE('Calc (scoring engine)'!$K$5:$K$515,14),'Calc (scoring engine)'!$K$5:$K$515,0))="","—",INDEX(Database!$BF$5:$BF$515,MATCH(LARGE('Calc (scoring engine)'!$K$5:$K$515,14),'Calc (scoring engine)'!$K$5:$K$515,0))),""))</f>
        <v/>
      </c>
      <c r="BA34" s="10">
        <f>IF(OR(14&gt;MAX(3,MIN(15,N($D$18))),IFERROR(LARGE('Calc (scoring engine)'!$K$5:$K$515,14),-999999)&lt;=-900000),"",IFERROR(IF(INDEX(Database!$BG$5:$BG$515,MATCH(LARGE('Calc (scoring engine)'!$K$5:$K$515,14),'Calc (scoring engine)'!$K$5:$K$515,0))="","—",INDEX(Database!$BG$5:$BG$515,MATCH(LARGE('Calc (scoring engine)'!$K$5:$K$515,14),'Calc (scoring engine)'!$K$5:$K$515,0))),""))</f>
        <v/>
      </c>
      <c r="BB34" s="10">
        <f>IF(OR(14&gt;MAX(3,MIN(15,N($D$18))),IFERROR(LARGE('Calc (scoring engine)'!$K$5:$K$515,14),-999999)&lt;=-900000),"",IFERROR(IF(INDEX(Database!$BI$5:$BI$515,MATCH(LARGE('Calc (scoring engine)'!$K$5:$K$515,14),'Calc (scoring engine)'!$K$5:$K$515,0))="","—",INDEX(Database!$BI$5:$BI$515,MATCH(LARGE('Calc (scoring engine)'!$K$5:$K$515,14),'Calc (scoring engine)'!$K$5:$K$515,0))),""))</f>
        <v/>
      </c>
      <c r="BC34" s="24">
        <f>IF(OR(14&gt;MAX(3,MIN(15,N($D$18))),IFERROR(LARGE('Calc (scoring engine)'!$K$5:$K$515,14),-999999)&lt;=-900000),"",IFERROR(IFERROR(BDP(TEXT(INDEX(Database!$A$5:$A$515,MATCH(LARGE('Calc (scoring engine)'!$K$5:$K$515,14),'Calc (scoring engine)'!$K$5:$K$515,0)),"0")&amp;" HK Equity","PE_RATIO"),IF(INDEX(Database!$AX$5:$AX$515,MATCH(LARGE('Calc (scoring engine)'!$K$5:$K$515,14),'Calc (scoring engine)'!$K$5:$K$515,0))="","—",INDEX(Database!$AX$5:$AX$515,MATCH(LARGE('Calc (scoring engine)'!$K$5:$K$515,14),'Calc (scoring engine)'!$K$5:$K$515,0)))),""))</f>
        <v/>
      </c>
      <c r="BD34" s="24">
        <f>IF(OR(14&gt;MAX(3,MIN(15,N($D$18))),IFERROR(LARGE('Calc (scoring engine)'!$K$5:$K$515,14),-999999)&lt;=-900000),"",IFERROR(IFERROR(BDP(TEXT(INDEX(Database!$A$5:$A$515,MATCH(LARGE('Calc (scoring engine)'!$K$5:$K$515,14),'Calc (scoring engine)'!$K$5:$K$515,0)),"0")&amp;" HK Equity","PX_TO_SALES_RATIO"),IF(INDEX(Database!$AY$5:$AY$515,MATCH(LARGE('Calc (scoring engine)'!$K$5:$K$515,14),'Calc (scoring engine)'!$K$5:$K$515,0))="","—",INDEX(Database!$AY$5:$AY$515,MATCH(LARGE('Calc (scoring engine)'!$K$5:$K$515,14),'Calc (scoring engine)'!$K$5:$K$515,0)))),""))</f>
        <v/>
      </c>
      <c r="BE34" s="43">
        <f>IF(OR(14&gt;MAX(3,MIN(15,N($D$18))),IFERROR(LARGE('Calc (scoring engine)'!$K$5:$K$515,14),-999999)&lt;=-900000),"",IFERROR(IF(INDEX('Calc (scoring engine)'!$H$5:$H$515,MATCH(LARGE('Calc (scoring engine)'!$K$5:$K$515,14),'Calc (scoring engine)'!$K$5:$K$515,0))&gt;0,INDEX('Calc (scoring engine)'!$H$5:$H$515,MATCH(LARGE('Calc (scoring engine)'!$K$5:$K$515,14),'Calc (scoring engine)'!$K$5:$K$515,0)),""),""))</f>
        <v/>
      </c>
      <c r="BF34" s="10">
        <f>IF(OR(14&gt;MAX(3,MIN(15,N($D$18))),IFERROR(LARGE('Calc (scoring engine)'!$K$5:$K$515,14),-999999)&lt;=-900000),"",IF(IFERROR(INDEX('Calc (scoring engine)'!$B$5:$B$515,MATCH(LARGE('Calc (scoring engine)'!$K$5:$K$515,14),'Calc (scoring engine)'!$K$5:$K$515,0)),0)=1,"same subsector","sector only"))</f>
        <v/>
      </c>
      <c r="BG34" s="43">
        <f>IF(OR(14&gt;MAX(3,MIN(15,N($D$18))),IFERROR(LARGE('Calc (scoring engine)'!$K$5:$K$515,14),-999999)&lt;=-900000),"",ROUND(IFERROR(LARGE('Calc (scoring engine)'!$K$5:$K$515,14),0),0))</f>
        <v/>
      </c>
      <c r="BH34" s="10">
        <f>IF(OR(14&gt;MAX(3,MIN(15,N($D$18))),IFERROR(LARGE('Calc (scoring engine)'!$K$5:$K$515,14),-999999)&lt;=-900000),"",IFERROR("sub "&amp;INDEX('Calc (scoring engine)'!$B$5:$B$515,MATCH(LARGE('Calc (scoring engine)'!$K$5:$K$515,14),'Calc (scoring engine)'!$K$5:$K$515,0))*W_SUB&amp;" + size "&amp;ROUND(INDEX('Calc (scoring engine)'!$D$5:$D$515,MATCH(LARGE('Calc (scoring engine)'!$K$5:$K$515,14),'Calc (scoring engine)'!$K$5:$K$515,0))*W_SIZE,0)&amp;" + prof "&amp;INDEX('Calc (scoring engine)'!$E$5:$E$515,MATCH(LARGE('Calc (scoring engine)'!$K$5:$K$515,14),'Calc (scoring engine)'!$K$5:$K$515,0))*W_PROF&amp;" + recency "&amp;ROUND(INDEX('Calc (scoring engine)'!$G$5:$G$515,MATCH(LARGE('Calc (scoring engine)'!$K$5:$K$515,14),'Calc (scoring engine)'!$K$5:$K$515,0))*W_REC,0)&amp;IF(INDEX('Calc (scoring engine)'!$H$5:$H$515,MATCH(LARGE('Calc (scoring engine)'!$K$5:$K$515,14),'Calc (scoring engine)'!$K$5:$K$515,0))&gt;0," + shared CS x"&amp;INDEX('Calc (scoring engine)'!$H$5:$H$515,MATCH(LARGE('Calc (scoring engine)'!$K$5:$K$515,14),'Calc (scoring engine)'!$K$5:$K$515,0)),""),""))</f>
        <v/>
      </c>
    </row>
    <row r="35">
      <c r="A35" s="38">
        <f>IF(OR(15&gt;MAX(3,MIN(15,N($D$18))),IFERROR(LARGE('Calc (scoring engine)'!$K$5:$K$515,15),-999999)&lt;=-900000),"",15)</f>
        <v/>
      </c>
      <c r="B35" s="10">
        <f>IF(OR(15&gt;MAX(3,MIN(15,N($D$18))),IFERROR(LARGE('Calc (scoring engine)'!$K$5:$K$515,15),-999999)&lt;=-900000),"",IFERROR(IF(INDEX(Database!$B$5:$B$515,MATCH(LARGE('Calc (scoring engine)'!$K$5:$K$515,15),'Calc (scoring engine)'!$K$5:$K$515,0))="","—",INDEX(Database!$B$5:$B$515,MATCH(LARGE('Calc (scoring engine)'!$K$5:$K$515,15),'Calc (scoring engine)'!$K$5:$K$515,0))),""))</f>
        <v/>
      </c>
      <c r="C35" s="10">
        <f>IF(OR(15&gt;MAX(3,MIN(15,N($D$18))),IFERROR(LARGE('Calc (scoring engine)'!$K$5:$K$515,15),-999999)&lt;=-900000),"",IFERROR(IF(INDEX(Database!$D$5:$D$515,MATCH(LARGE('Calc (scoring engine)'!$K$5:$K$515,15),'Calc (scoring engine)'!$K$5:$K$515,0))="","—",INDEX(Database!$D$5:$D$515,MATCH(LARGE('Calc (scoring engine)'!$K$5:$K$515,15),'Calc (scoring engine)'!$K$5:$K$515,0))),""))</f>
        <v/>
      </c>
      <c r="D35" s="10">
        <f>IF(OR(15&gt;MAX(3,MIN(15,N($D$18))),IFERROR(LARGE('Calc (scoring engine)'!$K$5:$K$515,15),-999999)&lt;=-900000),"",IFERROR(IF(INDEX(Database!$E$5:$E$515,MATCH(LARGE('Calc (scoring engine)'!$K$5:$K$515,15),'Calc (scoring engine)'!$K$5:$K$515,0))="","—",INDEX(Database!$E$5:$E$515,MATCH(LARGE('Calc (scoring engine)'!$K$5:$K$515,15),'Calc (scoring engine)'!$K$5:$K$515,0))),""))</f>
        <v/>
      </c>
      <c r="E35" s="10">
        <f>IF(OR(15&gt;MAX(3,MIN(15,N($D$18))),IFERROR(LARGE('Calc (scoring engine)'!$K$5:$K$515,15),-999999)&lt;=-900000),"",IFERROR(IF(INDEX(Database!$F$5:$F$515,MATCH(LARGE('Calc (scoring engine)'!$K$5:$K$515,15),'Calc (scoring engine)'!$K$5:$K$515,0))="","—",INDEX(Database!$F$5:$F$515,MATCH(LARGE('Calc (scoring engine)'!$K$5:$K$515,15),'Calc (scoring engine)'!$K$5:$K$515,0))),""))</f>
        <v/>
      </c>
      <c r="F35" s="10">
        <f>IF(OR(15&gt;MAX(3,MIN(15,N($D$18))),IFERROR(LARGE('Calc (scoring engine)'!$K$5:$K$515,15),-999999)&lt;=-900000),"",IFERROR(IF(INDEX(Database!$G$5:$G$515,MATCH(LARGE('Calc (scoring engine)'!$K$5:$K$515,15),'Calc (scoring engine)'!$K$5:$K$515,0))="","—",INDEX(Database!$G$5:$G$515,MATCH(LARGE('Calc (scoring engine)'!$K$5:$K$515,15),'Calc (scoring engine)'!$K$5:$K$515,0))),""))</f>
        <v/>
      </c>
      <c r="G35" s="21">
        <f>IF(OR(15&gt;MAX(3,MIN(15,N($D$18))),IFERROR(LARGE('Calc (scoring engine)'!$K$5:$K$515,15),-999999)&lt;=-900000),"",IFERROR(IF(INDEX(Database!$H$5:$H$515,MATCH(LARGE('Calc (scoring engine)'!$K$5:$K$515,15),'Calc (scoring engine)'!$K$5:$K$515,0))="","—",INDEX(Database!$H$5:$H$515,MATCH(LARGE('Calc (scoring engine)'!$K$5:$K$515,15),'Calc (scoring engine)'!$K$5:$K$515,0))),""))</f>
        <v/>
      </c>
      <c r="H35" s="18">
        <f>IF(OR(15&gt;MAX(3,MIN(15,N($D$18))),IFERROR(LARGE('Calc (scoring engine)'!$K$5:$K$515,15),-999999)&lt;=-900000),"",IFERROR(IF(INDEX(Database!$I$5:$I$515,MATCH(LARGE('Calc (scoring engine)'!$K$5:$K$515,15),'Calc (scoring engine)'!$K$5:$K$515,0))="","—",INDEX(Database!$I$5:$I$515,MATCH(LARGE('Calc (scoring engine)'!$K$5:$K$515,15),'Calc (scoring engine)'!$K$5:$K$515,0))),""))</f>
        <v/>
      </c>
      <c r="I35" s="39">
        <f>IF(OR(15&gt;MAX(3,MIN(15,N($D$18))),IFERROR(LARGE('Calc (scoring engine)'!$K$5:$K$515,15),-999999)&lt;=-900000),"",IFERROR(IF(INDEX(Database!$K$5:$K$515,MATCH(LARGE('Calc (scoring engine)'!$K$5:$K$515,15),'Calc (scoring engine)'!$K$5:$K$515,0))="","—",INDEX(Database!$K$5:$K$515,MATCH(LARGE('Calc (scoring engine)'!$K$5:$K$515,15),'Calc (scoring engine)'!$K$5:$K$515,0))),""))</f>
        <v/>
      </c>
      <c r="J35" s="39">
        <f>IF(OR(15&gt;MAX(3,MIN(15,N($D$18))),IFERROR(LARGE('Calc (scoring engine)'!$K$5:$K$515,15),-999999)&lt;=-900000),"",IFERROR(IF(INDEX(Database!$L$5:$L$515,MATCH(LARGE('Calc (scoring engine)'!$K$5:$K$515,15),'Calc (scoring engine)'!$K$5:$K$515,0))="","—",INDEX(Database!$L$5:$L$515,MATCH(LARGE('Calc (scoring engine)'!$K$5:$K$515,15),'Calc (scoring engine)'!$K$5:$K$515,0))),""))</f>
        <v/>
      </c>
      <c r="K35" s="39">
        <f>IF(OR(15&gt;MAX(3,MIN(15,N($D$18))),IFERROR(LARGE('Calc (scoring engine)'!$K$5:$K$515,15),-999999)&lt;=-900000),"",IFERROR(IF(INDEX(Database!$M$5:$M$515,MATCH(LARGE('Calc (scoring engine)'!$K$5:$K$515,15),'Calc (scoring engine)'!$K$5:$K$515,0))="","—",INDEX(Database!$M$5:$M$515,MATCH(LARGE('Calc (scoring engine)'!$K$5:$K$515,15),'Calc (scoring engine)'!$K$5:$K$515,0))),""))</f>
        <v/>
      </c>
      <c r="L35" s="10">
        <f>IF(OR(15&gt;MAX(3,MIN(15,N($D$18))),IFERROR(LARGE('Calc (scoring engine)'!$K$5:$K$515,15),-999999)&lt;=-900000),"",IFERROR(IF(INDEX(Database!$N$5:$N$515,MATCH(LARGE('Calc (scoring engine)'!$K$5:$K$515,15),'Calc (scoring engine)'!$K$5:$K$515,0))="","—",INDEX(Database!$N$5:$N$515,MATCH(LARGE('Calc (scoring engine)'!$K$5:$K$515,15),'Calc (scoring engine)'!$K$5:$K$515,0))),""))</f>
        <v/>
      </c>
      <c r="M35" s="28">
        <f>IF(OR(15&gt;MAX(3,MIN(15,N($D$18))),IFERROR(LARGE('Calc (scoring engine)'!$K$5:$K$515,15),-999999)&lt;=-900000),"",IFERROR(IF(INDEX(Database!$O$5:$O$515,MATCH(LARGE('Calc (scoring engine)'!$K$5:$K$515,15),'Calc (scoring engine)'!$K$5:$K$515,0))="","—",INDEX(Database!$O$5:$O$515,MATCH(LARGE('Calc (scoring engine)'!$K$5:$K$515,15),'Calc (scoring engine)'!$K$5:$K$515,0))),""))</f>
        <v/>
      </c>
      <c r="N35" s="28">
        <f>IF(OR(15&gt;MAX(3,MIN(15,N($D$18))),IFERROR(LARGE('Calc (scoring engine)'!$K$5:$K$515,15),-999999)&lt;=-900000),"",IFERROR(IF(INDEX(Database!$P$5:$P$515,MATCH(LARGE('Calc (scoring engine)'!$K$5:$K$515,15),'Calc (scoring engine)'!$K$5:$K$515,0))="","—",INDEX(Database!$P$5:$P$515,MATCH(LARGE('Calc (scoring engine)'!$K$5:$K$515,15),'Calc (scoring engine)'!$K$5:$K$515,0))),""))</f>
        <v/>
      </c>
      <c r="O35" s="18">
        <f>IF(OR(15&gt;MAX(3,MIN(15,N($D$18))),IFERROR(LARGE('Calc (scoring engine)'!$K$5:$K$515,15),-999999)&lt;=-900000),"",IFERROR(IF(INDEX(Database!$Q$5:$Q$515,MATCH(LARGE('Calc (scoring engine)'!$K$5:$K$515,15),'Calc (scoring engine)'!$K$5:$K$515,0))="","—",INDEX(Database!$Q$5:$Q$515,MATCH(LARGE('Calc (scoring engine)'!$K$5:$K$515,15),'Calc (scoring engine)'!$K$5:$K$515,0))),""))</f>
        <v/>
      </c>
      <c r="P35" s="26">
        <f>IF(OR(15&gt;MAX(3,MIN(15,N($D$18))),IFERROR(LARGE('Calc (scoring engine)'!$K$5:$K$515,15),-999999)&lt;=-900000),"",IFERROR(IF(INDEX(Database!$S$5:$S$515,MATCH(LARGE('Calc (scoring engine)'!$K$5:$K$515,15),'Calc (scoring engine)'!$K$5:$K$515,0))="","—",INDEX(Database!$S$5:$S$515,MATCH(LARGE('Calc (scoring engine)'!$K$5:$K$515,15),'Calc (scoring engine)'!$K$5:$K$515,0))),""))</f>
        <v/>
      </c>
      <c r="Q35" s="40">
        <f>IF(OR(15&gt;MAX(3,MIN(15,N($D$18))),IFERROR(LARGE('Calc (scoring engine)'!$K$5:$K$515,15),-999999)&lt;=-900000),"",IFERROR(IF(INDEX(Database!$T$5:$T$515,MATCH(LARGE('Calc (scoring engine)'!$K$5:$K$515,15),'Calc (scoring engine)'!$K$5:$K$515,0))="","—",INDEX(Database!$T$5:$T$515,MATCH(LARGE('Calc (scoring engine)'!$K$5:$K$515,15),'Calc (scoring engine)'!$K$5:$K$515,0))),""))</f>
        <v/>
      </c>
      <c r="R35" s="41">
        <f>IF(OR(15&gt;MAX(3,MIN(15,N($D$18))),IFERROR(LARGE('Calc (scoring engine)'!$K$5:$K$515,15),-999999)&lt;=-900000),"",IFERROR(IF(INDEX(Database!$U$5:$U$515,MATCH(LARGE('Calc (scoring engine)'!$K$5:$K$515,15),'Calc (scoring engine)'!$K$5:$K$515,0))="","—",INDEX(Database!$U$5:$U$515,MATCH(LARGE('Calc (scoring engine)'!$K$5:$K$515,15),'Calc (scoring engine)'!$K$5:$K$515,0))),""))</f>
        <v/>
      </c>
      <c r="S35" s="28">
        <f>IF(OR(15&gt;MAX(3,MIN(15,N($D$18))),IFERROR(LARGE('Calc (scoring engine)'!$K$5:$K$515,15),-999999)&lt;=-900000),"",IFERROR(IF(INDEX(Database!$V$5:$V$515,MATCH(LARGE('Calc (scoring engine)'!$K$5:$K$515,15),'Calc (scoring engine)'!$K$5:$K$515,0))="","—",INDEX(Database!$V$5:$V$515,MATCH(LARGE('Calc (scoring engine)'!$K$5:$K$515,15),'Calc (scoring engine)'!$K$5:$K$515,0))),""))</f>
        <v/>
      </c>
      <c r="T35" s="10">
        <f>IF(OR(15&gt;MAX(3,MIN(15,N($D$18))),IFERROR(LARGE('Calc (scoring engine)'!$K$5:$K$515,15),-999999)&lt;=-900000),"",IFERROR(IF(INDEX(Database!$W$5:$W$515,MATCH(LARGE('Calc (scoring engine)'!$K$5:$K$515,15),'Calc (scoring engine)'!$K$5:$K$515,0))="","—",INDEX(Database!$W$5:$W$515,MATCH(LARGE('Calc (scoring engine)'!$K$5:$K$515,15),'Calc (scoring engine)'!$K$5:$K$515,0))),""))</f>
        <v/>
      </c>
      <c r="U35" s="28">
        <f>IF(OR(15&gt;MAX(3,MIN(15,N($D$18))),IFERROR(LARGE('Calc (scoring engine)'!$K$5:$K$515,15),-999999)&lt;=-900000),"",IFERROR(IF(INDEX(Database!$Y$5:$Y$515,MATCH(LARGE('Calc (scoring engine)'!$K$5:$K$515,15),'Calc (scoring engine)'!$K$5:$K$515,0))="","—",INDEX(Database!$Y$5:$Y$515,MATCH(LARGE('Calc (scoring engine)'!$K$5:$K$515,15),'Calc (scoring engine)'!$K$5:$K$515,0))),""))</f>
        <v/>
      </c>
      <c r="V35" s="10">
        <f>IF(OR(15&gt;MAX(3,MIN(15,N($D$18))),IFERROR(LARGE('Calc (scoring engine)'!$K$5:$K$515,15),-999999)&lt;=-900000),"",IFERROR(IF(INDEX(Database!$Z$5:$Z$515,MATCH(LARGE('Calc (scoring engine)'!$K$5:$K$515,15),'Calc (scoring engine)'!$K$5:$K$515,0))="","—",INDEX(Database!$Z$5:$Z$515,MATCH(LARGE('Calc (scoring engine)'!$K$5:$K$515,15),'Calc (scoring engine)'!$K$5:$K$515,0))),""))</f>
        <v/>
      </c>
      <c r="W35" s="23">
        <f>IF(OR(15&gt;MAX(3,MIN(15,N($D$18))),IFERROR(LARGE('Calc (scoring engine)'!$K$5:$K$515,15),-999999)&lt;=-900000),"",IFERROR(IF(INDEX(Database!$AA$5:$AA$515,MATCH(LARGE('Calc (scoring engine)'!$K$5:$K$515,15),'Calc (scoring engine)'!$K$5:$K$515,0))="","—",INDEX(Database!$AA$5:$AA$515,MATCH(LARGE('Calc (scoring engine)'!$K$5:$K$515,15),'Calc (scoring engine)'!$K$5:$K$515,0))),""))</f>
        <v/>
      </c>
      <c r="X35" s="23">
        <f>IF(OR(15&gt;MAX(3,MIN(15,N($D$18))),IFERROR(LARGE('Calc (scoring engine)'!$K$5:$K$515,15),-999999)&lt;=-900000),"",IFERROR(IF(INDEX(Database!$AB$5:$AB$515,MATCH(LARGE('Calc (scoring engine)'!$K$5:$K$515,15),'Calc (scoring engine)'!$K$5:$K$515,0))="","—",INDEX(Database!$AB$5:$AB$515,MATCH(LARGE('Calc (scoring engine)'!$K$5:$K$515,15),'Calc (scoring engine)'!$K$5:$K$515,0))),""))</f>
        <v/>
      </c>
      <c r="Y35" s="23">
        <f>IF(OR(15&gt;MAX(3,MIN(15,N($D$18))),IFERROR(LARGE('Calc (scoring engine)'!$K$5:$K$515,15),-999999)&lt;=-900000),"",IFERROR(IF(INDEX(Database!$AC$5:$AC$515,MATCH(LARGE('Calc (scoring engine)'!$K$5:$K$515,15),'Calc (scoring engine)'!$K$5:$K$515,0))="","—",INDEX(Database!$AC$5:$AC$515,MATCH(LARGE('Calc (scoring engine)'!$K$5:$K$515,15),'Calc (scoring engine)'!$K$5:$K$515,0))),""))</f>
        <v/>
      </c>
      <c r="Z35" s="23">
        <f>IF(OR(15&gt;MAX(3,MIN(15,N($D$18))),IFERROR(LARGE('Calc (scoring engine)'!$K$5:$K$515,15),-999999)&lt;=-900000),"",IFERROR(IF(INDEX(Database!$AD$5:$AD$515,MATCH(LARGE('Calc (scoring engine)'!$K$5:$K$515,15),'Calc (scoring engine)'!$K$5:$K$515,0))="","—",INDEX(Database!$AD$5:$AD$515,MATCH(LARGE('Calc (scoring engine)'!$K$5:$K$515,15),'Calc (scoring engine)'!$K$5:$K$515,0))),""))</f>
        <v/>
      </c>
      <c r="AA35" s="23">
        <f>IF(OR(15&gt;MAX(3,MIN(15,N($D$18))),IFERROR(LARGE('Calc (scoring engine)'!$K$5:$K$515,15),-999999)&lt;=-900000),"",IFERROR(IF(INDEX(Database!$AE$5:$AE$515,MATCH(LARGE('Calc (scoring engine)'!$K$5:$K$515,15),'Calc (scoring engine)'!$K$5:$K$515,0))="","—",INDEX(Database!$AE$5:$AE$515,MATCH(LARGE('Calc (scoring engine)'!$K$5:$K$515,15),'Calc (scoring engine)'!$K$5:$K$515,0))),""))</f>
        <v/>
      </c>
      <c r="AB35" s="23">
        <f>IF(OR(15&gt;MAX(3,MIN(15,N($D$18))),IFERROR(LARGE('Calc (scoring engine)'!$K$5:$K$515,15),-999999)&lt;=-900000),"",IFERROR(IF(INDEX(Database!$AF$5:$AF$515,MATCH(LARGE('Calc (scoring engine)'!$K$5:$K$515,15),'Calc (scoring engine)'!$K$5:$K$515,0))="","—",INDEX(Database!$AF$5:$AF$515,MATCH(LARGE('Calc (scoring engine)'!$K$5:$K$515,15),'Calc (scoring engine)'!$K$5:$K$515,0))),""))</f>
        <v/>
      </c>
      <c r="AC35" s="23">
        <f>IF(OR(15&gt;MAX(3,MIN(15,N($D$18))),IFERROR(LARGE('Calc (scoring engine)'!$K$5:$K$515,15),-999999)&lt;=-900000),"",IFERROR(IF(INDEX(Database!$AG$5:$AG$515,MATCH(LARGE('Calc (scoring engine)'!$K$5:$K$515,15),'Calc (scoring engine)'!$K$5:$K$515,0))="","—",INDEX(Database!$AG$5:$AG$515,MATCH(LARGE('Calc (scoring engine)'!$K$5:$K$515,15),'Calc (scoring engine)'!$K$5:$K$515,0))),""))</f>
        <v/>
      </c>
      <c r="AD35" s="23">
        <f>IF(OR(15&gt;MAX(3,MIN(15,N($D$18))),IFERROR(LARGE('Calc (scoring engine)'!$K$5:$K$515,15),-999999)&lt;=-900000),"",IFERROR(IF(INDEX(Database!$AH$5:$AH$515,MATCH(LARGE('Calc (scoring engine)'!$K$5:$K$515,15),'Calc (scoring engine)'!$K$5:$K$515,0))="","—",INDEX(Database!$AH$5:$AH$515,MATCH(LARGE('Calc (scoring engine)'!$K$5:$K$515,15),'Calc (scoring engine)'!$K$5:$K$515,0))),""))</f>
        <v/>
      </c>
      <c r="AE35" s="23">
        <f>IF(OR(15&gt;MAX(3,MIN(15,N($D$18))),IFERROR(LARGE('Calc (scoring engine)'!$K$5:$K$515,15),-999999)&lt;=-900000),"",IFERROR(IF(INDEX(Database!$AI$5:$AI$515,MATCH(LARGE('Calc (scoring engine)'!$K$5:$K$515,15),'Calc (scoring engine)'!$K$5:$K$515,0))="","—",INDEX(Database!$AI$5:$AI$515,MATCH(LARGE('Calc (scoring engine)'!$K$5:$K$515,15),'Calc (scoring engine)'!$K$5:$K$515,0))),""))</f>
        <v/>
      </c>
      <c r="AF35" s="23">
        <f>IF(OR(15&gt;MAX(3,MIN(15,N($D$18))),IFERROR(LARGE('Calc (scoring engine)'!$K$5:$K$515,15),-999999)&lt;=-900000),"",IFERROR(IF(INDEX(Database!$AJ$5:$AJ$515,MATCH(LARGE('Calc (scoring engine)'!$K$5:$K$515,15),'Calc (scoring engine)'!$K$5:$K$515,0))="","—",INDEX(Database!$AJ$5:$AJ$515,MATCH(LARGE('Calc (scoring engine)'!$K$5:$K$515,15),'Calc (scoring engine)'!$K$5:$K$515,0))),""))</f>
        <v/>
      </c>
      <c r="AG35" s="23">
        <f>IF(OR(15&gt;MAX(3,MIN(15,N($D$18))),IFERROR(LARGE('Calc (scoring engine)'!$K$5:$K$515,15),-999999)&lt;=-900000),"",IFERROR(IF(INDEX(Database!$AK$5:$AK$515,MATCH(LARGE('Calc (scoring engine)'!$K$5:$K$515,15),'Calc (scoring engine)'!$K$5:$K$515,0))="","—",INDEX(Database!$AK$5:$AK$515,MATCH(LARGE('Calc (scoring engine)'!$K$5:$K$515,15),'Calc (scoring engine)'!$K$5:$K$515,0))),""))</f>
        <v/>
      </c>
      <c r="AH35" s="23">
        <f>IF(OR(15&gt;MAX(3,MIN(15,N($D$18))),IFERROR(LARGE('Calc (scoring engine)'!$K$5:$K$515,15),-999999)&lt;=-900000),"",IFERROR(IF(INDEX(Database!$AL$5:$AL$515,MATCH(LARGE('Calc (scoring engine)'!$K$5:$K$515,15),'Calc (scoring engine)'!$K$5:$K$515,0))="","—",INDEX(Database!$AL$5:$AL$515,MATCH(LARGE('Calc (scoring engine)'!$K$5:$K$515,15),'Calc (scoring engine)'!$K$5:$K$515,0))),""))</f>
        <v/>
      </c>
      <c r="AI35" s="23">
        <f>IF(OR(15&gt;MAX(3,MIN(15,N($D$18))),IFERROR(LARGE('Calc (scoring engine)'!$K$5:$K$515,15),-999999)&lt;=-900000),"",IFERROR(IF(INDEX(Database!$AM$5:$AM$515,MATCH(LARGE('Calc (scoring engine)'!$K$5:$K$515,15),'Calc (scoring engine)'!$K$5:$K$515,0))="","—",INDEX(Database!$AM$5:$AM$515,MATCH(LARGE('Calc (scoring engine)'!$K$5:$K$515,15),'Calc (scoring engine)'!$K$5:$K$515,0))),""))</f>
        <v/>
      </c>
      <c r="AJ35" s="23">
        <f>IF(OR(15&gt;MAX(3,MIN(15,N($D$18))),IFERROR(LARGE('Calc (scoring engine)'!$K$5:$K$515,15),-999999)&lt;=-900000),"",IFERROR(IF(INDEX(Database!$AN$5:$AN$515,MATCH(LARGE('Calc (scoring engine)'!$K$5:$K$515,15),'Calc (scoring engine)'!$K$5:$K$515,0))="","—",INDEX(Database!$AN$5:$AN$515,MATCH(LARGE('Calc (scoring engine)'!$K$5:$K$515,15),'Calc (scoring engine)'!$K$5:$K$515,0))),""))</f>
        <v/>
      </c>
      <c r="AK35" s="23">
        <f>IF(OR(15&gt;MAX(3,MIN(15,N($D$18))),IFERROR(LARGE('Calc (scoring engine)'!$K$5:$K$515,15),-999999)&lt;=-900000),"",IFERROR(IF(INDEX(Database!$AO$5:$AO$515,MATCH(LARGE('Calc (scoring engine)'!$K$5:$K$515,15),'Calc (scoring engine)'!$K$5:$K$515,0))="","—",INDEX(Database!$AO$5:$AO$515,MATCH(LARGE('Calc (scoring engine)'!$K$5:$K$515,15),'Calc (scoring engine)'!$K$5:$K$515,0))),""))</f>
        <v/>
      </c>
      <c r="AL35" s="23">
        <f>IF(OR(15&gt;MAX(3,MIN(15,N($D$18))),IFERROR(LARGE('Calc (scoring engine)'!$K$5:$K$515,15),-999999)&lt;=-900000),"",IFERROR(IF(INDEX(Database!$AQ$5:$AQ$515,MATCH(LARGE('Calc (scoring engine)'!$K$5:$K$515,15),'Calc (scoring engine)'!$K$5:$K$515,0))="","—",INDEX(Database!$AQ$5:$AQ$515,MATCH(LARGE('Calc (scoring engine)'!$K$5:$K$515,15),'Calc (scoring engine)'!$K$5:$K$515,0))),""))</f>
        <v/>
      </c>
      <c r="AM35" s="18">
        <f>IF(OR(15&gt;MAX(3,MIN(15,N($D$18))),IFERROR(LARGE('Calc (scoring engine)'!$K$5:$K$515,15),-999999)&lt;=-900000),"",IFERROR(IF(INDEX(Database!$AS$5:$AS$515,MATCH(LARGE('Calc (scoring engine)'!$K$5:$K$515,15),'Calc (scoring engine)'!$K$5:$K$515,0))="","—",INDEX(Database!$AS$5:$AS$515,MATCH(LARGE('Calc (scoring engine)'!$K$5:$K$515,15),'Calc (scoring engine)'!$K$5:$K$515,0))),""))</f>
        <v/>
      </c>
      <c r="AN35" s="18">
        <f>IF(OR(15&gt;MAX(3,MIN(15,N($D$18))),IFERROR(LARGE('Calc (scoring engine)'!$K$5:$K$515,15),-999999)&lt;=-900000),"",IFERROR(IF(INDEX(Database!$AT$5:$AT$515,MATCH(LARGE('Calc (scoring engine)'!$K$5:$K$515,15),'Calc (scoring engine)'!$K$5:$K$515,0))="","—",INDEX(Database!$AT$5:$AT$515,MATCH(LARGE('Calc (scoring engine)'!$K$5:$K$515,15),'Calc (scoring engine)'!$K$5:$K$515,0))),""))</f>
        <v/>
      </c>
      <c r="AO35" s="10">
        <f>IF(OR(15&gt;MAX(3,MIN(15,N($D$18))),IFERROR(LARGE('Calc (scoring engine)'!$K$5:$K$515,15),-999999)&lt;=-900000),"",IFERROR(IF(INDEX(Database!$AU$5:$AU$515,MATCH(LARGE('Calc (scoring engine)'!$K$5:$K$515,15),'Calc (scoring engine)'!$K$5:$K$515,0))="","—",INDEX(Database!$AU$5:$AU$515,MATCH(LARGE('Calc (scoring engine)'!$K$5:$K$515,15),'Calc (scoring engine)'!$K$5:$K$515,0))),""))</f>
        <v/>
      </c>
      <c r="AP35" s="24">
        <f>IF(OR(15&gt;MAX(3,MIN(15,N($D$18))),IFERROR(LARGE('Calc (scoring engine)'!$K$5:$K$515,15),-999999)&lt;=-900000),"",IFERROR(IF(N(INDEX(Database!$AV$5:$AV$515,MATCH(LARGE('Calc (scoring engine)'!$K$5:$K$515,15),'Calc (scoring engine)'!$K$5:$K$515,0)))&lt;=0,IF(INDEX(Database!$AU$5:$AU$515,MATCH(LARGE('Calc (scoring engine)'!$K$5:$K$515,15),'Calc (scoring engine)'!$K$5:$K$515,0))="N","n/m","—"),INDEX(Database!$AV$5:$AV$515,MATCH(LARGE('Calc (scoring engine)'!$K$5:$K$515,15),'Calc (scoring engine)'!$K$5:$K$515,0))),""))</f>
        <v/>
      </c>
      <c r="AQ35" s="24">
        <f>IF(OR(15&gt;MAX(3,MIN(15,N($D$18))),IFERROR(LARGE('Calc (scoring engine)'!$K$5:$K$515,15),-999999)&lt;=-900000),"",IFERROR(IF(INDEX(Database!$AW$5:$AW$515,MATCH(LARGE('Calc (scoring engine)'!$K$5:$K$515,15),'Calc (scoring engine)'!$K$5:$K$515,0))="","—",INDEX(Database!$AW$5:$AW$515,MATCH(LARGE('Calc (scoring engine)'!$K$5:$K$515,15),'Calc (scoring engine)'!$K$5:$K$515,0))),""))</f>
        <v/>
      </c>
      <c r="AR35" s="24">
        <f>IF(OR(15&gt;MAX(3,MIN(15,N($D$18))),IFERROR(LARGE('Calc (scoring engine)'!$K$5:$K$515,15),-999999)&lt;=-900000),"",IFERROR(IF(INDEX(Database!$AX$5:$AX$515,MATCH(LARGE('Calc (scoring engine)'!$K$5:$K$515,15),'Calc (scoring engine)'!$K$5:$K$515,0))="","—",INDEX(Database!$AX$5:$AX$515,MATCH(LARGE('Calc (scoring engine)'!$K$5:$K$515,15),'Calc (scoring engine)'!$K$5:$K$515,0))),""))</f>
        <v/>
      </c>
      <c r="AS35" s="24">
        <f>IF(OR(15&gt;MAX(3,MIN(15,N($D$18))),IFERROR(LARGE('Calc (scoring engine)'!$K$5:$K$515,15),-999999)&lt;=-900000),"",IFERROR(IF(INDEX(Database!$AY$5:$AY$515,MATCH(LARGE('Calc (scoring engine)'!$K$5:$K$515,15),'Calc (scoring engine)'!$K$5:$K$515,0))="","—",INDEX(Database!$AY$5:$AY$515,MATCH(LARGE('Calc (scoring engine)'!$K$5:$K$515,15),'Calc (scoring engine)'!$K$5:$K$515,0))),""))</f>
        <v/>
      </c>
      <c r="AT35" s="10">
        <f>IF(OR(15&gt;MAX(3,MIN(15,N($D$18))),IFERROR(LARGE('Calc (scoring engine)'!$K$5:$K$515,15),-999999)&lt;=-900000),"",IFERROR(IF(INDEX(Database!$AZ$5:$AZ$515,MATCH(LARGE('Calc (scoring engine)'!$K$5:$K$515,15),'Calc (scoring engine)'!$K$5:$K$515,0))="","—",INDEX(Database!$AZ$5:$AZ$515,MATCH(LARGE('Calc (scoring engine)'!$K$5:$K$515,15),'Calc (scoring engine)'!$K$5:$K$515,0))),""))</f>
        <v/>
      </c>
      <c r="AU35" s="10">
        <f>IF(OR(15&gt;MAX(3,MIN(15,N($D$18))),IFERROR(LARGE('Calc (scoring engine)'!$K$5:$K$515,15),-999999)&lt;=-900000),"",IFERROR(IF(INDEX(Database!$BA$5:$BA$515,MATCH(LARGE('Calc (scoring engine)'!$K$5:$K$515,15),'Calc (scoring engine)'!$K$5:$K$515,0))="","—",INDEX(Database!$BA$5:$BA$515,MATCH(LARGE('Calc (scoring engine)'!$K$5:$K$515,15),'Calc (scoring engine)'!$K$5:$K$515,0))),""))</f>
        <v/>
      </c>
      <c r="AV35" s="23">
        <f>IF(OR(15&gt;MAX(3,MIN(15,N($D$18))),IFERROR(LARGE('Calc (scoring engine)'!$K$5:$K$515,15),-999999)&lt;=-900000),"",IFERROR(IF(INDEX(Database!$BB$5:$BB$515,MATCH(LARGE('Calc (scoring engine)'!$K$5:$K$515,15),'Calc (scoring engine)'!$K$5:$K$515,0))="","—",INDEX(Database!$BB$5:$BB$515,MATCH(LARGE('Calc (scoring engine)'!$K$5:$K$515,15),'Calc (scoring engine)'!$K$5:$K$515,0))),""))</f>
        <v/>
      </c>
      <c r="AW35" s="39">
        <f>IF(OR(15&gt;MAX(3,MIN(15,N($D$18))),IFERROR(LARGE('Calc (scoring engine)'!$K$5:$K$515,15),-999999)&lt;=-900000),"",IFERROR(IF(INDEX(Database!$BC$5:$BC$515,MATCH(LARGE('Calc (scoring engine)'!$K$5:$K$515,15),'Calc (scoring engine)'!$K$5:$K$515,0))="","—",INDEX(Database!$BC$5:$BC$515,MATCH(LARGE('Calc (scoring engine)'!$K$5:$K$515,15),'Calc (scoring engine)'!$K$5:$K$515,0))),""))</f>
        <v/>
      </c>
      <c r="AX35" s="42">
        <f>IF(OR(15&gt;MAX(3,MIN(15,N($D$18))),IFERROR(LARGE('Calc (scoring engine)'!$K$5:$K$515,15),-999999)&lt;=-900000),"",IFERROR(IF(INDEX(Database!$BD$5:$BD$515,MATCH(LARGE('Calc (scoring engine)'!$K$5:$K$515,15),'Calc (scoring engine)'!$K$5:$K$515,0))="","—",INDEX(Database!$BD$5:$BD$515,MATCH(LARGE('Calc (scoring engine)'!$K$5:$K$515,15),'Calc (scoring engine)'!$K$5:$K$515,0))),""))</f>
        <v/>
      </c>
      <c r="AY35" s="24">
        <f>IF(OR(15&gt;MAX(3,MIN(15,N($D$18))),IFERROR(LARGE('Calc (scoring engine)'!$K$5:$K$515,15),-999999)&lt;=-900000),"",IFERROR(IF(INDEX(Database!$BE$5:$BE$515,MATCH(LARGE('Calc (scoring engine)'!$K$5:$K$515,15),'Calc (scoring engine)'!$K$5:$K$515,0))="","—",INDEX(Database!$BE$5:$BE$515,MATCH(LARGE('Calc (scoring engine)'!$K$5:$K$515,15),'Calc (scoring engine)'!$K$5:$K$515,0))),""))</f>
        <v/>
      </c>
      <c r="AZ35" s="24">
        <f>IF(OR(15&gt;MAX(3,MIN(15,N($D$18))),IFERROR(LARGE('Calc (scoring engine)'!$K$5:$K$515,15),-999999)&lt;=-900000),"",IFERROR(IF(INDEX(Database!$BF$5:$BF$515,MATCH(LARGE('Calc (scoring engine)'!$K$5:$K$515,15),'Calc (scoring engine)'!$K$5:$K$515,0))="","—",INDEX(Database!$BF$5:$BF$515,MATCH(LARGE('Calc (scoring engine)'!$K$5:$K$515,15),'Calc (scoring engine)'!$K$5:$K$515,0))),""))</f>
        <v/>
      </c>
      <c r="BA35" s="10">
        <f>IF(OR(15&gt;MAX(3,MIN(15,N($D$18))),IFERROR(LARGE('Calc (scoring engine)'!$K$5:$K$515,15),-999999)&lt;=-900000),"",IFERROR(IF(INDEX(Database!$BG$5:$BG$515,MATCH(LARGE('Calc (scoring engine)'!$K$5:$K$515,15),'Calc (scoring engine)'!$K$5:$K$515,0))="","—",INDEX(Database!$BG$5:$BG$515,MATCH(LARGE('Calc (scoring engine)'!$K$5:$K$515,15),'Calc (scoring engine)'!$K$5:$K$515,0))),""))</f>
        <v/>
      </c>
      <c r="BB35" s="10">
        <f>IF(OR(15&gt;MAX(3,MIN(15,N($D$18))),IFERROR(LARGE('Calc (scoring engine)'!$K$5:$K$515,15),-999999)&lt;=-900000),"",IFERROR(IF(INDEX(Database!$BI$5:$BI$515,MATCH(LARGE('Calc (scoring engine)'!$K$5:$K$515,15),'Calc (scoring engine)'!$K$5:$K$515,0))="","—",INDEX(Database!$BI$5:$BI$515,MATCH(LARGE('Calc (scoring engine)'!$K$5:$K$515,15),'Calc (scoring engine)'!$K$5:$K$515,0))),""))</f>
        <v/>
      </c>
      <c r="BC35" s="24">
        <f>IF(OR(15&gt;MAX(3,MIN(15,N($D$18))),IFERROR(LARGE('Calc (scoring engine)'!$K$5:$K$515,15),-999999)&lt;=-900000),"",IFERROR(IFERROR(BDP(TEXT(INDEX(Database!$A$5:$A$515,MATCH(LARGE('Calc (scoring engine)'!$K$5:$K$515,15),'Calc (scoring engine)'!$K$5:$K$515,0)),"0")&amp;" HK Equity","PE_RATIO"),IF(INDEX(Database!$AX$5:$AX$515,MATCH(LARGE('Calc (scoring engine)'!$K$5:$K$515,15),'Calc (scoring engine)'!$K$5:$K$515,0))="","—",INDEX(Database!$AX$5:$AX$515,MATCH(LARGE('Calc (scoring engine)'!$K$5:$K$515,15),'Calc (scoring engine)'!$K$5:$K$515,0)))),""))</f>
        <v/>
      </c>
      <c r="BD35" s="24">
        <f>IF(OR(15&gt;MAX(3,MIN(15,N($D$18))),IFERROR(LARGE('Calc (scoring engine)'!$K$5:$K$515,15),-999999)&lt;=-900000),"",IFERROR(IFERROR(BDP(TEXT(INDEX(Database!$A$5:$A$515,MATCH(LARGE('Calc (scoring engine)'!$K$5:$K$515,15),'Calc (scoring engine)'!$K$5:$K$515,0)),"0")&amp;" HK Equity","PX_TO_SALES_RATIO"),IF(INDEX(Database!$AY$5:$AY$515,MATCH(LARGE('Calc (scoring engine)'!$K$5:$K$515,15),'Calc (scoring engine)'!$K$5:$K$515,0))="","—",INDEX(Database!$AY$5:$AY$515,MATCH(LARGE('Calc (scoring engine)'!$K$5:$K$515,15),'Calc (scoring engine)'!$K$5:$K$515,0)))),""))</f>
        <v/>
      </c>
      <c r="BE35" s="43">
        <f>IF(OR(15&gt;MAX(3,MIN(15,N($D$18))),IFERROR(LARGE('Calc (scoring engine)'!$K$5:$K$515,15),-999999)&lt;=-900000),"",IFERROR(IF(INDEX('Calc (scoring engine)'!$H$5:$H$515,MATCH(LARGE('Calc (scoring engine)'!$K$5:$K$515,15),'Calc (scoring engine)'!$K$5:$K$515,0))&gt;0,INDEX('Calc (scoring engine)'!$H$5:$H$515,MATCH(LARGE('Calc (scoring engine)'!$K$5:$K$515,15),'Calc (scoring engine)'!$K$5:$K$515,0)),""),""))</f>
        <v/>
      </c>
      <c r="BF35" s="10">
        <f>IF(OR(15&gt;MAX(3,MIN(15,N($D$18))),IFERROR(LARGE('Calc (scoring engine)'!$K$5:$K$515,15),-999999)&lt;=-900000),"",IF(IFERROR(INDEX('Calc (scoring engine)'!$B$5:$B$515,MATCH(LARGE('Calc (scoring engine)'!$K$5:$K$515,15),'Calc (scoring engine)'!$K$5:$K$515,0)),0)=1,"same subsector","sector only"))</f>
        <v/>
      </c>
      <c r="BG35" s="43">
        <f>IF(OR(15&gt;MAX(3,MIN(15,N($D$18))),IFERROR(LARGE('Calc (scoring engine)'!$K$5:$K$515,15),-999999)&lt;=-900000),"",ROUND(IFERROR(LARGE('Calc (scoring engine)'!$K$5:$K$515,15),0),0))</f>
        <v/>
      </c>
      <c r="BH35" s="10">
        <f>IF(OR(15&gt;MAX(3,MIN(15,N($D$18))),IFERROR(LARGE('Calc (scoring engine)'!$K$5:$K$515,15),-999999)&lt;=-900000),"",IFERROR("sub "&amp;INDEX('Calc (scoring engine)'!$B$5:$B$515,MATCH(LARGE('Calc (scoring engine)'!$K$5:$K$515,15),'Calc (scoring engine)'!$K$5:$K$515,0))*W_SUB&amp;" + size "&amp;ROUND(INDEX('Calc (scoring engine)'!$D$5:$D$515,MATCH(LARGE('Calc (scoring engine)'!$K$5:$K$515,15),'Calc (scoring engine)'!$K$5:$K$515,0))*W_SIZE,0)&amp;" + prof "&amp;INDEX('Calc (scoring engine)'!$E$5:$E$515,MATCH(LARGE('Calc (scoring engine)'!$K$5:$K$515,15),'Calc (scoring engine)'!$K$5:$K$515,0))*W_PROF&amp;" + recency "&amp;ROUND(INDEX('Calc (scoring engine)'!$G$5:$G$515,MATCH(LARGE('Calc (scoring engine)'!$K$5:$K$515,15),'Calc (scoring engine)'!$K$5:$K$515,0))*W_REC,0)&amp;IF(INDEX('Calc (scoring engine)'!$H$5:$H$515,MATCH(LARGE('Calc (scoring engine)'!$K$5:$K$515,15),'Calc (scoring engine)'!$K$5:$K$515,0))&gt;0," + shared CS x"&amp;INDEX('Calc (scoring engine)'!$H$5:$H$515,MATCH(LARGE('Calc (scoring engine)'!$K$5:$K$515,15),'Calc (scoring engine)'!$K$5:$K$515,0)),""),""))</f>
        <v/>
      </c>
    </row>
    <row r="36"/>
    <row r="37">
      <c r="A37" s="44" t="inlineStr">
        <is>
          <t>MEDIAN of shown comps</t>
        </is>
      </c>
      <c r="H37" s="18">
        <f>IFERROR(MEDIAN(H21:H35),"")</f>
        <v/>
      </c>
      <c r="I37" s="39">
        <f>IFERROR(MEDIAN(I21:I35),"")</f>
        <v/>
      </c>
      <c r="J37" s="39">
        <f>IFERROR(MEDIAN(J21:J35),"")</f>
        <v/>
      </c>
      <c r="K37" s="39">
        <f>IFERROR(MEDIAN(K21:K35),"")</f>
        <v/>
      </c>
      <c r="M37" s="28">
        <f>IFERROR(MEDIAN(M21:M35),"")</f>
        <v/>
      </c>
      <c r="N37" s="28">
        <f>IFERROR(MEDIAN(N21:N35),"")</f>
        <v/>
      </c>
      <c r="O37" s="18">
        <f>IFERROR(MEDIAN(O21:O35),"")</f>
        <v/>
      </c>
      <c r="P37" s="26">
        <f>IFERROR(MEDIAN(P21:P35),"")</f>
        <v/>
      </c>
      <c r="Q37" s="40">
        <f>IFERROR(MEDIAN(Q21:Q35),"")</f>
        <v/>
      </c>
      <c r="R37" s="41">
        <f>IFERROR(MEDIAN(R21:R35),"")</f>
        <v/>
      </c>
      <c r="S37" s="28">
        <f>IFERROR(MEDIAN(S21:S35),"")</f>
        <v/>
      </c>
      <c r="U37" s="28">
        <f>IFERROR(MEDIAN(U21:U35),"")</f>
        <v/>
      </c>
      <c r="W37" s="23">
        <f>IFERROR(MEDIAN(W21:W35),"")</f>
        <v/>
      </c>
      <c r="X37" s="23">
        <f>IFERROR(MEDIAN(X21:X35),"")</f>
        <v/>
      </c>
      <c r="Y37" s="23">
        <f>IFERROR(MEDIAN(Y21:Y35),"")</f>
        <v/>
      </c>
      <c r="Z37" s="23">
        <f>IFERROR(MEDIAN(Z21:Z35),"")</f>
        <v/>
      </c>
      <c r="AA37" s="23">
        <f>IFERROR(MEDIAN(AA21:AA35),"")</f>
        <v/>
      </c>
      <c r="AB37" s="23">
        <f>IFERROR(MEDIAN(AB21:AB35),"")</f>
        <v/>
      </c>
      <c r="AC37" s="23">
        <f>IFERROR(MEDIAN(AC21:AC35),"")</f>
        <v/>
      </c>
      <c r="AD37" s="23">
        <f>IFERROR(MEDIAN(AD21:AD35),"")</f>
        <v/>
      </c>
      <c r="AE37" s="23">
        <f>IFERROR(MEDIAN(AE21:AE35),"")</f>
        <v/>
      </c>
      <c r="AF37" s="23">
        <f>IFERROR(MEDIAN(AF21:AF35),"")</f>
        <v/>
      </c>
      <c r="AG37" s="23">
        <f>IFERROR(MEDIAN(AG21:AG35),"")</f>
        <v/>
      </c>
      <c r="AH37" s="23">
        <f>IFERROR(MEDIAN(AH21:AH35),"")</f>
        <v/>
      </c>
      <c r="AI37" s="23">
        <f>IFERROR(MEDIAN(AI21:AI35),"")</f>
        <v/>
      </c>
      <c r="AJ37" s="23">
        <f>IFERROR(MEDIAN(AJ21:AJ35),"")</f>
        <v/>
      </c>
      <c r="AK37" s="23">
        <f>IFERROR(MEDIAN(AK21:AK35),"")</f>
        <v/>
      </c>
      <c r="AL37" s="23">
        <f>IFERROR(MEDIAN(AL21:AL35),"")</f>
        <v/>
      </c>
      <c r="AM37" s="18">
        <f>IFERROR(MEDIAN(AM21:AM35),"")</f>
        <v/>
      </c>
      <c r="AN37" s="18">
        <f>IFERROR(MEDIAN(AN21:AN35),"")</f>
        <v/>
      </c>
      <c r="AP37" s="24">
        <f>IFERROR(MEDIAN(AP21:AP35),"")</f>
        <v/>
      </c>
      <c r="AQ37" s="24">
        <f>IFERROR(MEDIAN(AQ21:AQ35),"")</f>
        <v/>
      </c>
      <c r="AR37" s="24">
        <f>IFERROR(MEDIAN(AR21:AR35),"")</f>
        <v/>
      </c>
      <c r="AS37" s="24">
        <f>IFERROR(MEDIAN(AS21:AS35),"")</f>
        <v/>
      </c>
      <c r="AV37" s="23">
        <f>IFERROR(MEDIAN(AV21:AV35),"")</f>
        <v/>
      </c>
      <c r="AW37" s="39">
        <f>IFERROR(MEDIAN(AW21:AW35),"")</f>
        <v/>
      </c>
      <c r="AX37" s="42">
        <f>IFERROR(MEDIAN(AX21:AX35),"")</f>
        <v/>
      </c>
      <c r="AY37" s="24">
        <f>IFERROR(MEDIAN(AY21:AY35),"")</f>
        <v/>
      </c>
      <c r="AZ37" s="24">
        <f>IFERROR(MEDIAN(AZ21:AZ35),"")</f>
        <v/>
      </c>
      <c r="BC37" s="24">
        <f>IFERROR(MEDIAN(BC21:BC35),"")</f>
        <v/>
      </c>
      <c r="BD37" s="24">
        <f>IFERROR(MEDIAN(BD21:BD35),"")</f>
        <v/>
      </c>
    </row>
    <row r="38">
      <c r="A38" s="2" t="inlineStr">
        <is>
          <t>P/E shows n/m for loss-makers (use P/S). P/E now + P/S now = live BDP on the terminal, else the desk's pasted Bloomberg value. A-premium = A over H (+ = A trades above H). Ex-pop columns start at the day-1 close. A/H columns show N/A when the issuer has no A line; '—' = not on file. Shared CS = cornerstone investors in common with the target.</t>
        </is>
      </c>
    </row>
    <row r="39"/>
    <row r="40">
      <c r="A40" s="14" t="inlineStr">
        <is>
          <t>TARGET vs CLOSEST COMP</t>
        </is>
      </c>
    </row>
    <row r="41">
      <c r="B41" s="12" t="inlineStr">
        <is>
          <t>Target</t>
        </is>
      </c>
      <c r="C41" s="12" t="inlineStr">
        <is>
          <t>Comp #1</t>
        </is>
      </c>
      <c r="D41" s="12" t="inlineStr">
        <is>
          <t>Median of shown</t>
        </is>
      </c>
    </row>
    <row r="42">
      <c r="A42" s="16" t="inlineStr">
        <is>
          <t>Name</t>
        </is>
      </c>
      <c r="B42" s="10">
        <f>$B$5</f>
        <v/>
      </c>
      <c r="C42" s="10">
        <f>IFERROR($B$21,"")</f>
        <v/>
      </c>
    </row>
    <row r="43">
      <c r="A43" s="16" t="inlineStr">
        <is>
          <t>Subsector</t>
        </is>
      </c>
      <c r="B43" s="10">
        <f>$D$8</f>
        <v/>
      </c>
      <c r="C43" s="10">
        <f>IFERROR($D$21,"")</f>
        <v/>
      </c>
    </row>
    <row r="44">
      <c r="A44" s="16" t="inlineStr">
        <is>
          <t>Size HK$m</t>
        </is>
      </c>
      <c r="B44" s="10">
        <f>$D$9</f>
        <v/>
      </c>
      <c r="C44" s="10">
        <f>IFERROR($H$21,"")</f>
        <v/>
      </c>
      <c r="D44" s="10">
        <f>IFERROR($H$37,"")</f>
        <v/>
      </c>
    </row>
    <row r="45">
      <c r="A45" s="16" t="inlineStr">
        <is>
          <t>P/E (x)</t>
        </is>
      </c>
      <c r="B45" s="10">
        <f>"—"</f>
        <v/>
      </c>
      <c r="C45" s="10">
        <f>IFERROR($AP$21,"")</f>
        <v/>
      </c>
      <c r="D45" s="10">
        <f>IFERROR($AP$37,"")</f>
        <v/>
      </c>
    </row>
    <row r="46">
      <c r="A46" s="16" t="inlineStr">
        <is>
          <t>Public sub (x)</t>
        </is>
      </c>
      <c r="B46" s="10">
        <f>"—"</f>
        <v/>
      </c>
      <c r="C46" s="10">
        <f>IFERROR($P$21,"")</f>
        <v/>
      </c>
      <c r="D46" s="10">
        <f>IFERROR($P$37,"")</f>
        <v/>
      </c>
    </row>
    <row r="47">
      <c r="A47" s="16" t="inlineStr">
        <is>
          <t>Day-1</t>
        </is>
      </c>
      <c r="B47" s="10">
        <f>"—"</f>
        <v/>
      </c>
      <c r="C47" s="10">
        <f>IFERROR($W$21,"")</f>
        <v/>
      </c>
      <c r="D47" s="10">
        <f>IFERROR($W$37,"")</f>
        <v/>
      </c>
    </row>
    <row r="48">
      <c r="A48" s="16" t="inlineStr">
        <is>
          <t>1-month</t>
        </is>
      </c>
      <c r="B48" s="10">
        <f>"—"</f>
        <v/>
      </c>
      <c r="C48" s="10">
        <f>IFERROR($AA$21,"")</f>
        <v/>
      </c>
      <c r="D48" s="10">
        <f>IFERROR($AA$37,"")</f>
        <v/>
      </c>
    </row>
    <row r="49">
      <c r="A49" s="16" t="inlineStr">
        <is>
          <t>3-month</t>
        </is>
      </c>
      <c r="B49" s="10">
        <f>"—"</f>
        <v/>
      </c>
      <c r="C49" s="10">
        <f>IFERROR($AB$21,"")</f>
        <v/>
      </c>
      <c r="D49" s="10">
        <f>IFERROR($AB$37,"")</f>
        <v/>
      </c>
    </row>
    <row r="50"/>
    <row r="51"/>
    <row r="52">
      <c r="A52" s="14" t="inlineStr">
        <is>
          <t>A-SHARE LIVE PANEL — live BDP on the terminal, scraped quote off it</t>
        </is>
      </c>
      <c r="F52" s="14" t="inlineStr">
        <is>
          <t>A-SHARE, LAST MONTH — live Bloomberg (fills on the terminal)</t>
        </is>
      </c>
    </row>
    <row r="53">
      <c r="A53" s="16" t="inlineStr">
        <is>
          <t>A price now (CNY)</t>
        </is>
      </c>
      <c r="B53" s="40">
        <f>IF($F$54="","no A line",IFERROR(BDP($F$54,"PX_LAST"),IFERROR(INDEX(Pipeline!$T$6:$T$18,MATCH($B$5,Pipeline!$B$6:$B$18,0)),"run on terminal")))</f>
        <v/>
      </c>
      <c r="F53" s="10">
        <f>IFERROR(INDEX(Database!$BA$5:$BA$515,MATCH($B$5,Database!$B$5:$B$515,0)),IFERROR(INDEX(Pipeline!$S$6:$S$18,MATCH($B$5,Pipeline!$B$6:$B$18,0)),""))</f>
        <v/>
      </c>
      <c r="G53" s="2" t="inlineStr">
        <is>
          <t>← A-share code of the pick — Database first, then the Pipeline tab (so an offering-window deal resolves too)</t>
        </is>
      </c>
    </row>
    <row r="54">
      <c r="A54" s="16" t="inlineStr">
        <is>
          <t>CNY→HKD</t>
        </is>
      </c>
      <c r="B54" s="45">
        <f>IFERROR(BDP("CNYHKD Curncy","PX_LAST"),1.10)</f>
        <v/>
      </c>
      <c r="F54" s="10">
        <f>IFERROR(IF(F53="","",LEFT(F53,FIND(".",F53)-1)&amp;" CH Equity"),"")</f>
        <v/>
      </c>
    </row>
    <row r="55">
      <c r="A55" s="16" t="inlineStr">
        <is>
          <t>A price (HK$)</t>
        </is>
      </c>
      <c r="B55" s="40">
        <f>IF(OR(NOT(ISNUMBER(A_PX)),N(A_FX)&lt;=0),"n/a",A_PX*A_FX)</f>
        <v/>
      </c>
      <c r="F55" s="12" t="inlineStr">
        <is>
          <t>Date</t>
        </is>
      </c>
      <c r="G55" s="12" t="inlineStr">
        <is>
          <t>Close (CNY)</t>
        </is>
      </c>
    </row>
    <row r="56">
      <c r="A56" s="16" t="inlineStr">
        <is>
          <t>A P/E (TTM)</t>
        </is>
      </c>
      <c r="B56" s="24">
        <f>IF($F$54="","n/a",IFERROR(BDP($F$54,"PE_RATIO"),IFERROR(INDEX(Pipeline!$U$6:$U$18,MATCH($B$5,Pipeline!$B$6:$B$18,0)),"run on terminal")))</f>
        <v/>
      </c>
      <c r="F56" s="10">
        <f>IF($F$54="","no A-share for this pick",BDH($F$54,"PX_LAST",TEXT(TODAY()-31,"yyyymmdd"),TEXT(TODAY(),"yyyymmdd")))</f>
        <v/>
      </c>
    </row>
    <row r="57">
      <c r="A57" s="16" t="inlineStr">
        <is>
          <t>H offer / cap (HK$)</t>
        </is>
      </c>
      <c r="B57" s="40">
        <f>IFERROR(INDEX(Database!$M$5:$M$515,MATCH($B$5,Database!$B$5:$B$515,0)),IFERROR(INDEX(Pipeline!$K$6:$K$18,MATCH($B$5,Pipeline!$B$6:$B$18,0)),""))</f>
        <v/>
      </c>
    </row>
    <row r="58">
      <c r="A58" s="16" t="inlineStr">
        <is>
          <t>A premium vs H</t>
        </is>
      </c>
      <c r="B58" s="42">
        <f>IFERROR(IF(OR(N(A_HKD)&lt;=0,N(H_TRM)&lt;=0),"n/a",A_HKD/H_TRM-1),"n/a")</f>
        <v/>
      </c>
      <c r="C58" s="2" t="inlineStr">
        <is>
          <t>+ = A above the H terms</t>
        </is>
      </c>
    </row>
    <row r="59"/>
    <row r="60">
      <c r="A60" s="46" t="inlineStr">
        <is>
          <t>HOW CORNERSTONE MATCHING WORKS</t>
        </is>
      </c>
      <c r="B60" s="47" t="n"/>
      <c r="C60" s="47" t="n"/>
      <c r="D60" s="47" t="n"/>
      <c r="E60" s="48" t="n"/>
    </row>
    <row r="61">
      <c r="A61" s="49" t="inlineStr">
        <is>
          <t>Investor names are normalised to a key ('GIC Private Limited' → gic), a comp scores +1 per key it shares, and 'Shared CS' shows the count.</t>
        </is>
      </c>
      <c r="B61" s="50" t="n"/>
      <c r="C61" s="50" t="n"/>
      <c r="D61" s="50" t="n"/>
      <c r="E61" s="51" t="n"/>
    </row>
    <row r="62">
      <c r="A62" s="49" t="inlineStr">
        <is>
          <t>This pick's top-5 keys:</t>
        </is>
      </c>
      <c r="B62" s="50" t="n"/>
      <c r="C62" s="50" t="n"/>
      <c r="D62" s="10">
        <f>TRIM('Calc (scoring engine)'!$U$1&amp;" "&amp;'Calc (scoring engine)'!$V$1&amp;" "&amp;'Calc (scoring engine)'!$W$1&amp;" "&amp;'Calc (scoring engine)'!$X$1&amp;" "&amp;'Calc (scoring engine)'!$Y$1)</f>
        <v/>
      </c>
      <c r="E62" s="51" t="n"/>
    </row>
    <row r="63">
      <c r="A63" s="52" t="inlineStr">
        <is>
          <t>RANK MODES — standard: subsector first · cornerstone overlap first: shared investors dominate · demand-similar first: closest public-subscription level (the best debut predictor).</t>
        </is>
      </c>
      <c r="B63" s="53" t="n"/>
      <c r="C63" s="53" t="n"/>
      <c r="D63" s="53" t="n"/>
      <c r="E63" s="54" t="n"/>
    </row>
  </sheetData>
  <mergeCells count="9">
    <mergeCell ref="AM19:AS19"/>
    <mergeCell ref="A4:E4"/>
    <mergeCell ref="BA19:BD19"/>
    <mergeCell ref="P19:V19"/>
    <mergeCell ref="W19:AL19"/>
    <mergeCell ref="AT19:AZ19"/>
    <mergeCell ref="A19:G19"/>
    <mergeCell ref="H19:O19"/>
    <mergeCell ref="BE19:BH19"/>
  </mergeCells>
  <conditionalFormatting sqref="A21:BH21">
    <cfRule type="expression" priority="22" dxfId="0">
      <formula>$BF21="same subsector"</formula>
    </cfRule>
    <cfRule type="expression" priority="23" dxfId="1">
      <formula>$BF21="sector only"</formula>
    </cfRule>
  </conditionalFormatting>
  <conditionalFormatting sqref="A22:BH22">
    <cfRule type="expression" priority="24" dxfId="0">
      <formula>$BF22="same subsector"</formula>
    </cfRule>
    <cfRule type="expression" priority="25" dxfId="1">
      <formula>$BF22="sector only"</formula>
    </cfRule>
  </conditionalFormatting>
  <conditionalFormatting sqref="A23:BH23">
    <cfRule type="expression" priority="26" dxfId="0">
      <formula>$BF23="same subsector"</formula>
    </cfRule>
    <cfRule type="expression" priority="27" dxfId="1">
      <formula>$BF23="sector only"</formula>
    </cfRule>
  </conditionalFormatting>
  <conditionalFormatting sqref="A24:BH24">
    <cfRule type="expression" priority="28" dxfId="0">
      <formula>$BF24="same subsector"</formula>
    </cfRule>
    <cfRule type="expression" priority="29" dxfId="1">
      <formula>$BF24="sector only"</formula>
    </cfRule>
  </conditionalFormatting>
  <conditionalFormatting sqref="A25:BH25">
    <cfRule type="expression" priority="30" dxfId="0">
      <formula>$BF25="same subsector"</formula>
    </cfRule>
    <cfRule type="expression" priority="31" dxfId="1">
      <formula>$BF25="sector only"</formula>
    </cfRule>
  </conditionalFormatting>
  <conditionalFormatting sqref="A26:BH26">
    <cfRule type="expression" priority="32" dxfId="0">
      <formula>$BF26="same subsector"</formula>
    </cfRule>
    <cfRule type="expression" priority="33" dxfId="1">
      <formula>$BF26="sector only"</formula>
    </cfRule>
  </conditionalFormatting>
  <conditionalFormatting sqref="A27:BH27">
    <cfRule type="expression" priority="34" dxfId="0">
      <formula>$BF27="same subsector"</formula>
    </cfRule>
    <cfRule type="expression" priority="35" dxfId="1">
      <formula>$BF27="sector only"</formula>
    </cfRule>
  </conditionalFormatting>
  <conditionalFormatting sqref="A28:BH28">
    <cfRule type="expression" priority="36" dxfId="0">
      <formula>$BF28="same subsector"</formula>
    </cfRule>
    <cfRule type="expression" priority="37" dxfId="1">
      <formula>$BF28="sector only"</formula>
    </cfRule>
  </conditionalFormatting>
  <conditionalFormatting sqref="A29:BH29">
    <cfRule type="expression" priority="38" dxfId="0">
      <formula>$BF29="same subsector"</formula>
    </cfRule>
    <cfRule type="expression" priority="39" dxfId="1">
      <formula>$BF29="sector only"</formula>
    </cfRule>
  </conditionalFormatting>
  <conditionalFormatting sqref="A30:BH30">
    <cfRule type="expression" priority="40" dxfId="0">
      <formula>$BF30="same subsector"</formula>
    </cfRule>
    <cfRule type="expression" priority="41" dxfId="1">
      <formula>$BF30="sector only"</formula>
    </cfRule>
  </conditionalFormatting>
  <conditionalFormatting sqref="A31:BH31">
    <cfRule type="expression" priority="42" dxfId="0">
      <formula>$BF31="same subsector"</formula>
    </cfRule>
    <cfRule type="expression" priority="43" dxfId="1">
      <formula>$BF31="sector only"</formula>
    </cfRule>
  </conditionalFormatting>
  <conditionalFormatting sqref="A32:BH32">
    <cfRule type="expression" priority="44" dxfId="0">
      <formula>$BF32="same subsector"</formula>
    </cfRule>
    <cfRule type="expression" priority="45" dxfId="1">
      <formula>$BF32="sector only"</formula>
    </cfRule>
  </conditionalFormatting>
  <conditionalFormatting sqref="A33:BH33">
    <cfRule type="expression" priority="46" dxfId="0">
      <formula>$BF33="same subsector"</formula>
    </cfRule>
    <cfRule type="expression" priority="47" dxfId="1">
      <formula>$BF33="sector only"</formula>
    </cfRule>
  </conditionalFormatting>
  <conditionalFormatting sqref="A34:BH34">
    <cfRule type="expression" priority="48" dxfId="0">
      <formula>$BF34="same subsector"</formula>
    </cfRule>
    <cfRule type="expression" priority="49" dxfId="1">
      <formula>$BF34="sector only"</formula>
    </cfRule>
  </conditionalFormatting>
  <conditionalFormatting sqref="A35:BH35">
    <cfRule type="expression" priority="50" dxfId="0">
      <formula>$BF35="same subsector"</formula>
    </cfRule>
    <cfRule type="expression" priority="51" dxfId="1">
      <formula>$BF35="sector only"</formula>
    </cfRule>
  </conditionalFormatting>
  <conditionalFormatting sqref="W21:W35">
    <cfRule type="colorScale" priority="1">
      <colorScale>
        <cfvo type="num" val="-60"/>
        <cfvo type="num" val="0"/>
        <cfvo type="num" val="60"/>
        <color rgb="00F8696B"/>
        <color rgb="00FFFFFF"/>
        <color rgb="0063BE7B"/>
      </colorScale>
    </cfRule>
  </conditionalFormatting>
  <conditionalFormatting sqref="AA21:AA35">
    <cfRule type="colorScale" priority="2">
      <colorScale>
        <cfvo type="num" val="-60"/>
        <cfvo type="num" val="0"/>
        <cfvo type="num" val="60"/>
        <color rgb="00F8696B"/>
        <color rgb="00FFFFFF"/>
        <color rgb="0063BE7B"/>
      </colorScale>
    </cfRule>
  </conditionalFormatting>
  <conditionalFormatting sqref="AV21:AV35">
    <cfRule type="colorScale" priority="3">
      <colorScale>
        <cfvo type="num" val="-60"/>
        <cfvo type="num" val="0"/>
        <cfvo type="num" val="60"/>
        <color rgb="00F8696B"/>
        <color rgb="00FFFFFF"/>
        <color rgb="0063BE7B"/>
      </colorScale>
    </cfRule>
  </conditionalFormatting>
  <conditionalFormatting sqref="AF21:AF35">
    <cfRule type="colorScale" priority="4">
      <colorScale>
        <cfvo type="num" val="-60"/>
        <cfvo type="num" val="0"/>
        <cfvo type="num" val="60"/>
        <color rgb="00F8696B"/>
        <color rgb="00FFFFFF"/>
        <color rgb="0063BE7B"/>
      </colorScale>
    </cfRule>
  </conditionalFormatting>
  <conditionalFormatting sqref="AG21:AG35">
    <cfRule type="colorScale" priority="5">
      <colorScale>
        <cfvo type="num" val="-60"/>
        <cfvo type="num" val="0"/>
        <cfvo type="num" val="60"/>
        <color rgb="00F8696B"/>
        <color rgb="00FFFFFF"/>
        <color rgb="0063BE7B"/>
      </colorScale>
    </cfRule>
  </conditionalFormatting>
  <conditionalFormatting sqref="AH21:AH35">
    <cfRule type="colorScale" priority="6">
      <colorScale>
        <cfvo type="num" val="-60"/>
        <cfvo type="num" val="0"/>
        <cfvo type="num" val="60"/>
        <color rgb="00F8696B"/>
        <color rgb="00FFFFFF"/>
        <color rgb="0063BE7B"/>
      </colorScale>
    </cfRule>
  </conditionalFormatting>
  <conditionalFormatting sqref="Z21:Z35">
    <cfRule type="colorScale" priority="7">
      <colorScale>
        <cfvo type="num" val="-60"/>
        <cfvo type="num" val="0"/>
        <cfvo type="num" val="60"/>
        <color rgb="00F8696B"/>
        <color rgb="00FFFFFF"/>
        <color rgb="0063BE7B"/>
      </colorScale>
    </cfRule>
  </conditionalFormatting>
  <conditionalFormatting sqref="AK21:AK35">
    <cfRule type="colorScale" priority="8">
      <colorScale>
        <cfvo type="num" val="-60"/>
        <cfvo type="num" val="0"/>
        <cfvo type="num" val="60"/>
        <color rgb="00F8696B"/>
        <color rgb="00FFFFFF"/>
        <color rgb="0063BE7B"/>
      </colorScale>
    </cfRule>
  </conditionalFormatting>
  <conditionalFormatting sqref="AE21:AE35">
    <cfRule type="colorScale" priority="9">
      <colorScale>
        <cfvo type="num" val="-60"/>
        <cfvo type="num" val="0"/>
        <cfvo type="num" val="60"/>
        <color rgb="00F8696B"/>
        <color rgb="00FFFFFF"/>
        <color rgb="0063BE7B"/>
      </colorScale>
    </cfRule>
  </conditionalFormatting>
  <conditionalFormatting sqref="X21:X35">
    <cfRule type="colorScale" priority="10">
      <colorScale>
        <cfvo type="num" val="-60"/>
        <cfvo type="num" val="0"/>
        <cfvo type="num" val="60"/>
        <color rgb="00F8696B"/>
        <color rgb="00FFFFFF"/>
        <color rgb="0063BE7B"/>
      </colorScale>
    </cfRule>
  </conditionalFormatting>
  <conditionalFormatting sqref="AL21:AL35">
    <cfRule type="colorScale" priority="11">
      <colorScale>
        <cfvo type="num" val="-60"/>
        <cfvo type="num" val="0"/>
        <cfvo type="num" val="60"/>
        <color rgb="00F8696B"/>
        <color rgb="00FFFFFF"/>
        <color rgb="0063BE7B"/>
      </colorScale>
    </cfRule>
  </conditionalFormatting>
  <conditionalFormatting sqref="AC21:AC35">
    <cfRule type="colorScale" priority="12">
      <colorScale>
        <cfvo type="num" val="-60"/>
        <cfvo type="num" val="0"/>
        <cfvo type="num" val="60"/>
        <color rgb="00F8696B"/>
        <color rgb="00FFFFFF"/>
        <color rgb="0063BE7B"/>
      </colorScale>
    </cfRule>
  </conditionalFormatting>
  <conditionalFormatting sqref="Y21:Y35">
    <cfRule type="colorScale" priority="13">
      <colorScale>
        <cfvo type="num" val="-60"/>
        <cfvo type="num" val="0"/>
        <cfvo type="num" val="60"/>
        <color rgb="00F8696B"/>
        <color rgb="00FFFFFF"/>
        <color rgb="0063BE7B"/>
      </colorScale>
    </cfRule>
  </conditionalFormatting>
  <conditionalFormatting sqref="AI21:AI35">
    <cfRule type="colorScale" priority="14">
      <colorScale>
        <cfvo type="num" val="-60"/>
        <cfvo type="num" val="0"/>
        <cfvo type="num" val="60"/>
        <color rgb="00F8696B"/>
        <color rgb="00FFFFFF"/>
        <color rgb="0063BE7B"/>
      </colorScale>
    </cfRule>
  </conditionalFormatting>
  <conditionalFormatting sqref="AX21:AX35">
    <cfRule type="colorScale" priority="15">
      <colorScale>
        <cfvo type="num" val="-60"/>
        <cfvo type="num" val="0"/>
        <cfvo type="num" val="60"/>
        <color rgb="00F8696B"/>
        <color rgb="00FFFFFF"/>
        <color rgb="0063BE7B"/>
      </colorScale>
    </cfRule>
  </conditionalFormatting>
  <conditionalFormatting sqref="AD21:AD35">
    <cfRule type="colorScale" priority="16">
      <colorScale>
        <cfvo type="num" val="-60"/>
        <cfvo type="num" val="0"/>
        <cfvo type="num" val="60"/>
        <color rgb="00F8696B"/>
        <color rgb="00FFFFFF"/>
        <color rgb="0063BE7B"/>
      </colorScale>
    </cfRule>
  </conditionalFormatting>
  <conditionalFormatting sqref="AB21:AB35">
    <cfRule type="colorScale" priority="17">
      <colorScale>
        <cfvo type="num" val="-60"/>
        <cfvo type="num" val="0"/>
        <cfvo type="num" val="60"/>
        <color rgb="00F8696B"/>
        <color rgb="00FFFFFF"/>
        <color rgb="0063BE7B"/>
      </colorScale>
    </cfRule>
  </conditionalFormatting>
  <conditionalFormatting sqref="AJ21:AJ35">
    <cfRule type="colorScale" priority="18">
      <colorScale>
        <cfvo type="num" val="-60"/>
        <cfvo type="num" val="0"/>
        <cfvo type="num" val="60"/>
        <color rgb="00F8696B"/>
        <color rgb="00FFFFFF"/>
        <color rgb="0063BE7B"/>
      </colorScale>
    </cfRule>
  </conditionalFormatting>
  <conditionalFormatting sqref="H21:H35">
    <cfRule type="dataBar" priority="19">
      <dataBar showValue="1">
        <cfvo type="min"/>
        <cfvo type="max"/>
        <color rgb="004472C4"/>
      </dataBar>
    </cfRule>
  </conditionalFormatting>
  <conditionalFormatting sqref="P21:P35">
    <cfRule type="dataBar" priority="20">
      <dataBar showValue="1">
        <cfvo type="min"/>
        <cfvo type="max"/>
        <color rgb="004472C4"/>
      </dataBar>
    </cfRule>
  </conditionalFormatting>
  <conditionalFormatting sqref="R21:R35">
    <cfRule type="dataBar" priority="21">
      <dataBar showValue="1">
        <cfvo type="min"/>
        <cfvo type="max"/>
        <color rgb="004472C4"/>
      </dataBar>
    </cfRule>
  </conditionalFormatting>
  <conditionalFormatting sqref="A21:BH35">
    <cfRule type="expression" priority="52" dxfId="2" stopIfTrue="0">
      <formula>MOD(ROW(),2)=0</formula>
    </cfRule>
  </conditionalFormatting>
  <dataValidations count="3">
    <dataValidation sqref="B5" showDropDown="0" showInputMessage="0" showErrorMessage="0" allowBlank="1" type="list">
      <formula1>=AllDeals</formula1>
    </dataValidation>
    <dataValidation sqref="B16" showDropDown="0" showInputMessage="0" showErrorMessage="0" allowBlank="0" type="list">
      <formula1>"standard,cornerstone overlap first,demand-similar first"</formula1>
    </dataValidation>
    <dataValidation sqref="B18" showDropDown="0" showInputMessage="0" showErrorMessage="0" allowBlank="0" type="list">
      <formula1>"All,With A-share,Without A-share"</formula1>
    </dataValidation>
  </dataValidation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F3864"/>
    <outlinePr summaryBelow="1" summaryRight="1"/>
    <pageSetUpPr/>
  </sheetPr>
  <dimension ref="A1:BO515"/>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22" customWidth="1" min="2" max="2"/>
    <col width="13" customWidth="1" min="3" max="3"/>
    <col width="12" customWidth="1" min="4" max="4"/>
    <col width="22" customWidth="1" min="5" max="5"/>
    <col width="20" customWidth="1" min="6" max="6"/>
    <col width="9" customWidth="1" min="7" max="7"/>
    <col width="11" customWidth="1" min="8" max="8"/>
    <col width="12" customWidth="1" min="9" max="9"/>
    <col width="15" customWidth="1" min="10" max="10"/>
    <col width="9" customWidth="1" min="11" max="11"/>
    <col width="9" customWidth="1" min="12" max="12"/>
    <col width="9" customWidth="1" min="13" max="13"/>
    <col width="8" customWidth="1" min="14" max="14"/>
    <col width="8" customWidth="1" min="15" max="15"/>
    <col width="11" customWidth="1" min="16" max="16"/>
    <col width="12" customWidth="1" min="17" max="17"/>
    <col width="26" customWidth="1" min="18" max="18"/>
    <col width="10" customWidth="1" min="19" max="19"/>
    <col width="9" customWidth="1" min="20" max="20"/>
    <col width="11" customWidth="1" min="21" max="21"/>
    <col width="11" customWidth="1" min="22" max="22"/>
    <col width="46" customWidth="1" min="23" max="23"/>
    <col width="16" customWidth="1" min="24" max="24"/>
    <col width="9" customWidth="1" min="25" max="25"/>
    <col width="17" customWidth="1" min="26" max="26"/>
    <col width="9" customWidth="1" min="27" max="27"/>
    <col width="10" customWidth="1" min="28" max="28"/>
    <col width="11" customWidth="1" min="29" max="29"/>
    <col width="9" customWidth="1" min="30" max="30"/>
    <col width="9" customWidth="1" min="31" max="31"/>
    <col width="9" customWidth="1" min="32" max="32"/>
    <col width="9" customWidth="1" min="33" max="33"/>
    <col width="9" customWidth="1" min="34" max="34"/>
    <col width="9" customWidth="1" min="35" max="35"/>
    <col width="10" customWidth="1" min="36" max="36"/>
    <col width="10" customWidth="1" min="37" max="37"/>
    <col width="10" customWidth="1" min="38" max="38"/>
    <col width="10" customWidth="1" min="39" max="39"/>
    <col width="11" customWidth="1" min="40" max="40"/>
    <col width="11" customWidth="1" min="41" max="41"/>
    <col width="22" customWidth="1" min="42" max="42"/>
    <col width="10" customWidth="1" min="43" max="43"/>
    <col width="11" customWidth="1" min="44" max="44"/>
    <col width="11" customWidth="1" min="45" max="45"/>
    <col width="11" customWidth="1" min="46" max="46"/>
    <col width="8" customWidth="1" min="47" max="47"/>
    <col width="8" customWidth="1" min="48" max="48"/>
    <col width="10" customWidth="1" min="49" max="49"/>
    <col width="10" customWidth="1" min="50" max="50"/>
    <col width="8" customWidth="1" min="51" max="51"/>
    <col width="8" customWidth="1" min="52" max="52"/>
    <col width="11" customWidth="1" min="53" max="53"/>
    <col width="11" customWidth="1" min="54" max="54"/>
    <col width="10" customWidth="1" min="55" max="55"/>
    <col width="11" customWidth="1" min="56" max="56"/>
    <col width="11" customWidth="1" min="57" max="57"/>
    <col width="11" customWidth="1" min="58" max="58"/>
    <col width="30" customWidth="1" min="59" max="59"/>
    <col width="30" customWidth="1" min="60" max="60"/>
    <col width="34" customWidth="1" min="61" max="61"/>
    <col width="34" customWidth="1" min="62" max="62"/>
    <col width="11" customWidth="1" min="63" max="63"/>
    <col width="13" customWidth="1" min="64" max="64"/>
    <col width="15" customWidth="1" min="65" max="65"/>
    <col width="40" customWidth="1" min="66" max="66"/>
    <col width="64" customWidth="1" min="67" max="67"/>
  </cols>
  <sheetData>
    <row r="1">
      <c r="A1" s="1" t="inlineStr">
        <is>
          <t>HK IPO DATABASE — Main Board IPOs 2021–2026</t>
        </is>
      </c>
    </row>
    <row r="2">
      <c r="A2" s="2" t="inlineStr">
        <is>
          <t>one row per deal · money HK$m · % in percent units · sign: Day-1 + = closed above offer  ·  fill legend: green=cross-checked  amber=judgment/estimated  orange=source conflict  grey=derived</t>
        </is>
      </c>
    </row>
    <row r="3">
      <c r="A3" s="55" t="inlineStr">
        <is>
          <t>IDENTITY</t>
        </is>
      </c>
      <c r="B3" s="34" t="n"/>
      <c r="C3" s="34" t="n"/>
      <c r="D3" s="34" t="n"/>
      <c r="E3" s="34" t="n"/>
      <c r="F3" s="34" t="n"/>
      <c r="G3" s="34" t="n"/>
      <c r="H3" s="35" t="n"/>
      <c r="I3" s="56" t="inlineStr">
        <is>
          <t>DEAL TERMS</t>
        </is>
      </c>
      <c r="J3" s="34" t="n"/>
      <c r="K3" s="34" t="n"/>
      <c r="L3" s="34" t="n"/>
      <c r="M3" s="34" t="n"/>
      <c r="N3" s="34" t="n"/>
      <c r="O3" s="34" t="n"/>
      <c r="P3" s="34" t="n"/>
      <c r="Q3" s="34" t="n"/>
      <c r="R3" s="35" t="n"/>
      <c r="S3" s="57" t="inlineStr">
        <is>
          <t>DEMAND</t>
        </is>
      </c>
      <c r="T3" s="34" t="n"/>
      <c r="U3" s="34" t="n"/>
      <c r="V3" s="34" t="n"/>
      <c r="W3" s="34" t="n"/>
      <c r="X3" s="34" t="n"/>
      <c r="Y3" s="34" t="n"/>
      <c r="Z3" s="35" t="n"/>
      <c r="AA3" s="55" t="inlineStr">
        <is>
          <t>PERFORMANCE</t>
        </is>
      </c>
      <c r="AB3" s="34" t="n"/>
      <c r="AC3" s="34" t="n"/>
      <c r="AD3" s="34" t="n"/>
      <c r="AE3" s="34" t="n"/>
      <c r="AF3" s="34" t="n"/>
      <c r="AG3" s="34" t="n"/>
      <c r="AH3" s="34" t="n"/>
      <c r="AI3" s="34" t="n"/>
      <c r="AJ3" s="34" t="n"/>
      <c r="AK3" s="34" t="n"/>
      <c r="AL3" s="34" t="n"/>
      <c r="AM3" s="34" t="n"/>
      <c r="AN3" s="34" t="n"/>
      <c r="AO3" s="34" t="n"/>
      <c r="AP3" s="34" t="n"/>
      <c r="AQ3" s="34" t="n"/>
      <c r="AR3" s="35" t="n"/>
      <c r="AS3" s="58" t="inlineStr">
        <is>
          <t>FUNDAMENTALS</t>
        </is>
      </c>
      <c r="AT3" s="34" t="n"/>
      <c r="AU3" s="34" t="n"/>
      <c r="AV3" s="34" t="n"/>
      <c r="AW3" s="34" t="n"/>
      <c r="AX3" s="34" t="n"/>
      <c r="AY3" s="35" t="n"/>
      <c r="AZ3" s="59" t="inlineStr">
        <is>
          <t>A / H</t>
        </is>
      </c>
      <c r="BA3" s="34" t="n"/>
      <c r="BB3" s="34" t="n"/>
      <c r="BC3" s="34" t="n"/>
      <c r="BD3" s="34" t="n"/>
      <c r="BE3" s="34" t="n"/>
      <c r="BF3" s="35" t="n"/>
      <c r="BG3" s="60" t="inlineStr">
        <is>
          <t>BANKS &amp; DOCS</t>
        </is>
      </c>
      <c r="BH3" s="34" t="n"/>
      <c r="BI3" s="34" t="n"/>
      <c r="BJ3" s="34" t="n"/>
      <c r="BK3" s="34" t="n"/>
      <c r="BL3" s="34" t="n"/>
      <c r="BM3" s="35" t="n"/>
      <c r="BN3" s="58" t="inlineStr">
        <is>
          <t>NOTES</t>
        </is>
      </c>
      <c r="BO3" s="35" t="n"/>
    </row>
    <row r="4" ht="30" customHeight="1">
      <c r="A4" s="36" t="inlineStr">
        <is>
          <t>Code</t>
        </is>
      </c>
      <c r="B4" s="36" t="inlineStr">
        <is>
          <t>Name</t>
        </is>
      </c>
      <c r="C4" s="36" t="inlineStr">
        <is>
          <t>Name (CN)</t>
        </is>
      </c>
      <c r="D4" s="36" t="inlineStr">
        <is>
          <t>Sector</t>
        </is>
      </c>
      <c r="E4" s="36" t="inlineStr">
        <is>
          <t>Subsector</t>
        </is>
      </c>
      <c r="F4" s="36" t="inlineStr">
        <is>
          <t>Industry (AAStocks)</t>
        </is>
      </c>
      <c r="G4" s="36" t="inlineStr">
        <is>
          <t>Regime</t>
        </is>
      </c>
      <c r="H4" s="36" t="inlineStr">
        <is>
          <t>IPO date</t>
        </is>
      </c>
      <c r="I4" s="36" t="inlineStr">
        <is>
          <t>Deal size (HK$m)</t>
        </is>
      </c>
      <c r="J4" s="36" t="inlineStr">
        <is>
          <t>Size basis</t>
        </is>
      </c>
      <c r="K4" s="36" t="inlineStr">
        <is>
          <t>Range low (HK$)</t>
        </is>
      </c>
      <c r="L4" s="36" t="inlineStr">
        <is>
          <t>Max/cap (HK$)</t>
        </is>
      </c>
      <c r="M4" s="36" t="inlineStr">
        <is>
          <t>Final px (HK$)</t>
        </is>
      </c>
      <c r="N4" s="36" t="inlineStr">
        <is>
          <t>Priced at cap</t>
        </is>
      </c>
      <c r="O4" s="36" t="inlineStr">
        <is>
          <t>% of cap</t>
        </is>
      </c>
      <c r="P4" s="36" t="inlineStr">
        <is>
          <t>Priced in range %</t>
        </is>
      </c>
      <c r="Q4" s="36" t="inlineStr">
        <is>
          <t>Mkt cap at IPO (HK$m)</t>
        </is>
      </c>
      <c r="R4" s="36" t="inlineStr">
        <is>
          <t>Mkt cap basis</t>
        </is>
      </c>
      <c r="S4" s="36" t="inlineStr">
        <is>
          <t>Public sub (x)</t>
        </is>
      </c>
      <c r="T4" s="36" t="inlineStr">
        <is>
          <t>Intl sub (x)</t>
        </is>
      </c>
      <c r="U4" s="36" t="inlineStr">
        <is>
          <t>Cornerstone (% of offer)</t>
        </is>
      </c>
      <c r="V4" s="36" t="inlineStr">
        <is>
          <t>Eff. free float (% of cap)</t>
        </is>
      </c>
      <c r="W4" s="36" t="inlineStr">
        <is>
          <t>Cornerstone investors</t>
        </is>
      </c>
      <c r="X4" s="36" t="inlineStr">
        <is>
          <t>CS keys</t>
        </is>
      </c>
      <c r="Y4" s="36" t="inlineStr">
        <is>
          <t>Greenshoe size (%)</t>
        </is>
      </c>
      <c r="Z4" s="36" t="inlineStr">
        <is>
          <t>Shoe outcome (final)</t>
        </is>
      </c>
      <c r="AA4" s="36" t="inlineStr">
        <is>
          <t>Day-1</t>
        </is>
      </c>
      <c r="AB4" s="36" t="inlineStr">
        <is>
          <t>Day-1 open pop</t>
        </is>
      </c>
      <c r="AC4" s="37" t="inlineStr">
        <is>
          <t>Day-1 open→close</t>
        </is>
      </c>
      <c r="AD4" s="36" t="inlineStr">
        <is>
          <t>1-week</t>
        </is>
      </c>
      <c r="AE4" s="36" t="inlineStr">
        <is>
          <t>1-month</t>
        </is>
      </c>
      <c r="AF4" s="36" t="inlineStr">
        <is>
          <t>3-month</t>
        </is>
      </c>
      <c r="AG4" s="37" t="inlineStr">
        <is>
          <t>1w ex-pop</t>
        </is>
      </c>
      <c r="AH4" s="37" t="inlineStr">
        <is>
          <t>1m ex-pop</t>
        </is>
      </c>
      <c r="AI4" s="37" t="inlineStr">
        <is>
          <t>3m ex-pop</t>
        </is>
      </c>
      <c r="AJ4" s="36" t="inlineStr">
        <is>
          <t>Alpha 1w vs index</t>
        </is>
      </c>
      <c r="AK4" s="36" t="inlineStr">
        <is>
          <t>Alpha 1m vs index</t>
        </is>
      </c>
      <c r="AL4" s="36" t="inlineStr">
        <is>
          <t>Alpha 3m vs index</t>
        </is>
      </c>
      <c r="AM4" s="37" t="inlineStr">
        <is>
          <t>Alpha 1m ex-pop</t>
        </is>
      </c>
      <c r="AN4" s="36" t="inlineStr">
        <is>
          <t>Index, IPO→1m</t>
        </is>
      </c>
      <c r="AO4" s="36" t="inlineStr">
        <is>
          <t>Index, d1→1m</t>
        </is>
      </c>
      <c r="AP4" s="36" t="inlineStr">
        <is>
          <t>Benchmark</t>
        </is>
      </c>
      <c r="AQ4" s="36" t="inlineStr">
        <is>
          <t>Since IPO</t>
        </is>
      </c>
      <c r="AR4" s="36" t="inlineStr">
        <is>
          <t>Prices as of</t>
        </is>
      </c>
      <c r="AS4" s="36" t="inlineStr">
        <is>
          <t>Latest FY rev (HK$m)</t>
        </is>
      </c>
      <c r="AT4" s="36" t="inlineStr">
        <is>
          <t>Latest FY NI (HK$m)</t>
        </is>
      </c>
      <c r="AU4" s="36" t="inlineStr">
        <is>
          <t>Profitable</t>
        </is>
      </c>
      <c r="AV4" s="36" t="inlineStr">
        <is>
          <t>P/E at IPO</t>
        </is>
      </c>
      <c r="AW4" s="36" t="inlineStr">
        <is>
          <t>P/E at IPO (BBG)</t>
        </is>
      </c>
      <c r="AX4" s="36" t="inlineStr">
        <is>
          <t>P/E today (BBG)</t>
        </is>
      </c>
      <c r="AY4" s="36" t="inlineStr">
        <is>
          <t>P/S at IPO</t>
        </is>
      </c>
      <c r="AZ4" s="36" t="inlineStr">
        <is>
          <t>A/H pair</t>
        </is>
      </c>
      <c r="BA4" s="36" t="inlineStr">
        <is>
          <t>A-share code</t>
        </is>
      </c>
      <c r="BB4" s="36" t="inlineStr">
        <is>
          <t>A prem vs H at IPO</t>
        </is>
      </c>
      <c r="BC4" s="36" t="inlineStr">
        <is>
          <t>A close used (HK$)</t>
        </is>
      </c>
      <c r="BD4" s="36" t="inlineStr">
        <is>
          <t>A premium (today)</t>
        </is>
      </c>
      <c r="BE4" s="36" t="inlineStr">
        <is>
          <t>A P/E @H-IPO (BBG)</t>
        </is>
      </c>
      <c r="BF4" s="36" t="inlineStr">
        <is>
          <t>HSAHP @IPO (BBG)</t>
        </is>
      </c>
      <c r="BG4" s="36" t="inlineStr">
        <is>
          <t>Sponsors</t>
        </is>
      </c>
      <c r="BH4" s="36" t="inlineStr">
        <is>
          <t>Sponsors (AAStocks)</t>
        </is>
      </c>
      <c r="BI4" s="36" t="inlineStr">
        <is>
          <t>Bookrunners</t>
        </is>
      </c>
      <c r="BJ4" s="36" t="inlineStr">
        <is>
          <t>Underwriters (AAStocks)</t>
        </is>
      </c>
      <c r="BK4" s="36" t="inlineStr">
        <is>
          <t>Prospectus</t>
        </is>
      </c>
      <c r="BL4" s="36" t="inlineStr">
        <is>
          <t>Allotment result</t>
        </is>
      </c>
      <c r="BM4" s="36" t="inlineStr">
        <is>
          <t>Stabilisation notice</t>
        </is>
      </c>
      <c r="BN4" s="36" t="inlineStr">
        <is>
          <t>Valuation notes</t>
        </is>
      </c>
      <c r="BO4" s="36" t="inlineStr">
        <is>
          <t>Why anything is blank</t>
        </is>
      </c>
    </row>
    <row r="5" ht="15" customHeight="1">
      <c r="A5" s="61" t="inlineStr">
        <is>
          <t>9600</t>
        </is>
      </c>
      <c r="B5" s="62" t="inlineStr">
        <is>
          <t>NEWLINK TECH</t>
        </is>
      </c>
      <c r="C5" s="62" t="inlineStr">
        <is>
          <t>新紐科技</t>
        </is>
      </c>
      <c r="D5" s="62" t="inlineStr">
        <is>
          <t>Healthcare</t>
        </is>
      </c>
      <c r="E5" s="62" t="inlineStr">
        <is>
          <t>Digital health</t>
        </is>
      </c>
      <c r="F5" s="62" t="inlineStr">
        <is>
          <t>IT Consulting &amp; Other Services</t>
        </is>
      </c>
      <c r="G5" s="62" t="inlineStr">
        <is>
          <t>Standard</t>
        </is>
      </c>
      <c r="H5" s="63" t="n">
        <v>44202</v>
      </c>
      <c r="I5" s="64" t="n">
        <v>520.1</v>
      </c>
      <c r="J5" s="62" t="inlineStr">
        <is>
          <t>net proceeds</t>
        </is>
      </c>
      <c r="K5" s="65" t="n">
        <v>3.06</v>
      </c>
      <c r="L5" s="65" t="n">
        <v>4.36</v>
      </c>
      <c r="M5" s="65" t="n">
        <v>4.36</v>
      </c>
      <c r="N5" s="62" t="inlineStr">
        <is>
          <t>Y</t>
        </is>
      </c>
      <c r="O5" s="66" t="n">
        <v>100</v>
      </c>
      <c r="P5" s="66" t="n">
        <v>100</v>
      </c>
      <c r="Q5" s="67" t="n">
        <v>3488</v>
      </c>
      <c r="R5" s="62" t="inlineStr">
        <is>
          <t>aastocks:上市市值 at the struck price</t>
        </is>
      </c>
      <c r="S5" s="68" t="n">
        <v>446.57</v>
      </c>
      <c r="T5" s="69" t="n">
        <v>2.4</v>
      </c>
      <c r="U5" s="70" t="n">
        <v>25.8</v>
      </c>
      <c r="V5" s="66" t="n">
        <v>11.06</v>
      </c>
      <c r="W5" s="62" t="inlineStr">
        <is>
          <t>Caitong Fund Management Co., Ltd; Hony Goldstream Special Opportunity Fund I</t>
        </is>
      </c>
      <c r="X5" s="62" t="inlineStr">
        <is>
          <t>caitong;hony</t>
        </is>
      </c>
      <c r="Y5" s="66" t="n">
        <v>10</v>
      </c>
      <c r="Z5" s="62" t="inlineStr">
        <is>
          <t>lapsed</t>
        </is>
      </c>
      <c r="AA5" s="71" t="n">
        <v>-5.96</v>
      </c>
      <c r="AB5" s="72" t="n">
        <v>-5.5</v>
      </c>
      <c r="AC5" s="72" t="n">
        <v>-0.49</v>
      </c>
      <c r="AD5" s="72" t="n">
        <v>-11.24</v>
      </c>
      <c r="AE5" s="72" t="n">
        <v>-27.98</v>
      </c>
      <c r="AF5" s="72" t="n">
        <v>-50.23</v>
      </c>
      <c r="AG5" s="72" t="n">
        <v>-5.61</v>
      </c>
      <c r="AH5" s="72" t="n">
        <v>-23.42</v>
      </c>
      <c r="AI5" s="72" t="n">
        <v>-47.08</v>
      </c>
      <c r="AJ5" s="72" t="n">
        <v>-14.15</v>
      </c>
      <c r="AK5" s="72" t="n">
        <v>-41.54</v>
      </c>
      <c r="AL5" s="72" t="n">
        <v>-46.95</v>
      </c>
      <c r="AM5" s="72" t="n">
        <v>-37.11</v>
      </c>
      <c r="AN5" s="72" t="n">
        <v>13.56</v>
      </c>
      <c r="AO5" s="72" t="n">
        <v>13.69</v>
      </c>
      <c r="AP5" s="62" t="inlineStr">
        <is>
          <t>China Biotech ETF (HS biotech proxy)</t>
        </is>
      </c>
      <c r="AQ5" s="72" t="n">
        <v>-96.61</v>
      </c>
      <c r="AR5" s="63" t="inlineStr">
        <is>
          <t>2026-08-20</t>
        </is>
      </c>
      <c r="AS5" s="64" t="n">
        <v>163.9</v>
      </c>
      <c r="AT5" s="67" t="n">
        <v>36.4</v>
      </c>
      <c r="AU5" s="62" t="inlineStr">
        <is>
          <t>Y</t>
        </is>
      </c>
      <c r="AV5" s="73" t="n">
        <v>95.8</v>
      </c>
      <c r="AW5" s="73" t="n"/>
      <c r="AX5" s="73" t="n"/>
      <c r="AY5" s="73" t="n">
        <v>21.3</v>
      </c>
      <c r="AZ5" s="74" t="inlineStr">
        <is>
          <t>N</t>
        </is>
      </c>
      <c r="BA5" s="75">
        <f>IF('BBG Verify'!K5="","not filed — run on terminal",'BBG Verify'!K5)</f>
        <v/>
      </c>
      <c r="BB5" s="62" t="inlineStr">
        <is>
          <t>N/A</t>
        </is>
      </c>
      <c r="BC5" s="62" t="inlineStr">
        <is>
          <t>N/A</t>
        </is>
      </c>
      <c r="BD5" s="62" t="inlineStr">
        <is>
          <t>N/A</t>
        </is>
      </c>
      <c r="BE5" s="62" t="inlineStr">
        <is>
          <t>N/A</t>
        </is>
      </c>
      <c r="BF5" s="62" t="inlineStr">
        <is>
          <t>N/A</t>
        </is>
      </c>
      <c r="BG5" s="74" t="inlineStr">
        <is>
          <t>Mont Avenir Capital Limited</t>
        </is>
      </c>
      <c r="BH5" s="62" t="inlineStr">
        <is>
          <t>Mont Avenir Capital Limited</t>
        </is>
      </c>
      <c r="BI5" s="62" t="inlineStr">
        <is>
          <t>Mont Avenir Capital Limited; SPDB International Capital Limited; Futu Securities International (Hong Kong) Limited; AMTD Global Markets Limited; China Merchants Securities (HK) Co., Limited</t>
        </is>
      </c>
      <c r="BJ5" s="62" t="inlineStr">
        <is>
          <t>AMTD Global Markets Limited; China Merchants Securities (HK) Company Limited; Futu Securities International (Hong Kong) Limited; Mont Avenir Capital Limited; SPDB International Capital Limited</t>
        </is>
      </c>
      <c r="BK5" s="76">
        <f>HYPERLINK("https://www1.hkexnews.hk/listedco/listconews/sehk/2020/1221/2020122100005.pdf","prospectus")</f>
        <v/>
      </c>
      <c r="BL5" s="76">
        <f>HYPERLINK("https://www1.hkexnews.hk/listedco/listconews/sehk/2021/0105/2021010500020.htm","allotment")</f>
        <v/>
      </c>
      <c r="BM5" s="76">
        <f>HYPERLINK("https://www1.hkexnews.hk/listedco/listconews/sehk/2021/0124/2021012400011.pdf","stabilisation")</f>
        <v/>
      </c>
      <c r="BN5" s="74" t="n"/>
      <c r="BO5" s="62" t="inlineStr">
        <is>
          <t>A/H: no A-share listing · market cap: estimate from deal size / offer % of enlarged capital disagreed with the published listing cap — published figure adopted</t>
        </is>
      </c>
    </row>
    <row r="6" ht="15" customHeight="1">
      <c r="A6" s="61" t="inlineStr">
        <is>
          <t>1855</t>
        </is>
      </c>
      <c r="B6" s="62" t="inlineStr">
        <is>
          <t>ZONBONG ENVIRO</t>
        </is>
      </c>
      <c r="C6" s="62" t="inlineStr">
        <is>
          <t>中慶股份</t>
        </is>
      </c>
      <c r="D6" s="62" t="inlineStr">
        <is>
          <t>Industrials</t>
        </is>
      </c>
      <c r="E6" s="62" t="inlineStr">
        <is>
          <t>Construction / engineering</t>
        </is>
      </c>
      <c r="F6" s="62" t="inlineStr">
        <is>
          <t>Building Construction</t>
        </is>
      </c>
      <c r="G6" s="62" t="inlineStr">
        <is>
          <t>Standard</t>
        </is>
      </c>
      <c r="H6" s="63" t="n">
        <v>44202</v>
      </c>
      <c r="I6" s="64" t="n">
        <v>54.7</v>
      </c>
      <c r="J6" s="62" t="inlineStr">
        <is>
          <t>net proceeds</t>
        </is>
      </c>
      <c r="K6" s="65" t="n"/>
      <c r="L6" s="65" t="n">
        <v>2</v>
      </c>
      <c r="M6" s="65" t="n">
        <v>2</v>
      </c>
      <c r="N6" s="62" t="inlineStr">
        <is>
          <t>Y</t>
        </is>
      </c>
      <c r="O6" s="66" t="n">
        <v>100</v>
      </c>
      <c r="P6" s="66" t="n"/>
      <c r="Q6" s="67" t="n">
        <v>594</v>
      </c>
      <c r="R6" s="62" t="inlineStr">
        <is>
          <t>aastocks:上市市值 at the struck price</t>
        </is>
      </c>
      <c r="S6" s="68" t="n">
        <v>36.25</v>
      </c>
      <c r="T6" s="69" t="n">
        <v>1.01</v>
      </c>
      <c r="U6" s="70" t="n">
        <v>0</v>
      </c>
      <c r="V6" s="66" t="n">
        <v>9.210000000000001</v>
      </c>
      <c r="W6" s="62" t="n"/>
      <c r="X6" s="62" t="n"/>
      <c r="Y6" s="66" t="n">
        <v>15</v>
      </c>
      <c r="Z6" s="62" t="inlineStr">
        <is>
          <t>lapsed</t>
        </is>
      </c>
      <c r="AA6" s="71" t="n">
        <v>2.5</v>
      </c>
      <c r="AB6" s="72" t="n">
        <v>-0.5</v>
      </c>
      <c r="AC6" s="72" t="n">
        <v>3.02</v>
      </c>
      <c r="AD6" s="72" t="n">
        <v>-5</v>
      </c>
      <c r="AE6" s="72" t="n">
        <v>-5</v>
      </c>
      <c r="AF6" s="72" t="n">
        <v>3.5</v>
      </c>
      <c r="AG6" s="72" t="n">
        <v>-7.32</v>
      </c>
      <c r="AH6" s="72" t="n">
        <v>-7.32</v>
      </c>
      <c r="AI6" s="72" t="n">
        <v>0.98</v>
      </c>
      <c r="AJ6" s="72" t="n">
        <v>-5.71</v>
      </c>
      <c r="AK6" s="72" t="n">
        <v>-15.56</v>
      </c>
      <c r="AL6" s="72" t="n">
        <v>3.47</v>
      </c>
      <c r="AM6" s="72" t="n">
        <v>-16.88</v>
      </c>
      <c r="AN6" s="72" t="n">
        <v>10.56</v>
      </c>
      <c r="AO6" s="72" t="n">
        <v>9.56</v>
      </c>
      <c r="AP6" s="62" t="inlineStr">
        <is>
          <t>Hang Seng Commerce &amp; Industry sub-index</t>
        </is>
      </c>
      <c r="AQ6" s="72" t="n">
        <v>-70.59999999999999</v>
      </c>
      <c r="AR6" s="63" t="inlineStr">
        <is>
          <t>2026-08-24</t>
        </is>
      </c>
      <c r="AS6" s="64" t="n">
        <v>987.2</v>
      </c>
      <c r="AT6" s="67" t="n">
        <v>54.4</v>
      </c>
      <c r="AU6" s="62" t="inlineStr">
        <is>
          <t>Y</t>
        </is>
      </c>
      <c r="AV6" s="73" t="n">
        <v>10.9</v>
      </c>
      <c r="AW6" s="73" t="n"/>
      <c r="AX6" s="73" t="n">
        <v>5.7</v>
      </c>
      <c r="AY6" s="73" t="n">
        <v>0.6</v>
      </c>
      <c r="AZ6" s="74" t="inlineStr">
        <is>
          <t>N</t>
        </is>
      </c>
      <c r="BA6" s="75">
        <f>IF('BBG Verify'!K6="","not filed — run on terminal",'BBG Verify'!K6)</f>
        <v/>
      </c>
      <c r="BB6" s="62" t="inlineStr">
        <is>
          <t>N/A</t>
        </is>
      </c>
      <c r="BC6" s="62" t="inlineStr">
        <is>
          <t>N/A</t>
        </is>
      </c>
      <c r="BD6" s="62" t="inlineStr">
        <is>
          <t>N/A</t>
        </is>
      </c>
      <c r="BE6" s="62" t="inlineStr">
        <is>
          <t>N/A</t>
        </is>
      </c>
      <c r="BF6" s="62" t="inlineStr">
        <is>
          <t>N/A</t>
        </is>
      </c>
      <c r="BG6" s="74" t="inlineStr">
        <is>
          <t>China Tonghai Capital Limited</t>
        </is>
      </c>
      <c r="BH6" s="62" t="inlineStr">
        <is>
          <t>China Tonghai Capital Limited</t>
        </is>
      </c>
      <c r="BI6" s="62" t="inlineStr">
        <is>
          <t>China Tonghai Securities Limited; CMBC Securities Company Limited; Southwest Securities (HK) Brokerage Limited; Causeway Bay, Hong Kong SPDB International Capital Limited</t>
        </is>
      </c>
      <c r="BJ6" s="62" t="inlineStr">
        <is>
          <t>Central China International Capital Limited; China Tonghai Securities Limited; CMBC Securities Company Limited; Elstone Securities Limited; Eddid Securities and Futures Limited; Realord Asia Pacific Securities Limited; Shenwan Hongyuan Capital (H.K.) Limited; SPDB International Capital Limited; Seazen Resources Securities Limited; Southwest Securities (HK) Brokerage Limited</t>
        </is>
      </c>
      <c r="BK6" s="76">
        <f>HYPERLINK("https://www1.hkexnews.hk/listedco/listconews/sehk/2020/1222/2020122200050.htm","prospectus")</f>
        <v/>
      </c>
      <c r="BL6" s="76">
        <f>HYPERLINK("https://www1.hkexnews.hk/listedco/listconews/sehk/2021/0105/2021010500038.htm","allotment")</f>
        <v/>
      </c>
      <c r="BM6" s="76">
        <f>HYPERLINK("https://www1.hkexnews.hk/listedco/listconews/sehk/2021/0203/2021020300669.pdf","stabilisation")</f>
        <v/>
      </c>
      <c r="BN6" s="74" t="n"/>
      <c r="BO6" s="62" t="inlineStr">
        <is>
          <t>price range: fixed-price offering (no indicative range) · range low: cap-only pricing — the filing publishes a Maximum Offer Price and no indicative floor · A/H: no A-share listing · cornerstone list: no cornerstone tranche in this deal</t>
        </is>
      </c>
    </row>
    <row r="7" ht="15" customHeight="1">
      <c r="A7" s="61" t="inlineStr">
        <is>
          <t>1440</t>
        </is>
      </c>
      <c r="B7" s="62" t="inlineStr">
        <is>
          <t>DEYUN HOLDING</t>
        </is>
      </c>
      <c r="C7" s="62" t="inlineStr">
        <is>
          <t>應星控股</t>
        </is>
      </c>
      <c r="D7" s="62" t="inlineStr">
        <is>
          <t>Industrials</t>
        </is>
      </c>
      <c r="E7" s="62" t="inlineStr">
        <is>
          <t>Construction / engineering</t>
        </is>
      </c>
      <c r="F7" s="62" t="inlineStr">
        <is>
          <t>Textiles</t>
        </is>
      </c>
      <c r="G7" s="62" t="inlineStr">
        <is>
          <t>Standard</t>
        </is>
      </c>
      <c r="H7" s="63" t="n">
        <v>44209</v>
      </c>
      <c r="I7" s="64" t="n">
        <v>126</v>
      </c>
      <c r="J7" s="62" t="inlineStr">
        <is>
          <t>gross (price x shares)</t>
        </is>
      </c>
      <c r="K7" s="65" t="n">
        <v>0.4</v>
      </c>
      <c r="L7" s="65" t="n">
        <v>0.5</v>
      </c>
      <c r="M7" s="65" t="n">
        <v>0.4</v>
      </c>
      <c r="N7" s="62" t="inlineStr">
        <is>
          <t>N</t>
        </is>
      </c>
      <c r="O7" s="66" t="n">
        <v>80</v>
      </c>
      <c r="P7" s="66" t="n">
        <v>0</v>
      </c>
      <c r="Q7" s="67" t="n">
        <v>560</v>
      </c>
      <c r="R7" s="62" t="inlineStr">
        <is>
          <t>derived:deal size / offer % of enlarged capital</t>
        </is>
      </c>
      <c r="S7" s="68" t="n">
        <v>33.62</v>
      </c>
      <c r="T7" s="69" t="n">
        <v>0.96</v>
      </c>
      <c r="U7" s="70" t="n">
        <v>45.1</v>
      </c>
      <c r="V7" s="66" t="n">
        <v>12.35</v>
      </c>
      <c r="W7" s="62" t="inlineStr">
        <is>
          <t>Cheng Hung Ping; Tam Yuk Ching Jenny; Tsai Chuen Sui Robert</t>
        </is>
      </c>
      <c r="X7" s="62" t="inlineStr">
        <is>
          <t>cheng-hung;tam;tsai</t>
        </is>
      </c>
      <c r="Y7" s="66" t="n">
        <v>7.5</v>
      </c>
      <c r="Z7" s="62" t="n"/>
      <c r="AA7" s="71" t="n">
        <v>3.75</v>
      </c>
      <c r="AB7" s="72" t="n">
        <v>5</v>
      </c>
      <c r="AC7" s="72" t="n">
        <v>-1.19</v>
      </c>
      <c r="AD7" s="72" t="n">
        <v>25</v>
      </c>
      <c r="AE7" s="72" t="n">
        <v>60</v>
      </c>
      <c r="AF7" s="72" t="n">
        <v>22.5</v>
      </c>
      <c r="AG7" s="72" t="n">
        <v>20.48</v>
      </c>
      <c r="AH7" s="72" t="n">
        <v>54.22</v>
      </c>
      <c r="AI7" s="72" t="n">
        <v>18.07</v>
      </c>
      <c r="AJ7" s="72" t="n">
        <v>15.11</v>
      </c>
      <c r="AK7" s="72" t="n">
        <v>45.86</v>
      </c>
      <c r="AL7" s="72" t="n">
        <v>20.13</v>
      </c>
      <c r="AM7" s="72" t="n">
        <v>40.18</v>
      </c>
      <c r="AN7" s="72" t="n">
        <v>14.14</v>
      </c>
      <c r="AO7" s="72" t="n">
        <v>14.04</v>
      </c>
      <c r="AP7" s="62" t="inlineStr">
        <is>
          <t>Hang Seng Commerce &amp; Industry sub-index</t>
        </is>
      </c>
      <c r="AQ7" s="72" t="n">
        <v>2900</v>
      </c>
      <c r="AR7" s="63" t="inlineStr">
        <is>
          <t>2026-08-20</t>
        </is>
      </c>
      <c r="AS7" s="64" t="n">
        <v>223.8</v>
      </c>
      <c r="AT7" s="67" t="n">
        <v>46</v>
      </c>
      <c r="AU7" s="62" t="inlineStr">
        <is>
          <t>Y</t>
        </is>
      </c>
      <c r="AV7" s="73" t="n">
        <v>12.2</v>
      </c>
      <c r="AW7" s="73" t="n"/>
      <c r="AX7" s="73" t="n"/>
      <c r="AY7" s="73" t="n">
        <v>2.5</v>
      </c>
      <c r="AZ7" s="74" t="inlineStr">
        <is>
          <t>N</t>
        </is>
      </c>
      <c r="BA7" s="75">
        <f>IF('BBG Verify'!K7="","not filed — run on terminal",'BBG Verify'!K7)</f>
        <v/>
      </c>
      <c r="BB7" s="62" t="inlineStr">
        <is>
          <t>N/A</t>
        </is>
      </c>
      <c r="BC7" s="62" t="inlineStr">
        <is>
          <t>N/A</t>
        </is>
      </c>
      <c r="BD7" s="62" t="inlineStr">
        <is>
          <t>N/A</t>
        </is>
      </c>
      <c r="BE7" s="62" t="inlineStr">
        <is>
          <t>N/A</t>
        </is>
      </c>
      <c r="BF7" s="62" t="inlineStr">
        <is>
          <t>N/A</t>
        </is>
      </c>
      <c r="BG7" s="74" t="inlineStr">
        <is>
          <t>Dakin Capital Limited</t>
        </is>
      </c>
      <c r="BH7" s="62" t="inlineStr">
        <is>
          <t>Dakin Capital Limited</t>
        </is>
      </c>
      <c r="BI7" s="62" t="inlineStr">
        <is>
          <t>Dakin Securities Limited; BOCOM International Securities Limited</t>
        </is>
      </c>
      <c r="BJ7" s="62" t="inlineStr">
        <is>
          <t>Beta International Securities Limited; CCB International Capital Limited; Dakin Securities Limited; I Win Securities Limited; Red Eagle Securities Limited; Yuzhou Financial Holdings Limited</t>
        </is>
      </c>
      <c r="BK7" s="76">
        <f>HYPERLINK("https://www1.hkexnews.hk/listedco/listconews/sehk/2020/1228/2020122800063.pdf","prospectus")</f>
        <v/>
      </c>
      <c r="BL7" s="76">
        <f>HYPERLINK("https://www1.hkexnews.hk/listedco/listconews/sehk/2021/0112/2021011200008.htm","allotment")</f>
        <v/>
      </c>
      <c r="BM7" s="62" t="n"/>
      <c r="BN7" s="74" t="n"/>
      <c r="BO7" s="62" t="inlineStr">
        <is>
          <t>greenshoe: end-of-stabilisation notice not located · A/H: no A-share listing</t>
        </is>
      </c>
    </row>
    <row r="8" ht="15" customHeight="1">
      <c r="A8" s="61" t="inlineStr">
        <is>
          <t>2129</t>
        </is>
      </c>
      <c r="B8" s="62" t="inlineStr">
        <is>
          <t>LEGION CONSO</t>
        </is>
      </c>
      <c r="C8" s="62" t="inlineStr">
        <is>
          <t>LEGION CONSO</t>
        </is>
      </c>
      <c r="D8" s="62" t="inlineStr">
        <is>
          <t>Industrials</t>
        </is>
      </c>
      <c r="E8" s="62" t="inlineStr">
        <is>
          <t>Logistics</t>
        </is>
      </c>
      <c r="F8" s="62" t="inlineStr">
        <is>
          <t>Air Freight &amp; Logistics</t>
        </is>
      </c>
      <c r="G8" s="62" t="inlineStr">
        <is>
          <t>Standard</t>
        </is>
      </c>
      <c r="H8" s="63" t="n">
        <v>44209</v>
      </c>
      <c r="I8" s="64" t="n">
        <v>41.6</v>
      </c>
      <c r="J8" s="62" t="inlineStr">
        <is>
          <t>net proceeds</t>
        </is>
      </c>
      <c r="K8" s="65" t="n">
        <v>0.4</v>
      </c>
      <c r="L8" s="65" t="n">
        <v>0.52</v>
      </c>
      <c r="M8" s="65" t="n">
        <v>0.4</v>
      </c>
      <c r="N8" s="62" t="inlineStr">
        <is>
          <t>N</t>
        </is>
      </c>
      <c r="O8" s="66" t="n">
        <v>76.90000000000001</v>
      </c>
      <c r="P8" s="66" t="n">
        <v>0</v>
      </c>
      <c r="Q8" s="67" t="n">
        <v>615.4</v>
      </c>
      <c r="R8" s="62" t="inlineStr">
        <is>
          <t>aastocks:上市市值 at the struck price</t>
        </is>
      </c>
      <c r="S8" s="68" t="n">
        <v>443.37</v>
      </c>
      <c r="T8" s="69" t="n">
        <v>1.5</v>
      </c>
      <c r="U8" s="70" t="n">
        <v>0</v>
      </c>
      <c r="V8" s="66" t="n">
        <v>6.76</v>
      </c>
      <c r="W8" s="62" t="n"/>
      <c r="X8" s="62" t="n"/>
      <c r="Y8" s="66" t="n"/>
      <c r="Z8" s="62" t="n"/>
      <c r="AA8" s="71" t="n">
        <v>-12.5</v>
      </c>
      <c r="AB8" s="72" t="n">
        <v>15</v>
      </c>
      <c r="AC8" s="72" t="n">
        <v>-23.91</v>
      </c>
      <c r="AD8" s="72" t="n">
        <v>-31.25</v>
      </c>
      <c r="AE8" s="72" t="n">
        <v>-42</v>
      </c>
      <c r="AF8" s="72" t="n">
        <v>-55</v>
      </c>
      <c r="AG8" s="72" t="n">
        <v>-21.43</v>
      </c>
      <c r="AH8" s="72" t="n">
        <v>-33.71</v>
      </c>
      <c r="AI8" s="72" t="n">
        <v>-48.57</v>
      </c>
      <c r="AJ8" s="72" t="n">
        <v>-41.14</v>
      </c>
      <c r="AK8" s="72" t="n">
        <v>-56.14</v>
      </c>
      <c r="AL8" s="72" t="n">
        <v>-57.37</v>
      </c>
      <c r="AM8" s="72" t="n">
        <v>-47.75</v>
      </c>
      <c r="AN8" s="72" t="n">
        <v>14.14</v>
      </c>
      <c r="AO8" s="72" t="n">
        <v>14.04</v>
      </c>
      <c r="AP8" s="62" t="inlineStr">
        <is>
          <t>Hang Seng Commerce &amp; Industry sub-index</t>
        </is>
      </c>
      <c r="AQ8" s="72" t="n">
        <v>-43</v>
      </c>
      <c r="AR8" s="63" t="inlineStr">
        <is>
          <t>2026-08-20</t>
        </is>
      </c>
      <c r="AS8" s="64" t="n">
        <v>248.9</v>
      </c>
      <c r="AT8" s="67" t="n">
        <v>34.5</v>
      </c>
      <c r="AU8" s="62" t="inlineStr">
        <is>
          <t>Y</t>
        </is>
      </c>
      <c r="AV8" s="73" t="n">
        <v>17.8</v>
      </c>
      <c r="AW8" s="73" t="n"/>
      <c r="AX8" s="73" t="n"/>
      <c r="AY8" s="73" t="n">
        <v>2.5</v>
      </c>
      <c r="AZ8" s="74" t="inlineStr">
        <is>
          <t>N</t>
        </is>
      </c>
      <c r="BA8" s="75">
        <f>IF('BBG Verify'!K8="","not filed — run on terminal",'BBG Verify'!K8)</f>
        <v/>
      </c>
      <c r="BB8" s="62" t="inlineStr">
        <is>
          <t>N/A</t>
        </is>
      </c>
      <c r="BC8" s="62" t="inlineStr">
        <is>
          <t>N/A</t>
        </is>
      </c>
      <c r="BD8" s="62" t="inlineStr">
        <is>
          <t>N/A</t>
        </is>
      </c>
      <c r="BE8" s="62" t="inlineStr">
        <is>
          <t>N/A</t>
        </is>
      </c>
      <c r="BF8" s="62" t="inlineStr">
        <is>
          <t>N/A</t>
        </is>
      </c>
      <c r="BG8" s="74" t="n"/>
      <c r="BH8" s="62" t="inlineStr">
        <is>
          <t>Ample Capital Limited</t>
        </is>
      </c>
      <c r="BI8" s="62" t="inlineStr">
        <is>
          <t>and Public Offer Underwriter Alpha Financial Group Limited; and Public Offer Underwriters Elstone Securities Limited; AFG Securities Limited; Ample Capital Limited; BOCOM International Securities Limited; CMBC Securities Company Limited; First Fidelity Capital (International) Limited; Get Nice Securities Limited; Head &amp; Shoulders Securities Limited; Plutus Securities Limited; Seazen Resources Securities Limited; Sinomax Securities Limited</t>
        </is>
      </c>
      <c r="BJ8" s="62" t="inlineStr">
        <is>
          <t>Ample Capital Limited; Alpha Financial Group Limited; AFG Securities Limited; Beta International Securities Limited; CIS Securities Asset Management Limited; CMBC Securities Company Limited; Elstone Securities Limited; First Fidelity Capital (International) Limited; Get Nice Securities Limited; Head &amp; Shoulders Securities Limited; Plutus Securities Limited; Sinomax Securities Limited</t>
        </is>
      </c>
      <c r="BK8" s="76">
        <f>HYPERLINK("https://www1.hkexnews.hk/listedco/listconews/sehk/2020/1230/2020123000007.pdf","prospectus")</f>
        <v/>
      </c>
      <c r="BL8" s="76">
        <f>HYPERLINK("https://www1.hkexnews.hk/listedco/listconews/sehk/2021/0112/2021011200024.htm","allotment")</f>
        <v/>
      </c>
      <c r="BM8" s="62" t="n"/>
      <c r="BN8" s="74" t="n"/>
      <c r="BO8" s="62" t="inlineStr">
        <is>
          <t>greenshoe: no over-allotment option in the offer structure · A/H: no A-share listing · sponsor: English name not in the filing text; AAStocks 保薦人 shown · cornerstone list: no cornerstone tranche in this deal · greenshoe size: no over-allotment option in the offer structure</t>
        </is>
      </c>
    </row>
    <row r="9" ht="15" customHeight="1">
      <c r="A9" s="61" t="inlineStr">
        <is>
          <t>2153</t>
        </is>
      </c>
      <c r="B9" s="62" t="inlineStr">
        <is>
          <t>TAT HONG EQUIP</t>
        </is>
      </c>
      <c r="C9" s="62" t="inlineStr">
        <is>
          <t>達豐設備</t>
        </is>
      </c>
      <c r="D9" s="62" t="inlineStr">
        <is>
          <t>Industrials</t>
        </is>
      </c>
      <c r="E9" s="62" t="inlineStr">
        <is>
          <t>Capital goods / machinery</t>
        </is>
      </c>
      <c r="F9" s="62" t="inlineStr">
        <is>
          <t>Construction &amp; Engineering</t>
        </is>
      </c>
      <c r="G9" s="62" t="inlineStr">
        <is>
          <t>Standard</t>
        </is>
      </c>
      <c r="H9" s="63" t="n">
        <v>44209</v>
      </c>
      <c r="I9" s="64" t="n">
        <v>644.8</v>
      </c>
      <c r="J9" s="62" t="inlineStr">
        <is>
          <t>gross (price x shares)</t>
        </is>
      </c>
      <c r="K9" s="65" t="n">
        <v>1.5</v>
      </c>
      <c r="L9" s="65" t="n">
        <v>1.96</v>
      </c>
      <c r="M9" s="65" t="n">
        <v>1.73</v>
      </c>
      <c r="N9" s="62" t="inlineStr">
        <is>
          <t>N</t>
        </is>
      </c>
      <c r="O9" s="66" t="n">
        <v>88.3</v>
      </c>
      <c r="P9" s="66" t="n">
        <v>50</v>
      </c>
      <c r="Q9" s="67" t="n">
        <v>2018.7</v>
      </c>
      <c r="R9" s="62" t="inlineStr">
        <is>
          <t>prospectus:stated market capitalisation</t>
        </is>
      </c>
      <c r="S9" s="68" t="n">
        <v>10.3</v>
      </c>
      <c r="T9" s="69" t="n">
        <v>1.02</v>
      </c>
      <c r="U9" s="70" t="n">
        <v>37.5</v>
      </c>
      <c r="V9" s="66" t="n">
        <v>19.96</v>
      </c>
      <c r="W9" s="62" t="inlineStr">
        <is>
          <t>Yanlord Investment Limited; Zoomlion International Trading (H.K.) Co., Limited</t>
        </is>
      </c>
      <c r="X9" s="62" t="inlineStr">
        <is>
          <t>yanlord;zoomlion</t>
        </is>
      </c>
      <c r="Y9" s="66" t="n">
        <v>11.9</v>
      </c>
      <c r="Z9" s="62" t="inlineStr">
        <is>
          <t>lapsed</t>
        </is>
      </c>
      <c r="AA9" s="71" t="n">
        <v>-8.67</v>
      </c>
      <c r="AB9" s="72" t="n">
        <v>-19.08</v>
      </c>
      <c r="AC9" s="72" t="n">
        <v>12.86</v>
      </c>
      <c r="AD9" s="72" t="n">
        <v>5.78</v>
      </c>
      <c r="AE9" s="72" t="n">
        <v>-13.87</v>
      </c>
      <c r="AF9" s="72" t="n">
        <v>-13.29</v>
      </c>
      <c r="AG9" s="72" t="n">
        <v>15.82</v>
      </c>
      <c r="AH9" s="72" t="n">
        <v>-5.69</v>
      </c>
      <c r="AI9" s="72" t="n">
        <v>-5.06</v>
      </c>
      <c r="AJ9" s="72" t="n">
        <v>-4.11</v>
      </c>
      <c r="AK9" s="72" t="n">
        <v>-28.01</v>
      </c>
      <c r="AL9" s="72" t="n">
        <v>-15.66</v>
      </c>
      <c r="AM9" s="72" t="n">
        <v>-19.73</v>
      </c>
      <c r="AN9" s="72" t="n">
        <v>14.14</v>
      </c>
      <c r="AO9" s="72" t="n">
        <v>14.04</v>
      </c>
      <c r="AP9" s="62" t="inlineStr">
        <is>
          <t>Hang Seng Commerce &amp; Industry sub-index</t>
        </is>
      </c>
      <c r="AQ9" s="72" t="n">
        <v>-53.76</v>
      </c>
      <c r="AR9" s="63" t="inlineStr">
        <is>
          <t>2026-08-20</t>
        </is>
      </c>
      <c r="AS9" s="64" t="n">
        <v>819.4</v>
      </c>
      <c r="AT9" s="67" t="n">
        <v>84.09999999999999</v>
      </c>
      <c r="AU9" s="62" t="inlineStr">
        <is>
          <t>Y</t>
        </is>
      </c>
      <c r="AV9" s="73" t="n">
        <v>24</v>
      </c>
      <c r="AW9" s="73" t="n"/>
      <c r="AX9" s="73" t="n"/>
      <c r="AY9" s="73" t="n">
        <v>2.5</v>
      </c>
      <c r="AZ9" s="74" t="inlineStr">
        <is>
          <t>N</t>
        </is>
      </c>
      <c r="BA9" s="75">
        <f>IF('BBG Verify'!K9="","not filed — run on terminal",'BBG Verify'!K9)</f>
        <v/>
      </c>
      <c r="BB9" s="62" t="inlineStr">
        <is>
          <t>N/A</t>
        </is>
      </c>
      <c r="BC9" s="62" t="inlineStr">
        <is>
          <t>N/A</t>
        </is>
      </c>
      <c r="BD9" s="62" t="inlineStr">
        <is>
          <t>N/A</t>
        </is>
      </c>
      <c r="BE9" s="62" t="inlineStr">
        <is>
          <t>N/A</t>
        </is>
      </c>
      <c r="BF9" s="62" t="inlineStr">
        <is>
          <t>N/A</t>
        </is>
      </c>
      <c r="BG9" s="74" t="inlineStr">
        <is>
          <t>Fortune Financial Capital Limited</t>
        </is>
      </c>
      <c r="BH9" s="62" t="inlineStr">
        <is>
          <t>Fortune Financial Capital Limited</t>
        </is>
      </c>
      <c r="BI9" s="62" t="inlineStr">
        <is>
          <t>Fortune (HK) Securities Limited; CCB International Capital Limited; Zhongtai International Securities Limited; Valuable Capital Limited; China Everbright Securities (HK) Limited; Huabang Securities Limited; China Industrial Securities International Capital Limited; Crosby Securities Limited</t>
        </is>
      </c>
      <c r="BJ9" s="62" t="inlineStr">
        <is>
          <t>Blackwell Global Securities Limited; CCB International Capital Limited; China Everbright Securities (HK) Limited; China Tonghai Securities Limited; China Industrial Securities International Capital Limited; Crosby Securities Limited; Fortune (HK) Securities Limited; Huabang Securities Limited; SPDB International Capital Limited; TUS Corporate Finance Limited</t>
        </is>
      </c>
      <c r="BK9" s="76">
        <f>HYPERLINK("https://www1.hkexnews.hk/listedco/listconews/sehk/2020/1230/2020123000017.pdf","prospectus")</f>
        <v/>
      </c>
      <c r="BL9" s="76">
        <f>HYPERLINK("https://www1.hkexnews.hk/listedco/listconews/sehk/2021/0112/2021011200086.htm","allotment")</f>
        <v/>
      </c>
      <c r="BM9" s="76">
        <f>HYPERLINK("https://www1.hkexnews.hk/listedco/listconews/sehk/2021/0204/2021020400633.pdf","stabilisation")</f>
        <v/>
      </c>
      <c r="BN9" s="74" t="n"/>
      <c r="BO9" s="62" t="inlineStr">
        <is>
          <t>A/H: no A-share listing</t>
        </is>
      </c>
    </row>
    <row r="10" ht="15" customHeight="1">
      <c r="A10" s="61" t="inlineStr">
        <is>
          <t>1643</t>
        </is>
      </c>
      <c r="B10" s="62" t="inlineStr">
        <is>
          <t>MODERN CHI MED</t>
        </is>
      </c>
      <c r="C10" s="62" t="inlineStr">
        <is>
          <t>現代中藥集團</t>
        </is>
      </c>
      <c r="D10" s="62" t="inlineStr">
        <is>
          <t>Healthcare</t>
        </is>
      </c>
      <c r="E10" s="62" t="inlineStr">
        <is>
          <t>TCM</t>
        </is>
      </c>
      <c r="F10" s="62" t="inlineStr">
        <is>
          <t>Pharmaceuticals</t>
        </is>
      </c>
      <c r="G10" s="62" t="inlineStr">
        <is>
          <t>Standard</t>
        </is>
      </c>
      <c r="H10" s="63" t="n">
        <v>44211</v>
      </c>
      <c r="I10" s="64" t="n">
        <v>177</v>
      </c>
      <c r="J10" s="62" t="inlineStr">
        <is>
          <t>gross (price x shares)</t>
        </is>
      </c>
      <c r="K10" s="65" t="n"/>
      <c r="L10" s="65" t="n">
        <v>1.47</v>
      </c>
      <c r="M10" s="65" t="n">
        <v>1.18</v>
      </c>
      <c r="N10" s="62" t="inlineStr">
        <is>
          <t>N</t>
        </is>
      </c>
      <c r="O10" s="66" t="n">
        <v>80.3</v>
      </c>
      <c r="P10" s="66" t="n"/>
      <c r="Q10" s="67" t="n">
        <v>816.9</v>
      </c>
      <c r="R10" s="62" t="inlineStr">
        <is>
          <t>aastocks:上市市值 at the struck price</t>
        </is>
      </c>
      <c r="S10" s="68" t="n">
        <v>30.66</v>
      </c>
      <c r="T10" s="69" t="n">
        <v>1.004</v>
      </c>
      <c r="U10" s="70" t="n">
        <v>0</v>
      </c>
      <c r="V10" s="66" t="n">
        <v>21.67</v>
      </c>
      <c r="W10" s="62" t="n"/>
      <c r="X10" s="62" t="n"/>
      <c r="Y10" s="66" t="n">
        <v>7</v>
      </c>
      <c r="Z10" s="62" t="n"/>
      <c r="AA10" s="71" t="n">
        <v>6.78</v>
      </c>
      <c r="AB10" s="72" t="n">
        <v>-0.85</v>
      </c>
      <c r="AC10" s="72" t="n">
        <v>7.7</v>
      </c>
      <c r="AD10" s="72" t="n">
        <v>-11.86</v>
      </c>
      <c r="AE10" s="72" t="n">
        <v>-21.19</v>
      </c>
      <c r="AF10" s="72" t="n">
        <v>-28.81</v>
      </c>
      <c r="AG10" s="72" t="n">
        <v>-17.46</v>
      </c>
      <c r="AH10" s="72" t="n">
        <v>-26.19</v>
      </c>
      <c r="AI10" s="72" t="n">
        <v>-33.33</v>
      </c>
      <c r="AJ10" s="72" t="n">
        <v>-22.93</v>
      </c>
      <c r="AK10" s="72" t="n">
        <v>-36.53</v>
      </c>
      <c r="AL10" s="72" t="n">
        <v>-26.19</v>
      </c>
      <c r="AM10" s="72" t="n">
        <v>-41.99</v>
      </c>
      <c r="AN10" s="72" t="n">
        <v>15.34</v>
      </c>
      <c r="AO10" s="72" t="n">
        <v>15.8</v>
      </c>
      <c r="AP10" s="62" t="inlineStr">
        <is>
          <t>China Biotech ETF (HS biotech proxy)</t>
        </is>
      </c>
      <c r="AQ10" s="72" t="n">
        <v>-30.51</v>
      </c>
      <c r="AR10" s="63" t="inlineStr">
        <is>
          <t>2026-08-20</t>
        </is>
      </c>
      <c r="AS10" s="64" t="n">
        <v>240.6</v>
      </c>
      <c r="AT10" s="67" t="n">
        <v>50.9</v>
      </c>
      <c r="AU10" s="62" t="inlineStr">
        <is>
          <t>Y</t>
        </is>
      </c>
      <c r="AV10" s="73" t="n">
        <v>16</v>
      </c>
      <c r="AW10" s="73" t="n"/>
      <c r="AX10" s="73" t="n"/>
      <c r="AY10" s="73" t="n">
        <v>3.4</v>
      </c>
      <c r="AZ10" s="74" t="inlineStr">
        <is>
          <t>N</t>
        </is>
      </c>
      <c r="BA10" s="75">
        <f>IF('BBG Verify'!K10="","not filed — run on terminal",'BBG Verify'!K10)</f>
        <v/>
      </c>
      <c r="BB10" s="62" t="inlineStr">
        <is>
          <t>N/A</t>
        </is>
      </c>
      <c r="BC10" s="62" t="inlineStr">
        <is>
          <t>N/A</t>
        </is>
      </c>
      <c r="BD10" s="62" t="inlineStr">
        <is>
          <t>N/A</t>
        </is>
      </c>
      <c r="BE10" s="62" t="inlineStr">
        <is>
          <t>N/A</t>
        </is>
      </c>
      <c r="BF10" s="62" t="inlineStr">
        <is>
          <t>N/A</t>
        </is>
      </c>
      <c r="BG10" s="74" t="inlineStr">
        <is>
          <t>Soochow Securities International Capital Limited</t>
        </is>
      </c>
      <c r="BH10" s="62" t="inlineStr">
        <is>
          <t>Soochow Securities International Capital Limited</t>
        </is>
      </c>
      <c r="BI10" s="62" t="inlineStr">
        <is>
          <t>SPDB International Capital Limited; BOCOM International Securities Limited; Central, Hong Kong Yue Xiu Securities Company Limited; Wan Chai, Hong Kong Shanxi Securities International Limited; Elstone Securities Limited</t>
        </is>
      </c>
      <c r="BJ10" s="62" t="inlineStr">
        <is>
          <t>Beta International Securities Limited; CNI Securities Group Limited; DL Securities (HK) Limited; Elstone Securities Limited; Forthright Securities Company Limited; Fuyuan Securities Limited; Shenwan Hongyuan Securities (H.K.) Limited; SPDB International Capital Limited; Soochow Securities International Brokerage Limited; Shanxi Securities International Limited; Wealth Link Securities Limited; Yue Xiu Securities Company Limited</t>
        </is>
      </c>
      <c r="BK10" s="76">
        <f>HYPERLINK("https://www1.hkexnews.hk/listedco/listconews/sehk/2020/1231/2020123100103.pdf","prospectus")</f>
        <v/>
      </c>
      <c r="BL10" s="76">
        <f>HYPERLINK("https://www1.hkexnews.hk/listedco/listconews/sehk/2021/0114/2021011400022.htm","allotment")</f>
        <v/>
      </c>
      <c r="BM10" s="62" t="n"/>
      <c r="BN10" s="74" t="n"/>
      <c r="BO10" s="62" t="inlineStr">
        <is>
          <t>greenshoe: end-of-stabilisation notice not located · 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t>
        </is>
      </c>
    </row>
    <row r="11" ht="15" customHeight="1">
      <c r="A11" s="61" t="inlineStr">
        <is>
          <t>2146</t>
        </is>
      </c>
      <c r="B11" s="62" t="inlineStr">
        <is>
          <t>ROISERV</t>
        </is>
      </c>
      <c r="C11" s="62" t="inlineStr">
        <is>
          <t>榮萬家</t>
        </is>
      </c>
      <c r="D11" s="62" t="inlineStr">
        <is>
          <t>Real Estate</t>
        </is>
      </c>
      <c r="E11" s="62" t="inlineStr">
        <is>
          <t>Property management</t>
        </is>
      </c>
      <c r="F11" s="62" t="inlineStr">
        <is>
          <t>Property Service and Management</t>
        </is>
      </c>
      <c r="G11" s="62" t="inlineStr">
        <is>
          <t>Standard</t>
        </is>
      </c>
      <c r="H11" s="63" t="n">
        <v>44211</v>
      </c>
      <c r="I11" s="64" t="n">
        <v>1265.2</v>
      </c>
      <c r="J11" s="62" t="inlineStr">
        <is>
          <t>gross (price x shares)</t>
        </is>
      </c>
      <c r="K11" s="65" t="n"/>
      <c r="L11" s="65" t="n">
        <v>18.36</v>
      </c>
      <c r="M11" s="65" t="n">
        <v>13.46</v>
      </c>
      <c r="N11" s="62" t="inlineStr">
        <is>
          <t>N</t>
        </is>
      </c>
      <c r="O11" s="66" t="n">
        <v>73.3</v>
      </c>
      <c r="P11" s="66" t="n"/>
      <c r="Q11" s="67" t="n">
        <v>5061</v>
      </c>
      <c r="R11" s="62" t="inlineStr">
        <is>
          <t>prospectus:stated market capitalisation</t>
        </is>
      </c>
      <c r="S11" s="68" t="n">
        <v>6.62</v>
      </c>
      <c r="T11" s="69" t="n">
        <v>1.94</v>
      </c>
      <c r="U11" s="70" t="n">
        <v>0</v>
      </c>
      <c r="V11" s="66" t="n">
        <v>25</v>
      </c>
      <c r="W11" s="62" t="n"/>
      <c r="X11" s="62" t="n"/>
      <c r="Y11" s="66" t="n">
        <v>6.05</v>
      </c>
      <c r="Z11" s="62" t="inlineStr">
        <is>
          <t>lapsed</t>
        </is>
      </c>
      <c r="AA11" s="71" t="n">
        <v>-8.17</v>
      </c>
      <c r="AB11" s="72" t="n">
        <v>-4.9</v>
      </c>
      <c r="AC11" s="72" t="n">
        <v>-3.44</v>
      </c>
      <c r="AD11" s="72" t="n">
        <v>-11.59</v>
      </c>
      <c r="AE11" s="72" t="n">
        <v>-34.03</v>
      </c>
      <c r="AF11" s="72" t="n">
        <v>-36.85</v>
      </c>
      <c r="AG11" s="72" t="n">
        <v>-3.72</v>
      </c>
      <c r="AH11" s="72" t="n">
        <v>-28.16</v>
      </c>
      <c r="AI11" s="72" t="n">
        <v>-31.23</v>
      </c>
      <c r="AJ11" s="72" t="n">
        <v>-13.66</v>
      </c>
      <c r="AK11" s="72" t="n">
        <v>-36.68</v>
      </c>
      <c r="AL11" s="72" t="n">
        <v>-47.57</v>
      </c>
      <c r="AM11" s="72" t="n">
        <v>-30.78</v>
      </c>
      <c r="AN11" s="72" t="n">
        <v>2.65</v>
      </c>
      <c r="AO11" s="72" t="n">
        <v>2.62</v>
      </c>
      <c r="AP11" s="62" t="inlineStr">
        <is>
          <t>Hang Seng Properties sub-index</t>
        </is>
      </c>
      <c r="AQ11" s="72" t="n">
        <v>-84.55</v>
      </c>
      <c r="AR11" s="63" t="inlineStr">
        <is>
          <t>2026-08-19</t>
        </is>
      </c>
      <c r="AS11" s="64" t="n">
        <v>1410.2</v>
      </c>
      <c r="AT11" s="67" t="n">
        <v>124.5</v>
      </c>
      <c r="AU11" s="62" t="inlineStr">
        <is>
          <t>Y</t>
        </is>
      </c>
      <c r="AV11" s="73" t="n">
        <v>40.7</v>
      </c>
      <c r="AW11" s="73" t="n">
        <v>10.7</v>
      </c>
      <c r="AX11" s="73" t="n">
        <v>5.9</v>
      </c>
      <c r="AY11" s="73" t="n">
        <v>3.6</v>
      </c>
      <c r="AZ11" s="74" t="inlineStr">
        <is>
          <t>N</t>
        </is>
      </c>
      <c r="BA11" s="75">
        <f>IF('BBG Verify'!K11="","not filed — run on terminal",'BBG Verify'!K11)</f>
        <v/>
      </c>
      <c r="BB11" s="62" t="inlineStr">
        <is>
          <t>N/A</t>
        </is>
      </c>
      <c r="BC11" s="62" t="inlineStr">
        <is>
          <t>N/A</t>
        </is>
      </c>
      <c r="BD11" s="62" t="inlineStr">
        <is>
          <t>N/A</t>
        </is>
      </c>
      <c r="BE11" s="62" t="inlineStr">
        <is>
          <t>N/A</t>
        </is>
      </c>
      <c r="BF11" s="62" t="inlineStr">
        <is>
          <t>N/A</t>
        </is>
      </c>
      <c r="BG11" s="74" t="inlineStr">
        <is>
          <t>Huatai Financial Holdings (Hong Kong) Limited</t>
        </is>
      </c>
      <c r="BH11" s="62" t="inlineStr">
        <is>
          <t>Huatai Financial Holdings (Hong Kong) Limited</t>
        </is>
      </c>
      <c r="BI11" s="62" t="inlineStr">
        <is>
          <t>Huatai Financial Holdings (Hong Kong) Limited; Haitong International Securities Company Limited; Soochow Securities International Brokerage Limited; UOB Kay Hian (Hong Kong) Limited; Fuyuan Securities Limited; BOCOM International Securities Limited; CCB International Capital Limited; China Securities (International) Corporate Finance Company Limited; CMB International Capital Limited; ICBC International Capital Limited; Realord Asia Pacific Securities Limited; Yue Xiu Securities Company Limited</t>
        </is>
      </c>
      <c r="BJ11" s="62" t="inlineStr">
        <is>
          <t>Alpha International Securities (HK) Limited; Beta International Securities Limited; Blackwell Global Securities Limited; CCB International Capital Limited; CMB International Capital Corporation Limited; China Securities (International) Corporate Finance Company Limited; Fuyuan Securities Limited; Guotai Junan Securities (Hong Kong) Limited; Huatai Financial Holdings (Hong Kong) Limited; Haitong International Securities Company Limited; ICBC International Securities Limited; Maxa Capital Limited</t>
        </is>
      </c>
      <c r="BK11" s="76">
        <f>HYPERLINK("https://www1.hkexnews.hk/listedco/listconews/sehk/2020/1231/2020123100013.pdf","prospectus")</f>
        <v/>
      </c>
      <c r="BL11" s="76">
        <f>HYPERLINK("https://www1.hkexnews.hk/listedco/listconews/sehk/2021/0114/2021011400038.htm","allotment")</f>
        <v/>
      </c>
      <c r="BM11" s="76">
        <f>HYPERLINK("https://www1.hkexnews.hk/listedco/listconews/sehk/2021/0207/2021020700027.pdf","stabilisation")</f>
        <v/>
      </c>
      <c r="BN11" s="74" t="n"/>
      <c r="BO11" s="62" t="inlineStr">
        <is>
          <t>range low: cap-only pricing — the filing publishes a Maximum Offer Price and no indicative floor · A/H: no A-share listing · cornerstone list: no cornerstone tranche in this deal</t>
        </is>
      </c>
    </row>
    <row r="12" ht="15" customHeight="1">
      <c r="A12" s="61" t="inlineStr">
        <is>
          <t>2125</t>
        </is>
      </c>
      <c r="B12" s="62" t="inlineStr">
        <is>
          <t>STRAWBEAR ENT</t>
        </is>
      </c>
      <c r="C12" s="62" t="inlineStr">
        <is>
          <t>稻草熊娛樂</t>
        </is>
      </c>
      <c r="D12" s="62" t="inlineStr">
        <is>
          <t>TMT-other</t>
        </is>
      </c>
      <c r="E12" s="62" t="inlineStr">
        <is>
          <t>Media / advertising</t>
        </is>
      </c>
      <c r="F12" s="62" t="inlineStr">
        <is>
          <t>Movies &amp; Entertainment</t>
        </is>
      </c>
      <c r="G12" s="62" t="inlineStr">
        <is>
          <t>Standard</t>
        </is>
      </c>
      <c r="H12" s="63" t="n">
        <v>44211</v>
      </c>
      <c r="I12" s="64" t="n">
        <v>974.8</v>
      </c>
      <c r="J12" s="62" t="inlineStr">
        <is>
          <t>gross (price x shares)</t>
        </is>
      </c>
      <c r="K12" s="65" t="n">
        <v>5.1</v>
      </c>
      <c r="L12" s="65" t="n">
        <v>6.16</v>
      </c>
      <c r="M12" s="65" t="n">
        <v>5.88</v>
      </c>
      <c r="N12" s="62" t="inlineStr">
        <is>
          <t>N</t>
        </is>
      </c>
      <c r="O12" s="66" t="n">
        <v>95.5</v>
      </c>
      <c r="P12" s="66" t="n">
        <v>73.59999999999999</v>
      </c>
      <c r="Q12" s="67" t="n">
        <v>3381.8</v>
      </c>
      <c r="R12" s="62" t="inlineStr">
        <is>
          <t>prospectus:stated market capitalisation</t>
        </is>
      </c>
      <c r="S12" s="68" t="n">
        <v>403.54</v>
      </c>
      <c r="T12" s="69" t="n">
        <v>13.41</v>
      </c>
      <c r="U12" s="70" t="n">
        <v>40</v>
      </c>
      <c r="V12" s="66" t="n">
        <v>17.29</v>
      </c>
      <c r="W12" s="62" t="inlineStr">
        <is>
          <t>Origin Flair Limited; Snow Lake Funds and Accounts; Vipshop International Holdings Limited</t>
        </is>
      </c>
      <c r="X12" s="62" t="inlineStr">
        <is>
          <t>origin;snow;vipshop</t>
        </is>
      </c>
      <c r="Y12" s="66" t="n">
        <v>14.68</v>
      </c>
      <c r="Z12" s="62" t="inlineStr">
        <is>
          <t>full</t>
        </is>
      </c>
      <c r="AA12" s="71" t="n">
        <v>83.67</v>
      </c>
      <c r="AB12" s="72" t="n">
        <v>19.05</v>
      </c>
      <c r="AC12" s="72" t="n">
        <v>54.28</v>
      </c>
      <c r="AD12" s="72" t="n">
        <v>25.85</v>
      </c>
      <c r="AE12" s="72" t="n">
        <v>32.31</v>
      </c>
      <c r="AF12" s="72" t="n">
        <v>130.95</v>
      </c>
      <c r="AG12" s="72" t="n">
        <v>-31.48</v>
      </c>
      <c r="AH12" s="72" t="n">
        <v>-27.96</v>
      </c>
      <c r="AI12" s="72" t="n">
        <v>25.74</v>
      </c>
      <c r="AJ12" s="72" t="n">
        <v>22.51</v>
      </c>
      <c r="AK12" s="72" t="n">
        <v>23.23</v>
      </c>
      <c r="AL12" s="72" t="n">
        <v>130.51</v>
      </c>
      <c r="AM12" s="72" t="n">
        <v>-36.75</v>
      </c>
      <c r="AN12" s="72" t="n">
        <v>9.08</v>
      </c>
      <c r="AO12" s="72" t="n">
        <v>8.789999999999999</v>
      </c>
      <c r="AP12" s="62" t="inlineStr">
        <is>
          <t>Hang Seng Index</t>
        </is>
      </c>
      <c r="AQ12" s="72" t="n">
        <v>-95.15000000000001</v>
      </c>
      <c r="AR12" s="63" t="inlineStr">
        <is>
          <t>2026-08-20</t>
        </is>
      </c>
      <c r="AS12" s="64" t="n">
        <v>836.3</v>
      </c>
      <c r="AT12" s="67" t="n">
        <v>55.4</v>
      </c>
      <c r="AU12" s="62" t="inlineStr">
        <is>
          <t>Y</t>
        </is>
      </c>
      <c r="AV12" s="73" t="n">
        <v>61</v>
      </c>
      <c r="AW12" s="73" t="n"/>
      <c r="AX12" s="73" t="n"/>
      <c r="AY12" s="73" t="n">
        <v>4</v>
      </c>
      <c r="AZ12" s="74" t="inlineStr">
        <is>
          <t>N</t>
        </is>
      </c>
      <c r="BA12" s="75">
        <f>IF('BBG Verify'!K12="","not filed — run on terminal",'BBG Verify'!K12)</f>
        <v/>
      </c>
      <c r="BB12" s="62" t="inlineStr">
        <is>
          <t>N/A</t>
        </is>
      </c>
      <c r="BC12" s="62" t="inlineStr">
        <is>
          <t>N/A</t>
        </is>
      </c>
      <c r="BD12" s="62" t="inlineStr">
        <is>
          <t>N/A</t>
        </is>
      </c>
      <c r="BE12" s="62" t="inlineStr">
        <is>
          <t>N/A</t>
        </is>
      </c>
      <c r="BF12" s="62" t="inlineStr">
        <is>
          <t>N/A</t>
        </is>
      </c>
      <c r="BG12" s="74" t="inlineStr">
        <is>
          <t>China Merchants Securities (HK) Co., Limited; China Securities (International) Corporate Finance Company Limited</t>
        </is>
      </c>
      <c r="BH12" s="62" t="inlineStr">
        <is>
          <t>China Securities (International) Corporate Finance Company Limited; China Merchants Securities (HK) Company Limited</t>
        </is>
      </c>
      <c r="BI12" s="62" t="inlineStr">
        <is>
          <t>China Merchants Securities (HK) Co., Limited; China Renaissance Securities (Hong Kong) Limited; China Securities (International) Corporate Finance Company Limited; ABCI Capital Limited; Haitong International Securities Company Limited; Huatai Financial Holdings (Hong Kong) Limited; CMB International Capital Limited; Futu Securities International (Hong Kong) Limited</t>
        </is>
      </c>
      <c r="BJ12" s="62" t="inlineStr">
        <is>
          <t>ABCI Securities Company Limited; Beta International Securities Limited; China Galaxy International Securities (Hong Kong) Company Limited; CMB International Capital Limited; China Merchants Securities (HK) Company Limited; China Renaissance Securities (Hong Kong) Limited; China Securities (International) Corporate Finance Company Limited; Futu Securities International (Hong Kong) Limited; Huatai Financial Holdings (Hong Kong) Limited; Haitong International Securities Company Limited</t>
        </is>
      </c>
      <c r="BK12" s="76">
        <f>HYPERLINK("https://www1.hkexnews.hk/listedco/listconews/sehk/2020/1231/2020123100263.pdf","prospectus")</f>
        <v/>
      </c>
      <c r="BL12" s="76">
        <f>HYPERLINK("https://www1.hkexnews.hk/listedco/listconews/sehk/2021/0114/2021011400088.htm","allotment")</f>
        <v/>
      </c>
      <c r="BM12" s="76">
        <f>HYPERLINK("https://www1.hkexnews.hk/listedco/listconews/sehk/2021/0207/2021020700085.pdf","stabilisation")</f>
        <v/>
      </c>
      <c r="BN12" s="74" t="n"/>
      <c r="BO12" s="62" t="inlineStr">
        <is>
          <t>A/H: no A-share listing · cornerstone: table parse read 80% but the institutional total implies 40% — parse rejected, the filed aggregate-amount sentence used (40.0%)</t>
        </is>
      </c>
    </row>
    <row r="13" ht="15" customHeight="1">
      <c r="A13" s="61" t="inlineStr">
        <is>
          <t>2158</t>
        </is>
      </c>
      <c r="B13" s="62" t="inlineStr">
        <is>
          <t>YIDU TECH</t>
        </is>
      </c>
      <c r="C13" s="62" t="inlineStr">
        <is>
          <t>醫渡科技</t>
        </is>
      </c>
      <c r="D13" s="62" t="inlineStr">
        <is>
          <t>Healthcare</t>
        </is>
      </c>
      <c r="E13" s="62" t="inlineStr">
        <is>
          <t>Digital health</t>
        </is>
      </c>
      <c r="F13" s="62" t="inlineStr">
        <is>
          <t>Health Care Services</t>
        </is>
      </c>
      <c r="G13" s="62" t="inlineStr">
        <is>
          <t>Standard</t>
        </is>
      </c>
      <c r="H13" s="63" t="n">
        <v>44211</v>
      </c>
      <c r="I13" s="64" t="n">
        <v>4114.6</v>
      </c>
      <c r="J13" s="62" t="inlineStr">
        <is>
          <t>gross (price x shares)</t>
        </is>
      </c>
      <c r="K13" s="65" t="n">
        <v>23.5</v>
      </c>
      <c r="L13" s="65" t="n">
        <v>26.3</v>
      </c>
      <c r="M13" s="65" t="n">
        <v>26.3</v>
      </c>
      <c r="N13" s="62" t="inlineStr">
        <is>
          <t>Y</t>
        </is>
      </c>
      <c r="O13" s="66" t="n">
        <v>100</v>
      </c>
      <c r="P13" s="66" t="n">
        <v>100</v>
      </c>
      <c r="Q13" s="67" t="n">
        <v>21154.8</v>
      </c>
      <c r="R13" s="62" t="inlineStr">
        <is>
          <t>derived:deal size / offer % of enlarged capital</t>
        </is>
      </c>
      <c r="S13" s="68" t="n">
        <v>1633.84</v>
      </c>
      <c r="T13" s="69" t="n">
        <v>33.4</v>
      </c>
      <c r="U13" s="70" t="n">
        <v>15.1</v>
      </c>
      <c r="V13" s="66" t="n">
        <v>16.51</v>
      </c>
      <c r="W13" s="62" t="inlineStr">
        <is>
          <t>3W Fund Management Limited; China Orient Multi-Strategy Master Fund; CPP Investment Board PMI-2 Inc; Matthews Funds; OrbiMed Capital LLC; Tencent Mobility Limited; Velmar Company Limited</t>
        </is>
      </c>
      <c r="X13" s="62" t="inlineStr">
        <is>
          <t>3w;orient;cpp;matthews;orbimed;tencent;velmar</t>
        </is>
      </c>
      <c r="Y13" s="66" t="n">
        <v>17.35</v>
      </c>
      <c r="Z13" s="62" t="inlineStr">
        <is>
          <t>full</t>
        </is>
      </c>
      <c r="AA13" s="71" t="n">
        <v>147.91</v>
      </c>
      <c r="AB13" s="72" t="n">
        <v>121.48</v>
      </c>
      <c r="AC13" s="72" t="n">
        <v>11.93</v>
      </c>
      <c r="AD13" s="72" t="n">
        <v>135.74</v>
      </c>
      <c r="AE13" s="72" t="n">
        <v>136.12</v>
      </c>
      <c r="AF13" s="72" t="n">
        <v>38.78</v>
      </c>
      <c r="AG13" s="72" t="n">
        <v>-4.91</v>
      </c>
      <c r="AH13" s="72" t="n">
        <v>-4.76</v>
      </c>
      <c r="AI13" s="72" t="n">
        <v>-44.02</v>
      </c>
      <c r="AJ13" s="72" t="n">
        <v>124.67</v>
      </c>
      <c r="AK13" s="72" t="n">
        <v>120.78</v>
      </c>
      <c r="AL13" s="72" t="n">
        <v>41.4</v>
      </c>
      <c r="AM13" s="72" t="n">
        <v>-20.56</v>
      </c>
      <c r="AN13" s="72" t="n">
        <v>15.34</v>
      </c>
      <c r="AO13" s="72" t="n">
        <v>15.8</v>
      </c>
      <c r="AP13" s="62" t="inlineStr">
        <is>
          <t>China Biotech ETF (HS biotech proxy)</t>
        </is>
      </c>
      <c r="AQ13" s="72" t="n">
        <v>-83.37</v>
      </c>
      <c r="AR13" s="63" t="inlineStr">
        <is>
          <t>2026-08-20</t>
        </is>
      </c>
      <c r="AS13" s="64" t="n">
        <v>613.9</v>
      </c>
      <c r="AT13" s="67" t="n"/>
      <c r="AU13" s="62" t="n"/>
      <c r="AV13" s="77">
        <f>IF('BBG Verify'!O13="","not filed — run on terminal",'BBG Verify'!O13)</f>
        <v/>
      </c>
      <c r="AW13" s="73" t="n"/>
      <c r="AX13" s="73" t="n">
        <v>51.4</v>
      </c>
      <c r="AY13" s="73" t="n">
        <v>34.5</v>
      </c>
      <c r="AZ13" s="74" t="inlineStr">
        <is>
          <t>N</t>
        </is>
      </c>
      <c r="BA13" s="75">
        <f>IF('BBG Verify'!K13="","not filed — run on terminal",'BBG Verify'!K13)</f>
        <v/>
      </c>
      <c r="BB13" s="62" t="inlineStr">
        <is>
          <t>N/A</t>
        </is>
      </c>
      <c r="BC13" s="62" t="inlineStr">
        <is>
          <t>N/A</t>
        </is>
      </c>
      <c r="BD13" s="62" t="inlineStr">
        <is>
          <t>N/A</t>
        </is>
      </c>
      <c r="BE13" s="62" t="inlineStr">
        <is>
          <t>N/A</t>
        </is>
      </c>
      <c r="BF13" s="62" t="inlineStr">
        <is>
          <t>N/A</t>
        </is>
      </c>
      <c r="BG13" s="74" t="inlineStr">
        <is>
          <t>Goldman Sachs (Asia) L.L.C; China International Capital Corporation Hong Kong Securities Limited</t>
        </is>
      </c>
      <c r="BH13" s="62" t="inlineStr">
        <is>
          <t>China International Capital Corporation Hong Kong Securities Limited; Goldman Sachs (Asia) L.L.C.</t>
        </is>
      </c>
      <c r="BI13" s="62" t="inlineStr">
        <is>
          <t>Goldman Sachs (Asia) L.L.C; China International Capital Corporation Hong Kong Securities Limited; Citigroup Global Markets Asia Limited; Citigroup Global Markets Limited</t>
        </is>
      </c>
      <c r="BJ13" s="62" t="inlineStr">
        <is>
          <t>Citigroup Global Markets Asia Limited; China International Capital Corporation Hong Kong Securities Limited; China Merchants Securities (HK) Company Limited; Goldman Sachs (Asia) L.L.C.</t>
        </is>
      </c>
      <c r="BK13" s="76">
        <f>HYPERLINK("https://www1.hkexnews.hk/listedco/listconews/sehk/2020/1231/2020123100119.pdf","prospectus")</f>
        <v/>
      </c>
      <c r="BL13" s="76">
        <f>HYPERLINK("https://www1.hkexnews.hk/listedco/listconews/sehk/2021/0114/2021011400064.htm","allotment")</f>
        <v/>
      </c>
      <c r="BM13" s="76">
        <f>HYPERLINK("https://www1.hkexnews.hk/listedco/listconews/sehk/2021/0207/2021020700079.pdf","stabilisation")</f>
        <v/>
      </c>
      <c r="BN13" s="74" t="n"/>
      <c r="BO13" s="62" t="inlineStr">
        <is>
          <t>P/E: net income not stated in extractable form · A/H: no A-share listing · financials: financial tables not machine-extractable and the pre-IPO year is outside AAStocks' 5-year window</t>
        </is>
      </c>
    </row>
    <row r="14" ht="15" customHeight="1">
      <c r="A14" s="61" t="inlineStr">
        <is>
          <t>1490</t>
        </is>
      </c>
      <c r="B14" s="62" t="inlineStr">
        <is>
          <t>CHESHI</t>
        </is>
      </c>
      <c r="C14" s="62" t="inlineStr">
        <is>
          <t>AI X TECH</t>
        </is>
      </c>
      <c r="D14" s="62" t="inlineStr">
        <is>
          <t>TMT-other</t>
        </is>
      </c>
      <c r="E14" s="62" t="inlineStr">
        <is>
          <t>Media / advertising</t>
        </is>
      </c>
      <c r="F14" s="62" t="inlineStr">
        <is>
          <t>Advertising</t>
        </is>
      </c>
      <c r="G14" s="62" t="inlineStr">
        <is>
          <t>Standard</t>
        </is>
      </c>
      <c r="H14" s="63" t="n">
        <v>44211</v>
      </c>
      <c r="I14" s="64" t="n">
        <v>250.9</v>
      </c>
      <c r="J14" s="62" t="inlineStr">
        <is>
          <t>gross (price x shares)</t>
        </is>
      </c>
      <c r="K14" s="65" t="n">
        <v>1.08</v>
      </c>
      <c r="L14" s="65" t="n">
        <v>1.28</v>
      </c>
      <c r="M14" s="65" t="n">
        <v>1.23</v>
      </c>
      <c r="N14" s="62" t="inlineStr">
        <is>
          <t>N</t>
        </is>
      </c>
      <c r="O14" s="66" t="n">
        <v>96.09999999999999</v>
      </c>
      <c r="P14" s="66" t="n">
        <v>75</v>
      </c>
      <c r="Q14" s="67" t="n">
        <v>1481.1</v>
      </c>
      <c r="R14" s="62" t="inlineStr">
        <is>
          <t>derived:deal size / offer % of enlarged capital</t>
        </is>
      </c>
      <c r="S14" s="68" t="n">
        <v>1274.76</v>
      </c>
      <c r="T14" s="69" t="n">
        <v>21.7</v>
      </c>
      <c r="U14" s="70" t="n">
        <v>40.9</v>
      </c>
      <c r="V14" s="66" t="n">
        <v>10.01</v>
      </c>
      <c r="W14" s="62" t="inlineStr">
        <is>
          <t>Coast Flagship Investment SPC; Goldstream Capital Management Limited; Huatai Financial Holdings (Hong Kong) Limited; Shimmering Skyline L.P</t>
        </is>
      </c>
      <c r="X14" s="62" t="inlineStr">
        <is>
          <t>coast;goldstream;huatai;shimmering</t>
        </is>
      </c>
      <c r="Y14" s="66" t="n">
        <v>5</v>
      </c>
      <c r="Z14" s="62" t="inlineStr">
        <is>
          <t>full</t>
        </is>
      </c>
      <c r="AA14" s="71" t="n">
        <v>21.95</v>
      </c>
      <c r="AB14" s="72" t="n">
        <v>38.21</v>
      </c>
      <c r="AC14" s="72" t="n">
        <v>-11.76</v>
      </c>
      <c r="AD14" s="72" t="n">
        <v>10.57</v>
      </c>
      <c r="AE14" s="72" t="n">
        <v>8.130000000000001</v>
      </c>
      <c r="AF14" s="72" t="n">
        <v>21.14</v>
      </c>
      <c r="AG14" s="72" t="n">
        <v>-9.33</v>
      </c>
      <c r="AH14" s="72" t="n">
        <v>-11.33</v>
      </c>
      <c r="AI14" s="72" t="n">
        <v>-0.66</v>
      </c>
      <c r="AJ14" s="72" t="n">
        <v>7.23</v>
      </c>
      <c r="AK14" s="72" t="n">
        <v>-0.95</v>
      </c>
      <c r="AL14" s="72" t="n">
        <v>20.7</v>
      </c>
      <c r="AM14" s="72" t="n">
        <v>-20.12</v>
      </c>
      <c r="AN14" s="72" t="n">
        <v>9.08</v>
      </c>
      <c r="AO14" s="72" t="n">
        <v>8.789999999999999</v>
      </c>
      <c r="AP14" s="62" t="inlineStr">
        <is>
          <t>Hang Seng Index</t>
        </is>
      </c>
      <c r="AQ14" s="72" t="n">
        <v>-79.67</v>
      </c>
      <c r="AR14" s="63" t="inlineStr">
        <is>
          <t>2026-08-20</t>
        </is>
      </c>
      <c r="AS14" s="64" t="n"/>
      <c r="AT14" s="67" t="n">
        <v>52.4</v>
      </c>
      <c r="AU14" s="62" t="inlineStr">
        <is>
          <t>Y</t>
        </is>
      </c>
      <c r="AV14" s="73" t="n">
        <v>28.3</v>
      </c>
      <c r="AW14" s="73" t="n">
        <v>15.1</v>
      </c>
      <c r="AX14" s="73" t="n"/>
      <c r="AY14" s="73" t="n"/>
      <c r="AZ14" s="74" t="inlineStr">
        <is>
          <t>N</t>
        </is>
      </c>
      <c r="BA14" s="75">
        <f>IF('BBG Verify'!K14="","not filed — run on terminal",'BBG Verify'!K14)</f>
        <v/>
      </c>
      <c r="BB14" s="62" t="inlineStr">
        <is>
          <t>N/A</t>
        </is>
      </c>
      <c r="BC14" s="62" t="inlineStr">
        <is>
          <t>N/A</t>
        </is>
      </c>
      <c r="BD14" s="62" t="inlineStr">
        <is>
          <t>N/A</t>
        </is>
      </c>
      <c r="BE14" s="62" t="inlineStr">
        <is>
          <t>N/A</t>
        </is>
      </c>
      <c r="BF14" s="62" t="inlineStr">
        <is>
          <t>N/A</t>
        </is>
      </c>
      <c r="BG14" s="74" t="inlineStr">
        <is>
          <t>ABCI Capital Limited</t>
        </is>
      </c>
      <c r="BH14" s="62" t="inlineStr">
        <is>
          <t>ABCI Capital Limited</t>
        </is>
      </c>
      <c r="BI14" s="62" t="inlineStr">
        <is>
          <t>ABCI Capital Limited; SBI China Capital Financial Services Limited; Harvest International Securities Company Limited; BOCOM International Securities Limited; Central, Hong Kong Haitong International Securities Company Limited; Futu Securities International (Hong Kong) Limited; Valuable Capital Limited; Yue Xiu Securities Company Limited</t>
        </is>
      </c>
      <c r="BJ14" s="62" t="inlineStr">
        <is>
          <t>ABCI Securities Company Limited; Alpha International Securities (HK) Limited; Beta International Securities Limited; China Sky Securities Limited; Fosun Hani Securities Limited; Futu Securities International (Hong Kong) Limited; Haitong International Securities Company Limited; Harvest International Securities Company Limited; Livermore Holdings Limited; SBI China Capital Financial Services Limited; Soochow Securities International Brokerage Limited</t>
        </is>
      </c>
      <c r="BK14" s="76">
        <f>HYPERLINK("https://www1.hkexnews.hk/listedco/listconews/sehk/2020/1231/2020123100280.htm","prospectus")</f>
        <v/>
      </c>
      <c r="BL14" s="76">
        <f>HYPERLINK("https://www1.hkexnews.hk/listedco/listconews/sehk/2021/0114/2021011400106.htm","allotment")</f>
        <v/>
      </c>
      <c r="BM14" s="76">
        <f>HYPERLINK("https://www1.hkexnews.hk/listedco/listconews/sehk/2021/0207/2021020700025.pdf","stabilisation")</f>
        <v/>
      </c>
      <c r="BN14" s="74" t="n"/>
      <c r="BO14" s="62" t="inlineStr">
        <is>
          <t>A/H: no A-share listing · P/S: revenue not extractable · financials: financial tables not machine-extractable and the pre-IPO year is outside AAStocks' 5-year window</t>
        </is>
      </c>
    </row>
    <row r="15" ht="15" customHeight="1">
      <c r="A15" s="61" t="inlineStr">
        <is>
          <t>9608</t>
        </is>
      </c>
      <c r="B15" s="62" t="inlineStr">
        <is>
          <t>SUNDY SERVICE</t>
        </is>
      </c>
      <c r="C15" s="62" t="inlineStr">
        <is>
          <t>宋都服務</t>
        </is>
      </c>
      <c r="D15" s="62" t="inlineStr">
        <is>
          <t>Real Estate</t>
        </is>
      </c>
      <c r="E15" s="62" t="inlineStr">
        <is>
          <t>Property management</t>
        </is>
      </c>
      <c r="F15" s="62" t="inlineStr">
        <is>
          <t>Property Service and Management</t>
        </is>
      </c>
      <c r="G15" s="62" t="inlineStr">
        <is>
          <t>Standard</t>
        </is>
      </c>
      <c r="H15" s="63" t="n">
        <v>44214</v>
      </c>
      <c r="I15" s="64" t="n">
        <v>200</v>
      </c>
      <c r="J15" s="62" t="inlineStr">
        <is>
          <t>gross (price x shares)</t>
        </is>
      </c>
      <c r="K15" s="65" t="n">
        <v>0.21</v>
      </c>
      <c r="L15" s="65" t="n">
        <v>0.29</v>
      </c>
      <c r="M15" s="65" t="n">
        <v>0.25</v>
      </c>
      <c r="N15" s="62" t="inlineStr">
        <is>
          <t>N</t>
        </is>
      </c>
      <c r="O15" s="66" t="n">
        <v>86.2</v>
      </c>
      <c r="P15" s="66" t="n">
        <v>50</v>
      </c>
      <c r="Q15" s="67" t="n">
        <v>672</v>
      </c>
      <c r="R15" s="62" t="inlineStr">
        <is>
          <t>prospectus:stated market capitalisation</t>
        </is>
      </c>
      <c r="S15" s="68" t="n">
        <v>25.24</v>
      </c>
      <c r="T15" s="69" t="n">
        <v>1.31</v>
      </c>
      <c r="U15" s="70" t="n">
        <v>14.88</v>
      </c>
      <c r="V15" s="66" t="n">
        <v>25.33</v>
      </c>
      <c r="W15" s="62" t="inlineStr">
        <is>
          <t>Jiu Rong Holdings Limited</t>
        </is>
      </c>
      <c r="X15" s="62" t="inlineStr">
        <is>
          <t>jiu</t>
        </is>
      </c>
      <c r="Y15" s="66" t="n">
        <v>5</v>
      </c>
      <c r="Z15" s="62" t="inlineStr">
        <is>
          <t>lapsed (no over-allocation)</t>
        </is>
      </c>
      <c r="AA15" s="71" t="n">
        <v>-36</v>
      </c>
      <c r="AB15" s="72" t="n">
        <v>-10</v>
      </c>
      <c r="AC15" s="72" t="n">
        <v>-28.89</v>
      </c>
      <c r="AD15" s="72" t="n">
        <v>-48</v>
      </c>
      <c r="AE15" s="72" t="n">
        <v>-50.4</v>
      </c>
      <c r="AF15" s="72" t="n">
        <v>-52.4</v>
      </c>
      <c r="AG15" s="72" t="n">
        <v>-18.75</v>
      </c>
      <c r="AH15" s="72" t="n">
        <v>-22.5</v>
      </c>
      <c r="AI15" s="72" t="n">
        <v>-25.63</v>
      </c>
      <c r="AJ15" s="72" t="n">
        <v>-49.1</v>
      </c>
      <c r="AK15" s="72" t="n">
        <v>-52.84</v>
      </c>
      <c r="AL15" s="72" t="n">
        <v>-63.17</v>
      </c>
      <c r="AM15" s="72" t="n">
        <v>-24.39</v>
      </c>
      <c r="AN15" s="72" t="n">
        <v>2.44</v>
      </c>
      <c r="AO15" s="72" t="n">
        <v>1.89</v>
      </c>
      <c r="AP15" s="62" t="inlineStr">
        <is>
          <t>Hang Seng Properties sub-index</t>
        </is>
      </c>
      <c r="AQ15" s="72" t="n">
        <v>-80.40000000000001</v>
      </c>
      <c r="AR15" s="63" t="inlineStr">
        <is>
          <t>2026-08-21</t>
        </is>
      </c>
      <c r="AS15" s="64" t="n">
        <v>244.7</v>
      </c>
      <c r="AT15" s="67" t="n">
        <v>38.8</v>
      </c>
      <c r="AU15" s="62" t="inlineStr">
        <is>
          <t>Y</t>
        </is>
      </c>
      <c r="AV15" s="73" t="n">
        <v>17.3</v>
      </c>
      <c r="AW15" s="73" t="n"/>
      <c r="AX15" s="73" t="n">
        <v>9.300000000000001</v>
      </c>
      <c r="AY15" s="73" t="n">
        <v>2.7</v>
      </c>
      <c r="AZ15" s="74" t="inlineStr">
        <is>
          <t>N</t>
        </is>
      </c>
      <c r="BA15" s="75">
        <f>IF('BBG Verify'!K15="","not filed — run on terminal",'BBG Verify'!K15)</f>
        <v/>
      </c>
      <c r="BB15" s="62" t="inlineStr">
        <is>
          <t>N/A</t>
        </is>
      </c>
      <c r="BC15" s="62" t="inlineStr">
        <is>
          <t>N/A</t>
        </is>
      </c>
      <c r="BD15" s="62" t="inlineStr">
        <is>
          <t>N/A</t>
        </is>
      </c>
      <c r="BE15" s="62" t="inlineStr">
        <is>
          <t>N/A</t>
        </is>
      </c>
      <c r="BF15" s="62" t="inlineStr">
        <is>
          <t>N/A</t>
        </is>
      </c>
      <c r="BG15" s="74" t="inlineStr">
        <is>
          <t>Cinda International Capital Limited</t>
        </is>
      </c>
      <c r="BH15" s="62" t="inlineStr">
        <is>
          <t>Cinda International Capital Limited</t>
        </is>
      </c>
      <c r="BI15" s="62" t="inlineStr">
        <is>
          <t>Cinda International Capital Limited; Elstone Securities Limited; CCB International Capital Limited; Central, Hong Kong Crosby Securities Limited</t>
        </is>
      </c>
      <c r="BJ15" s="62" t="inlineStr">
        <is>
          <t>CCB International Capital Limited; China Galaxy International Securities (Hong Kong) Company Limited; Cinda International Capital Limited; Conrad Investment Services Limited; Crosby Securities Limited; DL Securities (HK) Limited; Elstone Securities Limited; Livermore Holdings Limited; Space Securities Limited; TUS Corporate Finance Limited</t>
        </is>
      </c>
      <c r="BK15" s="76">
        <f>HYPERLINK("https://www1.hkexnews.hk/listedco/listconews/sehk/2020/1231/2020123100097.pdf","prospectus")</f>
        <v/>
      </c>
      <c r="BL15" s="76">
        <f>HYPERLINK("https://www1.hkexnews.hk/listedco/listconews/sehk/2021/0115/2021011500020.htm","allotment")</f>
        <v/>
      </c>
      <c r="BM15" s="76">
        <f>HYPERLINK("https://www1.hkexnews.hk/listedco/listconews/sehk/2021/0208/2021020800187.pdf","stabilisation")</f>
        <v/>
      </c>
      <c r="BN15" s="74" t="n"/>
      <c r="BO15" s="62" t="inlineStr">
        <is>
          <t>A/H: no A-share listing</t>
        </is>
      </c>
    </row>
    <row r="16" ht="15" customHeight="1">
      <c r="A16" s="61" t="inlineStr">
        <is>
          <t>2159</t>
        </is>
      </c>
      <c r="B16" s="62" t="inlineStr">
        <is>
          <t>MEDIWELCOME</t>
        </is>
      </c>
      <c r="C16" s="62" t="inlineStr">
        <is>
          <t>麥迪衛康</t>
        </is>
      </c>
      <c r="D16" s="62" t="inlineStr">
        <is>
          <t>Healthcare</t>
        </is>
      </c>
      <c r="E16" s="62" t="inlineStr">
        <is>
          <t>Digital health</t>
        </is>
      </c>
      <c r="F16" s="62" t="inlineStr">
        <is>
          <t>Health Care Services</t>
        </is>
      </c>
      <c r="G16" s="62" t="inlineStr">
        <is>
          <t>Standard</t>
        </is>
      </c>
      <c r="H16" s="63" t="n">
        <v>44215</v>
      </c>
      <c r="I16" s="64" t="n">
        <v>150</v>
      </c>
      <c r="J16" s="62" t="inlineStr">
        <is>
          <t>gross (price x shares)</t>
        </is>
      </c>
      <c r="K16" s="65" t="n">
        <v>3</v>
      </c>
      <c r="L16" s="65" t="n">
        <v>4</v>
      </c>
      <c r="M16" s="65" t="n">
        <v>3</v>
      </c>
      <c r="N16" s="62" t="inlineStr">
        <is>
          <t>N</t>
        </is>
      </c>
      <c r="O16" s="66" t="n">
        <v>75</v>
      </c>
      <c r="P16" s="66" t="n">
        <v>0</v>
      </c>
      <c r="Q16" s="67" t="n">
        <v>750</v>
      </c>
      <c r="R16" s="62" t="inlineStr">
        <is>
          <t>aastocks:上市市值 at the struck price</t>
        </is>
      </c>
      <c r="S16" s="68" t="n">
        <v>168.75</v>
      </c>
      <c r="T16" s="69" t="n">
        <v>1.13</v>
      </c>
      <c r="U16" s="70" t="n">
        <v>0</v>
      </c>
      <c r="V16" s="66" t="n">
        <v>20</v>
      </c>
      <c r="W16" s="62" t="n"/>
      <c r="X16" s="62" t="n"/>
      <c r="Y16" s="66" t="n">
        <v>15</v>
      </c>
      <c r="Z16" s="62" t="inlineStr">
        <is>
          <t>lapsed</t>
        </is>
      </c>
      <c r="AA16" s="71" t="n">
        <v>26.33</v>
      </c>
      <c r="AB16" s="72" t="n">
        <v>33.33</v>
      </c>
      <c r="AC16" s="72" t="n">
        <v>-5.25</v>
      </c>
      <c r="AD16" s="72" t="n">
        <v>24.67</v>
      </c>
      <c r="AE16" s="72" t="n">
        <v>22.67</v>
      </c>
      <c r="AF16" s="72" t="n">
        <v>-8.33</v>
      </c>
      <c r="AG16" s="72" t="n">
        <v>-1.31</v>
      </c>
      <c r="AH16" s="72" t="n">
        <v>-2.9</v>
      </c>
      <c r="AI16" s="72" t="n">
        <v>-27.44</v>
      </c>
      <c r="AJ16" s="72" t="n">
        <v>17.7</v>
      </c>
      <c r="AK16" s="72" t="n">
        <v>14.24</v>
      </c>
      <c r="AL16" s="72" t="n">
        <v>-9.49</v>
      </c>
      <c r="AM16" s="72" t="n">
        <v>-10.16</v>
      </c>
      <c r="AN16" s="72" t="n">
        <v>8.43</v>
      </c>
      <c r="AO16" s="72" t="n">
        <v>7.26</v>
      </c>
      <c r="AP16" s="62" t="inlineStr">
        <is>
          <t>China Biotech ETF (HS biotech proxy)</t>
        </is>
      </c>
      <c r="AQ16" s="72" t="n">
        <v>-39.67</v>
      </c>
      <c r="AR16" s="63" t="inlineStr">
        <is>
          <t>2026-08-20</t>
        </is>
      </c>
      <c r="AS16" s="64" t="n">
        <v>469.9</v>
      </c>
      <c r="AT16" s="67" t="n">
        <v>28.6</v>
      </c>
      <c r="AU16" s="62" t="inlineStr">
        <is>
          <t>Y</t>
        </is>
      </c>
      <c r="AV16" s="73" t="n">
        <v>26.2</v>
      </c>
      <c r="AW16" s="73" t="n"/>
      <c r="AX16" s="73" t="n">
        <v>10.6</v>
      </c>
      <c r="AY16" s="73" t="n">
        <v>1.6</v>
      </c>
      <c r="AZ16" s="74" t="inlineStr">
        <is>
          <t>N</t>
        </is>
      </c>
      <c r="BA16" s="75">
        <f>IF('BBG Verify'!K16="","not filed — run on terminal",'BBG Verify'!K16)</f>
        <v/>
      </c>
      <c r="BB16" s="62" t="inlineStr">
        <is>
          <t>N/A</t>
        </is>
      </c>
      <c r="BC16" s="62" t="inlineStr">
        <is>
          <t>N/A</t>
        </is>
      </c>
      <c r="BD16" s="62" t="inlineStr">
        <is>
          <t>N/A</t>
        </is>
      </c>
      <c r="BE16" s="62" t="inlineStr">
        <is>
          <t>N/A</t>
        </is>
      </c>
      <c r="BF16" s="62" t="inlineStr">
        <is>
          <t>N/A</t>
        </is>
      </c>
      <c r="BG16" s="74" t="inlineStr">
        <is>
          <t>CEB International Capital Corporation Limited</t>
        </is>
      </c>
      <c r="BH16" s="62" t="inlineStr">
        <is>
          <t>CEB International Capital Corporation Limited</t>
        </is>
      </c>
      <c r="BI16" s="62" t="inlineStr">
        <is>
          <t>CEB International Capital Corporation Limited; Aristo Securities Limited; BOCOM International Securities Limited; CMBC Securities Company Limited; SPDB International Capital Limited</t>
        </is>
      </c>
      <c r="BJ16" s="62" t="inlineStr">
        <is>
          <t>Aristo Securities Limited; Beta International Securities Limited; CEB International Capital Corporation Limited; CMBC Securities Company Limited; Ruibang Securities Limited; SPDB International Capital Limited; Wonderland International Securities Limited</t>
        </is>
      </c>
      <c r="BK16" s="76">
        <f>HYPERLINK("https://www1.hkexnews.hk/listedco/listconews/sehk/2020/1231/2020123100137.pdf","prospectus")</f>
        <v/>
      </c>
      <c r="BL16" s="76">
        <f>HYPERLINK("https://www1.hkexnews.hk/listedco/listconews/sehk/2021/0118/2021011800013.htm","allotment")</f>
        <v/>
      </c>
      <c r="BM16" s="76">
        <f>HYPERLINK("https://www1.hkexnews.hk/listedco/listconews/sehk/2021/0209/2021020900406.pdf","stabilisation")</f>
        <v/>
      </c>
      <c r="BN16" s="74" t="n"/>
      <c r="BO16" s="62" t="inlineStr">
        <is>
          <t>A/H: no A-share listing · market cap: estimate from deal size / offer % of enlarged capital disagreed with the published listing cap — published figure adopted · cornerstone list: no cornerstone tranche in this deal</t>
        </is>
      </c>
    </row>
    <row r="17" ht="15" customHeight="1">
      <c r="A17" s="61" t="inlineStr">
        <is>
          <t>6668</t>
        </is>
      </c>
      <c r="B17" s="62" t="inlineStr">
        <is>
          <t>E-STAR CM</t>
        </is>
      </c>
      <c r="C17" s="62" t="inlineStr">
        <is>
          <t>星盛商業</t>
        </is>
      </c>
      <c r="D17" s="62" t="inlineStr">
        <is>
          <t>Real Estate</t>
        </is>
      </c>
      <c r="E17" s="62" t="inlineStr">
        <is>
          <t>Property management</t>
        </is>
      </c>
      <c r="F17" s="62" t="inlineStr">
        <is>
          <t>Property Service and Management</t>
        </is>
      </c>
      <c r="G17" s="62" t="inlineStr">
        <is>
          <t>Standard</t>
        </is>
      </c>
      <c r="H17" s="63" t="n">
        <v>44222</v>
      </c>
      <c r="I17" s="64" t="n">
        <v>965</v>
      </c>
      <c r="J17" s="62" t="inlineStr">
        <is>
          <t>gross (price x shares)</t>
        </is>
      </c>
      <c r="K17" s="65" t="n">
        <v>3.2</v>
      </c>
      <c r="L17" s="65" t="n">
        <v>3.88</v>
      </c>
      <c r="M17" s="65" t="n">
        <v>3.86</v>
      </c>
      <c r="N17" s="62" t="inlineStr">
        <is>
          <t>N</t>
        </is>
      </c>
      <c r="O17" s="66" t="n">
        <v>99.5</v>
      </c>
      <c r="P17" s="66" t="n">
        <v>97.09999999999999</v>
      </c>
      <c r="Q17" s="67" t="n">
        <v>3482.5</v>
      </c>
      <c r="R17" s="62" t="inlineStr">
        <is>
          <t>derived:deal size / offer % of enlarged capital</t>
        </is>
      </c>
      <c r="S17" s="68" t="n">
        <v>756.85</v>
      </c>
      <c r="T17" s="69" t="n">
        <v>9</v>
      </c>
      <c r="U17" s="70" t="n">
        <v>32</v>
      </c>
      <c r="V17" s="66" t="n">
        <v>18.84</v>
      </c>
      <c r="W17" s="62" t="inlineStr">
        <is>
          <t>Pilgrim Ever Project Company Limited; SCGC Capital Holding Company Limited; Shenzhen Qichang Investment Holding Limited; Virtues Origin SPC</t>
        </is>
      </c>
      <c r="X17" s="62" t="inlineStr">
        <is>
          <t>pilgrim;scgc;shenzhen-qichang;virtues</t>
        </is>
      </c>
      <c r="Y17" s="66" t="n">
        <v>8</v>
      </c>
      <c r="Z17" s="62" t="inlineStr">
        <is>
          <t>partial</t>
        </is>
      </c>
      <c r="AA17" s="71" t="n">
        <v>3.63</v>
      </c>
      <c r="AB17" s="72" t="n">
        <v>13.99</v>
      </c>
      <c r="AC17" s="72" t="n">
        <v>-9.09</v>
      </c>
      <c r="AD17" s="72" t="n">
        <v>3.11</v>
      </c>
      <c r="AE17" s="72" t="n">
        <v>-8.029999999999999</v>
      </c>
      <c r="AF17" s="72" t="n">
        <v>16.58</v>
      </c>
      <c r="AG17" s="72" t="n">
        <v>-0.5</v>
      </c>
      <c r="AH17" s="72" t="n">
        <v>-11.25</v>
      </c>
      <c r="AI17" s="72" t="n">
        <v>12.5</v>
      </c>
      <c r="AJ17" s="72" t="n">
        <v>5.99</v>
      </c>
      <c r="AK17" s="72" t="n">
        <v>-16.36</v>
      </c>
      <c r="AL17" s="72" t="n">
        <v>8.76</v>
      </c>
      <c r="AM17" s="72" t="n">
        <v>-19.34</v>
      </c>
      <c r="AN17" s="72" t="n">
        <v>8.33</v>
      </c>
      <c r="AO17" s="72" t="n">
        <v>8.09</v>
      </c>
      <c r="AP17" s="62" t="inlineStr">
        <is>
          <t>Hang Seng Properties sub-index</t>
        </is>
      </c>
      <c r="AQ17" s="72" t="n">
        <v>-66.58</v>
      </c>
      <c r="AR17" s="63" t="inlineStr">
        <is>
          <t>2026-08-20</t>
        </is>
      </c>
      <c r="AS17" s="64" t="n">
        <v>426</v>
      </c>
      <c r="AT17" s="67" t="n"/>
      <c r="AU17" s="62" t="n"/>
      <c r="AV17" s="77">
        <f>IF('BBG Verify'!O17="","not filed — run on terminal",'BBG Verify'!O17)</f>
        <v/>
      </c>
      <c r="AW17" s="73" t="n"/>
      <c r="AX17" s="73" t="n">
        <v>7.9</v>
      </c>
      <c r="AY17" s="73" t="n">
        <v>8.199999999999999</v>
      </c>
      <c r="AZ17" s="74" t="inlineStr">
        <is>
          <t>N</t>
        </is>
      </c>
      <c r="BA17" s="75">
        <f>IF('BBG Verify'!K17="","not filed — run on terminal",'BBG Verify'!K17)</f>
        <v/>
      </c>
      <c r="BB17" s="62" t="inlineStr">
        <is>
          <t>N/A</t>
        </is>
      </c>
      <c r="BC17" s="62" t="inlineStr">
        <is>
          <t>N/A</t>
        </is>
      </c>
      <c r="BD17" s="62" t="inlineStr">
        <is>
          <t>N/A</t>
        </is>
      </c>
      <c r="BE17" s="62" t="inlineStr">
        <is>
          <t>N/A</t>
        </is>
      </c>
      <c r="BF17" s="62" t="inlineStr">
        <is>
          <t>N/A</t>
        </is>
      </c>
      <c r="BG17" s="74" t="inlineStr">
        <is>
          <t>CCB International Capital Limited; China Securities (International) Corporate Finance Company Limited</t>
        </is>
      </c>
      <c r="BH17" s="62" t="inlineStr">
        <is>
          <t>CCB International Capital Limited; China Securities (International) Corporate Finance Company Limited</t>
        </is>
      </c>
      <c r="BI17" s="62" t="inlineStr">
        <is>
          <t>CCB International Capital Limited; China Securities (International) Corporate Finance Company Limited; Shenwan Hongyuan Securities (H.K.) Limited; ABCI Capital Limited; China Industrial Securities International Capital Limited; UOB Kay Hian (Hong Kong) Limited; HeungKong Securities Limited; Futu Securities International (Hong Kong) Limited; AMTD Global Markets Limited</t>
        </is>
      </c>
      <c r="BJ17" s="62" t="inlineStr">
        <is>
          <t>ABCI Securities Company Limited; AMTD Global Markets Limited; CCB International Capital Limited; China Industrial Securities International Capital Limited; China Securities (International) Corporate Finance Company Limited; Futu Securities International (Hong Kong) Limited; HeungKong Securities Limited; Shenwan Hongyuan Securities (H.K.) Limited; UOB Kay Hian (Hong Kong) Limited</t>
        </is>
      </c>
      <c r="BK17" s="76">
        <f>HYPERLINK("https://www1.hkexnews.hk/listedco/listconews/sehk/2021/0114/2021011400003.pdf","prospectus")</f>
        <v/>
      </c>
      <c r="BL17" s="76">
        <f>HYPERLINK("https://www1.hkexnews.hk/listedco/listconews/sehk/2021/0125/2021012500004.htm","allotment")</f>
        <v/>
      </c>
      <c r="BM17" s="76">
        <f>HYPERLINK("https://www1.hkexnews.hk/listedco/listconews/sehk/2021/0218/2021021800882.pdf","stabilisation")</f>
        <v/>
      </c>
      <c r="BN17" s="74" t="n"/>
      <c r="BO17" s="62" t="inlineStr">
        <is>
          <t>P/E: net income not stated in extractable form · A/H: no A-share listing · financials: financial tables not machine-extractable and the pre-IPO year is outside AAStocks' 5-year window</t>
        </is>
      </c>
    </row>
    <row r="18" ht="15" customHeight="1">
      <c r="A18" s="61" t="inlineStr">
        <is>
          <t>2160</t>
        </is>
      </c>
      <c r="B18" s="62" t="inlineStr">
        <is>
          <t>CARDIOFLOW-B</t>
        </is>
      </c>
      <c r="C18" s="62" t="inlineStr">
        <is>
          <t>微創心通－Ｂ</t>
        </is>
      </c>
      <c r="D18" s="62" t="inlineStr">
        <is>
          <t>Healthcare</t>
        </is>
      </c>
      <c r="E18" s="62" t="inlineStr">
        <is>
          <t>Medical devices</t>
        </is>
      </c>
      <c r="F18" s="62" t="inlineStr">
        <is>
          <t>Biotechnology</t>
        </is>
      </c>
      <c r="G18" s="62" t="inlineStr">
        <is>
          <t>18A</t>
        </is>
      </c>
      <c r="H18" s="63" t="n">
        <v>44231</v>
      </c>
      <c r="I18" s="64" t="n">
        <v>2508.6</v>
      </c>
      <c r="J18" s="62" t="inlineStr">
        <is>
          <t>gross (price x shares)</t>
        </is>
      </c>
      <c r="K18" s="65" t="n">
        <v>11.1</v>
      </c>
      <c r="L18" s="65" t="n">
        <v>12.2</v>
      </c>
      <c r="M18" s="65" t="n">
        <v>12.2</v>
      </c>
      <c r="N18" s="62" t="inlineStr">
        <is>
          <t>Y</t>
        </is>
      </c>
      <c r="O18" s="66" t="n">
        <v>100</v>
      </c>
      <c r="P18" s="66" t="n">
        <v>100</v>
      </c>
      <c r="Q18" s="67" t="n">
        <v>27925.2</v>
      </c>
      <c r="R18" s="62" t="inlineStr">
        <is>
          <t>aastocks:上市市值 at the struck price</t>
        </is>
      </c>
      <c r="S18" s="68" t="n">
        <v>769</v>
      </c>
      <c r="T18" s="69" t="n">
        <v>54</v>
      </c>
      <c r="U18" s="70" t="n">
        <v>40.8</v>
      </c>
      <c r="V18" s="66" t="n">
        <v>5.32</v>
      </c>
      <c r="W18" s="62" t="inlineStr">
        <is>
          <t>3W Fund Management Limited; CDG Group Fund L.P; China Asset Management Co., Ltd; CPE Greater China Enterprises Growth Fund; Gaoling Fund, L.P.; YHG Investment, L.P; GIC Private Limited; Indus Capital Partners, LLC; Kunlun Group Limited; Lake Bleu Prime Healthcare Master Fund Limited; Pinpoint Asset Management Limited; Snow Lake China Master Long Fund, Ltd; Taikang Life Insurance Co., Ltd; Tybourne Capital Management (HK) Limited; Woodline Master Fund LP; WT Asset Management Limited; Yi Fang Da Brocade Inv. Limited</t>
        </is>
      </c>
      <c r="X18" s="62" t="inlineStr">
        <is>
          <t>3w;cdg;china-asset;cpe;gaoling;yhg;gic;indus;kunlun;lake;pinpoint;snow;taikang;tybourne;woodline;wt;yi</t>
        </is>
      </c>
      <c r="Y18" s="66" t="n">
        <v>8.69</v>
      </c>
      <c r="Z18" s="62" t="inlineStr">
        <is>
          <t>full</t>
        </is>
      </c>
      <c r="AA18" s="71" t="n">
        <v>54.26</v>
      </c>
      <c r="AB18" s="72" t="n">
        <v>76.23</v>
      </c>
      <c r="AC18" s="72" t="n">
        <v>-12.47</v>
      </c>
      <c r="AD18" s="72" t="n">
        <v>59.67</v>
      </c>
      <c r="AE18" s="72" t="n">
        <v>29.51</v>
      </c>
      <c r="AF18" s="72" t="n">
        <v>27.54</v>
      </c>
      <c r="AG18" s="72" t="n">
        <v>3.51</v>
      </c>
      <c r="AH18" s="72" t="n">
        <v>-16.04</v>
      </c>
      <c r="AI18" s="72" t="n">
        <v>-17.32</v>
      </c>
      <c r="AJ18" s="72" t="n">
        <v>53.43</v>
      </c>
      <c r="AK18" s="72" t="n">
        <v>48.39</v>
      </c>
      <c r="AL18" s="72" t="n">
        <v>36.5</v>
      </c>
      <c r="AM18" s="72" t="n">
        <v>2.69</v>
      </c>
      <c r="AN18" s="72" t="n">
        <v>-18.88</v>
      </c>
      <c r="AO18" s="72" t="n">
        <v>-18.73</v>
      </c>
      <c r="AP18" s="62" t="inlineStr">
        <is>
          <t>China Biotech ETF (HS biotech proxy)</t>
        </is>
      </c>
      <c r="AQ18" s="72" t="n">
        <v>-97.83</v>
      </c>
      <c r="AR18" s="63" t="inlineStr">
        <is>
          <t>2026-08-24</t>
        </is>
      </c>
      <c r="AS18" s="64" t="n">
        <v>53.3</v>
      </c>
      <c r="AT18" s="67" t="n">
        <v>-91.8</v>
      </c>
      <c r="AU18" s="62" t="inlineStr">
        <is>
          <t>N</t>
        </is>
      </c>
      <c r="AV18" s="62" t="inlineStr">
        <is>
          <t>n/m</t>
        </is>
      </c>
      <c r="AW18" s="73" t="n"/>
      <c r="AX18" s="73" t="n"/>
      <c r="AY18" s="73" t="n">
        <v>523.9</v>
      </c>
      <c r="AZ18" s="74" t="inlineStr">
        <is>
          <t>N</t>
        </is>
      </c>
      <c r="BA18" s="75">
        <f>IF('BBG Verify'!K18="","not filed — run on terminal",'BBG Verify'!K18)</f>
        <v/>
      </c>
      <c r="BB18" s="62" t="inlineStr">
        <is>
          <t>N/A</t>
        </is>
      </c>
      <c r="BC18" s="62" t="inlineStr">
        <is>
          <t>N/A</t>
        </is>
      </c>
      <c r="BD18" s="62" t="inlineStr">
        <is>
          <t>N/A</t>
        </is>
      </c>
      <c r="BE18" s="62" t="inlineStr">
        <is>
          <t>N/A</t>
        </is>
      </c>
      <c r="BF18" s="62" t="inlineStr">
        <is>
          <t>N/A</t>
        </is>
      </c>
      <c r="BG18" s="74" t="inlineStr">
        <is>
          <t>J.P. Morgan Securities (Far East) Limited; Citigroup Global Markets Asia Limited; China International Capital Corporation Hong Kong Securities Limited</t>
        </is>
      </c>
      <c r="BH18" s="62" t="inlineStr">
        <is>
          <t>China International Capital Corporation Hong Kong Securities Limited; J.P. Morgan Securities (Far East) Limited; Citigroup Global Markets Asia Limited</t>
        </is>
      </c>
      <c r="BI18" s="62" t="inlineStr">
        <is>
          <t>J.P. Morgan Securities (Asia Pacific) Limited; Citigroup Global Markets Asia Limited; China International Capital Corporation Hong Kong Securities Limited; J.P. Morgan Securities plc; Citigroup Global Markets Limited</t>
        </is>
      </c>
      <c r="BJ18" s="62" t="inlineStr">
        <is>
          <t>Citigroup Global Markets Asia Limited; China International Capital Corporation Hong Kong Securities Limited; J.P. Morgan Securities (Asia Pacific) Limited</t>
        </is>
      </c>
      <c r="BK18" s="76">
        <f>HYPERLINK("https://www1.hkexnews.hk/listedco/listconews/sehk/2021/0126/2021012600169.htm","prospectus")</f>
        <v/>
      </c>
      <c r="BL18" s="76">
        <f>HYPERLINK("https://www1.hkexnews.hk/listedco/listconews/sehk/2021/0203/2021020300020.htm","allotment")</f>
        <v/>
      </c>
      <c r="BM18" s="76">
        <f>HYPERLINK("https://www1.hkexnews.hk/listedco/listconews/sehk/2021/0228/2021022800029.pdf","stabilisation")</f>
        <v/>
      </c>
      <c r="BN18" s="74" t="n"/>
      <c r="BO18" s="62" t="inlineStr">
        <is>
          <t>P/E: n/m — loss-making at IPO (use P/S) · A/H: no A-share listing · P/S: 524x on HK$53.3m revenue — effectively pre-revenue; the multiple is shown for completeness, not comparability</t>
        </is>
      </c>
    </row>
    <row r="19" ht="15" customHeight="1">
      <c r="A19" s="61" t="inlineStr">
        <is>
          <t>2161</t>
        </is>
      </c>
      <c r="B19" s="62" t="inlineStr">
        <is>
          <t>JBM HEALTHCARE</t>
        </is>
      </c>
      <c r="C19" s="62" t="inlineStr">
        <is>
          <t>健倍苗苗</t>
        </is>
      </c>
      <c r="D19" s="62" t="inlineStr">
        <is>
          <t>Healthcare</t>
        </is>
      </c>
      <c r="E19" s="62" t="inlineStr">
        <is>
          <t>Biopharma commercial</t>
        </is>
      </c>
      <c r="F19" s="62" t="inlineStr">
        <is>
          <t>Health Care Supplies</t>
        </is>
      </c>
      <c r="G19" s="62" t="inlineStr">
        <is>
          <t>Standard</t>
        </is>
      </c>
      <c r="H19" s="63" t="n">
        <v>44232</v>
      </c>
      <c r="I19" s="64" t="n">
        <v>10.6</v>
      </c>
      <c r="J19" s="62" t="inlineStr">
        <is>
          <t>net proceeds</t>
        </is>
      </c>
      <c r="K19" s="65" t="n"/>
      <c r="L19" s="65" t="n">
        <v>1.2</v>
      </c>
      <c r="M19" s="65" t="n">
        <v>1.2</v>
      </c>
      <c r="N19" s="62" t="inlineStr">
        <is>
          <t>Y</t>
        </is>
      </c>
      <c r="O19" s="66" t="n">
        <v>100</v>
      </c>
      <c r="P19" s="66" t="n"/>
      <c r="Q19" s="67" t="n">
        <v>1072.4</v>
      </c>
      <c r="R19" s="62" t="inlineStr">
        <is>
          <t>press:broker factsheet (cyberquote 2161.pdf): HK$1,072.4m at HK$1.20 | FINANCIALS (HKD x1.0): JBM Healthcare FY2020 (Mar-YE) prospectus: revenue HK$381.5m, profit HK$44.3m</t>
        </is>
      </c>
      <c r="S19" s="68" t="n">
        <v>22.47</v>
      </c>
      <c r="T19" s="78">
        <f>IF('BBG Verify'!E19="","not filed — run on terminal",'BBG Verify'!E19)</f>
        <v/>
      </c>
      <c r="U19" s="70" t="n"/>
      <c r="V19" s="66" t="n">
        <v>0.99</v>
      </c>
      <c r="W19" s="62" t="n"/>
      <c r="X19" s="62" t="n"/>
      <c r="Y19" s="66" t="n"/>
      <c r="Z19" s="62" t="n"/>
      <c r="AA19" s="71" t="n">
        <v>80</v>
      </c>
      <c r="AB19" s="72" t="n">
        <v>23.33</v>
      </c>
      <c r="AC19" s="72" t="n">
        <v>45.95</v>
      </c>
      <c r="AD19" s="72" t="n">
        <v>100</v>
      </c>
      <c r="AE19" s="72" t="n">
        <v>21.67</v>
      </c>
      <c r="AF19" s="72" t="n">
        <v>50</v>
      </c>
      <c r="AG19" s="72" t="n">
        <v>11.11</v>
      </c>
      <c r="AH19" s="72" t="n">
        <v>-32.41</v>
      </c>
      <c r="AI19" s="72" t="n">
        <v>-16.67</v>
      </c>
      <c r="AJ19" s="72" t="n">
        <v>93.61</v>
      </c>
      <c r="AK19" s="72" t="n">
        <v>39.37</v>
      </c>
      <c r="AL19" s="72" t="n">
        <v>56.87</v>
      </c>
      <c r="AM19" s="72" t="n">
        <v>-13.88</v>
      </c>
      <c r="AN19" s="72" t="n">
        <v>-17.7</v>
      </c>
      <c r="AO19" s="72" t="n">
        <v>-18.53</v>
      </c>
      <c r="AP19" s="62" t="inlineStr">
        <is>
          <t>China Biotech ETF (HS biotech proxy)</t>
        </is>
      </c>
      <c r="AQ19" s="72" t="n">
        <v>54.58</v>
      </c>
      <c r="AR19" s="63" t="inlineStr">
        <is>
          <t>2026-08-20</t>
        </is>
      </c>
      <c r="AS19" s="64" t="n">
        <v>381.5</v>
      </c>
      <c r="AT19" s="67" t="n">
        <v>44.3</v>
      </c>
      <c r="AU19" s="62" t="inlineStr">
        <is>
          <t>Y</t>
        </is>
      </c>
      <c r="AV19" s="73" t="n">
        <v>24.2</v>
      </c>
      <c r="AW19" s="73" t="n"/>
      <c r="AX19" s="73" t="n">
        <v>7.4</v>
      </c>
      <c r="AY19" s="73" t="n">
        <v>2.8</v>
      </c>
      <c r="AZ19" s="74" t="inlineStr">
        <is>
          <t>N</t>
        </is>
      </c>
      <c r="BA19" s="75">
        <f>IF('BBG Verify'!K19="","not filed — run on terminal",'BBG Verify'!K19)</f>
        <v/>
      </c>
      <c r="BB19" s="62" t="inlineStr">
        <is>
          <t>N/A</t>
        </is>
      </c>
      <c r="BC19" s="62" t="inlineStr">
        <is>
          <t>N/A</t>
        </is>
      </c>
      <c r="BD19" s="62" t="inlineStr">
        <is>
          <t>N/A</t>
        </is>
      </c>
      <c r="BE19" s="62" t="inlineStr">
        <is>
          <t>N/A</t>
        </is>
      </c>
      <c r="BF19" s="62" t="inlineStr">
        <is>
          <t>N/A</t>
        </is>
      </c>
      <c r="BG19" s="74" t="n"/>
      <c r="BH19" s="62" t="inlineStr">
        <is>
          <t>China Galaxy International Securities (Hong Kong) Company Limited</t>
        </is>
      </c>
      <c r="BI19" s="62" t="inlineStr">
        <is>
          <t>China Galaxy International Securities (Hong Kong) Company Limited; Cinda International Capital Limited; Eddid Securities and Futures Limited; Fosun Hani Securities Limited; HeungKong Securities Limited; Maxa Capital Limited</t>
        </is>
      </c>
      <c r="BJ19" s="62" t="inlineStr">
        <is>
          <t>China Galaxy International Securities (Hong Kong) Company Limited; Cinda International Capital Limited; Eddid Securities and Futures Limited; Fosun Hani Securities Limited; HeungKong Securities Limited; Maxa Capital Limited; Southwest Securities (HK) Brokerage Limited; TUS Corporate Finance Limited</t>
        </is>
      </c>
      <c r="BK19" s="76">
        <f>HYPERLINK("https://www1.hkexnews.hk/listedco/listconews/sehk/2021/0126/2021012600248.pdf","prospectus")</f>
        <v/>
      </c>
      <c r="BL19" s="76">
        <f>HYPERLINK("https://www1.hkexnews.hk/listedco/listconews/sehk/2021/0204/2021020400012.htm","allotment")</f>
        <v/>
      </c>
      <c r="BM19" s="62" t="n"/>
      <c r="BN19" s="74" t="n"/>
      <c r="BO19" s="62" t="inlineStr">
        <is>
          <t>intl sub: subscription level not stated in the filing · greenshoe: no over-allotment option in the offer structure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t>
        </is>
      </c>
    </row>
    <row r="20" ht="15" customHeight="1">
      <c r="A20" s="61" t="inlineStr">
        <is>
          <t>1024</t>
        </is>
      </c>
      <c r="B20" s="62" t="inlineStr">
        <is>
          <t>KUAISHOU-W</t>
        </is>
      </c>
      <c r="C20" s="62" t="inlineStr">
        <is>
          <t>快手－Ｗ</t>
        </is>
      </c>
      <c r="D20" s="62" t="inlineStr">
        <is>
          <t>Tech/AI</t>
        </is>
      </c>
      <c r="E20" s="62" t="inlineStr">
        <is>
          <t>Internet platform / e-commerce</t>
        </is>
      </c>
      <c r="F20" s="62" t="inlineStr">
        <is>
          <t>e-Commerce &amp; Internet Services</t>
        </is>
      </c>
      <c r="G20" s="62" t="inlineStr">
        <is>
          <t>WVR</t>
        </is>
      </c>
      <c r="H20" s="63" t="n">
        <v>44232</v>
      </c>
      <c r="I20" s="64" t="n">
        <v>42000.1</v>
      </c>
      <c r="J20" s="62" t="inlineStr">
        <is>
          <t>gross (price x shares)</t>
        </is>
      </c>
      <c r="K20" s="65" t="n">
        <v>105</v>
      </c>
      <c r="L20" s="65" t="n">
        <v>115</v>
      </c>
      <c r="M20" s="65" t="n">
        <v>115</v>
      </c>
      <c r="N20" s="62" t="inlineStr">
        <is>
          <t>Y</t>
        </is>
      </c>
      <c r="O20" s="66" t="n">
        <v>100</v>
      </c>
      <c r="P20" s="66" t="n">
        <v>100</v>
      </c>
      <c r="Q20" s="67" t="n">
        <v>457482.6</v>
      </c>
      <c r="R20" s="62" t="inlineStr">
        <is>
          <t>aastocks:上市市值 at the struck price</t>
        </is>
      </c>
      <c r="S20" s="68" t="n">
        <v>1204.16</v>
      </c>
      <c r="T20" s="69" t="n">
        <v>39</v>
      </c>
      <c r="U20" s="70" t="n">
        <v>45.23</v>
      </c>
      <c r="V20" s="66" t="n">
        <v>5.03</v>
      </c>
      <c r="W20" s="62" t="inlineStr">
        <is>
          <t>Aranda Investments Pte. Ltd; BlackRock, Inc; CPP Investment Board PMI-2 Inc; FIL Investment Management (Hong Kong) Limited; GIC Private Limited; Invesco Ltd; Sunny Festive Limited; The Capital Group Funds</t>
        </is>
      </c>
      <c r="X20" s="62" t="inlineStr">
        <is>
          <t>aranda;blackrock;cpp;fil;gic;invesco;sunny;the-capital</t>
        </is>
      </c>
      <c r="Y20" s="66" t="n">
        <v>18.65</v>
      </c>
      <c r="Z20" s="62" t="inlineStr">
        <is>
          <t>full</t>
        </is>
      </c>
      <c r="AA20" s="71" t="n">
        <v>160.87</v>
      </c>
      <c r="AB20" s="72" t="n">
        <v>193.91</v>
      </c>
      <c r="AC20" s="72" t="n">
        <v>-11.24</v>
      </c>
      <c r="AD20" s="72" t="n">
        <v>250.43</v>
      </c>
      <c r="AE20" s="72" t="n">
        <v>141.91</v>
      </c>
      <c r="AF20" s="72" t="n">
        <v>105.39</v>
      </c>
      <c r="AG20" s="72" t="n">
        <v>34.33</v>
      </c>
      <c r="AH20" s="72" t="n">
        <v>-7.27</v>
      </c>
      <c r="AI20" s="72" t="n">
        <v>-21.27</v>
      </c>
      <c r="AJ20" s="72" t="n">
        <v>242.45</v>
      </c>
      <c r="AK20" s="72" t="n">
        <v>158.43</v>
      </c>
      <c r="AL20" s="72" t="n">
        <v>126.23</v>
      </c>
      <c r="AM20" s="72" t="n">
        <v>8.470000000000001</v>
      </c>
      <c r="AN20" s="72" t="n">
        <v>-16.52</v>
      </c>
      <c r="AO20" s="72" t="n">
        <v>-15.74</v>
      </c>
      <c r="AP20" s="62" t="inlineStr">
        <is>
          <t>HSTECH (Hang Seng TECH ETF)</t>
        </is>
      </c>
      <c r="AQ20" s="72" t="n">
        <v>-70.75</v>
      </c>
      <c r="AR20" s="63" t="inlineStr">
        <is>
          <t>2026-08-20</t>
        </is>
      </c>
      <c r="AS20" s="64" t="n">
        <v>43032.4</v>
      </c>
      <c r="AT20" s="67" t="n"/>
      <c r="AU20" s="62" t="n"/>
      <c r="AV20" s="77">
        <f>IF('BBG Verify'!O20="","not filed — run on terminal",'BBG Verify'!O20)</f>
        <v/>
      </c>
      <c r="AW20" s="73" t="n"/>
      <c r="AX20" s="73" t="n">
        <v>8</v>
      </c>
      <c r="AY20" s="73" t="n">
        <v>10.6</v>
      </c>
      <c r="AZ20" s="74" t="inlineStr">
        <is>
          <t>N</t>
        </is>
      </c>
      <c r="BA20" s="75">
        <f>IF('BBG Verify'!K20="","not filed — run on terminal",'BBG Verify'!K20)</f>
        <v/>
      </c>
      <c r="BB20" s="62" t="inlineStr">
        <is>
          <t>N/A</t>
        </is>
      </c>
      <c r="BC20" s="62" t="inlineStr">
        <is>
          <t>N/A</t>
        </is>
      </c>
      <c r="BD20" s="62" t="inlineStr">
        <is>
          <t>N/A</t>
        </is>
      </c>
      <c r="BE20" s="62" t="inlineStr">
        <is>
          <t>N/A</t>
        </is>
      </c>
      <c r="BF20" s="62" t="inlineStr">
        <is>
          <t>N/A</t>
        </is>
      </c>
      <c r="BG20" s="74" t="inlineStr">
        <is>
          <t>Morgan Stanley Asia Limited; Merrill Lynch Far East Limited; Central, Hong Kong China Renaissance Securities (Hong Kong) Limited</t>
        </is>
      </c>
      <c r="BH20" s="62" t="inlineStr">
        <is>
          <t>Morgan Stanley Asia Limited; Merrill Lynch Far East Limited; China Renaissance Securities (Hong Kong) Limited</t>
        </is>
      </c>
      <c r="BI20" s="62" t="inlineStr">
        <is>
          <t>Morgan Stanley &amp; Co. International plc; Canary Wharf London E14 4QA United Kingdom Merrill Lynch (Asia Pacific) Limited; Central, Hong Kong China Renaissance Securities (Hong Kong) Limited; ICBC International Securities Limited</t>
        </is>
      </c>
      <c r="BJ20" s="62" t="inlineStr">
        <is>
          <t>BOCI Asia Limited; CMB International Capital Limited; China Renaissance Securities (Hong Kong) Limited; Futu Securities International (Hong Kong) Limited; Haitong International Securities Company Limited; The Hongkong and Shanghai Banking Corporation Limited; ICBC International Securities Limited; Merrill Lynch (Asia Pacific) Limited; Morgan Stanley Asia Limited</t>
        </is>
      </c>
      <c r="BK20" s="76">
        <f>HYPERLINK("https://www1.hkexnews.hk/listedco/listconews/sehk/2021/0126/2021012600093.htm","prospectus")</f>
        <v/>
      </c>
      <c r="BL20" s="76">
        <f>HYPERLINK("https://www1.hkexnews.hk/listedco/listconews/sehk/2021/0204/2021020400034.htm","allotment")</f>
        <v/>
      </c>
      <c r="BM20" s="76">
        <f>HYPERLINK("https://www1.hkexnews.hk/listedco/listconews/sehk/2021/0301/2021030100029.pdf","stabilisation")</f>
        <v/>
      </c>
      <c r="BN20" s="74" t="n"/>
      <c r="BO20" s="62" t="inlineStr">
        <is>
          <t>P/E: net income not stated in extractable form · A/H: no A line; closest listed proxy {'code': '300413.SZ', 'name': 'Mango Excellent Media', 'rationale': 'A-shares have no short-video platform; Mango (Hunan TV streaming/content) is the standard A-share video-platform traffic-and-ads proxy.'} · financials: financial tables not machine-extractable and the pre-IPO year is outside AAStocks' 5-year window</t>
        </is>
      </c>
    </row>
    <row r="21" ht="15" customHeight="1">
      <c r="A21" s="61" t="inlineStr">
        <is>
          <t>2170</t>
        </is>
      </c>
      <c r="B21" s="62" t="inlineStr">
        <is>
          <t>BASECARE-B</t>
        </is>
      </c>
      <c r="C21" s="62" t="inlineStr">
        <is>
          <t>貝康醫療－Ｂ</t>
        </is>
      </c>
      <c r="D21" s="62" t="inlineStr">
        <is>
          <t>Healthcare</t>
        </is>
      </c>
      <c r="E21" s="62" t="inlineStr">
        <is>
          <t>Medical devices</t>
        </is>
      </c>
      <c r="F21" s="62" t="inlineStr">
        <is>
          <t>Biotechnology</t>
        </is>
      </c>
      <c r="G21" s="62" t="inlineStr">
        <is>
          <t>18A</t>
        </is>
      </c>
      <c r="H21" s="63" t="n">
        <v>44235</v>
      </c>
      <c r="I21" s="64" t="n">
        <v>1824</v>
      </c>
      <c r="J21" s="62" t="inlineStr">
        <is>
          <t>gross (price x shares)</t>
        </is>
      </c>
      <c r="K21" s="65" t="n">
        <v>26.36</v>
      </c>
      <c r="L21" s="65" t="n">
        <v>27.36</v>
      </c>
      <c r="M21" s="65" t="n">
        <v>27.36</v>
      </c>
      <c r="N21" s="62" t="inlineStr">
        <is>
          <t>Y</t>
        </is>
      </c>
      <c r="O21" s="66" t="n">
        <v>100</v>
      </c>
      <c r="P21" s="66" t="n">
        <v>100</v>
      </c>
      <c r="Q21" s="67" t="n">
        <v>6584.8</v>
      </c>
      <c r="R21" s="62" t="inlineStr">
        <is>
          <t>derived:deal size / offer % of enlarged capital</t>
        </is>
      </c>
      <c r="S21" s="68" t="n">
        <v>402.8</v>
      </c>
      <c r="T21" s="69" t="n">
        <v>21.8</v>
      </c>
      <c r="U21" s="70" t="n">
        <v>17</v>
      </c>
      <c r="V21" s="66" t="n">
        <v>22.99</v>
      </c>
      <c r="W21" s="62" t="inlineStr">
        <is>
          <t>Affin Hwang Asset Management Berhad; CRF Investment Holdings Company Limited; Foresight Funds; IvyRock Asset Management (HK) Limited; Lake Bleu Prime Healthcare Master Fund Limited; OrbiMed Funds; WinTwin Capital Limited</t>
        </is>
      </c>
      <c r="X21" s="62" t="inlineStr">
        <is>
          <t>affin;crf;foresight;ivyrock;lake;orbimed;wintwin</t>
        </is>
      </c>
      <c r="Y21" s="66" t="n">
        <v>15</v>
      </c>
      <c r="Z21" s="62" t="inlineStr">
        <is>
          <t>partial</t>
        </is>
      </c>
      <c r="AA21" s="71" t="n">
        <v>1.24</v>
      </c>
      <c r="AB21" s="72" t="n">
        <v>9.65</v>
      </c>
      <c r="AC21" s="72" t="n">
        <v>-7.67</v>
      </c>
      <c r="AD21" s="72" t="n">
        <v>16.96</v>
      </c>
      <c r="AE21" s="72" t="n">
        <v>-25.26</v>
      </c>
      <c r="AF21" s="72" t="n">
        <v>-1.32</v>
      </c>
      <c r="AG21" s="72" t="n">
        <v>15.53</v>
      </c>
      <c r="AH21" s="72" t="n">
        <v>-26.18</v>
      </c>
      <c r="AI21" s="72" t="n">
        <v>-2.53</v>
      </c>
      <c r="AJ21" s="72" t="n">
        <v>11.93</v>
      </c>
      <c r="AK21" s="72" t="n">
        <v>-9.67</v>
      </c>
      <c r="AL21" s="72" t="n">
        <v>6.3</v>
      </c>
      <c r="AM21" s="72" t="n">
        <v>-9.880000000000001</v>
      </c>
      <c r="AN21" s="72" t="n">
        <v>-15.59</v>
      </c>
      <c r="AO21" s="72" t="n">
        <v>-16.3</v>
      </c>
      <c r="AP21" s="62" t="inlineStr">
        <is>
          <t>China Biotech ETF (HS biotech proxy)</t>
        </is>
      </c>
      <c r="AQ21" s="72" t="n">
        <v>-94.92</v>
      </c>
      <c r="AR21" s="63" t="inlineStr">
        <is>
          <t>2026-08-21</t>
        </is>
      </c>
      <c r="AS21" s="64" t="n">
        <v>46</v>
      </c>
      <c r="AT21" s="67" t="n"/>
      <c r="AU21" s="62" t="n"/>
      <c r="AV21" s="77">
        <f>IF('BBG Verify'!O21="","not filed — run on terminal",'BBG Verify'!O21)</f>
        <v/>
      </c>
      <c r="AW21" s="73" t="n"/>
      <c r="AX21" s="73" t="n"/>
      <c r="AY21" s="73" t="n">
        <v>143.1</v>
      </c>
      <c r="AZ21" s="74" t="inlineStr">
        <is>
          <t>N</t>
        </is>
      </c>
      <c r="BA21" s="75">
        <f>IF('BBG Verify'!K21="","not filed — run on terminal",'BBG Verify'!K21)</f>
        <v/>
      </c>
      <c r="BB21" s="62" t="inlineStr">
        <is>
          <t>N/A</t>
        </is>
      </c>
      <c r="BC21" s="62" t="inlineStr">
        <is>
          <t>N/A</t>
        </is>
      </c>
      <c r="BD21" s="62" t="inlineStr">
        <is>
          <t>N/A</t>
        </is>
      </c>
      <c r="BE21" s="62" t="inlineStr">
        <is>
          <t>N/A</t>
        </is>
      </c>
      <c r="BF21" s="62" t="inlineStr">
        <is>
          <t>N/A</t>
        </is>
      </c>
      <c r="BG21" s="74" t="inlineStr">
        <is>
          <t>CLSA Capital Markets Limited</t>
        </is>
      </c>
      <c r="BH21" s="62" t="inlineStr">
        <is>
          <t>CLSA Capital Markets Limited</t>
        </is>
      </c>
      <c r="BI21" s="62" t="inlineStr">
        <is>
          <t>CLSA Limited; Citigroup Global Markets Asia Limited; China International Capital Corporation Hong Kong Securities Limited; Citigroup Global Markets Limited; 1 1 2– China International Capital Corporation Hong Kong Securities Limited; Haitong International Securities Company Limited; CMB International Capital Limited; ICBC International Capital Limited; SPDB International Capital Limited</t>
        </is>
      </c>
      <c r="BJ21" s="62" t="inlineStr">
        <is>
          <t>Citigroup Global Markets Asia Limited; China International Capital Corporation Hong Kong Securities Limited; CLSA Limited; CMB International Capital Corporation Limited; Futu Securities International (Hong Kong) Limited; Haitong International Securities Company Limited; ICBC International Securities Limited; SPDB International Capital Limited</t>
        </is>
      </c>
      <c r="BK21" s="76">
        <f>HYPERLINK("https://www1.hkexnews.hk/listedco/listconews/sehk/2021/0127/2021012700036.htm","prospectus")</f>
        <v/>
      </c>
      <c r="BL21" s="76">
        <f>HYPERLINK("https://www1.hkexnews.hk/listedco/listconews/sehk/2021/0205/2021020500040.htm","allotment")</f>
        <v/>
      </c>
      <c r="BM21" s="76">
        <f>HYPERLINK("https://www1.hkexnews.hk/listedco/listconews/sehk/2021/0304/2021030400005.pdf","stabilisation")</f>
        <v/>
      </c>
      <c r="BN21" s="74" t="n"/>
      <c r="BO21" s="62" t="inlineStr">
        <is>
          <t>P/E: net income not stated in extractable form · A/H: no A-share listing · cornerstone: AAStocks institutional table includes non-cornerstone orders (superset) — cornerstone % is from the prospectus · financials: financial tables not machine-extractable and the pre-IPO year is outside AAStocks' 5-year window</t>
        </is>
      </c>
    </row>
    <row r="22" ht="15" customHeight="1">
      <c r="A22" s="61" t="inlineStr">
        <is>
          <t>1473</t>
        </is>
      </c>
      <c r="B22" s="62" t="inlineStr">
        <is>
          <t>PANGAEA CONNECT</t>
        </is>
      </c>
      <c r="C22" s="62" t="inlineStr">
        <is>
          <t>環聯連訊</t>
        </is>
      </c>
      <c r="D22" s="62" t="inlineStr">
        <is>
          <t>Tech/AI</t>
        </is>
      </c>
      <c r="E22" s="62" t="inlineStr">
        <is>
          <t>SaaS / enterprise software</t>
        </is>
      </c>
      <c r="F22" s="62" t="inlineStr">
        <is>
          <t>Telecommunications &amp; Networking Equipment</t>
        </is>
      </c>
      <c r="G22" s="62" t="inlineStr">
        <is>
          <t>Standard</t>
        </is>
      </c>
      <c r="H22" s="63" t="n">
        <v>44246</v>
      </c>
      <c r="I22" s="64" t="n">
        <v>140</v>
      </c>
      <c r="J22" s="62" t="inlineStr">
        <is>
          <t>gross (price x shares)</t>
        </is>
      </c>
      <c r="K22" s="65" t="n"/>
      <c r="L22" s="65" t="n">
        <v>0.58</v>
      </c>
      <c r="M22" s="65" t="n">
        <v>0.5600000000000001</v>
      </c>
      <c r="N22" s="62" t="inlineStr">
        <is>
          <t>N</t>
        </is>
      </c>
      <c r="O22" s="66" t="n">
        <v>96.59999999999999</v>
      </c>
      <c r="P22" s="66" t="n"/>
      <c r="Q22" s="67" t="n">
        <v>520</v>
      </c>
      <c r="R22" s="62" t="inlineStr">
        <is>
          <t>prospectus:stated market capitalisation</t>
        </is>
      </c>
      <c r="S22" s="68" t="n">
        <v>64.15000000000001</v>
      </c>
      <c r="T22" s="69" t="n">
        <v>1.01</v>
      </c>
      <c r="U22" s="70" t="n">
        <v>0</v>
      </c>
      <c r="V22" s="66" t="n">
        <v>26.92</v>
      </c>
      <c r="W22" s="62" t="n"/>
      <c r="X22" s="62" t="n"/>
      <c r="Y22" s="66" t="n">
        <v>15</v>
      </c>
      <c r="Z22" s="62" t="n"/>
      <c r="AA22" s="71" t="n">
        <v>26.79</v>
      </c>
      <c r="AB22" s="72" t="n">
        <v>19.64</v>
      </c>
      <c r="AC22" s="72" t="n">
        <v>5.98</v>
      </c>
      <c r="AD22" s="72" t="n">
        <v>1.79</v>
      </c>
      <c r="AE22" s="72" t="n">
        <v>8.93</v>
      </c>
      <c r="AF22" s="72" t="n">
        <v>16.07</v>
      </c>
      <c r="AG22" s="72" t="n">
        <v>-19.72</v>
      </c>
      <c r="AH22" s="72" t="n">
        <v>-14.09</v>
      </c>
      <c r="AI22" s="72" t="n">
        <v>-8.449999999999999</v>
      </c>
      <c r="AJ22" s="72" t="n">
        <v>18.57</v>
      </c>
      <c r="AK22" s="72" t="n">
        <v>30.32</v>
      </c>
      <c r="AL22" s="72" t="n">
        <v>41.65</v>
      </c>
      <c r="AM22" s="72" t="n">
        <v>5.58</v>
      </c>
      <c r="AN22" s="72" t="n">
        <v>-21.39</v>
      </c>
      <c r="AO22" s="72" t="n">
        <v>-19.67</v>
      </c>
      <c r="AP22" s="62" t="inlineStr">
        <is>
          <t>HSTECH (Hang Seng TECH ETF)</t>
        </is>
      </c>
      <c r="AQ22" s="72" t="n">
        <v>125.89</v>
      </c>
      <c r="AR22" s="63" t="inlineStr">
        <is>
          <t>2026-08-20</t>
        </is>
      </c>
      <c r="AS22" s="64" t="n"/>
      <c r="AT22" s="67" t="n">
        <v>34.9</v>
      </c>
      <c r="AU22" s="62" t="inlineStr">
        <is>
          <t>Y</t>
        </is>
      </c>
      <c r="AV22" s="73" t="n">
        <v>14.9</v>
      </c>
      <c r="AW22" s="73" t="n"/>
      <c r="AX22" s="73" t="n">
        <v>37.1</v>
      </c>
      <c r="AY22" s="73" t="n"/>
      <c r="AZ22" s="74" t="inlineStr">
        <is>
          <t>N</t>
        </is>
      </c>
      <c r="BA22" s="75">
        <f>IF('BBG Verify'!K22="","not filed — run on terminal",'BBG Verify'!K22)</f>
        <v/>
      </c>
      <c r="BB22" s="62" t="inlineStr">
        <is>
          <t>N/A</t>
        </is>
      </c>
      <c r="BC22" s="62" t="inlineStr">
        <is>
          <t>N/A</t>
        </is>
      </c>
      <c r="BD22" s="62" t="inlineStr">
        <is>
          <t>N/A</t>
        </is>
      </c>
      <c r="BE22" s="62" t="inlineStr">
        <is>
          <t>N/A</t>
        </is>
      </c>
      <c r="BF22" s="62" t="inlineStr">
        <is>
          <t>N/A</t>
        </is>
      </c>
      <c r="BG22" s="74" t="inlineStr">
        <is>
          <t>Honestum International Limited</t>
        </is>
      </c>
      <c r="BH22" s="62" t="inlineStr">
        <is>
          <t>Honestum International Limited</t>
        </is>
      </c>
      <c r="BI22" s="62" t="inlineStr">
        <is>
          <t>CMBC Securities Company Limited; Central, Hong Kong Forwin Securities Group Limited; Lego Securities Limited; Central, Hong Kong Crosby Securities Limited; Wanchai, Hong Kong Forwin Securities Group Limited; Wanchai, Hong Kong GLAM Capital Limited</t>
        </is>
      </c>
      <c r="BJ22" s="62" t="inlineStr">
        <is>
          <t>CMBC Securities Company Limited; Crosby Securities Limited; Enhanced Securities Limited; Forwin Securities Group Limited; GLAM Capital Limited; Lego Securities Limited; Victory Securities Company Limited</t>
        </is>
      </c>
      <c r="BK22" s="76">
        <f>HYPERLINK("https://www1.hkexnews.hk/listedco/listconews/sehk/2021/0129/2021012901777.pdf","prospectus")</f>
        <v/>
      </c>
      <c r="BL22" s="76">
        <f>HYPERLINK("https://www1.hkexnews.hk/listedco/listconews/sehk/2021/0218/2021021800016.htm","allotment")</f>
        <v/>
      </c>
      <c r="BM22" s="62" t="n"/>
      <c r="BN22" s="74" t="n"/>
      <c r="BO22" s="62" t="inlineStr">
        <is>
          <t>greenshoe: end-of-stabilisation notice not located · range low: cap-only pricing — the filing publishes a Maximum Offer Price and no indicative floor · A/H: no A-share listing · cornerstone list: no cornerstone tranche in this deal · P/S: revenue not extractable · financials: financial tables not machine-extractable and the pre-IPO year is outside AAStocks' 5-year window</t>
        </is>
      </c>
    </row>
    <row r="23" ht="15" customHeight="1">
      <c r="A23" s="61" t="inlineStr">
        <is>
          <t>6127</t>
        </is>
      </c>
      <c r="B23" s="62" t="inlineStr">
        <is>
          <t>JOINN</t>
        </is>
      </c>
      <c r="C23" s="62" t="inlineStr">
        <is>
          <t>昭衍新藥</t>
        </is>
      </c>
      <c r="D23" s="62" t="inlineStr">
        <is>
          <t>Healthcare</t>
        </is>
      </c>
      <c r="E23" s="62" t="inlineStr">
        <is>
          <t>CXO / pharma services</t>
        </is>
      </c>
      <c r="F23" s="62" t="inlineStr">
        <is>
          <t>Health Care Services</t>
        </is>
      </c>
      <c r="G23" s="62" t="inlineStr">
        <is>
          <t>Standard</t>
        </is>
      </c>
      <c r="H23" s="63" t="n">
        <v>44253</v>
      </c>
      <c r="I23" s="64" t="n">
        <v>6542</v>
      </c>
      <c r="J23" s="62" t="inlineStr">
        <is>
          <t>gross (price x shares)</t>
        </is>
      </c>
      <c r="K23" s="65" t="n">
        <v>133</v>
      </c>
      <c r="L23" s="65" t="n">
        <v>151</v>
      </c>
      <c r="M23" s="65" t="n">
        <v>151</v>
      </c>
      <c r="N23" s="62" t="inlineStr">
        <is>
          <t>Y</t>
        </is>
      </c>
      <c r="O23" s="66" t="n">
        <v>100</v>
      </c>
      <c r="P23" s="66" t="n">
        <v>100</v>
      </c>
      <c r="Q23" s="67" t="n">
        <v>40893.9</v>
      </c>
      <c r="R23" s="62" t="inlineStr">
        <is>
          <t>aastocks:上市市值 at the struck price</t>
        </is>
      </c>
      <c r="S23" s="68" t="n">
        <v>310</v>
      </c>
      <c r="T23" s="69" t="n">
        <v>26</v>
      </c>
      <c r="U23" s="70" t="n">
        <v>31.8</v>
      </c>
      <c r="V23" s="66" t="n">
        <v>10.91</v>
      </c>
      <c r="W23" s="62" t="inlineStr">
        <is>
          <t>Carmignac Funds; China Structural Reform Fund Corporation Limited; CPE Greater China Enterprises Growth Fund; CRF Investment Holdings Company Limited; Janchor Partners Pan-Asian Master Fund; Lake Bleu Prime Healthcare Master Fund Limited; Octagon Capital Advisors LP; OrbiMed Funds; SCC Growth VI Holdco F, Ltd; Valliance Fund</t>
        </is>
      </c>
      <c r="X23" s="62" t="inlineStr">
        <is>
          <t>carmignac;structural;cpe;crf;janchor;lake;octagon;orbimed;scc;valliance</t>
        </is>
      </c>
      <c r="Y23" s="66" t="n">
        <v>5.8</v>
      </c>
      <c r="Z23" s="62" t="inlineStr">
        <is>
          <t>partial</t>
        </is>
      </c>
      <c r="AA23" s="71" t="n">
        <v>-8.609999999999999</v>
      </c>
      <c r="AB23" s="72" t="n">
        <v>-1.99</v>
      </c>
      <c r="AC23" s="72" t="n">
        <v>-6.75</v>
      </c>
      <c r="AD23" s="72" t="n">
        <v>-12.58</v>
      </c>
      <c r="AE23" s="72" t="n">
        <v>-8.48</v>
      </c>
      <c r="AF23" s="72" t="n">
        <v>4.17</v>
      </c>
      <c r="AG23" s="72" t="n">
        <v>-4.34</v>
      </c>
      <c r="AH23" s="72" t="n">
        <v>0.14</v>
      </c>
      <c r="AI23" s="72" t="n">
        <v>13.98</v>
      </c>
      <c r="AJ23" s="72" t="n">
        <v>-5.7</v>
      </c>
      <c r="AK23" s="72" t="n">
        <v>-0.34</v>
      </c>
      <c r="AL23" s="72" t="n">
        <v>-5.9</v>
      </c>
      <c r="AM23" s="72" t="n">
        <v>6.29</v>
      </c>
      <c r="AN23" s="72" t="n">
        <v>-8.140000000000001</v>
      </c>
      <c r="AO23" s="72" t="n">
        <v>-6.15</v>
      </c>
      <c r="AP23" s="62" t="inlineStr">
        <is>
          <t>China Biotech ETF (HS biotech proxy)</t>
        </is>
      </c>
      <c r="AQ23" s="72" t="n">
        <v>-56.35</v>
      </c>
      <c r="AR23" s="63" t="inlineStr">
        <is>
          <t>2026-08-24</t>
        </is>
      </c>
      <c r="AS23" s="64" t="n"/>
      <c r="AT23" s="67" t="n"/>
      <c r="AU23" s="62" t="n"/>
      <c r="AV23" s="73" t="n">
        <v>87.5</v>
      </c>
      <c r="AW23" s="73" t="n">
        <v>87.5</v>
      </c>
      <c r="AX23" s="73" t="n">
        <v>34.6</v>
      </c>
      <c r="AY23" s="73" t="n"/>
      <c r="AZ23" s="74" t="inlineStr">
        <is>
          <t>Y</t>
        </is>
      </c>
      <c r="BA23" s="62" t="inlineStr">
        <is>
          <t>603127.SS</t>
        </is>
      </c>
      <c r="BB23" s="72" t="n">
        <v>12.28</v>
      </c>
      <c r="BC23" s="65" t="n">
        <v>169.5434</v>
      </c>
      <c r="BD23" s="79" t="n">
        <v>1.2528</v>
      </c>
      <c r="BE23" s="77">
        <f>IF('BBG Verify'!Q23="","run on terminal",'BBG Verify'!Q23)</f>
        <v/>
      </c>
      <c r="BF23" s="77">
        <f>IF('BBG Verify'!R23="","run on terminal",'BBG Verify'!R23)</f>
        <v/>
      </c>
      <c r="BG23" s="74" t="inlineStr">
        <is>
          <t>CLSA Capital Markets Limited</t>
        </is>
      </c>
      <c r="BH23" s="62" t="inlineStr">
        <is>
          <t>CLSA Capital Markets Limited</t>
        </is>
      </c>
      <c r="BI23" s="62" t="inlineStr">
        <is>
          <t>CLSA Limited; Merrill Lynch (Asia Pacific) Limited; China International Capital Corporation Hong Kong Securities Limited; Haitong International Securities Company Limited; BOCI Asia Limited; CMB International Capital Limited; BOCOM International Securities Limited; ICBC International Capital Limited</t>
        </is>
      </c>
      <c r="BJ23" s="62" t="inlineStr">
        <is>
          <t>Beta International Securities Limited; BOCI Asia Limited; China International Capital Corporation Hong Kong Securities Limited; CLSA Limited; CMB International Capital Limited; China Merchants Securities (HK) Company Limited; Haitong International Securities Company Limited; ICBC International Securities Limited; Merrill Lynch (Asia Pacific) Limited</t>
        </is>
      </c>
      <c r="BK23" s="76">
        <f>HYPERLINK("https://www1.hkexnews.hk/listedco/listconews/sehk/2021/0216/2021021600009.pdf","prospectus")</f>
        <v/>
      </c>
      <c r="BL23" s="76">
        <f>HYPERLINK("https://www1.hkexnews.hk/listedco/listconews/sehk/2021/0225/2021022500020.htm","allotment")</f>
        <v/>
      </c>
      <c r="BM23" s="76">
        <f>HYPERLINK("https://www1.hkexnews.hk/listedco/listconews/sehk/2021/0321/2021032100045.pdf","stabilisation")</f>
        <v/>
      </c>
      <c r="BN23" s="74" t="n"/>
      <c r="BO23" s="62" t="inlineStr">
        <is>
          <t>P/E: from Bloomberg (trailing-12m EPS at listing) — the prospectus-FY multiple was not derivable · A/H: H listed Feb 2021; CRO safety-evaluation leader · P/S: revenue not extractable · financials: financial tables not machine-extractable and the pre-IPO year is outside AAStocks' 5-year window</t>
        </is>
      </c>
    </row>
    <row r="24" ht="15" customHeight="1">
      <c r="A24" s="61" t="inlineStr">
        <is>
          <t>6601</t>
        </is>
      </c>
      <c r="B24" s="62" t="inlineStr">
        <is>
          <t>CHEERWIN GP</t>
        </is>
      </c>
      <c r="C24" s="62" t="inlineStr">
        <is>
          <t>朝雲集團</t>
        </is>
      </c>
      <c r="D24" s="62" t="inlineStr">
        <is>
          <t>Consumer</t>
        </is>
      </c>
      <c r="E24" s="62" t="inlineStr">
        <is>
          <t>Beauty / personal care</t>
        </is>
      </c>
      <c r="F24" s="62" t="inlineStr">
        <is>
          <t>Household Products</t>
        </is>
      </c>
      <c r="G24" s="62" t="inlineStr">
        <is>
          <t>Standard</t>
        </is>
      </c>
      <c r="H24" s="63" t="n">
        <v>44265</v>
      </c>
      <c r="I24" s="64" t="n">
        <v>3066.7</v>
      </c>
      <c r="J24" s="62" t="inlineStr">
        <is>
          <t>gross (price x shares)</t>
        </is>
      </c>
      <c r="K24" s="65" t="n"/>
      <c r="L24" s="65" t="n">
        <v>9.199999999999999</v>
      </c>
      <c r="M24" s="65" t="n">
        <v>9.199999999999999</v>
      </c>
      <c r="N24" s="62" t="inlineStr">
        <is>
          <t>Y</t>
        </is>
      </c>
      <c r="O24" s="66" t="n">
        <v>100</v>
      </c>
      <c r="P24" s="66" t="n"/>
      <c r="Q24" s="67" t="n">
        <v>12266.7</v>
      </c>
      <c r="R24" s="62" t="inlineStr">
        <is>
          <t>aastocks:上市市值 at the struck price</t>
        </is>
      </c>
      <c r="S24" s="68" t="n">
        <v>172.32</v>
      </c>
      <c r="T24" s="69" t="n">
        <v>13.8</v>
      </c>
      <c r="U24" s="70" t="n">
        <v>0</v>
      </c>
      <c r="V24" s="66" t="n">
        <v>25</v>
      </c>
      <c r="W24" s="62" t="n"/>
      <c r="X24" s="62" t="n"/>
      <c r="Y24" s="66" t="n">
        <v>6</v>
      </c>
      <c r="Z24" s="62" t="inlineStr">
        <is>
          <t>lapsed</t>
        </is>
      </c>
      <c r="AA24" s="71" t="n">
        <v>-13.15</v>
      </c>
      <c r="AB24" s="72" t="n">
        <v>-14.24</v>
      </c>
      <c r="AC24" s="72" t="n">
        <v>1.27</v>
      </c>
      <c r="AD24" s="72" t="n">
        <v>-9.24</v>
      </c>
      <c r="AE24" s="72" t="n">
        <v>-9.779999999999999</v>
      </c>
      <c r="AF24" s="72" t="n">
        <v>-9.779999999999999</v>
      </c>
      <c r="AG24" s="72" t="n">
        <v>4.5</v>
      </c>
      <c r="AH24" s="72" t="n">
        <v>3.88</v>
      </c>
      <c r="AI24" s="72" t="n">
        <v>3.88</v>
      </c>
      <c r="AJ24" s="72" t="n">
        <v>-12.74</v>
      </c>
      <c r="AK24" s="72" t="n">
        <v>-9.15</v>
      </c>
      <c r="AL24" s="72" t="n">
        <v>-13.12</v>
      </c>
      <c r="AM24" s="72" t="n">
        <v>6.15</v>
      </c>
      <c r="AN24" s="72" t="n">
        <v>-0.63</v>
      </c>
      <c r="AO24" s="72" t="n">
        <v>-2.27</v>
      </c>
      <c r="AP24" s="62" t="inlineStr">
        <is>
          <t>Hang Seng Commerce &amp; Industry sub-index</t>
        </is>
      </c>
      <c r="AQ24" s="72" t="n">
        <v>-75.54000000000001</v>
      </c>
      <c r="AR24" s="63" t="inlineStr">
        <is>
          <t>2026-08-20</t>
        </is>
      </c>
      <c r="AS24" s="64" t="n">
        <v>1521.7</v>
      </c>
      <c r="AT24" s="67" t="n">
        <v>202.8</v>
      </c>
      <c r="AU24" s="62" t="inlineStr">
        <is>
          <t>Y</t>
        </is>
      </c>
      <c r="AV24" s="73" t="n">
        <v>60.5</v>
      </c>
      <c r="AW24" s="73" t="n"/>
      <c r="AX24" s="73" t="n">
        <v>11.5</v>
      </c>
      <c r="AY24" s="73" t="n">
        <v>8.1</v>
      </c>
      <c r="AZ24" s="74" t="inlineStr">
        <is>
          <t>N</t>
        </is>
      </c>
      <c r="BA24" s="75">
        <f>IF('BBG Verify'!K24="","not filed — run on terminal",'BBG Verify'!K24)</f>
        <v/>
      </c>
      <c r="BB24" s="62" t="inlineStr">
        <is>
          <t>N/A</t>
        </is>
      </c>
      <c r="BC24" s="62" t="inlineStr">
        <is>
          <t>N/A</t>
        </is>
      </c>
      <c r="BD24" s="62" t="inlineStr">
        <is>
          <t>N/A</t>
        </is>
      </c>
      <c r="BE24" s="62" t="inlineStr">
        <is>
          <t>N/A</t>
        </is>
      </c>
      <c r="BF24" s="62" t="inlineStr">
        <is>
          <t>N/A</t>
        </is>
      </c>
      <c r="BG24" s="74" t="inlineStr">
        <is>
          <t>Morgan Stanley Asia Limited; China International Capital Corporation Hong Kong Securities Limited</t>
        </is>
      </c>
      <c r="BH24" s="62" t="inlineStr">
        <is>
          <t>Morgan Stanley Asia Limited; China International Capital Corporation (HK) Ltd</t>
        </is>
      </c>
      <c r="BI24" s="62" t="inlineStr">
        <is>
          <t>Morgan Stanley Asia Limited; China International Capital Corporation Hong Kong Securities Limited</t>
        </is>
      </c>
      <c r="BJ24" s="62" t="inlineStr">
        <is>
          <t>China International Capital Corporation Hong Kong Securities Limited; Futu Securities International (Hong Kong) Limited; Morgan Stanley Asia Limited</t>
        </is>
      </c>
      <c r="BK24" s="76">
        <f>HYPERLINK("https://www1.hkexnews.hk/listedco/listconews/sehk/2021/0226/2021022600033.pdf","prospectus")</f>
        <v/>
      </c>
      <c r="BL24" s="76">
        <f>HYPERLINK("https://www1.hkexnews.hk/listedco/listconews/sehk/2021/0309/2021030900022.htm","allotment")</f>
        <v/>
      </c>
      <c r="BM24" s="76">
        <f>HYPERLINK("https://www1.hkexnews.hk/listedco/listconews/sehk/2021/0407/2021040700023.pdf","stabilisation")</f>
        <v/>
      </c>
      <c r="BN24" s="74" t="n"/>
      <c r="BO24" s="62" t="inlineStr">
        <is>
          <t>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t>
        </is>
      </c>
    </row>
    <row r="25" ht="15" customHeight="1">
      <c r="A25" s="61" t="inlineStr">
        <is>
          <t>1413</t>
        </is>
      </c>
      <c r="B25" s="62" t="inlineStr">
        <is>
          <t>KWONG LUEN ENG</t>
        </is>
      </c>
      <c r="C25" s="62" t="inlineStr">
        <is>
          <t>鑄帝控股</t>
        </is>
      </c>
      <c r="D25" s="62" t="inlineStr">
        <is>
          <t>Industrials</t>
        </is>
      </c>
      <c r="E25" s="62" t="inlineStr">
        <is>
          <t>Construction / engineering</t>
        </is>
      </c>
      <c r="F25" s="62" t="inlineStr">
        <is>
          <t>Construction &amp; Engineering</t>
        </is>
      </c>
      <c r="G25" s="62" t="inlineStr">
        <is>
          <t>Standard</t>
        </is>
      </c>
      <c r="H25" s="63" t="n">
        <v>44266</v>
      </c>
      <c r="I25" s="64" t="n">
        <v>135</v>
      </c>
      <c r="J25" s="62" t="inlineStr">
        <is>
          <t>gross (price x shares)</t>
        </is>
      </c>
      <c r="K25" s="65" t="n">
        <v>0.5</v>
      </c>
      <c r="L25" s="65" t="n">
        <v>0.54</v>
      </c>
      <c r="M25" s="65" t="n">
        <v>0.54</v>
      </c>
      <c r="N25" s="62" t="inlineStr">
        <is>
          <t>Y</t>
        </is>
      </c>
      <c r="O25" s="66" t="n">
        <v>100</v>
      </c>
      <c r="P25" s="66" t="n">
        <v>100</v>
      </c>
      <c r="Q25" s="67" t="n">
        <v>540</v>
      </c>
      <c r="R25" s="62" t="inlineStr">
        <is>
          <t>aastocks:上市市值 at the struck price</t>
        </is>
      </c>
      <c r="S25" s="68" t="n">
        <v>54.29</v>
      </c>
      <c r="T25" s="69" t="n">
        <v>1.05</v>
      </c>
      <c r="U25" s="70" t="n">
        <v>0</v>
      </c>
      <c r="V25" s="66" t="n">
        <v>25</v>
      </c>
      <c r="W25" s="62" t="n"/>
      <c r="X25" s="62" t="n"/>
      <c r="Y25" s="66" t="n">
        <v>15</v>
      </c>
      <c r="Z25" s="62" t="n"/>
      <c r="AA25" s="71" t="n">
        <v>-22.22</v>
      </c>
      <c r="AB25" s="72" t="n">
        <v>-5.56</v>
      </c>
      <c r="AC25" s="72" t="n">
        <v>-17.64</v>
      </c>
      <c r="AD25" s="72" t="n">
        <v>-29.63</v>
      </c>
      <c r="AE25" s="72" t="n">
        <v>-37.96</v>
      </c>
      <c r="AF25" s="72" t="n">
        <v>-40.74</v>
      </c>
      <c r="AG25" s="72" t="n">
        <v>-9.529999999999999</v>
      </c>
      <c r="AH25" s="72" t="n">
        <v>-20.24</v>
      </c>
      <c r="AI25" s="72" t="n">
        <v>-23.81</v>
      </c>
      <c r="AJ25" s="72" t="n">
        <v>-33.31</v>
      </c>
      <c r="AK25" s="72" t="n">
        <v>-38</v>
      </c>
      <c r="AL25" s="72" t="n">
        <v>-42.08</v>
      </c>
      <c r="AM25" s="72" t="n">
        <v>-17.31</v>
      </c>
      <c r="AN25" s="72" t="n">
        <v>0.04</v>
      </c>
      <c r="AO25" s="72" t="n">
        <v>-2.93</v>
      </c>
      <c r="AP25" s="62" t="inlineStr">
        <is>
          <t>Hang Seng Commerce &amp; Industry sub-index</t>
        </is>
      </c>
      <c r="AQ25" s="72" t="n">
        <v>-91.93000000000001</v>
      </c>
      <c r="AR25" s="63" t="inlineStr">
        <is>
          <t>2026-08-24</t>
        </is>
      </c>
      <c r="AS25" s="64" t="n">
        <v>404.8</v>
      </c>
      <c r="AT25" s="67" t="n">
        <v>38.4</v>
      </c>
      <c r="AU25" s="62" t="inlineStr">
        <is>
          <t>Y</t>
        </is>
      </c>
      <c r="AV25" s="73" t="n">
        <v>14.1</v>
      </c>
      <c r="AW25" s="73" t="n"/>
      <c r="AX25" s="73" t="n"/>
      <c r="AY25" s="73" t="n">
        <v>1.3</v>
      </c>
      <c r="AZ25" s="74" t="inlineStr">
        <is>
          <t>N</t>
        </is>
      </c>
      <c r="BA25" s="75">
        <f>IF('BBG Verify'!K25="","not filed — run on terminal",'BBG Verify'!K25)</f>
        <v/>
      </c>
      <c r="BB25" s="62" t="inlineStr">
        <is>
          <t>N/A</t>
        </is>
      </c>
      <c r="BC25" s="62" t="inlineStr">
        <is>
          <t>N/A</t>
        </is>
      </c>
      <c r="BD25" s="62" t="inlineStr">
        <is>
          <t>N/A</t>
        </is>
      </c>
      <c r="BE25" s="62" t="inlineStr">
        <is>
          <t>N/A</t>
        </is>
      </c>
      <c r="BF25" s="62" t="inlineStr">
        <is>
          <t>N/A</t>
        </is>
      </c>
      <c r="BG25" s="74" t="n"/>
      <c r="BH25" s="62" t="inlineStr">
        <is>
          <t>Grande Capital Limited</t>
        </is>
      </c>
      <c r="BI25" s="62" t="inlineStr">
        <is>
          <t>Space Securities Limited; CMBC Securities Company Limited; Innovax Securities Limited; SPDB International Capital Limited</t>
        </is>
      </c>
      <c r="BJ25" s="62" t="inlineStr">
        <is>
          <t>CMBC Securities Company Limited; DL Securities (HK) Limited; Freeman Securities Limited; GLAM Capital Limited; Guosen Securities (HK) Capital Company Limited; Innovax Securities Limited; Plutus Securities Limited; Realord Asia Pacific Securities Limited; SPDB International Capital Limited; Space Securities Limited</t>
        </is>
      </c>
      <c r="BK25" s="76">
        <f>HYPERLINK("https://www1.hkexnews.hk/listedco/listconews/sehk/2021/0226/2021022600013.pdf","prospectus")</f>
        <v/>
      </c>
      <c r="BL25" s="76">
        <f>HYPERLINK("https://www1.hkexnews.hk/listedco/listconews/sehk/2021/0310/2021031000014.htm","allotment")</f>
        <v/>
      </c>
      <c r="BM25" s="62" t="n"/>
      <c r="BN25" s="74" t="n"/>
      <c r="BO25" s="62" t="inlineStr">
        <is>
          <t>greenshoe: end-of-stabilisation notice not located · A/H: no A-share listing · sponsor: English name not in the filing text; AAStocks 保薦人 shown · cornerstone list: no cornerstone tranche in this deal</t>
        </is>
      </c>
    </row>
    <row r="26" ht="15" customHeight="1">
      <c r="A26" s="61" t="inlineStr">
        <is>
          <t>2518</t>
        </is>
      </c>
      <c r="B26" s="62" t="inlineStr">
        <is>
          <t>AUTOHOME-S</t>
        </is>
      </c>
      <c r="C26" s="62" t="inlineStr">
        <is>
          <t>汽車之家－Ｓ</t>
        </is>
      </c>
      <c r="D26" s="62" t="inlineStr">
        <is>
          <t>Tech/AI</t>
        </is>
      </c>
      <c r="E26" s="62" t="inlineStr">
        <is>
          <t>Internet platform / e-commerce</t>
        </is>
      </c>
      <c r="F26" s="62" t="inlineStr">
        <is>
          <t>e-Commerce &amp; Internet Services</t>
        </is>
      </c>
      <c r="G26" s="62" t="inlineStr">
        <is>
          <t>Secondary</t>
        </is>
      </c>
      <c r="H26" s="63" t="n">
        <v>44270</v>
      </c>
      <c r="I26" s="64" t="n">
        <v>5340.3</v>
      </c>
      <c r="J26" s="62" t="inlineStr">
        <is>
          <t>gross (price x shares)</t>
        </is>
      </c>
      <c r="K26" s="65" t="n"/>
      <c r="L26" s="65" t="n">
        <v>251.8</v>
      </c>
      <c r="M26" s="65" t="n">
        <v>176.3</v>
      </c>
      <c r="N26" s="62" t="inlineStr">
        <is>
          <t>N</t>
        </is>
      </c>
      <c r="O26" s="66" t="n">
        <v>70</v>
      </c>
      <c r="P26" s="66" t="n"/>
      <c r="Q26" s="67" t="n">
        <v>88980</v>
      </c>
      <c r="R26" s="62" t="inlineStr">
        <is>
          <t>press:lanjinger.com/d/154659: 开盘181港元 市值913.77亿 | FINANCIALS (RMB x1.1): Autohome FY2020 PR: net revenues RMB8,658.6m, NI attributable RMB3,405.2m</t>
        </is>
      </c>
      <c r="S26" s="68" t="n">
        <v>10.71</v>
      </c>
      <c r="T26" s="69" t="n">
        <v>4</v>
      </c>
      <c r="U26" s="70" t="n"/>
      <c r="V26" s="66" t="n">
        <v>6</v>
      </c>
      <c r="W26" s="62" t="n"/>
      <c r="X26" s="62" t="n"/>
      <c r="Y26" s="66" t="n">
        <v>6</v>
      </c>
      <c r="Z26" s="62" t="inlineStr">
        <is>
          <t>full</t>
        </is>
      </c>
      <c r="AA26" s="71" t="n">
        <v>2.1</v>
      </c>
      <c r="AB26" s="72" t="n">
        <v>2.67</v>
      </c>
      <c r="AC26" s="72" t="n">
        <v>-0.5600000000000001</v>
      </c>
      <c r="AD26" s="72" t="n">
        <v>10.72</v>
      </c>
      <c r="AE26" s="72" t="n">
        <v>3.52</v>
      </c>
      <c r="AF26" s="72" t="n">
        <v>-28.64</v>
      </c>
      <c r="AG26" s="72" t="n">
        <v>8.44</v>
      </c>
      <c r="AH26" s="72" t="n">
        <v>1.39</v>
      </c>
      <c r="AI26" s="72" t="n">
        <v>-30.11</v>
      </c>
      <c r="AJ26" s="72" t="n">
        <v>10.48</v>
      </c>
      <c r="AK26" s="72" t="n">
        <v>6.55</v>
      </c>
      <c r="AL26" s="72" t="n">
        <v>-21.39</v>
      </c>
      <c r="AM26" s="72" t="n">
        <v>1.88</v>
      </c>
      <c r="AN26" s="72" t="n">
        <v>-3.03</v>
      </c>
      <c r="AO26" s="72" t="n">
        <v>-0.49</v>
      </c>
      <c r="AP26" s="62" t="inlineStr">
        <is>
          <t>HSTECH (Hang Seng TECH ETF)</t>
        </is>
      </c>
      <c r="AQ26" s="72" t="n">
        <v>-75.84</v>
      </c>
      <c r="AR26" s="63" t="inlineStr">
        <is>
          <t>2026-08-21</t>
        </is>
      </c>
      <c r="AS26" s="64" t="n">
        <v>9524.5</v>
      </c>
      <c r="AT26" s="67" t="n">
        <v>3745.7</v>
      </c>
      <c r="AU26" s="62" t="inlineStr">
        <is>
          <t>Y</t>
        </is>
      </c>
      <c r="AV26" s="73" t="n">
        <v>23.8</v>
      </c>
      <c r="AW26" s="73" t="n"/>
      <c r="AX26" s="73" t="n"/>
      <c r="AY26" s="73" t="n">
        <v>9.300000000000001</v>
      </c>
      <c r="AZ26" s="74" t="inlineStr">
        <is>
          <t>N</t>
        </is>
      </c>
      <c r="BA26" s="75">
        <f>IF('BBG Verify'!K26="","not filed — run on terminal",'BBG Verify'!K26)</f>
        <v/>
      </c>
      <c r="BB26" s="62" t="inlineStr">
        <is>
          <t>N/A</t>
        </is>
      </c>
      <c r="BC26" s="62" t="inlineStr">
        <is>
          <t>N/A</t>
        </is>
      </c>
      <c r="BD26" s="62" t="inlineStr">
        <is>
          <t>N/A</t>
        </is>
      </c>
      <c r="BE26" s="62" t="inlineStr">
        <is>
          <t>N/A</t>
        </is>
      </c>
      <c r="BF26" s="62" t="inlineStr">
        <is>
          <t>N/A</t>
        </is>
      </c>
      <c r="BG26" s="74" t="inlineStr">
        <is>
          <t>China International Capital Corporation Hong Kong Securities Limited; (in alphabetical order with no ranking assigned) Credit Suisse (Hong Kong) Limited; Goldman Sachs (Asia) L.L.C</t>
        </is>
      </c>
      <c r="BH26" s="62" t="inlineStr">
        <is>
          <t>China International Capital Corporation Hong Kong Securities Limited; Goldman Sachs (Asia) L.L.C.; Credit Suisse (Hong Kong) Limited</t>
        </is>
      </c>
      <c r="BI26" s="62" t="inlineStr">
        <is>
          <t>China International Capital Corporation Hong Kong Securities Limited; (in alphabetical order with no ranking assigned) Credit Suisse (Hong Kong) Limited; The Hongkong and Shanghai Banking Corporation Limited; Deutsche Bank AG, Hong Kong Branch; China PA Securities (Hong Kong) Company Limited; ABCI Capital Limited</t>
        </is>
      </c>
      <c r="BJ26" s="62" t="inlineStr">
        <is>
          <t>ABCI Securities Company Limited; China International Capital Corporation Hong Kong Securities Limited; China PA Securities (Hong Kong) Company Limited; Credit Suisse (Hong Kong) Limited; Deutsche Bank AG, Hong Kong Branch; Goldman Sachs (Asia) L.L.C.; Haitong International Securities Company Limited; The Hongkong and Shanghai Banking Corporation Limited</t>
        </is>
      </c>
      <c r="BK26" s="76">
        <f>HYPERLINK("https://www1.hkexnews.hk/listedco/listconews/sehk/2021/0304/2021030400013.pdf","prospectus")</f>
        <v/>
      </c>
      <c r="BL26" s="76">
        <f>HYPERLINK("https://www1.hkexnews.hk/listedco/listconews/sehk/2021/0312/2021031200028.htm","allotment")</f>
        <v/>
      </c>
      <c r="BM26" s="76">
        <f>HYPERLINK("https://www1.hkexnews.hk/listedco/listconews/sehk/2021/0409/2021040900003.pdf","stabilisation")</f>
        <v/>
      </c>
      <c r="BN26" s="74" t="n"/>
      <c r="BO26" s="62" t="inlineStr">
        <is>
          <t>range low: cap-only pricing — the filing publishes a Maximum Offer Price and no indicative floor · A/H: no A-share listing · cornerstone list: no cornerstone tranche in this deal · cornerstone %: no cornerstone tranche in this deal</t>
        </is>
      </c>
    </row>
    <row r="27" ht="15" customHeight="1">
      <c r="A27" s="61" t="inlineStr">
        <is>
          <t>1927</t>
        </is>
      </c>
      <c r="B27" s="62" t="inlineStr">
        <is>
          <t>JIUJIUWANG</t>
        </is>
      </c>
      <c r="C27" s="62" t="inlineStr">
        <is>
          <t>久久王</t>
        </is>
      </c>
      <c r="D27" s="62" t="inlineStr">
        <is>
          <t>Consumer</t>
        </is>
      </c>
      <c r="E27" s="62" t="inlineStr">
        <is>
          <t>Beverages / packaged food</t>
        </is>
      </c>
      <c r="F27" s="62" t="inlineStr">
        <is>
          <t>Packaged Foods</t>
        </is>
      </c>
      <c r="G27" s="62" t="inlineStr">
        <is>
          <t>Standard</t>
        </is>
      </c>
      <c r="H27" s="63" t="n">
        <v>44271</v>
      </c>
      <c r="I27" s="64" t="n">
        <v>148.5</v>
      </c>
      <c r="J27" s="62" t="inlineStr">
        <is>
          <t>gross (price x shares)</t>
        </is>
      </c>
      <c r="K27" s="65" t="n">
        <v>0.65</v>
      </c>
      <c r="L27" s="65" t="n">
        <v>0.75</v>
      </c>
      <c r="M27" s="65" t="n">
        <v>0.75</v>
      </c>
      <c r="N27" s="62" t="inlineStr">
        <is>
          <t>Y</t>
        </is>
      </c>
      <c r="O27" s="66" t="n">
        <v>100</v>
      </c>
      <c r="P27" s="66" t="n">
        <v>100</v>
      </c>
      <c r="Q27" s="67" t="n">
        <v>594</v>
      </c>
      <c r="R27" s="62" t="inlineStr">
        <is>
          <t>aastocks:上市市值 at the struck price</t>
        </is>
      </c>
      <c r="S27" s="68" t="n">
        <v>214.36</v>
      </c>
      <c r="T27" s="69" t="n">
        <v>1.14</v>
      </c>
      <c r="U27" s="70" t="n">
        <v>0</v>
      </c>
      <c r="V27" s="66" t="n">
        <v>25</v>
      </c>
      <c r="W27" s="62" t="n"/>
      <c r="X27" s="62" t="n"/>
      <c r="Y27" s="66" t="n">
        <v>15</v>
      </c>
      <c r="Z27" s="62" t="n"/>
      <c r="AA27" s="71" t="n">
        <v>-26.67</v>
      </c>
      <c r="AB27" s="72" t="n">
        <v>-8</v>
      </c>
      <c r="AC27" s="72" t="n">
        <v>-20.29</v>
      </c>
      <c r="AD27" s="72" t="n">
        <v>-34.67</v>
      </c>
      <c r="AE27" s="72" t="n">
        <v>-40</v>
      </c>
      <c r="AF27" s="72" t="n">
        <v>-46.67</v>
      </c>
      <c r="AG27" s="72" t="n">
        <v>-10.91</v>
      </c>
      <c r="AH27" s="72" t="n">
        <v>-18.18</v>
      </c>
      <c r="AI27" s="72" t="n">
        <v>-27.27</v>
      </c>
      <c r="AJ27" s="72" t="n">
        <v>-34</v>
      </c>
      <c r="AK27" s="72" t="n">
        <v>-42.02</v>
      </c>
      <c r="AL27" s="72" t="n">
        <v>-49.65</v>
      </c>
      <c r="AM27" s="72" t="n">
        <v>-17.97</v>
      </c>
      <c r="AN27" s="72" t="n">
        <v>2.02</v>
      </c>
      <c r="AO27" s="72" t="n">
        <v>-0.21</v>
      </c>
      <c r="AP27" s="62" t="inlineStr">
        <is>
          <t>Hang Seng Commerce &amp; Industry sub-index</t>
        </is>
      </c>
      <c r="AQ27" s="72" t="n">
        <v>-65.33</v>
      </c>
      <c r="AR27" s="63" t="inlineStr">
        <is>
          <t>2026-08-20</t>
        </is>
      </c>
      <c r="AS27" s="64" t="n">
        <v>455.5</v>
      </c>
      <c r="AT27" s="67" t="n">
        <v>47.5</v>
      </c>
      <c r="AU27" s="62" t="inlineStr">
        <is>
          <t>Y</t>
        </is>
      </c>
      <c r="AV27" s="73" t="n">
        <v>12.5</v>
      </c>
      <c r="AW27" s="73" t="n">
        <v>6.2</v>
      </c>
      <c r="AX27" s="73" t="n"/>
      <c r="AY27" s="73" t="n">
        <v>1.3</v>
      </c>
      <c r="AZ27" s="74" t="inlineStr">
        <is>
          <t>N</t>
        </is>
      </c>
      <c r="BA27" s="75">
        <f>IF('BBG Verify'!K27="","not filed — run on terminal",'BBG Verify'!K27)</f>
        <v/>
      </c>
      <c r="BB27" s="62" t="inlineStr">
        <is>
          <t>N/A</t>
        </is>
      </c>
      <c r="BC27" s="62" t="inlineStr">
        <is>
          <t>N/A</t>
        </is>
      </c>
      <c r="BD27" s="62" t="inlineStr">
        <is>
          <t>N/A</t>
        </is>
      </c>
      <c r="BE27" s="62" t="inlineStr">
        <is>
          <t>N/A</t>
        </is>
      </c>
      <c r="BF27" s="62" t="inlineStr">
        <is>
          <t>N/A</t>
        </is>
      </c>
      <c r="BG27" s="74" t="inlineStr">
        <is>
          <t>Lego Corporate Finance Limited</t>
        </is>
      </c>
      <c r="BH27" s="62" t="inlineStr">
        <is>
          <t>Lego Corporate Finance Limited</t>
        </is>
      </c>
      <c r="BI27" s="62" t="inlineStr">
        <is>
          <t>Aristo Securities Limited; Brilliant Norton Securities Company Limited; China Tonghai Securities Limited; First Fidelity Capital (International) Limited; Fruit Tree Securities Limited; Grand China Securities Limited</t>
        </is>
      </c>
      <c r="BJ27" s="62" t="inlineStr">
        <is>
          <t>Aristo Securities Limited; Brilliant Norton Securities Company Limited; China Tonghai Securities Limited; First Fidelity Capital (International) Limited; Fruit Tree Securities Limited; Grand China Securities Limited; Kirin Securities Limited; Lego Securities Limited; Lee Go Securities Limited; MTF Securities Limited; Realord Asia Pacific Securities Limited; Seazen Resources Securities Limited</t>
        </is>
      </c>
      <c r="BK27" s="76">
        <f>HYPERLINK("https://www1.hkexnews.hk/listedco/listconews/sehk/2021/0226/2021022600021.pdf","prospectus")</f>
        <v/>
      </c>
      <c r="BL27" s="76">
        <f>HYPERLINK("https://www1.hkexnews.hk/listedco/listconews/sehk/2021/0315/2021031500018.htm","allotment")</f>
        <v/>
      </c>
      <c r="BM27" s="62" t="n"/>
      <c r="BN27" s="74" t="n"/>
      <c r="BO27" s="62" t="inlineStr">
        <is>
          <t>greenshoe: end-of-stabilisation notice not located · A/H: no A-share listing · market cap: estimate from deal size / offer % of enlarged capital disagreed with the published listing cap — published figure adopted · cornerstone list: no cornerstone tranche in this deal</t>
        </is>
      </c>
    </row>
    <row r="28" ht="15" customHeight="1">
      <c r="A28" s="61" t="inlineStr">
        <is>
          <t>9888</t>
        </is>
      </c>
      <c r="B28" s="62" t="inlineStr">
        <is>
          <t>BIDU-SW</t>
        </is>
      </c>
      <c r="C28" s="62" t="inlineStr">
        <is>
          <t>百度集團－ＳＷ</t>
        </is>
      </c>
      <c r="D28" s="62" t="inlineStr">
        <is>
          <t>Tech/AI</t>
        </is>
      </c>
      <c r="E28" s="62" t="inlineStr">
        <is>
          <t>Internet platform / e-commerce</t>
        </is>
      </c>
      <c r="F28" s="62" t="inlineStr">
        <is>
          <t>e-Commerce &amp; Internet Services</t>
        </is>
      </c>
      <c r="G28" s="62" t="inlineStr">
        <is>
          <t>Secondary + WVR</t>
        </is>
      </c>
      <c r="H28" s="63" t="n">
        <v>44278</v>
      </c>
      <c r="I28" s="64" t="n">
        <v>23940</v>
      </c>
      <c r="J28" s="62" t="inlineStr">
        <is>
          <t>gross (price x shares)</t>
        </is>
      </c>
      <c r="K28" s="65" t="n"/>
      <c r="L28" s="65" t="n">
        <v>295</v>
      </c>
      <c r="M28" s="65" t="n">
        <v>252</v>
      </c>
      <c r="N28" s="62" t="inlineStr">
        <is>
          <t>N</t>
        </is>
      </c>
      <c r="O28" s="66" t="n">
        <v>85.40000000000001</v>
      </c>
      <c r="P28" s="66" t="n"/>
      <c r="Q28" s="67" t="n">
        <v>712800</v>
      </c>
      <c r="R28" s="62" t="inlineStr">
        <is>
          <t>press:sina tech 2021-03-23 + STCN: 总市值7128亿港元 | FINANCIALS (RMB x1.1): Baidu FY2020 PR: total revenues RMB107,074m, NI attributable RMB22,472m</t>
        </is>
      </c>
      <c r="S28" s="68" t="n">
        <v>112.01</v>
      </c>
      <c r="T28" s="69" t="n">
        <v>10</v>
      </c>
      <c r="U28" s="70" t="n"/>
      <c r="V28" s="66" t="n">
        <v>3.36</v>
      </c>
      <c r="W28" s="62" t="n"/>
      <c r="X28" s="62" t="n"/>
      <c r="Y28" s="66" t="n">
        <v>10</v>
      </c>
      <c r="Z28" s="62" t="n"/>
      <c r="AA28" s="71" t="n">
        <v>0</v>
      </c>
      <c r="AB28" s="72" t="n">
        <v>0.79</v>
      </c>
      <c r="AC28" s="72" t="n">
        <v>-0.78</v>
      </c>
      <c r="AD28" s="72" t="n">
        <v>-19.92</v>
      </c>
      <c r="AE28" s="72" t="n">
        <v>-14.84</v>
      </c>
      <c r="AF28" s="72" t="n">
        <v>-24.4</v>
      </c>
      <c r="AG28" s="72" t="n">
        <v>-19.92</v>
      </c>
      <c r="AH28" s="72" t="n">
        <v>-14.84</v>
      </c>
      <c r="AI28" s="72" t="n">
        <v>-24.4</v>
      </c>
      <c r="AJ28" s="72" t="n">
        <v>-16.19</v>
      </c>
      <c r="AK28" s="72" t="n">
        <v>-14.43</v>
      </c>
      <c r="AL28" s="72" t="n">
        <v>-21.14</v>
      </c>
      <c r="AM28" s="72" t="n">
        <v>-16.85</v>
      </c>
      <c r="AN28" s="72" t="n">
        <v>-0.41</v>
      </c>
      <c r="AO28" s="72" t="n">
        <v>2.01</v>
      </c>
      <c r="AP28" s="62" t="inlineStr">
        <is>
          <t>HSTECH (Hang Seng TECH ETF)</t>
        </is>
      </c>
      <c r="AQ28" s="72" t="n">
        <v>-63.43</v>
      </c>
      <c r="AR28" s="63" t="inlineStr">
        <is>
          <t>2026-08-20</t>
        </is>
      </c>
      <c r="AS28" s="64" t="n">
        <v>117781.4</v>
      </c>
      <c r="AT28" s="67" t="n">
        <v>24719.2</v>
      </c>
      <c r="AU28" s="62" t="inlineStr">
        <is>
          <t>Y</t>
        </is>
      </c>
      <c r="AV28" s="73" t="n">
        <v>28.8</v>
      </c>
      <c r="AW28" s="73" t="n"/>
      <c r="AX28" s="73" t="n"/>
      <c r="AY28" s="73" t="n">
        <v>6.1</v>
      </c>
      <c r="AZ28" s="74" t="inlineStr">
        <is>
          <t>N</t>
        </is>
      </c>
      <c r="BA28" s="75">
        <f>IF('BBG Verify'!K28="","not filed — run on terminal",'BBG Verify'!K28)</f>
        <v/>
      </c>
      <c r="BB28" s="62" t="inlineStr">
        <is>
          <t>N/A</t>
        </is>
      </c>
      <c r="BC28" s="62" t="inlineStr">
        <is>
          <t>N/A</t>
        </is>
      </c>
      <c r="BD28" s="62" t="inlineStr">
        <is>
          <t>N/A</t>
        </is>
      </c>
      <c r="BE28" s="62" t="inlineStr">
        <is>
          <t>N/A</t>
        </is>
      </c>
      <c r="BF28" s="62" t="inlineStr">
        <is>
          <t>N/A</t>
        </is>
      </c>
      <c r="BG28" s="74" t="inlineStr">
        <is>
          <t>Merrill Lynch (Asia Pacific) Limited; CLSA Capital Markets Limited; Goldman Sachs (Asia) L.L.C; CLSA Limited</t>
        </is>
      </c>
      <c r="BH28" s="62" t="inlineStr">
        <is>
          <t>Merrill Lynch (Asia Pacific) Limited; Goldman Sachs (Asia) L.L.C.; CLSA Capital Markets Limited</t>
        </is>
      </c>
      <c r="BI28" s="62" t="inlineStr">
        <is>
          <t>UBS AG Hong Kong Branch; CCB International Capital Limited; UBS Securities LLC; China Renaissance Securities (Hong Kong) Limited; Nomura International (Hong Kong) Limited; Citigroup Global Markets Asia Limited; Citigroup Global Markets Limited; Canary Wharf London E14 5LB United Kingdom ICBC International Capital Limited; ICBC International Securities Limited; ABCI SECURITIES COMPANY LIMITED</t>
        </is>
      </c>
      <c r="BJ28" s="62" t="inlineStr">
        <is>
          <t>ABCI Securities Company Limited; BOCI Asia Limited; CCB International Capital Limited; Citigroup Global Markets Asia Limited; China International Capital Corporation Hong Kong Securities Limited; CLSA Limited; China Renaissance Securities (Hong Kong) Limited; Futu Securities International (Hong Kong) Limited; Goldman Sachs (Asia) L.L.C.; Haitong International Securities Company Limited; ICBC International Securities Limited; Merrill Lynch (Asia Pacific) Limited</t>
        </is>
      </c>
      <c r="BK28" s="76">
        <f>HYPERLINK("https://www1.hkexnews.hk/listedco/listconews/sehk/2021/0312/2021031200021.pdf","prospectus")</f>
        <v/>
      </c>
      <c r="BL28" s="76">
        <f>HYPERLINK("https://www1.hkexnews.hk/listedco/listconews/sehk/2021/0322/2021032200016.htm","allotment")</f>
        <v/>
      </c>
      <c r="BM28" s="62" t="n"/>
      <c r="BN28" s="74" t="n"/>
      <c r="BO28" s="62" t="inlineStr">
        <is>
          <t>greenshoe: end-of-stabilisation notice not located · range low: cap-only pricing — the filing publishes a Maximum Offer Price and no indicative floor · A/H: no A-share listing · cornerstone list: cornerstone section not machine-extractable — see the prospectus link · cornerstone %: cornerstone aggregate not stated in the filing</t>
        </is>
      </c>
    </row>
    <row r="29" ht="15" customHeight="1">
      <c r="A29" s="61" t="inlineStr">
        <is>
          <t>2187</t>
        </is>
      </c>
      <c r="B29" s="62" t="inlineStr">
        <is>
          <t>ZHIXIN GP HLDG</t>
        </is>
      </c>
      <c r="C29" s="62" t="inlineStr">
        <is>
          <t>智欣集團控股</t>
        </is>
      </c>
      <c r="D29" s="62" t="inlineStr">
        <is>
          <t>Industrials</t>
        </is>
      </c>
      <c r="E29" s="62" t="inlineStr">
        <is>
          <t>Construction / engineering</t>
        </is>
      </c>
      <c r="F29" s="62" t="inlineStr">
        <is>
          <t>Construction Materials</t>
        </is>
      </c>
      <c r="G29" s="62" t="inlineStr">
        <is>
          <t>Standard</t>
        </is>
      </c>
      <c r="H29" s="63" t="n">
        <v>44281</v>
      </c>
      <c r="I29" s="64" t="n">
        <v>241.4</v>
      </c>
      <c r="J29" s="62" t="inlineStr">
        <is>
          <t>net proceeds</t>
        </is>
      </c>
      <c r="K29" s="65" t="n"/>
      <c r="L29" s="65" t="n">
        <v>1.5</v>
      </c>
      <c r="M29" s="65" t="n">
        <v>1.5</v>
      </c>
      <c r="N29" s="62" t="inlineStr">
        <is>
          <t>Y</t>
        </is>
      </c>
      <c r="O29" s="66" t="n">
        <v>100</v>
      </c>
      <c r="P29" s="66" t="n"/>
      <c r="Q29" s="67" t="n">
        <v>1122</v>
      </c>
      <c r="R29" s="62" t="inlineStr">
        <is>
          <t>prospectus:stated market capitalisation</t>
        </is>
      </c>
      <c r="S29" s="68" t="n">
        <v>25.24</v>
      </c>
      <c r="T29" s="78">
        <f>IF('BBG Verify'!E29="","not filed — run on terminal",'BBG Verify'!E29)</f>
        <v/>
      </c>
      <c r="U29" s="70" t="n">
        <v>30.3</v>
      </c>
      <c r="V29" s="66" t="n">
        <v>15</v>
      </c>
      <c r="W29" s="62" t="inlineStr">
        <is>
          <t>Tenancy Co., Limited; Wang Miao</t>
        </is>
      </c>
      <c r="X29" s="62" t="inlineStr">
        <is>
          <t>tenancy;wang-miao</t>
        </is>
      </c>
      <c r="Y29" s="66" t="n"/>
      <c r="Z29" s="62" t="n"/>
      <c r="AA29" s="71" t="n">
        <v>-29.33</v>
      </c>
      <c r="AB29" s="72" t="n">
        <v>-3.33</v>
      </c>
      <c r="AC29" s="72" t="n">
        <v>-26.9</v>
      </c>
      <c r="AD29" s="72" t="n">
        <v>-30</v>
      </c>
      <c r="AE29" s="72" t="n">
        <v>-23.33</v>
      </c>
      <c r="AF29" s="72" t="n">
        <v>-16</v>
      </c>
      <c r="AG29" s="72" t="n">
        <v>-0.95</v>
      </c>
      <c r="AH29" s="72" t="n">
        <v>8.49</v>
      </c>
      <c r="AI29" s="72" t="n">
        <v>18.86</v>
      </c>
      <c r="AJ29" s="72" t="n">
        <v>-34.83</v>
      </c>
      <c r="AK29" s="72" t="n">
        <v>-29.89</v>
      </c>
      <c r="AL29" s="72" t="n">
        <v>-25.18</v>
      </c>
      <c r="AM29" s="72" t="n">
        <v>4.35</v>
      </c>
      <c r="AN29" s="72" t="n">
        <v>6.56</v>
      </c>
      <c r="AO29" s="72" t="n">
        <v>4.14</v>
      </c>
      <c r="AP29" s="62" t="inlineStr">
        <is>
          <t>Hang Seng Commerce &amp; Industry sub-index</t>
        </is>
      </c>
      <c r="AQ29" s="72" t="n">
        <v>-71.33</v>
      </c>
      <c r="AR29" s="63" t="inlineStr">
        <is>
          <t>2026-08-20</t>
        </is>
      </c>
      <c r="AS29" s="64" t="n">
        <v>649.9</v>
      </c>
      <c r="AT29" s="67" t="n">
        <v>46</v>
      </c>
      <c r="AU29" s="62" t="inlineStr">
        <is>
          <t>Y</t>
        </is>
      </c>
      <c r="AV29" s="73" t="n">
        <v>24.4</v>
      </c>
      <c r="AW29" s="73" t="n">
        <v>8.199999999999999</v>
      </c>
      <c r="AX29" s="73" t="n"/>
      <c r="AY29" s="73" t="n">
        <v>1.7</v>
      </c>
      <c r="AZ29" s="74" t="inlineStr">
        <is>
          <t>N</t>
        </is>
      </c>
      <c r="BA29" s="75">
        <f>IF('BBG Verify'!K29="","not filed — run on terminal",'BBG Verify'!K29)</f>
        <v/>
      </c>
      <c r="BB29" s="62" t="inlineStr">
        <is>
          <t>N/A</t>
        </is>
      </c>
      <c r="BC29" s="62" t="inlineStr">
        <is>
          <t>N/A</t>
        </is>
      </c>
      <c r="BD29" s="62" t="inlineStr">
        <is>
          <t>N/A</t>
        </is>
      </c>
      <c r="BE29" s="62" t="inlineStr">
        <is>
          <t>N/A</t>
        </is>
      </c>
      <c r="BF29" s="62" t="inlineStr">
        <is>
          <t>N/A</t>
        </is>
      </c>
      <c r="BG29" s="74" t="inlineStr">
        <is>
          <t>Kingsway Capital Limited</t>
        </is>
      </c>
      <c r="BH29" s="62" t="inlineStr">
        <is>
          <t>Kingsway Capital Limited</t>
        </is>
      </c>
      <c r="BI29" s="62" t="inlineStr">
        <is>
          <t>Kingsway Financial Services Group Limited; Seazen Resources Securities Limited; Zhongtai International Securities Limited; SPDB International Capital Limited</t>
        </is>
      </c>
      <c r="BJ29" s="62" t="inlineStr">
        <is>
          <t>Haitong International Securities Company Limited; Kingsway Financial Services Group Limited; SPDB International Capital Limited; Seazen Resources Securities Limited; Zhongtai International Securities Limited; ZMF Asset Management Limited</t>
        </is>
      </c>
      <c r="BK29" s="76">
        <f>HYPERLINK("https://www1.hkexnews.hk/listedco/listconews/sehk/2021/0316/2021031600111.pdf","prospectus")</f>
        <v/>
      </c>
      <c r="BL29" s="76">
        <f>HYPERLINK("https://www1.hkexnews.hk/listedco/listconews/sehk/2021/0325/2021032500100.htm","allotment")</f>
        <v/>
      </c>
      <c r="BM29" s="62" t="n"/>
      <c r="BN29" s="74" t="n"/>
      <c r="BO29" s="62" t="inlineStr">
        <is>
          <t>intl sub: parsed 0.9x rejected — implausible for a deal struck at the cap with the public tranche 25x subscribed (a percentage read as a multiple); BBG Verify CP037 fills this on the terminal · greenshoe: no over-allotment option in the offer structure · range low: cap-only pricing — the filing publishes a Maximum Offer Price and no indicative floor · A/H: no A-share listing · cornerstone: table parse read 80% but the institutional total implies 30% — parse rejected, the AAStocks institutional total used (30.3%) · greenshoe size: no over-allotment option in the offer structure</t>
        </is>
      </c>
    </row>
    <row r="30" ht="15" customHeight="1">
      <c r="A30" s="61" t="inlineStr">
        <is>
          <t>9626</t>
        </is>
      </c>
      <c r="B30" s="62" t="inlineStr">
        <is>
          <t>BILIBILI-SW</t>
        </is>
      </c>
      <c r="C30" s="62" t="inlineStr">
        <is>
          <t>嗶哩嗶哩－Ｗ</t>
        </is>
      </c>
      <c r="D30" s="62" t="inlineStr">
        <is>
          <t>Tech/AI</t>
        </is>
      </c>
      <c r="E30" s="62" t="inlineStr">
        <is>
          <t>Internet platform / e-commerce</t>
        </is>
      </c>
      <c r="F30" s="62" t="inlineStr">
        <is>
          <t>e-Commerce &amp; Internet Services</t>
        </is>
      </c>
      <c r="G30" s="62" t="inlineStr">
        <is>
          <t>Secondary + WVR</t>
        </is>
      </c>
      <c r="H30" s="63" t="n">
        <v>44284</v>
      </c>
      <c r="I30" s="64" t="n">
        <v>20200</v>
      </c>
      <c r="J30" s="62" t="inlineStr">
        <is>
          <t>gross (price x shares)</t>
        </is>
      </c>
      <c r="K30" s="65" t="n"/>
      <c r="L30" s="65" t="n">
        <v>988</v>
      </c>
      <c r="M30" s="65" t="n">
        <v>808</v>
      </c>
      <c r="N30" s="62" t="inlineStr">
        <is>
          <t>N</t>
        </is>
      </c>
      <c r="O30" s="66" t="n">
        <v>81.8</v>
      </c>
      <c r="P30" s="66" t="n"/>
      <c r="Q30" s="67" t="n">
        <v>298019</v>
      </c>
      <c r="R30" s="62" t="inlineStr">
        <is>
          <t>press:chinanews 2021-03-30: 总市值约2980.19亿港元 | FINANCIALS (RMB x1.1): Bilibili FY2020 PR/20-F: total net revenues RMB11,999.0m (stored NI is the attributable line, kept)</t>
        </is>
      </c>
      <c r="S30" s="68" t="n">
        <v>174.19</v>
      </c>
      <c r="T30" s="69" t="n">
        <v>11.9</v>
      </c>
      <c r="U30" s="70" t="n"/>
      <c r="V30" s="66" t="n">
        <v>6.78</v>
      </c>
      <c r="W30" s="62" t="n"/>
      <c r="X30" s="62" t="n"/>
      <c r="Y30" s="66" t="n">
        <v>6.6</v>
      </c>
      <c r="Z30" s="62" t="inlineStr">
        <is>
          <t>full</t>
        </is>
      </c>
      <c r="AA30" s="71" t="n">
        <v>-0.99</v>
      </c>
      <c r="AB30" s="72" t="n">
        <v>-2.23</v>
      </c>
      <c r="AC30" s="72" t="n">
        <v>1.27</v>
      </c>
      <c r="AD30" s="72" t="n">
        <v>5.82</v>
      </c>
      <c r="AE30" s="72" t="n">
        <v>10.27</v>
      </c>
      <c r="AF30" s="72" t="n">
        <v>15.72</v>
      </c>
      <c r="AG30" s="72" t="n">
        <v>6.88</v>
      </c>
      <c r="AH30" s="72" t="n">
        <v>11.37</v>
      </c>
      <c r="AI30" s="72" t="n">
        <v>16.88</v>
      </c>
      <c r="AJ30" s="72" t="n">
        <v>1.79</v>
      </c>
      <c r="AK30" s="72" t="n">
        <v>7.85</v>
      </c>
      <c r="AL30" s="72" t="n">
        <v>18.57</v>
      </c>
      <c r="AM30" s="72" t="n">
        <v>6.87</v>
      </c>
      <c r="AN30" s="72" t="n">
        <v>2.42</v>
      </c>
      <c r="AO30" s="72" t="n">
        <v>4.5</v>
      </c>
      <c r="AP30" s="62" t="inlineStr">
        <is>
          <t>HSTECH (Hang Seng TECH ETF)</t>
        </is>
      </c>
      <c r="AQ30" s="72" t="n">
        <v>-83.48999999999999</v>
      </c>
      <c r="AR30" s="63" t="inlineStr">
        <is>
          <t>2026-08-21</t>
        </is>
      </c>
      <c r="AS30" s="64" t="n">
        <v>13198.9</v>
      </c>
      <c r="AT30" s="67" t="n">
        <v>-3359.4</v>
      </c>
      <c r="AU30" s="62" t="inlineStr">
        <is>
          <t>N</t>
        </is>
      </c>
      <c r="AV30" s="62" t="inlineStr">
        <is>
          <t>n/m</t>
        </is>
      </c>
      <c r="AW30" s="73" t="n"/>
      <c r="AX30" s="73" t="n"/>
      <c r="AY30" s="73" t="n">
        <v>22.6</v>
      </c>
      <c r="AZ30" s="74" t="inlineStr">
        <is>
          <t>N</t>
        </is>
      </c>
      <c r="BA30" s="75">
        <f>IF('BBG Verify'!K30="","not filed — run on terminal",'BBG Verify'!K30)</f>
        <v/>
      </c>
      <c r="BB30" s="62" t="inlineStr">
        <is>
          <t>N/A</t>
        </is>
      </c>
      <c r="BC30" s="62" t="inlineStr">
        <is>
          <t>N/A</t>
        </is>
      </c>
      <c r="BD30" s="62" t="inlineStr">
        <is>
          <t>N/A</t>
        </is>
      </c>
      <c r="BE30" s="62" t="inlineStr">
        <is>
          <t>N/A</t>
        </is>
      </c>
      <c r="BF30" s="62" t="inlineStr">
        <is>
          <t>N/A</t>
        </is>
      </c>
      <c r="BG30" s="74" t="inlineStr">
        <is>
          <t>Morgan Stanley Asia Limited; Goldman Sachs (Asia) L.L.C; J.P. Morgan Securities (Far East) Limited; UBS Securities Hong Kong Limited</t>
        </is>
      </c>
      <c r="BH30" s="62" t="inlineStr">
        <is>
          <t>Morgan Stanley Asia Limited; J.P. Morgan Securities (Far East) Limited; UBS Securities Hong Kong Limited; Goldman Sachs (Asia) L.L.C.</t>
        </is>
      </c>
      <c r="BI30" s="62" t="inlineStr">
        <is>
          <t>Morgan Stanley Asia Limited; Goldman Sachs (Asia) L.L.C; J.P. Morgan Securities (Asia Pacific) Limited; UBS AG Hong Kong Branch; Morgan Stanley &amp; Co. International plc; London, E14 4QA United Kingdom Goldman Sachs (Asia) L.L.C; J.P. Morgan Securities plc; Canary Wharf London E14 5JP United Kingdom J.P. Morgan Securities LLC; UBS Securities LLC; Central, Hong Kong Merrill Lynch (Asia Pacific) Limited</t>
        </is>
      </c>
      <c r="BJ30" s="62" t="inlineStr">
        <is>
          <t>CCB International Capital Limited; China International Capital Corporation Hong Kong Securities Limited; CLSA Limited; CMB International Capital Limited; Credit Suisse (Hong Kong) Limited; Futu Securities International (Hong Kong) Limited; Guotai Junan Securities (Hong Kong) Limited; Goldman Sachs (Asia) L.L.C.; Haitong International Securities Company Limited; J.P. Morgan Securities (Asia Pacific) Limited; Merrill Lynch (Asia Pacific) Limited; Morgan Stanley Asia Limited</t>
        </is>
      </c>
      <c r="BK30" s="76">
        <f>HYPERLINK("https://www1.hkexnews.hk/listedco/listconews/sehk/2021/0318/2021031800173.pdf","prospectus")</f>
        <v/>
      </c>
      <c r="BL30" s="76">
        <f>HYPERLINK("https://www1.hkexnews.hk/listedco/listconews/sehk/2021/0326/2021032600074.htm","allotment")</f>
        <v/>
      </c>
      <c r="BM30" s="76">
        <f>HYPERLINK("https://www1.hkexnews.hk/listedco/listconews/sehk/2021/0422/2021042202002.pdf","stabilisation")</f>
        <v/>
      </c>
      <c r="BN30" s="74" t="n"/>
      <c r="BO30" s="62" t="inlineStr">
        <is>
          <t>P/E: n/m — loss-making at IPO (use P/S) · range low: cap-only pricing — the filing publishes a Maximum Offer Price and no indicative floor · A/H: no A-share listing · cornerstone list: no cornerstone tranche in this deal · cornerstone %: no cornerstone tranche in this deal</t>
        </is>
      </c>
    </row>
    <row r="31" ht="15" customHeight="1">
      <c r="A31" s="61" t="inlineStr">
        <is>
          <t>6939</t>
        </is>
      </c>
      <c r="B31" s="62" t="inlineStr">
        <is>
          <t>MEGAIN</t>
        </is>
      </c>
      <c r="C31" s="62" t="inlineStr">
        <is>
          <t>美佳音控股</t>
        </is>
      </c>
      <c r="D31" s="62" t="inlineStr">
        <is>
          <t>Tech/AI</t>
        </is>
      </c>
      <c r="E31" s="62" t="inlineStr">
        <is>
          <t>AI chips &amp; semis</t>
        </is>
      </c>
      <c r="F31" s="62" t="inlineStr">
        <is>
          <t>Electrical Components &amp; Equipment</t>
        </is>
      </c>
      <c r="G31" s="62" t="inlineStr">
        <is>
          <t>Standard</t>
        </is>
      </c>
      <c r="H31" s="63" t="n">
        <v>44286</v>
      </c>
      <c r="I31" s="64" t="n">
        <v>157.5</v>
      </c>
      <c r="J31" s="62" t="inlineStr">
        <is>
          <t>gross (price x shares)</t>
        </is>
      </c>
      <c r="K31" s="65" t="n"/>
      <c r="L31" s="65" t="n">
        <v>1.26</v>
      </c>
      <c r="M31" s="65" t="n">
        <v>1.26</v>
      </c>
      <c r="N31" s="62" t="inlineStr">
        <is>
          <t>Y</t>
        </is>
      </c>
      <c r="O31" s="66" t="n">
        <v>100</v>
      </c>
      <c r="P31" s="66" t="n"/>
      <c r="Q31" s="67" t="n">
        <v>648.5</v>
      </c>
      <c r="R31" s="62" t="inlineStr">
        <is>
          <t>aastocks:上市市值 at the struck price</t>
        </is>
      </c>
      <c r="S31" s="68" t="n">
        <v>22.43</v>
      </c>
      <c r="T31" s="69" t="n">
        <v>1.71</v>
      </c>
      <c r="U31" s="70" t="n">
        <v>0</v>
      </c>
      <c r="V31" s="66" t="n">
        <v>24.29</v>
      </c>
      <c r="W31" s="62" t="n"/>
      <c r="X31" s="62" t="n"/>
      <c r="Y31" s="66" t="n">
        <v>16.63</v>
      </c>
      <c r="Z31" s="62" t="inlineStr">
        <is>
          <t>full</t>
        </is>
      </c>
      <c r="AA31" s="71" t="n">
        <v>6.35</v>
      </c>
      <c r="AB31" s="72" t="n">
        <v>10.32</v>
      </c>
      <c r="AC31" s="72" t="n">
        <v>-3.6</v>
      </c>
      <c r="AD31" s="72" t="n">
        <v>12.7</v>
      </c>
      <c r="AE31" s="72" t="n">
        <v>15.08</v>
      </c>
      <c r="AF31" s="72" t="n">
        <v>44.44</v>
      </c>
      <c r="AG31" s="72" t="n">
        <v>5.97</v>
      </c>
      <c r="AH31" s="72" t="n">
        <v>8.210000000000001</v>
      </c>
      <c r="AI31" s="72" t="n">
        <v>35.82</v>
      </c>
      <c r="AJ31" s="72" t="n">
        <v>12.64</v>
      </c>
      <c r="AK31" s="72" t="n">
        <v>13.91</v>
      </c>
      <c r="AL31" s="72" t="n">
        <v>50.84</v>
      </c>
      <c r="AM31" s="72" t="n">
        <v>7.04</v>
      </c>
      <c r="AN31" s="72" t="n">
        <v>1.17</v>
      </c>
      <c r="AO31" s="72" t="n">
        <v>1.17</v>
      </c>
      <c r="AP31" s="62" t="inlineStr">
        <is>
          <t>HSTECH (Hang Seng TECH ETF)</t>
        </is>
      </c>
      <c r="AQ31" s="72" t="n">
        <v>-15.48</v>
      </c>
      <c r="AR31" s="63" t="inlineStr">
        <is>
          <t>2026-08-20</t>
        </is>
      </c>
      <c r="AS31" s="64" t="n">
        <v>173.8</v>
      </c>
      <c r="AT31" s="67" t="n">
        <v>45.4</v>
      </c>
      <c r="AU31" s="62" t="inlineStr">
        <is>
          <t>Y</t>
        </is>
      </c>
      <c r="AV31" s="73" t="n">
        <v>14.3</v>
      </c>
      <c r="AW31" s="73" t="n"/>
      <c r="AX31" s="73" t="n"/>
      <c r="AY31" s="73" t="n">
        <v>3.7</v>
      </c>
      <c r="AZ31" s="74" t="inlineStr">
        <is>
          <t>N</t>
        </is>
      </c>
      <c r="BA31" s="75">
        <f>IF('BBG Verify'!K31="","not filed — run on terminal",'BBG Verify'!K31)</f>
        <v/>
      </c>
      <c r="BB31" s="62" t="inlineStr">
        <is>
          <t>N/A</t>
        </is>
      </c>
      <c r="BC31" s="62" t="inlineStr">
        <is>
          <t>N/A</t>
        </is>
      </c>
      <c r="BD31" s="62" t="inlineStr">
        <is>
          <t>N/A</t>
        </is>
      </c>
      <c r="BE31" s="62" t="inlineStr">
        <is>
          <t>N/A</t>
        </is>
      </c>
      <c r="BF31" s="62" t="inlineStr">
        <is>
          <t>N/A</t>
        </is>
      </c>
      <c r="BG31" s="74" t="inlineStr">
        <is>
          <t>CMBC International Capital Limited</t>
        </is>
      </c>
      <c r="BH31" s="62" t="inlineStr">
        <is>
          <t>CMBC International Capital Limited</t>
        </is>
      </c>
      <c r="BI31" s="62" t="inlineStr">
        <is>
          <t>CMBC Securities Company Limited; Yuan Tong Global Securities Limited; CCB International Capital Limited; Central, Hong Kong Haitong International Securities Company Limited; BOCOM International Securities Limited; Dongxing Securities (Hong Kong) Company Limited; Vision Finance International Company Limited</t>
        </is>
      </c>
      <c r="BJ31" s="62" t="inlineStr">
        <is>
          <t>Beta International Securities Limited; CCB International Capital Limited; CMBC Securities Company Limited; China Sky Securities Limited; Dongxing Securities (Hong Kong) Company Limited; Ever-Long Securities Company Limited; Fulbright Securities Limited; Glory Sun Securities Limited; Grand View Securities Limited; Haitong International Securities Company Limited; Lego Securities Limited; Livermore Holdings Limited</t>
        </is>
      </c>
      <c r="BK31" s="76">
        <f>HYPERLINK("https://www1.hkexnews.hk/listedco/listconews/sehk/2021/0318/2021031800013.pdf","prospectus")</f>
        <v/>
      </c>
      <c r="BL31" s="76">
        <f>HYPERLINK("https://www1.hkexnews.hk/listedco/listconews/sehk/2021/0330/2021033000148.htm","allotment")</f>
        <v/>
      </c>
      <c r="BM31" s="76">
        <f>HYPERLINK("https://www1.hkexnews.hk/listedco/listconews/sehk/2021/0422/2021042201830.pdf","stabilisation")</f>
        <v/>
      </c>
      <c r="BN31" s="74" t="n"/>
      <c r="BO31" s="62" t="inlineStr">
        <is>
          <t>price range: fixed-price offering (no indicative range) · 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t>
        </is>
      </c>
    </row>
    <row r="32" ht="15" customHeight="1">
      <c r="A32" s="61" t="inlineStr">
        <is>
          <t>6608</t>
        </is>
      </c>
      <c r="B32" s="62" t="inlineStr">
        <is>
          <t>BAIRONG-W</t>
        </is>
      </c>
      <c r="C32" s="62" t="inlineStr">
        <is>
          <t>百融智能－Ｗ</t>
        </is>
      </c>
      <c r="D32" s="62" t="inlineStr">
        <is>
          <t>Tech/AI</t>
        </is>
      </c>
      <c r="E32" s="62" t="inlineStr">
        <is>
          <t>Fintech platform</t>
        </is>
      </c>
      <c r="F32" s="62" t="inlineStr">
        <is>
          <t>Systems Software</t>
        </is>
      </c>
      <c r="G32" s="62" t="inlineStr">
        <is>
          <t>WVR</t>
        </is>
      </c>
      <c r="H32" s="63" t="n">
        <v>44286</v>
      </c>
      <c r="I32" s="64" t="n">
        <v>3937.6</v>
      </c>
      <c r="J32" s="62" t="inlineStr">
        <is>
          <t>gross (price x shares)</t>
        </is>
      </c>
      <c r="K32" s="65" t="n"/>
      <c r="L32" s="65" t="n">
        <v>31.8</v>
      </c>
      <c r="M32" s="65" t="n">
        <v>31.8</v>
      </c>
      <c r="N32" s="62" t="inlineStr">
        <is>
          <t>Y</t>
        </is>
      </c>
      <c r="O32" s="66" t="n">
        <v>100</v>
      </c>
      <c r="P32" s="66" t="n"/>
      <c r="Q32" s="67" t="n">
        <v>15750.2</v>
      </c>
      <c r="R32" s="62" t="inlineStr">
        <is>
          <t>aastocks:上市市值 at the struck price</t>
        </is>
      </c>
      <c r="S32" s="68" t="n">
        <v>150.67</v>
      </c>
      <c r="T32" s="69" t="n">
        <v>36.3</v>
      </c>
      <c r="U32" s="70" t="n">
        <v>47.3</v>
      </c>
      <c r="V32" s="66" t="n">
        <v>13.18</v>
      </c>
      <c r="W32" s="62" t="inlineStr">
        <is>
          <t>Cederberg Capital Limited; China Structural Reform Fund Corporation Limited; Franchise Fund LP</t>
        </is>
      </c>
      <c r="X32" s="62" t="inlineStr">
        <is>
          <t>cederberg;structural;franchise</t>
        </is>
      </c>
      <c r="Y32" s="66" t="n">
        <v>5.19</v>
      </c>
      <c r="Z32" s="62" t="inlineStr">
        <is>
          <t>lapsed</t>
        </is>
      </c>
      <c r="AA32" s="71" t="n">
        <v>-16.04</v>
      </c>
      <c r="AB32" s="72" t="n">
        <v>-7.39</v>
      </c>
      <c r="AC32" s="72" t="n">
        <v>-9.34</v>
      </c>
      <c r="AD32" s="72" t="n">
        <v>-23.11</v>
      </c>
      <c r="AE32" s="72" t="n">
        <v>-35.06</v>
      </c>
      <c r="AF32" s="72" t="n">
        <v>-40.57</v>
      </c>
      <c r="AG32" s="72" t="n">
        <v>-8.42</v>
      </c>
      <c r="AH32" s="72" t="n">
        <v>-22.65</v>
      </c>
      <c r="AI32" s="72" t="n">
        <v>-29.22</v>
      </c>
      <c r="AJ32" s="72" t="n">
        <v>-23.17</v>
      </c>
      <c r="AK32" s="72" t="n">
        <v>-36.23</v>
      </c>
      <c r="AL32" s="72" t="n">
        <v>-34.17</v>
      </c>
      <c r="AM32" s="72" t="n">
        <v>-23.82</v>
      </c>
      <c r="AN32" s="72" t="n">
        <v>1.17</v>
      </c>
      <c r="AO32" s="72" t="n">
        <v>1.17</v>
      </c>
      <c r="AP32" s="62" t="inlineStr">
        <is>
          <t>HSTECH (Hang Seng TECH ETF)</t>
        </is>
      </c>
      <c r="AQ32" s="72" t="n">
        <v>-82.12</v>
      </c>
      <c r="AR32" s="63" t="inlineStr">
        <is>
          <t>2026-08-20</t>
        </is>
      </c>
      <c r="AS32" s="64" t="n">
        <v>447</v>
      </c>
      <c r="AT32" s="67" t="n">
        <v>-103.6</v>
      </c>
      <c r="AU32" s="62" t="inlineStr">
        <is>
          <t>N</t>
        </is>
      </c>
      <c r="AV32" s="62" t="inlineStr">
        <is>
          <t>n/m</t>
        </is>
      </c>
      <c r="AW32" s="73" t="n"/>
      <c r="AX32" s="73" t="n">
        <v>32.3</v>
      </c>
      <c r="AY32" s="73" t="n">
        <v>35.2</v>
      </c>
      <c r="AZ32" s="74" t="inlineStr">
        <is>
          <t>N</t>
        </is>
      </c>
      <c r="BA32" s="75">
        <f>IF('BBG Verify'!K32="","not filed — run on terminal",'BBG Verify'!K32)</f>
        <v/>
      </c>
      <c r="BB32" s="62" t="inlineStr">
        <is>
          <t>N/A</t>
        </is>
      </c>
      <c r="BC32" s="62" t="inlineStr">
        <is>
          <t>N/A</t>
        </is>
      </c>
      <c r="BD32" s="62" t="inlineStr">
        <is>
          <t>N/A</t>
        </is>
      </c>
      <c r="BE32" s="62" t="inlineStr">
        <is>
          <t>N/A</t>
        </is>
      </c>
      <c r="BF32" s="62" t="inlineStr">
        <is>
          <t>N/A</t>
        </is>
      </c>
      <c r="BG32" s="74" t="inlineStr">
        <is>
          <t>Morgan Stanley Asia Limited; China International Capital Corporation Hong Kong Securities Limited; CMBC International Capital Limited</t>
        </is>
      </c>
      <c r="BH32" s="62" t="inlineStr">
        <is>
          <t>China International Capital Corporation Hong Kong Securities Limited; Morgan Stanley Asia Limited; CMBC International Capital Limited</t>
        </is>
      </c>
      <c r="BI32" s="62" t="inlineStr">
        <is>
          <t>Morgan Stanley Asia Limited; China International Capital Corporation Hong Kong Securities Limited; CMBC Securities Company Limited; ICBC International Capital Limited; Haitong International Securities Company Limited; CMB INTERNATIONAL CAPITAL LIMITED; Daiwa Capital Markets Hong Kong Limited; Futu Securities International (Hong Kong) Limited</t>
        </is>
      </c>
      <c r="BJ32" s="62" t="inlineStr">
        <is>
          <t>China International Capital Corporation Hong Kong Securities Limited; CMBC Securities Company Limited; CMB International Capital Corporation Limited; Daiwa Capital Markets Hong Kong Limited; Futu Securities International (Hong Kong) Limited; Haitong International Securities Company Limited; ICBC International Securities Limited; Morgan Stanley Asia Limited; SBI China Capital Financial Services Limited</t>
        </is>
      </c>
      <c r="BK32" s="76">
        <f>HYPERLINK("https://www1.hkexnews.hk/listedco/listconews/sehk/2021/0319/2021031900021.pdf","prospectus")</f>
        <v/>
      </c>
      <c r="BL32" s="76">
        <f>HYPERLINK("https://www1.hkexnews.hk/listedco/listconews/sehk/2021/0330/2021033000204.htm","allotment")</f>
        <v/>
      </c>
      <c r="BM32" s="76">
        <f>HYPERLINK("https://www1.hkexnews.hk/listedco/listconews/sehk/2021/0423/2021042302099.pdf","stabilisation")</f>
        <v/>
      </c>
      <c r="BN32" s="74" t="n"/>
      <c r="BO32" s="62" t="inlineStr">
        <is>
          <t>P/E: n/m — loss-making at IPO (use P/S) · range low: cap-only pricing — the filing publishes a Maximum Offer Price and no indicative floor · A/H: no A-share listing · market cap: estimate from stated market capitalisation disagreed with the published listing cap — published figure adopted</t>
        </is>
      </c>
    </row>
    <row r="33" ht="15" customHeight="1">
      <c r="A33" s="61" t="inlineStr">
        <is>
          <t>2195</t>
        </is>
      </c>
      <c r="B33" s="62" t="inlineStr">
        <is>
          <t>UNITY ENT</t>
        </is>
      </c>
      <c r="C33" s="62" t="inlineStr">
        <is>
          <t>盈滙企業控股</t>
        </is>
      </c>
      <c r="D33" s="62" t="inlineStr">
        <is>
          <t>Industrials</t>
        </is>
      </c>
      <c r="E33" s="62" t="inlineStr">
        <is>
          <t>Construction / engineering</t>
        </is>
      </c>
      <c r="F33" s="62" t="inlineStr">
        <is>
          <t>Building Construction</t>
        </is>
      </c>
      <c r="G33" s="62" t="inlineStr">
        <is>
          <t>Standard</t>
        </is>
      </c>
      <c r="H33" s="63" t="n">
        <v>44286</v>
      </c>
      <c r="I33" s="64" t="n">
        <v>140</v>
      </c>
      <c r="J33" s="62" t="inlineStr">
        <is>
          <t>gross (price x shares)</t>
        </is>
      </c>
      <c r="K33" s="65" t="n">
        <v>0.5</v>
      </c>
      <c r="L33" s="65" t="n">
        <v>0.5600000000000001</v>
      </c>
      <c r="M33" s="65" t="n">
        <v>0.5600000000000001</v>
      </c>
      <c r="N33" s="62" t="inlineStr">
        <is>
          <t>Y</t>
        </is>
      </c>
      <c r="O33" s="66" t="n">
        <v>100</v>
      </c>
      <c r="P33" s="66" t="n">
        <v>100</v>
      </c>
      <c r="Q33" s="67" t="n">
        <v>560</v>
      </c>
      <c r="R33" s="62" t="inlineStr">
        <is>
          <t>aastocks:上市市值 at the struck price</t>
        </is>
      </c>
      <c r="S33" s="68" t="n">
        <v>21.65</v>
      </c>
      <c r="T33" s="69" t="n">
        <v>1.08</v>
      </c>
      <c r="U33" s="70" t="n">
        <v>0</v>
      </c>
      <c r="V33" s="66" t="n">
        <v>25</v>
      </c>
      <c r="W33" s="62" t="n"/>
      <c r="X33" s="62" t="n"/>
      <c r="Y33" s="66" t="n">
        <v>15</v>
      </c>
      <c r="Z33" s="62" t="n"/>
      <c r="AA33" s="71" t="n">
        <v>-41.07</v>
      </c>
      <c r="AB33" s="72" t="n">
        <v>-28.57</v>
      </c>
      <c r="AC33" s="72" t="n">
        <v>-17.5</v>
      </c>
      <c r="AD33" s="72" t="n">
        <v>-46.43</v>
      </c>
      <c r="AE33" s="72" t="n">
        <v>-17.86</v>
      </c>
      <c r="AF33" s="72" t="n">
        <v>-24.11</v>
      </c>
      <c r="AG33" s="72" t="n">
        <v>-9.1</v>
      </c>
      <c r="AH33" s="72" t="n">
        <v>39.39</v>
      </c>
      <c r="AI33" s="72" t="n">
        <v>28.78</v>
      </c>
      <c r="AJ33" s="72" t="n">
        <v>-46.9</v>
      </c>
      <c r="AK33" s="72" t="n">
        <v>-19.52</v>
      </c>
      <c r="AL33" s="72" t="n">
        <v>-25.43</v>
      </c>
      <c r="AM33" s="72" t="n">
        <v>37.5</v>
      </c>
      <c r="AN33" s="72" t="n">
        <v>1.66</v>
      </c>
      <c r="AO33" s="72" t="n">
        <v>1.89</v>
      </c>
      <c r="AP33" s="62" t="inlineStr">
        <is>
          <t>Hang Seng Commerce &amp; Industry sub-index</t>
        </is>
      </c>
      <c r="AQ33" s="72" t="n">
        <v>-95</v>
      </c>
      <c r="AR33" s="63" t="inlineStr">
        <is>
          <t>2026-08-24</t>
        </is>
      </c>
      <c r="AS33" s="64" t="n">
        <v>302</v>
      </c>
      <c r="AT33" s="67" t="n">
        <v>43.2</v>
      </c>
      <c r="AU33" s="62" t="inlineStr">
        <is>
          <t>Y</t>
        </is>
      </c>
      <c r="AV33" s="73" t="n">
        <v>13</v>
      </c>
      <c r="AW33" s="73" t="n">
        <v>6.6</v>
      </c>
      <c r="AX33" s="73" t="n"/>
      <c r="AY33" s="73" t="n">
        <v>1.9</v>
      </c>
      <c r="AZ33" s="74" t="inlineStr">
        <is>
          <t>N</t>
        </is>
      </c>
      <c r="BA33" s="75">
        <f>IF('BBG Verify'!K33="","not filed — run on terminal",'BBG Verify'!K33)</f>
        <v/>
      </c>
      <c r="BB33" s="62" t="inlineStr">
        <is>
          <t>N/A</t>
        </is>
      </c>
      <c r="BC33" s="62" t="inlineStr">
        <is>
          <t>N/A</t>
        </is>
      </c>
      <c r="BD33" s="62" t="inlineStr">
        <is>
          <t>N/A</t>
        </is>
      </c>
      <c r="BE33" s="62" t="inlineStr">
        <is>
          <t>N/A</t>
        </is>
      </c>
      <c r="BF33" s="62" t="inlineStr">
        <is>
          <t>N/A</t>
        </is>
      </c>
      <c r="BG33" s="74" t="n"/>
      <c r="BH33" s="62" t="inlineStr">
        <is>
          <t>Grande Capital Limited</t>
        </is>
      </c>
      <c r="BI33" s="62" t="inlineStr">
        <is>
          <t>Zhong J ia Securities Limited; MTF Securities Limited</t>
        </is>
      </c>
      <c r="BJ33" s="62" t="inlineStr">
        <is>
          <t>ChaoShang Securities Limited; Get Nice Securities Limited; Head &amp; Shoulders Securities Limited; MTF Securities Limited; Sinomax Securities Limited; Vinco Capital Limited; Zhong Jia Securities Limited</t>
        </is>
      </c>
      <c r="BK33" s="76">
        <f>HYPERLINK("https://www1.hkexnews.hk/listedco/listconews/sehk/2021/0319/2021031900036.htm","prospectus")</f>
        <v/>
      </c>
      <c r="BL33" s="76">
        <f>HYPERLINK("https://www1.hkexnews.hk/listedco/listconews/sehk/2021/0330/2021033000230.htm","allotment")</f>
        <v/>
      </c>
      <c r="BM33" s="62" t="n"/>
      <c r="BN33" s="74" t="n"/>
      <c r="BO33" s="62" t="inlineStr">
        <is>
          <t>greenshoe: end-of-stabilisation notice not located · A/H: no A-share listing · sponsor: English name not in the filing text; AAStocks 保薦人 shown · market cap: estimate from deal size / offer % of enlarged capital disagreed with the published listing cap — published figure adopted · cornerstone list: no cornerstone tranche in this deal</t>
        </is>
      </c>
    </row>
    <row r="34" ht="15" customHeight="1">
      <c r="A34" s="61" t="inlineStr">
        <is>
          <t>9959</t>
        </is>
      </c>
      <c r="B34" s="62" t="inlineStr">
        <is>
          <t>LINKLOGIS–W</t>
        </is>
      </c>
      <c r="C34" s="62" t="inlineStr">
        <is>
          <t>聯易融科技－Ｗ</t>
        </is>
      </c>
      <c r="D34" s="62" t="inlineStr">
        <is>
          <t>Tech/AI</t>
        </is>
      </c>
      <c r="E34" s="62" t="inlineStr">
        <is>
          <t>Fintech platform</t>
        </is>
      </c>
      <c r="F34" s="62" t="inlineStr">
        <is>
          <t>IT Consulting &amp; Other Services</t>
        </is>
      </c>
      <c r="G34" s="62" t="inlineStr">
        <is>
          <t>WVR</t>
        </is>
      </c>
      <c r="H34" s="63" t="n">
        <v>44295</v>
      </c>
      <c r="I34" s="64" t="n">
        <v>7961.6</v>
      </c>
      <c r="J34" s="62" t="inlineStr">
        <is>
          <t>gross (price x shares)</t>
        </is>
      </c>
      <c r="K34" s="65" t="n">
        <v>16.28</v>
      </c>
      <c r="L34" s="65" t="n">
        <v>18.28</v>
      </c>
      <c r="M34" s="65" t="n">
        <v>17.58</v>
      </c>
      <c r="N34" s="62" t="inlineStr">
        <is>
          <t>N</t>
        </is>
      </c>
      <c r="O34" s="66" t="n">
        <v>96.2</v>
      </c>
      <c r="P34" s="66" t="n">
        <v>65</v>
      </c>
      <c r="Q34" s="67" t="n">
        <v>36864</v>
      </c>
      <c r="R34" s="62" t="inlineStr">
        <is>
          <t>prospectus:stated market capitalisation</t>
        </is>
      </c>
      <c r="S34" s="68" t="n">
        <v>98.45999999999999</v>
      </c>
      <c r="T34" s="69" t="n">
        <v>14.83</v>
      </c>
      <c r="U34" s="70" t="n">
        <v>35.6</v>
      </c>
      <c r="V34" s="66" t="n">
        <v>13.91</v>
      </c>
      <c r="W34" s="62" t="inlineStr">
        <is>
          <t>BlackRock Funds; EDB Investments Pte Ltd; Fidelity International; Janus Henderson Funds; Ontario Teachers Pension Plan Board; Sequoia Funds</t>
        </is>
      </c>
      <c r="X34" s="62" t="inlineStr">
        <is>
          <t>blackrock;edb;fidelity;janus;ontario;sequoia</t>
        </is>
      </c>
      <c r="Y34" s="66" t="n">
        <v>15</v>
      </c>
      <c r="Z34" s="62" t="inlineStr">
        <is>
          <t>full</t>
        </is>
      </c>
      <c r="AA34" s="71" t="n">
        <v>9.9</v>
      </c>
      <c r="AB34" s="72" t="n">
        <v>9.9</v>
      </c>
      <c r="AC34" s="72" t="n">
        <v>0</v>
      </c>
      <c r="AD34" s="72" t="n">
        <v>25.43</v>
      </c>
      <c r="AE34" s="72" t="n">
        <v>25.14</v>
      </c>
      <c r="AF34" s="72" t="n">
        <v>-17.41</v>
      </c>
      <c r="AG34" s="72" t="n">
        <v>14.13</v>
      </c>
      <c r="AH34" s="72" t="n">
        <v>13.87</v>
      </c>
      <c r="AI34" s="72" t="n">
        <v>-24.85</v>
      </c>
      <c r="AJ34" s="72" t="n">
        <v>28.11</v>
      </c>
      <c r="AK34" s="72" t="n">
        <v>31.82</v>
      </c>
      <c r="AL34" s="72" t="n">
        <v>-6.26</v>
      </c>
      <c r="AM34" s="72" t="n">
        <v>18.91</v>
      </c>
      <c r="AN34" s="72" t="n">
        <v>-6.68</v>
      </c>
      <c r="AO34" s="72" t="n">
        <v>-5.04</v>
      </c>
      <c r="AP34" s="62" t="inlineStr">
        <is>
          <t>HSTECH (Hang Seng TECH ETF)</t>
        </is>
      </c>
      <c r="AQ34" s="72" t="n">
        <v>-87.14</v>
      </c>
      <c r="AR34" s="63" t="inlineStr">
        <is>
          <t>2026-08-20</t>
        </is>
      </c>
      <c r="AS34" s="64" t="n">
        <v>167.9</v>
      </c>
      <c r="AT34" s="67" t="n">
        <v>-787</v>
      </c>
      <c r="AU34" s="62" t="inlineStr">
        <is>
          <t>N</t>
        </is>
      </c>
      <c r="AV34" s="62" t="inlineStr">
        <is>
          <t>n/m</t>
        </is>
      </c>
      <c r="AW34" s="73" t="n"/>
      <c r="AX34" s="73" t="n"/>
      <c r="AY34" s="73" t="n">
        <v>219.6</v>
      </c>
      <c r="AZ34" s="74" t="inlineStr">
        <is>
          <t>N</t>
        </is>
      </c>
      <c r="BA34" s="75">
        <f>IF('BBG Verify'!K34="","not filed — run on terminal",'BBG Verify'!K34)</f>
        <v/>
      </c>
      <c r="BB34" s="62" t="inlineStr">
        <is>
          <t>N/A</t>
        </is>
      </c>
      <c r="BC34" s="62" t="inlineStr">
        <is>
          <t>N/A</t>
        </is>
      </c>
      <c r="BD34" s="62" t="inlineStr">
        <is>
          <t>N/A</t>
        </is>
      </c>
      <c r="BE34" s="62" t="inlineStr">
        <is>
          <t>N/A</t>
        </is>
      </c>
      <c r="BF34" s="62" t="inlineStr">
        <is>
          <t>N/A</t>
        </is>
      </c>
      <c r="BG34" s="74" t="inlineStr">
        <is>
          <t>Goldman Sachs (Asia) L.L.C; China International Capital Corporation Hong Kong Securities Limited</t>
        </is>
      </c>
      <c r="BH34" s="62" t="inlineStr">
        <is>
          <t>China International Capital Corporation Hong Kong Securities Limited; Goldman Sachs (Asia) L.L.C.</t>
        </is>
      </c>
      <c r="BI34" s="62" t="inlineStr">
        <is>
          <t>Goldman Sachs (Asia) L.L.C; China International Capital Corporation Hong Kong Securities Limited; Citigroup Global Markets Asia Limited; Kong) Limited; CLSA Limited</t>
        </is>
      </c>
      <c r="BJ34" s="62" t="inlineStr">
        <is>
          <t>CCB International Capital Limited; Citigroup Global Markets Asia Limited; China International Capital Corporation Hong Kong Securities Limited; CLSA Limited; China Merchants Securities (HK) Company Limited; China Renaissance Securities (Hong Kong) Limited; Futu Securities International (Hong Kong) Limited; Goldman Sachs (Asia) L.L.C.; Huajin Securities (International) Limited; Valuable Capital Limited</t>
        </is>
      </c>
      <c r="BK34" s="76">
        <f>HYPERLINK("https://www1.hkexnews.hk/listedco/listconews/sehk/2021/0326/2021032600037.pdf","prospectus")</f>
        <v/>
      </c>
      <c r="BL34" s="76">
        <f>HYPERLINK("https://www1.hkexnews.hk/listedco/listconews/sehk/2021/0408/2021040800096.htm","allotment")</f>
        <v/>
      </c>
      <c r="BM34" s="76">
        <f>HYPERLINK("https://www1.hkexnews.hk/listedco/listconews/sehk/2021/0430/2021043002237.pdf","stabilisation")</f>
        <v/>
      </c>
      <c r="BN34" s="74" t="n"/>
      <c r="BO34" s="62" t="inlineStr">
        <is>
          <t>P/E: n/m — loss-making at IPO (use P/S) · A/H: no A-share listing · cornerstone: AAStocks institutional table includes non-cornerstone orders (superset) — cornerstone % is from the prospectus</t>
        </is>
      </c>
    </row>
    <row r="35" ht="15" customHeight="1">
      <c r="A35" s="61" t="inlineStr">
        <is>
          <t>9961</t>
        </is>
      </c>
      <c r="B35" s="62" t="inlineStr">
        <is>
          <t>TRIP.COM-S</t>
        </is>
      </c>
      <c r="C35" s="62" t="inlineStr">
        <is>
          <t>攜程集團－Ｓ</t>
        </is>
      </c>
      <c r="D35" s="62" t="inlineStr">
        <is>
          <t>Tech/AI</t>
        </is>
      </c>
      <c r="E35" s="62" t="inlineStr">
        <is>
          <t>Internet platform / e-commerce</t>
        </is>
      </c>
      <c r="F35" s="62" t="inlineStr">
        <is>
          <t>Tourism</t>
        </is>
      </c>
      <c r="G35" s="62" t="inlineStr">
        <is>
          <t>Secondary</t>
        </is>
      </c>
      <c r="H35" s="63" t="n">
        <v>44305</v>
      </c>
      <c r="I35" s="64" t="n">
        <v>8478.299999999999</v>
      </c>
      <c r="J35" s="62" t="inlineStr">
        <is>
          <t>gross (price x shares)</t>
        </is>
      </c>
      <c r="K35" s="65" t="n"/>
      <c r="L35" s="65" t="n">
        <v>333</v>
      </c>
      <c r="M35" s="65" t="n">
        <v>268</v>
      </c>
      <c r="N35" s="62" t="inlineStr">
        <is>
          <t>N</t>
        </is>
      </c>
      <c r="O35" s="66" t="n">
        <v>80.5</v>
      </c>
      <c r="P35" s="66" t="n"/>
      <c r="Q35" s="67" t="n">
        <v>210692.8</v>
      </c>
      <c r="R35" s="62" t="inlineStr">
        <is>
          <t>prospectus:stated market capitalisation</t>
        </is>
      </c>
      <c r="S35" s="68" t="n">
        <v>17.78</v>
      </c>
      <c r="T35" s="69" t="n">
        <v>5.06</v>
      </c>
      <c r="U35" s="70" t="n"/>
      <c r="V35" s="66" t="n">
        <v>4.02</v>
      </c>
      <c r="W35" s="62" t="n"/>
      <c r="X35" s="62" t="n"/>
      <c r="Y35" s="66" t="n">
        <v>6.4</v>
      </c>
      <c r="Z35" s="62" t="inlineStr">
        <is>
          <t>full</t>
        </is>
      </c>
      <c r="AA35" s="71" t="n">
        <v>4.55</v>
      </c>
      <c r="AB35" s="72" t="n">
        <v>4.85</v>
      </c>
      <c r="AC35" s="72" t="n">
        <v>-0.29</v>
      </c>
      <c r="AD35" s="72" t="n">
        <v>11.49</v>
      </c>
      <c r="AE35" s="72" t="n">
        <v>13.73</v>
      </c>
      <c r="AF35" s="72" t="n">
        <v>-16.04</v>
      </c>
      <c r="AG35" s="72" t="n">
        <v>6.64</v>
      </c>
      <c r="AH35" s="72" t="n">
        <v>8.779999999999999</v>
      </c>
      <c r="AI35" s="72" t="n">
        <v>-19.69</v>
      </c>
      <c r="AJ35" s="72" t="n">
        <v>8.550000000000001</v>
      </c>
      <c r="AK35" s="72" t="n">
        <v>18.69</v>
      </c>
      <c r="AL35" s="72" t="n">
        <v>-5.26</v>
      </c>
      <c r="AM35" s="72" t="n">
        <v>15.01</v>
      </c>
      <c r="AN35" s="72" t="n">
        <v>-4.96</v>
      </c>
      <c r="AO35" s="72" t="n">
        <v>-6.23</v>
      </c>
      <c r="AP35" s="62" t="inlineStr">
        <is>
          <t>HSTECH (Hang Seng TECH ETF)</t>
        </is>
      </c>
      <c r="AQ35" s="72" t="n">
        <v>35.45</v>
      </c>
      <c r="AR35" s="63" t="inlineStr">
        <is>
          <t>2026-08-21</t>
        </is>
      </c>
      <c r="AS35" s="64" t="n">
        <v>20147.6</v>
      </c>
      <c r="AT35" s="67" t="n">
        <v>-3571.7</v>
      </c>
      <c r="AU35" s="62" t="inlineStr">
        <is>
          <t>N</t>
        </is>
      </c>
      <c r="AV35" s="62" t="inlineStr">
        <is>
          <t>n/m</t>
        </is>
      </c>
      <c r="AW35" s="73" t="n"/>
      <c r="AX35" s="73" t="n">
        <v>7.3</v>
      </c>
      <c r="AY35" s="73" t="n">
        <v>10.5</v>
      </c>
      <c r="AZ35" s="74" t="inlineStr">
        <is>
          <t>N</t>
        </is>
      </c>
      <c r="BA35" s="75">
        <f>IF('BBG Verify'!K35="","not filed — run on terminal",'BBG Verify'!K35)</f>
        <v/>
      </c>
      <c r="BB35" s="62" t="inlineStr">
        <is>
          <t>N/A</t>
        </is>
      </c>
      <c r="BC35" s="62" t="inlineStr">
        <is>
          <t>N/A</t>
        </is>
      </c>
      <c r="BD35" s="62" t="inlineStr">
        <is>
          <t>N/A</t>
        </is>
      </c>
      <c r="BE35" s="62" t="inlineStr">
        <is>
          <t>N/A</t>
        </is>
      </c>
      <c r="BF35" s="62" t="inlineStr">
        <is>
          <t>N/A</t>
        </is>
      </c>
      <c r="BG35" s="74" t="inlineStr">
        <is>
          <t>J.P. Morgan Securities (Far East) Limited; China International Capital Corporation Hong Kong Securities Limited; Goldman Sachs (Asia) L.L.C; J.P. Morgan Securities (Asia Pacific) Limited; The Hongkong and Shanghai Banking Corporation Limited; CMB International Capital Limited</t>
        </is>
      </c>
      <c r="BH35" s="62" t="inlineStr">
        <is>
          <t>China International Capital Corporation Hong Kong Securities Limited; J.P. Morgan Securities (Far East) Limited; Goldman Sachs (Asia) L.L.C.</t>
        </is>
      </c>
      <c r="BI35" s="62" t="inlineStr">
        <is>
          <t>ICBC International Securities Limited; ABCI Securities Company Limited</t>
        </is>
      </c>
      <c r="BJ35" s="62" t="inlineStr">
        <is>
          <t>ABCI Securities Company Limited; BOCI Asia Limited; CCB International Capital Limited; China International Capital Corporation Hong Kong Securities Limited; CMB International Capital Corporation Limited; DBS Asia Capital Limited; Goldman Sachs (Asia) L.L.C.; Haitong International Securities Company Limited; The Hongkong and Shanghai Banking Corporation Limited; ICBC International Securities Limited; J.P. Morgan Securities (Asia Pacific) Limited; Mizuho Securities Asia Limited</t>
        </is>
      </c>
      <c r="BK35" s="76">
        <f>HYPERLINK("https://www1.hkexnews.hk/listedco/listconews/sehk/2021/0408/2021040800019.pdf","prospectus")</f>
        <v/>
      </c>
      <c r="BL35" s="76">
        <f>HYPERLINK("https://www1.hkexnews.hk/listedco/listconews/sehk/2021/0416/2021041600028.htm","allotment")</f>
        <v/>
      </c>
      <c r="BM35" s="76">
        <f>HYPERLINK("https://www1.hkexnews.hk/listedco/listconews/sehk/2021/0513/2021051300333.pdf","stabilisation")</f>
        <v/>
      </c>
      <c r="BN35" s="74" t="n"/>
      <c r="BO35" s="62" t="inlineStr">
        <is>
          <t>P/E: n/m — loss-making at IPO (use P/S) · range low: cap-only pricing — the filing publishes a Maximum Offer Price and no indicative floor · A/H: no A-share listing · cornerstone list: cornerstone section not machine-extractable — see the prospectus link · cornerstone %: cornerstone aggregate not stated in the filing</t>
        </is>
      </c>
    </row>
    <row r="36" ht="15" customHeight="1">
      <c r="A36" s="61" t="inlineStr">
        <is>
          <t>6622</t>
        </is>
      </c>
      <c r="B36" s="62" t="inlineStr">
        <is>
          <t>ZHAOKE OPHTH-B</t>
        </is>
      </c>
      <c r="C36" s="62" t="inlineStr">
        <is>
          <t>兆科眼科－Ｂ</t>
        </is>
      </c>
      <c r="D36" s="62" t="inlineStr">
        <is>
          <t>Healthcare</t>
        </is>
      </c>
      <c r="E36" s="62" t="inlineStr">
        <is>
          <t>Biotech pre-revenue (18A)</t>
        </is>
      </c>
      <c r="F36" s="62" t="inlineStr">
        <is>
          <t>Biotechnology</t>
        </is>
      </c>
      <c r="G36" s="62" t="inlineStr">
        <is>
          <t>18A</t>
        </is>
      </c>
      <c r="H36" s="63" t="n">
        <v>44315</v>
      </c>
      <c r="I36" s="64" t="n">
        <v>2075.9</v>
      </c>
      <c r="J36" s="62" t="inlineStr">
        <is>
          <t>gross (price x shares)</t>
        </is>
      </c>
      <c r="K36" s="65" t="n">
        <v>15.38</v>
      </c>
      <c r="L36" s="65" t="n">
        <v>16.8</v>
      </c>
      <c r="M36" s="65" t="n">
        <v>16.8</v>
      </c>
      <c r="N36" s="62" t="inlineStr">
        <is>
          <t>Y</t>
        </is>
      </c>
      <c r="O36" s="66" t="n">
        <v>100</v>
      </c>
      <c r="P36" s="66" t="n">
        <v>100</v>
      </c>
      <c r="Q36" s="67" t="n">
        <v>8077.4</v>
      </c>
      <c r="R36" s="62" t="inlineStr">
        <is>
          <t>derived:deal size / offer % of enlarged capital</t>
        </is>
      </c>
      <c r="S36" s="68" t="n">
        <v>56</v>
      </c>
      <c r="T36" s="69" t="n">
        <v>5.3</v>
      </c>
      <c r="U36" s="70" t="n">
        <v>20.6</v>
      </c>
      <c r="V36" s="66" t="n">
        <v>20.41</v>
      </c>
      <c r="W36" s="62" t="inlineStr">
        <is>
          <t>CaaS Capital Master Fund LP; GIC Private Limited; Golden Valley Global Limited; Jennison Associates LLC; Mass Ave Global, Inc; Matthews Asia Growth Fund and Matthews Asia Innovators Fund; VMS Zhaoke Investment Fund SP</t>
        </is>
      </c>
      <c r="X36" s="62" t="inlineStr">
        <is>
          <t>caas;gic;golden-valley;jennison;mass;matthews;vms</t>
        </is>
      </c>
      <c r="Y36" s="66" t="n">
        <v>5</v>
      </c>
      <c r="Z36" s="62" t="inlineStr">
        <is>
          <t>lapsed</t>
        </is>
      </c>
      <c r="AA36" s="71" t="n">
        <v>-14.76</v>
      </c>
      <c r="AB36" s="72" t="n">
        <v>-7.62</v>
      </c>
      <c r="AC36" s="72" t="n">
        <v>-7.73</v>
      </c>
      <c r="AD36" s="72" t="n">
        <v>-32.14</v>
      </c>
      <c r="AE36" s="72" t="n">
        <v>-20.95</v>
      </c>
      <c r="AF36" s="72" t="n">
        <v>-52.38</v>
      </c>
      <c r="AG36" s="72" t="n">
        <v>-20.39</v>
      </c>
      <c r="AH36" s="72" t="n">
        <v>-7.26</v>
      </c>
      <c r="AI36" s="72" t="n">
        <v>-44.13</v>
      </c>
      <c r="AJ36" s="72" t="n">
        <v>-27.25</v>
      </c>
      <c r="AK36" s="72" t="n">
        <v>-25.08</v>
      </c>
      <c r="AL36" s="72" t="n">
        <v>-46.33</v>
      </c>
      <c r="AM36" s="72" t="n">
        <v>-12.27</v>
      </c>
      <c r="AN36" s="72" t="n">
        <v>4.13</v>
      </c>
      <c r="AO36" s="72" t="n">
        <v>5.01</v>
      </c>
      <c r="AP36" s="62" t="inlineStr">
        <is>
          <t>China Biotech ETF (HS biotech proxy)</t>
        </is>
      </c>
      <c r="AQ36" s="72" t="n">
        <v>-84.94</v>
      </c>
      <c r="AR36" s="63" t="inlineStr">
        <is>
          <t>2026-08-20</t>
        </is>
      </c>
      <c r="AS36" s="64" t="n">
        <v>0</v>
      </c>
      <c r="AT36" s="67" t="n">
        <v>-799.7</v>
      </c>
      <c r="AU36" s="62" t="inlineStr">
        <is>
          <t>N</t>
        </is>
      </c>
      <c r="AV36" s="62" t="inlineStr">
        <is>
          <t>n/m</t>
        </is>
      </c>
      <c r="AW36" s="73" t="n"/>
      <c r="AX36" s="73" t="n"/>
      <c r="AY36" s="62" t="inlineStr">
        <is>
          <t>pre-rev</t>
        </is>
      </c>
      <c r="AZ36" s="74" t="inlineStr">
        <is>
          <t>N</t>
        </is>
      </c>
      <c r="BA36" s="75">
        <f>IF('BBG Verify'!K36="","not filed — run on terminal",'BBG Verify'!K36)</f>
        <v/>
      </c>
      <c r="BB36" s="62" t="inlineStr">
        <is>
          <t>N/A</t>
        </is>
      </c>
      <c r="BC36" s="62" t="inlineStr">
        <is>
          <t>N/A</t>
        </is>
      </c>
      <c r="BD36" s="62" t="inlineStr">
        <is>
          <t>N/A</t>
        </is>
      </c>
      <c r="BE36" s="62" t="inlineStr">
        <is>
          <t>N/A</t>
        </is>
      </c>
      <c r="BF36" s="62" t="inlineStr">
        <is>
          <t>N/A</t>
        </is>
      </c>
      <c r="BG36" s="74" t="inlineStr">
        <is>
          <t>Goldman Sachs (Asia) L.L.C; Jefferies Hong Kong Limited</t>
        </is>
      </c>
      <c r="BH36" s="62" t="inlineStr">
        <is>
          <t>Jefferies Hong Kong Limited; Goldman Sachs (Asia) L.L.C.</t>
        </is>
      </c>
      <c r="BI36" s="62" t="inlineStr">
        <is>
          <t>Goldman Sachs (Asia) L.L.C; Jefferies Hong Kong Limited; Haitong International Securities Company Limited; The Hongkong and Shanghai Banking Corporation Limited; Fosun Hani Securities Limited; Macquarie Capital Limited; SPDB International Capital Limited; VMS Securities Limited</t>
        </is>
      </c>
      <c r="BJ36" s="62" t="inlineStr">
        <is>
          <t>Fosun Hani Securities Limited; Goldman Sachs (Asia) L.L.C.; Haitong International Securities Company Limited; The Hongkong and Shanghai Banking Corporation Limited; Jefferies Hong Kong Limited; Macquarie Capital Limited; SPDB International Capital Limited; VMS Securities Limited</t>
        </is>
      </c>
      <c r="BK36" s="76">
        <f>HYPERLINK("https://www1.hkexnews.hk/listedco/listconews/sehk/2021/0416/2021041600009.pdf","prospectus")</f>
        <v/>
      </c>
      <c r="BL36" s="76">
        <f>HYPERLINK("https://www1.hkexnews.hk/listedco/listconews/sehk/2021/0428/2021042800066.htm","allotment")</f>
        <v/>
      </c>
      <c r="BM36" s="76">
        <f>HYPERLINK("https://www1.hkexnews.hk/listedco/listconews/sehk/2021/0521/2021052101496.pdf","stabilisation")</f>
        <v/>
      </c>
      <c r="BN36" s="74" t="n"/>
      <c r="BO36" s="62" t="inlineStr">
        <is>
          <t>P/E: n/m — loss-making at IPO (use P/S) · A/H: no A-share listing · P/S: no revenue line in the filed P&amp;L (pre-revenue issuer) — no sales multiple can exist; the cell reads pre-rev, not blank</t>
        </is>
      </c>
    </row>
    <row r="37" ht="15" customHeight="1">
      <c r="A37" s="61" t="inlineStr">
        <is>
          <t>2191</t>
        </is>
      </c>
      <c r="B37" s="62" t="inlineStr">
        <is>
          <t>SF REIT</t>
        </is>
      </c>
      <c r="C37" s="62" t="inlineStr">
        <is>
          <t>順豐房託</t>
        </is>
      </c>
      <c r="D37" s="62" t="inlineStr">
        <is>
          <t>Real Estate</t>
        </is>
      </c>
      <c r="E37" s="62" t="inlineStr">
        <is>
          <t>REITs / asset-light</t>
        </is>
      </c>
      <c r="F37" s="62" t="inlineStr">
        <is>
          <t>Office and Commercial REIT's</t>
        </is>
      </c>
      <c r="G37" s="62" t="inlineStr">
        <is>
          <t>Standard</t>
        </is>
      </c>
      <c r="H37" s="63" t="n">
        <v>44333</v>
      </c>
      <c r="I37" s="64" t="n">
        <v>2498</v>
      </c>
      <c r="J37" s="62" t="inlineStr">
        <is>
          <t>net proceeds</t>
        </is>
      </c>
      <c r="K37" s="65" t="n">
        <v>4.68</v>
      </c>
      <c r="L37" s="65" t="n">
        <v>5.16</v>
      </c>
      <c r="M37" s="65" t="n">
        <v>4.98</v>
      </c>
      <c r="N37" s="62" t="inlineStr">
        <is>
          <t>N</t>
        </is>
      </c>
      <c r="O37" s="66" t="n">
        <v>96.5</v>
      </c>
      <c r="P37" s="66" t="n">
        <v>62.5</v>
      </c>
      <c r="Q37" s="67" t="n">
        <v>4128</v>
      </c>
      <c r="R37" s="62" t="inlineStr">
        <is>
          <t>prospectus:stated market capitalisation</t>
        </is>
      </c>
      <c r="S37" s="68" t="n">
        <v>5</v>
      </c>
      <c r="T37" s="69" t="n">
        <v>3</v>
      </c>
      <c r="U37" s="70" t="n">
        <v>14.9</v>
      </c>
      <c r="V37" s="66" t="n">
        <v>51.5</v>
      </c>
      <c r="W37" s="62" t="inlineStr">
        <is>
          <t>China Orient Multi-Strategy Master Fund; CI Global Asset Management</t>
        </is>
      </c>
      <c r="X37" s="62" t="inlineStr">
        <is>
          <t>orient;ci</t>
        </is>
      </c>
      <c r="Y37" s="66" t="n">
        <v>5</v>
      </c>
      <c r="Z37" s="62" t="inlineStr">
        <is>
          <t>lapsed</t>
        </is>
      </c>
      <c r="AA37" s="71" t="n">
        <v>-16.47</v>
      </c>
      <c r="AB37" s="72" t="n">
        <v>-9.84</v>
      </c>
      <c r="AC37" s="72" t="n">
        <v>-7.35</v>
      </c>
      <c r="AD37" s="72" t="n">
        <v>-7.63</v>
      </c>
      <c r="AE37" s="72" t="n">
        <v>-9.640000000000001</v>
      </c>
      <c r="AF37" s="72" t="n">
        <v>-12.45</v>
      </c>
      <c r="AG37" s="72" t="n">
        <v>10.58</v>
      </c>
      <c r="AH37" s="72" t="n">
        <v>8.18</v>
      </c>
      <c r="AI37" s="72" t="n">
        <v>4.81</v>
      </c>
      <c r="AJ37" s="72" t="n">
        <v>-9.73</v>
      </c>
      <c r="AK37" s="72" t="n">
        <v>-12.34</v>
      </c>
      <c r="AL37" s="72" t="n">
        <v>-5.34</v>
      </c>
      <c r="AM37" s="72" t="n">
        <v>5.34</v>
      </c>
      <c r="AN37" s="72" t="n">
        <v>2.7</v>
      </c>
      <c r="AO37" s="72" t="n">
        <v>2.84</v>
      </c>
      <c r="AP37" s="62" t="inlineStr">
        <is>
          <t>Hang Seng Properties sub-index</t>
        </is>
      </c>
      <c r="AQ37" s="72" t="n">
        <v>-46.69</v>
      </c>
      <c r="AR37" s="63" t="inlineStr">
        <is>
          <t>2026-08-21</t>
        </is>
      </c>
      <c r="AS37" s="64" t="n">
        <v>279</v>
      </c>
      <c r="AT37" s="67" t="n">
        <v>26.9</v>
      </c>
      <c r="AU37" s="62" t="inlineStr">
        <is>
          <t>Y</t>
        </is>
      </c>
      <c r="AV37" s="73" t="n">
        <v>153.5</v>
      </c>
      <c r="AW37" s="73" t="n"/>
      <c r="AX37" s="73" t="n">
        <v>106.9</v>
      </c>
      <c r="AY37" s="73" t="n">
        <v>14.8</v>
      </c>
      <c r="AZ37" s="74" t="inlineStr">
        <is>
          <t>N</t>
        </is>
      </c>
      <c r="BA37" s="75">
        <f>IF('BBG Verify'!K37="","not filed — run on terminal",'BBG Verify'!K37)</f>
        <v/>
      </c>
      <c r="BB37" s="62" t="inlineStr">
        <is>
          <t>N/A</t>
        </is>
      </c>
      <c r="BC37" s="62" t="inlineStr">
        <is>
          <t>N/A</t>
        </is>
      </c>
      <c r="BD37" s="62" t="inlineStr">
        <is>
          <t>N/A</t>
        </is>
      </c>
      <c r="BE37" s="62" t="inlineStr">
        <is>
          <t>N/A</t>
        </is>
      </c>
      <c r="BF37" s="62" t="inlineStr">
        <is>
          <t>N/A</t>
        </is>
      </c>
      <c r="BG37" s="74" t="n"/>
      <c r="BH37" s="62" t="inlineStr">
        <is>
          <t>Credit Suisse (Hong Kong) Limited; DBS Asia Capital Limited; J.P. Morgan Securities (Asia Pacific) Limited</t>
        </is>
      </c>
      <c r="BI37" s="62" t="inlineStr">
        <is>
          <t>REIT Manager SF REIT Asset Management Limited; HONG Kam Kit, Eddie CHOW Chi Ping, Simon Trustee DB Trustees (Hong Kong) Limited; Hong Kong Unit Registrar Tricor Investor Services Limited; PARTIES INVOLVED IN THE GLOBAL OFFERING Sole Listing Agent DBS Asia Capital Limited; DBS Asia Capital Limited; Credit Suisse (Hong Kong) Limited; J.P. Morgan Securities (Asia Pacific) Limited; J.P. Morgan Securities plc</t>
        </is>
      </c>
      <c r="BJ37" s="62" t="inlineStr">
        <is>
          <t>Credit Suisse (Hong Kong) Limited; DBS Asia Capital Limited; J.P. Morgan Securities (Asia Pacific) Limited</t>
        </is>
      </c>
      <c r="BK37" s="76">
        <f>HYPERLINK("https://www1.hkexnews.hk/listedco/listconews/sehk/2021/0505/2021050500053.pdf","prospectus")</f>
        <v/>
      </c>
      <c r="BL37" s="76">
        <f>HYPERLINK("https://www1.hkexnews.hk/listedco/listconews/sehk/2021/0514/2021051400092.htm","allotment")</f>
        <v/>
      </c>
      <c r="BM37" s="76">
        <f>HYPERLINK("https://www1.hkexnews.hk/listedco/listconews/sehk/2021/0609/2021060900679.pdf","stabilisation")</f>
        <v/>
      </c>
      <c r="BN37" s="74" t="n"/>
      <c r="BO37" s="62" t="inlineStr">
        <is>
          <t>A/H: no A-share listing · sponsor: English name not in the filing text; AAStocks 保薦人 shown</t>
        </is>
      </c>
    </row>
    <row r="38" ht="15" customHeight="1">
      <c r="A38" s="61" t="inlineStr">
        <is>
          <t>3658</t>
        </is>
      </c>
      <c r="B38" s="62" t="inlineStr">
        <is>
          <t>NEW HOPE SERV</t>
        </is>
      </c>
      <c r="C38" s="62" t="inlineStr">
        <is>
          <t>新希望服務</t>
        </is>
      </c>
      <c r="D38" s="62" t="inlineStr">
        <is>
          <t>Real Estate</t>
        </is>
      </c>
      <c r="E38" s="62" t="inlineStr">
        <is>
          <t>Property management</t>
        </is>
      </c>
      <c r="F38" s="62" t="inlineStr">
        <is>
          <t>Property Service and Management</t>
        </is>
      </c>
      <c r="G38" s="62" t="inlineStr">
        <is>
          <t>Standard</t>
        </is>
      </c>
      <c r="H38" s="63" t="n">
        <v>44341</v>
      </c>
      <c r="I38" s="64" t="n">
        <v>760</v>
      </c>
      <c r="J38" s="62" t="inlineStr">
        <is>
          <t>gross (price x shares)</t>
        </is>
      </c>
      <c r="K38" s="65" t="n">
        <v>3.8</v>
      </c>
      <c r="L38" s="65" t="n">
        <v>4.7</v>
      </c>
      <c r="M38" s="65" t="n">
        <v>3.8</v>
      </c>
      <c r="N38" s="62" t="inlineStr">
        <is>
          <t>N</t>
        </is>
      </c>
      <c r="O38" s="66" t="n">
        <v>80.90000000000001</v>
      </c>
      <c r="P38" s="66" t="n">
        <v>0</v>
      </c>
      <c r="Q38" s="67" t="n">
        <v>3686.1</v>
      </c>
      <c r="R38" s="62" t="inlineStr">
        <is>
          <t>aastocks:上市市值 at the struck price</t>
        </is>
      </c>
      <c r="S38" s="68" t="n">
        <v>4.75</v>
      </c>
      <c r="T38" s="69" t="n">
        <v>1.78</v>
      </c>
      <c r="U38" s="70" t="n">
        <v>50.3</v>
      </c>
      <c r="V38" s="66" t="n">
        <v>10.25</v>
      </c>
      <c r="W38" s="62" t="inlineStr">
        <is>
          <t>China Sichuan International Investment Limited; Golden Star International Pty Limited; Green Better; Keltic Investment (HK) Limited; Neptune Investments Holdings Limited; Peak Reinsurance Company Limited</t>
        </is>
      </c>
      <c r="X38" s="62" t="inlineStr">
        <is>
          <t>sichuan;golden-star;green;keltic;neptune;peak</t>
        </is>
      </c>
      <c r="Y38" s="66" t="n">
        <v>7.7</v>
      </c>
      <c r="Z38" s="62" t="inlineStr">
        <is>
          <t>partial</t>
        </is>
      </c>
      <c r="AA38" s="71" t="n">
        <v>0.53</v>
      </c>
      <c r="AB38" s="72" t="n">
        <v>0</v>
      </c>
      <c r="AC38" s="72" t="n">
        <v>0.53</v>
      </c>
      <c r="AD38" s="72" t="n">
        <v>5</v>
      </c>
      <c r="AE38" s="72" t="n">
        <v>-25.79</v>
      </c>
      <c r="AF38" s="72" t="n">
        <v>-45.26</v>
      </c>
      <c r="AG38" s="72" t="n">
        <v>4.45</v>
      </c>
      <c r="AH38" s="72" t="n">
        <v>-26.18</v>
      </c>
      <c r="AI38" s="72" t="n">
        <v>-45.55</v>
      </c>
      <c r="AJ38" s="72" t="n">
        <v>3.61</v>
      </c>
      <c r="AK38" s="72" t="n">
        <v>-26.66</v>
      </c>
      <c r="AL38" s="72" t="n">
        <v>-35.18</v>
      </c>
      <c r="AM38" s="72" t="n">
        <v>-26.45</v>
      </c>
      <c r="AN38" s="72" t="n">
        <v>0.87</v>
      </c>
      <c r="AO38" s="72" t="n">
        <v>0.27</v>
      </c>
      <c r="AP38" s="62" t="inlineStr">
        <is>
          <t>Hang Seng Properties sub-index</t>
        </is>
      </c>
      <c r="AQ38" s="72" t="n">
        <v>-51.05</v>
      </c>
      <c r="AR38" s="63" t="inlineStr">
        <is>
          <t>2026-08-20</t>
        </is>
      </c>
      <c r="AS38" s="64" t="n">
        <v>647.1</v>
      </c>
      <c r="AT38" s="67" t="n">
        <v>120.7</v>
      </c>
      <c r="AU38" s="62" t="inlineStr">
        <is>
          <t>Y</t>
        </is>
      </c>
      <c r="AV38" s="73" t="n">
        <v>30.5</v>
      </c>
      <c r="AW38" s="73" t="n"/>
      <c r="AX38" s="73" t="n">
        <v>5.9</v>
      </c>
      <c r="AY38" s="73" t="n">
        <v>5.7</v>
      </c>
      <c r="AZ38" s="74" t="inlineStr">
        <is>
          <t>N</t>
        </is>
      </c>
      <c r="BA38" s="75">
        <f>IF('BBG Verify'!K38="","not filed — run on terminal",'BBG Verify'!K38)</f>
        <v/>
      </c>
      <c r="BB38" s="62" t="inlineStr">
        <is>
          <t>N/A</t>
        </is>
      </c>
      <c r="BC38" s="62" t="inlineStr">
        <is>
          <t>N/A</t>
        </is>
      </c>
      <c r="BD38" s="62" t="inlineStr">
        <is>
          <t>N/A</t>
        </is>
      </c>
      <c r="BE38" s="62" t="inlineStr">
        <is>
          <t>N/A</t>
        </is>
      </c>
      <c r="BF38" s="62" t="inlineStr">
        <is>
          <t>N/A</t>
        </is>
      </c>
      <c r="BG38" s="74" t="inlineStr">
        <is>
          <t>ABCI Capital Limited</t>
        </is>
      </c>
      <c r="BH38" s="62" t="inlineStr">
        <is>
          <t>ABCI Capital Limited</t>
        </is>
      </c>
      <c r="BI38" s="62" t="inlineStr">
        <is>
          <t>ABCI Capital Limited; Haitong International Securities Company Limited; CMB International Capital Limited; CLSA Limited; CMBC Securities Company Limited; China Everbright Securities (HK) Limited</t>
        </is>
      </c>
      <c r="BJ38" s="62" t="inlineStr">
        <is>
          <t>ABCI Securities Company Limited; China Everbright Securities (HK) Limited; CLSA Limited; CMBC Securities Company Limited; CMB International Capital Corporation Limited; Fortune (HK) Securities Limited; Futu Securities International (Hong Kong) Limited; Haitong International Securities Company Limited; Livermore Holdings Limited</t>
        </is>
      </c>
      <c r="BK38" s="76">
        <f>HYPERLINK("https://www1.hkexnews.hk/listedco/listconews/sehk/2021/0511/2021051100021.pdf","prospectus")</f>
        <v/>
      </c>
      <c r="BL38" s="76">
        <f>HYPERLINK("https://www1.hkexnews.hk/listedco/listconews/sehk/2021/0524/2021052400010.htm","allotment")</f>
        <v/>
      </c>
      <c r="BM38" s="76">
        <f>HYPERLINK("https://www1.hkexnews.hk/listedco/listconews/sehk/2021/0615/2021061500076.pdf","stabilisation")</f>
        <v/>
      </c>
      <c r="BN38" s="74" t="n"/>
      <c r="BO38" s="62" t="inlineStr">
        <is>
          <t>A/H: no A-share listing</t>
        </is>
      </c>
    </row>
    <row r="39" ht="15" customHeight="1">
      <c r="A39" s="61" t="inlineStr">
        <is>
          <t>2618</t>
        </is>
      </c>
      <c r="B39" s="62" t="inlineStr">
        <is>
          <t>JD LOGISTICS</t>
        </is>
      </c>
      <c r="C39" s="62" t="inlineStr">
        <is>
          <t>京東物流</t>
        </is>
      </c>
      <c r="D39" s="62" t="inlineStr">
        <is>
          <t>Industrials</t>
        </is>
      </c>
      <c r="E39" s="62" t="inlineStr">
        <is>
          <t>Logistics</t>
        </is>
      </c>
      <c r="F39" s="62" t="inlineStr">
        <is>
          <t>Air Freight &amp; Logistics</t>
        </is>
      </c>
      <c r="G39" s="62" t="inlineStr">
        <is>
          <t>Standard</t>
        </is>
      </c>
      <c r="H39" s="63" t="n">
        <v>44344</v>
      </c>
      <c r="I39" s="64" t="n">
        <v>3632</v>
      </c>
      <c r="J39" s="62" t="inlineStr">
        <is>
          <t>net proceeds</t>
        </is>
      </c>
      <c r="K39" s="65" t="n"/>
      <c r="L39" s="65" t="n">
        <v>43.36</v>
      </c>
      <c r="M39" s="65" t="n">
        <v>40.36</v>
      </c>
      <c r="N39" s="62" t="inlineStr">
        <is>
          <t>N</t>
        </is>
      </c>
      <c r="O39" s="66" t="n">
        <v>93.09999999999999</v>
      </c>
      <c r="P39" s="66" t="n"/>
      <c r="Q39" s="67" t="n">
        <v>266382.9</v>
      </c>
      <c r="R39" s="62" t="inlineStr">
        <is>
          <t>aastocks:上市市值 at the struck price</t>
        </is>
      </c>
      <c r="S39" s="68" t="n">
        <v>715.61</v>
      </c>
      <c r="T39" s="69" t="n">
        <v>10.8</v>
      </c>
      <c r="U39" s="70" t="n">
        <v>48.33</v>
      </c>
      <c r="V39" s="66" t="n">
        <v>0.7</v>
      </c>
      <c r="W39" s="62" t="inlineStr">
        <is>
          <t>China Chengtong Investment Company Limited; Internet Fund IIIA Pte Ltd; Matthews Funds; Oaktree Emerging Markets Equity Fund, L.P; SoftBank Group; The Blackstone Group Inc</t>
        </is>
      </c>
      <c r="X39" s="62" t="inlineStr">
        <is>
          <t>chengtong;internet;matthews;oaktree;softbank;blackstone</t>
        </is>
      </c>
      <c r="Y39" s="66" t="n">
        <v>10</v>
      </c>
      <c r="Z39" s="62" t="n"/>
      <c r="AA39" s="71" t="n">
        <v>3.32</v>
      </c>
      <c r="AB39" s="72" t="n">
        <v>14.1</v>
      </c>
      <c r="AC39" s="72" t="n">
        <v>-9.449999999999999</v>
      </c>
      <c r="AD39" s="72" t="n">
        <v>16.33</v>
      </c>
      <c r="AE39" s="72" t="n">
        <v>4.19</v>
      </c>
      <c r="AF39" s="72" t="n">
        <v>-24.18</v>
      </c>
      <c r="AG39" s="72" t="n">
        <v>12.59</v>
      </c>
      <c r="AH39" s="72" t="n">
        <v>0.84</v>
      </c>
      <c r="AI39" s="72" t="n">
        <v>-26.62</v>
      </c>
      <c r="AJ39" s="72" t="n">
        <v>15.58</v>
      </c>
      <c r="AK39" s="72" t="n">
        <v>-0.14</v>
      </c>
      <c r="AL39" s="72" t="n">
        <v>-9.92</v>
      </c>
      <c r="AM39" s="72" t="n">
        <v>-4.79</v>
      </c>
      <c r="AN39" s="72" t="n">
        <v>4.33</v>
      </c>
      <c r="AO39" s="72" t="n">
        <v>5.63</v>
      </c>
      <c r="AP39" s="62" t="inlineStr">
        <is>
          <t>Hang Seng Commerce &amp; Industry sub-index</t>
        </is>
      </c>
      <c r="AQ39" s="72" t="n">
        <v>-71.04000000000001</v>
      </c>
      <c r="AR39" s="63" t="inlineStr">
        <is>
          <t>2026-08-20</t>
        </is>
      </c>
      <c r="AS39" s="64" t="n">
        <v>80712.2</v>
      </c>
      <c r="AT39" s="67" t="n">
        <v>-4441</v>
      </c>
      <c r="AU39" s="62" t="inlineStr">
        <is>
          <t>N</t>
        </is>
      </c>
      <c r="AV39" s="62" t="inlineStr">
        <is>
          <t>n/m</t>
        </is>
      </c>
      <c r="AW39" s="73" t="n"/>
      <c r="AX39" s="73" t="n">
        <v>8.9</v>
      </c>
      <c r="AY39" s="73" t="n">
        <v>3.3</v>
      </c>
      <c r="AZ39" s="74" t="inlineStr">
        <is>
          <t>N</t>
        </is>
      </c>
      <c r="BA39" s="75">
        <f>IF('BBG Verify'!K39="","not filed — run on terminal",'BBG Verify'!K39)</f>
        <v/>
      </c>
      <c r="BB39" s="62" t="inlineStr">
        <is>
          <t>N/A</t>
        </is>
      </c>
      <c r="BC39" s="62" t="inlineStr">
        <is>
          <t>N/A</t>
        </is>
      </c>
      <c r="BD39" s="62" t="inlineStr">
        <is>
          <t>N/A</t>
        </is>
      </c>
      <c r="BE39" s="62" t="inlineStr">
        <is>
          <t>N/A</t>
        </is>
      </c>
      <c r="BF39" s="62" t="inlineStr">
        <is>
          <t>N/A</t>
        </is>
      </c>
      <c r="BG39" s="74" t="inlineStr">
        <is>
          <t>BofA Securities; Goldman Sachs; Haitong International</t>
        </is>
      </c>
      <c r="BH39" s="62" t="inlineStr">
        <is>
          <t>Haitong International Capital Limited; Merrill Lynch (Asia Pacific) Limited; Goldman Sachs (Asia) L.L.C.</t>
        </is>
      </c>
      <c r="BI39" s="62" t="inlineStr">
        <is>
          <t>Merrill Lynch (Asia Pacific) Limited; Goldman Sachs (Asia) L.L.C; Central, Hong Kong Haitong International Securities Company Limited; UBS AG Hong Kong Branch; CLSA Limited; ICBC International Capital Limited; CCB International Capital Limited; China Renaissance Securities (Hong Kong) Limited; BOCOM International Securities Limited; BOCI Asia Limited; ABCI Capital Limited; Guotai Junan Securities (Hong Kong) Limited</t>
        </is>
      </c>
      <c r="BJ39" s="62" t="inlineStr">
        <is>
          <t>ABCI Securities Company Limited; Beta International Securities Limited; BOCI Asia Limited; CCB International Capital Limited; CLSA Limited; CMB International Capital Limited; China Renaissance Securities (Hong Kong) Limited; Futu Securities International (Hong Kong) Limited; Guotai Junan Securities (Hong Kong) Limited; Goldman Sachs (Asia) L.L.C.; Haitong International Securities Company Limited; ICBC International Securities Limited</t>
        </is>
      </c>
      <c r="BK39" s="76">
        <f>HYPERLINK("https://www1.hkexnews.hk/listedco/listconews/sehk/2021/0517/2021051700091.pdf","prospectus")</f>
        <v/>
      </c>
      <c r="BL39" s="76">
        <f>HYPERLINK("https://www1.hkexnews.hk/listedco/listconews/sehk/2021/0527/2021052700014.htm","allotment")</f>
        <v/>
      </c>
      <c r="BM39" s="62" t="n"/>
      <c r="BN39" s="74" t="n"/>
      <c r="BO39" s="62" t="inlineStr">
        <is>
          <t>P/E: n/m — loss-making at IPO (use P/S) · greenshoe: end-of-stabilisation notice not located · range low: cap-only pricing — the filing publishes a Maximum Offer Price and no indicative floor · A/H: no A-share listing · cornerstone: AAStocks institutional table includes non-cornerstone orders (superset) — cornerstone % is from the prospectus</t>
        </is>
      </c>
    </row>
    <row r="40" ht="15" customHeight="1">
      <c r="A40" s="61" t="inlineStr">
        <is>
          <t>9982</t>
        </is>
      </c>
      <c r="B40" s="62" t="inlineStr">
        <is>
          <t>CENTRALCHINA MT</t>
        </is>
      </c>
      <c r="C40" s="62" t="inlineStr">
        <is>
          <t>中原建業</t>
        </is>
      </c>
      <c r="D40" s="62" t="inlineStr">
        <is>
          <t>Real Estate</t>
        </is>
      </c>
      <c r="E40" s="62" t="inlineStr">
        <is>
          <t>Property management</t>
        </is>
      </c>
      <c r="F40" s="62" t="inlineStr">
        <is>
          <t>Property Development</t>
        </is>
      </c>
      <c r="G40" s="62" t="inlineStr">
        <is>
          <t>Standard</t>
        </is>
      </c>
      <c r="H40" s="63" t="n">
        <v>44347</v>
      </c>
      <c r="I40" s="64" t="n">
        <v>117.97</v>
      </c>
      <c r="J40" s="62" t="inlineStr">
        <is>
          <t>net proceeds</t>
        </is>
      </c>
      <c r="K40" s="65" t="n">
        <v>2.4</v>
      </c>
      <c r="L40" s="65" t="n">
        <v>3.2</v>
      </c>
      <c r="M40" s="65" t="n">
        <v>3</v>
      </c>
      <c r="N40" s="62" t="inlineStr">
        <is>
          <t>N</t>
        </is>
      </c>
      <c r="O40" s="66" t="n">
        <v>93.8</v>
      </c>
      <c r="P40" s="66" t="n">
        <v>75</v>
      </c>
      <c r="Q40" s="67" t="n">
        <v>10380.1</v>
      </c>
      <c r="R40" s="62" t="inlineStr">
        <is>
          <t>aastocks:上市市值 at the struck price</t>
        </is>
      </c>
      <c r="S40" s="68" t="n">
        <v>4.99</v>
      </c>
      <c r="T40" s="69" t="n">
        <v>0.72</v>
      </c>
      <c r="U40" s="70" t="n">
        <v>39.7</v>
      </c>
      <c r="V40" s="66" t="n">
        <v>0.6899999999999999</v>
      </c>
      <c r="W40" s="62" t="inlineStr">
        <is>
          <t>Lucky Advent Limited</t>
        </is>
      </c>
      <c r="X40" s="62" t="inlineStr">
        <is>
          <t>lucky</t>
        </is>
      </c>
      <c r="Y40" s="66" t="n">
        <v>10</v>
      </c>
      <c r="Z40" s="62" t="inlineStr">
        <is>
          <t>lapsed</t>
        </is>
      </c>
      <c r="AA40" s="71" t="n">
        <v>-12</v>
      </c>
      <c r="AB40" s="72" t="n">
        <v>-16.67</v>
      </c>
      <c r="AC40" s="72" t="n">
        <v>5.6</v>
      </c>
      <c r="AD40" s="72" t="n">
        <v>-9</v>
      </c>
      <c r="AE40" s="72" t="n">
        <v>-23.67</v>
      </c>
      <c r="AF40" s="72" t="n">
        <v>-38.33</v>
      </c>
      <c r="AG40" s="72" t="n">
        <v>3.41</v>
      </c>
      <c r="AH40" s="72" t="n">
        <v>-13.26</v>
      </c>
      <c r="AI40" s="72" t="n">
        <v>-29.92</v>
      </c>
      <c r="AJ40" s="72" t="n">
        <v>-6.86</v>
      </c>
      <c r="AK40" s="72" t="n">
        <v>-20.27</v>
      </c>
      <c r="AL40" s="72" t="n">
        <v>-25.76</v>
      </c>
      <c r="AM40" s="72" t="n">
        <v>-11.26</v>
      </c>
      <c r="AN40" s="72" t="n">
        <v>-3.4</v>
      </c>
      <c r="AO40" s="72" t="n">
        <v>-2</v>
      </c>
      <c r="AP40" s="62" t="inlineStr">
        <is>
          <t>Hang Seng Properties sub-index</t>
        </is>
      </c>
      <c r="AQ40" s="72" t="n">
        <v>-97.03</v>
      </c>
      <c r="AR40" s="63" t="inlineStr">
        <is>
          <t>2026-08-21</t>
        </is>
      </c>
      <c r="AS40" s="64" t="n">
        <v>1267.2</v>
      </c>
      <c r="AT40" s="67" t="n">
        <v>749.1</v>
      </c>
      <c r="AU40" s="62" t="inlineStr">
        <is>
          <t>Y</t>
        </is>
      </c>
      <c r="AV40" s="73" t="n">
        <v>13.9</v>
      </c>
      <c r="AW40" s="73" t="n"/>
      <c r="AX40" s="73" t="n">
        <v>6.1</v>
      </c>
      <c r="AY40" s="73" t="n">
        <v>8.199999999999999</v>
      </c>
      <c r="AZ40" s="74" t="inlineStr">
        <is>
          <t>N</t>
        </is>
      </c>
      <c r="BA40" s="75">
        <f>IF('BBG Verify'!K40="","not filed — run on terminal",'BBG Verify'!K40)</f>
        <v/>
      </c>
      <c r="BB40" s="62" t="inlineStr">
        <is>
          <t>N/A</t>
        </is>
      </c>
      <c r="BC40" s="62" t="inlineStr">
        <is>
          <t>N/A</t>
        </is>
      </c>
      <c r="BD40" s="62" t="inlineStr">
        <is>
          <t>N/A</t>
        </is>
      </c>
      <c r="BE40" s="62" t="inlineStr">
        <is>
          <t>N/A</t>
        </is>
      </c>
      <c r="BF40" s="62" t="inlineStr">
        <is>
          <t>N/A</t>
        </is>
      </c>
      <c r="BG40" s="74" t="inlineStr">
        <is>
          <t>ICBC International Capital Limited; CCB International Capital Limited; Sole financial advisor to CCRE and our Company BNP Paribas Securities (Asia) Limited</t>
        </is>
      </c>
      <c r="BH40" s="62" t="inlineStr">
        <is>
          <t>CCB International Capital Limited; ICBC International Capital Limited</t>
        </is>
      </c>
      <c r="BI40" s="62" t="inlineStr">
        <is>
          <t>BNP Paribas Securities (Asia) Limited; CCB International Capital Limited; ICBC International Capital Limited; ABCI Capital Limited; China Galaxy International Securities (Hong Kong) Co., Limited; CMB International Capital Limited; CRIC Securities Company Limited</t>
        </is>
      </c>
      <c r="BJ40" s="62" t="inlineStr">
        <is>
          <t>ABCI Securities Company Limited; BNP Paribas Securities (Asia) Limited; CCB International Capital Limited; China Galaxy International Securities (Hong Kong) Company Limited; CMB International Capital Limited; CRIC Securities Company Limited; ICBC International Securities Limited; I Win Securities Limited; Livermore Holdings Limited</t>
        </is>
      </c>
      <c r="BK40" s="76">
        <f>HYPERLINK("https://www1.hkexnews.hk/listedco/listconews/sehk/2021/0518/2021051800033.pdf","prospectus")</f>
        <v/>
      </c>
      <c r="BL40" s="76">
        <f>HYPERLINK("https://www1.hkexnews.hk/listedco/listconews/sehk/2021/0528/2021052800048.htm","allotment")</f>
        <v/>
      </c>
      <c r="BM40" s="76">
        <f>HYPERLINK("https://www1.hkexnews.hk/listedco/listconews/sehk/2021/0623/2021062301182.pdf","stabilisation")</f>
        <v/>
      </c>
      <c r="BN40" s="74" t="n"/>
      <c r="BO40" s="62" t="inlineStr">
        <is>
          <t>A/H: no A-share listing · market cap: estimate from deal size / offer % of enlarged capital disagreed with the published listing cap — published figure adopted</t>
        </is>
      </c>
    </row>
    <row r="41" ht="15" customHeight="1">
      <c r="A41" s="61" t="inlineStr">
        <is>
          <t>6699</t>
        </is>
      </c>
      <c r="B41" s="62" t="inlineStr">
        <is>
          <t>ANGELALIGN</t>
        </is>
      </c>
      <c r="C41" s="62" t="inlineStr">
        <is>
          <t>時代天使</t>
        </is>
      </c>
      <c r="D41" s="62" t="inlineStr">
        <is>
          <t>Healthcare</t>
        </is>
      </c>
      <c r="E41" s="62" t="inlineStr">
        <is>
          <t>Medical devices</t>
        </is>
      </c>
      <c r="F41" s="62" t="inlineStr">
        <is>
          <t>Health Care Services</t>
        </is>
      </c>
      <c r="G41" s="62" t="inlineStr">
        <is>
          <t>Standard</t>
        </is>
      </c>
      <c r="H41" s="63" t="n">
        <v>44363</v>
      </c>
      <c r="I41" s="64" t="n">
        <v>2911.5</v>
      </c>
      <c r="J41" s="62" t="inlineStr">
        <is>
          <t>gross (price x shares)</t>
        </is>
      </c>
      <c r="K41" s="65" t="n"/>
      <c r="L41" s="65" t="n">
        <v>173</v>
      </c>
      <c r="M41" s="65" t="n">
        <v>173</v>
      </c>
      <c r="N41" s="62" t="inlineStr">
        <is>
          <t>Y</t>
        </is>
      </c>
      <c r="O41" s="66" t="n">
        <v>100</v>
      </c>
      <c r="P41" s="66" t="n"/>
      <c r="Q41" s="67" t="n">
        <v>24373.6</v>
      </c>
      <c r="R41" s="62" t="inlineStr">
        <is>
          <t>prospectus:stated market capitalisation</t>
        </is>
      </c>
      <c r="S41" s="68" t="n">
        <v>2079.16</v>
      </c>
      <c r="T41" s="69" t="n">
        <v>114.7</v>
      </c>
      <c r="U41" s="70" t="n">
        <v>0</v>
      </c>
      <c r="V41" s="66" t="n">
        <v>11.95</v>
      </c>
      <c r="W41" s="62" t="n"/>
      <c r="X41" s="62" t="n"/>
      <c r="Y41" s="66" t="n">
        <v>10</v>
      </c>
      <c r="Z41" s="62" t="inlineStr">
        <is>
          <t>full</t>
        </is>
      </c>
      <c r="AA41" s="71" t="n">
        <v>131.79</v>
      </c>
      <c r="AB41" s="72" t="n">
        <v>131.21</v>
      </c>
      <c r="AC41" s="72" t="n">
        <v>0.25</v>
      </c>
      <c r="AD41" s="72" t="n">
        <v>144.51</v>
      </c>
      <c r="AE41" s="72" t="n">
        <v>141.97</v>
      </c>
      <c r="AF41" s="72" t="n">
        <v>109.36</v>
      </c>
      <c r="AG41" s="72" t="n">
        <v>5.49</v>
      </c>
      <c r="AH41" s="72" t="n">
        <v>4.39</v>
      </c>
      <c r="AI41" s="72" t="n">
        <v>-9.68</v>
      </c>
      <c r="AJ41" s="72" t="n">
        <v>141.81</v>
      </c>
      <c r="AK41" s="72" t="n">
        <v>141.37</v>
      </c>
      <c r="AL41" s="72" t="n">
        <v>123.22</v>
      </c>
      <c r="AM41" s="72" t="n">
        <v>0.89</v>
      </c>
      <c r="AN41" s="72" t="n">
        <v>0.6</v>
      </c>
      <c r="AO41" s="72" t="n">
        <v>3.5</v>
      </c>
      <c r="AP41" s="62" t="inlineStr">
        <is>
          <t>China Biotech ETF (HS biotech proxy)</t>
        </is>
      </c>
      <c r="AQ41" s="72" t="n">
        <v>-47.4</v>
      </c>
      <c r="AR41" s="63" t="inlineStr">
        <is>
          <t>2026-08-20</t>
        </is>
      </c>
      <c r="AS41" s="64" t="n">
        <v>898.2</v>
      </c>
      <c r="AT41" s="67" t="n">
        <v>166</v>
      </c>
      <c r="AU41" s="62" t="inlineStr">
        <is>
          <t>Y</t>
        </is>
      </c>
      <c r="AV41" s="73" t="n">
        <v>146.8</v>
      </c>
      <c r="AW41" s="73" t="n">
        <v>282.1</v>
      </c>
      <c r="AX41" s="73" t="n">
        <v>70.59999999999999</v>
      </c>
      <c r="AY41" s="73" t="n">
        <v>27.1</v>
      </c>
      <c r="AZ41" s="74" t="inlineStr">
        <is>
          <t>N</t>
        </is>
      </c>
      <c r="BA41" s="75">
        <f>IF('BBG Verify'!K41="","not filed — run on terminal",'BBG Verify'!K41)</f>
        <v/>
      </c>
      <c r="BB41" s="62" t="inlineStr">
        <is>
          <t>N/A</t>
        </is>
      </c>
      <c r="BC41" s="62" t="inlineStr">
        <is>
          <t>N/A</t>
        </is>
      </c>
      <c r="BD41" s="62" t="inlineStr">
        <is>
          <t>N/A</t>
        </is>
      </c>
      <c r="BE41" s="62" t="inlineStr">
        <is>
          <t>N/A</t>
        </is>
      </c>
      <c r="BF41" s="62" t="inlineStr">
        <is>
          <t>N/A</t>
        </is>
      </c>
      <c r="BG41" s="74" t="inlineStr">
        <is>
          <t>China Insights Industry Consultancy Limited; Shanghai, PRC Receiving Banks Standard Chartered Bank (Hong Kong) Limited; Bank of China (Hong Kong) Limited; The Cayman Islands Principal Share Registrar Maples Fund Services (Cayman) Limited; Somerley Capital Limited; China Minsheng Bank, Shanghai Branch; Pudong New Area Shanghai, PRC China CITIC Bank, Wuxi Huishan Sub-Branch; Wuxi City, PRC Bank of China, Shanghai KIC Science Park Sub-Branch</t>
        </is>
      </c>
      <c r="BH41" s="62" t="inlineStr">
        <is>
          <t>China International Capital Corporation Hong Kong Securities Limited; Goldman Sachs (Asia) L.L.C.</t>
        </is>
      </c>
      <c r="BI41" s="62" t="inlineStr">
        <is>
          <t>China International Capital Corporation Hong Kong Securities Limited; Goldman Sachs (Asia) L.L.C.</t>
        </is>
      </c>
      <c r="BJ41" s="62" t="inlineStr">
        <is>
          <t>China International Capital Corporation Hong Kong Securities Limited; Goldman Sachs (Asia) L.L.C.</t>
        </is>
      </c>
      <c r="BK41" s="76">
        <f>HYPERLINK("https://www1.hkexnews.hk/listedco/listconews/sehk/2021/0603/2021060300011.pdf","prospectus")</f>
        <v/>
      </c>
      <c r="BL41" s="76">
        <f>HYPERLINK("https://www1.hkexnews.hk/listedco/listconews/sehk/2021/0615/2021061500010.htm","allotment")</f>
        <v/>
      </c>
      <c r="BM41" s="76">
        <f>HYPERLINK("https://www1.hkexnews.hk/listedco/listconews/sehk/2021/0708/2021070801042.pdf","stabilisation")</f>
        <v/>
      </c>
      <c r="BN41" s="74" t="n"/>
      <c r="BO41" s="62" t="inlineStr">
        <is>
          <t>range low: cap-only pricing — the filing publishes a Maximum Offer Price and no indicative floor · A/H: no A-share listing · cornerstone list: no cornerstone tranche in this deal</t>
        </is>
      </c>
    </row>
    <row r="42" ht="15" customHeight="1">
      <c r="A42" s="61" t="inlineStr">
        <is>
          <t>2171</t>
        </is>
      </c>
      <c r="B42" s="62" t="inlineStr">
        <is>
          <t>CARSGEN-B</t>
        </is>
      </c>
      <c r="C42" s="62" t="inlineStr">
        <is>
          <t>科濟藥業－Ｂ</t>
        </is>
      </c>
      <c r="D42" s="62" t="inlineStr">
        <is>
          <t>Healthcare</t>
        </is>
      </c>
      <c r="E42" s="62" t="inlineStr">
        <is>
          <t>Biotech pre-revenue (18A)</t>
        </is>
      </c>
      <c r="F42" s="62" t="inlineStr">
        <is>
          <t>Biotechnology</t>
        </is>
      </c>
      <c r="G42" s="62" t="inlineStr">
        <is>
          <t>18A</t>
        </is>
      </c>
      <c r="H42" s="63" t="n">
        <v>44365</v>
      </c>
      <c r="I42" s="64" t="n">
        <v>3107.7</v>
      </c>
      <c r="J42" s="62" t="inlineStr">
        <is>
          <t>gross (price x shares)</t>
        </is>
      </c>
      <c r="K42" s="65" t="n">
        <v>29.6</v>
      </c>
      <c r="L42" s="65" t="n">
        <v>32.8</v>
      </c>
      <c r="M42" s="65" t="n">
        <v>32.8</v>
      </c>
      <c r="N42" s="62" t="inlineStr">
        <is>
          <t>Y</t>
        </is>
      </c>
      <c r="O42" s="66" t="n">
        <v>100</v>
      </c>
      <c r="P42" s="66" t="n">
        <v>100</v>
      </c>
      <c r="Q42" s="67" t="n">
        <v>17700</v>
      </c>
      <c r="R42" s="62" t="inlineStr">
        <is>
          <t>prospectus:stated market capitalisation</t>
        </is>
      </c>
      <c r="S42" s="68" t="n">
        <v>434.57</v>
      </c>
      <c r="T42" s="69" t="n">
        <v>8.199999999999999</v>
      </c>
      <c r="U42" s="70" t="n">
        <v>27.2</v>
      </c>
      <c r="V42" s="66" t="n">
        <v>12.78</v>
      </c>
      <c r="W42" s="62" t="inlineStr">
        <is>
          <t>Affin Hwang Asset Management Berhad; China Southern Asset Management Co., Ltd; CloudAlpha Master Fund; Dymon Asia Capital (Singapore) Pte. Ltd; Foresight Fund Management Company Limited; GF Fund Management Co., Ltd; IvyRock Asset Management (HK) Limited; LAV Star Limited; WT Asset Management Limited</t>
        </is>
      </c>
      <c r="X42" s="62" t="inlineStr">
        <is>
          <t>affin;southern;cloudalpha;dymon;foresight;gf;ivyrock;lav;wt</t>
        </is>
      </c>
      <c r="Y42" s="66" t="n">
        <v>5.5</v>
      </c>
      <c r="Z42" s="62" t="inlineStr">
        <is>
          <t>lapsed</t>
        </is>
      </c>
      <c r="AA42" s="71" t="n">
        <v>-8.539999999999999</v>
      </c>
      <c r="AB42" s="72" t="n">
        <v>-17.53</v>
      </c>
      <c r="AC42" s="72" t="n">
        <v>10.9</v>
      </c>
      <c r="AD42" s="72" t="n">
        <v>-3.05</v>
      </c>
      <c r="AE42" s="72" t="n">
        <v>-8.69</v>
      </c>
      <c r="AF42" s="72" t="n">
        <v>32.16</v>
      </c>
      <c r="AG42" s="72" t="n">
        <v>6</v>
      </c>
      <c r="AH42" s="72" t="n">
        <v>-0.16</v>
      </c>
      <c r="AI42" s="72" t="n">
        <v>44.5</v>
      </c>
      <c r="AJ42" s="72" t="n">
        <v>-9.98</v>
      </c>
      <c r="AK42" s="72" t="n">
        <v>-12.93</v>
      </c>
      <c r="AL42" s="72" t="n">
        <v>45.72</v>
      </c>
      <c r="AM42" s="72" t="n">
        <v>-2.78</v>
      </c>
      <c r="AN42" s="72" t="n">
        <v>4.24</v>
      </c>
      <c r="AO42" s="72" t="n">
        <v>2.62</v>
      </c>
      <c r="AP42" s="62" t="inlineStr">
        <is>
          <t>China Biotech ETF (HS biotech proxy)</t>
        </is>
      </c>
      <c r="AQ42" s="72" t="n">
        <v>-56.71</v>
      </c>
      <c r="AR42" s="63" t="inlineStr">
        <is>
          <t>2026-08-20</t>
        </is>
      </c>
      <c r="AS42" s="64" t="n">
        <v>34.1</v>
      </c>
      <c r="AT42" s="67" t="n">
        <v>-291.6</v>
      </c>
      <c r="AU42" s="62" t="inlineStr">
        <is>
          <t>N</t>
        </is>
      </c>
      <c r="AV42" s="62" t="inlineStr">
        <is>
          <t>n/m</t>
        </is>
      </c>
      <c r="AW42" s="73" t="n"/>
      <c r="AX42" s="73" t="n"/>
      <c r="AY42" s="73" t="n">
        <v>519.1</v>
      </c>
      <c r="AZ42" s="74" t="inlineStr">
        <is>
          <t>N</t>
        </is>
      </c>
      <c r="BA42" s="75">
        <f>IF('BBG Verify'!K42="","not filed — run on terminal",'BBG Verify'!K42)</f>
        <v/>
      </c>
      <c r="BB42" s="62" t="inlineStr">
        <is>
          <t>N/A</t>
        </is>
      </c>
      <c r="BC42" s="62" t="inlineStr">
        <is>
          <t>N/A</t>
        </is>
      </c>
      <c r="BD42" s="62" t="inlineStr">
        <is>
          <t>N/A</t>
        </is>
      </c>
      <c r="BE42" s="62" t="inlineStr">
        <is>
          <t>N/A</t>
        </is>
      </c>
      <c r="BF42" s="62" t="inlineStr">
        <is>
          <t>N/A</t>
        </is>
      </c>
      <c r="BG42" s="74" t="inlineStr">
        <is>
          <t>Goldman Sachs (Asia) L.L.C; UBS Securities Hong Kong Limited</t>
        </is>
      </c>
      <c r="BH42" s="62" t="inlineStr">
        <is>
          <t>UBS Securities Hong Kong Limited; Goldman Sachs (Asia) L.L.C.</t>
        </is>
      </c>
      <c r="BI42" s="62" t="inlineStr">
        <is>
          <t>Goldman Sachs (Asia) L.L.C; UBS AG Hong Kong Branch; CLSA Limited; Credit Suisse (Hong Kong) Limited</t>
        </is>
      </c>
      <c r="BJ42" s="62" t="inlineStr">
        <is>
          <t>CLSA Limited; Credit Suisse (Hong Kong) Limited; Goldman Sachs (Asia) L.L.C.; UBS AG Hong Kong Branch</t>
        </is>
      </c>
      <c r="BK42" s="76">
        <f>HYPERLINK("https://www1.hkexnews.hk/listedco/listconews/sehk/2021/0607/2021060700009.pdf","prospectus")</f>
        <v/>
      </c>
      <c r="BL42" s="76">
        <f>HYPERLINK("https://www1.hkexnews.hk/listedco/listconews/sehk/2021/0617/2021061700006.htm","allotment")</f>
        <v/>
      </c>
      <c r="BM42" s="76">
        <f>HYPERLINK("https://www1.hkexnews.hk/listedco/listconews/sehk/2021/0712/2021071200836.pdf","stabilisation")</f>
        <v/>
      </c>
      <c r="BN42" s="74" t="n"/>
      <c r="BO42" s="62" t="inlineStr">
        <is>
          <t>P/E: n/m — loss-making at IPO (use P/S) · A/H: no A-share listing · cornerstone: AAStocks institutional table includes non-cornerstone orders (superset) — cornerstone % is from the prospectus · P/S: 519x on HK$34.1m revenue — effectively pre-revenue; the multiple is shown for completeness, not comparability</t>
        </is>
      </c>
    </row>
    <row r="43" ht="15" customHeight="1">
      <c r="A43" s="61" t="inlineStr">
        <is>
          <t>9858</t>
        </is>
      </c>
      <c r="B43" s="62" t="inlineStr">
        <is>
          <t>YOURAN DAIRY</t>
        </is>
      </c>
      <c r="C43" s="62" t="inlineStr">
        <is>
          <t>優然牧業</t>
        </is>
      </c>
      <c r="D43" s="62" t="inlineStr">
        <is>
          <t>Consumer</t>
        </is>
      </c>
      <c r="E43" s="62" t="inlineStr">
        <is>
          <t>Beverages / packaged food</t>
        </is>
      </c>
      <c r="F43" s="62" t="inlineStr">
        <is>
          <t>Dairy Products</t>
        </is>
      </c>
      <c r="G43" s="62" t="inlineStr">
        <is>
          <t>Standard</t>
        </is>
      </c>
      <c r="H43" s="63" t="n">
        <v>44365</v>
      </c>
      <c r="I43" s="64" t="n">
        <v>4993.7</v>
      </c>
      <c r="J43" s="62" t="inlineStr">
        <is>
          <t>gross (price x shares)</t>
        </is>
      </c>
      <c r="K43" s="65" t="n">
        <v>6.98</v>
      </c>
      <c r="L43" s="65" t="n">
        <v>8.66</v>
      </c>
      <c r="M43" s="65" t="n">
        <v>6.98</v>
      </c>
      <c r="N43" s="62" t="inlineStr">
        <is>
          <t>N</t>
        </is>
      </c>
      <c r="O43" s="66" t="n">
        <v>80.59999999999999</v>
      </c>
      <c r="P43" s="66" t="n">
        <v>0</v>
      </c>
      <c r="Q43" s="67" t="n">
        <v>31631.2</v>
      </c>
      <c r="R43" s="62" t="inlineStr">
        <is>
          <t>aastocks:上市市值 at the struck price</t>
        </is>
      </c>
      <c r="S43" s="68" t="n">
        <v>3.73</v>
      </c>
      <c r="T43" s="69" t="n">
        <v>3.88</v>
      </c>
      <c r="U43" s="70" t="n">
        <v>7.77</v>
      </c>
      <c r="V43" s="66" t="n">
        <v>14.56</v>
      </c>
      <c r="W43" s="62" t="inlineStr">
        <is>
          <t>CITIC-Prudential Life Insurance Company Limited; Harvest Private Wealth Thematic Fund SPC</t>
        </is>
      </c>
      <c r="X43" s="62" t="inlineStr">
        <is>
          <t>citic;harvest</t>
        </is>
      </c>
      <c r="Y43" s="66" t="n">
        <v>16.97</v>
      </c>
      <c r="Z43" s="62" t="inlineStr">
        <is>
          <t>lapsed</t>
        </is>
      </c>
      <c r="AA43" s="71" t="n">
        <v>-11.89</v>
      </c>
      <c r="AB43" s="72" t="n">
        <v>-10.03</v>
      </c>
      <c r="AC43" s="72" t="n">
        <v>-2.07</v>
      </c>
      <c r="AD43" s="72" t="n">
        <v>-11.32</v>
      </c>
      <c r="AE43" s="72" t="n">
        <v>-26.93</v>
      </c>
      <c r="AF43" s="72" t="n">
        <v>-29.08</v>
      </c>
      <c r="AG43" s="72" t="n">
        <v>0.65</v>
      </c>
      <c r="AH43" s="72" t="n">
        <v>-17.07</v>
      </c>
      <c r="AI43" s="72" t="n">
        <v>-19.51</v>
      </c>
      <c r="AJ43" s="72" t="n">
        <v>-16.57</v>
      </c>
      <c r="AK43" s="72" t="n">
        <v>-23.51</v>
      </c>
      <c r="AL43" s="72" t="n">
        <v>-13.87</v>
      </c>
      <c r="AM43" s="72" t="n">
        <v>-11.66</v>
      </c>
      <c r="AN43" s="72" t="n">
        <v>-3.42</v>
      </c>
      <c r="AO43" s="72" t="n">
        <v>-5.41</v>
      </c>
      <c r="AP43" s="62" t="inlineStr">
        <is>
          <t>Hang Seng Commerce &amp; Industry sub-index</t>
        </is>
      </c>
      <c r="AQ43" s="72" t="n">
        <v>-38.4</v>
      </c>
      <c r="AR43" s="63" t="inlineStr">
        <is>
          <t>2026-08-20</t>
        </is>
      </c>
      <c r="AS43" s="64" t="n">
        <v>12959.3</v>
      </c>
      <c r="AT43" s="67" t="n">
        <v>1694.7</v>
      </c>
      <c r="AU43" s="62" t="inlineStr">
        <is>
          <t>Y</t>
        </is>
      </c>
      <c r="AV43" s="73" t="n">
        <v>18.7</v>
      </c>
      <c r="AW43" s="73" t="n">
        <v>12.3</v>
      </c>
      <c r="AX43" s="73" t="n"/>
      <c r="AY43" s="73" t="n">
        <v>2.4</v>
      </c>
      <c r="AZ43" s="74" t="inlineStr">
        <is>
          <t>N</t>
        </is>
      </c>
      <c r="BA43" s="75">
        <f>IF('BBG Verify'!K43="","not filed — run on terminal",'BBG Verify'!K43)</f>
        <v/>
      </c>
      <c r="BB43" s="62" t="inlineStr">
        <is>
          <t>N/A</t>
        </is>
      </c>
      <c r="BC43" s="62" t="inlineStr">
        <is>
          <t>N/A</t>
        </is>
      </c>
      <c r="BD43" s="62" t="inlineStr">
        <is>
          <t>N/A</t>
        </is>
      </c>
      <c r="BE43" s="62" t="inlineStr">
        <is>
          <t>N/A</t>
        </is>
      </c>
      <c r="BF43" s="62" t="inlineStr">
        <is>
          <t>N/A</t>
        </is>
      </c>
      <c r="BG43" s="74" t="inlineStr">
        <is>
          <t>Huatai Financial Holdings (Hong Kong) Limited; Credit Suisse (Hong Kong) Limited</t>
        </is>
      </c>
      <c r="BH43" s="62" t="inlineStr">
        <is>
          <t>Huatai Financial Holdings (Hong Kong) Limited; Credit Suisse (Hong Kong) Limited</t>
        </is>
      </c>
      <c r="BI43" s="62" t="inlineStr">
        <is>
          <t>Huatai Financial Holdings (Hong Kong) Limited; Credit Suisse (Hong Kong) Limited; Citigroup Global Markets Asia Limited; Central, Hong Kong CLSA Limited; Central, Hong Kong Citigroup Global Markets Limited; Canary Wharf London E14 5LB United Kingdom CLSA Limited; The Hongkong and Shanghai Banking Corporation Limited; BOCOM International Securities Limited; Corporate Finance Company Limited; Central, Hong Kong ICBC International Capital Limited; Futu Securities International (Hong Kong) Limited</t>
        </is>
      </c>
      <c r="BJ43" s="62" t="inlineStr">
        <is>
          <t>Beta International Securities Limited; Citigroup Global Markets Asia Limited; CLSA Limited; Credit Suisse (Hong Kong) Limited; China Securities (International) Corporate Finance Company Limited; Futu Securities International (Hong Kong) Limited; Huatai Financial Holdings (Hong Kong) Limited; The Hongkong and Shanghai Banking Corporation Limited; ICBC International Securities Limited</t>
        </is>
      </c>
      <c r="BK43" s="76">
        <f>HYPERLINK("https://www1.hkexnews.hk/listedco/listconews/sehk/2021/0607/2021060700019.pdf","prospectus")</f>
        <v/>
      </c>
      <c r="BL43" s="76">
        <f>HYPERLINK("https://www1.hkexnews.hk/listedco/listconews/sehk/2021/0617/2021061700034.htm","allotment")</f>
        <v/>
      </c>
      <c r="BM43" s="76">
        <f>HYPERLINK("https://www1.hkexnews.hk/listedco/listconews/sehk/2021/0711/2021071100011.pdf","stabilisation")</f>
        <v/>
      </c>
      <c r="BN43" s="74" t="n"/>
      <c r="BO43" s="62" t="inlineStr">
        <is>
          <t>A/H: no A-share listing · market cap: estimate from deal size / offer % of enlarged capital disagreed with the published listing cap — published figure adopted</t>
        </is>
      </c>
    </row>
    <row r="44" ht="15" customHeight="1">
      <c r="A44" s="61" t="inlineStr">
        <is>
          <t>2155</t>
        </is>
      </c>
      <c r="B44" s="62" t="inlineStr">
        <is>
          <t>MORIMATSU INTL</t>
        </is>
      </c>
      <c r="C44" s="62" t="inlineStr">
        <is>
          <t>森松國際</t>
        </is>
      </c>
      <c r="D44" s="62" t="inlineStr">
        <is>
          <t>Industrials</t>
        </is>
      </c>
      <c r="E44" s="62" t="inlineStr">
        <is>
          <t>Capital goods / machinery</t>
        </is>
      </c>
      <c r="F44" s="62" t="inlineStr">
        <is>
          <t>Industrial Machinery</t>
        </is>
      </c>
      <c r="G44" s="62" t="inlineStr">
        <is>
          <t>Standard</t>
        </is>
      </c>
      <c r="H44" s="63" t="n">
        <v>44375</v>
      </c>
      <c r="I44" s="64" t="n">
        <v>620</v>
      </c>
      <c r="J44" s="62" t="inlineStr">
        <is>
          <t>gross (price x shares)</t>
        </is>
      </c>
      <c r="K44" s="65" t="n">
        <v>2.2</v>
      </c>
      <c r="L44" s="65" t="n">
        <v>2.48</v>
      </c>
      <c r="M44" s="65" t="n">
        <v>2.48</v>
      </c>
      <c r="N44" s="62" t="inlineStr">
        <is>
          <t>Y</t>
        </is>
      </c>
      <c r="O44" s="66" t="n">
        <v>100</v>
      </c>
      <c r="P44" s="66" t="n">
        <v>100</v>
      </c>
      <c r="Q44" s="67" t="n">
        <v>2755.6</v>
      </c>
      <c r="R44" s="62" t="inlineStr">
        <is>
          <t>derived:deal size / offer % of enlarged capital</t>
        </is>
      </c>
      <c r="S44" s="68" t="n">
        <v>23.71</v>
      </c>
      <c r="T44" s="69" t="n">
        <v>2.36</v>
      </c>
      <c r="U44" s="70" t="n">
        <v>44.63</v>
      </c>
      <c r="V44" s="66" t="n">
        <v>12.46</v>
      </c>
      <c r="W44" s="62" t="inlineStr">
        <is>
          <t>China Universal Asset Management Limited Liability Company; Huayou HongKong Holding Limited; Hwa-An International Limited; Jingzhirui (Suzhou) Microelectronic Technology Co., Ltd; WuXi Biologics HealthCare Venture; Zhang Ning</t>
        </is>
      </c>
      <c r="X44" s="62" t="inlineStr">
        <is>
          <t>universal;huayou;hwa;jingzhirui;wuxi;zhang-ning</t>
        </is>
      </c>
      <c r="Y44" s="66" t="n">
        <v>12.37</v>
      </c>
      <c r="Z44" s="62" t="inlineStr">
        <is>
          <t>full</t>
        </is>
      </c>
      <c r="AA44" s="71" t="n">
        <v>258.87</v>
      </c>
      <c r="AB44" s="72" t="n">
        <v>100</v>
      </c>
      <c r="AC44" s="72" t="n">
        <v>79.44</v>
      </c>
      <c r="AD44" s="72" t="n">
        <v>459.68</v>
      </c>
      <c r="AE44" s="72" t="n">
        <v>303.23</v>
      </c>
      <c r="AF44" s="72" t="n">
        <v>290.73</v>
      </c>
      <c r="AG44" s="72" t="n">
        <v>55.96</v>
      </c>
      <c r="AH44" s="72" t="n">
        <v>12.36</v>
      </c>
      <c r="AI44" s="72" t="n">
        <v>8.880000000000001</v>
      </c>
      <c r="AJ44" s="72" t="n">
        <v>465.73</v>
      </c>
      <c r="AK44" s="72" t="n">
        <v>316.25</v>
      </c>
      <c r="AL44" s="72" t="n">
        <v>309.79</v>
      </c>
      <c r="AM44" s="72" t="n">
        <v>25.1</v>
      </c>
      <c r="AN44" s="72" t="n">
        <v>-13.02</v>
      </c>
      <c r="AO44" s="72" t="n">
        <v>-12.74</v>
      </c>
      <c r="AP44" s="62" t="inlineStr">
        <is>
          <t>Hang Seng Commerce &amp; Industry sub-index</t>
        </is>
      </c>
      <c r="AQ44" s="72" t="n">
        <v>203.23</v>
      </c>
      <c r="AR44" s="63" t="inlineStr">
        <is>
          <t>2026-08-21</t>
        </is>
      </c>
      <c r="AS44" s="64" t="n">
        <v>3109</v>
      </c>
      <c r="AT44" s="67" t="n">
        <v>161.3</v>
      </c>
      <c r="AU44" s="62" t="inlineStr">
        <is>
          <t>Y</t>
        </is>
      </c>
      <c r="AV44" s="73" t="n">
        <v>17.1</v>
      </c>
      <c r="AW44" s="73" t="n"/>
      <c r="AX44" s="73" t="n">
        <v>13.4</v>
      </c>
      <c r="AY44" s="73" t="n">
        <v>0.9</v>
      </c>
      <c r="AZ44" s="74" t="inlineStr">
        <is>
          <t>N</t>
        </is>
      </c>
      <c r="BA44" s="75">
        <f>IF('BBG Verify'!K44="","not filed — run on terminal",'BBG Verify'!K44)</f>
        <v/>
      </c>
      <c r="BB44" s="62" t="inlineStr">
        <is>
          <t>N/A</t>
        </is>
      </c>
      <c r="BC44" s="62" t="inlineStr">
        <is>
          <t>N/A</t>
        </is>
      </c>
      <c r="BD44" s="62" t="inlineStr">
        <is>
          <t>N/A</t>
        </is>
      </c>
      <c r="BE44" s="62" t="inlineStr">
        <is>
          <t>N/A</t>
        </is>
      </c>
      <c r="BF44" s="62" t="inlineStr">
        <is>
          <t>N/A</t>
        </is>
      </c>
      <c r="BG44" s="74" t="inlineStr">
        <is>
          <t>Sinolink Securities (Hong Kong) Company Limited</t>
        </is>
      </c>
      <c r="BH44" s="62" t="inlineStr">
        <is>
          <t>Sinolink Securities (Hong Kong) Company Limited</t>
        </is>
      </c>
      <c r="BI44" s="62" t="inlineStr">
        <is>
          <t>Sinolink Securities (Hong Kong) Company Limited; Haitong International Securities Company Limited; Innovax Securities Limited</t>
        </is>
      </c>
      <c r="BJ44" s="62" t="inlineStr">
        <is>
          <t>Futu Securities International (Hong Kong) Limited; Haitong International Securities Company Limited; Innovax Securities Limited; Livermore Holdings Limited; Sinolink Securities (Hong Kong) Company Limited; Sinomax Securities Limited</t>
        </is>
      </c>
      <c r="BK44" s="76">
        <f>HYPERLINK("https://www1.hkexnews.hk/listedco/listconews/sehk/2021/0615/2021061500023.pdf","prospectus")</f>
        <v/>
      </c>
      <c r="BL44" s="76">
        <f>HYPERLINK("https://www1.hkexnews.hk/listedco/listconews/sehk/2021/0625/2021062500064.htm","allotment")</f>
        <v/>
      </c>
      <c r="BM44" s="76">
        <f>HYPERLINK("https://www1.hkexnews.hk/listedco/listconews/sehk/2021/0719/2021071900868.pdf","stabilisation")</f>
        <v/>
      </c>
      <c r="BN44" s="74" t="n"/>
      <c r="BO44" s="62" t="inlineStr">
        <is>
          <t>A/H: no A-share listing</t>
        </is>
      </c>
    </row>
    <row r="45" ht="15" customHeight="1">
      <c r="A45" s="61" t="inlineStr">
        <is>
          <t>6626</t>
        </is>
      </c>
      <c r="B45" s="62" t="inlineStr">
        <is>
          <t>YUEXIU SERVICES</t>
        </is>
      </c>
      <c r="C45" s="62" t="inlineStr">
        <is>
          <t>越秀服務</t>
        </is>
      </c>
      <c r="D45" s="62" t="inlineStr">
        <is>
          <t>Real Estate</t>
        </is>
      </c>
      <c r="E45" s="62" t="inlineStr">
        <is>
          <t>Property management</t>
        </is>
      </c>
      <c r="F45" s="62" t="inlineStr">
        <is>
          <t>Property Service and Management</t>
        </is>
      </c>
      <c r="G45" s="62" t="inlineStr">
        <is>
          <t>Standard</t>
        </is>
      </c>
      <c r="H45" s="63" t="n">
        <v>44375</v>
      </c>
      <c r="I45" s="64" t="n">
        <v>264.62</v>
      </c>
      <c r="J45" s="62" t="inlineStr">
        <is>
          <t>net proceeds</t>
        </is>
      </c>
      <c r="K45" s="65" t="n">
        <v>4.88</v>
      </c>
      <c r="L45" s="65" t="n">
        <v>6.52</v>
      </c>
      <c r="M45" s="65" t="n">
        <v>4.88</v>
      </c>
      <c r="N45" s="62" t="inlineStr">
        <is>
          <t>N</t>
        </is>
      </c>
      <c r="O45" s="66" t="n">
        <v>74.8</v>
      </c>
      <c r="P45" s="66" t="n">
        <v>0</v>
      </c>
      <c r="Q45" s="67" t="n">
        <v>7215.7</v>
      </c>
      <c r="R45" s="62" t="inlineStr">
        <is>
          <t>prospectus:stated market capitalisation</t>
        </is>
      </c>
      <c r="S45" s="68" t="n">
        <v>9.880000000000001</v>
      </c>
      <c r="T45" s="69" t="n">
        <v>2.4</v>
      </c>
      <c r="U45" s="70" t="n">
        <v>10.76</v>
      </c>
      <c r="V45" s="66" t="n">
        <v>3.27</v>
      </c>
      <c r="W45" s="62" t="inlineStr">
        <is>
          <t>Crotona Assets Limited; Goingup Inc Limited; Jiang Ganjun; Kaiser Private Equity Fund SPC-SPI; Ke Jiansheng; Keltic Investment (HK) Limited; New China Asset Management (Hong Kong) Limited; SensePower Management Limited; Sunfly Holding Co., Ltd; Wealthking Investments Limited</t>
        </is>
      </c>
      <c r="X45" s="62" t="inlineStr">
        <is>
          <t>crotona;goingup;jiang-ganjun;kaiser;ke;keltic;new;sensepower;sunfly;wealthking</t>
        </is>
      </c>
      <c r="Y45" s="66" t="n">
        <v>6.11</v>
      </c>
      <c r="Z45" s="62" t="inlineStr">
        <is>
          <t>partial</t>
        </is>
      </c>
      <c r="AA45" s="71" t="n">
        <v>0</v>
      </c>
      <c r="AB45" s="72" t="n">
        <v>-1.64</v>
      </c>
      <c r="AC45" s="72" t="n">
        <v>1.67</v>
      </c>
      <c r="AD45" s="72" t="n">
        <v>10.04</v>
      </c>
      <c r="AE45" s="72" t="n">
        <v>-13.93</v>
      </c>
      <c r="AF45" s="72" t="n">
        <v>-33.81</v>
      </c>
      <c r="AG45" s="72" t="n">
        <v>10.04</v>
      </c>
      <c r="AH45" s="72" t="n">
        <v>-13.93</v>
      </c>
      <c r="AI45" s="72" t="n">
        <v>-33.81</v>
      </c>
      <c r="AJ45" s="72" t="n">
        <v>12.74</v>
      </c>
      <c r="AK45" s="72" t="n">
        <v>-5.36</v>
      </c>
      <c r="AL45" s="72" t="n">
        <v>-13.45</v>
      </c>
      <c r="AM45" s="72" t="n">
        <v>-5.77</v>
      </c>
      <c r="AN45" s="72" t="n">
        <v>-8.57</v>
      </c>
      <c r="AO45" s="72" t="n">
        <v>-8.16</v>
      </c>
      <c r="AP45" s="62" t="inlineStr">
        <is>
          <t>Hang Seng Properties sub-index</t>
        </is>
      </c>
      <c r="AQ45" s="72" t="n">
        <v>-63.63</v>
      </c>
      <c r="AR45" s="63" t="inlineStr">
        <is>
          <t>2026-08-21</t>
        </is>
      </c>
      <c r="AS45" s="64" t="n">
        <v>1284.9</v>
      </c>
      <c r="AT45" s="67" t="n">
        <v>224.1</v>
      </c>
      <c r="AU45" s="62" t="inlineStr">
        <is>
          <t>Y</t>
        </is>
      </c>
      <c r="AV45" s="73" t="n">
        <v>32.2</v>
      </c>
      <c r="AW45" s="73" t="n"/>
      <c r="AX45" s="73" t="n">
        <v>8</v>
      </c>
      <c r="AY45" s="73" t="n">
        <v>5.6</v>
      </c>
      <c r="AZ45" s="74" t="inlineStr">
        <is>
          <t>N</t>
        </is>
      </c>
      <c r="BA45" s="75">
        <f>IF('BBG Verify'!K45="","not filed — run on terminal",'BBG Verify'!K45)</f>
        <v/>
      </c>
      <c r="BB45" s="62" t="inlineStr">
        <is>
          <t>N/A</t>
        </is>
      </c>
      <c r="BC45" s="62" t="inlineStr">
        <is>
          <t>N/A</t>
        </is>
      </c>
      <c r="BD45" s="62" t="inlineStr">
        <is>
          <t>N/A</t>
        </is>
      </c>
      <c r="BE45" s="62" t="inlineStr">
        <is>
          <t>N/A</t>
        </is>
      </c>
      <c r="BF45" s="62" t="inlineStr">
        <is>
          <t>N/A</t>
        </is>
      </c>
      <c r="BG45" s="74" t="inlineStr">
        <is>
          <t>ABCI Capital Limited; China Securities (International) Corporate Finance Company Limited; CCB International Capital Limited; Yue Xiu Capital Limited</t>
        </is>
      </c>
      <c r="BH45" s="62" t="inlineStr">
        <is>
          <t>CCB International Capital Limited; China Securities (International) Corporate Finance Company Limited; Yue Xiu Capital Limited; ABCI Capital Limited</t>
        </is>
      </c>
      <c r="BI45" s="62" t="inlineStr">
        <is>
          <t>ABCI Capital Limited; China Securities (International) Corporate Finance Company Limited; CCB International Capital Limited; Yue Xiu Securities Company Limited; BOCOM International Securities Limited; BOCI Asia Limited; Chong Hing Securities Limited; CLSA Limited; CMBC Securities Company Limited; Haitong International Securities Company Limited; ICBC International Capital Limited</t>
        </is>
      </c>
      <c r="BJ45" s="62" t="inlineStr">
        <is>
          <t>ABCI Securities Company Limited; Beta International Securities Limited; BOCI Asia Limited; CCB International Capital Limited; China International Capital Corporation Hong Kong Securities Limited; Chong Hing Securities Limited; CLSA Limited; CMBC Securities Company Limited; China Securities (International) Corporate Finance Company Limited; Futu Securities International (Hong Kong) Limited; Haitong International Securities Company Limited; ICBC International Securities Limited</t>
        </is>
      </c>
      <c r="BK45" s="76">
        <f>HYPERLINK("https://www1.hkexnews.hk/listedco/listconews/sehk/2021/0616/2021061600035.pdf","prospectus")</f>
        <v/>
      </c>
      <c r="BL45" s="76">
        <f>HYPERLINK("https://www1.hkexnews.hk/listedco/listconews/sehk/2021/0625/2021062500178.htm","allotment")</f>
        <v/>
      </c>
      <c r="BM45" s="76">
        <f>HYPERLINK("https://www1.hkexnews.hk/listedco/listconews/sehk/2021/0721/2021072101184.pdf","stabilisation")</f>
        <v/>
      </c>
      <c r="BN45" s="74" t="n"/>
      <c r="BO45" s="62" t="inlineStr">
        <is>
          <t>A/H: no A-share listing · cornerstone: AAStocks institutional table includes non-cornerstone orders (superset) — cornerstone % is from the prospectus</t>
        </is>
      </c>
    </row>
    <row r="46" ht="15" customHeight="1">
      <c r="A46" s="61" t="inlineStr">
        <is>
          <t>0013</t>
        </is>
      </c>
      <c r="B46" s="62" t="inlineStr">
        <is>
          <t>HUTCHMED</t>
        </is>
      </c>
      <c r="C46" s="62" t="inlineStr">
        <is>
          <t>和黃醫藥</t>
        </is>
      </c>
      <c r="D46" s="62" t="inlineStr">
        <is>
          <t>Healthcare</t>
        </is>
      </c>
      <c r="E46" s="62" t="inlineStr">
        <is>
          <t>Biopharma commercial</t>
        </is>
      </c>
      <c r="F46" s="62" t="inlineStr">
        <is>
          <t>Biotechnology</t>
        </is>
      </c>
      <c r="G46" s="62" t="inlineStr">
        <is>
          <t>Standard</t>
        </is>
      </c>
      <c r="H46" s="63" t="n">
        <v>44377</v>
      </c>
      <c r="I46" s="64" t="n">
        <v>4170.4</v>
      </c>
      <c r="J46" s="62" t="inlineStr">
        <is>
          <t>gross (price x shares)</t>
        </is>
      </c>
      <c r="K46" s="65" t="n"/>
      <c r="L46" s="65" t="n">
        <v>45</v>
      </c>
      <c r="M46" s="65" t="n">
        <v>40.1</v>
      </c>
      <c r="N46" s="62" t="inlineStr">
        <is>
          <t>N</t>
        </is>
      </c>
      <c r="O46" s="66" t="n">
        <v>89.09999999999999</v>
      </c>
      <c r="P46" s="66" t="n"/>
      <c r="Q46" s="67" t="n">
        <v>38183.2</v>
      </c>
      <c r="R46" s="62" t="inlineStr">
        <is>
          <t>prospectus:stated market capitalisation</t>
        </is>
      </c>
      <c r="S46" s="68" t="n">
        <v>5.23</v>
      </c>
      <c r="T46" s="69" t="n">
        <v>5</v>
      </c>
      <c r="U46" s="70" t="n">
        <v>44.9</v>
      </c>
      <c r="V46" s="66" t="n">
        <v>6.02</v>
      </c>
      <c r="W46" s="62" t="inlineStr">
        <is>
          <t>CA Fern Parent; CICC Grandeur (Xiamen) Equity Investment Fund Partnership (L.P.); CPP Investments; General Atlantic Singapore HCM Pte. Ltd; HBM Healthcare Investments (Cayman) Ltd</t>
        </is>
      </c>
      <c r="X46" s="62" t="inlineStr">
        <is>
          <t>ca;china-international;cpp;general;hbm</t>
        </is>
      </c>
      <c r="Y46" s="66" t="n">
        <v>5.1</v>
      </c>
      <c r="Z46" s="62" t="n"/>
      <c r="AA46" s="71" t="n">
        <v>50.37</v>
      </c>
      <c r="AB46" s="72" t="n">
        <v>28.18</v>
      </c>
      <c r="AC46" s="72" t="n">
        <v>17.31</v>
      </c>
      <c r="AD46" s="72" t="n">
        <v>42.02</v>
      </c>
      <c r="AE46" s="72" t="n">
        <v>76.06</v>
      </c>
      <c r="AF46" s="72" t="n">
        <v>44.26</v>
      </c>
      <c r="AG46" s="72" t="n">
        <v>-5.55</v>
      </c>
      <c r="AH46" s="72" t="n">
        <v>17.08</v>
      </c>
      <c r="AI46" s="72" t="n">
        <v>-4.06</v>
      </c>
      <c r="AJ46" s="72" t="n">
        <v>48.98</v>
      </c>
      <c r="AK46" s="72" t="n">
        <v>85.86</v>
      </c>
      <c r="AL46" s="72" t="n">
        <v>62.51</v>
      </c>
      <c r="AM46" s="72" t="n">
        <v>26.24</v>
      </c>
      <c r="AN46" s="72" t="n">
        <v>-9.800000000000001</v>
      </c>
      <c r="AO46" s="72" t="n">
        <v>-9.16</v>
      </c>
      <c r="AP46" s="62" t="inlineStr">
        <is>
          <t>China Biotech ETF (HS biotech proxy)</t>
        </is>
      </c>
      <c r="AQ46" s="72" t="n">
        <v>-50.72</v>
      </c>
      <c r="AR46" s="63" t="inlineStr">
        <is>
          <t>2026-08-20</t>
        </is>
      </c>
      <c r="AS46" s="64" t="n">
        <v>1778.2</v>
      </c>
      <c r="AT46" s="67" t="n">
        <v>-901</v>
      </c>
      <c r="AU46" s="62" t="inlineStr">
        <is>
          <t>N</t>
        </is>
      </c>
      <c r="AV46" s="62" t="inlineStr">
        <is>
          <t>n/m</t>
        </is>
      </c>
      <c r="AW46" s="73" t="n"/>
      <c r="AX46" s="73" t="n"/>
      <c r="AY46" s="73" t="n">
        <v>21.5</v>
      </c>
      <c r="AZ46" s="74" t="inlineStr">
        <is>
          <t>N</t>
        </is>
      </c>
      <c r="BA46" s="75">
        <f>IF('BBG Verify'!K46="","not filed — run on terminal",'BBG Verify'!K46)</f>
        <v/>
      </c>
      <c r="BB46" s="62" t="inlineStr">
        <is>
          <t>N/A</t>
        </is>
      </c>
      <c r="BC46" s="62" t="inlineStr">
        <is>
          <t>N/A</t>
        </is>
      </c>
      <c r="BD46" s="62" t="inlineStr">
        <is>
          <t>N/A</t>
        </is>
      </c>
      <c r="BE46" s="62" t="inlineStr">
        <is>
          <t>N/A</t>
        </is>
      </c>
      <c r="BF46" s="62" t="inlineStr">
        <is>
          <t>N/A</t>
        </is>
      </c>
      <c r="BG46" s="74" t="inlineStr">
        <is>
          <t>Morgan Stanley Asia Limited; Jefferies Hong Kong Limited; China International Capital Corporation Hong Kong Securities Limited</t>
        </is>
      </c>
      <c r="BH46" s="62" t="inlineStr">
        <is>
          <t>China International Capital Corporation Hong Kong Securities Limited; Jefferies Hong Kong Limited; Morgan Stanley Asia Limited</t>
        </is>
      </c>
      <c r="BI46" s="62" t="inlineStr">
        <is>
          <t>Morgan Stanley Asia Limited; Jefferies Hong Kong Limited; China International Capital Corporation Hong Kong Securities Limited; Credit Suisse (Hong Kong) Limited; Morgan Stanley &amp; Co. International plc; London E14 4QA United Kingdom Jefferies Hong Kong Limited; The Hongkong and Shanghai Banking Corporation Limited; Macquarie Capital Limited; Deutsche Bank AG, Hong Kong Branch; BOCI Asia Limited; CMB International Capital Limited; China Merchants Securities (HK) Co., Limited</t>
        </is>
      </c>
      <c r="BJ46" s="62" t="inlineStr">
        <is>
          <t>BOCI Asia Limited; China International Capital Corporation Hong Kong Securities Limited; CMB International Capital Corporation Limited; China Merchants Securities (HK) Company Limited; Credit Suisse (Hong Kong) Limited; Deutsche Bank AG, Hong Kong Branch; The Hongkong and Shanghai Banking Corporation Limited; Jefferies Hong Kong Limited; Macquarie Capital Limited; Morgan Stanley Asia Limited</t>
        </is>
      </c>
      <c r="BK46" s="76">
        <f>HYPERLINK("https://www1.hkexnews.hk/listedco/listconews/sehk/2021/0618/2021061800169.pdf","prospectus")</f>
        <v/>
      </c>
      <c r="BL46" s="76">
        <f>HYPERLINK("https://www1.hkexnews.hk/listedco/listconews/sehk/2021/0629/2021062900052.htm","allotment")</f>
        <v/>
      </c>
      <c r="BM46" s="62" t="n"/>
      <c r="BN46" s="74" t="n"/>
      <c r="BO46" s="62" t="inlineStr">
        <is>
          <t>P/E: n/m — loss-making at IPO (use P/S) · greenshoe: end-of-stabilisation notice not located · range low: cap-only pricing — the filing publishes a Maximum Offer Price and no indicative floor · A/H: no A-share listing</t>
        </is>
      </c>
    </row>
    <row r="47" ht="15" customHeight="1">
      <c r="A47" s="61" t="inlineStr">
        <is>
          <t>2150</t>
        </is>
      </c>
      <c r="B47" s="62" t="inlineStr">
        <is>
          <t>NAYUKI</t>
        </is>
      </c>
      <c r="C47" s="62" t="inlineStr">
        <is>
          <t>奈雪的茶</t>
        </is>
      </c>
      <c r="D47" s="62" t="inlineStr">
        <is>
          <t>Consumer</t>
        </is>
      </c>
      <c r="E47" s="62" t="inlineStr">
        <is>
          <t>F&amp;B chains / restaurants</t>
        </is>
      </c>
      <c r="F47" s="62" t="inlineStr">
        <is>
          <t>Restaurants</t>
        </is>
      </c>
      <c r="G47" s="62" t="inlineStr">
        <is>
          <t>Standard</t>
        </is>
      </c>
      <c r="H47" s="63" t="n">
        <v>44377</v>
      </c>
      <c r="I47" s="64" t="n">
        <v>4842.4</v>
      </c>
      <c r="J47" s="62" t="inlineStr">
        <is>
          <t>net proceeds</t>
        </is>
      </c>
      <c r="K47" s="65" t="n">
        <v>17.2</v>
      </c>
      <c r="L47" s="65" t="n">
        <v>19.8</v>
      </c>
      <c r="M47" s="65" t="n">
        <v>19.8</v>
      </c>
      <c r="N47" s="62" t="inlineStr">
        <is>
          <t>Y</t>
        </is>
      </c>
      <c r="O47" s="66" t="n">
        <v>100</v>
      </c>
      <c r="P47" s="66" t="n">
        <v>100</v>
      </c>
      <c r="Q47" s="67" t="n">
        <v>29500.2</v>
      </c>
      <c r="R47" s="62" t="inlineStr">
        <is>
          <t>prospectus:stated market capitalisation</t>
        </is>
      </c>
      <c r="S47" s="68" t="n">
        <v>432.03</v>
      </c>
      <c r="T47" s="69" t="n">
        <v>18.18</v>
      </c>
      <c r="U47" s="70" t="n">
        <v>23.6</v>
      </c>
      <c r="V47" s="66" t="n">
        <v>12.54</v>
      </c>
      <c r="W47" s="62" t="inlineStr">
        <is>
          <t>China Southern Asset Management Co., Ltd; GF Fund Management Co., Ltd; Grand Rejuvenation Premium Selection Fund SPC; UBS Funds</t>
        </is>
      </c>
      <c r="X47" s="62" t="inlineStr">
        <is>
          <t>southern;gf;grand-rejuvenation;ubs</t>
        </is>
      </c>
      <c r="Y47" s="66" t="n">
        <v>15</v>
      </c>
      <c r="Z47" s="62" t="inlineStr">
        <is>
          <t>lapsed</t>
        </is>
      </c>
      <c r="AA47" s="71" t="n">
        <v>-13.54</v>
      </c>
      <c r="AB47" s="72" t="n">
        <v>-4.75</v>
      </c>
      <c r="AC47" s="72" t="n">
        <v>-9.23</v>
      </c>
      <c r="AD47" s="72" t="n">
        <v>-19.09</v>
      </c>
      <c r="AE47" s="72" t="n">
        <v>-42.93</v>
      </c>
      <c r="AF47" s="72" t="n">
        <v>-39.19</v>
      </c>
      <c r="AG47" s="72" t="n">
        <v>-6.42</v>
      </c>
      <c r="AH47" s="72" t="n">
        <v>-33.99</v>
      </c>
      <c r="AI47" s="72" t="n">
        <v>-29.67</v>
      </c>
      <c r="AJ47" s="72" t="n">
        <v>-9.67</v>
      </c>
      <c r="AK47" s="72" t="n">
        <v>-28.13</v>
      </c>
      <c r="AL47" s="72" t="n">
        <v>-20.13</v>
      </c>
      <c r="AM47" s="72" t="n">
        <v>-19.79</v>
      </c>
      <c r="AN47" s="72" t="n">
        <v>-14.8</v>
      </c>
      <c r="AO47" s="72" t="n">
        <v>-14.2</v>
      </c>
      <c r="AP47" s="62" t="inlineStr">
        <is>
          <t>Hang Seng Commerce &amp; Industry sub-index</t>
        </is>
      </c>
      <c r="AQ47" s="72" t="n">
        <v>-96.39</v>
      </c>
      <c r="AR47" s="63" t="inlineStr">
        <is>
          <t>2026-08-20</t>
        </is>
      </c>
      <c r="AS47" s="64" t="n">
        <v>3362.9</v>
      </c>
      <c r="AT47" s="67" t="n">
        <v>-223.6</v>
      </c>
      <c r="AU47" s="62" t="inlineStr">
        <is>
          <t>N</t>
        </is>
      </c>
      <c r="AV47" s="62" t="inlineStr">
        <is>
          <t>n/m</t>
        </is>
      </c>
      <c r="AW47" s="73" t="n"/>
      <c r="AX47" s="73" t="n"/>
      <c r="AY47" s="73" t="n">
        <v>8.800000000000001</v>
      </c>
      <c r="AZ47" s="74" t="inlineStr">
        <is>
          <t>N</t>
        </is>
      </c>
      <c r="BA47" s="75">
        <f>IF('BBG Verify'!K47="","not filed — run on terminal",'BBG Verify'!K47)</f>
        <v/>
      </c>
      <c r="BB47" s="62" t="inlineStr">
        <is>
          <t>N/A</t>
        </is>
      </c>
      <c r="BC47" s="62" t="inlineStr">
        <is>
          <t>N/A</t>
        </is>
      </c>
      <c r="BD47" s="62" t="inlineStr">
        <is>
          <t>N/A</t>
        </is>
      </c>
      <c r="BE47" s="62" t="inlineStr">
        <is>
          <t>N/A</t>
        </is>
      </c>
      <c r="BF47" s="62" t="inlineStr">
        <is>
          <t>N/A</t>
        </is>
      </c>
      <c r="BG47" s="74" t="inlineStr">
        <is>
          <t>J.P. Morgan Securities (Far East) Limited; CMB International Capital Limited; Huatai Financial Holdings (Hong Kong) Limited</t>
        </is>
      </c>
      <c r="BH47" s="62" t="inlineStr">
        <is>
          <t>J.P. Morgan Securities (Far East) Limited; Huatai Financial Holdings (Hong Kong) Limited; CMB International Capital Limited</t>
        </is>
      </c>
      <c r="BI47" s="62" t="inlineStr">
        <is>
          <t>J.P. Morgan Securities (Asia Pacific) Limited; CMB International Capital Limited; Huatai Financial Holdings (Hong Kong) Limited; J.P. Morgan Securities plc; Canary Wharf London E14 5JP United Kingdom CMB International Capital Limited; Haitong International Securities Company Limited; ABCI Capital Limited</t>
        </is>
      </c>
      <c r="BJ47" s="62" t="inlineStr">
        <is>
          <t>ABCI Securities Company Limited; Beta International Securities Limited; CMB International Capital Corporation Limited; Futu Securities International (Hong Kong) Limited; Huatai Financial Holdings (Hong Kong) Limited; Haitong International Securities Company Limited; J.P. Morgan Securities (Asia Pacific) Limited</t>
        </is>
      </c>
      <c r="BK47" s="76">
        <f>HYPERLINK("https://www1.hkexnews.hk/listedco/listconews/sehk/2021/0618/2021061800009.pdf","prospectus")</f>
        <v/>
      </c>
      <c r="BL47" s="76">
        <f>HYPERLINK("https://www1.hkexnews.hk/listedco/listconews/sehk/2021/0629/2021062900074.htm","allotment")</f>
        <v/>
      </c>
      <c r="BM47" s="76">
        <f>HYPERLINK("https://www1.hkexnews.hk/listedco/listconews/sehk/2021/0723/2021072300965.pdf","stabilisation")</f>
        <v/>
      </c>
      <c r="BN47" s="74" t="n"/>
      <c r="BO47" s="62" t="inlineStr">
        <is>
          <t>P/E: n/m — loss-making at IPO (use P/S) · A/H: no A-share listing</t>
        </is>
      </c>
    </row>
    <row r="48" ht="15" customHeight="1">
      <c r="A48" s="61" t="inlineStr">
        <is>
          <t>0606</t>
        </is>
      </c>
      <c r="B48" s="62" t="inlineStr">
        <is>
          <t>SCE CM</t>
        </is>
      </c>
      <c r="C48" s="62" t="inlineStr">
        <is>
          <t>中駿商管</t>
        </is>
      </c>
      <c r="D48" s="62" t="inlineStr">
        <is>
          <t>Real Estate</t>
        </is>
      </c>
      <c r="E48" s="62" t="inlineStr">
        <is>
          <t>Property management</t>
        </is>
      </c>
      <c r="F48" s="62" t="inlineStr">
        <is>
          <t>Property Service and Management</t>
        </is>
      </c>
      <c r="G48" s="62" t="inlineStr">
        <is>
          <t>Standard</t>
        </is>
      </c>
      <c r="H48" s="63" t="n">
        <v>44379</v>
      </c>
      <c r="I48" s="64" t="n">
        <v>1850</v>
      </c>
      <c r="J48" s="62" t="inlineStr">
        <is>
          <t>gross (price x shares)</t>
        </is>
      </c>
      <c r="K48" s="65" t="n"/>
      <c r="L48" s="65" t="n">
        <v>4.6</v>
      </c>
      <c r="M48" s="65" t="n">
        <v>3.7</v>
      </c>
      <c r="N48" s="62" t="inlineStr">
        <is>
          <t>N</t>
        </is>
      </c>
      <c r="O48" s="66" t="n">
        <v>80.40000000000001</v>
      </c>
      <c r="P48" s="66" t="n"/>
      <c r="Q48" s="67" t="n">
        <v>7400</v>
      </c>
      <c r="R48" s="62" t="inlineStr">
        <is>
          <t>derived:deal size / offer % of enlarged capital</t>
        </is>
      </c>
      <c r="S48" s="68" t="n">
        <v>1.3</v>
      </c>
      <c r="T48" s="69" t="n">
        <v>3.65</v>
      </c>
      <c r="U48" s="70" t="n">
        <v>32.6</v>
      </c>
      <c r="V48" s="66" t="n">
        <v>16.85</v>
      </c>
      <c r="W48" s="62" t="inlineStr">
        <is>
          <t>He Sheng Overseas Holdings Limited; King Terrace Limited; Lam Yuen Ying; TX Capital Value Fund</t>
        </is>
      </c>
      <c r="X48" s="62" t="inlineStr">
        <is>
          <t>he-sheng;king;lam;tx</t>
        </is>
      </c>
      <c r="Y48" s="66" t="n">
        <v>10</v>
      </c>
      <c r="Z48" s="62" t="n"/>
      <c r="AA48" s="71" t="n">
        <v>8.109999999999999</v>
      </c>
      <c r="AB48" s="72" t="n">
        <v>2.97</v>
      </c>
      <c r="AC48" s="72" t="n">
        <v>4.99</v>
      </c>
      <c r="AD48" s="72" t="n">
        <v>11.89</v>
      </c>
      <c r="AE48" s="72" t="n">
        <v>8.92</v>
      </c>
      <c r="AF48" s="72" t="n">
        <v>14.05</v>
      </c>
      <c r="AG48" s="72" t="n">
        <v>3.5</v>
      </c>
      <c r="AH48" s="72" t="n">
        <v>0.75</v>
      </c>
      <c r="AI48" s="72" t="n">
        <v>5.49</v>
      </c>
      <c r="AJ48" s="72" t="n">
        <v>15.43</v>
      </c>
      <c r="AK48" s="72" t="n">
        <v>16.43</v>
      </c>
      <c r="AL48" s="72" t="n">
        <v>27.06</v>
      </c>
      <c r="AM48" s="72" t="n">
        <v>7.32</v>
      </c>
      <c r="AN48" s="72" t="n">
        <v>-7.51</v>
      </c>
      <c r="AO48" s="72" t="n">
        <v>-6.57</v>
      </c>
      <c r="AP48" s="62" t="inlineStr">
        <is>
          <t>Hang Seng Properties sub-index</t>
        </is>
      </c>
      <c r="AQ48" s="72" t="n">
        <v>-93.84</v>
      </c>
      <c r="AR48" s="63" t="inlineStr">
        <is>
          <t>2026-08-21</t>
        </is>
      </c>
      <c r="AS48" s="64" t="n">
        <v>885.8</v>
      </c>
      <c r="AT48" s="67" t="n">
        <v>178.8</v>
      </c>
      <c r="AU48" s="62" t="inlineStr">
        <is>
          <t>Y</t>
        </is>
      </c>
      <c r="AV48" s="73" t="n">
        <v>41.4</v>
      </c>
      <c r="AW48" s="73" t="n"/>
      <c r="AX48" s="73" t="n"/>
      <c r="AY48" s="73" t="n">
        <v>8.4</v>
      </c>
      <c r="AZ48" s="74" t="inlineStr">
        <is>
          <t>N</t>
        </is>
      </c>
      <c r="BA48" s="75">
        <f>IF('BBG Verify'!K48="","not filed — run on terminal",'BBG Verify'!K48)</f>
        <v/>
      </c>
      <c r="BB48" s="62" t="inlineStr">
        <is>
          <t>N/A</t>
        </is>
      </c>
      <c r="BC48" s="62" t="inlineStr">
        <is>
          <t>N/A</t>
        </is>
      </c>
      <c r="BD48" s="62" t="inlineStr">
        <is>
          <t>N/A</t>
        </is>
      </c>
      <c r="BE48" s="62" t="inlineStr">
        <is>
          <t>N/A</t>
        </is>
      </c>
      <c r="BF48" s="62" t="inlineStr">
        <is>
          <t>N/A</t>
        </is>
      </c>
      <c r="BG48" s="74" t="inlineStr">
        <is>
          <t>UBS AG Hong Kong Branch</t>
        </is>
      </c>
      <c r="BH48" s="62" t="inlineStr">
        <is>
          <t>UBS Securities Hong Kong Limited; Merrill Lynch (Asia Pacific) Limited; Merrill Lynch Far East Limited; UBS AG Hong Kong Branch</t>
        </is>
      </c>
      <c r="BI48" s="62" t="inlineStr">
        <is>
          <t>CLSA Limited; CRIC Securities Company Limited; Futu Securities International (Hong Kong) Limited; The Hongkong and Shanghai Banking Corporation Limited; Merrill Lynch (Asia Pacific) Limited; UBS AG Hong Kong Branch</t>
        </is>
      </c>
      <c r="BJ48" s="62" t="inlineStr">
        <is>
          <t>CLSA Limited; CRIC Securities Company Limited; Futu Securities International (Hong Kong) Limited; The Hongkong and Shanghai Banking Corporation Limited; Merrill Lynch (Asia Pacific) Limited; UBS AG Hong Kong Branch</t>
        </is>
      </c>
      <c r="BK48" s="76">
        <f>HYPERLINK("https://www1.hkexnews.hk/listedco/listconews/sehk/2021/0621/2021062100009.pdf","prospectus")</f>
        <v/>
      </c>
      <c r="BL48" s="76">
        <f>HYPERLINK("https://www1.hkexnews.hk/listedco/listconews/sehk/2021/0630/2021063000308.htm","allotment")</f>
        <v/>
      </c>
      <c r="BM48" s="62" t="n"/>
      <c r="BN48" s="74" t="n"/>
      <c r="BO48" s="62" t="inlineStr">
        <is>
          <t>greenshoe: end-of-stabilisation notice not located · range low: cap-only pricing — the filing publishes a Maximum Offer Price and no indicative floor · A/H: no A-share listing</t>
        </is>
      </c>
    </row>
    <row r="49" ht="15" customHeight="1">
      <c r="A49" s="61" t="inlineStr">
        <is>
          <t>2190</t>
        </is>
      </c>
      <c r="B49" s="62" t="inlineStr">
        <is>
          <t>ZYLOXTB-B</t>
        </is>
      </c>
      <c r="C49" s="62" t="inlineStr">
        <is>
          <t>歸創通橋</t>
        </is>
      </c>
      <c r="D49" s="62" t="inlineStr">
        <is>
          <t>Healthcare</t>
        </is>
      </c>
      <c r="E49" s="62" t="inlineStr">
        <is>
          <t>Medical devices</t>
        </is>
      </c>
      <c r="F49" s="62" t="inlineStr">
        <is>
          <t>Biotechnology</t>
        </is>
      </c>
      <c r="G49" s="62" t="inlineStr">
        <is>
          <t>18A</t>
        </is>
      </c>
      <c r="H49" s="63" t="n">
        <v>44382</v>
      </c>
      <c r="I49" s="64" t="n">
        <v>2562</v>
      </c>
      <c r="J49" s="62" t="inlineStr">
        <is>
          <t>gross (price x shares)</t>
        </is>
      </c>
      <c r="K49" s="65" t="n">
        <v>39.8</v>
      </c>
      <c r="L49" s="65" t="n">
        <v>42.7</v>
      </c>
      <c r="M49" s="65" t="n">
        <v>42.7</v>
      </c>
      <c r="N49" s="62" t="inlineStr">
        <is>
          <t>Y</t>
        </is>
      </c>
      <c r="O49" s="66" t="n">
        <v>100</v>
      </c>
      <c r="P49" s="66" t="n">
        <v>100</v>
      </c>
      <c r="Q49" s="67" t="n">
        <v>12317.3</v>
      </c>
      <c r="R49" s="62" t="inlineStr">
        <is>
          <t>derived:deal size / offer % of enlarged capital</t>
        </is>
      </c>
      <c r="S49" s="68" t="n">
        <v>1190.37</v>
      </c>
      <c r="T49" s="69" t="n">
        <v>22.5</v>
      </c>
      <c r="U49" s="70" t="n">
        <v>44.9</v>
      </c>
      <c r="V49" s="66" t="n">
        <v>11.46</v>
      </c>
      <c r="W49" s="62" t="inlineStr">
        <is>
          <t>AIHC Capital Management Limited; Athos Capital Limited; Boyu Capital Opportunity Master Fund; Cormorant Asset Management, LP; Fidelity International; Gaoling Fund, L.P.; YHG Investment, L.P; Hudson Bay Master Fund Ltd; IvyRock Asset Management (HK) Limited; Lake Bleu Prime Healthcare Master Fund Limited; Octagon Investments Master Fund LP; Sage Partners Master Fund; Snow Lake China Master Fund, Ltd</t>
        </is>
      </c>
      <c r="X49" s="62" t="inlineStr">
        <is>
          <t>aihc;athos;boyu;cormorant;fidelity;gaoling;yhg;hudson;ivyrock;lake;octagon;sage;snow</t>
        </is>
      </c>
      <c r="Y49" s="66" t="n">
        <v>15.94</v>
      </c>
      <c r="Z49" s="62" t="inlineStr">
        <is>
          <t>full</t>
        </is>
      </c>
      <c r="AA49" s="71" t="n">
        <v>40.52</v>
      </c>
      <c r="AB49" s="72" t="n">
        <v>28.81</v>
      </c>
      <c r="AC49" s="72" t="n">
        <v>9.09</v>
      </c>
      <c r="AD49" s="72" t="n">
        <v>29.51</v>
      </c>
      <c r="AE49" s="72" t="n">
        <v>8.67</v>
      </c>
      <c r="AF49" s="72" t="n">
        <v>-1.64</v>
      </c>
      <c r="AG49" s="72" t="n">
        <v>-7.84</v>
      </c>
      <c r="AH49" s="72" t="n">
        <v>-22.67</v>
      </c>
      <c r="AI49" s="72" t="n">
        <v>-30</v>
      </c>
      <c r="AJ49" s="72" t="n">
        <v>30.01</v>
      </c>
      <c r="AK49" s="72" t="n">
        <v>9.76</v>
      </c>
      <c r="AL49" s="72" t="n">
        <v>14.7</v>
      </c>
      <c r="AM49" s="72" t="n">
        <v>-22.13</v>
      </c>
      <c r="AN49" s="72" t="n">
        <v>-1.09</v>
      </c>
      <c r="AO49" s="72" t="n">
        <v>-0.54</v>
      </c>
      <c r="AP49" s="62" t="inlineStr">
        <is>
          <t>China Biotech ETF (HS biotech proxy)</t>
        </is>
      </c>
      <c r="AQ49" s="72" t="n">
        <v>-50.73</v>
      </c>
      <c r="AR49" s="63" t="inlineStr">
        <is>
          <t>2026-08-21</t>
        </is>
      </c>
      <c r="AS49" s="64" t="n">
        <v>30.4</v>
      </c>
      <c r="AT49" s="67" t="n">
        <v>-110.5</v>
      </c>
      <c r="AU49" s="62" t="inlineStr">
        <is>
          <t>N</t>
        </is>
      </c>
      <c r="AV49" s="62" t="inlineStr">
        <is>
          <t>n/m</t>
        </is>
      </c>
      <c r="AW49" s="73" t="n"/>
      <c r="AX49" s="73" t="n">
        <v>22.4</v>
      </c>
      <c r="AY49" s="73" t="n">
        <v>405.2</v>
      </c>
      <c r="AZ49" s="74" t="inlineStr">
        <is>
          <t>N</t>
        </is>
      </c>
      <c r="BA49" s="75">
        <f>IF('BBG Verify'!K49="","not filed — run on terminal",'BBG Verify'!K49)</f>
        <v/>
      </c>
      <c r="BB49" s="62" t="inlineStr">
        <is>
          <t>N/A</t>
        </is>
      </c>
      <c r="BC49" s="62" t="inlineStr">
        <is>
          <t>N/A</t>
        </is>
      </c>
      <c r="BD49" s="62" t="inlineStr">
        <is>
          <t>N/A</t>
        </is>
      </c>
      <c r="BE49" s="62" t="inlineStr">
        <is>
          <t>N/A</t>
        </is>
      </c>
      <c r="BF49" s="62" t="inlineStr">
        <is>
          <t>N/A</t>
        </is>
      </c>
      <c r="BG49" s="74" t="inlineStr">
        <is>
          <t>Morgan Stanley Asia Limited; CLSA Capital Markets Limited</t>
        </is>
      </c>
      <c r="BH49" s="62" t="inlineStr">
        <is>
          <t>Morgan Stanley Asia Limited; CLSA Capital Markets Limited</t>
        </is>
      </c>
      <c r="BI49" s="62" t="inlineStr">
        <is>
          <t>Morgan Stanley Asia Limited; CLSA Limited; China Industrial Securities International Capital Limited; Sheung Wan, Hong Kong Essence International Securities (Hong Kong) Limited; Central, Hong Kong ICBC International Capital Limited; CMB International Capital Limited; Morgan Stanley &amp; Co. International plc; London E14 4QA United Kingdom CLSA Limited; Essence International Securities (Hong Kong) Limited</t>
        </is>
      </c>
      <c r="BJ49" s="62" t="inlineStr">
        <is>
          <t>China Industrial Securities International Capital Limited; CLSA Limited; CMB International Capital Limited; Essence International Securities (Hong Kong) Limited; ICBC International Securities Limited; Morgan Stanley Asia Limited</t>
        </is>
      </c>
      <c r="BK49" s="76">
        <f>HYPERLINK("https://www1.hkexnews.hk/listedco/listconews/sehk/2021/0622/2021062200009.pdf","prospectus")</f>
        <v/>
      </c>
      <c r="BL49" s="76">
        <f>HYPERLINK("https://www1.hkexnews.hk/listedco/listconews/sehk/2021/0702/2021070200028.htm","allotment")</f>
        <v/>
      </c>
      <c r="BM49" s="76">
        <f>HYPERLINK("https://www1.hkexnews.hk/listedco/listconews/sehk/2021/0726/2021072601655.pdf","stabilisation")</f>
        <v/>
      </c>
      <c r="BN49" s="74" t="n"/>
      <c r="BO49" s="62" t="inlineStr">
        <is>
          <t>P/E: n/m — loss-making at IPO (use P/S) · A/H: no A-share listing · P/S: 405x on HK$30.4m revenue — effectively pre-revenue; the multiple is shown for completeness, not comparability</t>
        </is>
      </c>
    </row>
    <row r="50" ht="15" customHeight="1">
      <c r="A50" s="61" t="inlineStr">
        <is>
          <t>2219</t>
        </is>
      </c>
      <c r="B50" s="62" t="inlineStr">
        <is>
          <t>CHAOJU EYE CARE</t>
        </is>
      </c>
      <c r="C50" s="62" t="inlineStr">
        <is>
          <t>朝聚眼科</t>
        </is>
      </c>
      <c r="D50" s="62" t="inlineStr">
        <is>
          <t>Healthcare</t>
        </is>
      </c>
      <c r="E50" s="62" t="inlineStr">
        <is>
          <t>Hospitals / clinics</t>
        </is>
      </c>
      <c r="F50" s="62" t="inlineStr">
        <is>
          <t>Health Care Services</t>
        </is>
      </c>
      <c r="G50" s="62" t="inlineStr">
        <is>
          <t>Standard</t>
        </is>
      </c>
      <c r="H50" s="63" t="n">
        <v>44384</v>
      </c>
      <c r="I50" s="64" t="n">
        <v>1811.9</v>
      </c>
      <c r="J50" s="62" t="inlineStr">
        <is>
          <t>gross (price x shares)</t>
        </is>
      </c>
      <c r="K50" s="65" t="n"/>
      <c r="L50" s="65" t="n">
        <v>10.6</v>
      </c>
      <c r="M50" s="65" t="n">
        <v>10.6</v>
      </c>
      <c r="N50" s="62" t="inlineStr">
        <is>
          <t>Y</t>
        </is>
      </c>
      <c r="O50" s="66" t="n">
        <v>100</v>
      </c>
      <c r="P50" s="66" t="n"/>
      <c r="Q50" s="67" t="n">
        <v>7288.4</v>
      </c>
      <c r="R50" s="62" t="inlineStr">
        <is>
          <t>derived:deal size / offer % of enlarged capital</t>
        </is>
      </c>
      <c r="S50" s="68" t="n">
        <v>113.97</v>
      </c>
      <c r="T50" s="69" t="n">
        <v>17.83</v>
      </c>
      <c r="U50" s="70" t="n">
        <v>49.4</v>
      </c>
      <c r="V50" s="66" t="n">
        <v>12.58</v>
      </c>
      <c r="W50" s="62" t="inlineStr">
        <is>
          <t>Fullgoal Fund Management Co., Ltd; Gigantic Wealth Holdings Limited; GT Cedar Capital (Hong Kong) Limited; The Valliance Fund</t>
        </is>
      </c>
      <c r="X50" s="62" t="inlineStr">
        <is>
          <t>fullgoal;gigantic;gt;valliance</t>
        </is>
      </c>
      <c r="Y50" s="66" t="n">
        <v>15</v>
      </c>
      <c r="Z50" s="62" t="inlineStr">
        <is>
          <t>full</t>
        </is>
      </c>
      <c r="AA50" s="71" t="n">
        <v>33.02</v>
      </c>
      <c r="AB50" s="72" t="n">
        <v>0</v>
      </c>
      <c r="AC50" s="72" t="n">
        <v>33.02</v>
      </c>
      <c r="AD50" s="72" t="n">
        <v>44.34</v>
      </c>
      <c r="AE50" s="72" t="n">
        <v>25.47</v>
      </c>
      <c r="AF50" s="72" t="n">
        <v>-10.47</v>
      </c>
      <c r="AG50" s="72" t="n">
        <v>8.51</v>
      </c>
      <c r="AH50" s="72" t="n">
        <v>-5.68</v>
      </c>
      <c r="AI50" s="72" t="n">
        <v>-32.69</v>
      </c>
      <c r="AJ50" s="72" t="n">
        <v>39.55</v>
      </c>
      <c r="AK50" s="72" t="n">
        <v>21.82</v>
      </c>
      <c r="AL50" s="72" t="n">
        <v>2.92</v>
      </c>
      <c r="AM50" s="72" t="n">
        <v>-7.22</v>
      </c>
      <c r="AN50" s="72" t="n">
        <v>3.65</v>
      </c>
      <c r="AO50" s="72" t="n">
        <v>1.54</v>
      </c>
      <c r="AP50" s="62" t="inlineStr">
        <is>
          <t>China Biotech ETF (HS biotech proxy)</t>
        </is>
      </c>
      <c r="AQ50" s="72" t="n">
        <v>-75.98999999999999</v>
      </c>
      <c r="AR50" s="63" t="inlineStr">
        <is>
          <t>2026-08-20</t>
        </is>
      </c>
      <c r="AS50" s="64" t="n">
        <v>873.7</v>
      </c>
      <c r="AT50" s="67" t="n">
        <v>132.6</v>
      </c>
      <c r="AU50" s="62" t="inlineStr">
        <is>
          <t>Y</t>
        </is>
      </c>
      <c r="AV50" s="73" t="n">
        <v>55</v>
      </c>
      <c r="AW50" s="73" t="n"/>
      <c r="AX50" s="73" t="n">
        <v>8.5</v>
      </c>
      <c r="AY50" s="73" t="n">
        <v>8.300000000000001</v>
      </c>
      <c r="AZ50" s="74" t="inlineStr">
        <is>
          <t>N</t>
        </is>
      </c>
      <c r="BA50" s="75">
        <f>IF('BBG Verify'!K50="","not filed — run on terminal",'BBG Verify'!K50)</f>
        <v/>
      </c>
      <c r="BB50" s="62" t="inlineStr">
        <is>
          <t>N/A</t>
        </is>
      </c>
      <c r="BC50" s="62" t="inlineStr">
        <is>
          <t>N/A</t>
        </is>
      </c>
      <c r="BD50" s="62" t="inlineStr">
        <is>
          <t>N/A</t>
        </is>
      </c>
      <c r="BE50" s="62" t="inlineStr">
        <is>
          <t>N/A</t>
        </is>
      </c>
      <c r="BF50" s="62" t="inlineStr">
        <is>
          <t>N/A</t>
        </is>
      </c>
      <c r="BG50" s="74" t="inlineStr">
        <is>
          <t>Haitong International Capital Limited; Industrial and Commercial Bank of China (Asia) Limited; Hong Kong Share Registrar Computershare Hong Kong Investor Services Limited; Industrial and Commercial Bank of China Co., Ltd., Xiamen Xinglin Branch</t>
        </is>
      </c>
      <c r="BH50" s="62" t="inlineStr">
        <is>
          <t>Haitong International Capital Limited; Huatai Financial Holdings (Hong Kong) Limited</t>
        </is>
      </c>
      <c r="BI50" s="62" t="inlineStr">
        <is>
          <t>Huatai Financial Holdings (Hong Kong) Limited; Haitong International Securities Company Limited</t>
        </is>
      </c>
      <c r="BJ50" s="62" t="inlineStr">
        <is>
          <t>Huatai Financial Holdings (Hong Kong) Limited; Haitong International Securities Company Limited</t>
        </is>
      </c>
      <c r="BK50" s="76">
        <f>HYPERLINK("https://www1.hkexnews.hk/listedco/listconews/sehk/2021/0624/2021062400013.pdf","prospectus")</f>
        <v/>
      </c>
      <c r="BL50" s="76">
        <f>HYPERLINK("https://www1.hkexnews.hk/listedco/listconews/sehk/2021/0706/2021070600016.htm","allotment")</f>
        <v/>
      </c>
      <c r="BM50" s="76">
        <f>HYPERLINK("https://www1.hkexnews.hk/listedco/listconews/sehk/2021/0729/2021072901513.pdf","stabilisation")</f>
        <v/>
      </c>
      <c r="BN50" s="74" t="n"/>
      <c r="BO50" s="62" t="inlineStr">
        <is>
          <t>range low: cap-only pricing — the filing publishes a Maximum Offer Price and no indicative floor · A/H: no A-share listing</t>
        </is>
      </c>
    </row>
    <row r="51" ht="15" customHeight="1">
      <c r="A51" s="61" t="inlineStr">
        <is>
          <t>9868</t>
        </is>
      </c>
      <c r="B51" s="62" t="inlineStr">
        <is>
          <t>XPENG-W</t>
        </is>
      </c>
      <c r="C51" s="62" t="inlineStr">
        <is>
          <t>小鵬集團－Ｗ</t>
        </is>
      </c>
      <c r="D51" s="62" t="inlineStr">
        <is>
          <t>Consumer</t>
        </is>
      </c>
      <c r="E51" s="62" t="inlineStr">
        <is>
          <t>Autos (NEV OEM)</t>
        </is>
      </c>
      <c r="F51" s="62" t="inlineStr">
        <is>
          <t>Automobile Manufacturers</t>
        </is>
      </c>
      <c r="G51" s="62" t="inlineStr">
        <is>
          <t>WVR</t>
        </is>
      </c>
      <c r="H51" s="63" t="n">
        <v>44384</v>
      </c>
      <c r="I51" s="64" t="n">
        <v>14025</v>
      </c>
      <c r="J51" s="62" t="inlineStr">
        <is>
          <t>gross (price x shares)</t>
        </is>
      </c>
      <c r="K51" s="65" t="n"/>
      <c r="L51" s="65" t="n">
        <v>180</v>
      </c>
      <c r="M51" s="65" t="n">
        <v>165</v>
      </c>
      <c r="N51" s="62" t="inlineStr">
        <is>
          <t>N</t>
        </is>
      </c>
      <c r="O51" s="66" t="n">
        <v>91.7</v>
      </c>
      <c r="P51" s="66" t="n"/>
      <c r="Q51" s="67" t="n">
        <v>270000</v>
      </c>
      <c r="R51" s="62" t="inlineStr">
        <is>
          <t>press:sina 2021-07-07: 市值超2700亿港元 | FINANCIALS (RMB x1.1): XPeng FY2020 PR: total revenues RMB5,844.3m, net loss RMB2,732.0m</t>
        </is>
      </c>
      <c r="S51" s="68" t="n">
        <v>14.73</v>
      </c>
      <c r="T51" s="69" t="n">
        <v>2.36</v>
      </c>
      <c r="U51" s="70" t="n"/>
      <c r="V51" s="66" t="n">
        <v>5.19</v>
      </c>
      <c r="W51" s="62" t="n"/>
      <c r="X51" s="62" t="n"/>
      <c r="Y51" s="66" t="n">
        <v>7.5</v>
      </c>
      <c r="Z51" s="62" t="inlineStr">
        <is>
          <t>partial</t>
        </is>
      </c>
      <c r="AA51" s="71" t="n">
        <v>0</v>
      </c>
      <c r="AB51" s="72" t="n">
        <v>1.82</v>
      </c>
      <c r="AC51" s="72" t="n">
        <v>-1.79</v>
      </c>
      <c r="AD51" s="72" t="n">
        <v>-8.48</v>
      </c>
      <c r="AE51" s="72" t="n">
        <v>-0.12</v>
      </c>
      <c r="AF51" s="72" t="n">
        <v>-17.7</v>
      </c>
      <c r="AG51" s="72" t="n">
        <v>-8.48</v>
      </c>
      <c r="AH51" s="72" t="n">
        <v>-0.12</v>
      </c>
      <c r="AI51" s="72" t="n">
        <v>-17.7</v>
      </c>
      <c r="AJ51" s="72" t="n">
        <v>-8.69</v>
      </c>
      <c r="AK51" s="72" t="n">
        <v>8.289999999999999</v>
      </c>
      <c r="AL51" s="72" t="n">
        <v>0.82</v>
      </c>
      <c r="AM51" s="72" t="n">
        <v>8.140000000000001</v>
      </c>
      <c r="AN51" s="72" t="n">
        <v>-8.41</v>
      </c>
      <c r="AO51" s="72" t="n">
        <v>-8.26</v>
      </c>
      <c r="AP51" s="62" t="inlineStr">
        <is>
          <t>Hang Seng Commerce &amp; Industry sub-index</t>
        </is>
      </c>
      <c r="AQ51" s="72" t="n">
        <v>-71.02</v>
      </c>
      <c r="AR51" s="63" t="inlineStr">
        <is>
          <t>2026-08-20</t>
        </is>
      </c>
      <c r="AS51" s="64" t="n">
        <v>6428.7</v>
      </c>
      <c r="AT51" s="67" t="n">
        <v>-3005.2</v>
      </c>
      <c r="AU51" s="62" t="inlineStr">
        <is>
          <t>N</t>
        </is>
      </c>
      <c r="AV51" s="62" t="inlineStr">
        <is>
          <t>n/m</t>
        </is>
      </c>
      <c r="AW51" s="73" t="n"/>
      <c r="AX51" s="73" t="n"/>
      <c r="AY51" s="73" t="n">
        <v>42</v>
      </c>
      <c r="AZ51" s="74" t="inlineStr">
        <is>
          <t>N</t>
        </is>
      </c>
      <c r="BA51" s="75">
        <f>IF('BBG Verify'!K51="","not filed — run on terminal",'BBG Verify'!K51)</f>
        <v/>
      </c>
      <c r="BB51" s="62" t="inlineStr">
        <is>
          <t>N/A</t>
        </is>
      </c>
      <c r="BC51" s="62" t="inlineStr">
        <is>
          <t>N/A</t>
        </is>
      </c>
      <c r="BD51" s="62" t="inlineStr">
        <is>
          <t>N/A</t>
        </is>
      </c>
      <c r="BE51" s="62" t="inlineStr">
        <is>
          <t>N/A</t>
        </is>
      </c>
      <c r="BF51" s="62" t="inlineStr">
        <is>
          <t>N/A</t>
        </is>
      </c>
      <c r="BG51" s="74" t="inlineStr">
        <is>
          <t>J.P. Morgan Securities (Far East) Limited; Merrill Lynch (Asia Pacific) Limited; J.P. Morgan Securities (Asia Pacific) Limited; Citigroup Global Markets Asia Limited</t>
        </is>
      </c>
      <c r="BH51" s="62" t="inlineStr">
        <is>
          <t>J.P. Morgan Securities (Far East) Limited; Merrill Lynch (Asia Pacific) Limited</t>
        </is>
      </c>
      <c r="BI51" s="62" t="inlineStr">
        <is>
          <t>J.P. Morgan Securities (Asia Pacific) Limited; Merrill Lynch (Asia Pacific) Limited; Citigroup Global Markets Asia Limited; CLSA Limited; J.P. Morgan Securities plc; Canary Wharf London E14 5JP United Kingdom J.P. Morgan Securities LLC; Citigroup Global Markets Limited; ABCI Capital Limited; ABCI Securities Company Limited</t>
        </is>
      </c>
      <c r="BJ51" s="62" t="inlineStr">
        <is>
          <t>ABCI Securities Company Limited; BOCI Asia Limited; Citigroup Global Markets Asia Limited; CLSA Limited; Futu Securities International (Hong Kong) Limited; J.P. Morgan Securities (Asia Pacific) Limited; Merrill Lynch (Asia Pacific) Limited</t>
        </is>
      </c>
      <c r="BK51" s="76">
        <f>HYPERLINK("https://www1.hkexnews.hk/listedco/listconews/sehk/2021/0625/2021062500039.pdf","prospectus")</f>
        <v/>
      </c>
      <c r="BL51" s="76">
        <f>HYPERLINK("https://www1.hkexnews.hk/listedco/listconews/sehk/2021/0706/2021070600032.htm","allotment")</f>
        <v/>
      </c>
      <c r="BM51" s="76">
        <f>HYPERLINK("https://www1.hkexnews.hk/listedco/listconews/sehk/2021/0730/2021073001378.pdf","stabilisation")</f>
        <v/>
      </c>
      <c r="BN51" s="74" t="n"/>
      <c r="BO51" s="62" t="inlineStr">
        <is>
          <t>P/E: n/m — loss-making at IPO (use P/S) · range low: cap-only pricing — the filing publishes a Maximum Offer Price and no indicative floor · A/H: no A-share listing · cornerstone list: no cornerstone tranche in this deal · cornerstone %: no cornerstone tranche in this deal</t>
        </is>
      </c>
    </row>
    <row r="52" ht="15" customHeight="1">
      <c r="A52" s="61" t="inlineStr">
        <is>
          <t>1965</t>
        </is>
      </c>
      <c r="B52" s="62" t="inlineStr">
        <is>
          <t>LANDSEA LIFE</t>
        </is>
      </c>
      <c r="C52" s="62" t="inlineStr">
        <is>
          <t>朗詩綠色生活</t>
        </is>
      </c>
      <c r="D52" s="62" t="inlineStr">
        <is>
          <t>Real Estate</t>
        </is>
      </c>
      <c r="E52" s="62" t="inlineStr">
        <is>
          <t>Property management</t>
        </is>
      </c>
      <c r="F52" s="62" t="inlineStr">
        <is>
          <t>Property Service and Management</t>
        </is>
      </c>
      <c r="G52" s="62" t="inlineStr">
        <is>
          <t>Standard</t>
        </is>
      </c>
      <c r="H52" s="63" t="n">
        <v>44385</v>
      </c>
      <c r="I52" s="64" t="n">
        <v>318</v>
      </c>
      <c r="J52" s="62" t="inlineStr">
        <is>
          <t>gross (price x shares)</t>
        </is>
      </c>
      <c r="K52" s="65" t="n">
        <v>2.86</v>
      </c>
      <c r="L52" s="65" t="n">
        <v>4.16</v>
      </c>
      <c r="M52" s="65" t="n">
        <v>3.18</v>
      </c>
      <c r="N52" s="62" t="inlineStr">
        <is>
          <t>N</t>
        </is>
      </c>
      <c r="O52" s="66" t="n">
        <v>76.40000000000001</v>
      </c>
      <c r="P52" s="66" t="n">
        <v>24.6</v>
      </c>
      <c r="Q52" s="67" t="n">
        <v>1583</v>
      </c>
      <c r="R52" s="62" t="inlineStr">
        <is>
          <t>aastocks:上市市值 at the struck price</t>
        </is>
      </c>
      <c r="S52" s="68" t="n">
        <v>8.01</v>
      </c>
      <c r="T52" s="69" t="n">
        <v>1.25</v>
      </c>
      <c r="U52" s="70" t="n">
        <v>24.5</v>
      </c>
      <c r="V52" s="66" t="n">
        <v>15.17</v>
      </c>
      <c r="W52" s="62" t="inlineStr">
        <is>
          <t>CURA International (Hong Kong) Investment Management Company Limited</t>
        </is>
      </c>
      <c r="X52" s="62" t="inlineStr">
        <is>
          <t>cura</t>
        </is>
      </c>
      <c r="Y52" s="66" t="n">
        <v>10</v>
      </c>
      <c r="Z52" s="62" t="inlineStr">
        <is>
          <t>partial</t>
        </is>
      </c>
      <c r="AA52" s="71" t="n">
        <v>41.51</v>
      </c>
      <c r="AB52" s="72" t="n">
        <v>88.68000000000001</v>
      </c>
      <c r="AC52" s="72" t="n">
        <v>-25</v>
      </c>
      <c r="AD52" s="72" t="n">
        <v>2.52</v>
      </c>
      <c r="AE52" s="72" t="n">
        <v>0</v>
      </c>
      <c r="AF52" s="72" t="n">
        <v>3.77</v>
      </c>
      <c r="AG52" s="72" t="n">
        <v>-27.55</v>
      </c>
      <c r="AH52" s="72" t="n">
        <v>-29.33</v>
      </c>
      <c r="AI52" s="72" t="n">
        <v>-26.67</v>
      </c>
      <c r="AJ52" s="72" t="n">
        <v>2.52</v>
      </c>
      <c r="AK52" s="72" t="n">
        <v>9.33</v>
      </c>
      <c r="AL52" s="72" t="n">
        <v>15.35</v>
      </c>
      <c r="AM52" s="72" t="n">
        <v>-21.35</v>
      </c>
      <c r="AN52" s="72" t="n">
        <v>-9.33</v>
      </c>
      <c r="AO52" s="72" t="n">
        <v>-7.98</v>
      </c>
      <c r="AP52" s="62" t="inlineStr">
        <is>
          <t>Hang Seng Properties sub-index</t>
        </is>
      </c>
      <c r="AQ52" s="72" t="n">
        <v>-95.44</v>
      </c>
      <c r="AR52" s="63" t="inlineStr">
        <is>
          <t>2026-08-19</t>
        </is>
      </c>
      <c r="AS52" s="64" t="n">
        <v>131.9</v>
      </c>
      <c r="AT52" s="67" t="n">
        <v>72.09999999999999</v>
      </c>
      <c r="AU52" s="62" t="inlineStr">
        <is>
          <t>Y</t>
        </is>
      </c>
      <c r="AV52" s="73" t="n">
        <v>22</v>
      </c>
      <c r="AW52" s="73" t="n"/>
      <c r="AX52" s="73" t="n">
        <v>1.9</v>
      </c>
      <c r="AY52" s="73" t="n">
        <v>12</v>
      </c>
      <c r="AZ52" s="74" t="inlineStr">
        <is>
          <t>N</t>
        </is>
      </c>
      <c r="BA52" s="75">
        <f>IF('BBG Verify'!K52="","not filed — run on terminal",'BBG Verify'!K52)</f>
        <v/>
      </c>
      <c r="BB52" s="62" t="inlineStr">
        <is>
          <t>N/A</t>
        </is>
      </c>
      <c r="BC52" s="62" t="inlineStr">
        <is>
          <t>N/A</t>
        </is>
      </c>
      <c r="BD52" s="62" t="inlineStr">
        <is>
          <t>N/A</t>
        </is>
      </c>
      <c r="BE52" s="62" t="inlineStr">
        <is>
          <t>N/A</t>
        </is>
      </c>
      <c r="BF52" s="62" t="inlineStr">
        <is>
          <t>N/A</t>
        </is>
      </c>
      <c r="BG52" s="74" t="inlineStr">
        <is>
          <t>Haitong International Capital Limited</t>
        </is>
      </c>
      <c r="BH52" s="62" t="inlineStr">
        <is>
          <t>Haitong International Capital Limited</t>
        </is>
      </c>
      <c r="BI52" s="62" t="inlineStr">
        <is>
          <t>Beta International Securities Limited; CCB International Capital Limited; China Industrial Securities International Capital Limited; CLSA Limited; CMB International Capital Corporation Limited; CRIC Securities Company Limited</t>
        </is>
      </c>
      <c r="BJ52" s="62" t="inlineStr">
        <is>
          <t>Beta International Securities Limited; CCB International Capital Limited; China Industrial Securities International Capital Limited; CLSA Limited; CMB International Capital Corporation Limited; CRIC Securities Company Limited; Essence International Securities (Hong Kong) Limited; Futu Securities International (Hong Kong) Limited; Haitong International Securities Company Limited; Maxa Capital Limited; Orient Securities (Hong Kong) Limited; Sunfund Securities Limited</t>
        </is>
      </c>
      <c r="BK52" s="76">
        <f>HYPERLINK("https://www1.hkexnews.hk/listedco/listconews/sehk/2021/0625/2021062500057.pdf","prospectus")</f>
        <v/>
      </c>
      <c r="BL52" s="76">
        <f>HYPERLINK("https://www1.hkexnews.hk/listedco/listconews/sehk/2021/0707/2021070700022.htm","allotment")</f>
        <v/>
      </c>
      <c r="BM52" s="76">
        <f>HYPERLINK("https://www1.hkexnews.hk/listedco/listconews/sehk/2021/0730/2021073001922.pdf","stabilisation")</f>
        <v/>
      </c>
      <c r="BN52" s="74" t="n"/>
      <c r="BO52" s="62" t="inlineStr">
        <is>
          <t>A/H: no A-share listing · market cap: estimate from deal size / offer % of enlarged capital disagreed with the published listing cap — published figure adopted · cornerstone: table parse read 76% but the institutional total implies 25% — parse rejected, the AAStocks institutional total used (24.5%)</t>
        </is>
      </c>
    </row>
    <row r="53" ht="15" customHeight="1">
      <c r="A53" s="61" t="inlineStr">
        <is>
          <t>2162</t>
        </is>
      </c>
      <c r="B53" s="62" t="inlineStr">
        <is>
          <t>KEYMED BIO-B</t>
        </is>
      </c>
      <c r="C53" s="62" t="inlineStr">
        <is>
          <t>康諾亞－Ｂ</t>
        </is>
      </c>
      <c r="D53" s="62" t="inlineStr">
        <is>
          <t>Healthcare</t>
        </is>
      </c>
      <c r="E53" s="62" t="inlineStr">
        <is>
          <t>Biotech pre-revenue (18A)</t>
        </is>
      </c>
      <c r="F53" s="62" t="inlineStr">
        <is>
          <t>Biotechnology</t>
        </is>
      </c>
      <c r="G53" s="62" t="inlineStr">
        <is>
          <t>18A</t>
        </is>
      </c>
      <c r="H53" s="63" t="n">
        <v>44385</v>
      </c>
      <c r="I53" s="64" t="n">
        <v>3105.5</v>
      </c>
      <c r="J53" s="62" t="inlineStr">
        <is>
          <t>gross (price x shares)</t>
        </is>
      </c>
      <c r="K53" s="65" t="n">
        <v>50.5</v>
      </c>
      <c r="L53" s="65" t="n">
        <v>53.3</v>
      </c>
      <c r="M53" s="65" t="n">
        <v>53.3</v>
      </c>
      <c r="N53" s="62" t="inlineStr">
        <is>
          <t>Y</t>
        </is>
      </c>
      <c r="O53" s="66" t="n">
        <v>100</v>
      </c>
      <c r="P53" s="66" t="n">
        <v>100</v>
      </c>
      <c r="Q53" s="67" t="n">
        <v>13685.3</v>
      </c>
      <c r="R53" s="62" t="inlineStr">
        <is>
          <t>prospectus:stated market capitalisation</t>
        </is>
      </c>
      <c r="S53" s="68" t="n">
        <v>429.97</v>
      </c>
      <c r="T53" s="69" t="n">
        <v>21.9</v>
      </c>
      <c r="U53" s="70" t="n">
        <v>20</v>
      </c>
      <c r="V53" s="66" t="n">
        <v>18.15</v>
      </c>
      <c r="W53" s="62" t="inlineStr">
        <is>
          <t>Aranda Investments Pte. Ltd; Boyu Capital Opportunities Master Fund; Double Joy Ventures Limited; Dragon Merit Holdings Limited; Hillhouse Capital Advisors, Ltd; Hudson Bay Master Fund Ltd; Invesco Ltd; Janchor Partners Pan-Asian Master Fund; Lake Bleu Prime Healthcare Master Fund Limited; LAV Group; Octagon Investments Master Fund LP; Sage Partners Master Fund; Springhill Master Fund Limited; UBS Asset Management (Singapore) Ltd; Yi Fang Da Sirius Inv. Limited</t>
        </is>
      </c>
      <c r="X53" s="62" t="inlineStr">
        <is>
          <t>aranda;boyu;double;dragon;hillhouse;hudson;invesco;janchor;lake;lav;octagon;sage;springhill;ubs;yi</t>
        </is>
      </c>
      <c r="Y53" s="66" t="n">
        <v>10.78</v>
      </c>
      <c r="Z53" s="62" t="inlineStr">
        <is>
          <t>full</t>
        </is>
      </c>
      <c r="AA53" s="71" t="n">
        <v>27.58</v>
      </c>
      <c r="AB53" s="72" t="n">
        <v>46.34</v>
      </c>
      <c r="AC53" s="72" t="n">
        <v>-12.82</v>
      </c>
      <c r="AD53" s="72" t="n">
        <v>27.95</v>
      </c>
      <c r="AE53" s="72" t="n">
        <v>22.51</v>
      </c>
      <c r="AF53" s="72" t="n">
        <v>-6.19</v>
      </c>
      <c r="AG53" s="72" t="n">
        <v>0.29</v>
      </c>
      <c r="AH53" s="72" t="n">
        <v>-3.97</v>
      </c>
      <c r="AI53" s="72" t="n">
        <v>-26.47</v>
      </c>
      <c r="AJ53" s="72" t="n">
        <v>26.02</v>
      </c>
      <c r="AK53" s="72" t="n">
        <v>25.29</v>
      </c>
      <c r="AL53" s="72" t="n">
        <v>7.58</v>
      </c>
      <c r="AM53" s="72" t="n">
        <v>-3.08</v>
      </c>
      <c r="AN53" s="72" t="n">
        <v>-2.78</v>
      </c>
      <c r="AO53" s="72" t="n">
        <v>-0.89</v>
      </c>
      <c r="AP53" s="62" t="inlineStr">
        <is>
          <t>China Biotech ETF (HS biotech proxy)</t>
        </is>
      </c>
      <c r="AQ53" s="72" t="n">
        <v>45.87</v>
      </c>
      <c r="AR53" s="63" t="inlineStr">
        <is>
          <t>2026-08-20</t>
        </is>
      </c>
      <c r="AS53" s="64" t="n">
        <v>0</v>
      </c>
      <c r="AT53" s="67" t="n">
        <v>-900.7</v>
      </c>
      <c r="AU53" s="62" t="inlineStr">
        <is>
          <t>N</t>
        </is>
      </c>
      <c r="AV53" s="62" t="inlineStr">
        <is>
          <t>n/m</t>
        </is>
      </c>
      <c r="AW53" s="73" t="n"/>
      <c r="AX53" s="73" t="n"/>
      <c r="AY53" s="62" t="inlineStr">
        <is>
          <t>pre-rev</t>
        </is>
      </c>
      <c r="AZ53" s="74" t="inlineStr">
        <is>
          <t>N</t>
        </is>
      </c>
      <c r="BA53" s="75">
        <f>IF('BBG Verify'!K53="","not filed — run on terminal",'BBG Verify'!K53)</f>
        <v/>
      </c>
      <c r="BB53" s="62" t="inlineStr">
        <is>
          <t>N/A</t>
        </is>
      </c>
      <c r="BC53" s="62" t="inlineStr">
        <is>
          <t>N/A</t>
        </is>
      </c>
      <c r="BD53" s="62" t="inlineStr">
        <is>
          <t>N/A</t>
        </is>
      </c>
      <c r="BE53" s="62" t="inlineStr">
        <is>
          <t>N/A</t>
        </is>
      </c>
      <c r="BF53" s="62" t="inlineStr">
        <is>
          <t>N/A</t>
        </is>
      </c>
      <c r="BG53" s="74" t="inlineStr">
        <is>
          <t>Morgan Stanley Asia Limited; China International Capital Corporation Hong Kong Securities Limited; Central, Hong Kong Huatai Financial Holdings (Hong Kong) Limited</t>
        </is>
      </c>
      <c r="BH53" s="62" t="inlineStr">
        <is>
          <t>China International Capital Corporation Hong Kong Securities Limited; Morgan Stanley Asia Limited; Huatai Financial Holdings (Hong Kong) Limited</t>
        </is>
      </c>
      <c r="BI53" s="62" t="inlineStr">
        <is>
          <t>Morgan Stanley Asia Limited; China International Capital Corporation Hong Kong Securities Limited; Central, Hong Kong Huatai Financial Holdings (Hong Kong) Limited; Morgan Stanley &amp; Co. International plc; China Everbright Securities (HK) Limited</t>
        </is>
      </c>
      <c r="BJ53" s="62" t="inlineStr">
        <is>
          <t>China Everbright Securities (HK) Limited; China International Capital Corporation Hong Kong Securities Limited; Huatai Financial Holdings (Hong Kong) Limited; Morgan Stanley Asia Limited</t>
        </is>
      </c>
      <c r="BK53" s="76">
        <f>HYPERLINK("https://www1.hkexnews.hk/listedco/listconews/sehk/2021/0625/2021062500031.pdf","prospectus")</f>
        <v/>
      </c>
      <c r="BL53" s="76">
        <f>HYPERLINK("https://www1.hkexnews.hk/listedco/listconews/sehk/2021/0707/2021070700054.htm","allotment")</f>
        <v/>
      </c>
      <c r="BM53" s="76">
        <f>HYPERLINK("https://www1.hkexnews.hk/listedco/listconews/sehk/2021/0730/2021073001918.pdf","stabilisation")</f>
        <v/>
      </c>
      <c r="BN53" s="74" t="n"/>
      <c r="BO53" s="62" t="inlineStr">
        <is>
          <t>P/E: n/m — loss-making at IPO (use P/S) · A/H: no A-share listing · cornerstone: AAStocks institutional table includes non-cornerstone orders (superset) — cornerstone % is from the prospectus · P/S: no revenue line in the filed P&amp;L (pre-revenue issuer) — no sales multiple can exist; the cell reads pre-rev, not blank</t>
        </is>
      </c>
    </row>
    <row r="54" ht="15" customHeight="1">
      <c r="A54" s="61" t="inlineStr">
        <is>
          <t>2209</t>
        </is>
      </c>
      <c r="B54" s="62" t="inlineStr">
        <is>
          <t>YESASIA HLDGS</t>
        </is>
      </c>
      <c r="C54" s="62" t="inlineStr">
        <is>
          <t>喆麗控股</t>
        </is>
      </c>
      <c r="D54" s="62" t="inlineStr">
        <is>
          <t>Tech/AI</t>
        </is>
      </c>
      <c r="E54" s="62" t="inlineStr">
        <is>
          <t>Internet platform / e-commerce</t>
        </is>
      </c>
      <c r="F54" s="62" t="inlineStr">
        <is>
          <t>e-Commerce &amp; Internet Services</t>
        </is>
      </c>
      <c r="G54" s="62" t="inlineStr">
        <is>
          <t>Standard</t>
        </is>
      </c>
      <c r="H54" s="63" t="n">
        <v>44386</v>
      </c>
      <c r="I54" s="64" t="n">
        <v>116.7</v>
      </c>
      <c r="J54" s="62" t="inlineStr">
        <is>
          <t>gross (price x shares)</t>
        </is>
      </c>
      <c r="K54" s="65" t="n">
        <v>3</v>
      </c>
      <c r="L54" s="65" t="n">
        <v>3.33</v>
      </c>
      <c r="M54" s="65" t="n">
        <v>3.28</v>
      </c>
      <c r="N54" s="62" t="inlineStr">
        <is>
          <t>N</t>
        </is>
      </c>
      <c r="O54" s="66" t="n">
        <v>98.5</v>
      </c>
      <c r="P54" s="66" t="n">
        <v>84.8</v>
      </c>
      <c r="Q54" s="67" t="n">
        <v>1032.7</v>
      </c>
      <c r="R54" s="62" t="inlineStr">
        <is>
          <t>derived:deal size / offer % of enlarged capital</t>
        </is>
      </c>
      <c r="S54" s="68" t="n">
        <v>145.3</v>
      </c>
      <c r="T54" s="69" t="n">
        <v>3.2</v>
      </c>
      <c r="U54" s="70" t="n">
        <v>37.94</v>
      </c>
      <c r="V54" s="66" t="n">
        <v>7.01</v>
      </c>
      <c r="W54" s="62" t="inlineStr">
        <is>
          <t>CS Logistics Holdings Ltd; Triple Surge Holdings Limited</t>
        </is>
      </c>
      <c r="X54" s="62" t="inlineStr">
        <is>
          <t>cs;triple</t>
        </is>
      </c>
      <c r="Y54" s="66" t="n">
        <v>11.3</v>
      </c>
      <c r="Z54" s="62" t="inlineStr">
        <is>
          <t>partial</t>
        </is>
      </c>
      <c r="AA54" s="71" t="n">
        <v>5.49</v>
      </c>
      <c r="AB54" s="72" t="n">
        <v>47.26</v>
      </c>
      <c r="AC54" s="72" t="n">
        <v>-28.36</v>
      </c>
      <c r="AD54" s="72" t="n">
        <v>-7.62</v>
      </c>
      <c r="AE54" s="72" t="n">
        <v>-20.12</v>
      </c>
      <c r="AF54" s="72" t="n">
        <v>-56.1</v>
      </c>
      <c r="AG54" s="72" t="n">
        <v>-12.43</v>
      </c>
      <c r="AH54" s="72" t="n">
        <v>-24.28</v>
      </c>
      <c r="AI54" s="72" t="n">
        <v>-58.38</v>
      </c>
      <c r="AJ54" s="72" t="n">
        <v>-11.53</v>
      </c>
      <c r="AK54" s="72" t="n">
        <v>-10.79</v>
      </c>
      <c r="AL54" s="72" t="n">
        <v>-40.38</v>
      </c>
      <c r="AM54" s="72" t="n">
        <v>-14.03</v>
      </c>
      <c r="AN54" s="72" t="n">
        <v>-9.33</v>
      </c>
      <c r="AO54" s="72" t="n">
        <v>-10.25</v>
      </c>
      <c r="AP54" s="62" t="inlineStr">
        <is>
          <t>HSTECH (Hang Seng TECH ETF)</t>
        </is>
      </c>
      <c r="AQ54" s="72" t="n">
        <v>7.77</v>
      </c>
      <c r="AR54" s="63" t="inlineStr">
        <is>
          <t>2026-08-20</t>
        </is>
      </c>
      <c r="AS54" s="64" t="n">
        <v>1351.9</v>
      </c>
      <c r="AT54" s="67" t="n">
        <v>87.5</v>
      </c>
      <c r="AU54" s="62" t="inlineStr">
        <is>
          <t>Y</t>
        </is>
      </c>
      <c r="AV54" s="73" t="n">
        <v>11.8</v>
      </c>
      <c r="AW54" s="73" t="n"/>
      <c r="AX54" s="73" t="n">
        <v>8.199999999999999</v>
      </c>
      <c r="AY54" s="73" t="n">
        <v>0.8</v>
      </c>
      <c r="AZ54" s="74" t="inlineStr">
        <is>
          <t>N</t>
        </is>
      </c>
      <c r="BA54" s="75">
        <f>IF('BBG Verify'!K54="","not filed — run on terminal",'BBG Verify'!K54)</f>
        <v/>
      </c>
      <c r="BB54" s="62" t="inlineStr">
        <is>
          <t>N/A</t>
        </is>
      </c>
      <c r="BC54" s="62" t="inlineStr">
        <is>
          <t>N/A</t>
        </is>
      </c>
      <c r="BD54" s="62" t="inlineStr">
        <is>
          <t>N/A</t>
        </is>
      </c>
      <c r="BE54" s="62" t="inlineStr">
        <is>
          <t>N/A</t>
        </is>
      </c>
      <c r="BF54" s="62" t="inlineStr">
        <is>
          <t>N/A</t>
        </is>
      </c>
      <c r="BG54" s="74" t="inlineStr">
        <is>
          <t>UOB Kay Hian (Hong Kong) Limited</t>
        </is>
      </c>
      <c r="BH54" s="62" t="inlineStr">
        <is>
          <t>UOB Kay Hian (Hong Kong) Limited</t>
        </is>
      </c>
      <c r="BI54" s="62" t="inlineStr">
        <is>
          <t>UOB Kay Hian (Hong Kong) Limited; Anuenue Securities Limited; China Everbright Securities (HK) Limited; Wanchai, Hong Kong Haitong International Securities Company Limited; ICBC International Capital Limited; Central, Hong Kong Soochow Securities International Brokerage Limited; VMS Securities Limited</t>
        </is>
      </c>
      <c r="BJ54" s="62" t="inlineStr">
        <is>
          <t>Anuenue Securities Limited; China Everbright Securities (HK) Limited; Haitong International Securities Company Limited; ICBC International Securities Limited; Maxa Capital Limited; Soochow Securities International Brokerage Limited; UOB Kay Hian (Hong Kong) Limited; Valuable Capital Limited; VMS Securities Limited</t>
        </is>
      </c>
      <c r="BK54" s="76">
        <f>HYPERLINK("https://www1.hkexnews.hk/listedco/listconews/sehk/2021/0628/2021062800027.pdf","prospectus")</f>
        <v/>
      </c>
      <c r="BL54" s="76">
        <f>HYPERLINK("https://www1.hkexnews.hk/listedco/listconews/sehk/2021/0708/2021070800026.htm","allotment")</f>
        <v/>
      </c>
      <c r="BM54" s="76">
        <f>HYPERLINK("https://www1.hkexnews.hk/listedco/listconews/sehk/2021/0801/2021080100011.pdf","stabilisation")</f>
        <v/>
      </c>
      <c r="BN54" s="74" t="n"/>
      <c r="BO54" s="62" t="inlineStr">
        <is>
          <t>A/H: no A-share listing · deal size: stated gross HK$4.5m rejected — below the deal's own net proceeds HK$91.0m, which cannot happen</t>
        </is>
      </c>
    </row>
    <row r="55" ht="15" customHeight="1">
      <c r="A55" s="61" t="inlineStr">
        <is>
          <t>2165</t>
        </is>
      </c>
      <c r="B55" s="62" t="inlineStr">
        <is>
          <t>LING YUE SER GP</t>
        </is>
      </c>
      <c r="C55" s="62" t="inlineStr">
        <is>
          <t>領悅服務集團</t>
        </is>
      </c>
      <c r="D55" s="62" t="inlineStr">
        <is>
          <t>Real Estate</t>
        </is>
      </c>
      <c r="E55" s="62" t="inlineStr">
        <is>
          <t>Property management</t>
        </is>
      </c>
      <c r="F55" s="62" t="inlineStr">
        <is>
          <t>Property Service and Management</t>
        </is>
      </c>
      <c r="G55" s="62" t="inlineStr">
        <is>
          <t>Standard</t>
        </is>
      </c>
      <c r="H55" s="63" t="n">
        <v>44389</v>
      </c>
      <c r="I55" s="64" t="n">
        <v>293.3</v>
      </c>
      <c r="J55" s="62" t="inlineStr">
        <is>
          <t>gross (price x shares)</t>
        </is>
      </c>
      <c r="K55" s="65" t="n"/>
      <c r="L55" s="65" t="n">
        <v>4.55</v>
      </c>
      <c r="M55" s="65" t="n">
        <v>4.19</v>
      </c>
      <c r="N55" s="62" t="inlineStr">
        <is>
          <t>N</t>
        </is>
      </c>
      <c r="O55" s="66" t="n">
        <v>92.09999999999999</v>
      </c>
      <c r="P55" s="66" t="n"/>
      <c r="Q55" s="67" t="n">
        <v>1058.8</v>
      </c>
      <c r="R55" s="62" t="inlineStr">
        <is>
          <t>derived:deal size / offer % of enlarged capital</t>
        </is>
      </c>
      <c r="S55" s="68" t="n">
        <v>5.23</v>
      </c>
      <c r="T55" s="69" t="n">
        <v>1.2</v>
      </c>
      <c r="U55" s="70" t="n">
        <v>0</v>
      </c>
      <c r="V55" s="66" t="n">
        <v>27.7</v>
      </c>
      <c r="W55" s="62" t="n"/>
      <c r="X55" s="62" t="n"/>
      <c r="Y55" s="66" t="n">
        <v>16.5</v>
      </c>
      <c r="Z55" s="62" t="inlineStr">
        <is>
          <t>partial</t>
        </is>
      </c>
      <c r="AA55" s="71" t="n">
        <v>0</v>
      </c>
      <c r="AB55" s="72" t="n">
        <v>24.11</v>
      </c>
      <c r="AC55" s="72" t="n">
        <v>-19.43</v>
      </c>
      <c r="AD55" s="72" t="n">
        <v>0</v>
      </c>
      <c r="AE55" s="72" t="n">
        <v>0.24</v>
      </c>
      <c r="AF55" s="72" t="n">
        <v>0</v>
      </c>
      <c r="AG55" s="72" t="n">
        <v>0</v>
      </c>
      <c r="AH55" s="72" t="n">
        <v>0.24</v>
      </c>
      <c r="AI55" s="72" t="n">
        <v>0</v>
      </c>
      <c r="AJ55" s="72" t="n">
        <v>-1.01</v>
      </c>
      <c r="AK55" s="72" t="n">
        <v>5.83</v>
      </c>
      <c r="AL55" s="72" t="n">
        <v>9.390000000000001</v>
      </c>
      <c r="AM55" s="72" t="n">
        <v>7.02</v>
      </c>
      <c r="AN55" s="72" t="n">
        <v>-5.59</v>
      </c>
      <c r="AO55" s="72" t="n">
        <v>-6.78</v>
      </c>
      <c r="AP55" s="62" t="inlineStr">
        <is>
          <t>Hang Seng Properties sub-index</t>
        </is>
      </c>
      <c r="AQ55" s="72" t="n">
        <v>-60.62</v>
      </c>
      <c r="AR55" s="63" t="inlineStr">
        <is>
          <t>2026-08-21</t>
        </is>
      </c>
      <c r="AS55" s="64" t="n">
        <v>471</v>
      </c>
      <c r="AT55" s="67" t="n">
        <v>77.3</v>
      </c>
      <c r="AU55" s="62" t="inlineStr">
        <is>
          <t>Y</t>
        </is>
      </c>
      <c r="AV55" s="73" t="n">
        <v>13.7</v>
      </c>
      <c r="AW55" s="73" t="n"/>
      <c r="AX55" s="73" t="n">
        <v>5.1</v>
      </c>
      <c r="AY55" s="73" t="n">
        <v>2.2</v>
      </c>
      <c r="AZ55" s="74" t="inlineStr">
        <is>
          <t>N</t>
        </is>
      </c>
      <c r="BA55" s="75">
        <f>IF('BBG Verify'!K55="","not filed — run on terminal",'BBG Verify'!K55)</f>
        <v/>
      </c>
      <c r="BB55" s="62" t="inlineStr">
        <is>
          <t>N/A</t>
        </is>
      </c>
      <c r="BC55" s="62" t="inlineStr">
        <is>
          <t>N/A</t>
        </is>
      </c>
      <c r="BD55" s="62" t="inlineStr">
        <is>
          <t>N/A</t>
        </is>
      </c>
      <c r="BE55" s="62" t="inlineStr">
        <is>
          <t>N/A</t>
        </is>
      </c>
      <c r="BF55" s="62" t="inlineStr">
        <is>
          <t>N/A</t>
        </is>
      </c>
      <c r="BG55" s="74" t="inlineStr">
        <is>
          <t>CCB International Capital Limited</t>
        </is>
      </c>
      <c r="BH55" s="62" t="inlineStr">
        <is>
          <t>CCB International Capital Limited</t>
        </is>
      </c>
      <c r="BI55" s="62" t="inlineStr">
        <is>
          <t>CCB International Capital Limited; CMB International Capital Limited; Huatai Financial Holdings (Hong Kong) Limited; Seazen Resources Securities Limited; Shenwan Hongyuan Securities (H.K.) Limited; CMBC Securities Company Limited</t>
        </is>
      </c>
      <c r="BJ55" s="62" t="inlineStr">
        <is>
          <t>CCB International Capital Limited; CMBC Securities Company Limited; CMB International Capital Limited; Huatai Financial Holdings (Hong Kong) Limited; I Win Securities Limited; Shenwan Hongyuan Securities (H.K.) Limited; Seazen Resources Securities Limited; Vision Capital International Holdings Limited</t>
        </is>
      </c>
      <c r="BK55" s="76">
        <f>HYPERLINK("https://www1.hkexnews.hk/listedco/listconews/sehk/2021/0629/2021062900045.pdf","prospectus")</f>
        <v/>
      </c>
      <c r="BL55" s="76">
        <f>HYPERLINK("https://www1.hkexnews.hk/listedco/listconews/sehk/2021/0709/2021070900020.htm","allotment")</f>
        <v/>
      </c>
      <c r="BM55" s="76">
        <f>HYPERLINK("https://www1.hkexnews.hk/listedco/listconews/sehk/2021/0805/2021080500013.pdf","stabilisation")</f>
        <v/>
      </c>
      <c r="BN55" s="74" t="n"/>
      <c r="BO55" s="62" t="inlineStr">
        <is>
          <t>range low: cap-only pricing — the filing publishes a Maximum Offer Price and no indicative floor · A/H: no A-share listing · cornerstone list: no cornerstone tranche in this deal</t>
        </is>
      </c>
    </row>
    <row r="56" ht="15" customHeight="1">
      <c r="A56" s="61" t="inlineStr">
        <is>
          <t>2177</t>
        </is>
      </c>
      <c r="B56" s="62" t="inlineStr">
        <is>
          <t>UNQ HOLDINGS</t>
        </is>
      </c>
      <c r="C56" s="62" t="inlineStr">
        <is>
          <t>優趣匯控股</t>
        </is>
      </c>
      <c r="D56" s="62" t="inlineStr">
        <is>
          <t>Tech/AI</t>
        </is>
      </c>
      <c r="E56" s="62" t="inlineStr">
        <is>
          <t>Internet platform / e-commerce</t>
        </is>
      </c>
      <c r="F56" s="62" t="inlineStr">
        <is>
          <t>e-Commerce &amp; Internet Services</t>
        </is>
      </c>
      <c r="G56" s="62" t="inlineStr">
        <is>
          <t>Standard</t>
        </is>
      </c>
      <c r="H56" s="63" t="n">
        <v>44389</v>
      </c>
      <c r="I56" s="64" t="n">
        <v>327.99</v>
      </c>
      <c r="J56" s="62" t="inlineStr">
        <is>
          <t>net proceeds</t>
        </is>
      </c>
      <c r="K56" s="65" t="n">
        <v>11.86</v>
      </c>
      <c r="L56" s="65" t="n">
        <v>15.35</v>
      </c>
      <c r="M56" s="65" t="n">
        <v>11.86</v>
      </c>
      <c r="N56" s="62" t="inlineStr">
        <is>
          <t>N</t>
        </is>
      </c>
      <c r="O56" s="66" t="n">
        <v>77.3</v>
      </c>
      <c r="P56" s="66" t="n">
        <v>0</v>
      </c>
      <c r="Q56" s="67" t="n">
        <v>1967.5</v>
      </c>
      <c r="R56" s="62" t="inlineStr">
        <is>
          <t>prospectus:stated market capitalisation</t>
        </is>
      </c>
      <c r="S56" s="68" t="n">
        <v>25.45</v>
      </c>
      <c r="T56" s="69" t="n">
        <v>1.83</v>
      </c>
      <c r="U56" s="70" t="n">
        <v>31.3</v>
      </c>
      <c r="V56" s="66" t="n">
        <v>11.45</v>
      </c>
      <c r="W56" s="62" t="inlineStr">
        <is>
          <t>Country Garden Property Services HK Holdings Company Limited; Kobayashi Pharmaceutical Co., Ltd; Unicharm Corporation</t>
        </is>
      </c>
      <c r="X56" s="62" t="inlineStr">
        <is>
          <t>country;kobayashi;unicharm</t>
        </is>
      </c>
      <c r="Y56" s="66" t="n">
        <v>17.7</v>
      </c>
      <c r="Z56" s="62" t="inlineStr">
        <is>
          <t>lapsed</t>
        </is>
      </c>
      <c r="AA56" s="71" t="n">
        <v>-23.78</v>
      </c>
      <c r="AB56" s="72" t="n">
        <v>3.04</v>
      </c>
      <c r="AC56" s="72" t="n">
        <v>-26.03</v>
      </c>
      <c r="AD56" s="72" t="n">
        <v>-29.09</v>
      </c>
      <c r="AE56" s="72" t="n">
        <v>-50.42</v>
      </c>
      <c r="AF56" s="72" t="n">
        <v>-57</v>
      </c>
      <c r="AG56" s="72" t="n">
        <v>-6.97</v>
      </c>
      <c r="AH56" s="72" t="n">
        <v>-34.95</v>
      </c>
      <c r="AI56" s="72" t="n">
        <v>-43.58</v>
      </c>
      <c r="AJ56" s="72" t="n">
        <v>-29.02</v>
      </c>
      <c r="AK56" s="72" t="n">
        <v>-42.4</v>
      </c>
      <c r="AL56" s="72" t="n">
        <v>-43.14</v>
      </c>
      <c r="AM56" s="72" t="n">
        <v>-25.82</v>
      </c>
      <c r="AN56" s="72" t="n">
        <v>-8.02</v>
      </c>
      <c r="AO56" s="72" t="n">
        <v>-9.130000000000001</v>
      </c>
      <c r="AP56" s="62" t="inlineStr">
        <is>
          <t>HSTECH (Hang Seng TECH ETF)</t>
        </is>
      </c>
      <c r="AQ56" s="72" t="n">
        <v>-81.79000000000001</v>
      </c>
      <c r="AR56" s="63" t="inlineStr">
        <is>
          <t>2026-08-21</t>
        </is>
      </c>
      <c r="AS56" s="64" t="n">
        <v>3080.9</v>
      </c>
      <c r="AT56" s="67" t="n">
        <v>47.3</v>
      </c>
      <c r="AU56" s="62" t="inlineStr">
        <is>
          <t>Y</t>
        </is>
      </c>
      <c r="AV56" s="73" t="n">
        <v>41.6</v>
      </c>
      <c r="AW56" s="73" t="n"/>
      <c r="AX56" s="73" t="n">
        <v>12.5</v>
      </c>
      <c r="AY56" s="73" t="n">
        <v>0.6</v>
      </c>
      <c r="AZ56" s="74" t="inlineStr">
        <is>
          <t>N</t>
        </is>
      </c>
      <c r="BA56" s="75">
        <f>IF('BBG Verify'!K56="","not filed — run on terminal",'BBG Verify'!K56)</f>
        <v/>
      </c>
      <c r="BB56" s="62" t="inlineStr">
        <is>
          <t>N/A</t>
        </is>
      </c>
      <c r="BC56" s="62" t="inlineStr">
        <is>
          <t>N/A</t>
        </is>
      </c>
      <c r="BD56" s="62" t="inlineStr">
        <is>
          <t>N/A</t>
        </is>
      </c>
      <c r="BE56" s="62" t="inlineStr">
        <is>
          <t>N/A</t>
        </is>
      </c>
      <c r="BF56" s="62" t="inlineStr">
        <is>
          <t>N/A</t>
        </is>
      </c>
      <c r="BG56" s="74" t="inlineStr">
        <is>
          <t>China International Capital Corporation Hong Kong Securities Limited</t>
        </is>
      </c>
      <c r="BH56" s="62" t="inlineStr">
        <is>
          <t>China International Capital Corporation Hong Kong Securities Limited</t>
        </is>
      </c>
      <c r="BI56" s="62" t="inlineStr">
        <is>
          <t>China International Capital Corporation Hong Kong Securities Limited; Nomura International (Hong Kong) Limited; BOCI Asia Limited; BOCOM International Securities Limited; Futu Securities International (Hong Kong) Limited; Haitong International Securities Company Limited; Sunfund Securities Limited; Central, Hong Kong Zhongtai International Securities Limited</t>
        </is>
      </c>
      <c r="BJ56" s="62" t="inlineStr">
        <is>
          <t>Beta International Securities Limited; BOCI Asia Limited; China International Capital Corporation Hong Kong Securities Limited; Futu Securities International (Hong Kong) Limited; Haitong International Securities Company Limited; Livermore Holdings Limited; Nomura International (Hong Kong) Limited; Sunfund Securities Limited; Zhongtai International Securities Limited</t>
        </is>
      </c>
      <c r="BK56" s="76">
        <f>HYPERLINK("https://www1.hkexnews.hk/listedco/listconews/sehk/2021/0628/2021062800009.pdf","prospectus")</f>
        <v/>
      </c>
      <c r="BL56" s="76">
        <f>HYPERLINK("https://www1.hkexnews.hk/listedco/listconews/sehk/2021/0709/2021070900048.htm","allotment")</f>
        <v/>
      </c>
      <c r="BM56" s="76">
        <f>HYPERLINK("https://www1.hkexnews.hk/listedco/listconews/sehk/2021/0804/2021080401759.pdf","stabilisation")</f>
        <v/>
      </c>
      <c r="BN56" s="74" t="n"/>
      <c r="BO56" s="62" t="inlineStr">
        <is>
          <t>A/H: no A-share listing</t>
        </is>
      </c>
    </row>
    <row r="57" ht="15" customHeight="1">
      <c r="A57" s="61" t="inlineStr">
        <is>
          <t>6913</t>
        </is>
      </c>
      <c r="B57" s="62" t="inlineStr">
        <is>
          <t>SCVE GROUP</t>
        </is>
      </c>
      <c r="C57" s="62" t="inlineStr">
        <is>
          <t>華南職業教育</t>
        </is>
      </c>
      <c r="D57" s="62" t="inlineStr">
        <is>
          <t>Consumer</t>
        </is>
      </c>
      <c r="E57" s="62" t="inlineStr">
        <is>
          <t>Consumer services / education</t>
        </is>
      </c>
      <c r="F57" s="62" t="inlineStr">
        <is>
          <t>Education Services</t>
        </is>
      </c>
      <c r="G57" s="62" t="inlineStr">
        <is>
          <t>Standard</t>
        </is>
      </c>
      <c r="H57" s="63" t="n">
        <v>44390</v>
      </c>
      <c r="I57" s="64" t="n">
        <v>531.1</v>
      </c>
      <c r="J57" s="62" t="inlineStr">
        <is>
          <t>gross (price x shares)</t>
        </is>
      </c>
      <c r="K57" s="65" t="n"/>
      <c r="L57" s="65" t="n">
        <v>2.01</v>
      </c>
      <c r="M57" s="65" t="n">
        <v>1.59</v>
      </c>
      <c r="N57" s="62" t="inlineStr">
        <is>
          <t>N</t>
        </is>
      </c>
      <c r="O57" s="66" t="n">
        <v>79.09999999999999</v>
      </c>
      <c r="P57" s="66" t="n"/>
      <c r="Q57" s="67" t="n">
        <v>2564.2</v>
      </c>
      <c r="R57" s="62" t="inlineStr">
        <is>
          <t>aastocks:上市市值 at the struck price</t>
        </is>
      </c>
      <c r="S57" s="68" t="n">
        <v>6.01</v>
      </c>
      <c r="T57" s="69" t="n">
        <v>1.99</v>
      </c>
      <c r="U57" s="70" t="n">
        <v>0</v>
      </c>
      <c r="V57" s="66" t="n">
        <v>20.71</v>
      </c>
      <c r="W57" s="62" t="n"/>
      <c r="X57" s="62" t="n"/>
      <c r="Y57" s="66" t="n">
        <v>12.3</v>
      </c>
      <c r="Z57" s="62" t="inlineStr">
        <is>
          <t>lapsed</t>
        </is>
      </c>
      <c r="AA57" s="71" t="n">
        <v>-16.98</v>
      </c>
      <c r="AB57" s="72" t="n">
        <v>-8.81</v>
      </c>
      <c r="AC57" s="72" t="n">
        <v>-8.960000000000001</v>
      </c>
      <c r="AD57" s="72" t="n">
        <v>-33.33</v>
      </c>
      <c r="AE57" s="72" t="n">
        <v>-11.95</v>
      </c>
      <c r="AF57" s="72" t="n">
        <v>-24.53</v>
      </c>
      <c r="AG57" s="72" t="n">
        <v>-19.69</v>
      </c>
      <c r="AH57" s="72" t="n">
        <v>6.06</v>
      </c>
      <c r="AI57" s="72" t="n">
        <v>-9.09</v>
      </c>
      <c r="AJ57" s="72" t="n">
        <v>-32.43</v>
      </c>
      <c r="AK57" s="72" t="n">
        <v>-6.8</v>
      </c>
      <c r="AL57" s="72" t="n">
        <v>-12.42</v>
      </c>
      <c r="AM57" s="72" t="n">
        <v>12.97</v>
      </c>
      <c r="AN57" s="72" t="n">
        <v>-5.15</v>
      </c>
      <c r="AO57" s="72" t="n">
        <v>-6.91</v>
      </c>
      <c r="AP57" s="62" t="inlineStr">
        <is>
          <t>Hang Seng Commerce &amp; Industry sub-index</t>
        </is>
      </c>
      <c r="AQ57" s="72" t="n">
        <v>-93.08</v>
      </c>
      <c r="AR57" s="63" t="inlineStr">
        <is>
          <t>2026-08-20</t>
        </is>
      </c>
      <c r="AS57" s="64" t="n">
        <v>495</v>
      </c>
      <c r="AT57" s="67" t="n">
        <v>187</v>
      </c>
      <c r="AU57" s="62" t="inlineStr">
        <is>
          <t>Y</t>
        </is>
      </c>
      <c r="AV57" s="73" t="n">
        <v>13.7</v>
      </c>
      <c r="AW57" s="73" t="n"/>
      <c r="AX57" s="73" t="n"/>
      <c r="AY57" s="73" t="n">
        <v>5.2</v>
      </c>
      <c r="AZ57" s="74" t="inlineStr">
        <is>
          <t>N</t>
        </is>
      </c>
      <c r="BA57" s="75">
        <f>IF('BBG Verify'!K57="","not filed — run on terminal",'BBG Verify'!K57)</f>
        <v/>
      </c>
      <c r="BB57" s="62" t="inlineStr">
        <is>
          <t>N/A</t>
        </is>
      </c>
      <c r="BC57" s="62" t="inlineStr">
        <is>
          <t>N/A</t>
        </is>
      </c>
      <c r="BD57" s="62" t="inlineStr">
        <is>
          <t>N/A</t>
        </is>
      </c>
      <c r="BE57" s="62" t="inlineStr">
        <is>
          <t>N/A</t>
        </is>
      </c>
      <c r="BF57" s="62" t="inlineStr">
        <is>
          <t>N/A</t>
        </is>
      </c>
      <c r="BG57" s="74" t="inlineStr">
        <is>
          <t>BNP Paribas Securities (Asia) Limited</t>
        </is>
      </c>
      <c r="BH57" s="62" t="inlineStr">
        <is>
          <t>BNP Paribas Securities (Asia) Limited</t>
        </is>
      </c>
      <c r="BI57" s="62" t="inlineStr">
        <is>
          <t>BNP Paribas Securities (Asia) Limited; Haitong International Securities Company Limited; CCB International Capital Limited; CMB International Capital Limited; Futu Securities International (Hong Kong) Limited; China Galaxy International Securities (Hong Kong) Co., Limited</t>
        </is>
      </c>
      <c r="BJ57" s="62" t="inlineStr">
        <is>
          <t>BNP Paribas Securities (Asia) Limited; CCB International Capital Limited; China Galaxy International Securities (Hong Kong) Company Limited; CMB International Capital Corporation Limited; Futu Securities International (Hong Kong) Limited; Haitong International Securities Company Limited; Sinomax Securities Limited</t>
        </is>
      </c>
      <c r="BK57" s="76">
        <f>HYPERLINK("https://www1.hkexnews.hk/listedco/listconews/sehk/2021/0630/2021063000199.pdf","prospectus")</f>
        <v/>
      </c>
      <c r="BL57" s="76">
        <f>HYPERLINK("https://www1.hkexnews.hk/listedco/listconews/sehk/2021/0712/2021071200022.htm","allotment")</f>
        <v/>
      </c>
      <c r="BM57" s="76">
        <f>HYPERLINK("https://www1.hkexnews.hk/listedco/listconews/sehk/2021/0805/2021080500675.pdf","stabilisation")</f>
        <v/>
      </c>
      <c r="BN57" s="74" t="n"/>
      <c r="BO57" s="62" t="inlineStr">
        <is>
          <t>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t>
        </is>
      </c>
    </row>
    <row r="58" ht="15" customHeight="1">
      <c r="A58" s="61" t="inlineStr">
        <is>
          <t>2137</t>
        </is>
      </c>
      <c r="B58" s="62" t="inlineStr">
        <is>
          <t>BRII - B</t>
        </is>
      </c>
      <c r="C58" s="62" t="inlineStr">
        <is>
          <t>騰盛博藥－Ｂ</t>
        </is>
      </c>
      <c r="D58" s="62" t="inlineStr">
        <is>
          <t>Healthcare</t>
        </is>
      </c>
      <c r="E58" s="62" t="inlineStr">
        <is>
          <t>Biotech pre-revenue (18A)</t>
        </is>
      </c>
      <c r="F58" s="62" t="inlineStr">
        <is>
          <t>Biotechnology</t>
        </is>
      </c>
      <c r="G58" s="62" t="inlineStr">
        <is>
          <t>Standard</t>
        </is>
      </c>
      <c r="H58" s="63" t="n">
        <v>44390</v>
      </c>
      <c r="I58" s="64" t="n">
        <v>2482.7</v>
      </c>
      <c r="J58" s="62" t="inlineStr">
        <is>
          <t>gross (price x shares)</t>
        </is>
      </c>
      <c r="K58" s="65" t="n">
        <v>21</v>
      </c>
      <c r="L58" s="65" t="n">
        <v>22.25</v>
      </c>
      <c r="M58" s="65" t="n">
        <v>22.25</v>
      </c>
      <c r="N58" s="62" t="inlineStr">
        <is>
          <t>Y</t>
        </is>
      </c>
      <c r="O58" s="66" t="n">
        <v>100</v>
      </c>
      <c r="P58" s="66" t="n">
        <v>100</v>
      </c>
      <c r="Q58" s="67" t="n">
        <v>13987</v>
      </c>
      <c r="R58" s="62" t="inlineStr">
        <is>
          <t>derived:deal size / offer % of enlarged capital</t>
        </is>
      </c>
      <c r="S58" s="68" t="n">
        <v>292</v>
      </c>
      <c r="T58" s="69" t="n">
        <v>12</v>
      </c>
      <c r="U58" s="70" t="n">
        <v>47.52</v>
      </c>
      <c r="V58" s="66" t="n">
        <v>9.32</v>
      </c>
      <c r="W58" s="62" t="inlineStr">
        <is>
          <t>AIHC Master Fund; Athos Asia Event Driven Master Fund; Boyu Capital Opportunities Master Fund; Invesco Advisers, Inc; RBC Global Asset Management (Asia) Limited; Sage Partners Master Fund; SCC Growth V Holdco Q, Ltd; Springhill Master Fund Limited; The Valliance Fund; UBS Asset Management (Singapore) Ltd; Youyu Global Limited</t>
        </is>
      </c>
      <c r="X58" s="62" t="inlineStr">
        <is>
          <t>aihc;athos;boyu;invesco;rbc;sage;scc;springhill;valliance;ubs;youyu</t>
        </is>
      </c>
      <c r="Y58" s="66" t="n">
        <v>6.1</v>
      </c>
      <c r="Z58" s="62" t="inlineStr">
        <is>
          <t>partial</t>
        </is>
      </c>
      <c r="AA58" s="71" t="n">
        <v>3.15</v>
      </c>
      <c r="AB58" s="72" t="n">
        <v>-3.82</v>
      </c>
      <c r="AC58" s="72" t="n">
        <v>7.25</v>
      </c>
      <c r="AD58" s="72" t="n">
        <v>-6.52</v>
      </c>
      <c r="AE58" s="72" t="n">
        <v>79.78</v>
      </c>
      <c r="AF58" s="72" t="n">
        <v>22.02</v>
      </c>
      <c r="AG58" s="72" t="n">
        <v>-9.369999999999999</v>
      </c>
      <c r="AH58" s="72" t="n">
        <v>74.29000000000001</v>
      </c>
      <c r="AI58" s="72" t="n">
        <v>18.29</v>
      </c>
      <c r="AJ58" s="72" t="n">
        <v>-6.88</v>
      </c>
      <c r="AK58" s="72" t="n">
        <v>87.09999999999999</v>
      </c>
      <c r="AL58" s="72" t="n">
        <v>39.45</v>
      </c>
      <c r="AM58" s="72" t="n">
        <v>81.16</v>
      </c>
      <c r="AN58" s="72" t="n">
        <v>-7.32</v>
      </c>
      <c r="AO58" s="72" t="n">
        <v>-6.87</v>
      </c>
      <c r="AP58" s="62" t="inlineStr">
        <is>
          <t>China Biotech ETF (HS biotech proxy)</t>
        </is>
      </c>
      <c r="AQ58" s="72" t="n">
        <v>-95.59999999999999</v>
      </c>
      <c r="AR58" s="63" t="inlineStr">
        <is>
          <t>2026-08-20</t>
        </is>
      </c>
      <c r="AS58" s="64" t="n">
        <v>34.1</v>
      </c>
      <c r="AT58" s="67" t="n">
        <v>-1411.9</v>
      </c>
      <c r="AU58" s="62" t="inlineStr">
        <is>
          <t>N</t>
        </is>
      </c>
      <c r="AV58" s="62" t="inlineStr">
        <is>
          <t>n/m</t>
        </is>
      </c>
      <c r="AW58" s="73" t="n"/>
      <c r="AX58" s="73" t="n"/>
      <c r="AY58" s="73" t="n">
        <v>410.2</v>
      </c>
      <c r="AZ58" s="74" t="inlineStr">
        <is>
          <t>N</t>
        </is>
      </c>
      <c r="BA58" s="75">
        <f>IF('BBG Verify'!K58="","not filed — run on terminal",'BBG Verify'!K58)</f>
        <v/>
      </c>
      <c r="BB58" s="62" t="inlineStr">
        <is>
          <t>N/A</t>
        </is>
      </c>
      <c r="BC58" s="62" t="inlineStr">
        <is>
          <t>N/A</t>
        </is>
      </c>
      <c r="BD58" s="62" t="inlineStr">
        <is>
          <t>N/A</t>
        </is>
      </c>
      <c r="BE58" s="62" t="inlineStr">
        <is>
          <t>N/A</t>
        </is>
      </c>
      <c r="BF58" s="62" t="inlineStr">
        <is>
          <t>N/A</t>
        </is>
      </c>
      <c r="BG58" s="74" t="inlineStr">
        <is>
          <t>Morgan Stanley Asia Limited; UBS Securities Hong Kong Limited</t>
        </is>
      </c>
      <c r="BH58" s="62" t="inlineStr">
        <is>
          <t>Morgan Stanley Asia Limited; UBS Securities Hong Kong Limited</t>
        </is>
      </c>
      <c r="BI58" s="62" t="inlineStr">
        <is>
          <t>Morgan Stanley Asia Limited; UBS AG Hong Kong Branch; China International Capital Corporation Hong Kong Securities Limited</t>
        </is>
      </c>
      <c r="BJ58" s="62" t="inlineStr">
        <is>
          <t>China International Capital Corporation Hong Kong Securities Limited; Morgan Stanley Asia Limited; UBS AG Hong Kong Branch</t>
        </is>
      </c>
      <c r="BK58" s="76">
        <f>HYPERLINK("https://www1.hkexnews.hk/listedco/listconews/sehk/2021/0630/2021063000045.pdf","prospectus")</f>
        <v/>
      </c>
      <c r="BL58" s="76">
        <f>HYPERLINK("https://www1.hkexnews.hk/listedco/listconews/sehk/2021/0712/2021071200036.htm","allotment")</f>
        <v/>
      </c>
      <c r="BM58" s="76">
        <f>HYPERLINK("https://www1.hkexnews.hk/listedco/listconews/sehk/2021/0805/2021080502190.pdf","stabilisation")</f>
        <v/>
      </c>
      <c r="BN58" s="74" t="n"/>
      <c r="BO58" s="62" t="inlineStr">
        <is>
          <t>P/E: n/m — loss-making at IPO (use P/S) · A/H: no A-share listing · P/S: 410x on HK$34.1m revenue — effectively pre-revenue; the multiple is shown for completeness, not comparability</t>
        </is>
      </c>
    </row>
    <row r="59" ht="15" customHeight="1">
      <c r="A59" s="61" t="inlineStr">
        <is>
          <t>2192</t>
        </is>
      </c>
      <c r="B59" s="62" t="inlineStr">
        <is>
          <t>MEDLIVE</t>
        </is>
      </c>
      <c r="C59" s="62" t="inlineStr">
        <is>
          <t>醫脈通</t>
        </is>
      </c>
      <c r="D59" s="62" t="inlineStr">
        <is>
          <t>Healthcare</t>
        </is>
      </c>
      <c r="E59" s="62" t="inlineStr">
        <is>
          <t>Digital health</t>
        </is>
      </c>
      <c r="F59" s="62" t="inlineStr">
        <is>
          <t>Health Care Services</t>
        </is>
      </c>
      <c r="G59" s="62" t="inlineStr">
        <is>
          <t>Standard</t>
        </is>
      </c>
      <c r="H59" s="63" t="n">
        <v>44392</v>
      </c>
      <c r="I59" s="64" t="n">
        <v>4218.6</v>
      </c>
      <c r="J59" s="62" t="inlineStr">
        <is>
          <t>gross (price x shares)</t>
        </is>
      </c>
      <c r="K59" s="65" t="n">
        <v>24.1</v>
      </c>
      <c r="L59" s="65" t="n">
        <v>27.2</v>
      </c>
      <c r="M59" s="65" t="n">
        <v>27.2</v>
      </c>
      <c r="N59" s="62" t="inlineStr">
        <is>
          <t>Y</t>
        </is>
      </c>
      <c r="O59" s="66" t="n">
        <v>100</v>
      </c>
      <c r="P59" s="66" t="n">
        <v>100</v>
      </c>
      <c r="Q59" s="67" t="n">
        <v>17703</v>
      </c>
      <c r="R59" s="62" t="inlineStr">
        <is>
          <t>prospectus:stated market capitalisation</t>
        </is>
      </c>
      <c r="S59" s="68" t="n">
        <v>592.41</v>
      </c>
      <c r="T59" s="69" t="n">
        <v>31.2</v>
      </c>
      <c r="U59" s="70" t="n">
        <v>40.48</v>
      </c>
      <c r="V59" s="66" t="n">
        <v>14.18</v>
      </c>
      <c r="W59" s="62" t="inlineStr">
        <is>
          <t>Fidelity Investments; FIL Investment Management (Hong Kong) Limited; GIC Private Limited; Matthews Funds; OrbiMed Funds; Springhill Master Fund Limited; Tencent Mobility Limited</t>
        </is>
      </c>
      <c r="X59" s="62" t="inlineStr">
        <is>
          <t>fidelity;fil;gic;matthews;orbimed;springhill;tencent</t>
        </is>
      </c>
      <c r="Y59" s="66" t="n">
        <v>5.2</v>
      </c>
      <c r="Z59" s="62" t="inlineStr">
        <is>
          <t>partial</t>
        </is>
      </c>
      <c r="AA59" s="71" t="n">
        <v>13.97</v>
      </c>
      <c r="AB59" s="72" t="n">
        <v>6.25</v>
      </c>
      <c r="AC59" s="72" t="n">
        <v>7.27</v>
      </c>
      <c r="AD59" s="72" t="n">
        <v>11.21</v>
      </c>
      <c r="AE59" s="72" t="n">
        <v>29.23</v>
      </c>
      <c r="AF59" s="72" t="n">
        <v>42.28</v>
      </c>
      <c r="AG59" s="72" t="n">
        <v>-2.42</v>
      </c>
      <c r="AH59" s="72" t="n">
        <v>13.39</v>
      </c>
      <c r="AI59" s="72" t="n">
        <v>24.84</v>
      </c>
      <c r="AJ59" s="72" t="n">
        <v>13.47</v>
      </c>
      <c r="AK59" s="72" t="n">
        <v>39.37</v>
      </c>
      <c r="AL59" s="72" t="n">
        <v>60.8</v>
      </c>
      <c r="AM59" s="72" t="n">
        <v>22.89</v>
      </c>
      <c r="AN59" s="72" t="n">
        <v>-10.14</v>
      </c>
      <c r="AO59" s="72" t="n">
        <v>-9.5</v>
      </c>
      <c r="AP59" s="62" t="inlineStr">
        <is>
          <t>China Biotech ETF (HS biotech proxy)</t>
        </is>
      </c>
      <c r="AQ59" s="72" t="n">
        <v>-71.31</v>
      </c>
      <c r="AR59" s="63" t="inlineStr">
        <is>
          <t>2026-08-20</t>
        </is>
      </c>
      <c r="AS59" s="64" t="n">
        <v>234.9</v>
      </c>
      <c r="AT59" s="67" t="n">
        <v>93.7</v>
      </c>
      <c r="AU59" s="62" t="inlineStr">
        <is>
          <t>Y</t>
        </is>
      </c>
      <c r="AV59" s="73" t="n">
        <v>188.9</v>
      </c>
      <c r="AW59" s="73" t="n"/>
      <c r="AX59" s="73" t="n">
        <v>15.2</v>
      </c>
      <c r="AY59" s="73" t="n">
        <v>75.40000000000001</v>
      </c>
      <c r="AZ59" s="74" t="inlineStr">
        <is>
          <t>N</t>
        </is>
      </c>
      <c r="BA59" s="75">
        <f>IF('BBG Verify'!K59="","not filed — run on terminal",'BBG Verify'!K59)</f>
        <v/>
      </c>
      <c r="BB59" s="62" t="inlineStr">
        <is>
          <t>N/A</t>
        </is>
      </c>
      <c r="BC59" s="62" t="inlineStr">
        <is>
          <t>N/A</t>
        </is>
      </c>
      <c r="BD59" s="62" t="inlineStr">
        <is>
          <t>N/A</t>
        </is>
      </c>
      <c r="BE59" s="62" t="inlineStr">
        <is>
          <t>N/A</t>
        </is>
      </c>
      <c r="BF59" s="62" t="inlineStr">
        <is>
          <t>N/A</t>
        </is>
      </c>
      <c r="BG59" s="74" t="inlineStr">
        <is>
          <t>Frost &amp; Sullivan (Beijing) Inc., Shanghai Branch; Bank of China (Hong Kong) Limited; KY1-1102 Cayman Islands Hong Kong Share Registrar Tricor Investor Services Limited; Somerley Capital Limited; Bank of Beijing Co., Ltd., Beijing Branch; The Industrial Bank Co., Ltd., Beijing Branch; Sanyuanqiao Sub-branch; CORPORATE INFORMATION China Citic Bank Corporation Limited, Beijing Branch; Jiuxianqiao Sub-branch; DBS Bank (China) Limited, Beijing Branch</t>
        </is>
      </c>
      <c r="BH59" s="62" t="inlineStr">
        <is>
          <t>Haitong International Capital Limited; Goldman Sachs (Asia) L.L.C.</t>
        </is>
      </c>
      <c r="BI59" s="62" t="inlineStr">
        <is>
          <t>China International Capital Corporation Hong Kong Securities Limited; Goldman Sachs (Asia) L.L.C.; Haitong International Securities Company Limited</t>
        </is>
      </c>
      <c r="BJ59" s="62" t="inlineStr">
        <is>
          <t>China International Capital Corporation Hong Kong Securities Limited; Goldman Sachs (Asia) L.L.C.; Haitong International Securities Company Limited</t>
        </is>
      </c>
      <c r="BK59" s="76">
        <f>HYPERLINK("https://www1.hkexnews.hk/listedco/listconews/sehk/2021/0630/2021063000187.pdf","prospectus")</f>
        <v/>
      </c>
      <c r="BL59" s="76">
        <f>HYPERLINK("https://www1.hkexnews.hk/listedco/listconews/sehk/2021/0714/2021071400028.htm","allotment")</f>
        <v/>
      </c>
      <c r="BM59" s="76">
        <f>HYPERLINK("https://www1.hkexnews.hk/listedco/listconews/sehk/2021/0808/2021080800055.pdf","stabilisation")</f>
        <v/>
      </c>
      <c r="BN59" s="74" t="n"/>
      <c r="BO59" s="62" t="inlineStr">
        <is>
          <t>A/H: no A-share listing</t>
        </is>
      </c>
    </row>
    <row r="60" ht="15" customHeight="1">
      <c r="A60" s="61" t="inlineStr">
        <is>
          <t>6909</t>
        </is>
      </c>
      <c r="B60" s="62" t="inlineStr">
        <is>
          <t>BETTERLIFE HLDG</t>
        </is>
      </c>
      <c r="C60" s="62" t="inlineStr">
        <is>
          <t>百得利控股</t>
        </is>
      </c>
      <c r="D60" s="62" t="inlineStr">
        <is>
          <t>Consumer</t>
        </is>
      </c>
      <c r="E60" s="62" t="inlineStr">
        <is>
          <t>Retail / distribution</t>
        </is>
      </c>
      <c r="F60" s="62" t="inlineStr">
        <is>
          <t>Automotive Retail</t>
        </is>
      </c>
      <c r="G60" s="62" t="inlineStr">
        <is>
          <t>Standard</t>
        </is>
      </c>
      <c r="H60" s="63" t="n">
        <v>44392</v>
      </c>
      <c r="I60" s="64" t="n">
        <v>660</v>
      </c>
      <c r="J60" s="62" t="inlineStr">
        <is>
          <t>gross (price x shares)</t>
        </is>
      </c>
      <c r="K60" s="65" t="n"/>
      <c r="L60" s="65" t="n">
        <v>4.8</v>
      </c>
      <c r="M60" s="65" t="n">
        <v>4.4</v>
      </c>
      <c r="N60" s="62" t="inlineStr">
        <is>
          <t>N</t>
        </is>
      </c>
      <c r="O60" s="66" t="n">
        <v>91.7</v>
      </c>
      <c r="P60" s="66" t="n"/>
      <c r="Q60" s="67" t="n">
        <v>2640</v>
      </c>
      <c r="R60" s="62" t="inlineStr">
        <is>
          <t>derived:deal size / offer % of enlarged capital</t>
        </is>
      </c>
      <c r="S60" s="68" t="n">
        <v>43.92</v>
      </c>
      <c r="T60" s="69" t="n">
        <v>2.28</v>
      </c>
      <c r="U60" s="70" t="n">
        <v>0</v>
      </c>
      <c r="V60" s="66" t="n">
        <v>25</v>
      </c>
      <c r="W60" s="62" t="n"/>
      <c r="X60" s="62" t="n"/>
      <c r="Y60" s="66" t="n">
        <v>9.800000000000001</v>
      </c>
      <c r="Z60" s="62" t="inlineStr">
        <is>
          <t>full</t>
        </is>
      </c>
      <c r="AA60" s="71" t="n">
        <v>25</v>
      </c>
      <c r="AB60" s="72" t="n">
        <v>34.09</v>
      </c>
      <c r="AC60" s="72" t="n">
        <v>-6.78</v>
      </c>
      <c r="AD60" s="72" t="n">
        <v>89.55</v>
      </c>
      <c r="AE60" s="72" t="n">
        <v>63.41</v>
      </c>
      <c r="AF60" s="72" t="n">
        <v>57.27</v>
      </c>
      <c r="AG60" s="72" t="n">
        <v>51.64</v>
      </c>
      <c r="AH60" s="72" t="n">
        <v>30.73</v>
      </c>
      <c r="AI60" s="72" t="n">
        <v>25.82</v>
      </c>
      <c r="AJ60" s="72" t="n">
        <v>90.8</v>
      </c>
      <c r="AK60" s="72" t="n">
        <v>71.28</v>
      </c>
      <c r="AL60" s="72" t="n">
        <v>68.45</v>
      </c>
      <c r="AM60" s="72" t="n">
        <v>38.95</v>
      </c>
      <c r="AN60" s="72" t="n">
        <v>-7.87</v>
      </c>
      <c r="AO60" s="72" t="n">
        <v>-8.220000000000001</v>
      </c>
      <c r="AP60" s="62" t="inlineStr">
        <is>
          <t>Hang Seng Commerce &amp; Industry sub-index</t>
        </is>
      </c>
      <c r="AQ60" s="72" t="n">
        <v>-94.66</v>
      </c>
      <c r="AR60" s="63" t="inlineStr">
        <is>
          <t>2026-08-20</t>
        </is>
      </c>
      <c r="AS60" s="64" t="n">
        <v>9386.4</v>
      </c>
      <c r="AT60" s="67" t="n">
        <v>337.1</v>
      </c>
      <c r="AU60" s="62" t="inlineStr">
        <is>
          <t>Y</t>
        </is>
      </c>
      <c r="AV60" s="73" t="n">
        <v>7.8</v>
      </c>
      <c r="AW60" s="73" t="n"/>
      <c r="AX60" s="73" t="n">
        <v>62.1</v>
      </c>
      <c r="AY60" s="73" t="n">
        <v>0.3</v>
      </c>
      <c r="AZ60" s="74" t="inlineStr">
        <is>
          <t>N</t>
        </is>
      </c>
      <c r="BA60" s="75">
        <f>IF('BBG Verify'!K60="","not filed — run on terminal",'BBG Verify'!K60)</f>
        <v/>
      </c>
      <c r="BB60" s="62" t="inlineStr">
        <is>
          <t>N/A</t>
        </is>
      </c>
      <c r="BC60" s="62" t="inlineStr">
        <is>
          <t>N/A</t>
        </is>
      </c>
      <c r="BD60" s="62" t="inlineStr">
        <is>
          <t>N/A</t>
        </is>
      </c>
      <c r="BE60" s="62" t="inlineStr">
        <is>
          <t>N/A</t>
        </is>
      </c>
      <c r="BF60" s="62" t="inlineStr">
        <is>
          <t>N/A</t>
        </is>
      </c>
      <c r="BG60" s="74" t="inlineStr">
        <is>
          <t>Macquarie Capital Limited</t>
        </is>
      </c>
      <c r="BH60" s="62" t="inlineStr">
        <is>
          <t>Macquarie Capital Limited</t>
        </is>
      </c>
      <c r="BI60" s="62" t="inlineStr">
        <is>
          <t>Macquarie Capital Limited; Huatai Financial Holdings (Hong Kong) Limited; BOCOM International Securities Limited; UOB Kay Hian (Hong Kong) Limited; DBS Asia Capital Limited; First Shanghai Securities Limited; Maxa Capital Limited</t>
        </is>
      </c>
      <c r="BJ60" s="62" t="inlineStr">
        <is>
          <t>Beta International Securities Limited; DBS Asia Capital Limited; First Shanghai Securities Limited; Futu Securities International (Hong Kong) Limited; Huatai Financial Holdings (Hong Kong) Limited; Huajin Securities (International) Limited; Macquarie Capital Limited; Maxa Capital Limited; UOB Kay Hian (Hong Kong) Limited</t>
        </is>
      </c>
      <c r="BK60" s="76">
        <f>HYPERLINK("https://www1.hkexnews.hk/listedco/listconews/sehk/2021/0630/2021063000067.pdf","prospectus")</f>
        <v/>
      </c>
      <c r="BL60" s="76">
        <f>HYPERLINK("https://www1.hkexnews.hk/listedco/listconews/sehk/2021/0714/2021071400040.htm","allotment")</f>
        <v/>
      </c>
      <c r="BM60" s="76">
        <f>HYPERLINK("https://www1.hkexnews.hk/listedco/listconews/sehk/2021/0808/2021080800009.pdf","stabilisation")</f>
        <v/>
      </c>
      <c r="BN60" s="74" t="n"/>
      <c r="BO60" s="62" t="inlineStr">
        <is>
          <t>range low: cap-only pricing — the filing publishes a Maximum Offer Price and no indicative floor · A/H: no A-share listing · cornerstone list: no cornerstone tranche in this deal</t>
        </is>
      </c>
    </row>
    <row r="61" ht="15" customHeight="1">
      <c r="A61" s="61" t="inlineStr">
        <is>
          <t>2215</t>
        </is>
      </c>
      <c r="B61" s="62" t="inlineStr">
        <is>
          <t>DEXIN SER GROUP</t>
        </is>
      </c>
      <c r="C61" s="62" t="inlineStr">
        <is>
          <t>德信服務集團</t>
        </is>
      </c>
      <c r="D61" s="62" t="inlineStr">
        <is>
          <t>Real Estate</t>
        </is>
      </c>
      <c r="E61" s="62" t="inlineStr">
        <is>
          <t>Property management</t>
        </is>
      </c>
      <c r="F61" s="62" t="inlineStr">
        <is>
          <t>Property Service and Management</t>
        </is>
      </c>
      <c r="G61" s="62" t="inlineStr">
        <is>
          <t>Standard</t>
        </is>
      </c>
      <c r="H61" s="63" t="n">
        <v>44392</v>
      </c>
      <c r="I61" s="64" t="n">
        <v>106.9</v>
      </c>
      <c r="J61" s="62" t="inlineStr">
        <is>
          <t>net proceeds</t>
        </is>
      </c>
      <c r="K61" s="65" t="n">
        <v>2.66</v>
      </c>
      <c r="L61" s="65" t="n">
        <v>3.44</v>
      </c>
      <c r="M61" s="65" t="n">
        <v>3.06</v>
      </c>
      <c r="N61" s="62" t="inlineStr">
        <is>
          <t>N</t>
        </is>
      </c>
      <c r="O61" s="66" t="n">
        <v>89</v>
      </c>
      <c r="P61" s="66" t="n">
        <v>51.3</v>
      </c>
      <c r="Q61" s="67" t="n">
        <v>3410.4</v>
      </c>
      <c r="R61" s="62" t="inlineStr">
        <is>
          <t>aastocks:上市市值 at the struck price</t>
        </is>
      </c>
      <c r="S61" s="68" t="n">
        <v>3.08</v>
      </c>
      <c r="T61" s="69" t="n">
        <v>1.31</v>
      </c>
      <c r="U61" s="70" t="n">
        <v>21.4</v>
      </c>
      <c r="V61" s="66" t="n">
        <v>2.46</v>
      </c>
      <c r="W61" s="62" t="inlineStr">
        <is>
          <t>Hangzhou Jintou Shenghan Investment Partnership (Limited Partnership); Hangzhou Light Industrial Association Investment Group Co.,Ltd; JIC TRUST CO., LTD</t>
        </is>
      </c>
      <c r="X61" s="62" t="inlineStr">
        <is>
          <t>hangzhou-jintou;hangzhou-light;jic</t>
        </is>
      </c>
      <c r="Y61" s="66" t="n">
        <v>15</v>
      </c>
      <c r="Z61" s="62" t="inlineStr">
        <is>
          <t>partial</t>
        </is>
      </c>
      <c r="AA61" s="71" t="n">
        <v>0</v>
      </c>
      <c r="AB61" s="72" t="n">
        <v>0</v>
      </c>
      <c r="AC61" s="72" t="n">
        <v>0</v>
      </c>
      <c r="AD61" s="72" t="n">
        <v>-0</v>
      </c>
      <c r="AE61" s="72" t="n">
        <v>9.800000000000001</v>
      </c>
      <c r="AF61" s="72" t="n">
        <v>10.13</v>
      </c>
      <c r="AG61" s="72" t="n">
        <v>0</v>
      </c>
      <c r="AH61" s="72" t="n">
        <v>9.800000000000001</v>
      </c>
      <c r="AI61" s="72" t="n">
        <v>10.13</v>
      </c>
      <c r="AJ61" s="72" t="n">
        <v>-1.15</v>
      </c>
      <c r="AK61" s="72" t="n">
        <v>14.33</v>
      </c>
      <c r="AL61" s="72" t="n">
        <v>19.43</v>
      </c>
      <c r="AM61" s="72" t="n">
        <v>16.18</v>
      </c>
      <c r="AN61" s="72" t="n">
        <v>-4.53</v>
      </c>
      <c r="AO61" s="72" t="n">
        <v>-6.38</v>
      </c>
      <c r="AP61" s="62" t="inlineStr">
        <is>
          <t>Hang Seng Properties sub-index</t>
        </is>
      </c>
      <c r="AQ61" s="72" t="n">
        <v>-91.98999999999999</v>
      </c>
      <c r="AR61" s="63" t="inlineStr">
        <is>
          <t>2026-08-20</t>
        </is>
      </c>
      <c r="AS61" s="64" t="n">
        <v>761.6</v>
      </c>
      <c r="AT61" s="67" t="n">
        <v>116.4</v>
      </c>
      <c r="AU61" s="62" t="inlineStr">
        <is>
          <t>Y</t>
        </is>
      </c>
      <c r="AV61" s="73" t="n">
        <v>29.3</v>
      </c>
      <c r="AW61" s="73" t="n"/>
      <c r="AX61" s="73" t="n"/>
      <c r="AY61" s="73" t="n">
        <v>4.5</v>
      </c>
      <c r="AZ61" s="74" t="inlineStr">
        <is>
          <t>N</t>
        </is>
      </c>
      <c r="BA61" s="75">
        <f>IF('BBG Verify'!K61="","not filed — run on terminal",'BBG Verify'!K61)</f>
        <v/>
      </c>
      <c r="BB61" s="62" t="inlineStr">
        <is>
          <t>N/A</t>
        </is>
      </c>
      <c r="BC61" s="62" t="inlineStr">
        <is>
          <t>N/A</t>
        </is>
      </c>
      <c r="BD61" s="62" t="inlineStr">
        <is>
          <t>N/A</t>
        </is>
      </c>
      <c r="BE61" s="62" t="inlineStr">
        <is>
          <t>N/A</t>
        </is>
      </c>
      <c r="BF61" s="62" t="inlineStr">
        <is>
          <t>N/A</t>
        </is>
      </c>
      <c r="BG61" s="74" t="inlineStr">
        <is>
          <t>CCB International Capital Limited</t>
        </is>
      </c>
      <c r="BH61" s="62" t="inlineStr">
        <is>
          <t>CCB International Capital Limited</t>
        </is>
      </c>
      <c r="BI61" s="62" t="inlineStr">
        <is>
          <t>CCB International Capital Limited; China Industrial Securities International Capital Limited; Zhongtai International Securities Limited; Vision Capital International Holdings Limited</t>
        </is>
      </c>
      <c r="BJ61" s="62" t="inlineStr">
        <is>
          <t>CCB International Capital Limited; China Industrial Securities International Capital Limited; Futu Securities International (Hong Kong) Limited; I Win Securities Limited; Valuable Capital Limited; Vision Capital International Holdings Limited; Zhongtai International Securities Limited</t>
        </is>
      </c>
      <c r="BK61" s="76">
        <f>HYPERLINK("https://www1.hkexnews.hk/listedco/listconews/sehk/2021/0629/2021062900043.pdf","prospectus")</f>
        <v/>
      </c>
      <c r="BL61" s="76">
        <f>HYPERLINK("https://www1.hkexnews.hk/listedco/listconews/sehk/2021/0714/2021071400259.htm","allotment")</f>
        <v/>
      </c>
      <c r="BM61" s="76">
        <f>HYPERLINK("https://www1.hkexnews.hk/listedco/listconews/sehk/2021/0808/2021080800043.pdf","stabilisation")</f>
        <v/>
      </c>
      <c r="BN61" s="74" t="n"/>
      <c r="BO61" s="62" t="inlineStr">
        <is>
          <t>A/H: no A-share listing · market cap: estimate from deal size / offer % of enlarged capital disagreed with the published listing cap — published figure adopted · cornerstone: AAStocks institutional table includes non-cornerstone orders (superset) — cornerstone % is from the prospectus</t>
        </is>
      </c>
    </row>
    <row r="62" ht="15" customHeight="1">
      <c r="A62" s="61" t="inlineStr">
        <is>
          <t>9960</t>
        </is>
      </c>
      <c r="B62" s="62" t="inlineStr">
        <is>
          <t>KINDSTAR GLOBAL</t>
        </is>
      </c>
      <c r="C62" s="62" t="inlineStr">
        <is>
          <t>康聖環球</t>
        </is>
      </c>
      <c r="D62" s="62" t="inlineStr">
        <is>
          <t>Healthcare</t>
        </is>
      </c>
      <c r="E62" s="62" t="inlineStr">
        <is>
          <t>CXO / pharma services</t>
        </is>
      </c>
      <c r="F62" s="62" t="inlineStr">
        <is>
          <t>Health Care Services</t>
        </is>
      </c>
      <c r="G62" s="62" t="inlineStr">
        <is>
          <t>Standard</t>
        </is>
      </c>
      <c r="H62" s="63" t="n">
        <v>44393</v>
      </c>
      <c r="I62" s="64" t="n">
        <v>2214.2</v>
      </c>
      <c r="J62" s="62" t="inlineStr">
        <is>
          <t>gross (price x shares)</t>
        </is>
      </c>
      <c r="K62" s="65" t="n">
        <v>8.6</v>
      </c>
      <c r="L62" s="65" t="n">
        <v>9.779999999999999</v>
      </c>
      <c r="M62" s="65" t="n">
        <v>9.779999999999999</v>
      </c>
      <c r="N62" s="62" t="inlineStr">
        <is>
          <t>Y</t>
        </is>
      </c>
      <c r="O62" s="66" t="n">
        <v>100</v>
      </c>
      <c r="P62" s="66" t="n">
        <v>100</v>
      </c>
      <c r="Q62" s="67" t="n">
        <v>7993.5</v>
      </c>
      <c r="R62" s="62" t="inlineStr">
        <is>
          <t>derived:deal size / offer % of enlarged capital</t>
        </is>
      </c>
      <c r="S62" s="68" t="n">
        <v>543.03</v>
      </c>
      <c r="T62" s="69" t="n">
        <v>13.81</v>
      </c>
      <c r="U62" s="70" t="n">
        <v>49.08</v>
      </c>
      <c r="V62" s="66" t="n">
        <v>14.1</v>
      </c>
      <c r="W62" s="62" t="inlineStr">
        <is>
          <t>Athos Capital Limited; BlackRock, Inc; Carmignac Funds; China Pinnacle Equity Management Limited; DNCA Finance; IvyRock Asset Management (HK) Limited; Snow Lake Capital (HK) Limited</t>
        </is>
      </c>
      <c r="X62" s="62" t="inlineStr">
        <is>
          <t>athos;blackrock;carmignac;pinnacle;dnca;ivyrock;snow</t>
        </is>
      </c>
      <c r="Y62" s="66" t="n">
        <v>7.2</v>
      </c>
      <c r="Z62" s="62" t="inlineStr">
        <is>
          <t>lapsed</t>
        </is>
      </c>
      <c r="AA62" s="71" t="n">
        <v>-7.57</v>
      </c>
      <c r="AB62" s="72" t="n">
        <v>0</v>
      </c>
      <c r="AC62" s="72" t="n">
        <v>-7.57</v>
      </c>
      <c r="AD62" s="72" t="n">
        <v>-18</v>
      </c>
      <c r="AE62" s="72" t="n">
        <v>-20.76</v>
      </c>
      <c r="AF62" s="72" t="n">
        <v>-45.3</v>
      </c>
      <c r="AG62" s="72" t="n">
        <v>-11.28</v>
      </c>
      <c r="AH62" s="72" t="n">
        <v>-14.27</v>
      </c>
      <c r="AI62" s="72" t="n">
        <v>-40.82</v>
      </c>
      <c r="AJ62" s="72" t="n">
        <v>-13.98</v>
      </c>
      <c r="AK62" s="72" t="n">
        <v>-10.43</v>
      </c>
      <c r="AL62" s="72" t="n">
        <v>-28.86</v>
      </c>
      <c r="AM62" s="72" t="n">
        <v>-4.25</v>
      </c>
      <c r="AN62" s="72" t="n">
        <v>-10.33</v>
      </c>
      <c r="AO62" s="72" t="n">
        <v>-10.02</v>
      </c>
      <c r="AP62" s="62" t="inlineStr">
        <is>
          <t>China Biotech ETF (HS biotech proxy)</t>
        </is>
      </c>
      <c r="AQ62" s="72" t="n">
        <v>-90.23999999999999</v>
      </c>
      <c r="AR62" s="63" t="inlineStr">
        <is>
          <t>2026-08-20</t>
        </is>
      </c>
      <c r="AS62" s="64" t="n">
        <v>980.5</v>
      </c>
      <c r="AT62" s="67" t="n">
        <v>-1067.1</v>
      </c>
      <c r="AU62" s="62" t="inlineStr">
        <is>
          <t>N</t>
        </is>
      </c>
      <c r="AV62" s="62" t="inlineStr">
        <is>
          <t>n/m</t>
        </is>
      </c>
      <c r="AW62" s="73" t="n"/>
      <c r="AX62" s="73" t="n"/>
      <c r="AY62" s="73" t="n">
        <v>8.199999999999999</v>
      </c>
      <c r="AZ62" s="74" t="inlineStr">
        <is>
          <t>N</t>
        </is>
      </c>
      <c r="BA62" s="75">
        <f>IF('BBG Verify'!K62="","not filed — run on terminal",'BBG Verify'!K62)</f>
        <v/>
      </c>
      <c r="BB62" s="62" t="inlineStr">
        <is>
          <t>N/A</t>
        </is>
      </c>
      <c r="BC62" s="62" t="inlineStr">
        <is>
          <t>N/A</t>
        </is>
      </c>
      <c r="BD62" s="62" t="inlineStr">
        <is>
          <t>N/A</t>
        </is>
      </c>
      <c r="BE62" s="62" t="inlineStr">
        <is>
          <t>N/A</t>
        </is>
      </c>
      <c r="BF62" s="62" t="inlineStr">
        <is>
          <t>N/A</t>
        </is>
      </c>
      <c r="BG62" s="74" t="inlineStr">
        <is>
          <t>Goldman Sachs (Asia) L.L.C; China International Capital Corporation Hong Kong Securities Limited; Credit Suisse (Hong Kong) Limited</t>
        </is>
      </c>
      <c r="BH62" s="62" t="inlineStr">
        <is>
          <t>China International Capital Corporation Hong Kong Securities Limited; Goldman Sachs (Asia) L.L.C.; Credit Suisse (Hong Kong) Limited</t>
        </is>
      </c>
      <c r="BI62" s="62" t="inlineStr">
        <is>
          <t>Goldman Sachs (Asia) L.L.C; China International Capital Corporation Hong Kong Securities Limited; Credit Suisse (Hong Kong) Limited</t>
        </is>
      </c>
      <c r="BJ62" s="62" t="inlineStr">
        <is>
          <t>China International Capital Corporation Hong Kong Securities Limited; Credit Suisse (Hong Kong) Limited; Futu Securities International (Hong Kong) Limited; Guotai Junan Securities (Hong Kong) Limited; Goldman Sachs (Asia) L.L.C.; VMS Securities Limited</t>
        </is>
      </c>
      <c r="BK62" s="76">
        <f>HYPERLINK("https://www1.hkexnews.hk/listedco/listconews/sehk/2021/0629/2021062900037.pdf","prospectus")</f>
        <v/>
      </c>
      <c r="BL62" s="76">
        <f>HYPERLINK("https://www1.hkexnews.hk/listedco/listconews/sehk/2021/0715/2021071500008.htm","allotment")</f>
        <v/>
      </c>
      <c r="BM62" s="76">
        <f>HYPERLINK("https://www1.hkexnews.hk/listedco/listconews/sehk/2021/0806/2021080601107.pdf","stabilisation")</f>
        <v/>
      </c>
      <c r="BN62" s="74" t="n"/>
      <c r="BO62" s="62" t="inlineStr">
        <is>
          <t>P/E: n/m — loss-making at IPO (use P/S) · A/H: no A-share listing</t>
        </is>
      </c>
    </row>
    <row r="63" ht="15" customHeight="1">
      <c r="A63" s="61" t="inlineStr">
        <is>
          <t>2175</t>
        </is>
      </c>
      <c r="B63" s="62" t="inlineStr">
        <is>
          <t>CH GENERAL EDU</t>
        </is>
      </c>
      <c r="C63" s="62" t="inlineStr">
        <is>
          <t>中國通才教育</t>
        </is>
      </c>
      <c r="D63" s="62" t="inlineStr">
        <is>
          <t>Consumer</t>
        </is>
      </c>
      <c r="E63" s="62" t="inlineStr">
        <is>
          <t>Consumer services / education</t>
        </is>
      </c>
      <c r="F63" s="62" t="inlineStr">
        <is>
          <t>Education Services</t>
        </is>
      </c>
      <c r="G63" s="62" t="inlineStr">
        <is>
          <t>Standard</t>
        </is>
      </c>
      <c r="H63" s="63" t="n">
        <v>44393</v>
      </c>
      <c r="I63" s="64" t="n">
        <v>461.2</v>
      </c>
      <c r="J63" s="62" t="inlineStr">
        <is>
          <t>gross (price x shares)</t>
        </is>
      </c>
      <c r="K63" s="65" t="n"/>
      <c r="L63" s="65" t="n">
        <v>4.38</v>
      </c>
      <c r="M63" s="65" t="n">
        <v>3.69</v>
      </c>
      <c r="N63" s="62" t="inlineStr">
        <is>
          <t>N</t>
        </is>
      </c>
      <c r="O63" s="66" t="n">
        <v>84.2</v>
      </c>
      <c r="P63" s="66" t="n"/>
      <c r="Q63" s="67" t="n">
        <v>2117</v>
      </c>
      <c r="R63" s="62" t="inlineStr">
        <is>
          <t>aastocks:上市市值 at the struck price</t>
        </is>
      </c>
      <c r="S63" s="68" t="n">
        <v>4.12</v>
      </c>
      <c r="T63" s="69" t="n">
        <v>1.47</v>
      </c>
      <c r="U63" s="70" t="n">
        <v>0</v>
      </c>
      <c r="V63" s="66" t="n">
        <v>21.79</v>
      </c>
      <c r="W63" s="62" t="n"/>
      <c r="X63" s="62" t="n"/>
      <c r="Y63" s="66" t="n">
        <v>20</v>
      </c>
      <c r="Z63" s="62" t="inlineStr">
        <is>
          <t>partial</t>
        </is>
      </c>
      <c r="AA63" s="71" t="n">
        <v>0</v>
      </c>
      <c r="AB63" s="72" t="n">
        <v>-10.84</v>
      </c>
      <c r="AC63" s="72" t="n">
        <v>12.16</v>
      </c>
      <c r="AD63" s="72" t="n">
        <v>0.8100000000000001</v>
      </c>
      <c r="AE63" s="72" t="n">
        <v>20.6</v>
      </c>
      <c r="AF63" s="72" t="n">
        <v>16.8</v>
      </c>
      <c r="AG63" s="72" t="n">
        <v>0.8100000000000001</v>
      </c>
      <c r="AH63" s="72" t="n">
        <v>20.6</v>
      </c>
      <c r="AI63" s="72" t="n">
        <v>16.8</v>
      </c>
      <c r="AJ63" s="72" t="n">
        <v>4.18</v>
      </c>
      <c r="AK63" s="72" t="n">
        <v>30.6</v>
      </c>
      <c r="AL63" s="72" t="n">
        <v>26.69</v>
      </c>
      <c r="AM63" s="72" t="n">
        <v>30.55</v>
      </c>
      <c r="AN63" s="72" t="n">
        <v>-10</v>
      </c>
      <c r="AO63" s="72" t="n">
        <v>-9.949999999999999</v>
      </c>
      <c r="AP63" s="62" t="inlineStr">
        <is>
          <t>Hang Seng Commerce &amp; Industry sub-index</t>
        </is>
      </c>
      <c r="AQ63" s="72" t="n">
        <v>-34.01</v>
      </c>
      <c r="AR63" s="63" t="inlineStr">
        <is>
          <t>2026-08-20</t>
        </is>
      </c>
      <c r="AS63" s="64" t="n">
        <v>298.2</v>
      </c>
      <c r="AT63" s="67" t="n">
        <v>157</v>
      </c>
      <c r="AU63" s="62" t="inlineStr">
        <is>
          <t>Y</t>
        </is>
      </c>
      <c r="AV63" s="73" t="n">
        <v>13.5</v>
      </c>
      <c r="AW63" s="73" t="n"/>
      <c r="AX63" s="73" t="n">
        <v>13.5</v>
      </c>
      <c r="AY63" s="73" t="n">
        <v>7.1</v>
      </c>
      <c r="AZ63" s="74" t="inlineStr">
        <is>
          <t>N</t>
        </is>
      </c>
      <c r="BA63" s="75">
        <f>IF('BBG Verify'!K63="","not filed — run on terminal",'BBG Verify'!K63)</f>
        <v/>
      </c>
      <c r="BB63" s="62" t="inlineStr">
        <is>
          <t>N/A</t>
        </is>
      </c>
      <c r="BC63" s="62" t="inlineStr">
        <is>
          <t>N/A</t>
        </is>
      </c>
      <c r="BD63" s="62" t="inlineStr">
        <is>
          <t>N/A</t>
        </is>
      </c>
      <c r="BE63" s="62" t="inlineStr">
        <is>
          <t>N/A</t>
        </is>
      </c>
      <c r="BF63" s="62" t="inlineStr">
        <is>
          <t>N/A</t>
        </is>
      </c>
      <c r="BG63" s="74" t="inlineStr">
        <is>
          <t>Guotai Junan Capital Limited</t>
        </is>
      </c>
      <c r="BH63" s="62" t="inlineStr">
        <is>
          <t>Guotai Junan Capital Limited</t>
        </is>
      </c>
      <c r="BI63" s="62" t="inlineStr">
        <is>
          <t>Guotai Junan Securities (Hong Kong) Limited; China Merchants Securities (HK) Co., Limited; Haitong International Securities Company Limited; Shenwan Hongyuan Securities (H.K.) Limited; CMB International Capital Limited; China Everbright Securities (HK) Limited; Shanxi Securities International Limited; Harmonia Capital Limited; HTF Securities Limited; CMBC Securities Company Limited; Livermore Holdings Limited</t>
        </is>
      </c>
      <c r="BJ63" s="62" t="inlineStr">
        <is>
          <t>Aristo Securities Limited; China Everbright Securities (HK) Limited; China Galaxy International Securities (Hong Kong) Company Limited; CMBC Securities Company Limited; CMB International Capital Limited; China Merchants Securities (HK) Company Limited; Guotai Junan Securities (Hong Kong) Limited; Harmonia Capital Limited; Haitong International Securities Company Limited; HTF Securities Limited; Livermore Holdings Limited; Merdeka Securities Limited</t>
        </is>
      </c>
      <c r="BK63" s="76">
        <f>HYPERLINK("https://www1.hkexnews.hk/listedco/listconews/sehk/2021/0630/2021063000077.pdf","prospectus")</f>
        <v/>
      </c>
      <c r="BL63" s="76">
        <f>HYPERLINK("https://www1.hkexnews.hk/listedco/listconews/sehk/2021/0715/2021071500034.htm","allotment")</f>
        <v/>
      </c>
      <c r="BM63" s="76">
        <f>HYPERLINK("https://www1.hkexnews.hk/listedco/listconews/sehk/2021/0808/2021080800003.pdf","stabilisation")</f>
        <v/>
      </c>
      <c r="BN63" s="74" t="n"/>
      <c r="BO63" s="62" t="inlineStr">
        <is>
          <t>range low: cap-only pricing — the filing publishes a Maximum Offer Price and no indicative floor · A/H: no A-share listing · market cap: estimate from stated market capitalisation disagreed with the published listing cap — published figure adopted · cornerstone list: no cornerstone tranche in this deal</t>
        </is>
      </c>
    </row>
    <row r="64" ht="15" customHeight="1">
      <c r="A64" s="61" t="inlineStr">
        <is>
          <t>2205</t>
        </is>
      </c>
      <c r="B64" s="62" t="inlineStr">
        <is>
          <t>KANGQIAO SER</t>
        </is>
      </c>
      <c r="C64" s="62" t="inlineStr">
        <is>
          <t>康橋悅生活</t>
        </is>
      </c>
      <c r="D64" s="62" t="inlineStr">
        <is>
          <t>Real Estate</t>
        </is>
      </c>
      <c r="E64" s="62" t="inlineStr">
        <is>
          <t>Property management</t>
        </is>
      </c>
      <c r="F64" s="62" t="inlineStr">
        <is>
          <t>Property Service and Management</t>
        </is>
      </c>
      <c r="G64" s="62" t="inlineStr">
        <is>
          <t>Standard</t>
        </is>
      </c>
      <c r="H64" s="63" t="n">
        <v>44393</v>
      </c>
      <c r="I64" s="64" t="n">
        <v>93.5</v>
      </c>
      <c r="J64" s="62" t="inlineStr">
        <is>
          <t>net proceeds</t>
        </is>
      </c>
      <c r="K64" s="65" t="n"/>
      <c r="L64" s="65" t="n">
        <v>3.88</v>
      </c>
      <c r="M64" s="65" t="n">
        <v>3.68</v>
      </c>
      <c r="N64" s="62" t="inlineStr">
        <is>
          <t>N</t>
        </is>
      </c>
      <c r="O64" s="66" t="n">
        <v>94.8</v>
      </c>
      <c r="P64" s="66" t="n"/>
      <c r="Q64" s="67" t="n">
        <v>2676.3</v>
      </c>
      <c r="R64" s="62" t="inlineStr">
        <is>
          <t>aastocks:上市市值 at the struck price</t>
        </is>
      </c>
      <c r="S64" s="68" t="n">
        <v>23.72</v>
      </c>
      <c r="T64" s="69" t="n">
        <v>1.55</v>
      </c>
      <c r="U64" s="70" t="n">
        <v>38.55</v>
      </c>
      <c r="V64" s="66" t="n">
        <v>2.15</v>
      </c>
      <c r="W64" s="62" t="inlineStr">
        <is>
          <t>58.com Holdings Inc; Autobio Group Co., Ltd; Country Garden Property Services HK Holdings Company Limited</t>
        </is>
      </c>
      <c r="X64" s="62" t="inlineStr">
        <is>
          <t>58;autobio;country</t>
        </is>
      </c>
      <c r="Y64" s="66" t="n">
        <v>10.2</v>
      </c>
      <c r="Z64" s="62" t="inlineStr">
        <is>
          <t>lapsed</t>
        </is>
      </c>
      <c r="AA64" s="71" t="n">
        <v>-1.09</v>
      </c>
      <c r="AB64" s="72" t="n">
        <v>0</v>
      </c>
      <c r="AC64" s="72" t="n">
        <v>-1.09</v>
      </c>
      <c r="AD64" s="72" t="n">
        <v>-1.09</v>
      </c>
      <c r="AE64" s="72" t="n">
        <v>-2.99</v>
      </c>
      <c r="AF64" s="72" t="n">
        <v>-0.82</v>
      </c>
      <c r="AG64" s="72" t="n">
        <v>0</v>
      </c>
      <c r="AH64" s="72" t="n">
        <v>-1.92</v>
      </c>
      <c r="AI64" s="72" t="n">
        <v>0.27</v>
      </c>
      <c r="AJ64" s="72" t="n">
        <v>0.46</v>
      </c>
      <c r="AK64" s="72" t="n">
        <v>2.73</v>
      </c>
      <c r="AL64" s="72" t="n">
        <v>10.38</v>
      </c>
      <c r="AM64" s="72" t="n">
        <v>3.44</v>
      </c>
      <c r="AN64" s="72" t="n">
        <v>-5.72</v>
      </c>
      <c r="AO64" s="72" t="n">
        <v>-5.36</v>
      </c>
      <c r="AP64" s="62" t="inlineStr">
        <is>
          <t>Hang Seng Properties sub-index</t>
        </is>
      </c>
      <c r="AQ64" s="72" t="n">
        <v>-84.38</v>
      </c>
      <c r="AR64" s="63" t="inlineStr">
        <is>
          <t>2026-08-19</t>
        </is>
      </c>
      <c r="AS64" s="64" t="n">
        <v>633.1</v>
      </c>
      <c r="AT64" s="67" t="n">
        <v>101</v>
      </c>
      <c r="AU64" s="62" t="inlineStr">
        <is>
          <t>Y</t>
        </is>
      </c>
      <c r="AV64" s="73" t="n">
        <v>26.5</v>
      </c>
      <c r="AW64" s="73" t="n">
        <v>16.3</v>
      </c>
      <c r="AX64" s="73" t="n"/>
      <c r="AY64" s="73" t="n">
        <v>4.2</v>
      </c>
      <c r="AZ64" s="74" t="inlineStr">
        <is>
          <t>N</t>
        </is>
      </c>
      <c r="BA64" s="75">
        <f>IF('BBG Verify'!K64="","not filed — run on terminal",'BBG Verify'!K64)</f>
        <v/>
      </c>
      <c r="BB64" s="62" t="inlineStr">
        <is>
          <t>N/A</t>
        </is>
      </c>
      <c r="BC64" s="62" t="inlineStr">
        <is>
          <t>N/A</t>
        </is>
      </c>
      <c r="BD64" s="62" t="inlineStr">
        <is>
          <t>N/A</t>
        </is>
      </c>
      <c r="BE64" s="62" t="inlineStr">
        <is>
          <t>N/A</t>
        </is>
      </c>
      <c r="BF64" s="62" t="inlineStr">
        <is>
          <t>N/A</t>
        </is>
      </c>
      <c r="BG64" s="74" t="inlineStr">
        <is>
          <t>CCB International Capital Limited</t>
        </is>
      </c>
      <c r="BH64" s="62" t="inlineStr">
        <is>
          <t>CCB International Capital Limited</t>
        </is>
      </c>
      <c r="BI64" s="62" t="inlineStr">
        <is>
          <t>CCB International Capital Limited; Haitong International Securities Company Limited; Sheng Yuan Securities Limited; Shenwan Hongyuan Securities (H.K.) Limited; DL SECURITIES (HK) LIMITED</t>
        </is>
      </c>
      <c r="BJ64" s="62" t="inlineStr">
        <is>
          <t>CCB International Capital Limited; DL Securities (HK) Limited; Futu Securities International (Hong Kong) Limited; Guosen Securities (HK) Capital Company Limited; Haitong International Securities Company Limited; Livermore Holdings Limited; Opus Capital Limited; Shenwan Hongyuan Securities (H.K.) Limited; Sheng Yuan Securities Limited</t>
        </is>
      </c>
      <c r="BK64" s="76">
        <f>HYPERLINK("https://www1.hkexnews.hk/listedco/listconews/sehk/2021/0629/2021062900193.pdf","prospectus")</f>
        <v/>
      </c>
      <c r="BL64" s="76">
        <f>HYPERLINK("https://www1.hkexnews.hk/listedco/listconews/sehk/2021/0715/2021071500080.htm","allotment")</f>
        <v/>
      </c>
      <c r="BM64" s="76">
        <f>HYPERLINK("https://www1.hkexnews.hk/listedco/listconews/sehk/2021/0809/2021080900033.pdf","stabilisation")</f>
        <v/>
      </c>
      <c r="BN64" s="74" t="n"/>
      <c r="BO64" s="62" t="inlineStr">
        <is>
          <t>range low: cap-only pricing — the filing publishes a Maximum Offer Price and no indicative floor · A/H: no A-share listing · market cap: estimate from deal size / offer % of enlarged capital disagreed with the published listing cap — published figure adopted · cornerstone: AAStocks institutional table includes non-cornerstone orders (superset) — cornerstone % is from the prospectus</t>
        </is>
      </c>
    </row>
    <row r="65" ht="15" customHeight="1">
      <c r="A65" s="61" t="inlineStr">
        <is>
          <t>6616</t>
        </is>
      </c>
      <c r="B65" s="62" t="inlineStr">
        <is>
          <t>GLOBAL NEW MAT</t>
        </is>
      </c>
      <c r="C65" s="62" t="inlineStr">
        <is>
          <t>環球新材國際</t>
        </is>
      </c>
      <c r="D65" s="62" t="inlineStr">
        <is>
          <t>Materials/Energy</t>
        </is>
      </c>
      <c r="E65" s="62" t="inlineStr">
        <is>
          <t>Chemicals</t>
        </is>
      </c>
      <c r="F65" s="62" t="inlineStr">
        <is>
          <t>Diversified Chemicals</t>
        </is>
      </c>
      <c r="G65" s="62" t="inlineStr">
        <is>
          <t>Standard</t>
        </is>
      </c>
      <c r="H65" s="63" t="n">
        <v>44393</v>
      </c>
      <c r="I65" s="64" t="n">
        <v>944.7</v>
      </c>
      <c r="J65" s="62" t="inlineStr">
        <is>
          <t>gross (price x shares)</t>
        </is>
      </c>
      <c r="K65" s="65" t="n">
        <v>3.52</v>
      </c>
      <c r="L65" s="65" t="n">
        <v>4.22</v>
      </c>
      <c r="M65" s="65" t="n">
        <v>3.25</v>
      </c>
      <c r="N65" s="62" t="inlineStr">
        <is>
          <t>N</t>
        </is>
      </c>
      <c r="O65" s="66" t="n">
        <v>77</v>
      </c>
      <c r="P65" s="66" t="n">
        <v>-38.6</v>
      </c>
      <c r="Q65" s="67" t="n">
        <v>4741.6</v>
      </c>
      <c r="R65" s="62" t="inlineStr">
        <is>
          <t>aastocks:上市市值 at the struck price</t>
        </is>
      </c>
      <c r="S65" s="68" t="n">
        <v>10.79</v>
      </c>
      <c r="T65" s="69" t="n">
        <v>1.16</v>
      </c>
      <c r="U65" s="70" t="n">
        <v>2.1</v>
      </c>
      <c r="V65" s="66" t="n">
        <v>19.51</v>
      </c>
      <c r="W65" s="62" t="inlineStr">
        <is>
          <t>Shanghai Huijin Asset Management Co., Ltd; YBN Investments</t>
        </is>
      </c>
      <c r="X65" s="62" t="inlineStr">
        <is>
          <t>shanghai-huijin;ybn</t>
        </is>
      </c>
      <c r="Y65" s="66" t="n">
        <v>6.6</v>
      </c>
      <c r="Z65" s="62" t="inlineStr">
        <is>
          <t>partial</t>
        </is>
      </c>
      <c r="AA65" s="71" t="n">
        <v>13.85</v>
      </c>
      <c r="AB65" s="72" t="n">
        <v>26.15</v>
      </c>
      <c r="AC65" s="72" t="n">
        <v>-9.75</v>
      </c>
      <c r="AD65" s="72" t="n">
        <v>26.46</v>
      </c>
      <c r="AE65" s="72" t="n">
        <v>93.84999999999999</v>
      </c>
      <c r="AF65" s="72" t="n">
        <v>61.54</v>
      </c>
      <c r="AG65" s="72" t="n">
        <v>11.08</v>
      </c>
      <c r="AH65" s="72" t="n">
        <v>70.27</v>
      </c>
      <c r="AI65" s="72" t="n">
        <v>41.89</v>
      </c>
      <c r="AJ65" s="72" t="n">
        <v>29.83</v>
      </c>
      <c r="AK65" s="72" t="n">
        <v>103.85</v>
      </c>
      <c r="AL65" s="72" t="n">
        <v>71.43000000000001</v>
      </c>
      <c r="AM65" s="72" t="n">
        <v>80.22</v>
      </c>
      <c r="AN65" s="72" t="n">
        <v>-10</v>
      </c>
      <c r="AO65" s="72" t="n">
        <v>-9.949999999999999</v>
      </c>
      <c r="AP65" s="62" t="inlineStr">
        <is>
          <t>Hang Seng Commerce &amp; Industry sub-index</t>
        </is>
      </c>
      <c r="AQ65" s="72" t="n">
        <v>194.92</v>
      </c>
      <c r="AR65" s="63" t="inlineStr">
        <is>
          <t>2026-08-20</t>
        </is>
      </c>
      <c r="AS65" s="64" t="n">
        <v>626</v>
      </c>
      <c r="AT65" s="67" t="n">
        <v>168.1</v>
      </c>
      <c r="AU65" s="62" t="inlineStr">
        <is>
          <t>Y</t>
        </is>
      </c>
      <c r="AV65" s="73" t="n">
        <v>28.2</v>
      </c>
      <c r="AW65" s="73" t="n"/>
      <c r="AX65" s="73" t="n"/>
      <c r="AY65" s="73" t="n">
        <v>7.6</v>
      </c>
      <c r="AZ65" s="74" t="inlineStr">
        <is>
          <t>N</t>
        </is>
      </c>
      <c r="BA65" s="75">
        <f>IF('BBG Verify'!K65="","not filed — run on terminal",'BBG Verify'!K65)</f>
        <v/>
      </c>
      <c r="BB65" s="62" t="inlineStr">
        <is>
          <t>N/A</t>
        </is>
      </c>
      <c r="BC65" s="62" t="inlineStr">
        <is>
          <t>N/A</t>
        </is>
      </c>
      <c r="BD65" s="62" t="inlineStr">
        <is>
          <t>N/A</t>
        </is>
      </c>
      <c r="BE65" s="62" t="inlineStr">
        <is>
          <t>N/A</t>
        </is>
      </c>
      <c r="BF65" s="62" t="inlineStr">
        <is>
          <t>N/A</t>
        </is>
      </c>
      <c r="BG65" s="74" t="inlineStr">
        <is>
          <t>Essence Corporate Finance (Hong Kong) Limited</t>
        </is>
      </c>
      <c r="BH65" s="62" t="inlineStr">
        <is>
          <t>Essence Corporate Finance (Hong Kong) Limited</t>
        </is>
      </c>
      <c r="BI65" s="62" t="inlineStr">
        <is>
          <t>Beta International Securities Limited; China Industrial Securities International Capital Limited; CMBC Securities Company Limited; China PA Securities (Hong Kong) Company Limited; Essence International Securities (Hong Kong) Limited; Futu Securities International (Hong Kong) Limited</t>
        </is>
      </c>
      <c r="BJ65" s="62" t="inlineStr">
        <is>
          <t>Beta International Securities Limited; China Industrial Securities International Capital Limited; CMBC Securities Company Limited; China PA Securities (Hong Kong) Company Limited; Essence International Securities (Hong Kong) Limited; Futu Securities International (Hong Kong) Limited; Fuyuan Securities Limited; GF Securities (Hong Kong) Brokerage Limited; Guotai Junan Securities (Hong Kong) Limited; Guosen Securities (HK) Capital Company Limited; HK Monkey Securities Limited; Shenwan Hongyuan Securities (H.K.) Limited</t>
        </is>
      </c>
      <c r="BK65" s="76">
        <f>HYPERLINK("https://www1.hkexnews.hk/listedco/listconews/sehk/2021/0630/2021063000059.pdf","prospectus")</f>
        <v/>
      </c>
      <c r="BL65" s="76">
        <f>HYPERLINK("https://www1.hkexnews.hk/listedco/listconews/sehk/2021/0715/2021071500120.htm","allotment")</f>
        <v/>
      </c>
      <c r="BM65" s="76">
        <f>HYPERLINK("https://www1.hkexnews.hk/listedco/listconews/sehk/2021/0805/2021080502158.pdf","stabilisation")</f>
        <v/>
      </c>
      <c r="BN65" s="74" t="n"/>
      <c r="BO65" s="62" t="inlineStr">
        <is>
          <t>price range: struck at HK$3.25, below the indicative low HK$3.52 — Downward Offer Price Adjustment mechanism · A/H: no A-share listing · market cap: estimate from deal size / offer % of enlarged capital disagreed with the published listing cap — published figure adopted</t>
        </is>
      </c>
    </row>
    <row r="66" ht="15" customHeight="1">
      <c r="A66" s="61" t="inlineStr">
        <is>
          <t>6611</t>
        </is>
      </c>
      <c r="B66" s="62" t="inlineStr">
        <is>
          <t>SANXUN GROUP</t>
        </is>
      </c>
      <c r="C66" s="62" t="inlineStr">
        <is>
          <t>三巽集團</t>
        </is>
      </c>
      <c r="D66" s="62" t="inlineStr">
        <is>
          <t>Real Estate</t>
        </is>
      </c>
      <c r="E66" s="62" t="inlineStr">
        <is>
          <t>Developers</t>
        </is>
      </c>
      <c r="F66" s="62" t="inlineStr">
        <is>
          <t>Property Development</t>
        </is>
      </c>
      <c r="G66" s="62" t="inlineStr">
        <is>
          <t>Standard</t>
        </is>
      </c>
      <c r="H66" s="63" t="n">
        <v>44396</v>
      </c>
      <c r="I66" s="64" t="n">
        <v>783.8</v>
      </c>
      <c r="J66" s="62" t="inlineStr">
        <is>
          <t>gross (price x shares)</t>
        </is>
      </c>
      <c r="K66" s="65" t="n"/>
      <c r="L66" s="65" t="n">
        <v>5.2</v>
      </c>
      <c r="M66" s="65" t="n">
        <v>4.75</v>
      </c>
      <c r="N66" s="62" t="inlineStr">
        <is>
          <t>N</t>
        </is>
      </c>
      <c r="O66" s="66" t="n">
        <v>91.3</v>
      </c>
      <c r="P66" s="66" t="n"/>
      <c r="Q66" s="67" t="n">
        <v>2805</v>
      </c>
      <c r="R66" s="62" t="inlineStr">
        <is>
          <t>prospectus:stated market capitalisation</t>
        </is>
      </c>
      <c r="S66" s="68" t="n">
        <v>3.22</v>
      </c>
      <c r="T66" s="69" t="n">
        <v>1.29</v>
      </c>
      <c r="U66" s="70" t="n">
        <v>0</v>
      </c>
      <c r="V66" s="66" t="n">
        <v>27.94</v>
      </c>
      <c r="W66" s="62" t="n"/>
      <c r="X66" s="62" t="n"/>
      <c r="Y66" s="66" t="n">
        <v>15</v>
      </c>
      <c r="Z66" s="62" t="inlineStr">
        <is>
          <t>partial</t>
        </is>
      </c>
      <c r="AA66" s="71" t="n">
        <v>0</v>
      </c>
      <c r="AB66" s="72" t="n">
        <v>0.21</v>
      </c>
      <c r="AC66" s="72" t="n">
        <v>-0.21</v>
      </c>
      <c r="AD66" s="72" t="n">
        <v>0</v>
      </c>
      <c r="AE66" s="72" t="n">
        <v>-7.37</v>
      </c>
      <c r="AF66" s="72" t="n">
        <v>-3.16</v>
      </c>
      <c r="AG66" s="72" t="n">
        <v>0</v>
      </c>
      <c r="AH66" s="72" t="n">
        <v>-7.37</v>
      </c>
      <c r="AI66" s="72" t="n">
        <v>-3.16</v>
      </c>
      <c r="AJ66" s="72" t="n">
        <v>4.15</v>
      </c>
      <c r="AK66" s="72" t="n">
        <v>-1.03</v>
      </c>
      <c r="AL66" s="72" t="n">
        <v>7.04</v>
      </c>
      <c r="AM66" s="72" t="n">
        <v>-2.14</v>
      </c>
      <c r="AN66" s="72" t="n">
        <v>-6.34</v>
      </c>
      <c r="AO66" s="72" t="n">
        <v>-5.23</v>
      </c>
      <c r="AP66" s="62" t="inlineStr">
        <is>
          <t>Hang Seng Properties sub-index</t>
        </is>
      </c>
      <c r="AQ66" s="72" t="n">
        <v>-99.03</v>
      </c>
      <c r="AR66" s="63" t="inlineStr">
        <is>
          <t>2026-08-21</t>
        </is>
      </c>
      <c r="AS66" s="64" t="n">
        <v>4340.7</v>
      </c>
      <c r="AT66" s="67" t="n">
        <v>404.5</v>
      </c>
      <c r="AU66" s="62" t="inlineStr">
        <is>
          <t>Y</t>
        </is>
      </c>
      <c r="AV66" s="73" t="n">
        <v>6.9</v>
      </c>
      <c r="AW66" s="73" t="n"/>
      <c r="AX66" s="73" t="n"/>
      <c r="AY66" s="73" t="n">
        <v>0.6</v>
      </c>
      <c r="AZ66" s="74" t="inlineStr">
        <is>
          <t>N</t>
        </is>
      </c>
      <c r="BA66" s="75">
        <f>IF('BBG Verify'!K66="","not filed — run on terminal",'BBG Verify'!K66)</f>
        <v/>
      </c>
      <c r="BB66" s="62" t="inlineStr">
        <is>
          <t>N/A</t>
        </is>
      </c>
      <c r="BC66" s="62" t="inlineStr">
        <is>
          <t>N/A</t>
        </is>
      </c>
      <c r="BD66" s="62" t="inlineStr">
        <is>
          <t>N/A</t>
        </is>
      </c>
      <c r="BE66" s="62" t="inlineStr">
        <is>
          <t>N/A</t>
        </is>
      </c>
      <c r="BF66" s="62" t="inlineStr">
        <is>
          <t>N/A</t>
        </is>
      </c>
      <c r="BG66" s="74" t="n"/>
      <c r="BH66" s="62" t="inlineStr">
        <is>
          <t>CCB International Capital Limited</t>
        </is>
      </c>
      <c r="BI66" s="62" t="inlineStr">
        <is>
          <t>CCB International Capital Limited; CRIC Securities Company Limited; BOCOM International Securities Limited</t>
        </is>
      </c>
      <c r="BJ66" s="62" t="inlineStr">
        <is>
          <t>Beta International Securities Limited; CCB International Capital Limited; CRIC Securities Company Limited; Futu Securities International (Hong Kong) Limited; I Win Securities Limited; Valuable Capital Limited</t>
        </is>
      </c>
      <c r="BK66" s="76">
        <f>HYPERLINK("https://www1.hkexnews.hk/listedco/listconews/sehk/2021/0630/2021063000037.pdf","prospectus")</f>
        <v/>
      </c>
      <c r="BL66" s="76">
        <f>HYPERLINK("https://www1.hkexnews.hk/listedco/listconews/sehk/2021/0716/2021071600044.htm","allotment")</f>
        <v/>
      </c>
      <c r="BM66" s="76">
        <f>HYPERLINK("https://www1.hkexnews.hk/listedco/listconews/sehk/2021/0811/2021081101494.pdf","stabilisation")</f>
        <v/>
      </c>
      <c r="BN66" s="74" t="n"/>
      <c r="BO66" s="62" t="inlineStr">
        <is>
          <t>range low: cap-only pricing — the filing publishes a Maximum Offer Price and no indicative floor · A/H: no A-share listing · sponsor: English name not in the filing text; AAStocks 保薦人 shown · cornerstone list: no cornerstone tranche in this deal</t>
        </is>
      </c>
    </row>
    <row r="67" ht="15" customHeight="1">
      <c r="A67" s="61" t="inlineStr">
        <is>
          <t>2015</t>
        </is>
      </c>
      <c r="B67" s="62" t="inlineStr">
        <is>
          <t>LI AUTO-W</t>
        </is>
      </c>
      <c r="C67" s="62" t="inlineStr">
        <is>
          <t>理想汽車－Ｗ</t>
        </is>
      </c>
      <c r="D67" s="62" t="inlineStr">
        <is>
          <t>Consumer</t>
        </is>
      </c>
      <c r="E67" s="62" t="inlineStr">
        <is>
          <t>Autos (NEV OEM)</t>
        </is>
      </c>
      <c r="F67" s="62" t="inlineStr">
        <is>
          <t>Automobile Manufacturers</t>
        </is>
      </c>
      <c r="G67" s="62" t="inlineStr">
        <is>
          <t>WVR</t>
        </is>
      </c>
      <c r="H67" s="63" t="n">
        <v>44420</v>
      </c>
      <c r="I67" s="64" t="n">
        <v>11800</v>
      </c>
      <c r="J67" s="62" t="inlineStr">
        <is>
          <t>gross (price x shares)</t>
        </is>
      </c>
      <c r="K67" s="65" t="n"/>
      <c r="L67" s="65" t="n">
        <v>150</v>
      </c>
      <c r="M67" s="65" t="n">
        <v>118</v>
      </c>
      <c r="N67" s="62" t="inlineStr">
        <is>
          <t>N</t>
        </is>
      </c>
      <c r="O67" s="66" t="n">
        <v>78.7</v>
      </c>
      <c r="P67" s="66" t="n"/>
      <c r="Q67" s="67" t="n">
        <v>307800</v>
      </c>
      <c r="R67" s="62" t="inlineStr">
        <is>
          <t>prospectus:stated market capitalisation</t>
        </is>
      </c>
      <c r="S67" s="68" t="n">
        <v>5.5</v>
      </c>
      <c r="T67" s="69" t="n">
        <v>7.9</v>
      </c>
      <c r="U67" s="70" t="n"/>
      <c r="V67" s="66" t="n">
        <v>3.83</v>
      </c>
      <c r="W67" s="62" t="n"/>
      <c r="X67" s="62" t="n"/>
      <c r="Y67" s="66" t="n">
        <v>5.56</v>
      </c>
      <c r="Z67" s="62" t="inlineStr">
        <is>
          <t>partial</t>
        </is>
      </c>
      <c r="AA67" s="71" t="n">
        <v>-0.85</v>
      </c>
      <c r="AB67" s="72" t="n">
        <v>0</v>
      </c>
      <c r="AC67" s="72" t="n">
        <v>-0.85</v>
      </c>
      <c r="AD67" s="72" t="n">
        <v>-7.71</v>
      </c>
      <c r="AE67" s="72" t="n">
        <v>0.76</v>
      </c>
      <c r="AF67" s="72" t="n">
        <v>0.85</v>
      </c>
      <c r="AG67" s="72" t="n">
        <v>-6.92</v>
      </c>
      <c r="AH67" s="72" t="n">
        <v>1.62</v>
      </c>
      <c r="AI67" s="72" t="n">
        <v>1.71</v>
      </c>
      <c r="AJ67" s="72" t="n">
        <v>0.27</v>
      </c>
      <c r="AK67" s="72" t="n">
        <v>2.02</v>
      </c>
      <c r="AL67" s="72" t="n">
        <v>5.17</v>
      </c>
      <c r="AM67" s="72" t="n">
        <v>2.71</v>
      </c>
      <c r="AN67" s="72" t="n">
        <v>-1.26</v>
      </c>
      <c r="AO67" s="72" t="n">
        <v>-1.09</v>
      </c>
      <c r="AP67" s="62" t="inlineStr">
        <is>
          <t>Hang Seng Commerce &amp; Industry sub-index</t>
        </is>
      </c>
      <c r="AQ67" s="72" t="n">
        <v>-57.16</v>
      </c>
      <c r="AR67" s="63" t="inlineStr">
        <is>
          <t>2026-08-20</t>
        </is>
      </c>
      <c r="AS67" s="64" t="n">
        <v>10402.3</v>
      </c>
      <c r="AT67" s="67" t="n">
        <v>-166.9</v>
      </c>
      <c r="AU67" s="62" t="inlineStr">
        <is>
          <t>N</t>
        </is>
      </c>
      <c r="AV67" s="62" t="inlineStr">
        <is>
          <t>n/m</t>
        </is>
      </c>
      <c r="AW67" s="73" t="n"/>
      <c r="AX67" s="73" t="n"/>
      <c r="AY67" s="73" t="n">
        <v>29.6</v>
      </c>
      <c r="AZ67" s="74" t="inlineStr">
        <is>
          <t>N</t>
        </is>
      </c>
      <c r="BA67" s="75">
        <f>IF('BBG Verify'!K67="","not filed — run on terminal",'BBG Verify'!K67)</f>
        <v/>
      </c>
      <c r="BB67" s="62" t="inlineStr">
        <is>
          <t>N/A</t>
        </is>
      </c>
      <c r="BC67" s="62" t="inlineStr">
        <is>
          <t>N/A</t>
        </is>
      </c>
      <c r="BD67" s="62" t="inlineStr">
        <is>
          <t>N/A</t>
        </is>
      </c>
      <c r="BE67" s="62" t="inlineStr">
        <is>
          <t>N/A</t>
        </is>
      </c>
      <c r="BF67" s="62" t="inlineStr">
        <is>
          <t>N/A</t>
        </is>
      </c>
      <c r="BG67" s="74" t="inlineStr">
        <is>
          <t>Goldman Sachs (Asia) L.L.C; China International Capital Corporation Hong Kong Securities Limited</t>
        </is>
      </c>
      <c r="BH67" s="62" t="inlineStr">
        <is>
          <t>China International Capital Corporation Hong Kong Securities Limited; Goldman Sachs (Asia) L.L.C.</t>
        </is>
      </c>
      <c r="BI67" s="62" t="inlineStr">
        <is>
          <t>Goldman Sachs (Asia) L.L.C; China International Capital Corporation Hong Kong Securities Limited; UBS AG Hong Kong Branch; UBS Securities LLC; CLSA Limited; BOCI Asia Limited; CMB International Capital Limited; Futu Securities International (Hong Kong) Limited; to our Company UBS AG Hong Kong Branch</t>
        </is>
      </c>
      <c r="BJ67" s="62" t="inlineStr">
        <is>
          <t>BOCI Asia Limited; China International Capital Corporation Hong Kong Securities Limited; CLSA Limited; CMB International Capital Limited; Futu Securities International (Hong Kong) Limited; Goldman Sachs (Asia) L.L.C.; UBS AG Hong Kong Branch</t>
        </is>
      </c>
      <c r="BK67" s="76">
        <f>HYPERLINK("https://www1.hkexnews.hk/listedco/listconews/sehk/2021/0803/2021080300011.pdf","prospectus")</f>
        <v/>
      </c>
      <c r="BL67" s="76">
        <f>HYPERLINK("https://www1.hkexnews.hk/listedco/listconews/sehk/2021/0811/2021081100020.htm","allotment")</f>
        <v/>
      </c>
      <c r="BM67" s="76">
        <f>HYPERLINK("https://www1.hkexnews.hk/listedco/listconews/sehk/2021/0905/2021090500025.pdf","stabilisation")</f>
        <v/>
      </c>
      <c r="BN67" s="74" t="n"/>
      <c r="BO67" s="62" t="inlineStr">
        <is>
          <t>P/E: n/m — loss-making at IPO (use P/S) · range low: cap-only pricing — the filing publishes a Maximum Offer Price and no indicative floor · A/H: no A-share listing · cornerstone list: no cornerstone tranche in this deal · cornerstone %: no cornerstone tranche in this deal</t>
        </is>
      </c>
    </row>
    <row r="68" ht="15" customHeight="1">
      <c r="A68" s="61" t="inlineStr">
        <is>
          <t>6609</t>
        </is>
      </c>
      <c r="B68" s="62" t="inlineStr">
        <is>
          <t>HEARTCARE-B</t>
        </is>
      </c>
      <c r="C68" s="62" t="inlineStr">
        <is>
          <t>心瑋醫療－Ｂ</t>
        </is>
      </c>
      <c r="D68" s="62" t="inlineStr">
        <is>
          <t>Healthcare</t>
        </is>
      </c>
      <c r="E68" s="62" t="inlineStr">
        <is>
          <t>Medical devices</t>
        </is>
      </c>
      <c r="F68" s="62" t="inlineStr">
        <is>
          <t>Biotechnology</t>
        </is>
      </c>
      <c r="G68" s="62" t="inlineStr">
        <is>
          <t>18A</t>
        </is>
      </c>
      <c r="H68" s="63" t="n">
        <v>44428</v>
      </c>
      <c r="I68" s="64" t="n">
        <v>159.8</v>
      </c>
      <c r="J68" s="62" t="inlineStr">
        <is>
          <t>net proceeds</t>
        </is>
      </c>
      <c r="K68" s="65" t="n">
        <v>160</v>
      </c>
      <c r="L68" s="65" t="n">
        <v>171</v>
      </c>
      <c r="M68" s="65" t="n">
        <v>171</v>
      </c>
      <c r="N68" s="62" t="inlineStr">
        <is>
          <t>Y</t>
        </is>
      </c>
      <c r="O68" s="66" t="n">
        <v>100</v>
      </c>
      <c r="P68" s="66" t="n">
        <v>100</v>
      </c>
      <c r="Q68" s="67" t="n">
        <v>6640.7</v>
      </c>
      <c r="R68" s="62" t="inlineStr">
        <is>
          <t>aastocks:上市市值 at the struck price</t>
        </is>
      </c>
      <c r="S68" s="68" t="n">
        <v>333.14</v>
      </c>
      <c r="T68" s="69" t="n">
        <v>8.300000000000001</v>
      </c>
      <c r="U68" s="70" t="n">
        <v>13.8</v>
      </c>
      <c r="V68" s="66" t="n">
        <v>2.07</v>
      </c>
      <c r="W68" s="62" t="inlineStr">
        <is>
          <t>3W Fund Management Limited; Aspex Master Fund; Boyu Capital Opportunities Master Fund; Lake Bleu Prime Healthcare Master Fund Limited; LYFE CAPITAL FUND III (DRAGON), L.P; Octagon Investments Master Fund LP; Sage Partners Master Fund; Superstring Capital Master Fund LP; The Valliance Fund</t>
        </is>
      </c>
      <c r="X68" s="62" t="inlineStr">
        <is>
          <t>3w;aspex;boyu;lake;lyfe;octagon;sage;superstring;valliance</t>
        </is>
      </c>
      <c r="Y68" s="66" t="n">
        <v>9.470000000000001</v>
      </c>
      <c r="Z68" s="62" t="inlineStr">
        <is>
          <t>lapsed</t>
        </is>
      </c>
      <c r="AA68" s="71" t="n">
        <v>-24.56</v>
      </c>
      <c r="AB68" s="72" t="n">
        <v>-17.43</v>
      </c>
      <c r="AC68" s="72" t="n">
        <v>-8.640000000000001</v>
      </c>
      <c r="AD68" s="72" t="n">
        <v>-28.19</v>
      </c>
      <c r="AE68" s="72" t="n">
        <v>-42.4</v>
      </c>
      <c r="AF68" s="72" t="n">
        <v>-56.9</v>
      </c>
      <c r="AG68" s="72" t="n">
        <v>-4.81</v>
      </c>
      <c r="AH68" s="72" t="n">
        <v>-23.65</v>
      </c>
      <c r="AI68" s="72" t="n">
        <v>-42.87</v>
      </c>
      <c r="AJ68" s="72" t="n">
        <v>-24.24</v>
      </c>
      <c r="AK68" s="72" t="n">
        <v>-42.45</v>
      </c>
      <c r="AL68" s="72" t="n">
        <v>-47.55</v>
      </c>
      <c r="AM68" s="72" t="n">
        <v>-28.84</v>
      </c>
      <c r="AN68" s="72" t="n">
        <v>0.05</v>
      </c>
      <c r="AO68" s="72" t="n">
        <v>5.19</v>
      </c>
      <c r="AP68" s="62" t="inlineStr">
        <is>
          <t>China Biotech ETF (HS biotech proxy)</t>
        </is>
      </c>
      <c r="AQ68" s="72" t="n">
        <v>-71.04000000000001</v>
      </c>
      <c r="AR68" s="63" t="inlineStr">
        <is>
          <t>2026-08-20</t>
        </is>
      </c>
      <c r="AS68" s="64" t="n">
        <v>0.1</v>
      </c>
      <c r="AT68" s="67" t="n"/>
      <c r="AU68" s="62" t="n"/>
      <c r="AV68" s="77">
        <f>IF('BBG Verify'!O68="","not filed — run on terminal",'BBG Verify'!O68)</f>
        <v/>
      </c>
      <c r="AW68" s="73" t="n"/>
      <c r="AX68" s="73" t="n">
        <v>20.8</v>
      </c>
      <c r="AY68" s="73" t="n">
        <v>66407</v>
      </c>
      <c r="AZ68" s="74" t="inlineStr">
        <is>
          <t>N</t>
        </is>
      </c>
      <c r="BA68" s="75">
        <f>IF('BBG Verify'!K68="","not filed — run on terminal",'BBG Verify'!K68)</f>
        <v/>
      </c>
      <c r="BB68" s="62" t="inlineStr">
        <is>
          <t>N/A</t>
        </is>
      </c>
      <c r="BC68" s="62" t="inlineStr">
        <is>
          <t>N/A</t>
        </is>
      </c>
      <c r="BD68" s="62" t="inlineStr">
        <is>
          <t>N/A</t>
        </is>
      </c>
      <c r="BE68" s="62" t="inlineStr">
        <is>
          <t>N/A</t>
        </is>
      </c>
      <c r="BF68" s="62" t="inlineStr">
        <is>
          <t>N/A</t>
        </is>
      </c>
      <c r="BG68" s="74" t="inlineStr">
        <is>
          <t>Goldman Sachs (Asia) L.L.C; China International Capital Corporation Hong Kong Securities Limited</t>
        </is>
      </c>
      <c r="BH68" s="62" t="inlineStr">
        <is>
          <t>China International Capital Corporation Hong Kong Securities Limited; Goldman Sachs (Asia) L.L.C.</t>
        </is>
      </c>
      <c r="BI68" s="62" t="inlineStr">
        <is>
          <t>Goldman Sachs (Asia) L.L.C; China International Capital Corporation Hong Kong Securities Limited</t>
        </is>
      </c>
      <c r="BJ68" s="62" t="inlineStr">
        <is>
          <t>China International Capital Corporation Hong Kong Securities Limited; Futu Securities International (Hong Kong) Limited; Goldman Sachs (Asia) L.L.C.</t>
        </is>
      </c>
      <c r="BK68" s="76">
        <f>HYPERLINK("https://www1.hkexnews.hk/listedco/listconews/sehk/2021/0810/2021081000015.pdf","prospectus")</f>
        <v/>
      </c>
      <c r="BL68" s="76">
        <f>HYPERLINK("https://www1.hkexnews.hk/listedco/listconews/sehk/2021/0819/2021081900014.htm","allotment")</f>
        <v/>
      </c>
      <c r="BM68" s="76">
        <f>HYPERLINK("https://www1.hkexnews.hk/listedco/listconews/sehk/2021/0912/2021091200105.pdf","stabilisation")</f>
        <v/>
      </c>
      <c r="BN68" s="74" t="n"/>
      <c r="BO68" s="62" t="inlineStr">
        <is>
          <t>P/E: net income not stated in extractable form · A/H: no A-share listing · market cap: estimate from deal size / offer % of enlarged capital disagreed with the published listing cap — published figure adopted · cornerstone: AAStocks institutional table includes non-cornerstone orders (superset) — cornerstone % is from the prospectus · P/S: 66,407x on HK$0.1m revenue — effectively pre-revenue; the multiple is shown for completeness, not comparability · financials: financial tables not machine-extractable and the pre-IPO year is outside AAStocks' 5-year window</t>
        </is>
      </c>
    </row>
    <row r="69" ht="15" customHeight="1">
      <c r="A69" s="61" t="inlineStr">
        <is>
          <t>6669</t>
        </is>
      </c>
      <c r="B69" s="62" t="inlineStr">
        <is>
          <t>ACOTEC-B</t>
        </is>
      </c>
      <c r="C69" s="62" t="inlineStr">
        <is>
          <t>先瑞達醫療－Ｂ</t>
        </is>
      </c>
      <c r="D69" s="62" t="inlineStr">
        <is>
          <t>Healthcare</t>
        </is>
      </c>
      <c r="E69" s="62" t="inlineStr">
        <is>
          <t>Medical devices</t>
        </is>
      </c>
      <c r="F69" s="62" t="inlineStr">
        <is>
          <t>Biotechnology</t>
        </is>
      </c>
      <c r="G69" s="62" t="inlineStr">
        <is>
          <t>18A</t>
        </is>
      </c>
      <c r="H69" s="63" t="n">
        <v>44432</v>
      </c>
      <c r="I69" s="64" t="n">
        <v>1633.5</v>
      </c>
      <c r="J69" s="62" t="inlineStr">
        <is>
          <t>gross (price x shares)</t>
        </is>
      </c>
      <c r="K69" s="65" t="n">
        <v>22.2</v>
      </c>
      <c r="L69" s="65" t="n">
        <v>23.8</v>
      </c>
      <c r="M69" s="65" t="n">
        <v>23.8</v>
      </c>
      <c r="N69" s="62" t="inlineStr">
        <is>
          <t>Y</t>
        </is>
      </c>
      <c r="O69" s="66" t="n">
        <v>100</v>
      </c>
      <c r="P69" s="66" t="n">
        <v>100</v>
      </c>
      <c r="Q69" s="67" t="n">
        <v>6694.7</v>
      </c>
      <c r="R69" s="62" t="inlineStr">
        <is>
          <t>derived:deal size / offer % of enlarged capital</t>
        </is>
      </c>
      <c r="S69" s="68" t="n">
        <v>654.51</v>
      </c>
      <c r="T69" s="69" t="n">
        <v>4.86</v>
      </c>
      <c r="U69" s="70" t="n">
        <v>28.5</v>
      </c>
      <c r="V69" s="66" t="n">
        <v>17.45</v>
      </c>
      <c r="W69" s="62" t="inlineStr">
        <is>
          <t>Athos Asia Event Driven Master Fund; China International Capital Corporation Limited; China Universal Asset Management Limited Liability Company; CPE Investment; Daguan International Limited; Dymon Asia Capital (Singapore) Pte. Ltd; E Fund Global Healthcare Sector Sponsored Hybrid Fund; New Journey Hospital Group Ltd; Panjing Harbourview Investment Fund; Perseverance Asset Management International (Singapore) Pte. Ltd; Pinpoint Asset Management Limited; PRIMEONE LUCK LIMITED; The Valliance Fund</t>
        </is>
      </c>
      <c r="X69" s="62" t="inlineStr">
        <is>
          <t>athos;china-international;universal;cpe;daguan;dymon;healthcare;new-journey;panjing;perseverance;pinpoint;primeone;valliance</t>
        </is>
      </c>
      <c r="Y69" s="66" t="n">
        <v>11.72</v>
      </c>
      <c r="Z69" s="62" t="inlineStr">
        <is>
          <t>lapsed</t>
        </is>
      </c>
      <c r="AA69" s="71" t="n">
        <v>-26.05</v>
      </c>
      <c r="AB69" s="72" t="n">
        <v>-23.03</v>
      </c>
      <c r="AC69" s="72" t="n">
        <v>-3.92</v>
      </c>
      <c r="AD69" s="72" t="n">
        <v>-26.89</v>
      </c>
      <c r="AE69" s="72" t="n">
        <v>-37.9</v>
      </c>
      <c r="AF69" s="72" t="n">
        <v>-41.01</v>
      </c>
      <c r="AG69" s="72" t="n">
        <v>-1.14</v>
      </c>
      <c r="AH69" s="72" t="n">
        <v>-16.02</v>
      </c>
      <c r="AI69" s="72" t="n">
        <v>-20.23</v>
      </c>
      <c r="AJ69" s="72" t="n">
        <v>-25.03</v>
      </c>
      <c r="AK69" s="72" t="n">
        <v>-38.55</v>
      </c>
      <c r="AL69" s="72" t="n">
        <v>-36.11</v>
      </c>
      <c r="AM69" s="72" t="n">
        <v>-14.79</v>
      </c>
      <c r="AN69" s="72" t="n">
        <v>0.65</v>
      </c>
      <c r="AO69" s="72" t="n">
        <v>-1.23</v>
      </c>
      <c r="AP69" s="62" t="inlineStr">
        <is>
          <t>China Biotech ETF (HS biotech proxy)</t>
        </is>
      </c>
      <c r="AQ69" s="72" t="n">
        <v>-72.98</v>
      </c>
      <c r="AR69" s="63" t="inlineStr">
        <is>
          <t>2026-08-20</t>
        </is>
      </c>
      <c r="AS69" s="64" t="n">
        <v>21.6</v>
      </c>
      <c r="AT69" s="67" t="n">
        <v>-4.1</v>
      </c>
      <c r="AU69" s="62" t="inlineStr">
        <is>
          <t>N</t>
        </is>
      </c>
      <c r="AV69" s="62" t="inlineStr">
        <is>
          <t>n/m</t>
        </is>
      </c>
      <c r="AW69" s="73" t="n"/>
      <c r="AX69" s="73" t="n">
        <v>14</v>
      </c>
      <c r="AY69" s="73" t="n">
        <v>309.9</v>
      </c>
      <c r="AZ69" s="74" t="inlineStr">
        <is>
          <t>N</t>
        </is>
      </c>
      <c r="BA69" s="75">
        <f>IF('BBG Verify'!K69="","not filed — run on terminal",'BBG Verify'!K69)</f>
        <v/>
      </c>
      <c r="BB69" s="62" t="inlineStr">
        <is>
          <t>N/A</t>
        </is>
      </c>
      <c r="BC69" s="62" t="inlineStr">
        <is>
          <t>N/A</t>
        </is>
      </c>
      <c r="BD69" s="62" t="inlineStr">
        <is>
          <t>N/A</t>
        </is>
      </c>
      <c r="BE69" s="62" t="inlineStr">
        <is>
          <t>N/A</t>
        </is>
      </c>
      <c r="BF69" s="62" t="inlineStr">
        <is>
          <t>N/A</t>
        </is>
      </c>
      <c r="BG69" s="74" t="inlineStr">
        <is>
          <t>Morgan Stanley Asia Limited; China International Capital Corporation Hong Kong Securities Limited</t>
        </is>
      </c>
      <c r="BH69" s="62" t="inlineStr">
        <is>
          <t>China International Capital Corporation Hong Kong Securities Limited; Morgan Stanley Asia Limited</t>
        </is>
      </c>
      <c r="BI69" s="62" t="inlineStr">
        <is>
          <t>Morgan Stanley Asia Limited; Morgan Stanley &amp; Co. International plc; China Merchants Securities (HK) Co., Limited; Valuable Capital Limited</t>
        </is>
      </c>
      <c r="BJ69" s="62" t="inlineStr">
        <is>
          <t>China International Capital Corporation Hong Kong Securities Limited; China Merchants Securities (HK) Company Limited; Morgan Stanley Asia Limited; Valuable Capital Limited</t>
        </is>
      </c>
      <c r="BK69" s="76">
        <f>HYPERLINK("https://www1.hkexnews.hk/listedco/listconews/sehk/2021/0812/2021081200017.pdf","prospectus")</f>
        <v/>
      </c>
      <c r="BL69" s="76">
        <f>HYPERLINK("https://www1.hkexnews.hk/listedco/listconews/sehk/2021/0823/2021082300014.htm","allotment")</f>
        <v/>
      </c>
      <c r="BM69" s="76">
        <f>HYPERLINK("https://www1.hkexnews.hk/listedco/listconews/sehk/2021/0916/2021091601755.pdf","stabilisation")</f>
        <v/>
      </c>
      <c r="BN69" s="74" t="n"/>
      <c r="BO69" s="62" t="inlineStr">
        <is>
          <t>P/E: n/m — loss-making at IPO (use P/S) · A/H: no A-share listing · cornerstone: AAStocks institutional table includes non-cornerstone orders (superset) — cornerstone % is from the prospectus · P/S: 310x on HK$21.6m revenue — effectively pre-revenue; the multiple is shown for completeness, not comparability</t>
        </is>
      </c>
    </row>
    <row r="70" ht="15" customHeight="1">
      <c r="A70" s="61" t="inlineStr">
        <is>
          <t>9869</t>
        </is>
      </c>
      <c r="B70" s="62" t="inlineStr">
        <is>
          <t>HELENS</t>
        </is>
      </c>
      <c r="C70" s="62" t="inlineStr">
        <is>
          <t>海倫司</t>
        </is>
      </c>
      <c r="D70" s="62" t="inlineStr">
        <is>
          <t>Consumer</t>
        </is>
      </c>
      <c r="E70" s="62" t="inlineStr">
        <is>
          <t>F&amp;B chains / restaurants</t>
        </is>
      </c>
      <c r="F70" s="62" t="inlineStr">
        <is>
          <t>Restaurants</t>
        </is>
      </c>
      <c r="G70" s="62" t="inlineStr">
        <is>
          <t>Standard</t>
        </is>
      </c>
      <c r="H70" s="63" t="n">
        <v>44449</v>
      </c>
      <c r="I70" s="64" t="n">
        <v>2662</v>
      </c>
      <c r="J70" s="62" t="inlineStr">
        <is>
          <t>gross (price x shares)</t>
        </is>
      </c>
      <c r="K70" s="65" t="n"/>
      <c r="L70" s="65" t="n">
        <v>20.72</v>
      </c>
      <c r="M70" s="65" t="n">
        <v>19.77</v>
      </c>
      <c r="N70" s="62" t="inlineStr">
        <is>
          <t>N</t>
        </is>
      </c>
      <c r="O70" s="66" t="n">
        <v>95.40000000000001</v>
      </c>
      <c r="P70" s="66" t="n"/>
      <c r="Q70" s="67" t="n">
        <v>25831.7</v>
      </c>
      <c r="R70" s="62" t="inlineStr">
        <is>
          <t>prospectus:stated market capitalisation</t>
        </is>
      </c>
      <c r="S70" s="68" t="n">
        <v>30.8</v>
      </c>
      <c r="T70" s="69" t="n">
        <v>25.58</v>
      </c>
      <c r="U70" s="70" t="n">
        <v>0</v>
      </c>
      <c r="V70" s="66" t="n">
        <v>10.31</v>
      </c>
      <c r="W70" s="62" t="n"/>
      <c r="X70" s="62" t="n"/>
      <c r="Y70" s="66" t="n">
        <v>19.4478</v>
      </c>
      <c r="Z70" s="62" t="inlineStr">
        <is>
          <t>full</t>
        </is>
      </c>
      <c r="AA70" s="71" t="n">
        <v>22.91</v>
      </c>
      <c r="AB70" s="72" t="n">
        <v>16.59</v>
      </c>
      <c r="AC70" s="72" t="n">
        <v>5.42</v>
      </c>
      <c r="AD70" s="72" t="n">
        <v>16.34</v>
      </c>
      <c r="AE70" s="72" t="n">
        <v>2.93</v>
      </c>
      <c r="AF70" s="72" t="n">
        <v>4.96</v>
      </c>
      <c r="AG70" s="72" t="n">
        <v>-5.35</v>
      </c>
      <c r="AH70" s="72" t="n">
        <v>-16.26</v>
      </c>
      <c r="AI70" s="72" t="n">
        <v>-14.6</v>
      </c>
      <c r="AJ70" s="72" t="n">
        <v>19.3</v>
      </c>
      <c r="AK70" s="72" t="n">
        <v>5.11</v>
      </c>
      <c r="AL70" s="72" t="n">
        <v>16.34</v>
      </c>
      <c r="AM70" s="72" t="n">
        <v>-12.02</v>
      </c>
      <c r="AN70" s="72" t="n">
        <v>-2.18</v>
      </c>
      <c r="AO70" s="72" t="n">
        <v>-4.24</v>
      </c>
      <c r="AP70" s="62" t="inlineStr">
        <is>
          <t>Hang Seng Commerce &amp; Industry sub-index</t>
        </is>
      </c>
      <c r="AQ70" s="72" t="n">
        <v>-91.59999999999999</v>
      </c>
      <c r="AR70" s="63" t="inlineStr">
        <is>
          <t>2026-08-20</t>
        </is>
      </c>
      <c r="AS70" s="64" t="n">
        <v>899.7</v>
      </c>
      <c r="AT70" s="67" t="n">
        <v>106.7</v>
      </c>
      <c r="AU70" s="62" t="inlineStr">
        <is>
          <t>Y</t>
        </is>
      </c>
      <c r="AV70" s="73" t="n">
        <v>242.1</v>
      </c>
      <c r="AW70" s="73" t="n"/>
      <c r="AX70" s="73" t="n">
        <v>49.6</v>
      </c>
      <c r="AY70" s="73" t="n">
        <v>28.7</v>
      </c>
      <c r="AZ70" s="74" t="inlineStr">
        <is>
          <t>N</t>
        </is>
      </c>
      <c r="BA70" s="75">
        <f>IF('BBG Verify'!K70="","not filed — run on terminal",'BBG Verify'!K70)</f>
        <v/>
      </c>
      <c r="BB70" s="62" t="inlineStr">
        <is>
          <t>N/A</t>
        </is>
      </c>
      <c r="BC70" s="62" t="inlineStr">
        <is>
          <t>N/A</t>
        </is>
      </c>
      <c r="BD70" s="62" t="inlineStr">
        <is>
          <t>N/A</t>
        </is>
      </c>
      <c r="BE70" s="62" t="inlineStr">
        <is>
          <t>N/A</t>
        </is>
      </c>
      <c r="BF70" s="62" t="inlineStr">
        <is>
          <t>N/A</t>
        </is>
      </c>
      <c r="BG70" s="74" t="inlineStr">
        <is>
          <t>China International Capital Corporation Hong Kong Securities Limited; Somerley Capital Limited; CMB Wing Lung Bank Limited; Standard Chartered Bank (Hong Kong) Limited; and Transfer Office Walkers Corporate Limited; China Merchants Bank Co., Ltd., Wuhan Guanggu Technology Sub-branch; Wuhan, Hubei Province The PRC Standard Chartered Bank (Hong Kong) Ltd</t>
        </is>
      </c>
      <c r="BH70" s="62" t="inlineStr">
        <is>
          <t>China International Capital Corporation Hong Kong Securities Limited</t>
        </is>
      </c>
      <c r="BI70" s="62" t="inlineStr">
        <is>
          <t>China International Capital Corporation Hong Kong Securities Limited</t>
        </is>
      </c>
      <c r="BJ70" s="62" t="inlineStr">
        <is>
          <t>China International Capital Corporation Hong Kong Securities Limited</t>
        </is>
      </c>
      <c r="BK70" s="76">
        <f>HYPERLINK("https://www1.hkexnews.hk/listedco/listconews/sehk/2021/0831/2021083100011.pdf","prospectus")</f>
        <v/>
      </c>
      <c r="BL70" s="76">
        <f>HYPERLINK("https://www1.hkexnews.hk/listedco/listconews/sehk/2021/0909/2021090900010.htm","allotment")</f>
        <v/>
      </c>
      <c r="BM70" s="76">
        <f>HYPERLINK("https://www1.hkexnews.hk/listedco/listconews/sehk/2021/1003/2021100300023.pdf","stabilisation")</f>
        <v/>
      </c>
      <c r="BN70" s="74" t="n"/>
      <c r="BO70" s="62" t="inlineStr">
        <is>
          <t>range low: cap-only pricing — the filing publishes a Maximum Offer Price and no indicative floor · A/H: no A-share listing · cornerstone list: no cornerstone tranche in this deal</t>
        </is>
      </c>
    </row>
    <row r="71" ht="15" customHeight="1">
      <c r="A71" s="61" t="inlineStr">
        <is>
          <t>2216</t>
        </is>
      </c>
      <c r="B71" s="62" t="inlineStr">
        <is>
          <t>BRONCUS-B</t>
        </is>
      </c>
      <c r="C71" s="62" t="inlineStr">
        <is>
          <t>堃博醫療－Ｂ</t>
        </is>
      </c>
      <c r="D71" s="62" t="inlineStr">
        <is>
          <t>Healthcare</t>
        </is>
      </c>
      <c r="E71" s="62" t="inlineStr">
        <is>
          <t>Medical devices</t>
        </is>
      </c>
      <c r="F71" s="62" t="inlineStr">
        <is>
          <t>Biotechnology</t>
        </is>
      </c>
      <c r="G71" s="62" t="inlineStr">
        <is>
          <t>18A</t>
        </is>
      </c>
      <c r="H71" s="63" t="n">
        <v>44463</v>
      </c>
      <c r="I71" s="64" t="n">
        <v>1670.9</v>
      </c>
      <c r="J71" s="62" t="inlineStr">
        <is>
          <t>gross (price x shares)</t>
        </is>
      </c>
      <c r="K71" s="65" t="n">
        <v>17.2</v>
      </c>
      <c r="L71" s="65" t="n">
        <v>18.7</v>
      </c>
      <c r="M71" s="65" t="n">
        <v>18.7</v>
      </c>
      <c r="N71" s="62" t="inlineStr">
        <is>
          <t>Y</t>
        </is>
      </c>
      <c r="O71" s="66" t="n">
        <v>100</v>
      </c>
      <c r="P71" s="66" t="n">
        <v>100</v>
      </c>
      <c r="Q71" s="67" t="n">
        <v>9435</v>
      </c>
      <c r="R71" s="62" t="inlineStr">
        <is>
          <t>prospectus:stated market capitalisation</t>
        </is>
      </c>
      <c r="S71" s="68" t="n">
        <v>11.13</v>
      </c>
      <c r="T71" s="69" t="n">
        <v>4.1</v>
      </c>
      <c r="U71" s="70" t="n">
        <v>42.3</v>
      </c>
      <c r="V71" s="66" t="n">
        <v>10.22</v>
      </c>
      <c r="W71" s="62" t="inlineStr">
        <is>
          <t>Artisan China Post-Venture Master Fund LP; CEPHEI; Emerging Markets Healthcare Partners LLC; Lake Bleu Prime Healthcare Master Fund Limited; Snow Lake China Master Fund, Ltd; Springhill Master Fund Limited; Summer Healthcare Fund, L.P; The Valliance Fund; UBS Asset Management (Singapore) Ltd; Worldwide Healthcare Partners LLC</t>
        </is>
      </c>
      <c r="X71" s="62" t="inlineStr">
        <is>
          <t>artisan;cephei;emerging;lake;snow;springhill;summer;valliance;ubs;healthcare</t>
        </is>
      </c>
      <c r="Y71" s="66" t="n">
        <v>7</v>
      </c>
      <c r="Z71" s="62" t="inlineStr">
        <is>
          <t>lapsed</t>
        </is>
      </c>
      <c r="AA71" s="71" t="n">
        <v>-19.79</v>
      </c>
      <c r="AB71" s="72" t="n">
        <v>-3.74</v>
      </c>
      <c r="AC71" s="72" t="n">
        <v>-16.67</v>
      </c>
      <c r="AD71" s="72" t="n">
        <v>-27.81</v>
      </c>
      <c r="AE71" s="72" t="n">
        <v>-39.57</v>
      </c>
      <c r="AF71" s="72" t="n">
        <v>-56.74</v>
      </c>
      <c r="AG71" s="72" t="n">
        <v>-10</v>
      </c>
      <c r="AH71" s="72" t="n">
        <v>-24.66</v>
      </c>
      <c r="AI71" s="72" t="n">
        <v>-46.07</v>
      </c>
      <c r="AJ71" s="72" t="n">
        <v>-25.6</v>
      </c>
      <c r="AK71" s="72" t="n">
        <v>-32.85</v>
      </c>
      <c r="AL71" s="72" t="n">
        <v>-40.49</v>
      </c>
      <c r="AM71" s="72" t="n">
        <v>-18.1</v>
      </c>
      <c r="AN71" s="72" t="n">
        <v>-6.72</v>
      </c>
      <c r="AO71" s="72" t="n">
        <v>-6.56</v>
      </c>
      <c r="AP71" s="62" t="inlineStr">
        <is>
          <t>China Biotech ETF (HS biotech proxy)</t>
        </is>
      </c>
      <c r="AQ71" s="72" t="n">
        <v>-96.59999999999999</v>
      </c>
      <c r="AR71" s="63" t="inlineStr">
        <is>
          <t>2026-08-20</t>
        </is>
      </c>
      <c r="AS71" s="64" t="n">
        <v>4.1</v>
      </c>
      <c r="AT71" s="67" t="n"/>
      <c r="AU71" s="62" t="n"/>
      <c r="AV71" s="77">
        <f>IF('BBG Verify'!O71="","not filed — run on terminal",'BBG Verify'!O71)</f>
        <v/>
      </c>
      <c r="AW71" s="73" t="n"/>
      <c r="AX71" s="73" t="n"/>
      <c r="AY71" s="73" t="n">
        <v>2301.2</v>
      </c>
      <c r="AZ71" s="74" t="inlineStr">
        <is>
          <t>N</t>
        </is>
      </c>
      <c r="BA71" s="75">
        <f>IF('BBG Verify'!K71="","not filed — run on terminal",'BBG Verify'!K71)</f>
        <v/>
      </c>
      <c r="BB71" s="62" t="inlineStr">
        <is>
          <t>N/A</t>
        </is>
      </c>
      <c r="BC71" s="62" t="inlineStr">
        <is>
          <t>N/A</t>
        </is>
      </c>
      <c r="BD71" s="62" t="inlineStr">
        <is>
          <t>N/A</t>
        </is>
      </c>
      <c r="BE71" s="62" t="inlineStr">
        <is>
          <t>N/A</t>
        </is>
      </c>
      <c r="BF71" s="62" t="inlineStr">
        <is>
          <t>N/A</t>
        </is>
      </c>
      <c r="BG71" s="74" t="inlineStr">
        <is>
          <t>Goldman Sachs (Asia) L.L.C; Haitong International Capital Limited</t>
        </is>
      </c>
      <c r="BH71" s="62" t="inlineStr">
        <is>
          <t>Haitong International Capital Limited; Goldman Sachs (Asia) L.L.C.</t>
        </is>
      </c>
      <c r="BI71" s="62" t="inlineStr">
        <is>
          <t>Goldman Sachs (Asia) L.L.C; Haitong International Securities Company Limited; Credit Suisse (Hong Kong) Limited; CMB International Capital Limited; Huatai Financial Holdings (Hong Kong) Limited; China Industrial Securities International Capital Limited; CNCB (Hong Kong) Capital Limited</t>
        </is>
      </c>
      <c r="BJ71" s="62" t="inlineStr">
        <is>
          <t>China Industrial Securities International Capital Limited; CMB International Capital Limited; CNCB (Hong Kong) Capital Limited; Credit Suisse (Hong Kong) Limited; Goldman Sachs (Asia) L.L.C.; Huatai Financial Holdings (Hong Kong) Limited; Haitong International Securities Company Limited</t>
        </is>
      </c>
      <c r="BK71" s="76">
        <f>HYPERLINK("https://www1.hkexnews.hk/listedco/listconews/sehk/2021/0913/2021091300015.pdf","prospectus")</f>
        <v/>
      </c>
      <c r="BL71" s="76">
        <f>HYPERLINK("https://www1.hkexnews.hk/listedco/listconews/sehk/2021/0923/2021092300020.htm","allotment")</f>
        <v/>
      </c>
      <c r="BM71" s="76">
        <f>HYPERLINK("https://www1.hkexnews.hk/listedco/listconews/sehk/2021/1017/2021101700017.pdf","stabilisation")</f>
        <v/>
      </c>
      <c r="BN71" s="74" t="n"/>
      <c r="BO71" s="62" t="inlineStr">
        <is>
          <t>P/E: net income not stated in extractable form · A/H: no A-share listing · P/S: 2,301x on HK$4.1m revenue — effectively pre-revenue; the multiple is shown for completeness, not comparability · financials: financial tables not machine-extractable and the pre-IPO year is outside AAStocks' 5-year window</t>
        </is>
      </c>
    </row>
    <row r="72" ht="15" customHeight="1">
      <c r="A72" s="61" t="inlineStr">
        <is>
          <t>9889</t>
        </is>
      </c>
      <c r="B72" s="62" t="inlineStr">
        <is>
          <t>DRCB</t>
        </is>
      </c>
      <c r="C72" s="62" t="inlineStr">
        <is>
          <t>東莞農商銀行</t>
        </is>
      </c>
      <c r="D72" s="62" t="inlineStr">
        <is>
          <t>Financials</t>
        </is>
      </c>
      <c r="E72" s="62" t="inlineStr">
        <is>
          <t>Banks</t>
        </is>
      </c>
      <c r="F72" s="62" t="inlineStr">
        <is>
          <t>Diversified Banks</t>
        </is>
      </c>
      <c r="G72" s="62" t="inlineStr">
        <is>
          <t>Standard</t>
        </is>
      </c>
      <c r="H72" s="63" t="n">
        <v>44468</v>
      </c>
      <c r="I72" s="64" t="n">
        <v>8881.700000000001</v>
      </c>
      <c r="J72" s="62" t="inlineStr">
        <is>
          <t>net proceeds</t>
        </is>
      </c>
      <c r="K72" s="65" t="n">
        <v>7.92</v>
      </c>
      <c r="L72" s="65" t="n">
        <v>8.710000000000001</v>
      </c>
      <c r="M72" s="65" t="n">
        <v>7.92</v>
      </c>
      <c r="N72" s="62" t="inlineStr">
        <is>
          <t>N</t>
        </is>
      </c>
      <c r="O72" s="66" t="n">
        <v>90.90000000000001</v>
      </c>
      <c r="P72" s="66" t="n">
        <v>0</v>
      </c>
      <c r="Q72" s="67" t="n">
        <v>53279.5</v>
      </c>
      <c r="R72" s="62" t="inlineStr">
        <is>
          <t>derived:deal size / offer % of enlarged capital</t>
        </is>
      </c>
      <c r="S72" s="68" t="n">
        <v>0.22</v>
      </c>
      <c r="T72" s="69" t="n">
        <v>1.18</v>
      </c>
      <c r="U72" s="70" t="n">
        <v>11.3</v>
      </c>
      <c r="V72" s="66" t="n">
        <v>14.79</v>
      </c>
      <c r="W72" s="62" t="inlineStr">
        <is>
          <t>Fook Man Development Company Limited</t>
        </is>
      </c>
      <c r="X72" s="62" t="inlineStr">
        <is>
          <t>fook</t>
        </is>
      </c>
      <c r="Y72" s="66" t="n">
        <v>16.67</v>
      </c>
      <c r="Z72" s="62" t="inlineStr">
        <is>
          <t>lapsed (no over-allocation)</t>
        </is>
      </c>
      <c r="AA72" s="71" t="n">
        <v>4.17</v>
      </c>
      <c r="AB72" s="72" t="n">
        <v>1.01</v>
      </c>
      <c r="AC72" s="72" t="n">
        <v>3.13</v>
      </c>
      <c r="AD72" s="72" t="n">
        <v>-4.92</v>
      </c>
      <c r="AE72" s="72" t="n">
        <v>-8.59</v>
      </c>
      <c r="AF72" s="72" t="n">
        <v>-4.67</v>
      </c>
      <c r="AG72" s="72" t="n">
        <v>-8.73</v>
      </c>
      <c r="AH72" s="72" t="n">
        <v>-12.25</v>
      </c>
      <c r="AI72" s="72" t="n">
        <v>-8.49</v>
      </c>
      <c r="AJ72" s="72" t="n">
        <v>-8.08</v>
      </c>
      <c r="AK72" s="72" t="n">
        <v>-12.64</v>
      </c>
      <c r="AL72" s="72" t="n">
        <v>-6</v>
      </c>
      <c r="AM72" s="72" t="n">
        <v>-14.52</v>
      </c>
      <c r="AN72" s="72" t="n">
        <v>4.05</v>
      </c>
      <c r="AO72" s="72" t="n">
        <v>2.27</v>
      </c>
      <c r="AP72" s="62" t="inlineStr">
        <is>
          <t>Hang Seng Finance sub-index</t>
        </is>
      </c>
      <c r="AQ72" s="72" t="n">
        <v>-58.84</v>
      </c>
      <c r="AR72" s="63" t="inlineStr">
        <is>
          <t>2026-08-20</t>
        </is>
      </c>
      <c r="AS72" s="64" t="n">
        <v>22759.2</v>
      </c>
      <c r="AT72" s="67" t="n"/>
      <c r="AU72" s="62" t="inlineStr">
        <is>
          <t>Y</t>
        </is>
      </c>
      <c r="AV72" s="77">
        <f>IF('BBG Verify'!O72="","not filed — run on terminal",'BBG Verify'!O72)</f>
        <v/>
      </c>
      <c r="AW72" s="73" t="n"/>
      <c r="AX72" s="73" t="n">
        <v>5</v>
      </c>
      <c r="AY72" s="73" t="n">
        <v>2.3</v>
      </c>
      <c r="AZ72" s="74" t="inlineStr">
        <is>
          <t>N</t>
        </is>
      </c>
      <c r="BA72" s="75">
        <f>IF('BBG Verify'!K72="","not filed — run on terminal",'BBG Verify'!K72)</f>
        <v/>
      </c>
      <c r="BB72" s="62" t="inlineStr">
        <is>
          <t>N/A</t>
        </is>
      </c>
      <c r="BC72" s="62" t="inlineStr">
        <is>
          <t>N/A</t>
        </is>
      </c>
      <c r="BD72" s="62" t="inlineStr">
        <is>
          <t>N/A</t>
        </is>
      </c>
      <c r="BE72" s="62" t="inlineStr">
        <is>
          <t>N/A</t>
        </is>
      </c>
      <c r="BF72" s="62" t="inlineStr">
        <is>
          <t>N/A</t>
        </is>
      </c>
      <c r="BG72" s="74" t="inlineStr">
        <is>
          <t>China Merchants Securities (HK) Co., Limited; Central, Hong Kong CMB International Capital Limited; Central, Hong Kong ABCI Capital Limited; ICBC International Capital Limited</t>
        </is>
      </c>
      <c r="BH72" s="62" t="inlineStr">
        <is>
          <t>CMB International Capital Limited; China Merchants Securities (HK) Company Limited; ICBC International Capital Limited; ABCI Capital Limited</t>
        </is>
      </c>
      <c r="BI72" s="62" t="inlineStr">
        <is>
          <t>ABCI Capital Limited; China Merchants Securities (HK) Co., Limited; Central, Hong Kong CMB International Capital Limited; Fortune (HK) Securities Limited; Central, Hong Kong ICBC International Capital Limited; Haitong International Securities Company Limited; CCB International Capital Limited; Central, Hong Kong AMTD Global Markets Limited</t>
        </is>
      </c>
      <c r="BJ72" s="62" t="inlineStr">
        <is>
          <t>ABCI Securities Company Limited; AMTD Global Markets Limited; CCB International Capital Limited; CMB International Capital Limited; China Merchants Securities (HK) Company Limited; Fortune (HK) Securities Limited; Haitong International Securities Company Limited; ICBC International Securities Limited</t>
        </is>
      </c>
      <c r="BK72" s="76">
        <f>HYPERLINK("https://www1.hkexnews.hk/listedco/listconews/sehk/2021/0916/2021091600052.htm","prospectus")</f>
        <v/>
      </c>
      <c r="BL72" s="76">
        <f>HYPERLINK("https://www1.hkexnews.hk/listedco/listconews/sehk/2021/0928/2021092800010.htm","allotment")</f>
        <v/>
      </c>
      <c r="BM72" s="76">
        <f>HYPERLINK("https://www1.hkexnews.hk/listedco/listconews/sehk/2021/1021/2021102100557.pdf","stabilisation")</f>
        <v/>
      </c>
      <c r="BN72" s="74" t="n"/>
      <c r="BO72" s="62" t="inlineStr">
        <is>
          <t>P/E: withheld — mktcap / net income gives 9,514x, which fails the 300x plausibility check; the extracted net income (HK$5.6m) is not trustworthy · A/H: no A-share listing · cornerstone %: AAStocks institutional-order total / deal size — an upper bound; the table can include non-cornerstone orders · financials: financial tables not machine-extractable and the pre-IPO year is outside AAStocks' 5-year window</t>
        </is>
      </c>
    </row>
    <row r="73" ht="15" customHeight="1">
      <c r="A73" s="61" t="inlineStr">
        <is>
          <t>6628</t>
        </is>
      </c>
      <c r="B73" s="62" t="inlineStr">
        <is>
          <t>TRANSCENTA-B</t>
        </is>
      </c>
      <c r="C73" s="62" t="inlineStr">
        <is>
          <t>創勝集團醫藥－Ｂ</t>
        </is>
      </c>
      <c r="D73" s="62" t="inlineStr">
        <is>
          <t>Healthcare</t>
        </is>
      </c>
      <c r="E73" s="62" t="inlineStr">
        <is>
          <t>Biotech pre-revenue (18A)</t>
        </is>
      </c>
      <c r="F73" s="62" t="inlineStr">
        <is>
          <t>Biotechnology</t>
        </is>
      </c>
      <c r="G73" s="62" t="inlineStr">
        <is>
          <t>18A</t>
        </is>
      </c>
      <c r="H73" s="63" t="n">
        <v>44468</v>
      </c>
      <c r="I73" s="64" t="n">
        <v>645.3</v>
      </c>
      <c r="J73" s="62" t="inlineStr">
        <is>
          <t>gross (price x shares)</t>
        </is>
      </c>
      <c r="K73" s="65" t="n"/>
      <c r="L73" s="65" t="n">
        <v>16</v>
      </c>
      <c r="M73" s="65" t="n">
        <v>16</v>
      </c>
      <c r="N73" s="62" t="inlineStr">
        <is>
          <t>Y</t>
        </is>
      </c>
      <c r="O73" s="66" t="n">
        <v>100</v>
      </c>
      <c r="P73" s="66" t="n"/>
      <c r="Q73" s="67" t="n">
        <v>6265</v>
      </c>
      <c r="R73" s="62" t="inlineStr">
        <is>
          <t>derived:deal size / offer % of enlarged capital</t>
        </is>
      </c>
      <c r="S73" s="68" t="n">
        <v>60.7</v>
      </c>
      <c r="T73" s="69" t="n">
        <v>2.1</v>
      </c>
      <c r="U73" s="70" t="n">
        <v>82.2</v>
      </c>
      <c r="V73" s="66" t="n">
        <v>1.83</v>
      </c>
      <c r="W73" s="62" t="inlineStr">
        <is>
          <t>China Structural Reform Fund Corporation Limited; LAV Biosciences Fund V, L.P</t>
        </is>
      </c>
      <c r="X73" s="62" t="inlineStr">
        <is>
          <t>structural;lav</t>
        </is>
      </c>
      <c r="Y73" s="66" t="n">
        <v>15.1</v>
      </c>
      <c r="Z73" s="62" t="inlineStr">
        <is>
          <t>lapsed</t>
        </is>
      </c>
      <c r="AA73" s="71" t="n">
        <v>-17.25</v>
      </c>
      <c r="AB73" s="72" t="n">
        <v>-18.75</v>
      </c>
      <c r="AC73" s="72" t="n">
        <v>1.85</v>
      </c>
      <c r="AD73" s="72" t="n">
        <v>-3.12</v>
      </c>
      <c r="AE73" s="72" t="n">
        <v>-43.81</v>
      </c>
      <c r="AF73" s="72" t="n">
        <v>-42.5</v>
      </c>
      <c r="AG73" s="72" t="n">
        <v>17.08</v>
      </c>
      <c r="AH73" s="72" t="n">
        <v>-32.1</v>
      </c>
      <c r="AI73" s="72" t="n">
        <v>-30.51</v>
      </c>
      <c r="AJ73" s="72" t="n">
        <v>-1.95</v>
      </c>
      <c r="AK73" s="72" t="n">
        <v>-34.62</v>
      </c>
      <c r="AL73" s="72" t="n">
        <v>-26.95</v>
      </c>
      <c r="AM73" s="72" t="n">
        <v>-24.03</v>
      </c>
      <c r="AN73" s="72" t="n">
        <v>-9.19</v>
      </c>
      <c r="AO73" s="72" t="n">
        <v>-8.07</v>
      </c>
      <c r="AP73" s="62" t="inlineStr">
        <is>
          <t>China Biotech ETF (HS biotech proxy)</t>
        </is>
      </c>
      <c r="AQ73" s="72" t="n">
        <v>-93</v>
      </c>
      <c r="AR73" s="63" t="inlineStr">
        <is>
          <t>2026-08-20</t>
        </is>
      </c>
      <c r="AS73" s="64" t="n">
        <v>7.5</v>
      </c>
      <c r="AT73" s="67" t="n">
        <v>-27.3</v>
      </c>
      <c r="AU73" s="62" t="inlineStr">
        <is>
          <t>N</t>
        </is>
      </c>
      <c r="AV73" s="62" t="inlineStr">
        <is>
          <t>n/m</t>
        </is>
      </c>
      <c r="AW73" s="73" t="n"/>
      <c r="AX73" s="73" t="n"/>
      <c r="AY73" s="73" t="n">
        <v>835.3</v>
      </c>
      <c r="AZ73" s="74" t="inlineStr">
        <is>
          <t>N</t>
        </is>
      </c>
      <c r="BA73" s="75">
        <f>IF('BBG Verify'!K73="","not filed — run on terminal",'BBG Verify'!K73)</f>
        <v/>
      </c>
      <c r="BB73" s="62" t="inlineStr">
        <is>
          <t>N/A</t>
        </is>
      </c>
      <c r="BC73" s="62" t="inlineStr">
        <is>
          <t>N/A</t>
        </is>
      </c>
      <c r="BD73" s="62" t="inlineStr">
        <is>
          <t>N/A</t>
        </is>
      </c>
      <c r="BE73" s="62" t="inlineStr">
        <is>
          <t>N/A</t>
        </is>
      </c>
      <c r="BF73" s="62" t="inlineStr">
        <is>
          <t>N/A</t>
        </is>
      </c>
      <c r="BG73" s="74" t="inlineStr">
        <is>
          <t>Industry consultant China Insights Industry Consultancy Limited; Receiving bank Bank of China (Hong Kong) Limited; Registered office in the Cayman Islands Walkers Corporate Limited; transfer office Walkers Corporate Limited; Tricor Investor Services Limited; Compliance adviser Anglo Chinese Corporate Finance, Limited; Principal banks The Hongkong and Shanghai Banking Corporation Limited; China Construction Bank, Suzhou Branch</t>
        </is>
      </c>
      <c r="BH73" s="62" t="inlineStr">
        <is>
          <t>China International Capital Corporation Hong Kong Securities Limited; Goldman Sachs (Asia) L.L.C.</t>
        </is>
      </c>
      <c r="BI73" s="62" t="inlineStr">
        <is>
          <t>BOCI Asia Limited; China International Capital Corporation Hong Kong Securities Limited; China Renaissance Securities (Hong Kong) Limited; Goldman Sachs (Asia) L.L.C.</t>
        </is>
      </c>
      <c r="BJ73" s="62" t="inlineStr">
        <is>
          <t>BOCI Asia Limited; China International Capital Corporation Hong Kong Securities Limited; China Renaissance Securities (Hong Kong) Limited; Goldman Sachs (Asia) L.L.C.</t>
        </is>
      </c>
      <c r="BK73" s="76">
        <f>HYPERLINK("https://www1.hkexnews.hk/listedco/listconews/sehk/2021/0914/2021091400015.pdf","prospectus")</f>
        <v/>
      </c>
      <c r="BL73" s="76">
        <f>HYPERLINK("https://www1.hkexnews.hk/listedco/listconews/sehk/2021/0928/2021092800028.htm","allotment")</f>
        <v/>
      </c>
      <c r="BM73" s="76">
        <f>HYPERLINK("https://www1.hkexnews.hk/listedco/listconews/sehk/2021/1017/2021101700005.pdf","stabilisation")</f>
        <v/>
      </c>
      <c r="BN73" s="74" t="n"/>
      <c r="BO73" s="62" t="inlineStr">
        <is>
          <t>P/E: n/m — loss-making at IPO (use P/S) · range low: cap-only pricing — the filing publishes a Maximum Offer Price and no indicative floor · A/H: no A-share listing · cornerstone: table parse read 83% but the institutional total implies 46% — parse rejected, the filed aggregate-amount sentence used (82.2%) · P/S: 835x on HK$7.5m revenue — effectively pre-revenue; the multiple is shown for completeness, not comparability</t>
        </is>
      </c>
    </row>
    <row r="74" ht="15" customHeight="1">
      <c r="A74" s="61" t="inlineStr">
        <is>
          <t>2378</t>
        </is>
      </c>
      <c r="B74" s="62" t="inlineStr">
        <is>
          <t>PRU</t>
        </is>
      </c>
      <c r="C74" s="62" t="inlineStr">
        <is>
          <t>保誠</t>
        </is>
      </c>
      <c r="D74" s="62" t="inlineStr">
        <is>
          <t>Financials</t>
        </is>
      </c>
      <c r="E74" s="62" t="inlineStr">
        <is>
          <t>Insurance</t>
        </is>
      </c>
      <c r="F74" s="62" t="n"/>
      <c r="G74" s="62" t="inlineStr">
        <is>
          <t>Standard</t>
        </is>
      </c>
      <c r="H74" s="63" t="n">
        <v>44473</v>
      </c>
      <c r="I74" s="64" t="n">
        <v>18500</v>
      </c>
      <c r="J74" s="62" t="inlineStr">
        <is>
          <t>net proceeds</t>
        </is>
      </c>
      <c r="K74" s="65" t="n"/>
      <c r="L74" s="65" t="n">
        <v>172</v>
      </c>
      <c r="M74" s="65" t="n">
        <v>143.8</v>
      </c>
      <c r="N74" s="62" t="inlineStr">
        <is>
          <t>N</t>
        </is>
      </c>
      <c r="O74" s="66" t="n">
        <v>83.59999999999999</v>
      </c>
      <c r="P74" s="66" t="n"/>
      <c r="Q74" s="80">
        <f>IF('BBG Verify'!M74="","not filed — run on terminal",'BBG Verify'!M74)</f>
        <v/>
      </c>
      <c r="R74" s="62" t="n"/>
      <c r="S74" s="68" t="n">
        <v>1.43</v>
      </c>
      <c r="T74" s="69" t="n">
        <v>1.43</v>
      </c>
      <c r="U74" s="70" t="n"/>
      <c r="V74" s="66" t="n"/>
      <c r="W74" s="62" t="n"/>
      <c r="X74" s="62" t="n"/>
      <c r="Y74" s="66" t="n"/>
      <c r="Z74" s="62" t="n"/>
      <c r="AA74" s="71" t="n">
        <v>4.73</v>
      </c>
      <c r="AB74" s="72" t="n">
        <v>4.38</v>
      </c>
      <c r="AC74" s="72" t="n">
        <v>0.34</v>
      </c>
      <c r="AD74" s="72" t="n">
        <v>10.64</v>
      </c>
      <c r="AE74" s="72" t="n">
        <v>8.9</v>
      </c>
      <c r="AF74" s="72" t="n">
        <v>-6.05</v>
      </c>
      <c r="AG74" s="72" t="n">
        <v>5.64</v>
      </c>
      <c r="AH74" s="72" t="n">
        <v>3.98</v>
      </c>
      <c r="AI74" s="72" t="n">
        <v>-10.29</v>
      </c>
      <c r="AJ74" s="72" t="n">
        <v>8.119999999999999</v>
      </c>
      <c r="AK74" s="72" t="n">
        <v>7.57</v>
      </c>
      <c r="AL74" s="72" t="n">
        <v>-6.76</v>
      </c>
      <c r="AM74" s="72" t="n">
        <v>0.88</v>
      </c>
      <c r="AN74" s="72" t="n">
        <v>1.33</v>
      </c>
      <c r="AO74" s="72" t="n">
        <v>3.1</v>
      </c>
      <c r="AP74" s="62" t="inlineStr">
        <is>
          <t>Hang Seng Finance sub-index</t>
        </is>
      </c>
      <c r="AQ74" s="72" t="n">
        <v>-23.71</v>
      </c>
      <c r="AR74" s="63" t="inlineStr">
        <is>
          <t>2026-08-21</t>
        </is>
      </c>
      <c r="AS74" s="64" t="n"/>
      <c r="AT74" s="67" t="n"/>
      <c r="AU74" s="62" t="n"/>
      <c r="AV74" s="73" t="n">
        <v>17.4</v>
      </c>
      <c r="AW74" s="73" t="n">
        <v>17.4</v>
      </c>
      <c r="AX74" s="73" t="n">
        <v>8.800000000000001</v>
      </c>
      <c r="AY74" s="73" t="n"/>
      <c r="AZ74" s="74" t="inlineStr">
        <is>
          <t>N</t>
        </is>
      </c>
      <c r="BA74" s="75">
        <f>IF('BBG Verify'!K74="","not filed — run on terminal",'BBG Verify'!K74)</f>
        <v/>
      </c>
      <c r="BB74" s="62" t="inlineStr">
        <is>
          <t>N/A</t>
        </is>
      </c>
      <c r="BC74" s="62" t="inlineStr">
        <is>
          <t>N/A</t>
        </is>
      </c>
      <c r="BD74" s="62" t="inlineStr">
        <is>
          <t>N/A</t>
        </is>
      </c>
      <c r="BE74" s="62" t="inlineStr">
        <is>
          <t>N/A</t>
        </is>
      </c>
      <c r="BF74" s="62" t="inlineStr">
        <is>
          <t>N/A</t>
        </is>
      </c>
      <c r="BG74" s="74" t="n"/>
      <c r="BH74" s="62" t="n"/>
      <c r="BI74" s="62" t="n"/>
      <c r="BJ74" s="62" t="n"/>
      <c r="BK74" s="76">
        <f>HYPERLINK("https://www1.hkexnews.hk/listedco/listconews/sehk/2021/0920/2021092000007.pdf","prospectus")</f>
        <v/>
      </c>
      <c r="BL74" s="76">
        <f>HYPERLINK("https://www1.hkexnews.hk/listedco/listconews/sehk/2021/0930/2021093000120.htm","allotment")</f>
        <v/>
      </c>
      <c r="BM74" s="62" t="n"/>
      <c r="BN74" s="74" t="n"/>
      <c r="BO74" s="62" t="inlineStr">
        <is>
          <t>P/E: from Bloomberg (trailing-12m EPS at listing) — the prospectus-FY multiple was not derivable · greenshoe: no over-allotment option in the offer structure · range low: cap-only pricing — the filing publishes a Maximum Offer Price and no indicative floor · A/H: no A-share listing · sponsor: sponsor not stated in the extractable filing text · market cap: no share count, offer-%-of-capital or published listing cap available · cornerstone list: no cornerstone tranche in this deal · cornerstone %: no cornerstone tranche in this deal · greenshoe size: no over-allotment option in the offer structure · P/S: revenue not extractable · financials: financial tables not machine-extractable and the pre-IPO year is outside AAStocks' 5-year window · AAStocks fields: no AAStocks IPO page for this code — typically a listing by introduction or a transfer, which runs no public offer</t>
        </is>
      </c>
    </row>
    <row r="75" ht="15" customHeight="1">
      <c r="A75" s="61" t="inlineStr">
        <is>
          <t>2256</t>
        </is>
      </c>
      <c r="B75" s="62" t="inlineStr">
        <is>
          <t>ABBISKO-B</t>
        </is>
      </c>
      <c r="C75" s="62" t="inlineStr">
        <is>
          <t>和譽－Ｂ</t>
        </is>
      </c>
      <c r="D75" s="62" t="inlineStr">
        <is>
          <t>Healthcare</t>
        </is>
      </c>
      <c r="E75" s="62" t="inlineStr">
        <is>
          <t>Biotech pre-revenue (18A)</t>
        </is>
      </c>
      <c r="F75" s="62" t="inlineStr">
        <is>
          <t>Biotechnology</t>
        </is>
      </c>
      <c r="G75" s="62" t="inlineStr">
        <is>
          <t>18A</t>
        </is>
      </c>
      <c r="H75" s="63" t="n">
        <v>44482</v>
      </c>
      <c r="I75" s="64" t="n">
        <v>1753.6</v>
      </c>
      <c r="J75" s="62" t="inlineStr">
        <is>
          <t>gross (price x shares)</t>
        </is>
      </c>
      <c r="K75" s="65" t="n">
        <v>12.16</v>
      </c>
      <c r="L75" s="65" t="n">
        <v>12.46</v>
      </c>
      <c r="M75" s="65" t="n">
        <v>12.46</v>
      </c>
      <c r="N75" s="62" t="inlineStr">
        <is>
          <t>Y</t>
        </is>
      </c>
      <c r="O75" s="66" t="n">
        <v>100</v>
      </c>
      <c r="P75" s="66" t="n">
        <v>100</v>
      </c>
      <c r="Q75" s="67" t="n">
        <v>8542</v>
      </c>
      <c r="R75" s="62" t="inlineStr">
        <is>
          <t>prospectus:stated market capitalisation</t>
        </is>
      </c>
      <c r="S75" s="68" t="n">
        <v>5.64</v>
      </c>
      <c r="T75" s="69" t="n">
        <v>4.65</v>
      </c>
      <c r="U75" s="70" t="n">
        <v>56.63</v>
      </c>
      <c r="V75" s="66" t="n">
        <v>8.9</v>
      </c>
      <c r="W75" s="62" t="inlineStr">
        <is>
          <t>AIHC Master Fund; Aranda Investments Pte. Ltd; BlackRock Global Funds – World Healthscience Fund; Epsomite Gem Investments Ltd; Hudson Bay Master Fund Ltd; Janchor Partners Pan-Asian Master Fund; Lake Bleu Prime Healthcare Master Fund Limited; LAV Fund VI, L.P; OrbiMed New Horizons Master Fund, L.P; UBS Asset Management (Singapore) Ltd; Vivo Opportunity Fund, L.P</t>
        </is>
      </c>
      <c r="X75" s="62" t="inlineStr">
        <is>
          <t>aihc;aranda;blackrock;epsomite;hudson;janchor;lake;lav;orbimed;ubs;vivo</t>
        </is>
      </c>
      <c r="Y75" s="66" t="n">
        <v>8.5</v>
      </c>
      <c r="Z75" s="62" t="inlineStr">
        <is>
          <t>partial</t>
        </is>
      </c>
      <c r="AA75" s="71" t="n">
        <v>-0.48</v>
      </c>
      <c r="AB75" s="72" t="n">
        <v>-9.31</v>
      </c>
      <c r="AC75" s="72" t="n">
        <v>9.74</v>
      </c>
      <c r="AD75" s="72" t="n">
        <v>-6.9</v>
      </c>
      <c r="AE75" s="72" t="n">
        <v>-13</v>
      </c>
      <c r="AF75" s="72" t="n">
        <v>-31.94</v>
      </c>
      <c r="AG75" s="72" t="n">
        <v>-6.45</v>
      </c>
      <c r="AH75" s="72" t="n">
        <v>-12.58</v>
      </c>
      <c r="AI75" s="72" t="n">
        <v>-31.61</v>
      </c>
      <c r="AJ75" s="72" t="n">
        <v>-7.73</v>
      </c>
      <c r="AK75" s="72" t="n">
        <v>-10.74</v>
      </c>
      <c r="AL75" s="72" t="n">
        <v>-15.87</v>
      </c>
      <c r="AM75" s="72" t="n">
        <v>-10.39</v>
      </c>
      <c r="AN75" s="72" t="n">
        <v>-2.26</v>
      </c>
      <c r="AO75" s="72" t="n">
        <v>-2.19</v>
      </c>
      <c r="AP75" s="62" t="inlineStr">
        <is>
          <t>China Biotech ETF (HS biotech proxy)</t>
        </is>
      </c>
      <c r="AQ75" s="72" t="n">
        <v>-14.93</v>
      </c>
      <c r="AR75" s="63" t="inlineStr">
        <is>
          <t>2026-08-20</t>
        </is>
      </c>
      <c r="AS75" s="64" t="n">
        <v>0.6</v>
      </c>
      <c r="AT75" s="67" t="n">
        <v>-147.3</v>
      </c>
      <c r="AU75" s="62" t="inlineStr">
        <is>
          <t>N</t>
        </is>
      </c>
      <c r="AV75" s="62" t="inlineStr">
        <is>
          <t>n/m</t>
        </is>
      </c>
      <c r="AW75" s="73" t="n"/>
      <c r="AX75" s="73" t="n">
        <v>111.1</v>
      </c>
      <c r="AY75" s="73" t="n">
        <v>14236.7</v>
      </c>
      <c r="AZ75" s="74" t="inlineStr">
        <is>
          <t>N</t>
        </is>
      </c>
      <c r="BA75" s="75">
        <f>IF('BBG Verify'!K75="","not filed — run on terminal",'BBG Verify'!K75)</f>
        <v/>
      </c>
      <c r="BB75" s="62" t="inlineStr">
        <is>
          <t>N/A</t>
        </is>
      </c>
      <c r="BC75" s="62" t="inlineStr">
        <is>
          <t>N/A</t>
        </is>
      </c>
      <c r="BD75" s="62" t="inlineStr">
        <is>
          <t>N/A</t>
        </is>
      </c>
      <c r="BE75" s="62" t="inlineStr">
        <is>
          <t>N/A</t>
        </is>
      </c>
      <c r="BF75" s="62" t="inlineStr">
        <is>
          <t>N/A</t>
        </is>
      </c>
      <c r="BG75" s="74" t="inlineStr">
        <is>
          <t>Morgan Stanley Asia Limited; J.P. Morgan Securities (Far East) Limited</t>
        </is>
      </c>
      <c r="BH75" s="62" t="inlineStr">
        <is>
          <t>Morgan Stanley Asia Limited; J.P. Morgan Securities (Far East) Limited</t>
        </is>
      </c>
      <c r="BI75" s="62" t="inlineStr">
        <is>
          <t>Morgan Stanley Asia Limited; J.P. Morgan Securities (Asia Pacific) Limited; China International Capital Corporation Hong Kong Securities Limited</t>
        </is>
      </c>
      <c r="BJ75" s="62" t="inlineStr">
        <is>
          <t>China International Capital Corporation Hong Kong Securities Limited; China Industrial Securities International Capital Limited; Huatai Financial Holdings (Hong Kong) Limited; Haitong International Securities Company Limited; The Hongkong and Shanghai Banking Corporation Limited; J.P. Morgan Securities (Asia Pacific) Limited; J.P. Morgan Securities plc; Morgan Stanley Asia Limited; Morgan Stanley &amp; Co. International plc; SVB Leerink LLC</t>
        </is>
      </c>
      <c r="BK75" s="76">
        <f>HYPERLINK("https://www1.hkexnews.hk/listedco/listconews/sehk/2021/0930/2021093000017.pdf","prospectus")</f>
        <v/>
      </c>
      <c r="BL75" s="76">
        <f>HYPERLINK("https://www1.hkexnews.hk/listedco/listconews/sehk/2021/1012/2021101200008.htm","allotment")</f>
        <v/>
      </c>
      <c r="BM75" s="76">
        <f>HYPERLINK("https://www1.hkexnews.hk/listedco/listconews/sehk/2021/1105/2021110501527.pdf","stabilisation")</f>
        <v/>
      </c>
      <c r="BN75" s="74" t="n"/>
      <c r="BO75" s="62" t="inlineStr">
        <is>
          <t>P/E: n/m — loss-making at IPO (use P/S) · A/H: no A-share listing · P/S: 14,237x on HK$0.6m revenue — effectively pre-revenue; the multiple is shown for completeness, not comparability</t>
        </is>
      </c>
    </row>
    <row r="76" ht="15" customHeight="1">
      <c r="A76" s="61" t="inlineStr">
        <is>
          <t>2235</t>
        </is>
      </c>
      <c r="B76" s="62" t="inlineStr">
        <is>
          <t>MICROTECH MED-B</t>
        </is>
      </c>
      <c r="C76" s="62" t="inlineStr">
        <is>
          <t>微泰醫療－Ｂ</t>
        </is>
      </c>
      <c r="D76" s="62" t="inlineStr">
        <is>
          <t>Healthcare</t>
        </is>
      </c>
      <c r="E76" s="62" t="inlineStr">
        <is>
          <t>Medical devices</t>
        </is>
      </c>
      <c r="F76" s="62" t="inlineStr">
        <is>
          <t>Biotechnology</t>
        </is>
      </c>
      <c r="G76" s="62" t="inlineStr">
        <is>
          <t>18A</t>
        </is>
      </c>
      <c r="H76" s="63" t="n">
        <v>44488</v>
      </c>
      <c r="I76" s="64" t="n">
        <v>1937.6</v>
      </c>
      <c r="J76" s="62" t="inlineStr">
        <is>
          <t>gross (price x shares)</t>
        </is>
      </c>
      <c r="K76" s="65" t="n">
        <v>27.7</v>
      </c>
      <c r="L76" s="65" t="n">
        <v>31.15</v>
      </c>
      <c r="M76" s="65" t="n">
        <v>30.5</v>
      </c>
      <c r="N76" s="62" t="inlineStr">
        <is>
          <t>N</t>
        </is>
      </c>
      <c r="O76" s="66" t="n">
        <v>97.90000000000001</v>
      </c>
      <c r="P76" s="66" t="n">
        <v>81.2</v>
      </c>
      <c r="Q76" s="67" t="n">
        <v>11485.5</v>
      </c>
      <c r="R76" s="62" t="inlineStr">
        <is>
          <t>derived:deal size / offer % of enlarged capital</t>
        </is>
      </c>
      <c r="S76" s="68" t="n">
        <v>6.79</v>
      </c>
      <c r="T76" s="69" t="n">
        <v>4.9</v>
      </c>
      <c r="U76" s="70" t="n">
        <v>61.7</v>
      </c>
      <c r="V76" s="66" t="n">
        <v>6.46</v>
      </c>
      <c r="W76" s="62" t="inlineStr">
        <is>
          <t>Boyu Capital Opportunities Master Fund; Hudson Bay Master Fund Ltd; Invesco Advisers, Inc; Lake Bleu Prime Healthcare Master Fund Limited; LAV Star Opportunities Limited; Octagon Investments Master Fund LP; OrbiMed Advisors LLC; Sage Partners Master Fund; Springhill Master Fund Limited; Tencent Mobility Limited; UBS Asset Management (Singapore) Ltd</t>
        </is>
      </c>
      <c r="X76" s="62" t="inlineStr">
        <is>
          <t>boyu;hudson;invesco;lake;lav;octagon;orbimed;sage;springhill;tencent;ubs</t>
        </is>
      </c>
      <c r="Y76" s="66" t="n">
        <v>17.36</v>
      </c>
      <c r="Z76" s="62" t="inlineStr">
        <is>
          <t>partial</t>
        </is>
      </c>
      <c r="AA76" s="71" t="n">
        <v>0</v>
      </c>
      <c r="AB76" s="72" t="n">
        <v>1.64</v>
      </c>
      <c r="AC76" s="72" t="n">
        <v>-1.61</v>
      </c>
      <c r="AD76" s="72" t="n">
        <v>0.16</v>
      </c>
      <c r="AE76" s="72" t="n">
        <v>-6.56</v>
      </c>
      <c r="AF76" s="72" t="n">
        <v>-35.74</v>
      </c>
      <c r="AG76" s="72" t="n">
        <v>0.16</v>
      </c>
      <c r="AH76" s="72" t="n">
        <v>-6.56</v>
      </c>
      <c r="AI76" s="72" t="n">
        <v>-35.74</v>
      </c>
      <c r="AJ76" s="72" t="n">
        <v>-1.15</v>
      </c>
      <c r="AK76" s="72" t="n">
        <v>-7.91</v>
      </c>
      <c r="AL76" s="72" t="n">
        <v>-20.8</v>
      </c>
      <c r="AM76" s="72" t="n">
        <v>-6.09</v>
      </c>
      <c r="AN76" s="72" t="n">
        <v>1.35</v>
      </c>
      <c r="AO76" s="72" t="n">
        <v>-0.47</v>
      </c>
      <c r="AP76" s="62" t="inlineStr">
        <is>
          <t>China Biotech ETF (HS biotech proxy)</t>
        </is>
      </c>
      <c r="AQ76" s="72" t="n">
        <v>-76.56</v>
      </c>
      <c r="AR76" s="63" t="inlineStr">
        <is>
          <t>2026-08-20</t>
        </is>
      </c>
      <c r="AS76" s="64" t="n">
        <v>19.5</v>
      </c>
      <c r="AT76" s="67" t="n">
        <v>-4.5</v>
      </c>
      <c r="AU76" s="62" t="inlineStr">
        <is>
          <t>N</t>
        </is>
      </c>
      <c r="AV76" s="62" t="inlineStr">
        <is>
          <t>n/m</t>
        </is>
      </c>
      <c r="AW76" s="73" t="n"/>
      <c r="AX76" s="73" t="n">
        <v>62.2</v>
      </c>
      <c r="AY76" s="73" t="n">
        <v>589</v>
      </c>
      <c r="AZ76" s="74" t="inlineStr">
        <is>
          <t>N</t>
        </is>
      </c>
      <c r="BA76" s="75">
        <f>IF('BBG Verify'!K76="","not filed — run on terminal",'BBG Verify'!K76)</f>
        <v/>
      </c>
      <c r="BB76" s="62" t="inlineStr">
        <is>
          <t>N/A</t>
        </is>
      </c>
      <c r="BC76" s="62" t="inlineStr">
        <is>
          <t>N/A</t>
        </is>
      </c>
      <c r="BD76" s="62" t="inlineStr">
        <is>
          <t>N/A</t>
        </is>
      </c>
      <c r="BE76" s="62" t="inlineStr">
        <is>
          <t>N/A</t>
        </is>
      </c>
      <c r="BF76" s="62" t="inlineStr">
        <is>
          <t>N/A</t>
        </is>
      </c>
      <c r="BG76" s="74" t="inlineStr">
        <is>
          <t>Goldman Sachs (Asia) L.L.C; China International Capital Corporation Hong Kong Securities Limited</t>
        </is>
      </c>
      <c r="BH76" s="62" t="inlineStr">
        <is>
          <t>China International Capital Corporation Hong Kong Securities Limited; Goldman Sachs (Asia) L.L.C.</t>
        </is>
      </c>
      <c r="BI76" s="62" t="inlineStr">
        <is>
          <t>Goldman Sachs (Asia) L.L.C; China International Capital Corporation Hong Kong Securities Limited; CLSA Limited</t>
        </is>
      </c>
      <c r="BJ76" s="62" t="inlineStr">
        <is>
          <t>China International Capital Corporation Hong Kong Securities Limited; CLSA Limited; Goldman Sachs (Asia) L.L.C.</t>
        </is>
      </c>
      <c r="BK76" s="76">
        <f>HYPERLINK("https://www1.hkexnews.hk/listedco/listconews/sehk/2021/1006/2021100600007.pdf","prospectus")</f>
        <v/>
      </c>
      <c r="BL76" s="76">
        <f>HYPERLINK("https://www1.hkexnews.hk/listedco/listconews/sehk/2021/1018/2021101800008.htm","allotment")</f>
        <v/>
      </c>
      <c r="BM76" s="76">
        <f>HYPERLINK("https://www1.hkexnews.hk/listedco/listconews/sehk/2021/1111/2021111100027.pdf","stabilisation")</f>
        <v/>
      </c>
      <c r="BN76" s="74" t="n"/>
      <c r="BO76" s="62" t="inlineStr">
        <is>
          <t>P/E: n/m — loss-making at IPO (use P/S) · A/H: no A-share listing · P/S: 589x on HK$19.5m revenue — effectively pre-revenue; the multiple is shown for completeness, not comparability · deal size: stated gross HK$75.7m rejected — below the deal's own net proceeds HK$1,815.1m, which cannot happen</t>
        </is>
      </c>
    </row>
    <row r="77" ht="15" customHeight="1">
      <c r="A77" s="61" t="inlineStr">
        <is>
          <t>2252</t>
        </is>
      </c>
      <c r="B77" s="62" t="inlineStr">
        <is>
          <t>MEDBOT-B</t>
        </is>
      </c>
      <c r="C77" s="62" t="inlineStr">
        <is>
          <t>微創機器人－Ｂ</t>
        </is>
      </c>
      <c r="D77" s="62" t="inlineStr">
        <is>
          <t>Healthcare</t>
        </is>
      </c>
      <c r="E77" s="62" t="inlineStr">
        <is>
          <t>Medical devices</t>
        </is>
      </c>
      <c r="F77" s="62" t="inlineStr">
        <is>
          <t>Biotechnology</t>
        </is>
      </c>
      <c r="G77" s="62" t="inlineStr">
        <is>
          <t>18A</t>
        </is>
      </c>
      <c r="H77" s="63" t="n">
        <v>44502</v>
      </c>
      <c r="I77" s="64" t="n">
        <v>1563.8</v>
      </c>
      <c r="J77" s="62" t="inlineStr">
        <is>
          <t>gross (price x shares)</t>
        </is>
      </c>
      <c r="K77" s="65" t="n">
        <v>36</v>
      </c>
      <c r="L77" s="65" t="n">
        <v>43.2</v>
      </c>
      <c r="M77" s="65" t="n">
        <v>43.2</v>
      </c>
      <c r="N77" s="62" t="inlineStr">
        <is>
          <t>Y</t>
        </is>
      </c>
      <c r="O77" s="66" t="n">
        <v>100</v>
      </c>
      <c r="P77" s="66" t="n">
        <v>100</v>
      </c>
      <c r="Q77" s="67" t="n">
        <v>41411.3</v>
      </c>
      <c r="R77" s="62" t="inlineStr">
        <is>
          <t>aastocks:上市市值 at the struck price</t>
        </is>
      </c>
      <c r="S77" s="68" t="n">
        <v>163.83</v>
      </c>
      <c r="T77" s="69" t="n">
        <v>16</v>
      </c>
      <c r="U77" s="70" t="n">
        <v>45</v>
      </c>
      <c r="V77" s="66" t="n">
        <v>2.08</v>
      </c>
      <c r="W77" s="62" t="inlineStr">
        <is>
          <t>Artisan China Post-Venture Master Fund LP; Aspex Master Fund; CloudAlpha Master Fund; Hillhouse Funds; LAV Fund VI, L.P; Snow Lake Funds and Accounts; Yorkool International Limited</t>
        </is>
      </c>
      <c r="X77" s="62" t="inlineStr">
        <is>
          <t>artisan;aspex;cloudalpha;hillhouse;lav;snow;yorkool</t>
        </is>
      </c>
      <c r="Y77" s="66" t="n">
        <v>15</v>
      </c>
      <c r="Z77" s="62" t="inlineStr">
        <is>
          <t>full</t>
        </is>
      </c>
      <c r="AA77" s="71" t="n">
        <v>6.02</v>
      </c>
      <c r="AB77" s="72" t="n">
        <v>-7.87</v>
      </c>
      <c r="AC77" s="72" t="n">
        <v>15.08</v>
      </c>
      <c r="AD77" s="72" t="n">
        <v>34.03</v>
      </c>
      <c r="AE77" s="72" t="n">
        <v>24.19</v>
      </c>
      <c r="AF77" s="72" t="n">
        <v>9.949999999999999</v>
      </c>
      <c r="AG77" s="72" t="n">
        <v>26.42</v>
      </c>
      <c r="AH77" s="72" t="n">
        <v>17.14</v>
      </c>
      <c r="AI77" s="72" t="n">
        <v>3.71</v>
      </c>
      <c r="AJ77" s="72" t="n">
        <v>36.38</v>
      </c>
      <c r="AK77" s="72" t="n">
        <v>22.54</v>
      </c>
      <c r="AL77" s="72" t="n">
        <v>32.97</v>
      </c>
      <c r="AM77" s="72" t="n">
        <v>13.85</v>
      </c>
      <c r="AN77" s="72" t="n">
        <v>1.65</v>
      </c>
      <c r="AO77" s="72" t="n">
        <v>3.29</v>
      </c>
      <c r="AP77" s="62" t="inlineStr">
        <is>
          <t>China Biotech ETF (HS biotech proxy)</t>
        </is>
      </c>
      <c r="AQ77" s="72" t="n">
        <v>-45</v>
      </c>
      <c r="AR77" s="63" t="inlineStr">
        <is>
          <t>2026-08-21</t>
        </is>
      </c>
      <c r="AS77" s="64" t="n">
        <v>8.800000000000001</v>
      </c>
      <c r="AT77" s="67" t="n">
        <v>-53.9</v>
      </c>
      <c r="AU77" s="62" t="inlineStr">
        <is>
          <t>N</t>
        </is>
      </c>
      <c r="AV77" s="62" t="inlineStr">
        <is>
          <t>n/m</t>
        </is>
      </c>
      <c r="AW77" s="73" t="n"/>
      <c r="AX77" s="73" t="n"/>
      <c r="AY77" s="73" t="n">
        <v>4705.8</v>
      </c>
      <c r="AZ77" s="74" t="inlineStr">
        <is>
          <t>N</t>
        </is>
      </c>
      <c r="BA77" s="75">
        <f>IF('BBG Verify'!K77="","not filed — run on terminal",'BBG Verify'!K77)</f>
        <v/>
      </c>
      <c r="BB77" s="62" t="inlineStr">
        <is>
          <t>N/A</t>
        </is>
      </c>
      <c r="BC77" s="62" t="inlineStr">
        <is>
          <t>N/A</t>
        </is>
      </c>
      <c r="BD77" s="62" t="inlineStr">
        <is>
          <t>N/A</t>
        </is>
      </c>
      <c r="BE77" s="62" t="inlineStr">
        <is>
          <t>N/A</t>
        </is>
      </c>
      <c r="BF77" s="62" t="inlineStr">
        <is>
          <t>N/A</t>
        </is>
      </c>
      <c r="BG77" s="74" t="inlineStr">
        <is>
          <t>J.P. Morgan Securities (Far East) Limited; China International Capital Corporation Hong Kong Securities Limited</t>
        </is>
      </c>
      <c r="BH77" s="62" t="inlineStr">
        <is>
          <t>China International Capital Corporation Hong Kong Securities Limited; J.P. Morgan Securities (Far East) Limited</t>
        </is>
      </c>
      <c r="BI77" s="62" t="inlineStr">
        <is>
          <t>J.P. Morgan Securities (Asia Pacific) Limited; China International Capital Corporation Hong Kong Securities Limited</t>
        </is>
      </c>
      <c r="BJ77" s="62" t="inlineStr">
        <is>
          <t>China International Capital Corporation Hong Kong Securities Limited; Futu Securities International (Hong Kong) Limited; J.P. Morgan Securities (Asia Pacific) Limited; Livermore Holdings Limited</t>
        </is>
      </c>
      <c r="BK77" s="76">
        <f>HYPERLINK("https://www1.hkexnews.hk/listedco/listconews/sehk/2021/1021/2021102100011.pdf","prospectus")</f>
        <v/>
      </c>
      <c r="BL77" s="76">
        <f>HYPERLINK("https://www1.hkexnews.hk/listedco/listconews/sehk/2021/1101/2021110100012.htm","allotment")</f>
        <v/>
      </c>
      <c r="BM77" s="76">
        <f>HYPERLINK("https://www1.hkexnews.hk/listedco/listconews/sehk/2021/1125/2021112501059.pdf","stabilisation")</f>
        <v/>
      </c>
      <c r="BN77" s="74" t="n"/>
      <c r="BO77" s="62" t="inlineStr">
        <is>
          <t>P/E: n/m — loss-making at IPO (use P/S) · A/H: no A-share listing · P/S: 4,706x on HK$8.8m revenue — effectively pre-revenue; the multiple is shown for completeness, not comparability</t>
        </is>
      </c>
    </row>
    <row r="78" ht="15" customHeight="1">
      <c r="A78" s="61" t="inlineStr">
        <is>
          <t>2251</t>
        </is>
      </c>
      <c r="B78" s="62" t="inlineStr">
        <is>
          <t>AIRDOC-B</t>
        </is>
      </c>
      <c r="C78" s="62" t="inlineStr">
        <is>
          <t>鷹瞳科技－Ｂ</t>
        </is>
      </c>
      <c r="D78" s="62" t="inlineStr">
        <is>
          <t>Healthcare</t>
        </is>
      </c>
      <c r="E78" s="62" t="inlineStr">
        <is>
          <t>Digital health</t>
        </is>
      </c>
      <c r="F78" s="62" t="inlineStr">
        <is>
          <t>Biotechnology</t>
        </is>
      </c>
      <c r="G78" s="62" t="inlineStr">
        <is>
          <t>18A</t>
        </is>
      </c>
      <c r="H78" s="63" t="n">
        <v>44505</v>
      </c>
      <c r="I78" s="64" t="n">
        <v>1566.4</v>
      </c>
      <c r="J78" s="62" t="inlineStr">
        <is>
          <t>net proceeds</t>
        </is>
      </c>
      <c r="K78" s="65" t="n">
        <v>75.09999999999999</v>
      </c>
      <c r="L78" s="65" t="n">
        <v>81.3</v>
      </c>
      <c r="M78" s="65" t="n">
        <v>75.09999999999999</v>
      </c>
      <c r="N78" s="62" t="inlineStr">
        <is>
          <t>N</t>
        </is>
      </c>
      <c r="O78" s="66" t="n">
        <v>92.40000000000001</v>
      </c>
      <c r="P78" s="66" t="n">
        <v>0</v>
      </c>
      <c r="Q78" s="67" t="n">
        <v>8099.1</v>
      </c>
      <c r="R78" s="62" t="inlineStr">
        <is>
          <t>aastocks:上市市值 at the struck price</t>
        </is>
      </c>
      <c r="S78" s="68" t="n">
        <v>6.18</v>
      </c>
      <c r="T78" s="69" t="n">
        <v>2.9</v>
      </c>
      <c r="U78" s="70" t="n">
        <v>32.3</v>
      </c>
      <c r="V78" s="66" t="n">
        <v>13.09</v>
      </c>
      <c r="W78" s="62" t="inlineStr">
        <is>
          <t>CloudAlpha Master Fund; GF Fund Management Co., Ltd; IvyRock Asset Management (HK) Limited; Lake Bleu Prime Healthcare Master Fund Limited; LAV Star Opportunities Limited; LMR Master Fund Limited; WT Asset Management Limited</t>
        </is>
      </c>
      <c r="X78" s="62" t="inlineStr">
        <is>
          <t>cloudalpha;gf;ivyrock;lake;lav;lmr;wt</t>
        </is>
      </c>
      <c r="Y78" s="66" t="n">
        <v>10</v>
      </c>
      <c r="Z78" s="62" t="inlineStr">
        <is>
          <t>lapsed</t>
        </is>
      </c>
      <c r="AA78" s="71" t="n">
        <v>-9.449999999999999</v>
      </c>
      <c r="AB78" s="72" t="n">
        <v>-9.99</v>
      </c>
      <c r="AC78" s="72" t="n">
        <v>0.6</v>
      </c>
      <c r="AD78" s="72" t="n">
        <v>-12.98</v>
      </c>
      <c r="AE78" s="72" t="n">
        <v>-24.37</v>
      </c>
      <c r="AF78" s="72" t="n">
        <v>-56.06</v>
      </c>
      <c r="AG78" s="72" t="n">
        <v>-3.9</v>
      </c>
      <c r="AH78" s="72" t="n">
        <v>-16.48</v>
      </c>
      <c r="AI78" s="72" t="n">
        <v>-51.47</v>
      </c>
      <c r="AJ78" s="72" t="n">
        <v>-13.64</v>
      </c>
      <c r="AK78" s="72" t="n">
        <v>-20.53</v>
      </c>
      <c r="AL78" s="72" t="n">
        <v>-31.59</v>
      </c>
      <c r="AM78" s="72" t="n">
        <v>-13.93</v>
      </c>
      <c r="AN78" s="72" t="n">
        <v>-3.84</v>
      </c>
      <c r="AO78" s="72" t="n">
        <v>-2.55</v>
      </c>
      <c r="AP78" s="62" t="inlineStr">
        <is>
          <t>China Biotech ETF (HS biotech proxy)</t>
        </is>
      </c>
      <c r="AQ78" s="72" t="n">
        <v>-86.28</v>
      </c>
      <c r="AR78" s="63" t="inlineStr">
        <is>
          <t>2026-08-20</t>
        </is>
      </c>
      <c r="AS78" s="64" t="n">
        <v>7.2</v>
      </c>
      <c r="AT78" s="67" t="n">
        <v>-53.7</v>
      </c>
      <c r="AU78" s="62" t="inlineStr">
        <is>
          <t>N</t>
        </is>
      </c>
      <c r="AV78" s="62" t="inlineStr">
        <is>
          <t>n/m</t>
        </is>
      </c>
      <c r="AW78" s="73" t="n"/>
      <c r="AX78" s="73" t="n"/>
      <c r="AY78" s="73" t="n">
        <v>1124.9</v>
      </c>
      <c r="AZ78" s="74" t="inlineStr">
        <is>
          <t>N</t>
        </is>
      </c>
      <c r="BA78" s="75">
        <f>IF('BBG Verify'!K78="","not filed — run on terminal",'BBG Verify'!K78)</f>
        <v/>
      </c>
      <c r="BB78" s="62" t="inlineStr">
        <is>
          <t>N/A</t>
        </is>
      </c>
      <c r="BC78" s="62" t="inlineStr">
        <is>
          <t>N/A</t>
        </is>
      </c>
      <c r="BD78" s="62" t="inlineStr">
        <is>
          <t>N/A</t>
        </is>
      </c>
      <c r="BE78" s="62" t="inlineStr">
        <is>
          <t>N/A</t>
        </is>
      </c>
      <c r="BF78" s="62" t="inlineStr">
        <is>
          <t>N/A</t>
        </is>
      </c>
      <c r="BG78" s="74" t="inlineStr">
        <is>
          <t>UBS Securities Hong Kong Limited; CLSA Capital Markets Limited; UBS AG Hong Kong Branch; CLSA Limited</t>
        </is>
      </c>
      <c r="BH78" s="62" t="inlineStr">
        <is>
          <t>UBS Securities Hong Kong Limited; CLSA Capital Markets Limited</t>
        </is>
      </c>
      <c r="BI78" s="62" t="inlineStr">
        <is>
          <t>UBS AG Hong Kong Branch; CLSA Limited; CMB International Capital Limited; Haitong International Securities Company Limited; Essence International Securities (Hong Kong) Limited; Fosun Hani Securities Limited; GF Securities (Hong Kong) Brokerage Limited; Guodu Securities (Hong Kong) Limited; SPDB International Capital Limited</t>
        </is>
      </c>
      <c r="BJ78" s="62" t="inlineStr">
        <is>
          <t>CLSA Limited; CMB International Capital Limited; China PA Securities (Hong Kong) Company Limited; Essence International Securities (Hong Kong) Limited; Fosun Hani Securities Limited; Guodu Securities (Hong Kong) Limited; GF Securities (Hong Kong) Brokerage Limited; Haitong International Securities Company Limited; SPDB International Capital Limited; UBS AG Hong Kong Branch</t>
        </is>
      </c>
      <c r="BK78" s="76">
        <f>HYPERLINK("https://www1.hkexnews.hk/listedco/listconews/sehk/2021/1026/2021102600012.htm","prospectus")</f>
        <v/>
      </c>
      <c r="BL78" s="76">
        <f>HYPERLINK("https://www1.hkexnews.hk/listedco/listconews/sehk/2021/1104/2021110400022.htm","allotment")</f>
        <v/>
      </c>
      <c r="BM78" s="76">
        <f>HYPERLINK("https://www1.hkexnews.hk/listedco/listconews/sehk/2021/1128/2021112800017.pdf","stabilisation")</f>
        <v/>
      </c>
      <c r="BN78" s="74" t="n"/>
      <c r="BO78" s="62" t="inlineStr">
        <is>
          <t>P/E: n/m — loss-making at IPO (use P/S) · A/H: no A-share listing · P/S: 1,125x on HK$7.2m revenue — effectively pre-revenue; the multiple is shown for completeness, not comparability</t>
        </is>
      </c>
    </row>
    <row r="79" ht="15" customHeight="1">
      <c r="A79" s="61" t="inlineStr">
        <is>
          <t>2197</t>
        </is>
      </c>
      <c r="B79" s="62" t="inlineStr">
        <is>
          <t>CLOVER BIO-B</t>
        </is>
      </c>
      <c r="C79" s="62" t="inlineStr">
        <is>
          <t>三葉草生物－Ｂ</t>
        </is>
      </c>
      <c r="D79" s="62" t="inlineStr">
        <is>
          <t>Healthcare</t>
        </is>
      </c>
      <c r="E79" s="62" t="inlineStr">
        <is>
          <t>Biotech pre-revenue (18A)</t>
        </is>
      </c>
      <c r="F79" s="62" t="inlineStr">
        <is>
          <t>Biotechnology</t>
        </is>
      </c>
      <c r="G79" s="62" t="inlineStr">
        <is>
          <t>18A</t>
        </is>
      </c>
      <c r="H79" s="63" t="n">
        <v>44505</v>
      </c>
      <c r="I79" s="64" t="n">
        <v>2007</v>
      </c>
      <c r="J79" s="62" t="inlineStr">
        <is>
          <t>gross (price x shares)</t>
        </is>
      </c>
      <c r="K79" s="65" t="n">
        <v>12.8</v>
      </c>
      <c r="L79" s="65" t="n">
        <v>13.5</v>
      </c>
      <c r="M79" s="65" t="n">
        <v>13.38</v>
      </c>
      <c r="N79" s="62" t="inlineStr">
        <is>
          <t>N</t>
        </is>
      </c>
      <c r="O79" s="66" t="n">
        <v>99.09999999999999</v>
      </c>
      <c r="P79" s="66" t="n">
        <v>82.90000000000001</v>
      </c>
      <c r="Q79" s="67" t="n">
        <v>14823.9</v>
      </c>
      <c r="R79" s="62" t="inlineStr">
        <is>
          <t>prospectus:stated market capitalisation</t>
        </is>
      </c>
      <c r="S79" s="68" t="n">
        <v>4.4</v>
      </c>
      <c r="T79" s="69" t="n">
        <v>3.21</v>
      </c>
      <c r="U79" s="70" t="n">
        <v>10.8</v>
      </c>
      <c r="V79" s="66" t="n">
        <v>12.08</v>
      </c>
      <c r="W79" s="62" t="inlineStr">
        <is>
          <t>Athos Capital Limited; HHLR Fund, L.P.; YHG Investment, L.P; Oceanpine Capital Management Limited; OrbiMed Funds; Rock Springs Capital Master Fund LP; Springhill Master Fund Limited; Superstring Capital Master Fund LP; Toroa Master Fund</t>
        </is>
      </c>
      <c r="X79" s="62" t="inlineStr">
        <is>
          <t>athos;hhlr;yhg;oceanpine;orbimed;rock;springhill;superstring;toroa</t>
        </is>
      </c>
      <c r="Y79" s="66" t="n">
        <v>6.9</v>
      </c>
      <c r="Z79" s="62" t="inlineStr">
        <is>
          <t>lapsed</t>
        </is>
      </c>
      <c r="AA79" s="71" t="n">
        <v>-2.99</v>
      </c>
      <c r="AB79" s="72" t="n">
        <v>0</v>
      </c>
      <c r="AC79" s="72" t="n">
        <v>-2.99</v>
      </c>
      <c r="AD79" s="72" t="n">
        <v>-22.57</v>
      </c>
      <c r="AE79" s="72" t="n">
        <v>-16.89</v>
      </c>
      <c r="AF79" s="72" t="n">
        <v>-17.79</v>
      </c>
      <c r="AG79" s="72" t="n">
        <v>-20.18</v>
      </c>
      <c r="AH79" s="72" t="n">
        <v>-14.33</v>
      </c>
      <c r="AI79" s="72" t="n">
        <v>-15.26</v>
      </c>
      <c r="AJ79" s="72" t="n">
        <v>-23.23</v>
      </c>
      <c r="AK79" s="72" t="n">
        <v>-13.05</v>
      </c>
      <c r="AL79" s="72" t="n">
        <v>6.68</v>
      </c>
      <c r="AM79" s="72" t="n">
        <v>-11.78</v>
      </c>
      <c r="AN79" s="72" t="n">
        <v>-3.84</v>
      </c>
      <c r="AO79" s="72" t="n">
        <v>-2.55</v>
      </c>
      <c r="AP79" s="62" t="inlineStr">
        <is>
          <t>China Biotech ETF (HS biotech proxy)</t>
        </is>
      </c>
      <c r="AQ79" s="72" t="n">
        <v>-83.59</v>
      </c>
      <c r="AR79" s="63" t="inlineStr">
        <is>
          <t>2026-08-20</t>
        </is>
      </c>
      <c r="AS79" s="64" t="n">
        <v>1119.8</v>
      </c>
      <c r="AT79" s="67" t="n">
        <v>-163</v>
      </c>
      <c r="AU79" s="62" t="inlineStr">
        <is>
          <t>N</t>
        </is>
      </c>
      <c r="AV79" s="62" t="inlineStr">
        <is>
          <t>n/m</t>
        </is>
      </c>
      <c r="AW79" s="73" t="n"/>
      <c r="AX79" s="73" t="n"/>
      <c r="AY79" s="73" t="n">
        <v>13.2</v>
      </c>
      <c r="AZ79" s="74" t="inlineStr">
        <is>
          <t>N</t>
        </is>
      </c>
      <c r="BA79" s="75">
        <f>IF('BBG Verify'!K79="","not filed — run on terminal",'BBG Verify'!K79)</f>
        <v/>
      </c>
      <c r="BB79" s="62" t="inlineStr">
        <is>
          <t>N/A</t>
        </is>
      </c>
      <c r="BC79" s="62" t="inlineStr">
        <is>
          <t>N/A</t>
        </is>
      </c>
      <c r="BD79" s="62" t="inlineStr">
        <is>
          <t>N/A</t>
        </is>
      </c>
      <c r="BE79" s="62" t="inlineStr">
        <is>
          <t>N/A</t>
        </is>
      </c>
      <c r="BF79" s="62" t="inlineStr">
        <is>
          <t>N/A</t>
        </is>
      </c>
      <c r="BG79" s="74" t="inlineStr">
        <is>
          <t>Goldman Sachs (Asia) L.L.C; China International Capital Corporation Hong Kong Securities Limited</t>
        </is>
      </c>
      <c r="BH79" s="62" t="inlineStr">
        <is>
          <t>China International Capital Corporation Hong Kong Securities Limited; Goldman Sachs (Asia) L.L.C.</t>
        </is>
      </c>
      <c r="BI79" s="62" t="inlineStr">
        <is>
          <t>China International Capital Corporation Hong Kong Securities Limited; Credit Suisse (Hong Kong) Limited; Goldman Sachs (Asia) L.L.C.</t>
        </is>
      </c>
      <c r="BJ79" s="62" t="inlineStr">
        <is>
          <t>China International Capital Corporation Hong Kong Securities Limited; Credit Suisse (Hong Kong) Limited; Goldman Sachs (Asia) L.L.C.</t>
        </is>
      </c>
      <c r="BK79" s="76">
        <f>HYPERLINK("https://www1.hkexnews.hk/listedco/listconews/sehk/2021/1025/2021102500007.pdf","prospectus")</f>
        <v/>
      </c>
      <c r="BL79" s="76">
        <f>HYPERLINK("https://www1.hkexnews.hk/listedco/listconews/sehk/2021/1104/2021110400036.htm","allotment")</f>
        <v/>
      </c>
      <c r="BM79" s="76">
        <f>HYPERLINK("https://www1.hkexnews.hk/listedco/listconews/sehk/2021/1129/2021112900089.pdf","stabilisation")</f>
        <v/>
      </c>
      <c r="BN79" s="74" t="n"/>
      <c r="BO79" s="62" t="inlineStr">
        <is>
          <t>P/E: n/m — loss-making at IPO (use P/S) · A/H: no A-share listing · cornerstone: AAStocks institutional table includes non-cornerstone orders (superset) — cornerstone % is from the prospectus</t>
        </is>
      </c>
    </row>
    <row r="80" ht="15" customHeight="1">
      <c r="A80" s="61" t="inlineStr">
        <is>
          <t>1948</t>
        </is>
      </c>
      <c r="B80" s="62" t="inlineStr">
        <is>
          <t>UJU HOLDING</t>
        </is>
      </c>
      <c r="C80" s="62" t="inlineStr">
        <is>
          <t>優矩控股</t>
        </is>
      </c>
      <c r="D80" s="62" t="inlineStr">
        <is>
          <t>TMT-other</t>
        </is>
      </c>
      <c r="E80" s="62" t="inlineStr">
        <is>
          <t>Media / advertising</t>
        </is>
      </c>
      <c r="F80" s="62" t="inlineStr">
        <is>
          <t>Advertising</t>
        </is>
      </c>
      <c r="G80" s="62" t="inlineStr">
        <is>
          <t>Standard</t>
        </is>
      </c>
      <c r="H80" s="63" t="n">
        <v>44508</v>
      </c>
      <c r="I80" s="64" t="n">
        <v>804</v>
      </c>
      <c r="J80" s="62" t="inlineStr">
        <is>
          <t>gross (price x shares)</t>
        </is>
      </c>
      <c r="K80" s="65" t="n">
        <v>6.7</v>
      </c>
      <c r="L80" s="65" t="n">
        <v>9.16</v>
      </c>
      <c r="M80" s="65" t="n">
        <v>6.7</v>
      </c>
      <c r="N80" s="62" t="inlineStr">
        <is>
          <t>N</t>
        </is>
      </c>
      <c r="O80" s="66" t="n">
        <v>73.09999999999999</v>
      </c>
      <c r="P80" s="66" t="n">
        <v>0</v>
      </c>
      <c r="Q80" s="67" t="n">
        <v>5099.6</v>
      </c>
      <c r="R80" s="62" t="inlineStr">
        <is>
          <t>aastocks:上市市值 at the struck price</t>
        </is>
      </c>
      <c r="S80" s="68" t="n">
        <v>4.56</v>
      </c>
      <c r="T80" s="69" t="n">
        <v>2.07</v>
      </c>
      <c r="U80" s="70" t="n">
        <v>14.5</v>
      </c>
      <c r="V80" s="66" t="n">
        <v>13.48</v>
      </c>
      <c r="W80" s="62" t="inlineStr">
        <is>
          <t>BYTEDANCE (HK) LIMITED; Green Better</t>
        </is>
      </c>
      <c r="X80" s="62" t="inlineStr">
        <is>
          <t>bytedance;green</t>
        </is>
      </c>
      <c r="Y80" s="66" t="n">
        <v>18</v>
      </c>
      <c r="Z80" s="62" t="inlineStr">
        <is>
          <t>lapsed</t>
        </is>
      </c>
      <c r="AA80" s="71" t="n">
        <v>-4.48</v>
      </c>
      <c r="AB80" s="72" t="n">
        <v>0</v>
      </c>
      <c r="AC80" s="72" t="n">
        <v>-4.48</v>
      </c>
      <c r="AD80" s="72" t="n">
        <v>-1.94</v>
      </c>
      <c r="AE80" s="72" t="n">
        <v>-19.4</v>
      </c>
      <c r="AF80" s="72" t="n">
        <v>-13.58</v>
      </c>
      <c r="AG80" s="72" t="n">
        <v>2.66</v>
      </c>
      <c r="AH80" s="72" t="n">
        <v>-15.62</v>
      </c>
      <c r="AI80" s="72" t="n">
        <v>-9.529999999999999</v>
      </c>
      <c r="AJ80" s="72" t="n">
        <v>-4.03</v>
      </c>
      <c r="AK80" s="72" t="n">
        <v>-15.83</v>
      </c>
      <c r="AL80" s="72" t="n">
        <v>-13.42</v>
      </c>
      <c r="AM80" s="72" t="n">
        <v>-12.47</v>
      </c>
      <c r="AN80" s="72" t="n">
        <v>-3.57</v>
      </c>
      <c r="AO80" s="72" t="n">
        <v>-3.15</v>
      </c>
      <c r="AP80" s="62" t="inlineStr">
        <is>
          <t>Hang Seng Index</t>
        </is>
      </c>
      <c r="AQ80" s="72" t="n">
        <v>-39.7</v>
      </c>
      <c r="AR80" s="63" t="inlineStr">
        <is>
          <t>2026-08-21</t>
        </is>
      </c>
      <c r="AS80" s="64" t="n">
        <v>6996.8</v>
      </c>
      <c r="AT80" s="67" t="n">
        <v>146.5</v>
      </c>
      <c r="AU80" s="62" t="inlineStr">
        <is>
          <t>Y</t>
        </is>
      </c>
      <c r="AV80" s="73" t="n">
        <v>34.8</v>
      </c>
      <c r="AW80" s="73" t="n"/>
      <c r="AX80" s="73" t="n">
        <v>12.9</v>
      </c>
      <c r="AY80" s="73" t="n">
        <v>0.7</v>
      </c>
      <c r="AZ80" s="74" t="inlineStr">
        <is>
          <t>N</t>
        </is>
      </c>
      <c r="BA80" s="75">
        <f>IF('BBG Verify'!K80="","not filed — run on terminal",'BBG Verify'!K80)</f>
        <v/>
      </c>
      <c r="BB80" s="62" t="inlineStr">
        <is>
          <t>N/A</t>
        </is>
      </c>
      <c r="BC80" s="62" t="inlineStr">
        <is>
          <t>N/A</t>
        </is>
      </c>
      <c r="BD80" s="62" t="inlineStr">
        <is>
          <t>N/A</t>
        </is>
      </c>
      <c r="BE80" s="62" t="inlineStr">
        <is>
          <t>N/A</t>
        </is>
      </c>
      <c r="BF80" s="62" t="inlineStr">
        <is>
          <t>N/A</t>
        </is>
      </c>
      <c r="BG80" s="74" t="inlineStr">
        <is>
          <t>CMBC International Capital Limited; Financial Adviser SBI China Capital Hong Kong Securities Limited</t>
        </is>
      </c>
      <c r="BH80" s="62" t="inlineStr">
        <is>
          <t>CMBC International Capital Limited</t>
        </is>
      </c>
      <c r="BI80" s="62" t="inlineStr">
        <is>
          <t>CMBC Securities Company Limited; Guotai Junan Securities (Hong Kong) Limited; CLSA Limited; CMB International Securities Limited; Valuable Capital Limited; Essence International Securities (Hong Kong) Limited; CCB International Securities Limited; Shenwan Hongyuan Securities (H.K.) Limited; SBI China Capital Financial Services Limited; BOCI Securities Limited; Futu Securities International (Hong Kong) Limited</t>
        </is>
      </c>
      <c r="BJ80" s="62" t="inlineStr">
        <is>
          <t>BOCI Securities Limited; CCB International Securities Limited; CLSA Limited; CMBC Securities Company Limited; CMB International Securities Limited; Essence International Securities (Hong Kong) Limited; Futu Securities International (Hong Kong) Limited; Guotai Junan Securities (Hong Kong) Limited; Haitong International Securities Company Limited; Livermore Holdings Limited; SBI China Capital Financial Services Limited; Shenwan Hongyuan Securities (H.K.) Limited</t>
        </is>
      </c>
      <c r="BK80" s="76">
        <f>HYPERLINK("https://www1.hkexnews.hk/listedco/listconews/sehk/2021/1026/2021102600091.pdf","prospectus")</f>
        <v/>
      </c>
      <c r="BL80" s="76">
        <f>HYPERLINK("https://www1.hkexnews.hk/listedco/listconews/sehk/2021/1105/2021110500012.htm","allotment")</f>
        <v/>
      </c>
      <c r="BM80" s="76">
        <f>HYPERLINK("https://www1.hkexnews.hk/listedco/listconews/sehk/2021/1128/2021112800021.pdf","stabilisation")</f>
        <v/>
      </c>
      <c r="BN80" s="74" t="n"/>
      <c r="BO80" s="62" t="inlineStr">
        <is>
          <t>A/H: no A-share listing · market cap: estimate from deal size / offer % of enlarged capital disagreed with the published listing cap — published figure adopted</t>
        </is>
      </c>
    </row>
    <row r="81" ht="15" customHeight="1">
      <c r="A81" s="61" t="inlineStr">
        <is>
          <t>2210</t>
        </is>
      </c>
      <c r="B81" s="62" t="inlineStr">
        <is>
          <t>BEIJING JIAYE</t>
        </is>
      </c>
      <c r="C81" s="62" t="inlineStr">
        <is>
          <t>京城佳業</t>
        </is>
      </c>
      <c r="D81" s="62" t="inlineStr">
        <is>
          <t>Real Estate</t>
        </is>
      </c>
      <c r="E81" s="62" t="inlineStr">
        <is>
          <t>Property management</t>
        </is>
      </c>
      <c r="F81" s="62" t="inlineStr">
        <is>
          <t>Property Service and Management</t>
        </is>
      </c>
      <c r="G81" s="62" t="inlineStr">
        <is>
          <t>Standard</t>
        </is>
      </c>
      <c r="H81" s="63" t="n">
        <v>44510</v>
      </c>
      <c r="I81" s="64" t="n">
        <v>303.6</v>
      </c>
      <c r="J81" s="62" t="inlineStr">
        <is>
          <t>gross (price x shares)</t>
        </is>
      </c>
      <c r="K81" s="65" t="n"/>
      <c r="L81" s="65" t="n">
        <v>9.960000000000001</v>
      </c>
      <c r="M81" s="65" t="n">
        <v>8.279999999999999</v>
      </c>
      <c r="N81" s="62" t="inlineStr">
        <is>
          <t>N</t>
        </is>
      </c>
      <c r="O81" s="66" t="n">
        <v>83.09999999999999</v>
      </c>
      <c r="P81" s="66" t="n"/>
      <c r="Q81" s="67" t="n">
        <v>1214.4</v>
      </c>
      <c r="R81" s="62" t="inlineStr">
        <is>
          <t>derived:deal size / offer % of enlarged capital</t>
        </is>
      </c>
      <c r="S81" s="68" t="n">
        <v>2.88</v>
      </c>
      <c r="T81" s="69" t="n">
        <v>1.41</v>
      </c>
      <c r="U81" s="70" t="n">
        <v>48.9</v>
      </c>
      <c r="V81" s="66" t="n">
        <v>12.78</v>
      </c>
      <c r="W81" s="62" t="inlineStr">
        <is>
          <t>Glodon (Hongkong) Software Limited; Keltic Investment (HK) Limited</t>
        </is>
      </c>
      <c r="X81" s="62" t="inlineStr">
        <is>
          <t>glodon;keltic</t>
        </is>
      </c>
      <c r="Y81" s="66" t="n">
        <v>15</v>
      </c>
      <c r="Z81" s="62" t="inlineStr">
        <is>
          <t>lapsed</t>
        </is>
      </c>
      <c r="AA81" s="71" t="n">
        <v>-0.24</v>
      </c>
      <c r="AB81" s="72" t="n">
        <v>0</v>
      </c>
      <c r="AC81" s="72" t="n">
        <v>-0.24</v>
      </c>
      <c r="AD81" s="72" t="n">
        <v>-9.300000000000001</v>
      </c>
      <c r="AE81" s="72" t="n">
        <v>-31.28</v>
      </c>
      <c r="AF81" s="72" t="n">
        <v>-42.63</v>
      </c>
      <c r="AG81" s="72" t="n">
        <v>-9.08</v>
      </c>
      <c r="AH81" s="72" t="n">
        <v>-31.11</v>
      </c>
      <c r="AI81" s="72" t="n">
        <v>-42.49</v>
      </c>
      <c r="AJ81" s="72" t="n">
        <v>-13.82</v>
      </c>
      <c r="AK81" s="72" t="n">
        <v>-34.16</v>
      </c>
      <c r="AL81" s="72" t="n">
        <v>-51.1</v>
      </c>
      <c r="AM81" s="72" t="n">
        <v>-30.94</v>
      </c>
      <c r="AN81" s="72" t="n">
        <v>2.88</v>
      </c>
      <c r="AO81" s="72" t="n">
        <v>-0.17</v>
      </c>
      <c r="AP81" s="62" t="inlineStr">
        <is>
          <t>Hang Seng Properties sub-index</t>
        </is>
      </c>
      <c r="AQ81" s="72" t="n">
        <v>-77.42</v>
      </c>
      <c r="AR81" s="63" t="inlineStr">
        <is>
          <t>2026-08-20</t>
        </is>
      </c>
      <c r="AS81" s="64" t="n">
        <v>1199.6</v>
      </c>
      <c r="AT81" s="67" t="n">
        <v>75.59999999999999</v>
      </c>
      <c r="AU81" s="62" t="inlineStr">
        <is>
          <t>Y</t>
        </is>
      </c>
      <c r="AV81" s="73" t="n">
        <v>16.1</v>
      </c>
      <c r="AW81" s="73" t="n"/>
      <c r="AX81" s="73" t="n">
        <v>4.6</v>
      </c>
      <c r="AY81" s="73" t="n">
        <v>1</v>
      </c>
      <c r="AZ81" s="74" t="inlineStr">
        <is>
          <t>N</t>
        </is>
      </c>
      <c r="BA81" s="75">
        <f>IF('BBG Verify'!K81="","not filed — run on terminal",'BBG Verify'!K81)</f>
        <v/>
      </c>
      <c r="BB81" s="62" t="inlineStr">
        <is>
          <t>N/A</t>
        </is>
      </c>
      <c r="BC81" s="62" t="inlineStr">
        <is>
          <t>N/A</t>
        </is>
      </c>
      <c r="BD81" s="62" t="inlineStr">
        <is>
          <t>N/A</t>
        </is>
      </c>
      <c r="BE81" s="62" t="inlineStr">
        <is>
          <t>N/A</t>
        </is>
      </c>
      <c r="BF81" s="62" t="inlineStr">
        <is>
          <t>N/A</t>
        </is>
      </c>
      <c r="BG81" s="74" t="inlineStr">
        <is>
          <t>China International Capital Corporation Hong Kong Securities Limited</t>
        </is>
      </c>
      <c r="BH81" s="62" t="inlineStr">
        <is>
          <t>China International Capital Corporation Hong Kong Securities Limited</t>
        </is>
      </c>
      <c r="BI81" s="62" t="inlineStr">
        <is>
          <t>China International Capital Corporation Hong Kong Securities Limited; Zhongtai International Securities Limited; BOCOM International Securities Limited; CMBC Securities Company Limited; CCB International Capital Limited</t>
        </is>
      </c>
      <c r="BJ81" s="62" t="inlineStr">
        <is>
          <t>Beta International Securities Limited; CCB International Capital Limited; China International Capital Corporation Hong Kong Securities Limited; CMBC Securities Company Limited; CMB International Capital Limited; Zhongtai International Securities Limited</t>
        </is>
      </c>
      <c r="BK81" s="76">
        <f>HYPERLINK("https://www1.hkexnews.hk/listedco/listconews/sehk/2021/1029/2021102900097.pdf","prospectus")</f>
        <v/>
      </c>
      <c r="BL81" s="76">
        <f>HYPERLINK("https://www1.hkexnews.hk/listedco/listconews/sehk/2021/1109/2021110900030.htm","allotment")</f>
        <v/>
      </c>
      <c r="BM81" s="76">
        <f>HYPERLINK("https://www1.hkexnews.hk/listedco/listconews/sehk/2021/1203/2021120301558.pdf","stabilisation")</f>
        <v/>
      </c>
      <c r="BN81" s="74" t="n"/>
      <c r="BO81" s="62" t="inlineStr">
        <is>
          <t>range low: cap-only pricing — the filing publishes a Maximum Offer Price and no indicative floor · A/H: no A-share listing</t>
        </is>
      </c>
    </row>
    <row r="82" ht="15" customHeight="1">
      <c r="A82" s="61" t="inlineStr">
        <is>
          <t>2265</t>
        </is>
      </c>
      <c r="B82" s="62" t="inlineStr">
        <is>
          <t>HC ENV TECH</t>
        </is>
      </c>
      <c r="C82" s="62" t="inlineStr">
        <is>
          <t>鴻承環保科技</t>
        </is>
      </c>
      <c r="D82" s="62" t="inlineStr">
        <is>
          <t>Materials/Energy</t>
        </is>
      </c>
      <c r="E82" s="62" t="inlineStr">
        <is>
          <t>Oil &amp; gas / utilities</t>
        </is>
      </c>
      <c r="F82" s="62" t="inlineStr">
        <is>
          <t>Environmental &amp; Facilities Services</t>
        </is>
      </c>
      <c r="G82" s="62" t="inlineStr">
        <is>
          <t>Standard</t>
        </is>
      </c>
      <c r="H82" s="63" t="n">
        <v>44512</v>
      </c>
      <c r="I82" s="64" t="n">
        <v>36.8</v>
      </c>
      <c r="J82" s="62" t="inlineStr">
        <is>
          <t>net proceeds</t>
        </is>
      </c>
      <c r="K82" s="65" t="n"/>
      <c r="L82" s="65" t="n">
        <v>1.48</v>
      </c>
      <c r="M82" s="65" t="n">
        <v>1.02</v>
      </c>
      <c r="N82" s="62" t="inlineStr">
        <is>
          <t>N</t>
        </is>
      </c>
      <c r="O82" s="66" t="n">
        <v>68.90000000000001</v>
      </c>
      <c r="P82" s="66" t="n"/>
      <c r="Q82" s="67" t="n">
        <v>1337</v>
      </c>
      <c r="R82" s="62" t="inlineStr">
        <is>
          <t>aastocks:上市市值 at the struck price</t>
        </is>
      </c>
      <c r="S82" s="68" t="n">
        <v>24.26</v>
      </c>
      <c r="T82" s="69" t="n">
        <v>1.02</v>
      </c>
      <c r="U82" s="70" t="n">
        <v>0</v>
      </c>
      <c r="V82" s="66" t="n">
        <v>2.75</v>
      </c>
      <c r="W82" s="62" t="n"/>
      <c r="X82" s="62" t="n"/>
      <c r="Y82" s="66" t="n">
        <v>20</v>
      </c>
      <c r="Z82" s="62" t="inlineStr">
        <is>
          <t>lapsed (no over-allocation)</t>
        </is>
      </c>
      <c r="AA82" s="71" t="n">
        <v>-10.78</v>
      </c>
      <c r="AB82" s="72" t="n">
        <v>1.96</v>
      </c>
      <c r="AC82" s="72" t="n">
        <v>-12.5</v>
      </c>
      <c r="AD82" s="72" t="n">
        <v>-3.92</v>
      </c>
      <c r="AE82" s="72" t="n">
        <v>-10.78</v>
      </c>
      <c r="AF82" s="72" t="n">
        <v>-17.65</v>
      </c>
      <c r="AG82" s="72" t="n">
        <v>7.69</v>
      </c>
      <c r="AH82" s="72" t="n">
        <v>0</v>
      </c>
      <c r="AI82" s="72" t="n">
        <v>-7.7</v>
      </c>
      <c r="AJ82" s="72" t="n">
        <v>-2.51</v>
      </c>
      <c r="AK82" s="72" t="n">
        <v>-2.37</v>
      </c>
      <c r="AL82" s="72" t="n">
        <v>-4.62</v>
      </c>
      <c r="AM82" s="72" t="n">
        <v>9.01</v>
      </c>
      <c r="AN82" s="72" t="n">
        <v>-8.41</v>
      </c>
      <c r="AO82" s="72" t="n">
        <v>-9.01</v>
      </c>
      <c r="AP82" s="62" t="inlineStr">
        <is>
          <t>Hang Seng Commerce &amp; Industry sub-index</t>
        </is>
      </c>
      <c r="AQ82" s="72" t="n">
        <v>9.800000000000001</v>
      </c>
      <c r="AR82" s="63" t="inlineStr">
        <is>
          <t>2026-08-20</t>
        </is>
      </c>
      <c r="AS82" s="64" t="n">
        <v>225.9</v>
      </c>
      <c r="AT82" s="67" t="n">
        <v>80.2</v>
      </c>
      <c r="AU82" s="62" t="inlineStr">
        <is>
          <t>Y</t>
        </is>
      </c>
      <c r="AV82" s="73" t="n">
        <v>16.7</v>
      </c>
      <c r="AW82" s="73" t="n"/>
      <c r="AX82" s="73" t="n">
        <v>12.2</v>
      </c>
      <c r="AY82" s="73" t="n">
        <v>5.9</v>
      </c>
      <c r="AZ82" s="74" t="inlineStr">
        <is>
          <t>N</t>
        </is>
      </c>
      <c r="BA82" s="75">
        <f>IF('BBG Verify'!K82="","not filed — run on terminal",'BBG Verify'!K82)</f>
        <v/>
      </c>
      <c r="BB82" s="62" t="inlineStr">
        <is>
          <t>N/A</t>
        </is>
      </c>
      <c r="BC82" s="62" t="inlineStr">
        <is>
          <t>N/A</t>
        </is>
      </c>
      <c r="BD82" s="62" t="inlineStr">
        <is>
          <t>N/A</t>
        </is>
      </c>
      <c r="BE82" s="62" t="inlineStr">
        <is>
          <t>N/A</t>
        </is>
      </c>
      <c r="BF82" s="62" t="inlineStr">
        <is>
          <t>N/A</t>
        </is>
      </c>
      <c r="BG82" s="74" t="inlineStr">
        <is>
          <t>First Shanghai Capital Limited</t>
        </is>
      </c>
      <c r="BH82" s="62" t="inlineStr">
        <is>
          <t>First Shanghai Capital Limited</t>
        </is>
      </c>
      <c r="BI82" s="62" t="inlineStr">
        <is>
          <t>First Shanghai Securities Limited; Zhongtai International Securities Limited; Valuable Capital Limited; ICBC International Capital Limited; Blackwell Global Securities Limited</t>
        </is>
      </c>
      <c r="BJ82" s="62" t="inlineStr">
        <is>
          <t>Blackwell Global Securities Limited; China Galaxy International Securities (Hong Kong) Company Limited; First Shanghai Securities Limited; Fosun Hani Securities Limited; ICBC International Securities Limited; Valuable Capital Limited; Zhongtai International Securities Limited</t>
        </is>
      </c>
      <c r="BK82" s="76">
        <f>HYPERLINK("https://www1.hkexnews.hk/listedco/listconews/sehk/2021/1029/2021102900113.pdf","prospectus")</f>
        <v/>
      </c>
      <c r="BL82" s="76">
        <f>HYPERLINK("https://www1.hkexnews.hk/listedco/listconews/sehk/2021/1111/2021111100010.htm","allotment")</f>
        <v/>
      </c>
      <c r="BM82" s="76">
        <f>HYPERLINK("https://www1.hkexnews.hk/listedco/listconews/sehk/2021/1203/2021120301544.pdf","stabilisation")</f>
        <v/>
      </c>
      <c r="BN82" s="74" t="n"/>
      <c r="BO82" s="62" t="inlineStr">
        <is>
          <t>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t>
        </is>
      </c>
    </row>
    <row r="83" ht="15" customHeight="1">
      <c r="A83" s="61" t="inlineStr">
        <is>
          <t>9899</t>
        </is>
      </c>
      <c r="B83" s="62" t="inlineStr">
        <is>
          <t>CLOUD VILLAGE</t>
        </is>
      </c>
      <c r="C83" s="62" t="inlineStr">
        <is>
          <t>網易雲音樂</t>
        </is>
      </c>
      <c r="D83" s="62" t="inlineStr">
        <is>
          <t>Tech/AI</t>
        </is>
      </c>
      <c r="E83" s="62" t="inlineStr">
        <is>
          <t>Internet platform / e-commerce</t>
        </is>
      </c>
      <c r="F83" s="62" t="inlineStr">
        <is>
          <t>e-Commerce &amp; Internet Services</t>
        </is>
      </c>
      <c r="G83" s="62" t="inlineStr">
        <is>
          <t>Standard</t>
        </is>
      </c>
      <c r="H83" s="63" t="n">
        <v>44532</v>
      </c>
      <c r="I83" s="64" t="n">
        <v>3280</v>
      </c>
      <c r="J83" s="62" t="inlineStr">
        <is>
          <t>gross (price x shares)</t>
        </is>
      </c>
      <c r="K83" s="65" t="n"/>
      <c r="L83" s="65" t="n">
        <v>220</v>
      </c>
      <c r="M83" s="65" t="n">
        <v>205</v>
      </c>
      <c r="N83" s="62" t="inlineStr">
        <is>
          <t>N</t>
        </is>
      </c>
      <c r="O83" s="66" t="n">
        <v>93.2</v>
      </c>
      <c r="P83" s="66" t="n"/>
      <c r="Q83" s="67" t="n">
        <v>39474</v>
      </c>
      <c r="R83" s="62" t="inlineStr">
        <is>
          <t>prospectus:stated market capitalisation</t>
        </is>
      </c>
      <c r="S83" s="68" t="n">
        <v>8.92</v>
      </c>
      <c r="T83" s="69" t="n">
        <v>1.7</v>
      </c>
      <c r="U83" s="70" t="n">
        <v>83.15000000000001</v>
      </c>
      <c r="V83" s="66" t="n">
        <v>1.4</v>
      </c>
      <c r="W83" s="62" t="inlineStr">
        <is>
          <t>NetEase, Inc; Orbis Investment Management Limited; Sony Music Entertainment</t>
        </is>
      </c>
      <c r="X83" s="62" t="inlineStr">
        <is>
          <t>netease;orbis;sony</t>
        </is>
      </c>
      <c r="Y83" s="66" t="n">
        <v>7.7</v>
      </c>
      <c r="Z83" s="62" t="inlineStr">
        <is>
          <t>lapsed</t>
        </is>
      </c>
      <c r="AA83" s="71" t="n">
        <v>-2.49</v>
      </c>
      <c r="AB83" s="72" t="n">
        <v>0</v>
      </c>
      <c r="AC83" s="72" t="n">
        <v>-2.49</v>
      </c>
      <c r="AD83" s="72" t="n">
        <v>-2.73</v>
      </c>
      <c r="AE83" s="72" t="n">
        <v>-27.02</v>
      </c>
      <c r="AF83" s="72" t="n">
        <v>-55.12</v>
      </c>
      <c r="AG83" s="72" t="n">
        <v>-0.25</v>
      </c>
      <c r="AH83" s="72" t="n">
        <v>-25.16</v>
      </c>
      <c r="AI83" s="72" t="n">
        <v>-53.97</v>
      </c>
      <c r="AJ83" s="72" t="n">
        <v>-3.15</v>
      </c>
      <c r="AK83" s="72" t="n">
        <v>-20.01</v>
      </c>
      <c r="AL83" s="72" t="n">
        <v>-29.15</v>
      </c>
      <c r="AM83" s="72" t="n">
        <v>-19.01</v>
      </c>
      <c r="AN83" s="72" t="n">
        <v>-7.01</v>
      </c>
      <c r="AO83" s="72" t="n">
        <v>-6.15</v>
      </c>
      <c r="AP83" s="62" t="inlineStr">
        <is>
          <t>HSTECH (Hang Seng TECH ETF)</t>
        </is>
      </c>
      <c r="AQ83" s="72" t="n">
        <v>-45.07</v>
      </c>
      <c r="AR83" s="63" t="inlineStr">
        <is>
          <t>2026-08-20</t>
        </is>
      </c>
      <c r="AS83" s="64" t="n">
        <v>5385.3</v>
      </c>
      <c r="AT83" s="67" t="n"/>
      <c r="AU83" s="62" t="n"/>
      <c r="AV83" s="77">
        <f>IF('BBG Verify'!O83="","not filed — run on terminal",'BBG Verify'!O83)</f>
        <v/>
      </c>
      <c r="AW83" s="73" t="n"/>
      <c r="AX83" s="73" t="n">
        <v>7.7</v>
      </c>
      <c r="AY83" s="73" t="n">
        <v>7.3</v>
      </c>
      <c r="AZ83" s="74" t="inlineStr">
        <is>
          <t>N</t>
        </is>
      </c>
      <c r="BA83" s="75">
        <f>IF('BBG Verify'!K83="","not filed — run on terminal",'BBG Verify'!K83)</f>
        <v/>
      </c>
      <c r="BB83" s="62" t="inlineStr">
        <is>
          <t>N/A</t>
        </is>
      </c>
      <c r="BC83" s="62" t="inlineStr">
        <is>
          <t>N/A</t>
        </is>
      </c>
      <c r="BD83" s="62" t="inlineStr">
        <is>
          <t>N/A</t>
        </is>
      </c>
      <c r="BE83" s="62" t="inlineStr">
        <is>
          <t>N/A</t>
        </is>
      </c>
      <c r="BF83" s="62" t="inlineStr">
        <is>
          <t>N/A</t>
        </is>
      </c>
      <c r="BG83" s="74" t="inlineStr">
        <is>
          <t>BofA Securities; CICC; Credit Suisse</t>
        </is>
      </c>
      <c r="BH83" s="62" t="inlineStr">
        <is>
          <t>China International Capital Corporation Hong Kong Securities Limited; Merrill Lynch (Asia Pacific) Limited; Credit Suisse (Hong Kong) Limited</t>
        </is>
      </c>
      <c r="BI83" s="62" t="inlineStr">
        <is>
          <t>ABCI Securities Company Limited; BOCI Asia Limited; CCB International Capital Limited; Citigroup Global Markets Asia Limited; China International Capital Corporation Hong Kong Securities Limited; CMB International Capital Corporation Limited</t>
        </is>
      </c>
      <c r="BJ83" s="62" t="inlineStr">
        <is>
          <t>ABCI Securities Company Limited; BOCI Asia Limited; CCB International Capital Limited; Citigroup Global Markets Asia Limited; China International Capital Corporation Hong Kong Securities Limited; CMB International Capital Corporation Limited; Credit Suisse (Hong Kong) Limited; Huatai Financial Holdings (Hong Kong) Limited; The Hongkong and Shanghai Banking Corporation Limited; ICBC International Securities Limited; Merrill Lynch (Asia Pacific) Limited</t>
        </is>
      </c>
      <c r="BK83" s="76">
        <f>HYPERLINK("https://www1.hkexnews.hk/listedco/listconews/sehk/2021/1123/2021112300032.pdf","prospectus")</f>
        <v/>
      </c>
      <c r="BL83" s="76">
        <f>HYPERLINK("https://www1.hkexnews.hk/listedco/listconews/sehk/2021/1201/2021120100040.htm","allotment")</f>
        <v/>
      </c>
      <c r="BM83" s="76">
        <f>HYPERLINK("https://www1.hkexnews.hk/listedco/listconews/sehk/2021/1227/2021122700001.pdf","stabilisation")</f>
        <v/>
      </c>
      <c r="BN83" s="74" t="n"/>
      <c r="BO83" s="62" t="inlineStr">
        <is>
          <t>P/E: net income not stated in extractable form · range low: cap-only pricing — the filing publishes a Maximum Offer Price and no indicative floor · A/H: no A-share listing · financials: financial tables not machine-extractable and the pre-IPO year is outside AAStocks' 5-year window</t>
        </is>
      </c>
    </row>
    <row r="84" ht="15" customHeight="1">
      <c r="A84" s="61" t="inlineStr">
        <is>
          <t>9898</t>
        </is>
      </c>
      <c r="B84" s="62" t="inlineStr">
        <is>
          <t>WB-SW</t>
        </is>
      </c>
      <c r="C84" s="62" t="inlineStr">
        <is>
          <t>微博－ＳＷ</t>
        </is>
      </c>
      <c r="D84" s="62" t="inlineStr">
        <is>
          <t>Tech/AI</t>
        </is>
      </c>
      <c r="E84" s="62" t="inlineStr">
        <is>
          <t>Internet platform / e-commerce</t>
        </is>
      </c>
      <c r="F84" s="62" t="inlineStr">
        <is>
          <t>e-Commerce &amp; Internet Services</t>
        </is>
      </c>
      <c r="G84" s="62" t="inlineStr">
        <is>
          <t>Secondary + WVR</t>
        </is>
      </c>
      <c r="H84" s="63" t="n">
        <v>44538</v>
      </c>
      <c r="I84" s="64" t="n">
        <v>1383.4</v>
      </c>
      <c r="J84" s="62" t="inlineStr">
        <is>
          <t>net proceeds</t>
        </is>
      </c>
      <c r="K84" s="65" t="n"/>
      <c r="L84" s="65" t="n">
        <v>388</v>
      </c>
      <c r="M84" s="65" t="n">
        <v>272.8</v>
      </c>
      <c r="N84" s="62" t="inlineStr">
        <is>
          <t>N</t>
        </is>
      </c>
      <c r="O84" s="66" t="n">
        <v>70.3</v>
      </c>
      <c r="P84" s="66" t="n"/>
      <c r="Q84" s="67" t="n">
        <v>91022</v>
      </c>
      <c r="R84" s="62" t="inlineStr">
        <is>
          <t>prospectus:stated market capitalisation</t>
        </is>
      </c>
      <c r="S84" s="68" t="n">
        <v>2.67</v>
      </c>
      <c r="T84" s="69" t="n">
        <v>5.5</v>
      </c>
      <c r="U84" s="70" t="n"/>
      <c r="V84" s="66" t="n">
        <v>1.52</v>
      </c>
      <c r="W84" s="62" t="n"/>
      <c r="X84" s="62" t="n"/>
      <c r="Y84" s="66" t="n">
        <v>5.4</v>
      </c>
      <c r="Z84" s="62" t="inlineStr">
        <is>
          <t>partial</t>
        </is>
      </c>
      <c r="AA84" s="71" t="n">
        <v>-7.18</v>
      </c>
      <c r="AB84" s="72" t="n">
        <v>-6.09</v>
      </c>
      <c r="AC84" s="72" t="n">
        <v>-1.16</v>
      </c>
      <c r="AD84" s="72" t="n">
        <v>-19.65</v>
      </c>
      <c r="AE84" s="72" t="n">
        <v>-4.4</v>
      </c>
      <c r="AF84" s="72" t="n">
        <v>-28.52</v>
      </c>
      <c r="AG84" s="72" t="n">
        <v>-13.43</v>
      </c>
      <c r="AH84" s="72" t="n">
        <v>3</v>
      </c>
      <c r="AI84" s="72" t="n">
        <v>-22.99</v>
      </c>
      <c r="AJ84" s="72" t="n">
        <v>-16.44</v>
      </c>
      <c r="AK84" s="72" t="n">
        <v>3.72</v>
      </c>
      <c r="AL84" s="72" t="n">
        <v>0.45</v>
      </c>
      <c r="AM84" s="72" t="n">
        <v>10.89</v>
      </c>
      <c r="AN84" s="72" t="n">
        <v>-8.119999999999999</v>
      </c>
      <c r="AO84" s="72" t="n">
        <v>-7.89</v>
      </c>
      <c r="AP84" s="62" t="inlineStr">
        <is>
          <t>HSTECH (Hang Seng TECH ETF)</t>
        </is>
      </c>
      <c r="AQ84" s="72" t="n">
        <v>-79.11</v>
      </c>
      <c r="AR84" s="63" t="inlineStr">
        <is>
          <t>2026-08-20</t>
        </is>
      </c>
      <c r="AS84" s="64" t="n"/>
      <c r="AT84" s="67" t="n"/>
      <c r="AU84" s="62" t="n"/>
      <c r="AV84" s="73" t="n">
        <v>11.2</v>
      </c>
      <c r="AW84" s="73" t="n">
        <v>11.2</v>
      </c>
      <c r="AX84" s="73" t="n">
        <v>4.9</v>
      </c>
      <c r="AY84" s="73" t="n"/>
      <c r="AZ84" s="74" t="inlineStr">
        <is>
          <t>N</t>
        </is>
      </c>
      <c r="BA84" s="75">
        <f>IF('BBG Verify'!K84="","not filed — run on terminal",'BBG Verify'!K84)</f>
        <v/>
      </c>
      <c r="BB84" s="62" t="inlineStr">
        <is>
          <t>N/A</t>
        </is>
      </c>
      <c r="BC84" s="62" t="inlineStr">
        <is>
          <t>N/A</t>
        </is>
      </c>
      <c r="BD84" s="62" t="inlineStr">
        <is>
          <t>N/A</t>
        </is>
      </c>
      <c r="BE84" s="62" t="inlineStr">
        <is>
          <t>N/A</t>
        </is>
      </c>
      <c r="BF84" s="62" t="inlineStr">
        <is>
          <t>N/A</t>
        </is>
      </c>
      <c r="BG84" s="74" t="inlineStr">
        <is>
          <t>Goldman Sachs (Asia) L.L.C; Credit Suisse (Hong Kong) Limited; CLSA Capital Markets Limited; China International Capital Corporation Hong Kong Securities Limited; Central, Hong Kong Joint Representatives Goldman Sachs (Asia) L.L.C; CLSA Limited</t>
        </is>
      </c>
      <c r="BH84" s="62" t="inlineStr">
        <is>
          <t>China International Capital Corporation Hong Kong Securities Limited; Goldman Sachs (Asia) L.L.C.; CLSA Capital Markets Limited; Credit Suisse (Hong Kong) Limited</t>
        </is>
      </c>
      <c r="BI84" s="62" t="inlineStr">
        <is>
          <t>Goldman Sachs (Asia) L.L.C; Credit Suisse (Hong Kong) Limited; CLSA Limited; China International Capital Corporation Hong Kong Securities Limited; Central, Hong Kong Nomura International (Hong Kong) Limited; Central, Hong Kong Deutsche Bank AG, Hong Kong Branch; Haitong International Securities Company Limited; Huatai Financial Holdings (Hong Kong) Limited; Valuable Capital Limited; ABCI Capital Limited; CMBC Securities Company Limited; Central, Hong Kong CMB International Capital Limited</t>
        </is>
      </c>
      <c r="BJ84" s="62" t="inlineStr">
        <is>
          <t>ABCI Securities Company Limited; China International Capital Corporation Hong Kong Securities Limited; CLSA Limited; CMBC Securities Company Limited; CMB International Capital Limited; Credit Suisse (Hong Kong) Limited; Deutsche Bank AG, Hong Kong Branch; Goldman Sachs (Asia) L.L.C.; Huatai Financial Holdings (Hong Kong) Limited; Haitong International Securities Company Limited; Nomura International (Hong Kong) Limited; Valuable Capital Limited</t>
        </is>
      </c>
      <c r="BK84" s="76">
        <f>HYPERLINK("https://www1.hkexnews.hk/listedco/listconews/sehk/2021/1129/2021112900007.pdf","prospectus")</f>
        <v/>
      </c>
      <c r="BL84" s="76">
        <f>HYPERLINK("https://www1.hkexnews.hk/listedco/listconews/sehk/2021/1207/2021120700020.htm","allotment")</f>
        <v/>
      </c>
      <c r="BM84" s="76">
        <f>HYPERLINK("https://www1.hkexnews.hk/listedco/listconews/sehk/2022/0102/2022010200019.pdf","stabilisation")</f>
        <v/>
      </c>
      <c r="BN84" s="74" t="n"/>
      <c r="BO84" s="62" t="inlineStr">
        <is>
          <t>P/E: from Bloomberg (trailing-12m EPS at listing) — the prospectus-FY multiple was not derivable · range low: cap-only pricing — the filing publishes a Maximum Offer Price and no indicative floor · A/H: no A-share listing · cornerstone list: cornerstone section not machine-extractable — see the prospectus link · cornerstone %: cornerstone aggregate not stated in the filing · P/S: revenue not extractable · financials: financial tables not machine-extractable and the pre-IPO year is outside AAStocks' 5-year window</t>
        </is>
      </c>
    </row>
    <row r="85" ht="15" customHeight="1">
      <c r="A85" s="61" t="inlineStr">
        <is>
          <t>1228</t>
        </is>
      </c>
      <c r="B85" s="62" t="inlineStr">
        <is>
          <t>CANBRIDGE-B</t>
        </is>
      </c>
      <c r="C85" s="62" t="inlineStr">
        <is>
          <t>北海康成－Ｂ</t>
        </is>
      </c>
      <c r="D85" s="62" t="inlineStr">
        <is>
          <t>Healthcare</t>
        </is>
      </c>
      <c r="E85" s="62" t="inlineStr">
        <is>
          <t>Biotech pre-revenue (18A)</t>
        </is>
      </c>
      <c r="F85" s="62" t="inlineStr">
        <is>
          <t>Biotechnology</t>
        </is>
      </c>
      <c r="G85" s="62" t="inlineStr">
        <is>
          <t>18A</t>
        </is>
      </c>
      <c r="H85" s="63" t="n">
        <v>44540</v>
      </c>
      <c r="I85" s="64" t="n">
        <v>685.1</v>
      </c>
      <c r="J85" s="62" t="inlineStr">
        <is>
          <t>gross (price x shares)</t>
        </is>
      </c>
      <c r="K85" s="65" t="n"/>
      <c r="L85" s="65" t="n">
        <v>12.18</v>
      </c>
      <c r="M85" s="65" t="n">
        <v>12.18</v>
      </c>
      <c r="N85" s="62" t="inlineStr">
        <is>
          <t>Y</t>
        </is>
      </c>
      <c r="O85" s="66" t="n">
        <v>100</v>
      </c>
      <c r="P85" s="66" t="n"/>
      <c r="Q85" s="67" t="n">
        <v>5166.7</v>
      </c>
      <c r="R85" s="62" t="inlineStr">
        <is>
          <t>prospectus:stated market capitalisation</t>
        </is>
      </c>
      <c r="S85" s="68" t="n">
        <v>1.97</v>
      </c>
      <c r="T85" s="69" t="n">
        <v>2.8</v>
      </c>
      <c r="U85" s="70" t="n">
        <v>75.8</v>
      </c>
      <c r="V85" s="66" t="n">
        <v>3.21</v>
      </c>
      <c r="W85" s="62" t="inlineStr">
        <is>
          <t>Belinda A. Termeer; General Atlantic Singapore CP Pte. Ltd; Hongkong Ruihua Investment Management Limited; Hudson Bay Master Fund Ltd; Janus Investors; RA Capital Healthcare Fund, L.P; WuXi Biologics HealthCare Venture</t>
        </is>
      </c>
      <c r="X85" s="62" t="inlineStr">
        <is>
          <t>belinda;general;hongkong;hudson;janus;ra;wuxi</t>
        </is>
      </c>
      <c r="Y85" s="66" t="n">
        <v>11.8</v>
      </c>
      <c r="Z85" s="62" t="n"/>
      <c r="AA85" s="71" t="n">
        <v>-26.93</v>
      </c>
      <c r="AB85" s="72" t="n">
        <v>-19.54</v>
      </c>
      <c r="AC85" s="72" t="n">
        <v>-9.18</v>
      </c>
      <c r="AD85" s="72" t="n">
        <v>-30.13</v>
      </c>
      <c r="AE85" s="72" t="n">
        <v>-32.84</v>
      </c>
      <c r="AF85" s="72" t="n">
        <v>-64.37</v>
      </c>
      <c r="AG85" s="72" t="n">
        <v>-4.38</v>
      </c>
      <c r="AH85" s="72" t="n">
        <v>-8.09</v>
      </c>
      <c r="AI85" s="72" t="n">
        <v>-51.24</v>
      </c>
      <c r="AJ85" s="72" t="n">
        <v>-23.79</v>
      </c>
      <c r="AK85" s="72" t="n">
        <v>-22.11</v>
      </c>
      <c r="AL85" s="72" t="n">
        <v>-26.66</v>
      </c>
      <c r="AM85" s="72" t="n">
        <v>1.24</v>
      </c>
      <c r="AN85" s="72" t="n">
        <v>-10.73</v>
      </c>
      <c r="AO85" s="72" t="n">
        <v>-9.33</v>
      </c>
      <c r="AP85" s="62" t="inlineStr">
        <is>
          <t>China Biotech ETF (HS biotech proxy)</t>
        </is>
      </c>
      <c r="AQ85" s="72" t="n">
        <v>-82.84</v>
      </c>
      <c r="AR85" s="63" t="inlineStr">
        <is>
          <t>2026-08-20</t>
        </is>
      </c>
      <c r="AS85" s="64" t="n">
        <v>2.1</v>
      </c>
      <c r="AT85" s="67" t="n">
        <v>-172.4</v>
      </c>
      <c r="AU85" s="62" t="inlineStr">
        <is>
          <t>N</t>
        </is>
      </c>
      <c r="AV85" s="62" t="inlineStr">
        <is>
          <t>n/m</t>
        </is>
      </c>
      <c r="AW85" s="73" t="n"/>
      <c r="AX85" s="73" t="n">
        <v>37.8</v>
      </c>
      <c r="AY85" s="73" t="n">
        <v>2460.3</v>
      </c>
      <c r="AZ85" s="74" t="inlineStr">
        <is>
          <t>N</t>
        </is>
      </c>
      <c r="BA85" s="75">
        <f>IF('BBG Verify'!K85="","not filed — run on terminal",'BBG Verify'!K85)</f>
        <v/>
      </c>
      <c r="BB85" s="62" t="inlineStr">
        <is>
          <t>N/A</t>
        </is>
      </c>
      <c r="BC85" s="62" t="inlineStr">
        <is>
          <t>N/A</t>
        </is>
      </c>
      <c r="BD85" s="62" t="inlineStr">
        <is>
          <t>N/A</t>
        </is>
      </c>
      <c r="BE85" s="62" t="inlineStr">
        <is>
          <t>N/A</t>
        </is>
      </c>
      <c r="BF85" s="62" t="inlineStr">
        <is>
          <t>N/A</t>
        </is>
      </c>
      <c r="BG85" s="74" t="inlineStr">
        <is>
          <t>Morgan Stanley Asia Limited; Jefferies Hong Kong Limited</t>
        </is>
      </c>
      <c r="BH85" s="62" t="inlineStr">
        <is>
          <t>Jefferies Hong Kong Limited; Morgan Stanley Asia Limited</t>
        </is>
      </c>
      <c r="BI85" s="62" t="inlineStr">
        <is>
          <t>Morgan Stanley Asia Limited; Jefferies Hong Kong Limited; Haitong International Securities Company Limited; Morgan Stanley &amp; Co. International plc; China Merchants Securities (HK) Co., Limited; BOCI Asia Limited</t>
        </is>
      </c>
      <c r="BJ85" s="62" t="inlineStr">
        <is>
          <t>BOCI Asia Limited; China Merchants Securities (HK) Company Limited; Futu Securities International (Hong Kong) Limited; Haitong International Securities Company Limited; Jefferies Hong Kong Limited; Morgan Stanley Asia Limited</t>
        </is>
      </c>
      <c r="BK85" s="76">
        <f>HYPERLINK("https://www1.hkexnews.hk/listedco/listconews/sehk/2021/1130/2021113000013.pdf","prospectus")</f>
        <v/>
      </c>
      <c r="BL85" s="76">
        <f>HYPERLINK("https://www1.hkexnews.hk/listedco/listconews/sehk/2021/1209/2021120900010.htm","allotment")</f>
        <v/>
      </c>
      <c r="BM85" s="62" t="n"/>
      <c r="BN85" s="74" t="n"/>
      <c r="BO85" s="62" t="inlineStr">
        <is>
          <t>P/E: n/m — loss-making at IPO (use P/S) · greenshoe: end-of-stabilisation notice not located · range low: cap-only pricing — the filing publishes a Maximum Offer Price and no indicative floor · A/H: no A-share listing · P/S: 2,460x on HK$2.1m revenue — effectively pre-revenue; the multiple is shown for completeness, not comparability</t>
        </is>
      </c>
    </row>
    <row r="86" ht="15" customHeight="1">
      <c r="A86" s="61" t="inlineStr">
        <is>
          <t>2273</t>
        </is>
      </c>
      <c r="B86" s="62" t="inlineStr">
        <is>
          <t>GUSHENGTANG</t>
        </is>
      </c>
      <c r="C86" s="62" t="inlineStr">
        <is>
          <t>固生堂</t>
        </is>
      </c>
      <c r="D86" s="62" t="inlineStr">
        <is>
          <t>Healthcare</t>
        </is>
      </c>
      <c r="E86" s="62" t="inlineStr">
        <is>
          <t>TCM</t>
        </is>
      </c>
      <c r="F86" s="62" t="inlineStr">
        <is>
          <t>Health Care Services</t>
        </is>
      </c>
      <c r="G86" s="62" t="inlineStr">
        <is>
          <t>Standard</t>
        </is>
      </c>
      <c r="H86" s="63" t="n">
        <v>44540</v>
      </c>
      <c r="I86" s="64" t="n">
        <v>808.5</v>
      </c>
      <c r="J86" s="62" t="inlineStr">
        <is>
          <t>gross (price x shares)</t>
        </is>
      </c>
      <c r="K86" s="65" t="n">
        <v>25.8</v>
      </c>
      <c r="L86" s="65" t="n">
        <v>29</v>
      </c>
      <c r="M86" s="65" t="n">
        <v>29</v>
      </c>
      <c r="N86" s="62" t="inlineStr">
        <is>
          <t>Y</t>
        </is>
      </c>
      <c r="O86" s="66" t="n">
        <v>100</v>
      </c>
      <c r="P86" s="66" t="n">
        <v>100</v>
      </c>
      <c r="Q86" s="67" t="n">
        <v>5914.4</v>
      </c>
      <c r="R86" s="62" t="inlineStr">
        <is>
          <t>derived:deal size / offer % of enlarged capital</t>
        </is>
      </c>
      <c r="S86" s="68" t="n">
        <v>2.84</v>
      </c>
      <c r="T86" s="69" t="n">
        <v>4.4</v>
      </c>
      <c r="U86" s="70" t="n">
        <v>40.32</v>
      </c>
      <c r="V86" s="66" t="n">
        <v>8.16</v>
      </c>
      <c r="W86" s="62" t="inlineStr">
        <is>
          <t>Boyu Capital Opportunities Master Fund; Foresight Funds; Sage Partners Master Fund; UBS Asset Management (Singapore) Ltd</t>
        </is>
      </c>
      <c r="X86" s="62" t="inlineStr">
        <is>
          <t>boyu;foresight;sage;ubs</t>
        </is>
      </c>
      <c r="Y86" s="66" t="n">
        <v>15.14</v>
      </c>
      <c r="Z86" s="62" t="inlineStr">
        <is>
          <t>lapsed</t>
        </is>
      </c>
      <c r="AA86" s="71" t="n">
        <v>0</v>
      </c>
      <c r="AB86" s="72" t="n">
        <v>15.17</v>
      </c>
      <c r="AC86" s="72" t="n">
        <v>-13.17</v>
      </c>
      <c r="AD86" s="72" t="n">
        <v>-17.24</v>
      </c>
      <c r="AE86" s="72" t="n">
        <v>45.86</v>
      </c>
      <c r="AF86" s="72" t="n">
        <v>-28.45</v>
      </c>
      <c r="AG86" s="72" t="n">
        <v>-17.24</v>
      </c>
      <c r="AH86" s="72" t="n">
        <v>45.86</v>
      </c>
      <c r="AI86" s="72" t="n">
        <v>-28.45</v>
      </c>
      <c r="AJ86" s="72" t="n">
        <v>-10.9</v>
      </c>
      <c r="AK86" s="72" t="n">
        <v>56.59</v>
      </c>
      <c r="AL86" s="72" t="n">
        <v>9.26</v>
      </c>
      <c r="AM86" s="72" t="n">
        <v>55.19</v>
      </c>
      <c r="AN86" s="72" t="n">
        <v>-10.73</v>
      </c>
      <c r="AO86" s="72" t="n">
        <v>-9.33</v>
      </c>
      <c r="AP86" s="62" t="inlineStr">
        <is>
          <t>China Biotech ETF (HS biotech proxy)</t>
        </is>
      </c>
      <c r="AQ86" s="72" t="n">
        <v>-6.21</v>
      </c>
      <c r="AR86" s="63" t="inlineStr">
        <is>
          <t>2026-08-20</t>
        </is>
      </c>
      <c r="AS86" s="64" t="n">
        <v>1017.9</v>
      </c>
      <c r="AT86" s="67" t="n">
        <v>-280.9</v>
      </c>
      <c r="AU86" s="62" t="inlineStr">
        <is>
          <t>N</t>
        </is>
      </c>
      <c r="AV86" s="62" t="inlineStr">
        <is>
          <t>n/m</t>
        </is>
      </c>
      <c r="AW86" s="73" t="n"/>
      <c r="AX86" s="73" t="n">
        <v>15.7</v>
      </c>
      <c r="AY86" s="73" t="n">
        <v>5.8</v>
      </c>
      <c r="AZ86" s="74" t="inlineStr">
        <is>
          <t>N</t>
        </is>
      </c>
      <c r="BA86" s="75">
        <f>IF('BBG Verify'!K86="","not filed — run on terminal",'BBG Verify'!K86)</f>
        <v/>
      </c>
      <c r="BB86" s="62" t="inlineStr">
        <is>
          <t>N/A</t>
        </is>
      </c>
      <c r="BC86" s="62" t="inlineStr">
        <is>
          <t>N/A</t>
        </is>
      </c>
      <c r="BD86" s="62" t="inlineStr">
        <is>
          <t>N/A</t>
        </is>
      </c>
      <c r="BE86" s="62" t="inlineStr">
        <is>
          <t>N/A</t>
        </is>
      </c>
      <c r="BF86" s="62" t="inlineStr">
        <is>
          <t>N/A</t>
        </is>
      </c>
      <c r="BG86" s="74" t="inlineStr">
        <is>
          <t>Merrill Lynch (Asia Pacific) Limited; Haitong International Capital Limited; Central, Hong Kong Joint Representatives Merrill Lynch (Asia Pacific) Limited; Haitong International Securities Company Limited</t>
        </is>
      </c>
      <c r="BH86" s="62" t="inlineStr">
        <is>
          <t>Haitong International Capital Limited; Merrill Lynch (Asia Pacific) Limited</t>
        </is>
      </c>
      <c r="BI86" s="62" t="inlineStr">
        <is>
          <t>Merrill Lynch (Asia Pacific) Limited; Haitong International Securities Company Limited; China International Capital Corporation Hong Kong Securities Limited; GF Securities (Hong Kong) Brokerage Limited; ICBC International Capital Limited</t>
        </is>
      </c>
      <c r="BJ86" s="62" t="inlineStr">
        <is>
          <t>China International Capital Corporation Hong Kong Securities Limited; Futu Securities International (Hong Kong) Limited; GF Securities (Hong Kong) Brokerage Limited; Haitong International Securities Company Limited; ICBC International Securities Limited; Merrill Lynch (Asia Pacific) Limited; Sinomax Securities Limited</t>
        </is>
      </c>
      <c r="BK86" s="76">
        <f>HYPERLINK("https://www1.hkexnews.hk/listedco/listconews/sehk/2021/1130/2021113000025.pdf","prospectus")</f>
        <v/>
      </c>
      <c r="BL86" s="76">
        <f>HYPERLINK("https://www1.hkexnews.hk/listedco/listconews/sehk/2021/1209/2021120900040.htm","allotment")</f>
        <v/>
      </c>
      <c r="BM86" s="76">
        <f>HYPERLINK("https://www1.hkexnews.hk/listedco/listconews/sehk/2022/0103/2022010302918.pdf","stabilisation")</f>
        <v/>
      </c>
      <c r="BN86" s="74" t="n"/>
      <c r="BO86" s="62" t="inlineStr">
        <is>
          <t>P/E: n/m — loss-making at IPO (use P/S) · greenshoe: CONFLICT: our notice-parse read 'lapsed' but Bloomberg records 4,181,700 over-allotment shares exercised — verify the stabilisation notice by hand · A/H: no A-share listing</t>
        </is>
      </c>
    </row>
    <row r="87" ht="15" customHeight="1">
      <c r="A87" s="61" t="inlineStr">
        <is>
          <t>6821</t>
        </is>
      </c>
      <c r="B87" s="62" t="inlineStr">
        <is>
          <t>ASYMCHEM</t>
        </is>
      </c>
      <c r="C87" s="62" t="inlineStr">
        <is>
          <t>凱萊英</t>
        </is>
      </c>
      <c r="D87" s="62" t="inlineStr">
        <is>
          <t>Healthcare</t>
        </is>
      </c>
      <c r="E87" s="62" t="inlineStr">
        <is>
          <t>CXO / pharma services</t>
        </is>
      </c>
      <c r="F87" s="62" t="inlineStr">
        <is>
          <t>Pharmaceuticals</t>
        </is>
      </c>
      <c r="G87" s="62" t="inlineStr">
        <is>
          <t>Standard</t>
        </is>
      </c>
      <c r="H87" s="63" t="n">
        <v>44540</v>
      </c>
      <c r="I87" s="64" t="n">
        <v>7145.2</v>
      </c>
      <c r="J87" s="62" t="inlineStr">
        <is>
          <t>gross (price x shares)</t>
        </is>
      </c>
      <c r="K87" s="65" t="n"/>
      <c r="L87" s="65" t="n">
        <v>410</v>
      </c>
      <c r="M87" s="65" t="n">
        <v>388</v>
      </c>
      <c r="N87" s="62" t="inlineStr">
        <is>
          <t>N</t>
        </is>
      </c>
      <c r="O87" s="66" t="n">
        <v>94.59999999999999</v>
      </c>
      <c r="P87" s="66" t="n"/>
      <c r="Q87" s="67" t="n">
        <v>141820</v>
      </c>
      <c r="R87" s="62" t="inlineStr">
        <is>
          <t>prospectus:stated market capitalisation</t>
        </is>
      </c>
      <c r="S87" s="68" t="n">
        <v>4.5</v>
      </c>
      <c r="T87" s="69" t="n">
        <v>4.5</v>
      </c>
      <c r="U87" s="70" t="n">
        <v>0</v>
      </c>
      <c r="V87" s="66" t="n">
        <v>5.04</v>
      </c>
      <c r="W87" s="62" t="n"/>
      <c r="X87" s="62" t="n"/>
      <c r="Y87" s="66" t="n">
        <v>7.97</v>
      </c>
      <c r="Z87" s="62" t="inlineStr">
        <is>
          <t>partial</t>
        </is>
      </c>
      <c r="AA87" s="71" t="n">
        <v>-4.64</v>
      </c>
      <c r="AB87" s="72" t="n">
        <v>0</v>
      </c>
      <c r="AC87" s="72" t="n">
        <v>-4.64</v>
      </c>
      <c r="AD87" s="72" t="n">
        <v>-16.55</v>
      </c>
      <c r="AE87" s="72" t="n">
        <v>-32.27</v>
      </c>
      <c r="AF87" s="72" t="n">
        <v>-44.85</v>
      </c>
      <c r="AG87" s="72" t="n">
        <v>-12.49</v>
      </c>
      <c r="AH87" s="72" t="n">
        <v>-28.97</v>
      </c>
      <c r="AI87" s="72" t="n">
        <v>-42.17</v>
      </c>
      <c r="AJ87" s="72" t="n">
        <v>-10.21</v>
      </c>
      <c r="AK87" s="72" t="n">
        <v>-21.54</v>
      </c>
      <c r="AL87" s="72" t="n">
        <v>-7.14</v>
      </c>
      <c r="AM87" s="72" t="n">
        <v>-19.64</v>
      </c>
      <c r="AN87" s="72" t="n">
        <v>-10.73</v>
      </c>
      <c r="AO87" s="72" t="n">
        <v>-9.33</v>
      </c>
      <c r="AP87" s="62" t="inlineStr">
        <is>
          <t>China Biotech ETF (HS biotech proxy)</t>
        </is>
      </c>
      <c r="AQ87" s="72" t="n">
        <v>-59.91</v>
      </c>
      <c r="AR87" s="63" t="inlineStr">
        <is>
          <t>2026-08-24</t>
        </is>
      </c>
      <c r="AS87" s="64" t="n">
        <v>3450.4</v>
      </c>
      <c r="AT87" s="67" t="n">
        <v>791.7</v>
      </c>
      <c r="AU87" s="62" t="inlineStr">
        <is>
          <t>Y</t>
        </is>
      </c>
      <c r="AV87" s="73" t="n">
        <v>179.1</v>
      </c>
      <c r="AW87" s="73" t="n"/>
      <c r="AX87" s="73" t="n"/>
      <c r="AY87" s="73" t="n">
        <v>41.1</v>
      </c>
      <c r="AZ87" s="74" t="inlineStr">
        <is>
          <t>Y</t>
        </is>
      </c>
      <c r="BA87" s="62" t="inlineStr">
        <is>
          <t>002821.SZ</t>
        </is>
      </c>
      <c r="BB87" s="72" t="n">
        <v>50.64</v>
      </c>
      <c r="BC87" s="65" t="n">
        <v>584.465</v>
      </c>
      <c r="BD87" s="79" t="n">
        <v>0.6439</v>
      </c>
      <c r="BE87" s="77">
        <f>IF('BBG Verify'!Q87="","run on terminal",'BBG Verify'!Q87)</f>
        <v/>
      </c>
      <c r="BF87" s="77">
        <f>IF('BBG Verify'!R87="","run on terminal",'BBG Verify'!R87)</f>
        <v/>
      </c>
      <c r="BG87" s="74" t="inlineStr">
        <is>
          <t>Goldman Sachs (Asia) L.L.C; CLSA Capital Markets Limited</t>
        </is>
      </c>
      <c r="BH87" s="62" t="inlineStr">
        <is>
          <t>Goldman Sachs (Asia) L.L.C.; CLSA Capital Markets Limited</t>
        </is>
      </c>
      <c r="BI87" s="62" t="inlineStr">
        <is>
          <t>Goldman Sachs (Asia) L.L.C; CLSA Limited; Credit Suisse (Hong Kong) Limited; Citigroup Global Markets Asia Limited; BOCOM International Securities Limited</t>
        </is>
      </c>
      <c r="BJ87" s="62" t="inlineStr">
        <is>
          <t>Beta International Securities Limited; Citigroup Global Markets Asia Limited; CLSA Limited; Credit Suisse (Hong Kong) Limited; Guotai Junan Securities (Hong Kong) Limited; Goldman Sachs (Asia) L.L.C.</t>
        </is>
      </c>
      <c r="BK87" s="76">
        <f>HYPERLINK("https://www1.hkexnews.hk/listedco/listconews/sehk/2021/1130/2021113000029.pdf","prospectus")</f>
        <v/>
      </c>
      <c r="BL87" s="76">
        <f>HYPERLINK("https://www1.hkexnews.hk/listedco/listconews/sehk/2021/1209/2021120900056.htm","allotment")</f>
        <v/>
      </c>
      <c r="BM87" s="76">
        <f>HYPERLINK("https://www1.hkexnews.hk/listedco/listconews/sehk/2022/0102/2022010200055.pdf","stabilisation")</f>
        <v/>
      </c>
      <c r="BN87" s="74" t="n"/>
      <c r="BO87" s="62" t="inlineStr">
        <is>
          <t>range low: cap-only pricing — the filing publishes a Maximum Offer Price and no indicative floor · A/H: H listed Dec 2021 (CDMO) · cornerstone list: no cornerstone tranche in this deal</t>
        </is>
      </c>
    </row>
    <row r="88" ht="15" customHeight="1">
      <c r="A88" s="61" t="inlineStr">
        <is>
          <t>2279</t>
        </is>
      </c>
      <c r="B88" s="62" t="inlineStr">
        <is>
          <t>YONGHE MEDICAL</t>
        </is>
      </c>
      <c r="C88" s="62" t="inlineStr">
        <is>
          <t>雍禾醫療</t>
        </is>
      </c>
      <c r="D88" s="62" t="inlineStr">
        <is>
          <t>Healthcare</t>
        </is>
      </c>
      <c r="E88" s="62" t="inlineStr">
        <is>
          <t>Hospitals / clinics</t>
        </is>
      </c>
      <c r="F88" s="62" t="inlineStr">
        <is>
          <t>Health Care Services</t>
        </is>
      </c>
      <c r="G88" s="62" t="inlineStr">
        <is>
          <t>Standard</t>
        </is>
      </c>
      <c r="H88" s="63" t="n">
        <v>44543</v>
      </c>
      <c r="I88" s="64" t="n">
        <v>213.7</v>
      </c>
      <c r="J88" s="62" t="inlineStr">
        <is>
          <t>net proceeds</t>
        </is>
      </c>
      <c r="K88" s="65" t="n"/>
      <c r="L88" s="65" t="n">
        <v>15.8</v>
      </c>
      <c r="M88" s="65" t="n">
        <v>15.8</v>
      </c>
      <c r="N88" s="62" t="inlineStr">
        <is>
          <t>Y</t>
        </is>
      </c>
      <c r="O88" s="66" t="n">
        <v>100</v>
      </c>
      <c r="P88" s="66" t="n"/>
      <c r="Q88" s="67" t="n">
        <v>8215.299999999999</v>
      </c>
      <c r="R88" s="62" t="inlineStr">
        <is>
          <t>prospectus:stated market capitalisation</t>
        </is>
      </c>
      <c r="S88" s="68" t="n">
        <v>160.06</v>
      </c>
      <c r="T88" s="69" t="n">
        <v>8.390000000000001</v>
      </c>
      <c r="U88" s="70" t="n">
        <v>50</v>
      </c>
      <c r="V88" s="66" t="n">
        <v>1.3</v>
      </c>
      <c r="W88" s="62" t="inlineStr">
        <is>
          <t>Athos Capital Limited; Enreal and Forreal Funds; Hudson Bay Master Fund Ltd; IvyRock Asset Management (HK) Limited; Lake Bleu Prime Healthcare Master Fund Limited; LAV Star Funds; NCC China A-Share Master Fund; WT Asset Management Limited; Yi Fang Da Hadar Investment Limited; York Asian Opportunities Investments Master Fund, LP</t>
        </is>
      </c>
      <c r="X88" s="62" t="inlineStr">
        <is>
          <t>athos;enreal;hudson;ivyrock;lake;lav;ncc;wt;yi;york</t>
        </is>
      </c>
      <c r="Y88" s="66" t="n">
        <v>9.199999999999999</v>
      </c>
      <c r="Z88" s="62" t="inlineStr">
        <is>
          <t>partial</t>
        </is>
      </c>
      <c r="AA88" s="71" t="n">
        <v>5.06</v>
      </c>
      <c r="AB88" s="72" t="n">
        <v>-0.25</v>
      </c>
      <c r="AC88" s="72" t="n">
        <v>5.32</v>
      </c>
      <c r="AD88" s="72" t="n">
        <v>1.14</v>
      </c>
      <c r="AE88" s="72" t="n">
        <v>-17.34</v>
      </c>
      <c r="AF88" s="72" t="n">
        <v>-38.1</v>
      </c>
      <c r="AG88" s="72" t="n">
        <v>-3.73</v>
      </c>
      <c r="AH88" s="72" t="n">
        <v>-21.32</v>
      </c>
      <c r="AI88" s="72" t="n">
        <v>-41.08</v>
      </c>
      <c r="AJ88" s="72" t="n">
        <v>8.140000000000001</v>
      </c>
      <c r="AK88" s="72" t="n">
        <v>-9.119999999999999</v>
      </c>
      <c r="AL88" s="72" t="n">
        <v>-6.64</v>
      </c>
      <c r="AM88" s="72" t="n">
        <v>-14.88</v>
      </c>
      <c r="AN88" s="72" t="n">
        <v>-8.220000000000001</v>
      </c>
      <c r="AO88" s="72" t="n">
        <v>-6.44</v>
      </c>
      <c r="AP88" s="62" t="inlineStr">
        <is>
          <t>China Biotech ETF (HS biotech proxy)</t>
        </is>
      </c>
      <c r="AQ88" s="72" t="n">
        <v>-84.23999999999999</v>
      </c>
      <c r="AR88" s="63" t="inlineStr">
        <is>
          <t>2026-08-21</t>
        </is>
      </c>
      <c r="AS88" s="64" t="n">
        <v>1801.8</v>
      </c>
      <c r="AT88" s="67" t="n">
        <v>179.3</v>
      </c>
      <c r="AU88" s="62" t="inlineStr">
        <is>
          <t>Y</t>
        </is>
      </c>
      <c r="AV88" s="73" t="n">
        <v>45.8</v>
      </c>
      <c r="AW88" s="73" t="n"/>
      <c r="AX88" s="73" t="n">
        <v>14.9</v>
      </c>
      <c r="AY88" s="73" t="n">
        <v>4.6</v>
      </c>
      <c r="AZ88" s="74" t="inlineStr">
        <is>
          <t>N</t>
        </is>
      </c>
      <c r="BA88" s="75">
        <f>IF('BBG Verify'!K88="","not filed — run on terminal",'BBG Verify'!K88)</f>
        <v/>
      </c>
      <c r="BB88" s="62" t="inlineStr">
        <is>
          <t>N/A</t>
        </is>
      </c>
      <c r="BC88" s="62" t="inlineStr">
        <is>
          <t>N/A</t>
        </is>
      </c>
      <c r="BD88" s="62" t="inlineStr">
        <is>
          <t>N/A</t>
        </is>
      </c>
      <c r="BE88" s="62" t="inlineStr">
        <is>
          <t>N/A</t>
        </is>
      </c>
      <c r="BF88" s="62" t="inlineStr">
        <is>
          <t>N/A</t>
        </is>
      </c>
      <c r="BG88" s="74" t="inlineStr">
        <is>
          <t>Morgan Stanley Asia Limited; China International Capital Corporation Hong Kong Securities Limited</t>
        </is>
      </c>
      <c r="BH88" s="62" t="inlineStr">
        <is>
          <t>China International Capital Corporation Hong Kong Securities Limited; Morgan Stanley Asia Limited</t>
        </is>
      </c>
      <c r="BI88" s="62" t="inlineStr">
        <is>
          <t>Morgan Stanley Asia Limited; China International Capital Corporation Hong Kong Securities Limited; Morgan Stanley &amp; Co. International plc</t>
        </is>
      </c>
      <c r="BJ88" s="62" t="inlineStr">
        <is>
          <t>China International Capital Corporation Hong Kong Securities Limited; Morgan Stanley Asia Limited</t>
        </is>
      </c>
      <c r="BK88" s="76">
        <f>HYPERLINK("https://www1.hkexnews.hk/listedco/listconews/sehk/2021/1201/2021120100031.pdf","prospectus")</f>
        <v/>
      </c>
      <c r="BL88" s="76">
        <f>HYPERLINK("https://www1.hkexnews.hk/listedco/listconews/sehk/2021/1210/2021121000062.htm","allotment")</f>
        <v/>
      </c>
      <c r="BM88" s="76">
        <f>HYPERLINK("https://www1.hkexnews.hk/listedco/listconews/sehk/2022/0105/2022010502109.pdf","stabilisation")</f>
        <v/>
      </c>
      <c r="BN88" s="74" t="n"/>
      <c r="BO88" s="62" t="inlineStr">
        <is>
          <t>range low: cap-only pricing — the filing publishes a Maximum Offer Price and no indicative floor · A/H: no A-share listing · cornerstone: AAStocks institutional table includes non-cornerstone orders (superset) — cornerstone % is from the prospectus</t>
        </is>
      </c>
    </row>
    <row r="89" ht="15" customHeight="1">
      <c r="A89" s="61" t="inlineStr">
        <is>
          <t>9699</t>
        </is>
      </c>
      <c r="B89" s="62" t="inlineStr">
        <is>
          <t>SF INTRA-CITY</t>
        </is>
      </c>
      <c r="C89" s="62" t="inlineStr">
        <is>
          <t>順豐同城</t>
        </is>
      </c>
      <c r="D89" s="62" t="inlineStr">
        <is>
          <t>Industrials</t>
        </is>
      </c>
      <c r="E89" s="62" t="inlineStr">
        <is>
          <t>Logistics</t>
        </is>
      </c>
      <c r="F89" s="62" t="inlineStr">
        <is>
          <t>Air Freight &amp; Logistics</t>
        </is>
      </c>
      <c r="G89" s="62" t="inlineStr">
        <is>
          <t>Standard</t>
        </is>
      </c>
      <c r="H89" s="63" t="n">
        <v>44544</v>
      </c>
      <c r="I89" s="64" t="n">
        <v>2154</v>
      </c>
      <c r="J89" s="62" t="inlineStr">
        <is>
          <t>gross (price x shares)</t>
        </is>
      </c>
      <c r="K89" s="65" t="n">
        <v>16.42</v>
      </c>
      <c r="L89" s="65" t="n">
        <v>17.96</v>
      </c>
      <c r="M89" s="65" t="n">
        <v>16.42</v>
      </c>
      <c r="N89" s="62" t="inlineStr">
        <is>
          <t>N</t>
        </is>
      </c>
      <c r="O89" s="66" t="n">
        <v>91.40000000000001</v>
      </c>
      <c r="P89" s="66" t="n">
        <v>0</v>
      </c>
      <c r="Q89" s="67" t="n">
        <v>15327.4</v>
      </c>
      <c r="R89" s="62" t="inlineStr">
        <is>
          <t>prospectus:stated market capitalisation</t>
        </is>
      </c>
      <c r="S89" s="68" t="n">
        <v>2.93</v>
      </c>
      <c r="T89" s="69" t="n">
        <v>2.41</v>
      </c>
      <c r="U89" s="70" t="n">
        <v>43.9</v>
      </c>
      <c r="V89" s="66" t="n">
        <v>7.88</v>
      </c>
      <c r="W89" s="62" t="inlineStr">
        <is>
          <t>Hello Inc; Taobao China Holding Limited</t>
        </is>
      </c>
      <c r="X89" s="62" t="inlineStr">
        <is>
          <t>hello;taobao</t>
        </is>
      </c>
      <c r="Y89" s="66" t="n">
        <v>5.6</v>
      </c>
      <c r="Z89" s="62" t="inlineStr">
        <is>
          <t>lapsed</t>
        </is>
      </c>
      <c r="AA89" s="71" t="n">
        <v>-9.26</v>
      </c>
      <c r="AB89" s="72" t="n">
        <v>-7.43</v>
      </c>
      <c r="AC89" s="72" t="n">
        <v>-1.98</v>
      </c>
      <c r="AD89" s="72" t="n">
        <v>-6.94</v>
      </c>
      <c r="AE89" s="72" t="n">
        <v>-19.85</v>
      </c>
      <c r="AF89" s="72" t="n">
        <v>-52.01</v>
      </c>
      <c r="AG89" s="72" t="n">
        <v>2.56</v>
      </c>
      <c r="AH89" s="72" t="n">
        <v>-11.67</v>
      </c>
      <c r="AI89" s="72" t="n">
        <v>-47.11</v>
      </c>
      <c r="AJ89" s="72" t="n">
        <v>-0.86</v>
      </c>
      <c r="AK89" s="72" t="n">
        <v>-18.45</v>
      </c>
      <c r="AL89" s="72" t="n">
        <v>-32.97</v>
      </c>
      <c r="AM89" s="72" t="n">
        <v>-11.55</v>
      </c>
      <c r="AN89" s="72" t="n">
        <v>-1.4</v>
      </c>
      <c r="AO89" s="72" t="n">
        <v>-0.12</v>
      </c>
      <c r="AP89" s="62" t="inlineStr">
        <is>
          <t>Hang Seng Commerce &amp; Industry sub-index</t>
        </is>
      </c>
      <c r="AQ89" s="72" t="n">
        <v>-51.43</v>
      </c>
      <c r="AR89" s="63" t="inlineStr">
        <is>
          <t>2026-08-20</t>
        </is>
      </c>
      <c r="AS89" s="64" t="n">
        <v>5327.7</v>
      </c>
      <c r="AT89" s="67" t="n">
        <v>-833.4</v>
      </c>
      <c r="AU89" s="62" t="inlineStr">
        <is>
          <t>N</t>
        </is>
      </c>
      <c r="AV89" s="62" t="inlineStr">
        <is>
          <t>n/m</t>
        </is>
      </c>
      <c r="AW89" s="73" t="n"/>
      <c r="AX89" s="73" t="n">
        <v>22.6</v>
      </c>
      <c r="AY89" s="73" t="n">
        <v>2.9</v>
      </c>
      <c r="AZ89" s="74" t="inlineStr">
        <is>
          <t>N</t>
        </is>
      </c>
      <c r="BA89" s="75">
        <f>IF('BBG Verify'!K89="","not filed — run on terminal",'BBG Verify'!K89)</f>
        <v/>
      </c>
      <c r="BB89" s="62" t="inlineStr">
        <is>
          <t>N/A</t>
        </is>
      </c>
      <c r="BC89" s="62" t="inlineStr">
        <is>
          <t>N/A</t>
        </is>
      </c>
      <c r="BD89" s="62" t="inlineStr">
        <is>
          <t>N/A</t>
        </is>
      </c>
      <c r="BE89" s="62" t="inlineStr">
        <is>
          <t>N/A</t>
        </is>
      </c>
      <c r="BF89" s="62" t="inlineStr">
        <is>
          <t>N/A</t>
        </is>
      </c>
      <c r="BG89" s="74" t="inlineStr">
        <is>
          <t>China International Capital Corporation Hong Kong Securities Limited; Merrill Lynch (Asia Pacific) Limited</t>
        </is>
      </c>
      <c r="BH89" s="62" t="inlineStr">
        <is>
          <t>China International Capital Corporation Hong Kong Securities Limited; Merrill Lynch (Asia Pacific) Limited</t>
        </is>
      </c>
      <c r="BI89" s="62" t="inlineStr">
        <is>
          <t>China International Capital Corporation Hong Kong Securities Limited; Merrill Lynch (Asia Pacific) Limited; Credit Suisse (Hong Kong) Limited; Huatai Financial Holdings (Hong Kong) Limited; CLSA Limited; CMB International Capital Limited; Central, Hong Kong ABCI Capital Limited; Futu Securities International (Hong Kong) Limited</t>
        </is>
      </c>
      <c r="BJ89" s="62" t="inlineStr">
        <is>
          <t>ABCI Securities Company Limited; China International Capital Corporation Hong Kong Securities Limited; CLSA Limited; CMB International Capital Limited; Credit Suisse (Hong Kong) Limited; Futu Securities International (Hong Kong) Limited; Huatai Financial Holdings (Hong Kong) Limited; Merrill Lynch (Asia Pacific) Limited</t>
        </is>
      </c>
      <c r="BK89" s="76">
        <f>HYPERLINK("https://www1.hkexnews.hk/listedco/listconews/sehk/2021/1130/2021113000021.pdf","prospectus")</f>
        <v/>
      </c>
      <c r="BL89" s="76">
        <f>HYPERLINK("https://www1.hkexnews.hk/listedco/listconews/sehk/2021/1213/2021121300010.htm","allotment")</f>
        <v/>
      </c>
      <c r="BM89" s="76">
        <f>HYPERLINK("https://www1.hkexnews.hk/listedco/listconews/sehk/2022/0106/2022010601365.pdf","stabilisation")</f>
        <v/>
      </c>
      <c r="BN89" s="74" t="n"/>
      <c r="BO89" s="62" t="inlineStr">
        <is>
          <t>P/E: n/m — loss-making at IPO (use P/S) · A/H: no A-share listing</t>
        </is>
      </c>
    </row>
    <row r="90" ht="15" customHeight="1">
      <c r="A90" s="61" t="inlineStr">
        <is>
          <t>2276</t>
        </is>
      </c>
      <c r="B90" s="62" t="inlineStr">
        <is>
          <t>CONANT OPTICAL</t>
        </is>
      </c>
      <c r="C90" s="62" t="inlineStr">
        <is>
          <t>康耐特光學</t>
        </is>
      </c>
      <c r="D90" s="62" t="inlineStr">
        <is>
          <t>Healthcare</t>
        </is>
      </c>
      <c r="E90" s="62" t="inlineStr">
        <is>
          <t>Medical devices</t>
        </is>
      </c>
      <c r="F90" s="62" t="inlineStr">
        <is>
          <t>Optical Products</t>
        </is>
      </c>
      <c r="G90" s="62" t="inlineStr">
        <is>
          <t>Standard</t>
        </is>
      </c>
      <c r="H90" s="63" t="n">
        <v>44546</v>
      </c>
      <c r="I90" s="64" t="n">
        <v>542.3</v>
      </c>
      <c r="J90" s="62" t="inlineStr">
        <is>
          <t>gross (price x shares)</t>
        </is>
      </c>
      <c r="K90" s="65" t="n"/>
      <c r="L90" s="65" t="n">
        <v>6.1</v>
      </c>
      <c r="M90" s="65" t="n">
        <v>4.46</v>
      </c>
      <c r="N90" s="62" t="inlineStr">
        <is>
          <t>N</t>
        </is>
      </c>
      <c r="O90" s="66" t="n">
        <v>73.09999999999999</v>
      </c>
      <c r="P90" s="66" t="n"/>
      <c r="Q90" s="67" t="n">
        <v>1902.6</v>
      </c>
      <c r="R90" s="62" t="inlineStr">
        <is>
          <t>prospectus:stated market capitalisation</t>
        </is>
      </c>
      <c r="S90" s="68" t="n">
        <v>1.78</v>
      </c>
      <c r="T90" s="69" t="n">
        <v>1.12</v>
      </c>
      <c r="U90" s="70" t="n"/>
      <c r="V90" s="66" t="n">
        <v>28.5</v>
      </c>
      <c r="W90" s="62" t="n"/>
      <c r="X90" s="62" t="n"/>
      <c r="Y90" s="66" t="n">
        <v>15</v>
      </c>
      <c r="Z90" s="62" t="inlineStr">
        <is>
          <t>lapsed (no over-allocation)</t>
        </is>
      </c>
      <c r="AA90" s="71" t="n">
        <v>2.02</v>
      </c>
      <c r="AB90" s="72" t="n">
        <v>-0.67</v>
      </c>
      <c r="AC90" s="72" t="n">
        <v>2.71</v>
      </c>
      <c r="AD90" s="72" t="n">
        <v>0.45</v>
      </c>
      <c r="AE90" s="72" t="n">
        <v>-2.69</v>
      </c>
      <c r="AF90" s="72" t="n">
        <v>4.48</v>
      </c>
      <c r="AG90" s="72" t="n">
        <v>-1.54</v>
      </c>
      <c r="AH90" s="72" t="n">
        <v>-4.62</v>
      </c>
      <c r="AI90" s="72" t="n">
        <v>2.41</v>
      </c>
      <c r="AJ90" s="72" t="n">
        <v>1.2</v>
      </c>
      <c r="AK90" s="72" t="n">
        <v>0.59</v>
      </c>
      <c r="AL90" s="72" t="n">
        <v>24.37</v>
      </c>
      <c r="AM90" s="72" t="n">
        <v>1.52</v>
      </c>
      <c r="AN90" s="72" t="n">
        <v>-3.28</v>
      </c>
      <c r="AO90" s="72" t="n">
        <v>-6.14</v>
      </c>
      <c r="AP90" s="62" t="inlineStr">
        <is>
          <t>China Biotech ETF (HS biotech proxy)</t>
        </is>
      </c>
      <c r="AQ90" s="72" t="n">
        <v>785.2</v>
      </c>
      <c r="AR90" s="63" t="inlineStr">
        <is>
          <t>2026-08-20</t>
        </is>
      </c>
      <c r="AS90" s="64" t="n">
        <v>13.5</v>
      </c>
      <c r="AT90" s="67" t="n">
        <v>-1.6</v>
      </c>
      <c r="AU90" s="62" t="inlineStr">
        <is>
          <t>N</t>
        </is>
      </c>
      <c r="AV90" s="62" t="inlineStr">
        <is>
          <t>n/m</t>
        </is>
      </c>
      <c r="AW90" s="73" t="n"/>
      <c r="AX90" s="73" t="n">
        <v>28.3</v>
      </c>
      <c r="AY90" s="73" t="n">
        <v>140.9</v>
      </c>
      <c r="AZ90" s="74" t="inlineStr">
        <is>
          <t>N</t>
        </is>
      </c>
      <c r="BA90" s="75">
        <f>IF('BBG Verify'!K90="","not filed — run on terminal",'BBG Verify'!K90)</f>
        <v/>
      </c>
      <c r="BB90" s="62" t="inlineStr">
        <is>
          <t>N/A</t>
        </is>
      </c>
      <c r="BC90" s="62" t="inlineStr">
        <is>
          <t>N/A</t>
        </is>
      </c>
      <c r="BD90" s="62" t="inlineStr">
        <is>
          <t>N/A</t>
        </is>
      </c>
      <c r="BE90" s="62" t="inlineStr">
        <is>
          <t>N/A</t>
        </is>
      </c>
      <c r="BF90" s="62" t="inlineStr">
        <is>
          <t>N/A</t>
        </is>
      </c>
      <c r="BG90" s="74" t="inlineStr">
        <is>
          <t>Guotai Junan Capital Limited</t>
        </is>
      </c>
      <c r="BH90" s="62" t="inlineStr">
        <is>
          <t>Guotai Junan Capital Limited</t>
        </is>
      </c>
      <c r="BI90" s="62" t="inlineStr">
        <is>
          <t>Guotai Junan Securities (Hong Kong) Limited</t>
        </is>
      </c>
      <c r="BJ90" s="62" t="inlineStr">
        <is>
          <t>Ever-Long Securities Company Limited; Guotai Junan Securities (Hong Kong) Limited; HTF Securities Limited; Merdeka Securities Limited</t>
        </is>
      </c>
      <c r="BK90" s="76">
        <f>HYPERLINK("https://www1.hkexnews.hk/listedco/listconews/sehk/2021/1130/2021113000017.pdf","prospectus")</f>
        <v/>
      </c>
      <c r="BL90" s="76">
        <f>HYPERLINK("https://www1.hkexnews.hk/listedco/listconews/sehk/2021/1215/2021121500014.htm","allotment")</f>
        <v/>
      </c>
      <c r="BM90" s="76">
        <f>HYPERLINK("https://www1.hkexnews.hk/listedco/listconews/sehk/2022/0109/2022010900013.pdf","stabilisation")</f>
        <v/>
      </c>
      <c r="BN90" s="74" t="n"/>
      <c r="BO90" s="62" t="inlineStr">
        <is>
          <t>P/E: n/m — loss-making at IPO (use P/S) · range low: cap-only pricing — the filing publishes a Maximum Offer Price and no indicative floor · A/H: no A-share listing · cornerstone list: cornerstone section not machine-extractable — see the prospectus link · cornerstone %: cornerstone aggregate not stated in the filing</t>
        </is>
      </c>
    </row>
    <row r="91" ht="15" customHeight="1">
      <c r="A91" s="61" t="inlineStr">
        <is>
          <t>6633</t>
        </is>
      </c>
      <c r="B91" s="62" t="inlineStr">
        <is>
          <t>QINGCI GAMES</t>
        </is>
      </c>
      <c r="C91" s="62" t="inlineStr">
        <is>
          <t>青瓷遊戲</t>
        </is>
      </c>
      <c r="D91" s="62" t="inlineStr">
        <is>
          <t>TMT-other</t>
        </is>
      </c>
      <c r="E91" s="62" t="inlineStr">
        <is>
          <t>Media / advertising</t>
        </is>
      </c>
      <c r="F91" s="62" t="inlineStr">
        <is>
          <t>Gaming Software</t>
        </is>
      </c>
      <c r="G91" s="62" t="inlineStr">
        <is>
          <t>Standard</t>
        </is>
      </c>
      <c r="H91" s="63" t="n">
        <v>44546</v>
      </c>
      <c r="I91" s="64" t="n">
        <v>952</v>
      </c>
      <c r="J91" s="62" t="inlineStr">
        <is>
          <t>gross (price x shares)</t>
        </is>
      </c>
      <c r="K91" s="65" t="n">
        <v>11.2</v>
      </c>
      <c r="L91" s="65" t="n">
        <v>14</v>
      </c>
      <c r="M91" s="65" t="n">
        <v>11.2</v>
      </c>
      <c r="N91" s="62" t="inlineStr">
        <is>
          <t>N</t>
        </is>
      </c>
      <c r="O91" s="66" t="n">
        <v>80</v>
      </c>
      <c r="P91" s="66" t="n">
        <v>0</v>
      </c>
      <c r="Q91" s="67" t="n">
        <v>7672</v>
      </c>
      <c r="R91" s="62" t="inlineStr">
        <is>
          <t>prospectus:stated market capitalisation</t>
        </is>
      </c>
      <c r="S91" s="68" t="n">
        <v>3.64</v>
      </c>
      <c r="T91" s="69" t="n">
        <v>1.77</v>
      </c>
      <c r="U91" s="70" t="n">
        <v>57.3</v>
      </c>
      <c r="V91" s="66" t="n">
        <v>5.3</v>
      </c>
      <c r="W91" s="62" t="inlineStr">
        <is>
          <t>ABCI China Dynamic Growth SP; Boyu Capital Opportunities Master Fund; GF Global Capital Limited; Harvest Alternative Investment Opportunities Fund SP3; I-China Holdings Limited; Qookka Entertainment Limited</t>
        </is>
      </c>
      <c r="X91" s="62" t="inlineStr">
        <is>
          <t>agricultural;boyu;gf;harvest;china-holdings;qookka</t>
        </is>
      </c>
      <c r="Y91" s="66" t="n">
        <v>7.11</v>
      </c>
      <c r="Z91" s="62" t="inlineStr">
        <is>
          <t>partial</t>
        </is>
      </c>
      <c r="AA91" s="71" t="n">
        <v>-4.64</v>
      </c>
      <c r="AB91" s="72" t="n">
        <v>-8.93</v>
      </c>
      <c r="AC91" s="72" t="n">
        <v>4.71</v>
      </c>
      <c r="AD91" s="72" t="n">
        <v>-4.46</v>
      </c>
      <c r="AE91" s="72" t="n">
        <v>-21.34</v>
      </c>
      <c r="AF91" s="72" t="n">
        <v>-61.88</v>
      </c>
      <c r="AG91" s="72" t="n">
        <v>0.19</v>
      </c>
      <c r="AH91" s="72" t="n">
        <v>-17.51</v>
      </c>
      <c r="AI91" s="72" t="n">
        <v>-60.03</v>
      </c>
      <c r="AJ91" s="72" t="n">
        <v>-1.84</v>
      </c>
      <c r="AK91" s="72" t="n">
        <v>-20.2</v>
      </c>
      <c r="AL91" s="72" t="n">
        <v>-37.93</v>
      </c>
      <c r="AM91" s="72" t="n">
        <v>-15.68</v>
      </c>
      <c r="AN91" s="72" t="n">
        <v>-1.14</v>
      </c>
      <c r="AO91" s="72" t="n">
        <v>-1.83</v>
      </c>
      <c r="AP91" s="62" t="inlineStr">
        <is>
          <t>HSTECH (Hang Seng TECH ETF)</t>
        </is>
      </c>
      <c r="AQ91" s="72" t="n">
        <v>-73.20999999999999</v>
      </c>
      <c r="AR91" s="63" t="inlineStr">
        <is>
          <t>2026-08-19</t>
        </is>
      </c>
      <c r="AS91" s="64" t="n">
        <v>1349.6</v>
      </c>
      <c r="AT91" s="67" t="n">
        <v>124.6</v>
      </c>
      <c r="AU91" s="62" t="inlineStr">
        <is>
          <t>Y</t>
        </is>
      </c>
      <c r="AV91" s="73" t="n">
        <v>61.6</v>
      </c>
      <c r="AW91" s="73" t="n"/>
      <c r="AX91" s="73" t="n">
        <v>14.8</v>
      </c>
      <c r="AY91" s="73" t="n">
        <v>5.7</v>
      </c>
      <c r="AZ91" s="74" t="inlineStr">
        <is>
          <t>N</t>
        </is>
      </c>
      <c r="BA91" s="75">
        <f>IF('BBG Verify'!K91="","not filed — run on terminal",'BBG Verify'!K91)</f>
        <v/>
      </c>
      <c r="BB91" s="62" t="inlineStr">
        <is>
          <t>N/A</t>
        </is>
      </c>
      <c r="BC91" s="62" t="inlineStr">
        <is>
          <t>N/A</t>
        </is>
      </c>
      <c r="BD91" s="62" t="inlineStr">
        <is>
          <t>N/A</t>
        </is>
      </c>
      <c r="BE91" s="62" t="inlineStr">
        <is>
          <t>N/A</t>
        </is>
      </c>
      <c r="BF91" s="62" t="inlineStr">
        <is>
          <t>N/A</t>
        </is>
      </c>
      <c r="BG91" s="74" t="inlineStr">
        <is>
          <t>China International Capital Corporation Hong Kong Securities Limited; CLSA Capital Markets Limited; CLSA Limited</t>
        </is>
      </c>
      <c r="BH91" s="62" t="inlineStr">
        <is>
          <t>China International Capital Corporation Hong Kong Securities Limited; CLSA Capital Markets Limited</t>
        </is>
      </c>
      <c r="BI91" s="62" t="inlineStr">
        <is>
          <t>China International Capital Corporation Hong Kong Securities Limited; CLSA Limited; China Merchants Securities (HK) Co., Limited; (Below in alphabetical order) ABCI Capital Limited; Guotai Junan Securities (Hong Kong) Limited; Valuable Capital Limited</t>
        </is>
      </c>
      <c r="BJ91" s="62" t="inlineStr">
        <is>
          <t>ABCI Securities Company Limited; China International Capital Corporation Hong Kong Securities Limited; CLSA Limited; China Merchants Securities (HK) Company Limited; Guotai Junan Securities (Hong Kong) Limited; TFI Securities and Futures Limited; Valuable Capital Limited</t>
        </is>
      </c>
      <c r="BK91" s="76">
        <f>HYPERLINK("https://www1.hkexnews.hk/listedco/listconews/sehk/2021/1206/2021120600013.pdf","prospectus")</f>
        <v/>
      </c>
      <c r="BL91" s="76">
        <f>HYPERLINK("https://www1.hkexnews.hk/listedco/listconews/sehk/2021/1215/2021121500032.htm","allotment")</f>
        <v/>
      </c>
      <c r="BM91" s="76">
        <f>HYPERLINK("https://www1.hkexnews.hk/listedco/listconews/sehk/2022/0110/2022011000737.pdf","stabilisation")</f>
        <v/>
      </c>
      <c r="BN91" s="74" t="n"/>
      <c r="BO91" s="62" t="inlineStr">
        <is>
          <t>A/H: no A-share listing</t>
        </is>
      </c>
    </row>
    <row r="92" ht="15" customHeight="1">
      <c r="A92" s="61" t="inlineStr">
        <is>
          <t>2270</t>
        </is>
      </c>
      <c r="B92" s="62" t="inlineStr">
        <is>
          <t>DESUN SERVICES</t>
        </is>
      </c>
      <c r="C92" s="62" t="inlineStr">
        <is>
          <t>德商產投服務</t>
        </is>
      </c>
      <c r="D92" s="62" t="inlineStr">
        <is>
          <t>Real Estate</t>
        </is>
      </c>
      <c r="E92" s="62" t="inlineStr">
        <is>
          <t>Property management</t>
        </is>
      </c>
      <c r="F92" s="62" t="inlineStr">
        <is>
          <t>Property Service and Management</t>
        </is>
      </c>
      <c r="G92" s="62" t="inlineStr">
        <is>
          <t>Standard</t>
        </is>
      </c>
      <c r="H92" s="63" t="n">
        <v>44547</v>
      </c>
      <c r="I92" s="64" t="n">
        <v>166.5</v>
      </c>
      <c r="J92" s="62" t="inlineStr">
        <is>
          <t>gross (price x shares)</t>
        </is>
      </c>
      <c r="K92" s="65" t="n">
        <v>1.1</v>
      </c>
      <c r="L92" s="65" t="n">
        <v>1.46</v>
      </c>
      <c r="M92" s="65" t="n">
        <v>1.11</v>
      </c>
      <c r="N92" s="62" t="inlineStr">
        <is>
          <t>N</t>
        </is>
      </c>
      <c r="O92" s="66" t="n">
        <v>76</v>
      </c>
      <c r="P92" s="66" t="n">
        <v>2.8</v>
      </c>
      <c r="Q92" s="67" t="n">
        <v>660</v>
      </c>
      <c r="R92" s="62" t="inlineStr">
        <is>
          <t>prospectus:stated market capitalisation</t>
        </is>
      </c>
      <c r="S92" s="68" t="n">
        <v>1.37</v>
      </c>
      <c r="T92" s="69" t="n">
        <v>1.17</v>
      </c>
      <c r="U92" s="70" t="n">
        <v>0</v>
      </c>
      <c r="V92" s="66" t="n">
        <v>25.23</v>
      </c>
      <c r="W92" s="62" t="n"/>
      <c r="X92" s="62" t="n"/>
      <c r="Y92" s="66" t="n">
        <v>15</v>
      </c>
      <c r="Z92" s="62" t="inlineStr">
        <is>
          <t>partial</t>
        </is>
      </c>
      <c r="AA92" s="71" t="n">
        <v>-5.41</v>
      </c>
      <c r="AB92" s="72" t="n">
        <v>4.5</v>
      </c>
      <c r="AC92" s="72" t="n">
        <v>-9.48</v>
      </c>
      <c r="AD92" s="72" t="n">
        <v>0</v>
      </c>
      <c r="AE92" s="72" t="n">
        <v>-1.8</v>
      </c>
      <c r="AF92" s="72" t="n">
        <v>-0.9</v>
      </c>
      <c r="AG92" s="72" t="n">
        <v>5.72</v>
      </c>
      <c r="AH92" s="72" t="n">
        <v>3.82</v>
      </c>
      <c r="AI92" s="72" t="n">
        <v>4.77</v>
      </c>
      <c r="AJ92" s="72" t="n">
        <v>0.83</v>
      </c>
      <c r="AK92" s="72" t="n">
        <v>-3.13</v>
      </c>
      <c r="AL92" s="72" t="n">
        <v>-2.05</v>
      </c>
      <c r="AM92" s="72" t="n">
        <v>2.14</v>
      </c>
      <c r="AN92" s="72" t="n">
        <v>1.33</v>
      </c>
      <c r="AO92" s="72" t="n">
        <v>1.68</v>
      </c>
      <c r="AP92" s="62" t="inlineStr">
        <is>
          <t>Hang Seng Properties sub-index</t>
        </is>
      </c>
      <c r="AQ92" s="72" t="n">
        <v>556.76</v>
      </c>
      <c r="AR92" s="63" t="inlineStr">
        <is>
          <t>2026-08-19</t>
        </is>
      </c>
      <c r="AS92" s="64" t="n">
        <v>61.3</v>
      </c>
      <c r="AT92" s="67" t="n">
        <v>47.2</v>
      </c>
      <c r="AU92" s="62" t="inlineStr">
        <is>
          <t>Y</t>
        </is>
      </c>
      <c r="AV92" s="73" t="n">
        <v>14</v>
      </c>
      <c r="AW92" s="73" t="n"/>
      <c r="AX92" s="73" t="n">
        <v>104.3</v>
      </c>
      <c r="AY92" s="73" t="n">
        <v>10.8</v>
      </c>
      <c r="AZ92" s="74" t="inlineStr">
        <is>
          <t>N</t>
        </is>
      </c>
      <c r="BA92" s="75">
        <f>IF('BBG Verify'!K92="","not filed — run on terminal",'BBG Verify'!K92)</f>
        <v/>
      </c>
      <c r="BB92" s="62" t="inlineStr">
        <is>
          <t>N/A</t>
        </is>
      </c>
      <c r="BC92" s="62" t="inlineStr">
        <is>
          <t>N/A</t>
        </is>
      </c>
      <c r="BD92" s="62" t="inlineStr">
        <is>
          <t>N/A</t>
        </is>
      </c>
      <c r="BE92" s="62" t="inlineStr">
        <is>
          <t>N/A</t>
        </is>
      </c>
      <c r="BF92" s="62" t="inlineStr">
        <is>
          <t>N/A</t>
        </is>
      </c>
      <c r="BG92" s="74" t="inlineStr">
        <is>
          <t>Shenwan Hongyuan Capital (H.K.) Limited</t>
        </is>
      </c>
      <c r="BH92" s="62" t="inlineStr">
        <is>
          <t>Shenwan Hongyuan Capital (H.K.) Limited</t>
        </is>
      </c>
      <c r="BI92" s="62" t="inlineStr">
        <is>
          <t>Shenwan Hongyuan Securities (H.K.) Limited; Wan Chai, Hong Kong China Everbright Securities (HK) Limited; Guosen Securities (HK) Capital Company Limited; Livermore Holdings Limited; CMBC Securities Company Limited; SPDB International Capital Limited; ZMF Asset Management Limited</t>
        </is>
      </c>
      <c r="BJ92" s="62" t="inlineStr">
        <is>
          <t>China Everbright Securities (HK) Limited; CMBC Securities Company Limited; Guosen Securities (HK) Capital Company Limited; Livermore Holdings Limited; Shenwan Hongyuan Securities (H.K.) Limited; SPDB International Capital Limited; ZMF Asset Management Limited</t>
        </is>
      </c>
      <c r="BK92" s="76">
        <f>HYPERLINK("https://www1.hkexnews.hk/listedco/listconews/sehk/2021/1130/2021113000045.pdf","prospectus")</f>
        <v/>
      </c>
      <c r="BL92" s="76">
        <f>HYPERLINK("https://www1.hkexnews.hk/listedco/listconews/sehk/2021/1216/2021121600022.htm","allotment")</f>
        <v/>
      </c>
      <c r="BM92" s="76">
        <f>HYPERLINK("https://www1.hkexnews.hk/listedco/listconews/sehk/2022/0106/2022010601685.pdf","stabilisation")</f>
        <v/>
      </c>
      <c r="BN92" s="74" t="n"/>
      <c r="BO92" s="62" t="inlineStr">
        <is>
          <t>A/H: no A-share listing · cornerstone list: no cornerstone tranche in this deal</t>
        </is>
      </c>
    </row>
    <row r="93" ht="15" customHeight="1">
      <c r="A93" s="61" t="inlineStr">
        <is>
          <t>2185</t>
        </is>
      </c>
      <c r="B93" s="62" t="inlineStr">
        <is>
          <t>BIOHEART-B</t>
        </is>
      </c>
      <c r="C93" s="62" t="inlineStr">
        <is>
          <t>百心安－Ｂ</t>
        </is>
      </c>
      <c r="D93" s="62" t="inlineStr">
        <is>
          <t>Healthcare</t>
        </is>
      </c>
      <c r="E93" s="62" t="inlineStr">
        <is>
          <t>Medical devices</t>
        </is>
      </c>
      <c r="F93" s="62" t="inlineStr">
        <is>
          <t>Health Care Equipment</t>
        </is>
      </c>
      <c r="G93" s="62" t="inlineStr">
        <is>
          <t>18A</t>
        </is>
      </c>
      <c r="H93" s="63" t="n">
        <v>44553</v>
      </c>
      <c r="I93" s="64" t="n">
        <v>508.7</v>
      </c>
      <c r="J93" s="62" t="inlineStr">
        <is>
          <t>gross (price x shares)</t>
        </is>
      </c>
      <c r="K93" s="65" t="n"/>
      <c r="L93" s="65" t="n">
        <v>24.79</v>
      </c>
      <c r="M93" s="65" t="n">
        <v>21.25</v>
      </c>
      <c r="N93" s="62" t="inlineStr">
        <is>
          <t>N</t>
        </is>
      </c>
      <c r="O93" s="66" t="n">
        <v>85.7</v>
      </c>
      <c r="P93" s="66" t="n"/>
      <c r="Q93" s="67" t="n">
        <v>4574.6</v>
      </c>
      <c r="R93" s="62" t="inlineStr">
        <is>
          <t>derived:deal size / offer % of enlarged capital</t>
        </is>
      </c>
      <c r="S93" s="68" t="n">
        <v>1.52</v>
      </c>
      <c r="T93" s="69" t="n">
        <v>1.16</v>
      </c>
      <c r="U93" s="70" t="n">
        <v>0</v>
      </c>
      <c r="V93" s="66" t="n">
        <v>11.12</v>
      </c>
      <c r="W93" s="62" t="n"/>
      <c r="X93" s="62" t="n"/>
      <c r="Y93" s="66" t="n">
        <v>15.44</v>
      </c>
      <c r="Z93" s="62" t="inlineStr">
        <is>
          <t>lapsed</t>
        </is>
      </c>
      <c r="AA93" s="71" t="n">
        <v>-5.41</v>
      </c>
      <c r="AB93" s="72" t="n">
        <v>-11.15</v>
      </c>
      <c r="AC93" s="72" t="n">
        <v>6.46</v>
      </c>
      <c r="AD93" s="72" t="n">
        <v>27.29</v>
      </c>
      <c r="AE93" s="72" t="n">
        <v>37.18</v>
      </c>
      <c r="AF93" s="72" t="n">
        <v>110.82</v>
      </c>
      <c r="AG93" s="72" t="n">
        <v>34.57</v>
      </c>
      <c r="AH93" s="72" t="n">
        <v>45.03</v>
      </c>
      <c r="AI93" s="72" t="n">
        <v>122.88</v>
      </c>
      <c r="AJ93" s="72" t="n">
        <v>27.61</v>
      </c>
      <c r="AK93" s="72" t="n">
        <v>45.84</v>
      </c>
      <c r="AL93" s="72" t="n">
        <v>131.04</v>
      </c>
      <c r="AM93" s="72" t="n">
        <v>52.54</v>
      </c>
      <c r="AN93" s="72" t="n">
        <v>-8.66</v>
      </c>
      <c r="AO93" s="72" t="n">
        <v>-7.51</v>
      </c>
      <c r="AP93" s="62" t="inlineStr">
        <is>
          <t>China Biotech ETF (HS biotech proxy)</t>
        </is>
      </c>
      <c r="AQ93" s="72" t="n">
        <v>-90</v>
      </c>
      <c r="AR93" s="63" t="inlineStr">
        <is>
          <t>2026-08-20</t>
        </is>
      </c>
      <c r="AS93" s="64" t="n">
        <v>67.90000000000001</v>
      </c>
      <c r="AT93" s="67" t="n">
        <v>-15</v>
      </c>
      <c r="AU93" s="62" t="inlineStr">
        <is>
          <t>N</t>
        </is>
      </c>
      <c r="AV93" s="62" t="inlineStr">
        <is>
          <t>n/m</t>
        </is>
      </c>
      <c r="AW93" s="73" t="n"/>
      <c r="AX93" s="73" t="n"/>
      <c r="AY93" s="73" t="n">
        <v>67.40000000000001</v>
      </c>
      <c r="AZ93" s="74" t="inlineStr">
        <is>
          <t>N</t>
        </is>
      </c>
      <c r="BA93" s="75">
        <f>IF('BBG Verify'!K93="","not filed — run on terminal",'BBG Verify'!K93)</f>
        <v/>
      </c>
      <c r="BB93" s="62" t="inlineStr">
        <is>
          <t>N/A</t>
        </is>
      </c>
      <c r="BC93" s="62" t="inlineStr">
        <is>
          <t>N/A</t>
        </is>
      </c>
      <c r="BD93" s="62" t="inlineStr">
        <is>
          <t>N/A</t>
        </is>
      </c>
      <c r="BE93" s="62" t="inlineStr">
        <is>
          <t>N/A</t>
        </is>
      </c>
      <c r="BF93" s="62" t="inlineStr">
        <is>
          <t>N/A</t>
        </is>
      </c>
      <c r="BG93" s="74" t="inlineStr">
        <is>
          <t>Huatai Financial Holdings (Hong Kong) Limited</t>
        </is>
      </c>
      <c r="BH93" s="62" t="inlineStr">
        <is>
          <t>Huatai Financial Holdings (Hong Kong) Limited</t>
        </is>
      </c>
      <c r="BI93" s="62" t="inlineStr">
        <is>
          <t>Huatai Financial Holdings (Hong Kong) Limited</t>
        </is>
      </c>
      <c r="BJ93" s="62" t="inlineStr">
        <is>
          <t>Huatai Financial Holdings (Hong Kong) Limited</t>
        </is>
      </c>
      <c r="BK93" s="76">
        <f>HYPERLINK("https://www1.hkexnews.hk/listedco/listconews/sehk/2021/1213/2021121300025.pdf","prospectus")</f>
        <v/>
      </c>
      <c r="BL93" s="76">
        <f>HYPERLINK("https://www1.hkexnews.hk/listedco/listconews/sehk/2021/1222/2021122200010.htm","allotment")</f>
        <v/>
      </c>
      <c r="BM93" s="76">
        <f>HYPERLINK("https://www1.hkexnews.hk/listedco/listconews/sehk/2022/0117/2022011700011.pdf","stabilisation")</f>
        <v/>
      </c>
      <c r="BN93" s="74" t="n"/>
      <c r="BO93" s="62" t="inlineStr">
        <is>
          <t>P/E: n/m — loss-making at IPO (use P/S) · range low: cap-only pricing — the filing publishes a Maximum Offer Price and no indicative floor · A/H: no A-share listing · cornerstone list: no cornerstone tranche in this deal · deal size: stated gross HK$26.5m rejected — below the deal's own net proceeds HK$441.7m, which cannot happen</t>
        </is>
      </c>
    </row>
    <row r="94" ht="15" customHeight="1">
      <c r="A94" s="61" t="inlineStr">
        <is>
          <t>2285</t>
        </is>
      </c>
      <c r="B94" s="62" t="inlineStr">
        <is>
          <t>CHERVON</t>
        </is>
      </c>
      <c r="C94" s="62" t="inlineStr">
        <is>
          <t>泉峰控股</t>
        </is>
      </c>
      <c r="D94" s="62" t="inlineStr">
        <is>
          <t>Industrials</t>
        </is>
      </c>
      <c r="E94" s="62" t="inlineStr">
        <is>
          <t>Capital goods / machinery</t>
        </is>
      </c>
      <c r="F94" s="62" t="inlineStr">
        <is>
          <t>Household Appliances</t>
        </is>
      </c>
      <c r="G94" s="62" t="inlineStr">
        <is>
          <t>Standard</t>
        </is>
      </c>
      <c r="H94" s="63" t="n">
        <v>44560</v>
      </c>
      <c r="I94" s="64" t="n">
        <v>3135.5</v>
      </c>
      <c r="J94" s="62" t="inlineStr">
        <is>
          <t>gross (price x shares)</t>
        </is>
      </c>
      <c r="K94" s="65" t="n">
        <v>37.6</v>
      </c>
      <c r="L94" s="65" t="n">
        <v>43.6</v>
      </c>
      <c r="M94" s="65" t="n">
        <v>43.6</v>
      </c>
      <c r="N94" s="62" t="inlineStr">
        <is>
          <t>Y</t>
        </is>
      </c>
      <c r="O94" s="66" t="n">
        <v>100</v>
      </c>
      <c r="P94" s="66" t="n">
        <v>100</v>
      </c>
      <c r="Q94" s="67" t="n">
        <v>18030</v>
      </c>
      <c r="R94" s="62" t="inlineStr">
        <is>
          <t>prospectus:stated market capitalisation</t>
        </is>
      </c>
      <c r="S94" s="68" t="n">
        <v>7.49</v>
      </c>
      <c r="T94" s="69" t="n">
        <v>7.27</v>
      </c>
      <c r="U94" s="70" t="n">
        <v>13.8</v>
      </c>
      <c r="V94" s="66" t="n">
        <v>14.99</v>
      </c>
      <c r="W94" s="62" t="inlineStr">
        <is>
          <t>3W Fund Management Limited; Dragon Billion China Master Fund; Greenwoods Asset Management Hong Kong Limited; IvyRock Asset Management (HK) Limited; Luo Jinhong; Value Partners Hong Kong Limited</t>
        </is>
      </c>
      <c r="X94" s="62" t="inlineStr">
        <is>
          <t>3w;dragon;greenwoods;ivyrock;luo-jinhong;value</t>
        </is>
      </c>
      <c r="Y94" s="66" t="n">
        <v>10</v>
      </c>
      <c r="Z94" s="62" t="inlineStr">
        <is>
          <t>full</t>
        </is>
      </c>
      <c r="AA94" s="71" t="n">
        <v>28.44</v>
      </c>
      <c r="AB94" s="72" t="n">
        <v>18.81</v>
      </c>
      <c r="AC94" s="72" t="n">
        <v>8.109999999999999</v>
      </c>
      <c r="AD94" s="72" t="n">
        <v>27.98</v>
      </c>
      <c r="AE94" s="72" t="n">
        <v>28.9</v>
      </c>
      <c r="AF94" s="72" t="n">
        <v>27.06</v>
      </c>
      <c r="AG94" s="72" t="n">
        <v>-0.36</v>
      </c>
      <c r="AH94" s="72" t="n">
        <v>0.36</v>
      </c>
      <c r="AI94" s="72" t="n">
        <v>-1.07</v>
      </c>
      <c r="AJ94" s="72" t="n">
        <v>28.96</v>
      </c>
      <c r="AK94" s="72" t="n">
        <v>30.61</v>
      </c>
      <c r="AL94" s="72" t="n">
        <v>38.55</v>
      </c>
      <c r="AM94" s="72" t="n">
        <v>2.31</v>
      </c>
      <c r="AN94" s="72" t="n">
        <v>-1.71</v>
      </c>
      <c r="AO94" s="72" t="n">
        <v>-1.95</v>
      </c>
      <c r="AP94" s="62" t="inlineStr">
        <is>
          <t>Hang Seng Commerce &amp; Industry sub-index</t>
        </is>
      </c>
      <c r="AQ94" s="72" t="n">
        <v>-54.13</v>
      </c>
      <c r="AR94" s="63" t="inlineStr">
        <is>
          <t>2026-08-20</t>
        </is>
      </c>
      <c r="AS94" s="64" t="n">
        <v>9367</v>
      </c>
      <c r="AT94" s="67" t="n">
        <v>377.4</v>
      </c>
      <c r="AU94" s="62" t="inlineStr">
        <is>
          <t>Y</t>
        </is>
      </c>
      <c r="AV94" s="73" t="n">
        <v>47.8</v>
      </c>
      <c r="AW94" s="73" t="n">
        <v>26</v>
      </c>
      <c r="AX94" s="73" t="n">
        <v>12.5</v>
      </c>
      <c r="AY94" s="73" t="n">
        <v>1.9</v>
      </c>
      <c r="AZ94" s="74" t="inlineStr">
        <is>
          <t>N</t>
        </is>
      </c>
      <c r="BA94" s="75">
        <f>IF('BBG Verify'!K94="","not filed — run on terminal",'BBG Verify'!K94)</f>
        <v/>
      </c>
      <c r="BB94" s="62" t="inlineStr">
        <is>
          <t>N/A</t>
        </is>
      </c>
      <c r="BC94" s="62" t="inlineStr">
        <is>
          <t>N/A</t>
        </is>
      </c>
      <c r="BD94" s="62" t="inlineStr">
        <is>
          <t>N/A</t>
        </is>
      </c>
      <c r="BE94" s="62" t="inlineStr">
        <is>
          <t>N/A</t>
        </is>
      </c>
      <c r="BF94" s="62" t="inlineStr">
        <is>
          <t>N/A</t>
        </is>
      </c>
      <c r="BG94" s="74" t="inlineStr">
        <is>
          <t>China International Capital Corporation Hong Kong Securities Limited; Citigroup Global Markets Asia Limited</t>
        </is>
      </c>
      <c r="BH94" s="62" t="inlineStr">
        <is>
          <t>China International Capital Corporation Hong Kong Securities Limited; Citigroup Global Markets Asia Limited</t>
        </is>
      </c>
      <c r="BI94" s="62" t="inlineStr">
        <is>
          <t>China International Capital Corporation Hong Kong Securities Limited; Citigroup Global Markets Asia Limited; The Hongkong and Shanghai Banking Corporation Limited; (in relation to the Hong Kong Public Offering only) Citigroup Global Markets Limited; BOCOM International Securities Limited; CMB International Capital Limited</t>
        </is>
      </c>
      <c r="BJ94" s="62" t="inlineStr">
        <is>
          <t>Beta International Securities Limited; Citigroup Global Markets Asia Limited; China International Capital Corporation Hong Kong Securities Limited; CMB International Capital Limited; The Hongkong and Shanghai Banking Corporation Limited</t>
        </is>
      </c>
      <c r="BK94" s="76">
        <f>HYPERLINK("https://www1.hkexnews.hk/listedco/listconews/sehk/2021/1217/2021121700005.pdf","prospectus")</f>
        <v/>
      </c>
      <c r="BL94" s="76">
        <f>HYPERLINK("https://www1.hkexnews.hk/listedco/listconews/sehk/2021/1229/2021122900020.htm","allotment")</f>
        <v/>
      </c>
      <c r="BM94" s="76">
        <f>HYPERLINK("https://www1.hkexnews.hk/listedco/listconews/sehk/2022/0121/2022012101124.pdf","stabilisation")</f>
        <v/>
      </c>
      <c r="BN94" s="74" t="n"/>
      <c r="BO94" s="62" t="inlineStr">
        <is>
          <t>A/H: no A-share listing · cornerstone: AAStocks institutional table includes non-cornerstone orders (superset) — cornerstone % is from the prospectus</t>
        </is>
      </c>
    </row>
    <row r="95" ht="15" customHeight="1">
      <c r="A95" s="61" t="inlineStr">
        <is>
          <t>2257</t>
        </is>
      </c>
      <c r="B95" s="62" t="inlineStr">
        <is>
          <t>SIRNAOMICS-B</t>
        </is>
      </c>
      <c r="C95" s="62" t="inlineStr">
        <is>
          <t>聖諾醫藥－Ｂ</t>
        </is>
      </c>
      <c r="D95" s="62" t="inlineStr">
        <is>
          <t>Healthcare</t>
        </is>
      </c>
      <c r="E95" s="62" t="inlineStr">
        <is>
          <t>Biotech pre-revenue (18A)</t>
        </is>
      </c>
      <c r="F95" s="62" t="inlineStr">
        <is>
          <t>Biotechnology</t>
        </is>
      </c>
      <c r="G95" s="62" t="inlineStr">
        <is>
          <t>18A</t>
        </is>
      </c>
      <c r="H95" s="63" t="n">
        <v>44560</v>
      </c>
      <c r="I95" s="64" t="n">
        <v>496.9</v>
      </c>
      <c r="J95" s="62" t="inlineStr">
        <is>
          <t>gross (price x shares)</t>
        </is>
      </c>
      <c r="K95" s="65" t="n">
        <v>65.90000000000001</v>
      </c>
      <c r="L95" s="65" t="n">
        <v>72.7</v>
      </c>
      <c r="M95" s="65" t="n">
        <v>65.90000000000001</v>
      </c>
      <c r="N95" s="62" t="inlineStr">
        <is>
          <t>N</t>
        </is>
      </c>
      <c r="O95" s="66" t="n">
        <v>90.59999999999999</v>
      </c>
      <c r="P95" s="66" t="n">
        <v>0</v>
      </c>
      <c r="Q95" s="67" t="n">
        <v>5804</v>
      </c>
      <c r="R95" s="62" t="inlineStr">
        <is>
          <t>prospectus:stated market capitalisation</t>
        </is>
      </c>
      <c r="S95" s="68" t="n">
        <v>5.68</v>
      </c>
      <c r="T95" s="69" t="n">
        <v>1.22</v>
      </c>
      <c r="U95" s="70" t="n">
        <v>41.1</v>
      </c>
      <c r="V95" s="66" t="n">
        <v>5.04</v>
      </c>
      <c r="W95" s="62" t="inlineStr">
        <is>
          <t>Kunming Jiashiqing Investment Partnership (Limited Partnership); Zhejiang Innoforce Pharmaceuticals Co., Ltd</t>
        </is>
      </c>
      <c r="X95" s="62" t="inlineStr">
        <is>
          <t>kunming;zhejiang</t>
        </is>
      </c>
      <c r="Y95" s="66" t="n">
        <v>14.5</v>
      </c>
      <c r="Z95" s="62" t="inlineStr">
        <is>
          <t>partial</t>
        </is>
      </c>
      <c r="AA95" s="71" t="n">
        <v>18.21</v>
      </c>
      <c r="AB95" s="72" t="n">
        <v>0</v>
      </c>
      <c r="AC95" s="72" t="n">
        <v>18.21</v>
      </c>
      <c r="AD95" s="72" t="n">
        <v>20.03</v>
      </c>
      <c r="AE95" s="72" t="n">
        <v>11.53</v>
      </c>
      <c r="AF95" s="72" t="n">
        <v>22.31</v>
      </c>
      <c r="AG95" s="72" t="n">
        <v>1.54</v>
      </c>
      <c r="AH95" s="72" t="n">
        <v>-5.65</v>
      </c>
      <c r="AI95" s="72" t="n">
        <v>3.47</v>
      </c>
      <c r="AJ95" s="72" t="n">
        <v>25.37</v>
      </c>
      <c r="AK95" s="72" t="n">
        <v>28.3</v>
      </c>
      <c r="AL95" s="72" t="n">
        <v>41.81</v>
      </c>
      <c r="AM95" s="72" t="n">
        <v>12.03</v>
      </c>
      <c r="AN95" s="72" t="n">
        <v>-16.77</v>
      </c>
      <c r="AO95" s="72" t="n">
        <v>-17.68</v>
      </c>
      <c r="AP95" s="62" t="inlineStr">
        <is>
          <t>China Biotech ETF (HS biotech proxy)</t>
        </is>
      </c>
      <c r="AQ95" s="72" t="n">
        <v>-94.08</v>
      </c>
      <c r="AR95" s="63" t="inlineStr">
        <is>
          <t>2026-08-20</t>
        </is>
      </c>
      <c r="AS95" s="64" t="n">
        <v>0</v>
      </c>
      <c r="AT95" s="67" t="n">
        <v>-361.9</v>
      </c>
      <c r="AU95" s="62" t="inlineStr">
        <is>
          <t>N</t>
        </is>
      </c>
      <c r="AV95" s="62" t="inlineStr">
        <is>
          <t>n/m</t>
        </is>
      </c>
      <c r="AW95" s="73" t="n"/>
      <c r="AX95" s="73" t="n"/>
      <c r="AY95" s="62" t="inlineStr">
        <is>
          <t>pre-rev</t>
        </is>
      </c>
      <c r="AZ95" s="74" t="inlineStr">
        <is>
          <t>N</t>
        </is>
      </c>
      <c r="BA95" s="75">
        <f>IF('BBG Verify'!K95="","not filed — run on terminal",'BBG Verify'!K95)</f>
        <v/>
      </c>
      <c r="BB95" s="62" t="inlineStr">
        <is>
          <t>N/A</t>
        </is>
      </c>
      <c r="BC95" s="62" t="inlineStr">
        <is>
          <t>N/A</t>
        </is>
      </c>
      <c r="BD95" s="62" t="inlineStr">
        <is>
          <t>N/A</t>
        </is>
      </c>
      <c r="BE95" s="62" t="inlineStr">
        <is>
          <t>N/A</t>
        </is>
      </c>
      <c r="BF95" s="62" t="inlineStr">
        <is>
          <t>N/A</t>
        </is>
      </c>
      <c r="BG95" s="74" t="inlineStr">
        <is>
          <t>China International Capital Corporation Hong Kong Securities Limited; Nomura International (Hong Kong) Limited</t>
        </is>
      </c>
      <c r="BH95" s="62" t="inlineStr">
        <is>
          <t>China International Capital Corporation Hong Kong Securities Limited</t>
        </is>
      </c>
      <c r="BI95" s="62" t="inlineStr">
        <is>
          <t>China International Capital Corporation Hong Kong Securities Limited; The Hongkong and Shanghai Banking Corporation Limited; Nomura International (Hong Kong) Limited; China Merchants Securities (HK) Co., Limited; China PA Securities (Hong Kong) Company Limited; Alpha Win Capital Limited; Valuable Capital Limited</t>
        </is>
      </c>
      <c r="BJ95" s="62" t="inlineStr">
        <is>
          <t>Alpha Win Capital Limited; China International Capital Corporation Hong Kong Securities Limited; China Merchants Securities (HK) Company Limited; China PA Securities (Hong Kong) Company Limited; The Hongkong and Shanghai Banking Corporation Limited; Nomura International (Hong Kong) Limited; Valuable Capital Limited</t>
        </is>
      </c>
      <c r="BK95" s="76">
        <f>HYPERLINK("https://www1.hkexnews.hk/listedco/listconews/sehk/2021/1220/2021122000014.htm","prospectus")</f>
        <v/>
      </c>
      <c r="BL95" s="76">
        <f>HYPERLINK("https://www1.hkexnews.hk/listedco/listconews/sehk/2021/1229/2021122900046.htm","allotment")</f>
        <v/>
      </c>
      <c r="BM95" s="76">
        <f>HYPERLINK("https://www1.hkexnews.hk/listedco/listconews/sehk/2022/0123/2022012300079.pdf","stabilisation")</f>
        <v/>
      </c>
      <c r="BN95" s="74" t="n"/>
      <c r="BO95" s="62" t="inlineStr">
        <is>
          <t>P/E: n/m — loss-making at IPO (use P/S) · A/H: no A-share listing · P/S: no revenue line in the filed P&amp;L (pre-revenue issuer) — no sales multiple can exist; the cell reads pre-rev, not blank</t>
        </is>
      </c>
    </row>
    <row r="96" ht="15" customHeight="1">
      <c r="A96" s="61" t="inlineStr">
        <is>
          <t>0020</t>
        </is>
      </c>
      <c r="B96" s="62" t="inlineStr">
        <is>
          <t>SENSETIME-W</t>
        </is>
      </c>
      <c r="C96" s="62" t="inlineStr">
        <is>
          <t>商湯－Ｗ</t>
        </is>
      </c>
      <c r="D96" s="62" t="inlineStr">
        <is>
          <t>Tech/AI</t>
        </is>
      </c>
      <c r="E96" s="62" t="inlineStr">
        <is>
          <t>AI application / agent software</t>
        </is>
      </c>
      <c r="F96" s="62" t="inlineStr">
        <is>
          <t>Application Software</t>
        </is>
      </c>
      <c r="G96" s="62" t="inlineStr">
        <is>
          <t>WVR</t>
        </is>
      </c>
      <c r="H96" s="63" t="n">
        <v>44560</v>
      </c>
      <c r="I96" s="64" t="n">
        <v>5775</v>
      </c>
      <c r="J96" s="62" t="inlineStr">
        <is>
          <t>gross (price x shares)</t>
        </is>
      </c>
      <c r="K96" s="65" t="n">
        <v>3.85</v>
      </c>
      <c r="L96" s="65" t="n">
        <v>3.99</v>
      </c>
      <c r="M96" s="65" t="n">
        <v>3.85</v>
      </c>
      <c r="N96" s="62" t="inlineStr">
        <is>
          <t>N</t>
        </is>
      </c>
      <c r="O96" s="66" t="n">
        <v>96.5</v>
      </c>
      <c r="P96" s="66" t="n">
        <v>0</v>
      </c>
      <c r="Q96" s="67" t="n">
        <v>131349</v>
      </c>
      <c r="R96" s="62" t="inlineStr">
        <is>
          <t>aastocks:上市市值 at the struck price</t>
        </is>
      </c>
      <c r="S96" s="68" t="n">
        <v>5.18</v>
      </c>
      <c r="T96" s="69" t="n">
        <v>1.5</v>
      </c>
      <c r="U96" s="70" t="n">
        <v>68.89</v>
      </c>
      <c r="V96" s="66" t="n">
        <v>1.37</v>
      </c>
      <c r="W96" s="62" t="inlineStr">
        <is>
          <t>C-MER Eye Care Holdings Limited; Guosheng Overseas Holdings (Hong Kong) Limited; Guotai Junan Investments (Hong Kong) Limited; HKSTP Venture Fund; SAIC Motor HK Investment Limited; Shanghai Xuhui Capital Investment Co., Ltd; Taizhou Culture &amp; Tourism Development Group Ltd; The China State-owned Enterprise Mixed Ownership Reform Fund Co., Ltd</t>
        </is>
      </c>
      <c r="X96" s="62" t="inlineStr">
        <is>
          <t>mer;guosheng;guotai;hkstp;saic;shanghai-xuhui;taizhou;state-owned</t>
        </is>
      </c>
      <c r="Y96" s="66" t="n"/>
      <c r="Z96" s="62" t="n"/>
      <c r="AA96" s="71" t="n">
        <v>7.27</v>
      </c>
      <c r="AB96" s="72" t="n">
        <v>1.56</v>
      </c>
      <c r="AC96" s="72" t="n">
        <v>5.62</v>
      </c>
      <c r="AD96" s="72" t="n">
        <v>106.49</v>
      </c>
      <c r="AE96" s="72" t="n">
        <v>64.16</v>
      </c>
      <c r="AF96" s="72" t="n">
        <v>58.96</v>
      </c>
      <c r="AG96" s="72" t="n">
        <v>92.5</v>
      </c>
      <c r="AH96" s="72" t="n">
        <v>53.03</v>
      </c>
      <c r="AI96" s="72" t="n">
        <v>48.19</v>
      </c>
      <c r="AJ96" s="72" t="n">
        <v>107.69</v>
      </c>
      <c r="AK96" s="72" t="n">
        <v>67.31</v>
      </c>
      <c r="AL96" s="72" t="n">
        <v>75.63</v>
      </c>
      <c r="AM96" s="72" t="n">
        <v>56.45</v>
      </c>
      <c r="AN96" s="72" t="n">
        <v>-3.15</v>
      </c>
      <c r="AO96" s="72" t="n">
        <v>-3.42</v>
      </c>
      <c r="AP96" s="62" t="inlineStr">
        <is>
          <t>HSTECH (Hang Seng TECH ETF)</t>
        </is>
      </c>
      <c r="AQ96" s="72" t="n">
        <v>-61.43</v>
      </c>
      <c r="AR96" s="63" t="inlineStr">
        <is>
          <t>2026-08-20</t>
        </is>
      </c>
      <c r="AS96" s="64" t="n">
        <v>5170.3</v>
      </c>
      <c r="AT96" s="67" t="n">
        <v>-18854.1</v>
      </c>
      <c r="AU96" s="62" t="inlineStr">
        <is>
          <t>N</t>
        </is>
      </c>
      <c r="AV96" s="62" t="inlineStr">
        <is>
          <t>n/m</t>
        </is>
      </c>
      <c r="AW96" s="73" t="n"/>
      <c r="AX96" s="73" t="n"/>
      <c r="AY96" s="73" t="n">
        <v>25.4</v>
      </c>
      <c r="AZ96" s="74" t="inlineStr">
        <is>
          <t>N</t>
        </is>
      </c>
      <c r="BA96" s="75">
        <f>IF('BBG Verify'!K96="","not filed — run on terminal",'BBG Verify'!K96)</f>
        <v/>
      </c>
      <c r="BB96" s="62" t="inlineStr">
        <is>
          <t>N/A</t>
        </is>
      </c>
      <c r="BC96" s="62" t="inlineStr">
        <is>
          <t>N/A</t>
        </is>
      </c>
      <c r="BD96" s="62" t="inlineStr">
        <is>
          <t>N/A</t>
        </is>
      </c>
      <c r="BE96" s="62" t="inlineStr">
        <is>
          <t>N/A</t>
        </is>
      </c>
      <c r="BF96" s="62" t="inlineStr">
        <is>
          <t>N/A</t>
        </is>
      </c>
      <c r="BG96" s="74" t="inlineStr">
        <is>
          <t>CICC; Haitong International; HSBC</t>
        </is>
      </c>
      <c r="BH96" s="62" t="inlineStr">
        <is>
          <t>China International Capital Corporation Hong Kong Securities Limited; Haitong International Capital Limited; The Hongkong and Shanghai Banking Corporation Limited; HSBC Corporate Finance (Hong Kong) Limited</t>
        </is>
      </c>
      <c r="BI96" s="62" t="inlineStr">
        <is>
          <t>CMB International Capital Limited; DBS Asia Capital Limited; China Merchants Securities (HK) Co., Limited; BOCI Asia Limited; S AMENDMENTS TO THE PROSPECTUS CCB International Capital Limited; UOB Kay Hian (Hong Kong) Limited; ICBC International Capital Limited; Lu International (Hong Kong) Limited; ABCI Capital Limited; Orient Securities (Hong Kong) Limited; Futu Securities International (Hong Kong) Limited; Zero2IPO Securities Limited</t>
        </is>
      </c>
      <c r="BJ96" s="62" t="inlineStr">
        <is>
          <t>ABCI Securities Company Limited; BOCI Asia Limited; CCB International Capital Limited; China International Capital Corporation Hong Kong Securities Limited; CMB International Capital Limited; China Merchants Securities (HK) Company Limited; DBS Asia Capital Limited; Futu Securities International (Hong Kong) Limited; Haitong International Securities Company Limited; The Hongkong and Shanghai Banking Corporation Limited; ICBC International Securities Limited; Lu International (Hong Kong) Limited</t>
        </is>
      </c>
      <c r="BK96" s="76">
        <f>HYPERLINK("https://www1.hkexnews.hk/listedco/listconews/sehk/2021/1220/2021122000084.htm","prospectus")</f>
        <v/>
      </c>
      <c r="BL96" s="76">
        <f>HYPERLINK("https://www1.hkexnews.hk/listedco/listconews/sehk/2021/1229/2021122900058.htm","allotment")</f>
        <v/>
      </c>
      <c r="BM96" s="62" t="n"/>
      <c r="BN96" s="74" t="n"/>
      <c r="BO96" s="62" t="inlineStr">
        <is>
          <t>P/E: n/m — loss-making at IPO (use P/S) · greenshoe: no over-allotment option in the offer structure · A/H: no A line; closest listed proxy {'code': '688327.SS', 'name': 'CloudWalk Technology', 'rationale': "Pure A-share computer-vision AI platform ('AI four dragons' peer) — the direct A analogue."} · greenshoe size: no over-allotment option in the offer structure</t>
        </is>
      </c>
    </row>
    <row r="97" ht="15" customHeight="1">
      <c r="A97" s="61" t="inlineStr">
        <is>
          <t>2260</t>
        </is>
      </c>
      <c r="B97" s="62" t="inlineStr">
        <is>
          <t>VANOV HOLDINGS</t>
        </is>
      </c>
      <c r="C97" s="62" t="inlineStr">
        <is>
          <t>環龍控股</t>
        </is>
      </c>
      <c r="D97" s="62" t="inlineStr">
        <is>
          <t>Industrials</t>
        </is>
      </c>
      <c r="E97" s="62" t="inlineStr">
        <is>
          <t>Capital goods / machinery</t>
        </is>
      </c>
      <c r="F97" s="62" t="inlineStr">
        <is>
          <t>Paper Products</t>
        </is>
      </c>
      <c r="G97" s="62" t="inlineStr">
        <is>
          <t>Standard</t>
        </is>
      </c>
      <c r="H97" s="63" t="n">
        <v>44572</v>
      </c>
      <c r="I97" s="64" t="n">
        <v>20.9</v>
      </c>
      <c r="J97" s="62" t="inlineStr">
        <is>
          <t>net proceeds</t>
        </is>
      </c>
      <c r="K97" s="65" t="n"/>
      <c r="L97" s="65" t="n">
        <v>1.22</v>
      </c>
      <c r="M97" s="65" t="n">
        <v>1.22</v>
      </c>
      <c r="N97" s="62" t="inlineStr">
        <is>
          <t>Y</t>
        </is>
      </c>
      <c r="O97" s="66" t="n">
        <v>100</v>
      </c>
      <c r="P97" s="66" t="n"/>
      <c r="Q97" s="67" t="n">
        <v>643</v>
      </c>
      <c r="R97" s="62" t="inlineStr">
        <is>
          <t>aastocks:上市市值 at the struck price</t>
        </is>
      </c>
      <c r="S97" s="68" t="n">
        <v>13.66</v>
      </c>
      <c r="T97" s="69" t="n">
        <v>13.66</v>
      </c>
      <c r="U97" s="70" t="n">
        <v>15.9</v>
      </c>
      <c r="V97" s="66" t="n">
        <v>2.73</v>
      </c>
      <c r="W97" s="62" t="inlineStr">
        <is>
          <t>Chen Xiong; Gong Chaohui</t>
        </is>
      </c>
      <c r="X97" s="62" t="inlineStr">
        <is>
          <t>chen-xiong;gong</t>
        </is>
      </c>
      <c r="Y97" s="66" t="n">
        <v>7.58</v>
      </c>
      <c r="Z97" s="62" t="inlineStr">
        <is>
          <t>partial</t>
        </is>
      </c>
      <c r="AA97" s="71" t="n">
        <v>0.82</v>
      </c>
      <c r="AB97" s="72" t="n">
        <v>4.1</v>
      </c>
      <c r="AC97" s="72" t="n">
        <v>-3.15</v>
      </c>
      <c r="AD97" s="72" t="n">
        <v>0.82</v>
      </c>
      <c r="AE97" s="72" t="n">
        <v>0</v>
      </c>
      <c r="AF97" s="72" t="n">
        <v>0</v>
      </c>
      <c r="AG97" s="72" t="n">
        <v>0</v>
      </c>
      <c r="AH97" s="72" t="n">
        <v>-0.8100000000000001</v>
      </c>
      <c r="AI97" s="72" t="n">
        <v>-0.8100000000000001</v>
      </c>
      <c r="AJ97" s="72" t="n">
        <v>-1.01</v>
      </c>
      <c r="AK97" s="72" t="n">
        <v>-0.55</v>
      </c>
      <c r="AL97" s="72" t="n">
        <v>15.79</v>
      </c>
      <c r="AM97" s="72" t="n">
        <v>-1.34</v>
      </c>
      <c r="AN97" s="72" t="n">
        <v>0.55</v>
      </c>
      <c r="AO97" s="72" t="n">
        <v>0.53</v>
      </c>
      <c r="AP97" s="62" t="inlineStr">
        <is>
          <t>Hang Seng Commerce &amp; Industry sub-index</t>
        </is>
      </c>
      <c r="AQ97" s="72" t="n">
        <v>3.69</v>
      </c>
      <c r="AR97" s="63" t="inlineStr">
        <is>
          <t>2026-08-19</t>
        </is>
      </c>
      <c r="AS97" s="64" t="n">
        <v>201</v>
      </c>
      <c r="AT97" s="67" t="n">
        <v>45.1</v>
      </c>
      <c r="AU97" s="62" t="inlineStr">
        <is>
          <t>Y</t>
        </is>
      </c>
      <c r="AV97" s="73" t="n">
        <v>14.3</v>
      </c>
      <c r="AW97" s="73" t="n">
        <v>7.4</v>
      </c>
      <c r="AX97" s="73" t="n">
        <v>14.8</v>
      </c>
      <c r="AY97" s="73" t="n">
        <v>3.2</v>
      </c>
      <c r="AZ97" s="74" t="inlineStr">
        <is>
          <t>N</t>
        </is>
      </c>
      <c r="BA97" s="75">
        <f>IF('BBG Verify'!K97="","not filed — run on terminal",'BBG Verify'!K97)</f>
        <v/>
      </c>
      <c r="BB97" s="62" t="inlineStr">
        <is>
          <t>N/A</t>
        </is>
      </c>
      <c r="BC97" s="62" t="inlineStr">
        <is>
          <t>N/A</t>
        </is>
      </c>
      <c r="BD97" s="62" t="inlineStr">
        <is>
          <t>N/A</t>
        </is>
      </c>
      <c r="BE97" s="62" t="inlineStr">
        <is>
          <t>N/A</t>
        </is>
      </c>
      <c r="BF97" s="62" t="inlineStr">
        <is>
          <t>N/A</t>
        </is>
      </c>
      <c r="BG97" s="74" t="inlineStr">
        <is>
          <t>CMBC International Capital Limited</t>
        </is>
      </c>
      <c r="BH97" s="62" t="inlineStr">
        <is>
          <t>CMBC International Capital Limited</t>
        </is>
      </c>
      <c r="BI97" s="62" t="inlineStr">
        <is>
          <t>CMBC Securities Company Limited; ABCI Capital Limited; CCB International Capital Limited; Essence International Securities (Hong Kong) Limited; CEB International Capital Corporation Limited; China Everbright Securities (HK) Limited; China Industrial Securities International Capital Limited; Livermore Holdings Limited; SBI China Capital Financial Services Limited; China Tonghai Securities Limited; Zhongtai International Securities Limited</t>
        </is>
      </c>
      <c r="BJ97" s="62" t="inlineStr">
        <is>
          <t>ABCI Securities Company Limited; CCB International Capital Limited; CEB International Capital Corporation Limited; China Everbright Securities (HK) Limited; China Tonghai Securities Limited; China Industrial Securities International Capital Limited; CMBC Securities Company Limited; China Sky Securities Limited; Essence International Securities (Hong Kong) Limited; Eddid Securities and Futures Limited; Forwin Securities Group Limited; Guosen Securities (HK) Capital Company Limited</t>
        </is>
      </c>
      <c r="BK97" s="76">
        <f>HYPERLINK("https://www1.hkexnews.hk/listedco/listconews/sehk/2021/1229/2021122900078.htm","prospectus")</f>
        <v/>
      </c>
      <c r="BL97" s="76">
        <f>HYPERLINK("https://www1.hkexnews.hk/listedco/listconews/sehk/2022/0110/2022011000034.htm","allotment")</f>
        <v/>
      </c>
      <c r="BM97" s="76">
        <f>HYPERLINK("https://www1.hkexnews.hk/listedco/listconews/sehk/2022/0204/2022020400047.pdf","stabilisation")</f>
        <v/>
      </c>
      <c r="BN97" s="74" t="n"/>
      <c r="BO97" s="62" t="inlineStr">
        <is>
          <t>price range: fixed-price offering (no indicative range) · range low: cap-only pricing — the filing publishes a Maximum Offer Price and no indicative floor · A/H: no A-share listing · market cap: estimate from stated market capitalisation disagreed with the published listing cap — published figure adopted · cornerstone: AAStocks institutional table includes non-cornerstone orders (superset) — cornerstone % is from the prospectus</t>
        </is>
      </c>
    </row>
    <row r="98" ht="15" customHeight="1">
      <c r="A98" s="61" t="inlineStr">
        <is>
          <t>6680</t>
        </is>
      </c>
      <c r="B98" s="62" t="inlineStr">
        <is>
          <t>JLMAG</t>
        </is>
      </c>
      <c r="C98" s="62" t="inlineStr">
        <is>
          <t>金力永磁</t>
        </is>
      </c>
      <c r="D98" s="62" t="inlineStr">
        <is>
          <t>Industrials</t>
        </is>
      </c>
      <c r="E98" s="62" t="inlineStr">
        <is>
          <t>Capital goods / machinery</t>
        </is>
      </c>
      <c r="F98" s="62" t="inlineStr">
        <is>
          <t>Diversified Metals &amp; Minerals</t>
        </is>
      </c>
      <c r="G98" s="62" t="inlineStr">
        <is>
          <t>Standard</t>
        </is>
      </c>
      <c r="H98" s="63" t="n">
        <v>44575</v>
      </c>
      <c r="I98" s="64" t="n">
        <v>4240.8</v>
      </c>
      <c r="J98" s="62" t="inlineStr">
        <is>
          <t>gross (price x shares)</t>
        </is>
      </c>
      <c r="K98" s="65" t="n">
        <v>33.8</v>
      </c>
      <c r="L98" s="65" t="n">
        <v>40.3</v>
      </c>
      <c r="M98" s="65" t="n">
        <v>33.8</v>
      </c>
      <c r="N98" s="62" t="inlineStr">
        <is>
          <t>N</t>
        </is>
      </c>
      <c r="O98" s="66" t="n">
        <v>83.90000000000001</v>
      </c>
      <c r="P98" s="66" t="n">
        <v>0</v>
      </c>
      <c r="Q98" s="67" t="n">
        <v>32831.6</v>
      </c>
      <c r="R98" s="62" t="inlineStr">
        <is>
          <t>aastocks:上市市值 at the struck price</t>
        </is>
      </c>
      <c r="S98" s="68" t="n">
        <v>15</v>
      </c>
      <c r="T98" s="69" t="n">
        <v>1.57</v>
      </c>
      <c r="U98" s="70" t="n">
        <v>50.56</v>
      </c>
      <c r="V98" s="66" t="n">
        <v>6.39</v>
      </c>
      <c r="W98" s="62" t="inlineStr">
        <is>
          <t>CITIC-Prudential Life Insurance Company Limited; CR Alpha Investment II Limited; SINO-BLR Industrial Investment Fund, L.P; The China State-owned Enterprise Mixed Ownership Reform Fund Co., Ltd</t>
        </is>
      </c>
      <c r="X98" s="62" t="inlineStr">
        <is>
          <t>citic;cr;sino-blr;state-owned</t>
        </is>
      </c>
      <c r="Y98" s="66" t="n">
        <v>15</v>
      </c>
      <c r="Z98" s="62" t="inlineStr">
        <is>
          <t>lapsed</t>
        </is>
      </c>
      <c r="AA98" s="71" t="n">
        <v>-16.57</v>
      </c>
      <c r="AB98" s="72" t="n">
        <v>-8.880000000000001</v>
      </c>
      <c r="AC98" s="72" t="n">
        <v>-8.44</v>
      </c>
      <c r="AD98" s="72" t="n">
        <v>-19.23</v>
      </c>
      <c r="AE98" s="72" t="n">
        <v>-11.54</v>
      </c>
      <c r="AF98" s="72" t="n">
        <v>-35.06</v>
      </c>
      <c r="AG98" s="72" t="n">
        <v>-3.19</v>
      </c>
      <c r="AH98" s="72" t="n">
        <v>6.03</v>
      </c>
      <c r="AI98" s="72" t="n">
        <v>-22.16</v>
      </c>
      <c r="AJ98" s="72" t="n">
        <v>-20.73</v>
      </c>
      <c r="AK98" s="72" t="n">
        <v>-10.29</v>
      </c>
      <c r="AL98" s="72" t="n">
        <v>-11.36</v>
      </c>
      <c r="AM98" s="72" t="n">
        <v>6.56</v>
      </c>
      <c r="AN98" s="72" t="n">
        <v>-1.25</v>
      </c>
      <c r="AO98" s="72" t="n">
        <v>-0.53</v>
      </c>
      <c r="AP98" s="62" t="inlineStr">
        <is>
          <t>Hang Seng Commerce &amp; Industry sub-index</t>
        </is>
      </c>
      <c r="AQ98" s="72" t="n">
        <v>-16.31</v>
      </c>
      <c r="AR98" s="63" t="inlineStr">
        <is>
          <t>2026-08-24</t>
        </is>
      </c>
      <c r="AS98" s="64" t="n">
        <v>2517.5</v>
      </c>
      <c r="AT98" s="67" t="n">
        <v>-0.7</v>
      </c>
      <c r="AU98" s="62" t="inlineStr">
        <is>
          <t>N</t>
        </is>
      </c>
      <c r="AV98" s="62" t="inlineStr">
        <is>
          <t>n/m</t>
        </is>
      </c>
      <c r="AW98" s="73" t="n">
        <v>30.9</v>
      </c>
      <c r="AX98" s="73" t="n">
        <v>27.9</v>
      </c>
      <c r="AY98" s="73" t="n">
        <v>13</v>
      </c>
      <c r="AZ98" s="74" t="inlineStr">
        <is>
          <t>Y</t>
        </is>
      </c>
      <c r="BA98" s="62" t="inlineStr">
        <is>
          <t>300748.SZ</t>
        </is>
      </c>
      <c r="BB98" s="72" t="n">
        <v>38.51</v>
      </c>
      <c r="BC98" s="65" t="n">
        <v>46.8177</v>
      </c>
      <c r="BD98" s="79" t="n">
        <v>0.8282</v>
      </c>
      <c r="BE98" s="77">
        <f>IF('BBG Verify'!Q98="","run on terminal",'BBG Verify'!Q98)</f>
        <v/>
      </c>
      <c r="BF98" s="77">
        <f>IF('BBG Verify'!R98="","run on terminal",'BBG Verify'!R98)</f>
        <v/>
      </c>
      <c r="BG98" s="74" t="inlineStr">
        <is>
          <t>CLSA Capital Markets Limited; BNP Paribas Securities (Asia) Limited</t>
        </is>
      </c>
      <c r="BH98" s="62" t="inlineStr">
        <is>
          <t>BNP Paribas Securities (Asia) Limited; CLSA Capital Markets Limited</t>
        </is>
      </c>
      <c r="BI98" s="62" t="inlineStr">
        <is>
          <t>CLSA Limited; BNP Paribas Securities (Asia) Limited; DBS Asia Capital Limited</t>
        </is>
      </c>
      <c r="BJ98" s="62" t="inlineStr">
        <is>
          <t>BNP Paribas Securities (Asia) Limited; CLSA Limited; DBS Asia Capital Limited; Futu Securities International (Hong Kong) Limited; Livermore Holdings Limited</t>
        </is>
      </c>
      <c r="BK98" s="76">
        <f>HYPERLINK("https://www1.hkexnews.hk/listedco/listconews/sehk/2021/1231/2021123100023.pdf","prospectus")</f>
        <v/>
      </c>
      <c r="BL98" s="76">
        <f>HYPERLINK("https://www1.hkexnews.hk/listedco/listconews/sehk/2022/0113/2022011300010.htm","allotment")</f>
        <v/>
      </c>
      <c r="BM98" s="76">
        <f>HYPERLINK("https://www1.hkexnews.hk/listedco/listconews/sehk/2022/0206/2022020600019.pdf","stabilisation")</f>
        <v/>
      </c>
      <c r="BN98" s="74" t="n"/>
      <c r="BO98" s="62" t="inlineStr">
        <is>
          <t>P/E: n/m — loss-making at IPO (use P/S) · A/H: H listed Jan 2022 (NdFeB magnets)</t>
        </is>
      </c>
    </row>
    <row r="99" ht="15" customHeight="1">
      <c r="A99" s="61" t="inlineStr">
        <is>
          <t>2250</t>
        </is>
      </c>
      <c r="B99" s="62" t="inlineStr">
        <is>
          <t>SEMK HOLDINGS</t>
        </is>
      </c>
      <c r="C99" s="62" t="inlineStr">
        <is>
          <t>小黃鴨德盈</t>
        </is>
      </c>
      <c r="D99" s="62" t="inlineStr">
        <is>
          <t>TMT-other</t>
        </is>
      </c>
      <c r="E99" s="62" t="inlineStr">
        <is>
          <t>Media / advertising</t>
        </is>
      </c>
      <c r="F99" s="62" t="inlineStr">
        <is>
          <t>e-Commerce &amp; Internet Services</t>
        </is>
      </c>
      <c r="G99" s="62" t="inlineStr">
        <is>
          <t>Standard</t>
        </is>
      </c>
      <c r="H99" s="63" t="n">
        <v>44578</v>
      </c>
      <c r="I99" s="64" t="n">
        <v>246</v>
      </c>
      <c r="J99" s="62" t="inlineStr">
        <is>
          <t>gross (price x shares)</t>
        </is>
      </c>
      <c r="K99" s="65" t="n">
        <v>2.05</v>
      </c>
      <c r="L99" s="65" t="n">
        <v>3.45</v>
      </c>
      <c r="M99" s="65" t="n">
        <v>2.05</v>
      </c>
      <c r="N99" s="62" t="inlineStr">
        <is>
          <t>N</t>
        </is>
      </c>
      <c r="O99" s="66" t="n">
        <v>59.4</v>
      </c>
      <c r="P99" s="66" t="n">
        <v>0</v>
      </c>
      <c r="Q99" s="67" t="n">
        <v>2881.9</v>
      </c>
      <c r="R99" s="62" t="inlineStr">
        <is>
          <t>aastocks:上市市值 at the struck price</t>
        </is>
      </c>
      <c r="S99" s="68" t="n">
        <v>7.31</v>
      </c>
      <c r="T99" s="69" t="n">
        <v>1.24</v>
      </c>
      <c r="U99" s="70" t="n">
        <v>0</v>
      </c>
      <c r="V99" s="66" t="n">
        <v>8.539999999999999</v>
      </c>
      <c r="W99" s="62" t="n"/>
      <c r="X99" s="62" t="n"/>
      <c r="Y99" s="66" t="n">
        <v>10</v>
      </c>
      <c r="Z99" s="62" t="inlineStr">
        <is>
          <t>lapsed (no over-allocation)</t>
        </is>
      </c>
      <c r="AA99" s="71" t="n">
        <v>16.59</v>
      </c>
      <c r="AB99" s="72" t="n">
        <v>26.83</v>
      </c>
      <c r="AC99" s="72" t="n">
        <v>-8.07</v>
      </c>
      <c r="AD99" s="72" t="n">
        <v>2.44</v>
      </c>
      <c r="AE99" s="72" t="n">
        <v>2.44</v>
      </c>
      <c r="AF99" s="72" t="n">
        <v>-13.17</v>
      </c>
      <c r="AG99" s="72" t="n">
        <v>-12.14</v>
      </c>
      <c r="AH99" s="72" t="n">
        <v>-12.14</v>
      </c>
      <c r="AI99" s="72" t="n">
        <v>-25.53</v>
      </c>
      <c r="AJ99" s="72" t="n">
        <v>1.32</v>
      </c>
      <c r="AK99" s="72" t="n">
        <v>2.67</v>
      </c>
      <c r="AL99" s="72" t="n">
        <v>2.19</v>
      </c>
      <c r="AM99" s="72" t="n">
        <v>-12.59</v>
      </c>
      <c r="AN99" s="72" t="n">
        <v>-0.23</v>
      </c>
      <c r="AO99" s="72" t="n">
        <v>0.45</v>
      </c>
      <c r="AP99" s="62" t="inlineStr">
        <is>
          <t>Hang Seng Index</t>
        </is>
      </c>
      <c r="AQ99" s="72" t="n">
        <v>-84.88</v>
      </c>
      <c r="AR99" s="63" t="inlineStr">
        <is>
          <t>2026-08-21</t>
        </is>
      </c>
      <c r="AS99" s="64" t="n">
        <v>233.5</v>
      </c>
      <c r="AT99" s="67" t="n">
        <v>54.5</v>
      </c>
      <c r="AU99" s="62" t="inlineStr">
        <is>
          <t>Y</t>
        </is>
      </c>
      <c r="AV99" s="73" t="n">
        <v>52.9</v>
      </c>
      <c r="AW99" s="73" t="n"/>
      <c r="AX99" s="73" t="n"/>
      <c r="AY99" s="73" t="n">
        <v>12.3</v>
      </c>
      <c r="AZ99" s="74" t="inlineStr">
        <is>
          <t>N</t>
        </is>
      </c>
      <c r="BA99" s="75">
        <f>IF('BBG Verify'!K99="","not filed — run on terminal",'BBG Verify'!K99)</f>
        <v/>
      </c>
      <c r="BB99" s="62" t="inlineStr">
        <is>
          <t>N/A</t>
        </is>
      </c>
      <c r="BC99" s="62" t="inlineStr">
        <is>
          <t>N/A</t>
        </is>
      </c>
      <c r="BD99" s="62" t="inlineStr">
        <is>
          <t>N/A</t>
        </is>
      </c>
      <c r="BE99" s="62" t="inlineStr">
        <is>
          <t>N/A</t>
        </is>
      </c>
      <c r="BF99" s="62" t="inlineStr">
        <is>
          <t>N/A</t>
        </is>
      </c>
      <c r="BG99" s="74" t="inlineStr">
        <is>
          <t>China Everbright Capital Limited; China Everbright Securities (HK) Limited</t>
        </is>
      </c>
      <c r="BH99" s="62" t="inlineStr">
        <is>
          <t>China Everbright Capital Limited</t>
        </is>
      </c>
      <c r="BI99" s="62" t="inlineStr">
        <is>
          <t>China Everbright Securities (HK) Limited; UOB Kay Hian (Hong Kong) Limited; BOCOM International Securities Limited; CMBC Securities Company Limited; Fosun Hani Securities Limited; Grand China Securities Limited; Zhongtai International Securities Limited</t>
        </is>
      </c>
      <c r="BJ99" s="62" t="inlineStr">
        <is>
          <t>Beta International Securities Limited; China Everbright Securities (HK) Limited; CMBC Securities Company Limited; First Shanghai Securities Limited; Fosun Hani Securities Limited; Guotai Junan Securities (Hong Kong) Limited; Grand China Securities Limited; Innovax Securities Limited; Livermore Holdings Limited; Maxa Capital Limited; UOB Kay Hian (Hong Kong) Limited</t>
        </is>
      </c>
      <c r="BK99" s="76">
        <f>HYPERLINK("https://www1.hkexnews.hk/listedco/listconews/sehk/2021/1230/2021123000005.pdf","prospectus")</f>
        <v/>
      </c>
      <c r="BL99" s="76">
        <f>HYPERLINK("https://www1.hkexnews.hk/listedco/listconews/sehk/2022/0114/2022011400002.htm","allotment")</f>
        <v/>
      </c>
      <c r="BM99" s="76">
        <f>HYPERLINK("https://www1.hkexnews.hk/listedco/listconews/sehk/2022/0206/2022020600003.pdf","stabilisation")</f>
        <v/>
      </c>
      <c r="BN99" s="74" t="n"/>
      <c r="BO99" s="62" t="inlineStr">
        <is>
          <t>A/H: no A-share listing · market cap: estimate from deal size / offer % of enlarged capital disagreed with the published listing cap — published figure adopted · cornerstone list: no cornerstone tranche in this deal</t>
        </is>
      </c>
    </row>
    <row r="100" ht="15" customHeight="1">
      <c r="A100" s="61" t="inlineStr">
        <is>
          <t>2121</t>
        </is>
      </c>
      <c r="B100" s="62" t="inlineStr">
        <is>
          <t>AINNOVATION</t>
        </is>
      </c>
      <c r="C100" s="62" t="inlineStr">
        <is>
          <t>創新奇智</t>
        </is>
      </c>
      <c r="D100" s="62" t="inlineStr">
        <is>
          <t>Tech/AI</t>
        </is>
      </c>
      <c r="E100" s="62" t="inlineStr">
        <is>
          <t>AI application / agent software</t>
        </is>
      </c>
      <c r="F100" s="62" t="inlineStr">
        <is>
          <t>Application Software</t>
        </is>
      </c>
      <c r="G100" s="62" t="inlineStr">
        <is>
          <t>Standard</t>
        </is>
      </c>
      <c r="H100" s="63" t="n">
        <v>44588</v>
      </c>
      <c r="I100" s="64" t="n">
        <v>1176.8</v>
      </c>
      <c r="J100" s="62" t="inlineStr">
        <is>
          <t>gross (price x shares)</t>
        </is>
      </c>
      <c r="K100" s="65" t="n">
        <v>26.3</v>
      </c>
      <c r="L100" s="65" t="n">
        <v>27.3</v>
      </c>
      <c r="M100" s="65" t="n">
        <v>26.3</v>
      </c>
      <c r="N100" s="62" t="inlineStr">
        <is>
          <t>N</t>
        </is>
      </c>
      <c r="O100" s="66" t="n">
        <v>96.3</v>
      </c>
      <c r="P100" s="66" t="n">
        <v>0</v>
      </c>
      <c r="Q100" s="67" t="n">
        <v>15248.5</v>
      </c>
      <c r="R100" s="62" t="inlineStr">
        <is>
          <t>aastocks:上市市值 at the struck price</t>
        </is>
      </c>
      <c r="S100" s="68" t="n">
        <v>13.89</v>
      </c>
      <c r="T100" s="69" t="n">
        <v>2.62</v>
      </c>
      <c r="U100" s="70" t="n">
        <v>17.06</v>
      </c>
      <c r="V100" s="66" t="n">
        <v>6.4</v>
      </c>
      <c r="W100" s="62" t="inlineStr">
        <is>
          <t>Laurion Capital Master Fund Ltd; SVF II Zeal</t>
        </is>
      </c>
      <c r="X100" s="62" t="inlineStr">
        <is>
          <t>laurion;svf</t>
        </is>
      </c>
      <c r="Y100" s="66" t="n">
        <v>7.12</v>
      </c>
      <c r="Z100" s="62" t="n"/>
      <c r="AA100" s="71" t="n">
        <v>-25.48</v>
      </c>
      <c r="AB100" s="72" t="n">
        <v>0</v>
      </c>
      <c r="AC100" s="72" t="n">
        <v>-25.48</v>
      </c>
      <c r="AD100" s="72" t="n">
        <v>-34.37</v>
      </c>
      <c r="AE100" s="72" t="n">
        <v>-46.77</v>
      </c>
      <c r="AF100" s="72" t="n">
        <v>-24.11</v>
      </c>
      <c r="AG100" s="72" t="n">
        <v>-11.93</v>
      </c>
      <c r="AH100" s="72" t="n">
        <v>-28.57</v>
      </c>
      <c r="AI100" s="72" t="n">
        <v>1.84</v>
      </c>
      <c r="AJ100" s="72" t="n">
        <v>-31.3</v>
      </c>
      <c r="AK100" s="72" t="n">
        <v>-36.17</v>
      </c>
      <c r="AL100" s="72" t="n">
        <v>-0.93</v>
      </c>
      <c r="AM100" s="72" t="n">
        <v>-21.59</v>
      </c>
      <c r="AN100" s="72" t="n">
        <v>-10.6</v>
      </c>
      <c r="AO100" s="72" t="n">
        <v>-6.98</v>
      </c>
      <c r="AP100" s="62" t="inlineStr">
        <is>
          <t>HSTECH (Hang Seng TECH ETF)</t>
        </is>
      </c>
      <c r="AQ100" s="72" t="n">
        <v>-85.67</v>
      </c>
      <c r="AR100" s="63" t="inlineStr">
        <is>
          <t>2026-08-20</t>
        </is>
      </c>
      <c r="AS100" s="64" t="n">
        <v>508.6</v>
      </c>
      <c r="AT100" s="67" t="n">
        <v>-0.6</v>
      </c>
      <c r="AU100" s="62" t="inlineStr">
        <is>
          <t>N</t>
        </is>
      </c>
      <c r="AV100" s="62" t="inlineStr">
        <is>
          <t>n/m</t>
        </is>
      </c>
      <c r="AW100" s="73" t="n"/>
      <c r="AX100" s="73" t="n"/>
      <c r="AY100" s="73" t="n">
        <v>30</v>
      </c>
      <c r="AZ100" s="74" t="inlineStr">
        <is>
          <t>N</t>
        </is>
      </c>
      <c r="BA100" s="75">
        <f>IF('BBG Verify'!K100="","not filed — run on terminal",'BBG Verify'!K100)</f>
        <v/>
      </c>
      <c r="BB100" s="62" t="inlineStr">
        <is>
          <t>N/A</t>
        </is>
      </c>
      <c r="BC100" s="62" t="inlineStr">
        <is>
          <t>N/A</t>
        </is>
      </c>
      <c r="BD100" s="62" t="inlineStr">
        <is>
          <t>N/A</t>
        </is>
      </c>
      <c r="BE100" s="62" t="inlineStr">
        <is>
          <t>N/A</t>
        </is>
      </c>
      <c r="BF100" s="62" t="inlineStr">
        <is>
          <t>N/A</t>
        </is>
      </c>
      <c r="BG100" s="74" t="inlineStr">
        <is>
          <t>UBS Securities Hong Kong Limited; China International Capital Corporation Hong Kong Securities Limited; China Renaissance Securities (Hong Kong) Limited</t>
        </is>
      </c>
      <c r="BH100" s="62" t="inlineStr">
        <is>
          <t>China International Capital Corporation Hong Kong Securities Limited; UBS Securities Hong Kong Limited; China Renaissance Securities (Hong Kong) Limited</t>
        </is>
      </c>
      <c r="BI100" s="62" t="inlineStr">
        <is>
          <t>UBS AG Hong Kong Branch; China International Capital Corporation Hong Kong Securities Limited; China Renaissance Securities (Hong Kong) Limited; ICBC International Capital Limited; ICBC International Securities Limited</t>
        </is>
      </c>
      <c r="BJ100" s="62" t="inlineStr">
        <is>
          <t>China International Capital Corporation Hong Kong Securities Limited; China Renaissance Securities (Hong Kong) Limited; Eddid Securities and Futures Limited; Futu Securities International (Hong Kong) Limited; ICBC International Securities Limited; Livermore Holdings Limited; Lu International (Hong Kong) Limited; Shanxi Securities International Limited; Tiger Brokers (HK) Global Limited; UBS AG Hong Kong Branch</t>
        </is>
      </c>
      <c r="BK100" s="76">
        <f>HYPERLINK("https://www1.hkexnews.hk/listedco/listconews/sehk/2022/0117/2022011700007.pdf","prospectus")</f>
        <v/>
      </c>
      <c r="BL100" s="76">
        <f>HYPERLINK("https://www1.hkexnews.hk/listedco/listconews/sehk/2022/0126/2022012600012.htm","allotment")</f>
        <v/>
      </c>
      <c r="BM100" s="62" t="n"/>
      <c r="BN100" s="74" t="n"/>
      <c r="BO100" s="62" t="inlineStr">
        <is>
          <t>P/E: n/m — loss-making at IPO (use P/S) · greenshoe: end-of-stabilisation notice not located · A/H: no A-share listing · market cap: estimate from deal size / offer % of enlarged capital disagreed with the published listing cap — published figure adopted</t>
        </is>
      </c>
    </row>
    <row r="101" ht="15" customHeight="1">
      <c r="A101" s="61" t="inlineStr">
        <is>
          <t>9878</t>
        </is>
      </c>
      <c r="B101" s="62" t="inlineStr">
        <is>
          <t>HUITONGDA NET</t>
        </is>
      </c>
      <c r="C101" s="62" t="inlineStr">
        <is>
          <t>匯通達網絡</t>
        </is>
      </c>
      <c r="D101" s="62" t="inlineStr">
        <is>
          <t>Tech/AI</t>
        </is>
      </c>
      <c r="E101" s="62" t="inlineStr">
        <is>
          <t>Internet platform / e-commerce</t>
        </is>
      </c>
      <c r="F101" s="62" t="inlineStr">
        <is>
          <t>e-Commerce &amp; Internet Services</t>
        </is>
      </c>
      <c r="G101" s="62" t="inlineStr">
        <is>
          <t>Standard</t>
        </is>
      </c>
      <c r="H101" s="63" t="n">
        <v>44610</v>
      </c>
      <c r="I101" s="64" t="n">
        <v>2219.1</v>
      </c>
      <c r="J101" s="62" t="inlineStr">
        <is>
          <t>gross (price x shares)</t>
        </is>
      </c>
      <c r="K101" s="65" t="n">
        <v>43</v>
      </c>
      <c r="L101" s="65" t="n">
        <v>48</v>
      </c>
      <c r="M101" s="65" t="n">
        <v>43</v>
      </c>
      <c r="N101" s="62" t="inlineStr">
        <is>
          <t>N</t>
        </is>
      </c>
      <c r="O101" s="66" t="n">
        <v>89.59999999999999</v>
      </c>
      <c r="P101" s="66" t="n">
        <v>0</v>
      </c>
      <c r="Q101" s="67" t="n">
        <v>21337.5</v>
      </c>
      <c r="R101" s="62" t="inlineStr">
        <is>
          <t>derived:deal size / offer % of enlarged capital</t>
        </is>
      </c>
      <c r="S101" s="68" t="n">
        <v>1.67</v>
      </c>
      <c r="T101" s="69" t="n">
        <v>2.05</v>
      </c>
      <c r="U101" s="70" t="n">
        <v>23</v>
      </c>
      <c r="V101" s="66" t="n">
        <v>8.01</v>
      </c>
      <c r="W101" s="62" t="inlineStr">
        <is>
          <t>Golden Feather Corporation; Greenwoods Asset Management Hong Kong Limited; Heilan Group Co., Limited; SensePower Management Limited; Skyworth Overseas Investment Holdings Limited; Windfall T&amp;L SPC</t>
        </is>
      </c>
      <c r="X101" s="62" t="inlineStr">
        <is>
          <t>golden-feather;greenwoods;heilan;sensepower;skyworth;windfall</t>
        </is>
      </c>
      <c r="Y101" s="66" t="n">
        <v>10.4</v>
      </c>
      <c r="Z101" s="62" t="inlineStr">
        <is>
          <t>partial</t>
        </is>
      </c>
      <c r="AA101" s="71" t="n">
        <v>4.88</v>
      </c>
      <c r="AB101" s="72" t="n">
        <v>1.28</v>
      </c>
      <c r="AC101" s="72" t="n">
        <v>3.55</v>
      </c>
      <c r="AD101" s="72" t="n">
        <v>0</v>
      </c>
      <c r="AE101" s="72" t="n">
        <v>-8.49</v>
      </c>
      <c r="AF101" s="72" t="n">
        <v>3.02</v>
      </c>
      <c r="AG101" s="72" t="n">
        <v>-4.65</v>
      </c>
      <c r="AH101" s="72" t="n">
        <v>-12.75</v>
      </c>
      <c r="AI101" s="72" t="n">
        <v>-1.77</v>
      </c>
      <c r="AJ101" s="72" t="n">
        <v>9.32</v>
      </c>
      <c r="AK101" s="72" t="n">
        <v>13.55</v>
      </c>
      <c r="AL101" s="72" t="n">
        <v>31.41</v>
      </c>
      <c r="AM101" s="72" t="n">
        <v>6.76</v>
      </c>
      <c r="AN101" s="72" t="n">
        <v>-22.04</v>
      </c>
      <c r="AO101" s="72" t="n">
        <v>-19.51</v>
      </c>
      <c r="AP101" s="62" t="inlineStr">
        <is>
          <t>HSTECH (Hang Seng TECH ETF)</t>
        </is>
      </c>
      <c r="AQ101" s="72" t="n">
        <v>-79</v>
      </c>
      <c r="AR101" s="63" t="inlineStr">
        <is>
          <t>2026-08-20</t>
        </is>
      </c>
      <c r="AS101" s="64" t="n">
        <v>54592</v>
      </c>
      <c r="AT101" s="67" t="n">
        <v>-308</v>
      </c>
      <c r="AU101" s="62" t="inlineStr">
        <is>
          <t>N</t>
        </is>
      </c>
      <c r="AV101" s="62" t="inlineStr">
        <is>
          <t>n/m</t>
        </is>
      </c>
      <c r="AW101" s="73" t="n"/>
      <c r="AX101" s="73" t="n">
        <v>14.5</v>
      </c>
      <c r="AY101" s="73" t="n">
        <v>0.4</v>
      </c>
      <c r="AZ101" s="74" t="inlineStr">
        <is>
          <t>N</t>
        </is>
      </c>
      <c r="BA101" s="75">
        <f>IF('BBG Verify'!K101="","not filed — run on terminal",'BBG Verify'!K101)</f>
        <v/>
      </c>
      <c r="BB101" s="62" t="inlineStr">
        <is>
          <t>N/A</t>
        </is>
      </c>
      <c r="BC101" s="62" t="inlineStr">
        <is>
          <t>N/A</t>
        </is>
      </c>
      <c r="BD101" s="62" t="inlineStr">
        <is>
          <t>N/A</t>
        </is>
      </c>
      <c r="BE101" s="62" t="inlineStr">
        <is>
          <t>N/A</t>
        </is>
      </c>
      <c r="BF101" s="62" t="inlineStr">
        <is>
          <t>N/A</t>
        </is>
      </c>
      <c r="BG101" s="74" t="inlineStr">
        <is>
          <t>China International Capital Corporation Hong Kong Securities Limited; Citigroup Global Markets Asia Limited; China Renaissance Securities (Hong Kong) Limited</t>
        </is>
      </c>
      <c r="BH101" s="62" t="inlineStr">
        <is>
          <t>China International Capital Corporation Hong Kong Securities Limited; China Renaissance Securities (Hong Kong) Limited; Citigroup Global Markets Asia Limited</t>
        </is>
      </c>
      <c r="BI101" s="62" t="inlineStr">
        <is>
          <t>China International Capital Corporation Hong Kong Securities Limited; Citigroup Global Markets Asia Limited; China Renaissance Securities (Hong Kong) Limited; The Hongkong and Shanghai Banking Corporation Limited; Haitong International Securities Company Limited; SPDB International Capital Limited; Central, Hong Kong Citigroup Global Markets Limited; BOCOM International Securities Limited; BOCI Asia Limited; CCB International Capital Limited; ABCI CAPITAL LIMITED</t>
        </is>
      </c>
      <c r="BJ101" s="62" t="inlineStr">
        <is>
          <t>ABCI Securities Company Limited; Beta International Securities Limited; BOCI Asia Limited; CCB International Capital Limited; Citigroup Global Markets Asia Limited; China International Capital Corporation Hong Kong Securities Limited; CMB International Capital Limited; China Renaissance Securities (Hong Kong) Limited; Futu Securities International (Hong Kong) Limited; Head &amp; Shoulders Securities Limited; Haitong International Securities Company Limited; The Hongkong and Shanghai Banking Corporation Limited</t>
        </is>
      </c>
      <c r="BK101" s="76">
        <f>HYPERLINK("https://www1.hkexnews.hk/listedco/listconews/sehk/2022/0131/2022013100005.pdf","prospectus")</f>
        <v/>
      </c>
      <c r="BL101" s="76">
        <f>HYPERLINK("https://www1.hkexnews.hk/listedco/listconews/sehk/2022/0217/2022021700014.htm","allotment")</f>
        <v/>
      </c>
      <c r="BM101" s="76">
        <f>HYPERLINK("https://www1.hkexnews.hk/listedco/listconews/sehk/2022/0313/2022031300003.pdf","stabilisation")</f>
        <v/>
      </c>
      <c r="BN101" s="74" t="n"/>
      <c r="BO101" s="62" t="inlineStr">
        <is>
          <t>P/E: n/m — loss-making at IPO (use P/S) · A/H: no A-share listing · cornerstone: AAStocks institutional table includes non-cornerstone orders (superset) — cornerstone % is from the prospectus</t>
        </is>
      </c>
    </row>
    <row r="102" ht="15" customHeight="1">
      <c r="A102" s="61" t="inlineStr">
        <is>
          <t>1406</t>
        </is>
      </c>
      <c r="B102" s="62" t="inlineStr">
        <is>
          <t>CLARITY MEDICAL</t>
        </is>
      </c>
      <c r="C102" s="62" t="inlineStr">
        <is>
          <t>清晰醫療</t>
        </is>
      </c>
      <c r="D102" s="62" t="inlineStr">
        <is>
          <t>Healthcare</t>
        </is>
      </c>
      <c r="E102" s="62" t="inlineStr">
        <is>
          <t>Hospitals / clinics</t>
        </is>
      </c>
      <c r="F102" s="62" t="inlineStr">
        <is>
          <t>Health Care Services</t>
        </is>
      </c>
      <c r="G102" s="62" t="inlineStr">
        <is>
          <t>Standard</t>
        </is>
      </c>
      <c r="H102" s="63" t="n">
        <v>44610</v>
      </c>
      <c r="I102" s="64" t="n">
        <v>217.6</v>
      </c>
      <c r="J102" s="62" t="inlineStr">
        <is>
          <t>gross (price x shares)</t>
        </is>
      </c>
      <c r="K102" s="65" t="n"/>
      <c r="L102" s="65" t="n">
        <v>3</v>
      </c>
      <c r="M102" s="65" t="n">
        <v>1.6</v>
      </c>
      <c r="N102" s="62" t="inlineStr">
        <is>
          <t>N</t>
        </is>
      </c>
      <c r="O102" s="66" t="n">
        <v>53.3</v>
      </c>
      <c r="P102" s="66" t="n"/>
      <c r="Q102" s="67" t="n">
        <v>1173.3</v>
      </c>
      <c r="R102" s="62" t="inlineStr">
        <is>
          <t>aastocks:上市市值 at the struck price</t>
        </is>
      </c>
      <c r="S102" s="68" t="n">
        <v>6.17</v>
      </c>
      <c r="T102" s="69" t="n">
        <v>1.13</v>
      </c>
      <c r="U102" s="70" t="n">
        <v>0</v>
      </c>
      <c r="V102" s="66" t="n">
        <v>18.55</v>
      </c>
      <c r="W102" s="62" t="n"/>
      <c r="X102" s="62" t="n"/>
      <c r="Y102" s="66" t="n">
        <v>5.63</v>
      </c>
      <c r="Z102" s="62" t="inlineStr">
        <is>
          <t>lapsed</t>
        </is>
      </c>
      <c r="AA102" s="71" t="n">
        <v>-3.75</v>
      </c>
      <c r="AB102" s="72" t="n">
        <v>-0.62</v>
      </c>
      <c r="AC102" s="72" t="n">
        <v>-3.15</v>
      </c>
      <c r="AD102" s="72" t="n">
        <v>-10</v>
      </c>
      <c r="AE102" s="72" t="n">
        <v>-15</v>
      </c>
      <c r="AF102" s="72" t="n">
        <v>-27.5</v>
      </c>
      <c r="AG102" s="72" t="n">
        <v>-6.49</v>
      </c>
      <c r="AH102" s="72" t="n">
        <v>-11.69</v>
      </c>
      <c r="AI102" s="72" t="n">
        <v>-24.68</v>
      </c>
      <c r="AJ102" s="72" t="n">
        <v>-10.67</v>
      </c>
      <c r="AK102" s="72" t="n">
        <v>-11.11</v>
      </c>
      <c r="AL102" s="72" t="n">
        <v>-7.91</v>
      </c>
      <c r="AM102" s="72" t="n">
        <v>-7.46</v>
      </c>
      <c r="AN102" s="72" t="n">
        <v>-3.89</v>
      </c>
      <c r="AO102" s="72" t="n">
        <v>-4.23</v>
      </c>
      <c r="AP102" s="62" t="inlineStr">
        <is>
          <t>China Biotech ETF (HS biotech proxy)</t>
        </is>
      </c>
      <c r="AQ102" s="72" t="n">
        <v>-77.81</v>
      </c>
      <c r="AR102" s="63" t="inlineStr">
        <is>
          <t>2026-08-19</t>
        </is>
      </c>
      <c r="AS102" s="64" t="n">
        <v>222.4</v>
      </c>
      <c r="AT102" s="67" t="n">
        <v>30</v>
      </c>
      <c r="AU102" s="62" t="inlineStr">
        <is>
          <t>Y</t>
        </is>
      </c>
      <c r="AV102" s="73" t="n">
        <v>39.1</v>
      </c>
      <c r="AW102" s="73" t="n"/>
      <c r="AX102" s="73" t="n"/>
      <c r="AY102" s="73" t="n">
        <v>5.3</v>
      </c>
      <c r="AZ102" s="74" t="inlineStr">
        <is>
          <t>N</t>
        </is>
      </c>
      <c r="BA102" s="75">
        <f>IF('BBG Verify'!K102="","not filed — run on terminal",'BBG Verify'!K102)</f>
        <v/>
      </c>
      <c r="BB102" s="62" t="inlineStr">
        <is>
          <t>N/A</t>
        </is>
      </c>
      <c r="BC102" s="62" t="inlineStr">
        <is>
          <t>N/A</t>
        </is>
      </c>
      <c r="BD102" s="62" t="inlineStr">
        <is>
          <t>N/A</t>
        </is>
      </c>
      <c r="BE102" s="62" t="inlineStr">
        <is>
          <t>N/A</t>
        </is>
      </c>
      <c r="BF102" s="62" t="inlineStr">
        <is>
          <t>N/A</t>
        </is>
      </c>
      <c r="BG102" s="74" t="inlineStr">
        <is>
          <t>China Everbright Capital Limited; China Eve rbright Securities (HK) Limited; Zhongtai International Securities Limited</t>
        </is>
      </c>
      <c r="BH102" s="62" t="inlineStr">
        <is>
          <t>China Everbright Capital Limited</t>
        </is>
      </c>
      <c r="BI102" s="62" t="inlineStr">
        <is>
          <t>China Everbright Securities (HK) Limited; CMB International Capital Limited; Zhongtai International Securities Limited; ABCI Capital Limited; Bradbury Securities Limited; CMBC Securities Company Limited; First Shanghai Securities Limited; Futu Securities International (Hong Kong) Limited; Guotai Junan Securities (Hong Kong) Limited; Shenwan Hongyuan Securities (H.K.) Limited</t>
        </is>
      </c>
      <c r="BJ102" s="62" t="inlineStr">
        <is>
          <t>ABCI Securities Company Limited; Bradbury Securities Limited; Beta International Securities Limited; China Everbright Securities (HK) Limited; CMBC Securities Company Limited; CMB International Capital Corporation Limited; Chuenman Securities Limited; First Shanghai Securities Limited; Futu Securities International (Hong Kong) Limited; Guotai Junan Securities (Hong Kong) Limited; Shenwan Hongyuan Securities (H.K.) Limited; Valuable Capital Limited</t>
        </is>
      </c>
      <c r="BK102" s="76">
        <f>HYPERLINK("https://www1.hkexnews.hk/listedco/listconews/sehk/2022/0131/2022013100022.pdf","prospectus")</f>
        <v/>
      </c>
      <c r="BL102" s="76">
        <f>HYPERLINK("https://www1.hkexnews.hk/listedco/listconews/sehk/2022/0217/2022021700028.htm","allotment")</f>
        <v/>
      </c>
      <c r="BM102" s="76">
        <f>HYPERLINK("https://www1.hkexnews.hk/listedco/listconews/sehk/2022/0314/2022031400039.pdf","stabilisation")</f>
        <v/>
      </c>
      <c r="BN102" s="74" t="n"/>
      <c r="BO102" s="62" t="inlineStr">
        <is>
          <t>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t>
        </is>
      </c>
    </row>
    <row r="103" ht="15" customHeight="1">
      <c r="A103" s="61" t="inlineStr">
        <is>
          <t>2157</t>
        </is>
      </c>
      <c r="B103" s="62" t="inlineStr">
        <is>
          <t>LEPU BIO-B</t>
        </is>
      </c>
      <c r="C103" s="62" t="inlineStr">
        <is>
          <t>樂普生物</t>
        </is>
      </c>
      <c r="D103" s="62" t="inlineStr">
        <is>
          <t>Healthcare</t>
        </is>
      </c>
      <c r="E103" s="62" t="inlineStr">
        <is>
          <t>Biotech pre-revenue (18A)</t>
        </is>
      </c>
      <c r="F103" s="62" t="inlineStr">
        <is>
          <t>Biotechnology</t>
        </is>
      </c>
      <c r="G103" s="62" t="inlineStr">
        <is>
          <t>18A</t>
        </is>
      </c>
      <c r="H103" s="63" t="n">
        <v>44615</v>
      </c>
      <c r="I103" s="64" t="n">
        <v>904.6</v>
      </c>
      <c r="J103" s="62" t="inlineStr">
        <is>
          <t>gross (price x shares)</t>
        </is>
      </c>
      <c r="K103" s="65" t="n">
        <v>6.87</v>
      </c>
      <c r="L103" s="65" t="n">
        <v>7.38</v>
      </c>
      <c r="M103" s="65" t="n">
        <v>7.13</v>
      </c>
      <c r="N103" s="62" t="inlineStr">
        <is>
          <t>N</t>
        </is>
      </c>
      <c r="O103" s="66" t="n">
        <v>96.59999999999999</v>
      </c>
      <c r="P103" s="66" t="n">
        <v>51</v>
      </c>
      <c r="Q103" s="67" t="n">
        <v>11394</v>
      </c>
      <c r="R103" s="62" t="inlineStr">
        <is>
          <t>prospectus:stated market capitalisation</t>
        </is>
      </c>
      <c r="S103" s="68" t="n">
        <v>5.65</v>
      </c>
      <c r="T103" s="69" t="n">
        <v>1.53</v>
      </c>
      <c r="U103" s="70" t="n">
        <v>41.61</v>
      </c>
      <c r="V103" s="66" t="n">
        <v>4.64</v>
      </c>
      <c r="W103" s="62" t="inlineStr">
        <is>
          <t>King Star; Vivo Capital</t>
        </is>
      </c>
      <c r="X103" s="62" t="inlineStr">
        <is>
          <t>king;vivo</t>
        </is>
      </c>
      <c r="Y103" s="66" t="n">
        <v>8.699999999999999</v>
      </c>
      <c r="Z103" s="62" t="inlineStr">
        <is>
          <t>partial</t>
        </is>
      </c>
      <c r="AA103" s="71" t="n">
        <v>0.14</v>
      </c>
      <c r="AB103" s="72" t="n">
        <v>0</v>
      </c>
      <c r="AC103" s="72" t="n">
        <v>0.14</v>
      </c>
      <c r="AD103" s="72" t="n">
        <v>0</v>
      </c>
      <c r="AE103" s="72" t="n">
        <v>-7.43</v>
      </c>
      <c r="AF103" s="72" t="n">
        <v>-8.699999999999999</v>
      </c>
      <c r="AG103" s="72" t="n">
        <v>-0.14</v>
      </c>
      <c r="AH103" s="72" t="n">
        <v>-7.56</v>
      </c>
      <c r="AI103" s="72" t="n">
        <v>-8.83</v>
      </c>
      <c r="AJ103" s="72" t="n">
        <v>-1.78</v>
      </c>
      <c r="AK103" s="72" t="n">
        <v>-11.67</v>
      </c>
      <c r="AL103" s="72" t="n">
        <v>8.51</v>
      </c>
      <c r="AM103" s="72" t="n">
        <v>-10.17</v>
      </c>
      <c r="AN103" s="72" t="n">
        <v>4.24</v>
      </c>
      <c r="AO103" s="72" t="n">
        <v>2.61</v>
      </c>
      <c r="AP103" s="62" t="inlineStr">
        <is>
          <t>China Biotech ETF (HS biotech proxy)</t>
        </is>
      </c>
      <c r="AQ103" s="72" t="n">
        <v>-40.6</v>
      </c>
      <c r="AR103" s="63" t="inlineStr">
        <is>
          <t>2026-08-20</t>
        </is>
      </c>
      <c r="AS103" s="64" t="n">
        <v>0</v>
      </c>
      <c r="AT103" s="67" t="n">
        <v>-674.7</v>
      </c>
      <c r="AU103" s="62" t="inlineStr">
        <is>
          <t>N</t>
        </is>
      </c>
      <c r="AV103" s="62" t="inlineStr">
        <is>
          <t>n/m</t>
        </is>
      </c>
      <c r="AW103" s="73" t="n"/>
      <c r="AX103" s="73" t="n">
        <v>27.2</v>
      </c>
      <c r="AY103" s="62" t="inlineStr">
        <is>
          <t>pre-rev</t>
        </is>
      </c>
      <c r="AZ103" s="74" t="inlineStr">
        <is>
          <t>N</t>
        </is>
      </c>
      <c r="BA103" s="75">
        <f>IF('BBG Verify'!K103="","not filed — run on terminal",'BBG Verify'!K103)</f>
        <v/>
      </c>
      <c r="BB103" s="62" t="inlineStr">
        <is>
          <t>N/A</t>
        </is>
      </c>
      <c r="BC103" s="62" t="inlineStr">
        <is>
          <t>N/A</t>
        </is>
      </c>
      <c r="BD103" s="62" t="inlineStr">
        <is>
          <t>N/A</t>
        </is>
      </c>
      <c r="BE103" s="62" t="inlineStr">
        <is>
          <t>N/A</t>
        </is>
      </c>
      <c r="BF103" s="62" t="inlineStr">
        <is>
          <t>N/A</t>
        </is>
      </c>
      <c r="BG103" s="74" t="inlineStr">
        <is>
          <t>China International Capital Corporation Hong Kong Securities Limited; Morgan Stanley Asia Limited</t>
        </is>
      </c>
      <c r="BH103" s="62" t="inlineStr">
        <is>
          <t>China International Capital Corporation Hong Kong Securities Limited; Morgan Stanley Asia Limited</t>
        </is>
      </c>
      <c r="BI103" s="62" t="inlineStr">
        <is>
          <t>China International Capital Corporation Hong Kong Securities Limited; Morgan Stanley Asia Limited; Morgan Stanley &amp; Co. International plc; Huatai Financial Holdings (Hong Kong) Limited; China Galaxy International Securities (Hong Kong) Co., Limited; Valuable Capital Limited</t>
        </is>
      </c>
      <c r="BJ103" s="62" t="inlineStr">
        <is>
          <t>China Galaxy International Securities (Hong Kong) Company Limited; China International Capital Corporation Hong Kong Securities Limited; Huatai Financial Holdings (Hong Kong) Limited; Haitong International Securities Company Limited; Morgan Stanley Asia Limited; Tiger Brokers (HK) Global Limited; Valuable Capital Limited</t>
        </is>
      </c>
      <c r="BK103" s="76">
        <f>HYPERLINK("https://www1.hkexnews.hk/listedco/listconews/sehk/2022/0210/2022021000013.pdf","prospectus")</f>
        <v/>
      </c>
      <c r="BL103" s="76">
        <f>HYPERLINK("https://www1.hkexnews.hk/listedco/listconews/sehk/2022/0222/2022022200012.htm","allotment")</f>
        <v/>
      </c>
      <c r="BM103" s="76">
        <f>HYPERLINK("https://www1.hkexnews.hk/listedco/listconews/sehk/2022/0317/2022031702152.pdf","stabilisation")</f>
        <v/>
      </c>
      <c r="BN103" s="74" t="n"/>
      <c r="BO103" s="62" t="inlineStr">
        <is>
          <t>P/E: n/m — loss-making at IPO (use P/S) · A/H: no A-share listing · P/S: no revenue line in the filed P&amp;L (pre-revenue issuer) — no sales multiple can exist; the cell reads pre-rev, not blank · deal size: stated gross HK$36.2m rejected — below the deal's own net proceeds HK$804.2m, which cannot happen</t>
        </is>
      </c>
    </row>
    <row r="104" ht="15" customHeight="1">
      <c r="A104" s="61" t="inlineStr">
        <is>
          <t>6639</t>
        </is>
      </c>
      <c r="B104" s="62" t="inlineStr">
        <is>
          <t>ARRAIL GROUP</t>
        </is>
      </c>
      <c r="C104" s="62" t="inlineStr">
        <is>
          <t>瑞爾集團</t>
        </is>
      </c>
      <c r="D104" s="62" t="inlineStr">
        <is>
          <t>Healthcare</t>
        </is>
      </c>
      <c r="E104" s="62" t="inlineStr">
        <is>
          <t>Hospitals / clinics</t>
        </is>
      </c>
      <c r="F104" s="62" t="inlineStr">
        <is>
          <t>Health Care Services</t>
        </is>
      </c>
      <c r="G104" s="62" t="inlineStr">
        <is>
          <t>Standard</t>
        </is>
      </c>
      <c r="H104" s="63" t="n">
        <v>44642</v>
      </c>
      <c r="I104" s="64" t="n">
        <v>680.2</v>
      </c>
      <c r="J104" s="62" t="inlineStr">
        <is>
          <t>gross (price x shares)</t>
        </is>
      </c>
      <c r="K104" s="65" t="n"/>
      <c r="L104" s="65" t="n">
        <v>14.62</v>
      </c>
      <c r="M104" s="65" t="n">
        <v>14.62</v>
      </c>
      <c r="N104" s="62" t="inlineStr">
        <is>
          <t>Y</t>
        </is>
      </c>
      <c r="O104" s="66" t="n">
        <v>100</v>
      </c>
      <c r="P104" s="66" t="n"/>
      <c r="Q104" s="67" t="n">
        <v>7474.7</v>
      </c>
      <c r="R104" s="62" t="inlineStr">
        <is>
          <t>derived:deal size / offer % of enlarged capital</t>
        </is>
      </c>
      <c r="S104" s="68" t="n">
        <v>1.74</v>
      </c>
      <c r="T104" s="69" t="n">
        <v>1.62</v>
      </c>
      <c r="U104" s="70" t="n">
        <v>31.9</v>
      </c>
      <c r="V104" s="66" t="n">
        <v>6.2</v>
      </c>
      <c r="W104" s="62" t="inlineStr">
        <is>
          <t>Abax Asian Structured Private Credit Fund III, LP; Harvest International Premium Value (Secondary Market) Fund SPC; Hudson Bay Master Fund Ltd; OrbiMed Genesis Master Fund, L.P; Top Vast (Hong Kong) Limited</t>
        </is>
      </c>
      <c r="X104" s="62" t="inlineStr">
        <is>
          <t>abax;harvest;hudson;orbimed;top</t>
        </is>
      </c>
      <c r="Y104" s="66" t="n">
        <v>10.92</v>
      </c>
      <c r="Z104" s="62" t="inlineStr">
        <is>
          <t>lapsed</t>
        </is>
      </c>
      <c r="AA104" s="71" t="n">
        <v>-5.61</v>
      </c>
      <c r="AB104" s="72" t="n">
        <v>-0.14</v>
      </c>
      <c r="AC104" s="72" t="n">
        <v>-5.48</v>
      </c>
      <c r="AD104" s="72" t="n">
        <v>-1.5</v>
      </c>
      <c r="AE104" s="72" t="n">
        <v>-20.52</v>
      </c>
      <c r="AF104" s="72" t="n">
        <v>-19.56</v>
      </c>
      <c r="AG104" s="72" t="n">
        <v>4.35</v>
      </c>
      <c r="AH104" s="72" t="n">
        <v>-15.8</v>
      </c>
      <c r="AI104" s="72" t="n">
        <v>-14.78</v>
      </c>
      <c r="AJ104" s="72" t="n">
        <v>-3.3</v>
      </c>
      <c r="AK104" s="72" t="n">
        <v>-5.59</v>
      </c>
      <c r="AL104" s="72" t="n">
        <v>-18.89</v>
      </c>
      <c r="AM104" s="72" t="n">
        <v>-1.56</v>
      </c>
      <c r="AN104" s="72" t="n">
        <v>-14.93</v>
      </c>
      <c r="AO104" s="72" t="n">
        <v>-14.24</v>
      </c>
      <c r="AP104" s="62" t="inlineStr">
        <is>
          <t>China Biotech ETF (HS biotech proxy)</t>
        </is>
      </c>
      <c r="AQ104" s="72" t="n">
        <v>-87.48</v>
      </c>
      <c r="AR104" s="63" t="inlineStr">
        <is>
          <t>2026-08-19</t>
        </is>
      </c>
      <c r="AS104" s="64" t="n">
        <v>1666.6</v>
      </c>
      <c r="AT104" s="67" t="n">
        <v>-657.5</v>
      </c>
      <c r="AU104" s="62" t="inlineStr">
        <is>
          <t>N</t>
        </is>
      </c>
      <c r="AV104" s="62" t="inlineStr">
        <is>
          <t>n/m</t>
        </is>
      </c>
      <c r="AW104" s="73" t="n"/>
      <c r="AX104" s="73" t="n">
        <v>25.6</v>
      </c>
      <c r="AY104" s="73" t="n">
        <v>4.5</v>
      </c>
      <c r="AZ104" s="74" t="inlineStr">
        <is>
          <t>N</t>
        </is>
      </c>
      <c r="BA104" s="75">
        <f>IF('BBG Verify'!K104="","not filed — run on terminal",'BBG Verify'!K104)</f>
        <v/>
      </c>
      <c r="BB104" s="62" t="inlineStr">
        <is>
          <t>N/A</t>
        </is>
      </c>
      <c r="BC104" s="62" t="inlineStr">
        <is>
          <t>N/A</t>
        </is>
      </c>
      <c r="BD104" s="62" t="inlineStr">
        <is>
          <t>N/A</t>
        </is>
      </c>
      <c r="BE104" s="62" t="inlineStr">
        <is>
          <t>N/A</t>
        </is>
      </c>
      <c r="BF104" s="62" t="inlineStr">
        <is>
          <t>N/A</t>
        </is>
      </c>
      <c r="BG104" s="74" t="inlineStr">
        <is>
          <t>Morgan Stanley Asia Limited; UBS Securities Hong Kong Limited</t>
        </is>
      </c>
      <c r="BH104" s="62" t="inlineStr">
        <is>
          <t>Morgan Stanley Asia Limited; UBS Securities Hong Kong Limited</t>
        </is>
      </c>
      <c r="BI104" s="62" t="inlineStr">
        <is>
          <t>Morgan Stanley Asia Limited; UBS AG Hong Kong Branch; Central, Hong Kong China International Capital Corporation Hong Kong Securities Limited; Haitong International Securities Company Limited</t>
        </is>
      </c>
      <c r="BJ104" s="62" t="inlineStr">
        <is>
          <t>China International Capital Corporation Hong Kong Securities Limited; CMB International Capital Limited; Futu Securities International (Hong Kong) Limited; Haitong International Securities Company Limited; The Hongkong and Shanghai Banking Corporation Limited; Morgan Stanley Asia Limited; UBS AG Hong Kong Branch</t>
        </is>
      </c>
      <c r="BK104" s="76">
        <f>HYPERLINK("https://www1.hkexnews.hk/listedco/listconews/sehk/2022/0309/2022030900091.pdf","prospectus")</f>
        <v/>
      </c>
      <c r="BL104" s="76">
        <f>HYPERLINK("https://www1.hkexnews.hk/listedco/listconews/sehk/2022/0321/2022032100094.htm","allotment")</f>
        <v/>
      </c>
      <c r="BM104" s="76">
        <f>HYPERLINK("https://www1.hkexnews.hk/listedco/listconews/sehk/2022/0413/2022041301532.pdf","stabilisation")</f>
        <v/>
      </c>
      <c r="BN104" s="74" t="n"/>
      <c r="BO104" s="62" t="inlineStr">
        <is>
          <t>P/E: n/m — loss-making at IPO (use P/S) · range low: cap-only pricing — the filing publishes a Maximum Offer Price and no indicative floor · A/H: no A-share listing · cornerstone: AAStocks institutional table includes non-cornerstone orders (superset) — cornerstone % is from the prospectus</t>
        </is>
      </c>
    </row>
    <row r="105" ht="15" customHeight="1">
      <c r="A105" s="61" t="inlineStr">
        <is>
          <t>9638</t>
        </is>
      </c>
      <c r="B105" s="62" t="inlineStr">
        <is>
          <t>FERRETTI</t>
        </is>
      </c>
      <c r="C105" s="62" t="inlineStr">
        <is>
          <t>法拉帝</t>
        </is>
      </c>
      <c r="D105" s="62" t="inlineStr">
        <is>
          <t>Consumer</t>
        </is>
      </c>
      <c r="E105" s="62" t="inlineStr">
        <is>
          <t>Apparel / luxury</t>
        </is>
      </c>
      <c r="F105" s="62" t="inlineStr">
        <is>
          <t>Leisure Products</t>
        </is>
      </c>
      <c r="G105" s="62" t="inlineStr">
        <is>
          <t>Standard</t>
        </is>
      </c>
      <c r="H105" s="63" t="n">
        <v>44651</v>
      </c>
      <c r="I105" s="64" t="n">
        <v>275.4</v>
      </c>
      <c r="J105" s="62" t="inlineStr">
        <is>
          <t>net proceeds</t>
        </is>
      </c>
      <c r="K105" s="65" t="n">
        <v>21.82</v>
      </c>
      <c r="L105" s="65" t="n">
        <v>28.24</v>
      </c>
      <c r="M105" s="65" t="n">
        <v>22.88</v>
      </c>
      <c r="N105" s="62" t="inlineStr">
        <is>
          <t>N</t>
        </is>
      </c>
      <c r="O105" s="66" t="n">
        <v>81</v>
      </c>
      <c r="P105" s="66" t="n">
        <v>16.5</v>
      </c>
      <c r="Q105" s="67" t="n">
        <v>9146.299999999999</v>
      </c>
      <c r="R105" s="62" t="inlineStr">
        <is>
          <t>aastocks:上市市值 at the struck price</t>
        </is>
      </c>
      <c r="S105" s="68" t="n">
        <v>1.07</v>
      </c>
      <c r="T105" s="69" t="n">
        <v>2.06</v>
      </c>
      <c r="U105" s="70" t="n">
        <v>53.02</v>
      </c>
      <c r="V105" s="66" t="n">
        <v>1.41</v>
      </c>
      <c r="W105" s="62" t="inlineStr">
        <is>
          <t>Hainan Financial Holdings Co., Ltd; Hainan Free Trade Port Construction Investment Fund Co., Ltd; Qingdao Haifa Holding Development Co., Ltd; Sanya Development Holdings Co., Ltd; Sunshine Life Insurance Corporation Limited</t>
        </is>
      </c>
      <c r="X105" s="62" t="inlineStr">
        <is>
          <t>hainan;qingdao;sanya;sunshine</t>
        </is>
      </c>
      <c r="Y105" s="66" t="n">
        <v>15</v>
      </c>
      <c r="Z105" s="62" t="inlineStr">
        <is>
          <t>partial</t>
        </is>
      </c>
      <c r="AA105" s="71" t="n">
        <v>-0.13</v>
      </c>
      <c r="AB105" s="72" t="n">
        <v>0.74</v>
      </c>
      <c r="AC105" s="72" t="n">
        <v>-0.86</v>
      </c>
      <c r="AD105" s="72" t="n">
        <v>-0.13</v>
      </c>
      <c r="AE105" s="72" t="n">
        <v>9.27</v>
      </c>
      <c r="AF105" s="72" t="n">
        <v>-13.11</v>
      </c>
      <c r="AG105" s="72" t="n">
        <v>0</v>
      </c>
      <c r="AH105" s="72" t="n">
        <v>9.41</v>
      </c>
      <c r="AI105" s="72" t="n">
        <v>-13</v>
      </c>
      <c r="AJ105" s="72" t="n">
        <v>4.09</v>
      </c>
      <c r="AK105" s="72" t="n">
        <v>16.35</v>
      </c>
      <c r="AL105" s="72" t="n">
        <v>-13.58</v>
      </c>
      <c r="AM105" s="72" t="n">
        <v>14.64</v>
      </c>
      <c r="AN105" s="72" t="n">
        <v>-7.08</v>
      </c>
      <c r="AO105" s="72" t="n">
        <v>-5.23</v>
      </c>
      <c r="AP105" s="62" t="inlineStr">
        <is>
          <t>Hang Seng Commerce &amp; Industry sub-index</t>
        </is>
      </c>
      <c r="AQ105" s="72" t="n">
        <v>57.34</v>
      </c>
      <c r="AR105" s="63" t="inlineStr">
        <is>
          <t>2026-08-19</t>
        </is>
      </c>
      <c r="AS105" s="64" t="n"/>
      <c r="AT105" s="67" t="n"/>
      <c r="AU105" s="62" t="n"/>
      <c r="AV105" s="73" t="n">
        <v>18</v>
      </c>
      <c r="AW105" s="73" t="n">
        <v>18</v>
      </c>
      <c r="AX105" s="73" t="n">
        <v>16</v>
      </c>
      <c r="AY105" s="73" t="n"/>
      <c r="AZ105" s="74" t="inlineStr">
        <is>
          <t>N</t>
        </is>
      </c>
      <c r="BA105" s="75">
        <f>IF('BBG Verify'!K105="","not filed — run on terminal",'BBG Verify'!K105)</f>
        <v/>
      </c>
      <c r="BB105" s="62" t="inlineStr">
        <is>
          <t>N/A</t>
        </is>
      </c>
      <c r="BC105" s="62" t="inlineStr">
        <is>
          <t>N/A</t>
        </is>
      </c>
      <c r="BD105" s="62" t="inlineStr">
        <is>
          <t>N/A</t>
        </is>
      </c>
      <c r="BE105" s="62" t="inlineStr">
        <is>
          <t>N/A</t>
        </is>
      </c>
      <c r="BF105" s="62" t="inlineStr">
        <is>
          <t>N/A</t>
        </is>
      </c>
      <c r="BG105" s="74" t="inlineStr">
        <is>
          <t>China International Capital Corporation Hong Kong Securities Limited</t>
        </is>
      </c>
      <c r="BH105" s="62" t="inlineStr">
        <is>
          <t>China International Capital Corporation Hong Kong Securities Limited</t>
        </is>
      </c>
      <c r="BI105" s="62" t="inlineStr">
        <is>
          <t>China International Capital Corporation Hong Kong Securities Limited; BNP Paribas Securities (Asia) Limited; Zhongtai International Securities Limited</t>
        </is>
      </c>
      <c r="BJ105" s="62" t="inlineStr">
        <is>
          <t>BNP Paribas Securities (Asia) Limited; China International Capital Corporation Hong Kong Securities Limited; Zhongtai International Securities Limited</t>
        </is>
      </c>
      <c r="BK105" s="76">
        <f>HYPERLINK("https://www1.hkexnews.hk/listedco/listconews/sehk/2022/0322/2022032200013.pdf","prospectus")</f>
        <v/>
      </c>
      <c r="BL105" s="76">
        <f>HYPERLINK("https://www1.hkexnews.hk/listedco/listconews/sehk/2022/0330/2022033000050.htm","allotment")</f>
        <v/>
      </c>
      <c r="BM105" s="76">
        <f>HYPERLINK("https://www1.hkexnews.hk/listedco/listconews/sehk/2022/0424/2022042400017.pdf","stabilisation")</f>
        <v/>
      </c>
      <c r="BN105" s="74" t="n"/>
      <c r="BO105" s="62" t="inlineStr">
        <is>
          <t>P/E: from Bloomberg (trailing-12m EPS at listing) — the prospectus-FY multiple was not derivable · A/H: no A-share listing · cornerstone: AAStocks institutional table includes non-cornerstone orders (superset) — cornerstone % is from the prospectus · P/S: revenue not extractable · financials: financial tables not machine-extractable and the pre-IPO year is outside AAStocks' 5-year window</t>
        </is>
      </c>
    </row>
    <row r="106" ht="15" customHeight="1">
      <c r="A106" s="61" t="inlineStr">
        <is>
          <t>2179</t>
        </is>
      </c>
      <c r="B106" s="62" t="inlineStr">
        <is>
          <t>RECBIO-B</t>
        </is>
      </c>
      <c r="C106" s="62" t="inlineStr">
        <is>
          <t>瑞科生物－Ｂ</t>
        </is>
      </c>
      <c r="D106" s="62" t="inlineStr">
        <is>
          <t>Healthcare</t>
        </is>
      </c>
      <c r="E106" s="62" t="inlineStr">
        <is>
          <t>Biotech pre-revenue (18A)</t>
        </is>
      </c>
      <c r="F106" s="62" t="inlineStr">
        <is>
          <t>Biotechnology</t>
        </is>
      </c>
      <c r="G106" s="62" t="inlineStr">
        <is>
          <t>18A</t>
        </is>
      </c>
      <c r="H106" s="63" t="n">
        <v>44651</v>
      </c>
      <c r="I106" s="64" t="n">
        <v>672.4</v>
      </c>
      <c r="J106" s="62" t="inlineStr">
        <is>
          <t>net proceeds</t>
        </is>
      </c>
      <c r="K106" s="65" t="n"/>
      <c r="L106" s="65" t="n">
        <v>24.8</v>
      </c>
      <c r="M106" s="65" t="n">
        <v>24.8</v>
      </c>
      <c r="N106" s="62" t="inlineStr">
        <is>
          <t>Y</t>
        </is>
      </c>
      <c r="O106" s="66" t="n">
        <v>100</v>
      </c>
      <c r="P106" s="66" t="n"/>
      <c r="Q106" s="67" t="n">
        <v>9160.799999999999</v>
      </c>
      <c r="R106" s="62" t="inlineStr">
        <is>
          <t>derived:deal size / offer % of enlarged capital</t>
        </is>
      </c>
      <c r="S106" s="68" t="n">
        <v>10.65</v>
      </c>
      <c r="T106" s="69" t="n">
        <v>1.39</v>
      </c>
      <c r="U106" s="70" t="n">
        <v>18.62</v>
      </c>
      <c r="V106" s="66" t="n">
        <v>5.97</v>
      </c>
      <c r="W106" s="62" t="inlineStr">
        <is>
          <t>Harvest High Yield SP; SCC Growth VI Holdco C (HK) Limited; SCHP Master Fund; Yangtze River (Hong Kong) Limited</t>
        </is>
      </c>
      <c r="X106" s="62" t="inlineStr">
        <is>
          <t>harvest;scc;schp;yangtze</t>
        </is>
      </c>
      <c r="Y106" s="66" t="n">
        <v>6.44</v>
      </c>
      <c r="Z106" s="62" t="inlineStr">
        <is>
          <t>partial</t>
        </is>
      </c>
      <c r="AA106" s="71" t="n">
        <v>1.81</v>
      </c>
      <c r="AB106" s="72" t="n">
        <v>0.8100000000000001</v>
      </c>
      <c r="AC106" s="72" t="n">
        <v>0.99</v>
      </c>
      <c r="AD106" s="72" t="n">
        <v>10.08</v>
      </c>
      <c r="AE106" s="72" t="n">
        <v>0.2</v>
      </c>
      <c r="AF106" s="72" t="n">
        <v>-8.67</v>
      </c>
      <c r="AG106" s="72" t="n">
        <v>8.119999999999999</v>
      </c>
      <c r="AH106" s="72" t="n">
        <v>-1.58</v>
      </c>
      <c r="AI106" s="72" t="n">
        <v>-10.29</v>
      </c>
      <c r="AJ106" s="72" t="n">
        <v>15.66</v>
      </c>
      <c r="AK106" s="72" t="n">
        <v>16.05</v>
      </c>
      <c r="AL106" s="72" t="n">
        <v>-10.35</v>
      </c>
      <c r="AM106" s="72" t="n">
        <v>11.73</v>
      </c>
      <c r="AN106" s="72" t="n">
        <v>-15.85</v>
      </c>
      <c r="AO106" s="72" t="n">
        <v>-13.31</v>
      </c>
      <c r="AP106" s="62" t="inlineStr">
        <is>
          <t>China Biotech ETF (HS biotech proxy)</t>
        </is>
      </c>
      <c r="AQ106" s="72" t="n">
        <v>-79.84</v>
      </c>
      <c r="AR106" s="63" t="inlineStr">
        <is>
          <t>2026-08-19</t>
        </is>
      </c>
      <c r="AS106" s="64" t="n">
        <v>0</v>
      </c>
      <c r="AT106" s="67" t="n">
        <v>-723.4</v>
      </c>
      <c r="AU106" s="62" t="inlineStr">
        <is>
          <t>N</t>
        </is>
      </c>
      <c r="AV106" s="62" t="inlineStr">
        <is>
          <t>n/m</t>
        </is>
      </c>
      <c r="AW106" s="73" t="n"/>
      <c r="AX106" s="73" t="n"/>
      <c r="AY106" s="62" t="inlineStr">
        <is>
          <t>pre-rev</t>
        </is>
      </c>
      <c r="AZ106" s="74" t="inlineStr">
        <is>
          <t>N</t>
        </is>
      </c>
      <c r="BA106" s="75">
        <f>IF('BBG Verify'!K106="","not filed — run on terminal",'BBG Verify'!K106)</f>
        <v/>
      </c>
      <c r="BB106" s="62" t="inlineStr">
        <is>
          <t>N/A</t>
        </is>
      </c>
      <c r="BC106" s="62" t="inlineStr">
        <is>
          <t>N/A</t>
        </is>
      </c>
      <c r="BD106" s="62" t="inlineStr">
        <is>
          <t>N/A</t>
        </is>
      </c>
      <c r="BE106" s="62" t="inlineStr">
        <is>
          <t>N/A</t>
        </is>
      </c>
      <c r="BF106" s="62" t="inlineStr">
        <is>
          <t>N/A</t>
        </is>
      </c>
      <c r="BG106" s="74" t="inlineStr">
        <is>
          <t>Morgan Stanley Asia Limited; CMB International Capital Limited; CLSA Capital Markets Limited; Morgan Stanley &amp; Co. International plc; London E14 4QA United Kingdom CMB International Capital Limited; CLSA Limited</t>
        </is>
      </c>
      <c r="BH106" s="62" t="inlineStr">
        <is>
          <t>Morgan Stanley Asia Limited; CLSA Capital Markets Limited; CMB International Capital Corporation Limited</t>
        </is>
      </c>
      <c r="BI106" s="62" t="inlineStr">
        <is>
          <t>Morgan Stanley Asia Limited; CMB International Capital Limited; CLSA Limited; Morgan Stanley &amp; Co. International plc; London E14 4QA United Kingdom CMB International Capital Limited; Haitong International Securities Company Limited; GF Securities (Hong Kong) Brokerage Limited; Essence International Securities (Hong Kong) Limited; Valuable Capital Limited</t>
        </is>
      </c>
      <c r="BJ106" s="62" t="inlineStr">
        <is>
          <t>China Industrial Securities International Capital Limited; CLSA Limited; CMB International Capital Limited; Essence International Securities (Hong Kong) Limited; GF Securities (Hong Kong) Brokerage Limited; Haitong International Securities Company Limited; Livermore Holdings Limited; Morgan Stanley Asia Limited; Valuable Capital Limited</t>
        </is>
      </c>
      <c r="BK106" s="76">
        <f>HYPERLINK("https://www1.hkexnews.hk/listedco/listconews/sehk/2022/0321/2022032100025.pdf","prospectus")</f>
        <v/>
      </c>
      <c r="BL106" s="76">
        <f>HYPERLINK("https://www1.hkexnews.hk/listedco/listconews/sehk/2022/0330/2022033000086.htm","allotment")</f>
        <v/>
      </c>
      <c r="BM106" s="76">
        <f>HYPERLINK("https://www1.hkexnews.hk/listedco/listconews/sehk/2022/0424/2022042400203.pdf","stabilisation")</f>
        <v/>
      </c>
      <c r="BN106" s="74" t="n"/>
      <c r="BO106" s="62" t="inlineStr">
        <is>
          <t>P/E: n/m — loss-making at IPO (use P/S) · range low: cap-only pricing — the filing publishes a Maximum Offer Price and no indicative floor · A/H: no A-share listing · cornerstone: AAStocks institutional table includes non-cornerstone orders (superset) — cornerstone % is from the prospectus · P/S: no revenue line in the filed P&amp;L (pre-revenue issuer) — no sales multiple can exist; the cell reads pre-rev, not blank · deal size: stated gross HK$32.5m rejected — below the deal's own net proceeds HK$672.4m, which cannot happen</t>
        </is>
      </c>
    </row>
    <row r="107" ht="15" customHeight="1">
      <c r="A107" s="61" t="inlineStr">
        <is>
          <t>2370</t>
        </is>
      </c>
      <c r="B107" s="62" t="inlineStr">
        <is>
          <t>REDCO HEALTHY</t>
        </is>
      </c>
      <c r="C107" s="62" t="inlineStr">
        <is>
          <t>力高健康生活</t>
        </is>
      </c>
      <c r="D107" s="62" t="inlineStr">
        <is>
          <t>Real Estate</t>
        </is>
      </c>
      <c r="E107" s="62" t="inlineStr">
        <is>
          <t>Property management</t>
        </is>
      </c>
      <c r="F107" s="62" t="inlineStr">
        <is>
          <t>Property Service and Management</t>
        </is>
      </c>
      <c r="G107" s="62" t="inlineStr">
        <is>
          <t>Standard</t>
        </is>
      </c>
      <c r="H107" s="63" t="n">
        <v>44651</v>
      </c>
      <c r="I107" s="64" t="n">
        <v>205</v>
      </c>
      <c r="J107" s="62" t="inlineStr">
        <is>
          <t>gross (price x shares)</t>
        </is>
      </c>
      <c r="K107" s="65" t="n">
        <v>4.1</v>
      </c>
      <c r="L107" s="65" t="n">
        <v>5.1</v>
      </c>
      <c r="M107" s="65" t="n">
        <v>4.1</v>
      </c>
      <c r="N107" s="62" t="inlineStr">
        <is>
          <t>N</t>
        </is>
      </c>
      <c r="O107" s="66" t="n">
        <v>80.40000000000001</v>
      </c>
      <c r="P107" s="66" t="n">
        <v>0</v>
      </c>
      <c r="Q107" s="67" t="n">
        <v>980.8</v>
      </c>
      <c r="R107" s="62" t="inlineStr">
        <is>
          <t>aastocks:上市市值 at the struck price</t>
        </is>
      </c>
      <c r="S107" s="68" t="n">
        <v>1.99</v>
      </c>
      <c r="T107" s="69" t="n">
        <v>1.14</v>
      </c>
      <c r="U107" s="70" t="n">
        <v>0</v>
      </c>
      <c r="V107" s="66" t="n">
        <v>20.9</v>
      </c>
      <c r="W107" s="62" t="n"/>
      <c r="X107" s="62" t="n"/>
      <c r="Y107" s="66" t="n">
        <v>15</v>
      </c>
      <c r="Z107" s="62" t="inlineStr">
        <is>
          <t>lapsed (no over-allocation)</t>
        </is>
      </c>
      <c r="AA107" s="71" t="n">
        <v>26.34</v>
      </c>
      <c r="AB107" s="72" t="n">
        <v>10.98</v>
      </c>
      <c r="AC107" s="72" t="n">
        <v>13.84</v>
      </c>
      <c r="AD107" s="72" t="n">
        <v>101.22</v>
      </c>
      <c r="AE107" s="72" t="n">
        <v>103.66</v>
      </c>
      <c r="AF107" s="72" t="n">
        <v>168.29</v>
      </c>
      <c r="AG107" s="72" t="n">
        <v>59.27</v>
      </c>
      <c r="AH107" s="72" t="n">
        <v>61.2</v>
      </c>
      <c r="AI107" s="72" t="n">
        <v>112.36</v>
      </c>
      <c r="AJ107" s="72" t="n">
        <v>97.17</v>
      </c>
      <c r="AK107" s="72" t="n">
        <v>106.03</v>
      </c>
      <c r="AL107" s="72" t="n">
        <v>174.01</v>
      </c>
      <c r="AM107" s="72" t="n">
        <v>62.19</v>
      </c>
      <c r="AN107" s="72" t="n">
        <v>-2.37</v>
      </c>
      <c r="AO107" s="72" t="n">
        <v>-0.99</v>
      </c>
      <c r="AP107" s="62" t="inlineStr">
        <is>
          <t>Hang Seng Properties sub-index</t>
        </is>
      </c>
      <c r="AQ107" s="72" t="n">
        <v>-64.63</v>
      </c>
      <c r="AR107" s="63" t="inlineStr">
        <is>
          <t>2026-08-20</t>
        </is>
      </c>
      <c r="AS107" s="64" t="n">
        <v>243.8</v>
      </c>
      <c r="AT107" s="67" t="n">
        <v>32.8</v>
      </c>
      <c r="AU107" s="62" t="inlineStr">
        <is>
          <t>Y</t>
        </is>
      </c>
      <c r="AV107" s="73" t="n">
        <v>29.9</v>
      </c>
      <c r="AW107" s="73" t="n"/>
      <c r="AX107" s="73" t="n"/>
      <c r="AY107" s="73" t="n">
        <v>4</v>
      </c>
      <c r="AZ107" s="74" t="inlineStr">
        <is>
          <t>N</t>
        </is>
      </c>
      <c r="BA107" s="75">
        <f>IF('BBG Verify'!K107="","not filed — run on terminal",'BBG Verify'!K107)</f>
        <v/>
      </c>
      <c r="BB107" s="62" t="inlineStr">
        <is>
          <t>N/A</t>
        </is>
      </c>
      <c r="BC107" s="62" t="inlineStr">
        <is>
          <t>N/A</t>
        </is>
      </c>
      <c r="BD107" s="62" t="inlineStr">
        <is>
          <t>N/A</t>
        </is>
      </c>
      <c r="BE107" s="62" t="inlineStr">
        <is>
          <t>N/A</t>
        </is>
      </c>
      <c r="BF107" s="62" t="inlineStr">
        <is>
          <t>N/A</t>
        </is>
      </c>
      <c r="BG107" s="74" t="inlineStr">
        <is>
          <t>ABCI Capital Limited</t>
        </is>
      </c>
      <c r="BH107" s="62" t="inlineStr">
        <is>
          <t>ABCI Capital Limited</t>
        </is>
      </c>
      <c r="BI107" s="62" t="inlineStr">
        <is>
          <t>ABCI Capital Limited; Valuable Capital Limited; Guotai Junan Securities (Hong Kong) Limited; CCB International Capital Limited; Zhongtai International Securities Limited</t>
        </is>
      </c>
      <c r="BJ107" s="62" t="inlineStr">
        <is>
          <t>ABCI Securities Company Limited; CCB International Capital Limited; Guotai Junan Securities (Hong Kong) Limited; Sorrento Securities Limited; Valuable Capital Limited; Yuzhou Financial Holdings Limited; Zheshang International Financial Holdings Co., Limited; Zhongtai International Securities Limited</t>
        </is>
      </c>
      <c r="BK107" s="76">
        <f>HYPERLINK("https://www1.hkexnews.hk/listedco/listconews/sehk/2022/0322/2022032200231.pdf","prospectus")</f>
        <v/>
      </c>
      <c r="BL107" s="76">
        <f>HYPERLINK("https://www1.hkexnews.hk/listedco/listconews/sehk/2022/0330/2022033000152.htm","allotment")</f>
        <v/>
      </c>
      <c r="BM107" s="76">
        <f>HYPERLINK("https://www1.hkexnews.hk/listedco/listconews/sehk/2022/0425/2022042500019.pdf","stabilisation")</f>
        <v/>
      </c>
      <c r="BN107" s="74" t="n"/>
      <c r="BO107" s="62" t="inlineStr">
        <is>
          <t>A/H: no A-share listing · cornerstone list: no cornerstone tranche in this deal</t>
        </is>
      </c>
    </row>
    <row r="108" ht="15" customHeight="1">
      <c r="A108" s="61" t="inlineStr">
        <is>
          <t>2390</t>
        </is>
      </c>
      <c r="B108" s="62" t="inlineStr">
        <is>
          <t>ZHIHU-W</t>
        </is>
      </c>
      <c r="C108" s="62" t="inlineStr">
        <is>
          <t>知乎－Ｗ</t>
        </is>
      </c>
      <c r="D108" s="62" t="inlineStr">
        <is>
          <t>Tech/AI</t>
        </is>
      </c>
      <c r="E108" s="62" t="inlineStr">
        <is>
          <t>Internet platform / e-commerce</t>
        </is>
      </c>
      <c r="F108" s="62" t="inlineStr">
        <is>
          <t>e-Commerce &amp; Internet Services</t>
        </is>
      </c>
      <c r="G108" s="62" t="inlineStr">
        <is>
          <t>WVR</t>
        </is>
      </c>
      <c r="H108" s="63" t="n">
        <v>44673</v>
      </c>
      <c r="I108" s="64" t="n">
        <v>833.6</v>
      </c>
      <c r="J108" s="62" t="inlineStr">
        <is>
          <t>gross (price x shares)</t>
        </is>
      </c>
      <c r="K108" s="65" t="n"/>
      <c r="L108" s="65" t="n">
        <v>32.06</v>
      </c>
      <c r="M108" s="65" t="n">
        <v>32.06</v>
      </c>
      <c r="N108" s="62" t="inlineStr">
        <is>
          <t>Y</t>
        </is>
      </c>
      <c r="O108" s="66" t="n">
        <v>100</v>
      </c>
      <c r="P108" s="66" t="n"/>
      <c r="Q108" s="67" t="n">
        <v>16410</v>
      </c>
      <c r="R108" s="62" t="inlineStr">
        <is>
          <t>prospectus:stated market capitalisation</t>
        </is>
      </c>
      <c r="S108" s="68" t="n">
        <v>1</v>
      </c>
      <c r="T108" s="69" t="n">
        <v>4.37</v>
      </c>
      <c r="U108" s="70" t="n"/>
      <c r="V108" s="66" t="n">
        <v>5.08</v>
      </c>
      <c r="W108" s="62" t="n"/>
      <c r="X108" s="62" t="n"/>
      <c r="Y108" s="66" t="n">
        <v>8.199999999999999</v>
      </c>
      <c r="Z108" s="62" t="inlineStr">
        <is>
          <t>lapsed</t>
        </is>
      </c>
      <c r="AA108" s="71" t="n">
        <v>-23.58</v>
      </c>
      <c r="AB108" s="72" t="n">
        <v>-22.18</v>
      </c>
      <c r="AC108" s="72" t="n">
        <v>-1.8</v>
      </c>
      <c r="AD108" s="72" t="n">
        <v>-15.78</v>
      </c>
      <c r="AE108" s="72" t="n">
        <v>-36.21</v>
      </c>
      <c r="AF108" s="72" t="n">
        <v>-32.94</v>
      </c>
      <c r="AG108" s="72" t="n">
        <v>10.21</v>
      </c>
      <c r="AH108" s="72" t="n">
        <v>-16.53</v>
      </c>
      <c r="AI108" s="72" t="n">
        <v>-12.25</v>
      </c>
      <c r="AJ108" s="72" t="n">
        <v>-27.89</v>
      </c>
      <c r="AK108" s="72" t="n">
        <v>-37.89</v>
      </c>
      <c r="AL108" s="72" t="n">
        <v>-48.56</v>
      </c>
      <c r="AM108" s="72" t="n">
        <v>-17.9</v>
      </c>
      <c r="AN108" s="72" t="n">
        <v>1.68</v>
      </c>
      <c r="AO108" s="72" t="n">
        <v>1.37</v>
      </c>
      <c r="AP108" s="62" t="inlineStr">
        <is>
          <t>HSTECH (Hang Seng TECH ETF)</t>
        </is>
      </c>
      <c r="AQ108" s="72" t="n">
        <v>-74.58</v>
      </c>
      <c r="AR108" s="63" t="inlineStr">
        <is>
          <t>2026-08-20</t>
        </is>
      </c>
      <c r="AS108" s="64" t="n">
        <v>3255.3</v>
      </c>
      <c r="AT108" s="67" t="n">
        <v>-569.3</v>
      </c>
      <c r="AU108" s="62" t="inlineStr">
        <is>
          <t>N</t>
        </is>
      </c>
      <c r="AV108" s="62" t="inlineStr">
        <is>
          <t>n/m</t>
        </is>
      </c>
      <c r="AW108" s="73" t="n"/>
      <c r="AX108" s="73" t="n"/>
      <c r="AY108" s="73" t="n">
        <v>5</v>
      </c>
      <c r="AZ108" s="74" t="inlineStr">
        <is>
          <t>N</t>
        </is>
      </c>
      <c r="BA108" s="75">
        <f>IF('BBG Verify'!K108="","not filed — run on terminal",'BBG Verify'!K108)</f>
        <v/>
      </c>
      <c r="BB108" s="62" t="inlineStr">
        <is>
          <t>N/A</t>
        </is>
      </c>
      <c r="BC108" s="62" t="inlineStr">
        <is>
          <t>N/A</t>
        </is>
      </c>
      <c r="BD108" s="62" t="inlineStr">
        <is>
          <t>N/A</t>
        </is>
      </c>
      <c r="BE108" s="62" t="inlineStr">
        <is>
          <t>N/A</t>
        </is>
      </c>
      <c r="BF108" s="62" t="inlineStr">
        <is>
          <t>N/A</t>
        </is>
      </c>
      <c r="BG108" s="74" t="inlineStr">
        <is>
          <t>Credit Suisse (Hong Kong) Limited; J.P. Morgan Securities (Far East) Limited; China International Capital Corporation Hong Kong Securities Limited; CMB International Capital Limited</t>
        </is>
      </c>
      <c r="BH108" s="62" t="inlineStr">
        <is>
          <t>China International Capital Corporation Hong Kong Securities Limited; J.P. Morgan Securities (Far East) Limited; CMB International Capital Limited; Credit Suisse (Hong Kong) Limited</t>
        </is>
      </c>
      <c r="BI108" s="62" t="inlineStr">
        <is>
          <t>Credit Suisse (Hong Kong) Limited; J.P. Morgan Securities (Asia Pacific) Limited; China International Capital Corporation Hong Kong Securities Limited</t>
        </is>
      </c>
      <c r="BJ108" s="62" t="inlineStr">
        <is>
          <t>CCB International Capital Limited; China International Capital Corporation Hong Kong Securities Limited; Citrus Securities Limited; CMB International Capital Corporation Limited; Credit Suisse (Hong Kong) Limited; Haitong International Securities Company Limited; J.P. Morgan Securities (Asia Pacific) Limited</t>
        </is>
      </c>
      <c r="BK108" s="76">
        <f>HYPERLINK("https://www1.hkexnews.hk/listedco/listconews/sehk/2022/0411/2022041100022.htm","prospectus")</f>
        <v/>
      </c>
      <c r="BL108" s="76">
        <f>HYPERLINK("https://www1.hkexnews.hk/listedco/listconews/sehk/2022/0421/2022042100020.htm","allotment")</f>
        <v/>
      </c>
      <c r="BM108" s="76">
        <f>HYPERLINK("https://www1.hkexnews.hk/listedco/listconews/sehk/2022/0515/2022051500043.pdf","stabilisation")</f>
        <v/>
      </c>
      <c r="BN108" s="74" t="n"/>
      <c r="BO108" s="62" t="inlineStr">
        <is>
          <t>P/E: n/m — loss-making at IPO (use P/S) · price range: fixed-price offering (no indicative range) · range low: cap-only pricing — the filing publishes a Maximum Offer Price and no indicative floor · A/H: no A-share listing · cornerstone list: cornerstone section not machine-extractable — see the prospectus link · cornerstone %: cornerstone aggregate not stated in the filing</t>
        </is>
      </c>
    </row>
    <row r="109" ht="15" customHeight="1">
      <c r="A109" s="61" t="inlineStr">
        <is>
          <t>2352</t>
        </is>
      </c>
      <c r="B109" s="62" t="inlineStr">
        <is>
          <t>DOWELL SERVICE</t>
        </is>
      </c>
      <c r="C109" s="62" t="inlineStr">
        <is>
          <t>東原仁知服務</t>
        </is>
      </c>
      <c r="D109" s="62" t="inlineStr">
        <is>
          <t>Real Estate</t>
        </is>
      </c>
      <c r="E109" s="62" t="inlineStr">
        <is>
          <t>Property management</t>
        </is>
      </c>
      <c r="F109" s="62" t="inlineStr">
        <is>
          <t>Property Service and Management</t>
        </is>
      </c>
      <c r="G109" s="62" t="inlineStr">
        <is>
          <t>Standard</t>
        </is>
      </c>
      <c r="H109" s="63" t="n">
        <v>44680</v>
      </c>
      <c r="I109" s="64" t="n">
        <v>198.3</v>
      </c>
      <c r="J109" s="62" t="inlineStr">
        <is>
          <t>gross (price x shares)</t>
        </is>
      </c>
      <c r="K109" s="65" t="n">
        <v>11.9</v>
      </c>
      <c r="L109" s="65" t="n">
        <v>15.4</v>
      </c>
      <c r="M109" s="65" t="n">
        <v>11.9</v>
      </c>
      <c r="N109" s="62" t="inlineStr">
        <is>
          <t>N</t>
        </is>
      </c>
      <c r="O109" s="66" t="n">
        <v>77.3</v>
      </c>
      <c r="P109" s="66" t="n">
        <v>0</v>
      </c>
      <c r="Q109" s="67" t="n">
        <v>793.2</v>
      </c>
      <c r="R109" s="62" t="inlineStr">
        <is>
          <t>derived:deal size / offer % of enlarged capital</t>
        </is>
      </c>
      <c r="S109" s="68" t="n">
        <v>4.35</v>
      </c>
      <c r="T109" s="69" t="n">
        <v>1.56</v>
      </c>
      <c r="U109" s="70" t="n">
        <v>0</v>
      </c>
      <c r="V109" s="66" t="n">
        <v>25</v>
      </c>
      <c r="W109" s="62" t="n"/>
      <c r="X109" s="62" t="n"/>
      <c r="Y109" s="66" t="n">
        <v>7.48</v>
      </c>
      <c r="Z109" s="62" t="inlineStr">
        <is>
          <t>partial</t>
        </is>
      </c>
      <c r="AA109" s="71" t="n">
        <v>0</v>
      </c>
      <c r="AB109" s="72" t="n">
        <v>0</v>
      </c>
      <c r="AC109" s="72" t="n">
        <v>0</v>
      </c>
      <c r="AD109" s="72" t="n">
        <v>-4.2</v>
      </c>
      <c r="AE109" s="72" t="n">
        <v>-0</v>
      </c>
      <c r="AF109" s="72" t="n">
        <v>-18.49</v>
      </c>
      <c r="AG109" s="72" t="n">
        <v>-4.2</v>
      </c>
      <c r="AH109" s="72" t="n">
        <v>0</v>
      </c>
      <c r="AI109" s="72" t="n">
        <v>-18.49</v>
      </c>
      <c r="AJ109" s="72" t="n">
        <v>0.41</v>
      </c>
      <c r="AK109" s="72" t="n">
        <v>-0.61</v>
      </c>
      <c r="AL109" s="72" t="n">
        <v>-4.38</v>
      </c>
      <c r="AM109" s="72" t="n">
        <v>-0.17</v>
      </c>
      <c r="AN109" s="72" t="n">
        <v>0.61</v>
      </c>
      <c r="AO109" s="72" t="n">
        <v>0.17</v>
      </c>
      <c r="AP109" s="62" t="inlineStr">
        <is>
          <t>Hang Seng Properties sub-index</t>
        </is>
      </c>
      <c r="AQ109" s="72" t="n">
        <v>-74.79000000000001</v>
      </c>
      <c r="AR109" s="63" t="inlineStr">
        <is>
          <t>2026-08-20</t>
        </is>
      </c>
      <c r="AS109" s="64" t="n">
        <v>1312.8</v>
      </c>
      <c r="AT109" s="67" t="n">
        <v>143.4</v>
      </c>
      <c r="AU109" s="62" t="inlineStr">
        <is>
          <t>Y</t>
        </is>
      </c>
      <c r="AV109" s="73" t="n">
        <v>5.5</v>
      </c>
      <c r="AW109" s="73" t="n"/>
      <c r="AX109" s="73" t="n">
        <v>7.1</v>
      </c>
      <c r="AY109" s="73" t="n">
        <v>0.6</v>
      </c>
      <c r="AZ109" s="74" t="inlineStr">
        <is>
          <t>N</t>
        </is>
      </c>
      <c r="BA109" s="75">
        <f>IF('BBG Verify'!K109="","not filed — run on terminal",'BBG Verify'!K109)</f>
        <v/>
      </c>
      <c r="BB109" s="62" t="inlineStr">
        <is>
          <t>N/A</t>
        </is>
      </c>
      <c r="BC109" s="62" t="inlineStr">
        <is>
          <t>N/A</t>
        </is>
      </c>
      <c r="BD109" s="62" t="inlineStr">
        <is>
          <t>N/A</t>
        </is>
      </c>
      <c r="BE109" s="62" t="inlineStr">
        <is>
          <t>N/A</t>
        </is>
      </c>
      <c r="BF109" s="62" t="inlineStr">
        <is>
          <t>N/A</t>
        </is>
      </c>
      <c r="BG109" s="74" t="inlineStr">
        <is>
          <t>Guotai Junan Capital Limited</t>
        </is>
      </c>
      <c r="BH109" s="62" t="inlineStr">
        <is>
          <t>Guotai Junan Capital Limited</t>
        </is>
      </c>
      <c r="BI109" s="62" t="inlineStr">
        <is>
          <t>Guotai Junan Securities (Hong Kong) Limited; ABCI Capital Limited; BOCOM International Securities Limited; CLSA Limited; ICBC International Capital Limited; CMBC Securities Company Limited; Fortune (HK) Securities Limited; Futu Securities International (Hong Kong) Limited; Guosen Securities (HK) Capital Company Limited; Zheshang International Financial Holdings Co., Limited</t>
        </is>
      </c>
      <c r="BJ109" s="62" t="inlineStr">
        <is>
          <t>ABCI Securities Company Limited; Beta International Securities Limited; China Everbright Securities (HK) Limited; CLSA Limited; CMBC Securities Company Limited; Fortune (HK) Securities Limited; Futu Securities International (Hong Kong) Limited; Guotai Junan Securities (Hong Kong) Limited; Guosen Securities (HK) Capital Company Limited; ICBC International Securities Limited; Merdeka Securities Limited; Zheshang International Financial Holdings Co., Limited</t>
        </is>
      </c>
      <c r="BK109" s="76">
        <f>HYPERLINK("https://www1.hkexnews.hk/listedco/listconews/sehk/2022/0419/2022041900041.pdf","prospectus")</f>
        <v/>
      </c>
      <c r="BL109" s="76">
        <f>HYPERLINK("https://www1.hkexnews.hk/listedco/listconews/sehk/2022/0428/2022042800071.htm","allotment")</f>
        <v/>
      </c>
      <c r="BM109" s="76">
        <f>HYPERLINK("https://www1.hkexnews.hk/listedco/listconews/sehk/2022/0523/2022052300039.pdf","stabilisation")</f>
        <v/>
      </c>
      <c r="BN109" s="74" t="n"/>
      <c r="BO109" s="62" t="inlineStr">
        <is>
          <t>A/H: no A-share listing · cornerstone list: no cornerstone tranche in this deal</t>
        </is>
      </c>
    </row>
    <row r="110" ht="15" customHeight="1">
      <c r="A110" s="61" t="inlineStr">
        <is>
          <t>2325</t>
        </is>
      </c>
      <c r="B110" s="62" t="inlineStr">
        <is>
          <t>YUNKANG GROUP</t>
        </is>
      </c>
      <c r="C110" s="62" t="inlineStr">
        <is>
          <t>雲康集團</t>
        </is>
      </c>
      <c r="D110" s="62" t="inlineStr">
        <is>
          <t>Healthcare</t>
        </is>
      </c>
      <c r="E110" s="62" t="inlineStr">
        <is>
          <t>CXO / pharma services</t>
        </is>
      </c>
      <c r="F110" s="62" t="inlineStr">
        <is>
          <t>Health Care Services</t>
        </is>
      </c>
      <c r="G110" s="62" t="inlineStr">
        <is>
          <t>Standard</t>
        </is>
      </c>
      <c r="H110" s="63" t="n">
        <v>44699</v>
      </c>
      <c r="I110" s="64" t="n">
        <v>1090.3</v>
      </c>
      <c r="J110" s="62" t="inlineStr">
        <is>
          <t>gross (price x shares)</t>
        </is>
      </c>
      <c r="K110" s="65" t="n"/>
      <c r="L110" s="65" t="n">
        <v>7.89</v>
      </c>
      <c r="M110" s="65" t="n">
        <v>7.89</v>
      </c>
      <c r="N110" s="62" t="inlineStr">
        <is>
          <t>Y</t>
        </is>
      </c>
      <c r="O110" s="66" t="n">
        <v>100</v>
      </c>
      <c r="P110" s="66" t="n"/>
      <c r="Q110" s="67" t="n">
        <v>4343.8</v>
      </c>
      <c r="R110" s="62" t="inlineStr">
        <is>
          <t>derived:deal size / offer % of enlarged capital</t>
        </is>
      </c>
      <c r="S110" s="68" t="n">
        <v>1.35</v>
      </c>
      <c r="T110" s="69" t="n">
        <v>1.39</v>
      </c>
      <c r="U110" s="70" t="n">
        <v>30.2</v>
      </c>
      <c r="V110" s="66" t="n">
        <v>17.52</v>
      </c>
      <c r="W110" s="62" t="inlineStr">
        <is>
          <t>Harvest International Premium Value (Secondary Market) Fund SPC; YHLO (Hong Kong) Limited</t>
        </is>
      </c>
      <c r="X110" s="62" t="inlineStr">
        <is>
          <t>harvest;yhlo</t>
        </is>
      </c>
      <c r="Y110" s="66" t="n">
        <v>6.17</v>
      </c>
      <c r="Z110" s="62" t="inlineStr">
        <is>
          <t>partial</t>
        </is>
      </c>
      <c r="AA110" s="71" t="n">
        <v>7.73</v>
      </c>
      <c r="AB110" s="72" t="n">
        <v>0</v>
      </c>
      <c r="AC110" s="72" t="n">
        <v>7.73</v>
      </c>
      <c r="AD110" s="72" t="n">
        <v>15.34</v>
      </c>
      <c r="AE110" s="72" t="n">
        <v>94.42</v>
      </c>
      <c r="AF110" s="72" t="n">
        <v>129.4</v>
      </c>
      <c r="AG110" s="72" t="n">
        <v>7.06</v>
      </c>
      <c r="AH110" s="72" t="n">
        <v>80.47</v>
      </c>
      <c r="AI110" s="72" t="n">
        <v>112.94</v>
      </c>
      <c r="AJ110" s="72" t="n">
        <v>17.68</v>
      </c>
      <c r="AK110" s="72" t="n">
        <v>88.43000000000001</v>
      </c>
      <c r="AL110" s="72" t="n">
        <v>119.58</v>
      </c>
      <c r="AM110" s="72" t="n">
        <v>73.54000000000001</v>
      </c>
      <c r="AN110" s="72" t="n">
        <v>5.99</v>
      </c>
      <c r="AO110" s="72" t="n">
        <v>6.93</v>
      </c>
      <c r="AP110" s="62" t="inlineStr">
        <is>
          <t>China Biotech ETF (HS biotech proxy)</t>
        </is>
      </c>
      <c r="AQ110" s="72" t="n">
        <v>-91.89</v>
      </c>
      <c r="AR110" s="63" t="inlineStr">
        <is>
          <t>2026-08-20</t>
        </is>
      </c>
      <c r="AS110" s="64" t="n">
        <v>1320.4</v>
      </c>
      <c r="AT110" s="67" t="n">
        <v>286.2</v>
      </c>
      <c r="AU110" s="62" t="inlineStr">
        <is>
          <t>Y</t>
        </is>
      </c>
      <c r="AV110" s="73" t="n">
        <v>15.2</v>
      </c>
      <c r="AW110" s="73" t="n"/>
      <c r="AX110" s="73" t="n">
        <v>58.6</v>
      </c>
      <c r="AY110" s="73" t="n">
        <v>3.3</v>
      </c>
      <c r="AZ110" s="74" t="inlineStr">
        <is>
          <t>N</t>
        </is>
      </c>
      <c r="BA110" s="75">
        <f>IF('BBG Verify'!K110="","not filed — run on terminal",'BBG Verify'!K110)</f>
        <v/>
      </c>
      <c r="BB110" s="62" t="inlineStr">
        <is>
          <t>N/A</t>
        </is>
      </c>
      <c r="BC110" s="62" t="inlineStr">
        <is>
          <t>N/A</t>
        </is>
      </c>
      <c r="BD110" s="62" t="inlineStr">
        <is>
          <t>N/A</t>
        </is>
      </c>
      <c r="BE110" s="62" t="inlineStr">
        <is>
          <t>N/A</t>
        </is>
      </c>
      <c r="BF110" s="62" t="inlineStr">
        <is>
          <t>N/A</t>
        </is>
      </c>
      <c r="BG110" s="74" t="inlineStr">
        <is>
          <t>CMB International Capital Limited; SPDB International Capital Limited</t>
        </is>
      </c>
      <c r="BH110" s="62" t="inlineStr">
        <is>
          <t>CMB International Capital Limited; SPDB International Capital Limited</t>
        </is>
      </c>
      <c r="BI110" s="62" t="inlineStr">
        <is>
          <t>CMB International Capital Limited; SPDB International Capital Limited; China Merchants Securities (HK) Co., Limited; CCB International Capital Limited; CRIC Securities Company Limited; Futu Securities International (Hong Kong) Limited</t>
        </is>
      </c>
      <c r="BJ110" s="62" t="inlineStr">
        <is>
          <t>Blackwell Global Securities Limited; CCB International Capital Limited; CMB International Capital Limited; China Merchants Securities (HK) Company Limited; CRIC Securities Company Limited; Futu Securities International (Hong Kong) Limited; Livermore Holdings Limited; SPDB International Capital Limited</t>
        </is>
      </c>
      <c r="BK110" s="76">
        <f>HYPERLINK("https://www1.hkexnews.hk/listedco/listconews/sehk/2022/0505/2022050500011.pdf","prospectus")</f>
        <v/>
      </c>
      <c r="BL110" s="76">
        <f>HYPERLINK("https://www1.hkexnews.hk/listedco/listconews/sehk/2022/0517/2022051700032.htm","allotment")</f>
        <v/>
      </c>
      <c r="BM110" s="76">
        <f>HYPERLINK("https://www1.hkexnews.hk/listedco/listconews/sehk/2022/0610/2022061001076.pdf","stabilisation")</f>
        <v/>
      </c>
      <c r="BN110" s="74" t="n"/>
      <c r="BO110" s="62" t="inlineStr">
        <is>
          <t>range low: cap-only pricing — the filing publishes a Maximum Offer Price and no indicative floor · A/H: no A-share listing</t>
        </is>
      </c>
    </row>
    <row r="111" ht="15" customHeight="1">
      <c r="A111" s="61" t="inlineStr">
        <is>
          <t>2347</t>
        </is>
      </c>
      <c r="B111" s="62" t="inlineStr">
        <is>
          <t>YOHO GROUP</t>
        </is>
      </c>
      <c r="C111" s="62" t="inlineStr">
        <is>
          <t>友和集團</t>
        </is>
      </c>
      <c r="D111" s="62" t="inlineStr">
        <is>
          <t>Consumer</t>
        </is>
      </c>
      <c r="E111" s="62" t="inlineStr">
        <is>
          <t>Retail / distribution</t>
        </is>
      </c>
      <c r="F111" s="62" t="inlineStr">
        <is>
          <t>Household Appliances Retail</t>
        </is>
      </c>
      <c r="G111" s="62" t="inlineStr">
        <is>
          <t>Standard</t>
        </is>
      </c>
      <c r="H111" s="63" t="n">
        <v>44722</v>
      </c>
      <c r="I111" s="64" t="n">
        <v>17.4</v>
      </c>
      <c r="J111" s="62" t="inlineStr">
        <is>
          <t>net proceeds</t>
        </is>
      </c>
      <c r="K111" s="65" t="n"/>
      <c r="L111" s="65" t="n">
        <v>2.1</v>
      </c>
      <c r="M111" s="65" t="n">
        <v>2.1</v>
      </c>
      <c r="N111" s="62" t="inlineStr">
        <is>
          <t>Y</t>
        </is>
      </c>
      <c r="O111" s="66" t="n">
        <v>100</v>
      </c>
      <c r="P111" s="66" t="n"/>
      <c r="Q111" s="67" t="n">
        <v>1074.1</v>
      </c>
      <c r="R111" s="62" t="inlineStr">
        <is>
          <t>derived:deal size / offer % of enlarged capital</t>
        </is>
      </c>
      <c r="S111" s="68" t="n">
        <v>8.369999999999999</v>
      </c>
      <c r="T111" s="69" t="n">
        <v>1.23</v>
      </c>
      <c r="U111" s="70" t="n">
        <v>0</v>
      </c>
      <c r="V111" s="66" t="n">
        <v>1.62</v>
      </c>
      <c r="W111" s="62" t="n"/>
      <c r="X111" s="62" t="n"/>
      <c r="Y111" s="66" t="n">
        <v>15</v>
      </c>
      <c r="Z111" s="62" t="inlineStr">
        <is>
          <t>lapsed</t>
        </is>
      </c>
      <c r="AA111" s="71" t="n">
        <v>0</v>
      </c>
      <c r="AB111" s="72" t="n">
        <v>8.57</v>
      </c>
      <c r="AC111" s="72" t="n">
        <v>-7.89</v>
      </c>
      <c r="AD111" s="72" t="n">
        <v>-6.19</v>
      </c>
      <c r="AE111" s="72" t="n">
        <v>-28.1</v>
      </c>
      <c r="AF111" s="72" t="n">
        <v>-35.24</v>
      </c>
      <c r="AG111" s="72" t="n">
        <v>-6.19</v>
      </c>
      <c r="AH111" s="72" t="n">
        <v>-28.1</v>
      </c>
      <c r="AI111" s="72" t="n">
        <v>-35.24</v>
      </c>
      <c r="AJ111" s="72" t="n">
        <v>-1.68</v>
      </c>
      <c r="AK111" s="72" t="n">
        <v>-21.83</v>
      </c>
      <c r="AL111" s="72" t="n">
        <v>-20.29</v>
      </c>
      <c r="AM111" s="72" t="n">
        <v>-21.45</v>
      </c>
      <c r="AN111" s="72" t="n">
        <v>-6.27</v>
      </c>
      <c r="AO111" s="72" t="n">
        <v>-6.65</v>
      </c>
      <c r="AP111" s="62" t="inlineStr">
        <is>
          <t>Hang Seng Commerce &amp; Industry sub-index</t>
        </is>
      </c>
      <c r="AQ111" s="72" t="n">
        <v>-65</v>
      </c>
      <c r="AR111" s="63" t="inlineStr">
        <is>
          <t>2026-08-20</t>
        </is>
      </c>
      <c r="AS111" s="64" t="n">
        <v>523</v>
      </c>
      <c r="AT111" s="67" t="n">
        <v>33.7</v>
      </c>
      <c r="AU111" s="62" t="inlineStr">
        <is>
          <t>Y</t>
        </is>
      </c>
      <c r="AV111" s="73" t="n">
        <v>31.9</v>
      </c>
      <c r="AW111" s="73" t="n"/>
      <c r="AX111" s="73" t="n">
        <v>20.8</v>
      </c>
      <c r="AY111" s="73" t="n">
        <v>2.1</v>
      </c>
      <c r="AZ111" s="74" t="inlineStr">
        <is>
          <t>N</t>
        </is>
      </c>
      <c r="BA111" s="75">
        <f>IF('BBG Verify'!K111="","not filed — run on terminal",'BBG Verify'!K111)</f>
        <v/>
      </c>
      <c r="BB111" s="62" t="inlineStr">
        <is>
          <t>N/A</t>
        </is>
      </c>
      <c r="BC111" s="62" t="inlineStr">
        <is>
          <t>N/A</t>
        </is>
      </c>
      <c r="BD111" s="62" t="inlineStr">
        <is>
          <t>N/A</t>
        </is>
      </c>
      <c r="BE111" s="62" t="inlineStr">
        <is>
          <t>N/A</t>
        </is>
      </c>
      <c r="BF111" s="62" t="inlineStr">
        <is>
          <t>N/A</t>
        </is>
      </c>
      <c r="BG111" s="74" t="inlineStr">
        <is>
          <t>CMBC International Capital Limited; Financial Adviser Note Wings Securities Limited</t>
        </is>
      </c>
      <c r="BH111" s="62" t="inlineStr">
        <is>
          <t>CMBC International Capital Limited</t>
        </is>
      </c>
      <c r="BI111" s="62" t="inlineStr">
        <is>
          <t>CMBC Securities Company Limited; Eddid Securities and Futures Limited; Haitong International Securities Company Limited; Zhongtai International Securities Limited; China Everbright Securities (HK) Limited; SBI China Capital Financial Services Limited; Futu Securities International (Hong Kong) Limited; Valuable Capital Limited; Cinda International Capital Limited</t>
        </is>
      </c>
      <c r="BJ111" s="62" t="inlineStr">
        <is>
          <t>China Everbright Securities (HK) Limited; China Tonghai Securities Limited; Cinda International Capital Limited; CMBC Securities Company Limited; China Sky Securities Limited; Ever-Long Securities Company Limited; Eddid Securities and Futures Limited; FUTEC Financial Limited; Futu Securities International (Hong Kong) Limited; Haitong International Securities Company Limited; Livermore Holdings Limited; SBI China Capital Financial Services Limited</t>
        </is>
      </c>
      <c r="BK111" s="76">
        <f>HYPERLINK("https://www1.hkexnews.hk/listedco/listconews/sehk/2022/0526/2022052600069.pdf","prospectus")</f>
        <v/>
      </c>
      <c r="BL111" s="76">
        <f>HYPERLINK("https://www1.hkexnews.hk/listedco/listconews/sehk/2022/0609/2022060900032.htm","allotment")</f>
        <v/>
      </c>
      <c r="BM111" s="76">
        <f>HYPERLINK("https://www1.hkexnews.hk/listedco/listconews/sehk/2022/0630/2022063000818.pdf","stabilisation")</f>
        <v/>
      </c>
      <c r="BN111" s="74" t="n"/>
      <c r="BO111" s="62" t="inlineStr">
        <is>
          <t>price range: fixed-price offering (no indicative range) · range low: cap-only pricing — the filing publishes a Maximum Offer Price and no indicative floor · A/H: no A-share listing · cornerstone list: no cornerstone tranche in this deal</t>
        </is>
      </c>
    </row>
    <row r="112" ht="15" customHeight="1">
      <c r="A112" s="61" t="inlineStr">
        <is>
          <t>6667</t>
        </is>
      </c>
      <c r="B112" s="62" t="inlineStr">
        <is>
          <t>MEGA GENOMICS</t>
        </is>
      </c>
      <c r="C112" s="62" t="inlineStr">
        <is>
          <t>美因基因</t>
        </is>
      </c>
      <c r="D112" s="62" t="inlineStr">
        <is>
          <t>Healthcare</t>
        </is>
      </c>
      <c r="E112" s="62" t="inlineStr">
        <is>
          <t>CXO / pharma services</t>
        </is>
      </c>
      <c r="F112" s="62" t="inlineStr">
        <is>
          <t>Biotechnology - Supplies &amp; Services</t>
        </is>
      </c>
      <c r="G112" s="62" t="inlineStr">
        <is>
          <t>Standard</t>
        </is>
      </c>
      <c r="H112" s="63" t="n">
        <v>44734</v>
      </c>
      <c r="I112" s="64" t="n">
        <v>215.3</v>
      </c>
      <c r="J112" s="62" t="inlineStr">
        <is>
          <t>gross (price x shares)</t>
        </is>
      </c>
      <c r="K112" s="65" t="n"/>
      <c r="L112" s="65" t="n">
        <v>22</v>
      </c>
      <c r="M112" s="65" t="n">
        <v>18</v>
      </c>
      <c r="N112" s="62" t="inlineStr">
        <is>
          <t>N</t>
        </is>
      </c>
      <c r="O112" s="66" t="n">
        <v>81.8</v>
      </c>
      <c r="P112" s="66" t="n"/>
      <c r="Q112" s="67" t="n">
        <v>4306</v>
      </c>
      <c r="R112" s="62" t="inlineStr">
        <is>
          <t>derived:deal size / offer % of enlarged capital</t>
        </is>
      </c>
      <c r="S112" s="68" t="n">
        <v>9.619999999999999</v>
      </c>
      <c r="T112" s="69" t="n">
        <v>2.05</v>
      </c>
      <c r="U112" s="70" t="n">
        <v>75.90000000000001</v>
      </c>
      <c r="V112" s="66" t="n">
        <v>1.2</v>
      </c>
      <c r="W112" s="62" t="inlineStr">
        <is>
          <t>Maccura Biotechnology Co., Ltd; Nanchang Financial Holdings Co., Ltd</t>
        </is>
      </c>
      <c r="X112" s="62" t="inlineStr">
        <is>
          <t>maccura;nanchang</t>
        </is>
      </c>
      <c r="Y112" s="66" t="n">
        <v>15</v>
      </c>
      <c r="Z112" s="62" t="inlineStr">
        <is>
          <t>lapsed</t>
        </is>
      </c>
      <c r="AA112" s="71" t="n">
        <v>0</v>
      </c>
      <c r="AB112" s="72" t="n">
        <v>8.220000000000001</v>
      </c>
      <c r="AC112" s="72" t="n">
        <v>-7.6</v>
      </c>
      <c r="AD112" s="72" t="n">
        <v>-1.11</v>
      </c>
      <c r="AE112" s="72" t="n">
        <v>-1.22</v>
      </c>
      <c r="AF112" s="72" t="n">
        <v>-24.22</v>
      </c>
      <c r="AG112" s="72" t="n">
        <v>-1.11</v>
      </c>
      <c r="AH112" s="72" t="n">
        <v>-1.22</v>
      </c>
      <c r="AI112" s="72" t="n">
        <v>-24.22</v>
      </c>
      <c r="AJ112" s="72" t="n">
        <v>-4.87</v>
      </c>
      <c r="AK112" s="72" t="n">
        <v>-6.85</v>
      </c>
      <c r="AL112" s="72" t="n">
        <v>-9.83</v>
      </c>
      <c r="AM112" s="72" t="n">
        <v>-8.07</v>
      </c>
      <c r="AN112" s="72" t="n">
        <v>5.63</v>
      </c>
      <c r="AO112" s="72" t="n">
        <v>6.85</v>
      </c>
      <c r="AP112" s="62" t="inlineStr">
        <is>
          <t>China Biotech ETF (HS biotech proxy)</t>
        </is>
      </c>
      <c r="AQ112" s="72" t="n">
        <v>-60.61</v>
      </c>
      <c r="AR112" s="63" t="inlineStr">
        <is>
          <t>2026-08-20</t>
        </is>
      </c>
      <c r="AS112" s="64" t="n">
        <v>260.9</v>
      </c>
      <c r="AT112" s="67" t="n">
        <v>86.90000000000001</v>
      </c>
      <c r="AU112" s="62" t="inlineStr">
        <is>
          <t>Y</t>
        </is>
      </c>
      <c r="AV112" s="73" t="n">
        <v>49.6</v>
      </c>
      <c r="AW112" s="73" t="n">
        <v>24.8</v>
      </c>
      <c r="AX112" s="73" t="n">
        <v>43.5</v>
      </c>
      <c r="AY112" s="73" t="n">
        <v>16.5</v>
      </c>
      <c r="AZ112" s="74" t="inlineStr">
        <is>
          <t>N</t>
        </is>
      </c>
      <c r="BA112" s="75">
        <f>IF('BBG Verify'!K112="","not filed — run on terminal",'BBG Verify'!K112)</f>
        <v/>
      </c>
      <c r="BB112" s="62" t="inlineStr">
        <is>
          <t>N/A</t>
        </is>
      </c>
      <c r="BC112" s="62" t="inlineStr">
        <is>
          <t>N/A</t>
        </is>
      </c>
      <c r="BD112" s="62" t="inlineStr">
        <is>
          <t>N/A</t>
        </is>
      </c>
      <c r="BE112" s="62" t="inlineStr">
        <is>
          <t>N/A</t>
        </is>
      </c>
      <c r="BF112" s="62" t="inlineStr">
        <is>
          <t>N/A</t>
        </is>
      </c>
      <c r="BG112" s="74" t="inlineStr">
        <is>
          <t>China Securities (International) Corporate Finance Company Limited</t>
        </is>
      </c>
      <c r="BH112" s="62" t="inlineStr">
        <is>
          <t>China Securities (International) Corporate Finance Company Limited</t>
        </is>
      </c>
      <c r="BI112" s="62" t="inlineStr">
        <is>
          <t>China Securities (International) Corporate Finance Company Limited; Central, Hong Kong China Merchants Securities (HK) Co., Limited</t>
        </is>
      </c>
      <c r="BJ112" s="62" t="inlineStr">
        <is>
          <t>China Merchants Securities (HK) Company Limited; China Securities (International) Corporate Finance Company Limited; Futu Securities International (Hong Kong) Limited; Guotai Junan Securities (Hong Kong) Limited; Livermore Holdings Limited; Tiger Brokers (HK) Global Limited; Zhongtai International Securities Limited</t>
        </is>
      </c>
      <c r="BK112" s="76">
        <f>HYPERLINK("https://www1.hkexnews.hk/listedco/listconews/sehk/2022/0610/2022061000015.pdf","prospectus")</f>
        <v/>
      </c>
      <c r="BL112" s="76">
        <f>HYPERLINK("https://www1.hkexnews.hk/listedco/listconews/sehk/2022/0621/2022062100030.htm","allotment")</f>
        <v/>
      </c>
      <c r="BM112" s="76">
        <f>HYPERLINK("https://www1.hkexnews.hk/listedco/listconews/sehk/2022/0715/2022071501424.pdf","stabilisation")</f>
        <v/>
      </c>
      <c r="BN112" s="74" t="n"/>
      <c r="BO112" s="62" t="inlineStr">
        <is>
          <t>range low: cap-only pricing — the filing publishes a Maximum Offer Price and no indicative floor · A/H: no A-share listing · cornerstone %: AAStocks institutional-order total / deal size — an upper bound; the table can include non-cornerstone orders</t>
        </is>
      </c>
    </row>
    <row r="113" ht="15" customHeight="1">
      <c r="A113" s="61" t="inlineStr">
        <is>
          <t>2246</t>
        </is>
      </c>
      <c r="B113" s="62" t="inlineStr">
        <is>
          <t>GOGOX</t>
        </is>
      </c>
      <c r="C113" s="62" t="inlineStr">
        <is>
          <t>快狗打車</t>
        </is>
      </c>
      <c r="D113" s="62" t="inlineStr">
        <is>
          <t>Industrials</t>
        </is>
      </c>
      <c r="E113" s="62" t="inlineStr">
        <is>
          <t>Logistics</t>
        </is>
      </c>
      <c r="F113" s="62" t="inlineStr">
        <is>
          <t>Air Freight &amp; Logistics</t>
        </is>
      </c>
      <c r="G113" s="62" t="inlineStr">
        <is>
          <t>Standard</t>
        </is>
      </c>
      <c r="H113" s="63" t="n">
        <v>44736</v>
      </c>
      <c r="I113" s="64" t="n">
        <v>670.8</v>
      </c>
      <c r="J113" s="62" t="inlineStr">
        <is>
          <t>gross (price x shares)</t>
        </is>
      </c>
      <c r="K113" s="65" t="n"/>
      <c r="L113" s="65" t="n">
        <v>21.5</v>
      </c>
      <c r="M113" s="65" t="n">
        <v>21.5</v>
      </c>
      <c r="N113" s="62" t="inlineStr">
        <is>
          <t>Y</t>
        </is>
      </c>
      <c r="O113" s="66" t="n">
        <v>100</v>
      </c>
      <c r="P113" s="66" t="n"/>
      <c r="Q113" s="67" t="n">
        <v>13152.9</v>
      </c>
      <c r="R113" s="62" t="inlineStr">
        <is>
          <t>derived:deal size / offer % of enlarged capital</t>
        </is>
      </c>
      <c r="S113" s="68" t="n">
        <v>4.05</v>
      </c>
      <c r="T113" s="69" t="n">
        <v>1.4</v>
      </c>
      <c r="U113" s="70" t="n">
        <v>74.3</v>
      </c>
      <c r="V113" s="66" t="n">
        <v>1.31</v>
      </c>
      <c r="W113" s="62" t="inlineStr">
        <is>
          <t>Chery Commercial Vehicle (Anhui) Company Limited; GF Global Capital Limited</t>
        </is>
      </c>
      <c r="X113" s="62" t="inlineStr">
        <is>
          <t>chery;gf</t>
        </is>
      </c>
      <c r="Y113" s="66" t="n">
        <v>19.11</v>
      </c>
      <c r="Z113" s="62" t="inlineStr">
        <is>
          <t>lapsed</t>
        </is>
      </c>
      <c r="AA113" s="71" t="n">
        <v>-22.23</v>
      </c>
      <c r="AB113" s="72" t="n">
        <v>0</v>
      </c>
      <c r="AC113" s="72" t="n">
        <v>-22.23</v>
      </c>
      <c r="AD113" s="72" t="n">
        <v>-47.91</v>
      </c>
      <c r="AE113" s="72" t="n">
        <v>-68.33</v>
      </c>
      <c r="AF113" s="72" t="n">
        <v>-76.73999999999999</v>
      </c>
      <c r="AG113" s="72" t="n">
        <v>-33.02</v>
      </c>
      <c r="AH113" s="72" t="n">
        <v>-59.28</v>
      </c>
      <c r="AI113" s="72" t="n">
        <v>-70.09</v>
      </c>
      <c r="AJ113" s="72" t="n">
        <v>-51.25</v>
      </c>
      <c r="AK113" s="72" t="n">
        <v>-67.92</v>
      </c>
      <c r="AL113" s="72" t="n">
        <v>-59.72</v>
      </c>
      <c r="AM113" s="72" t="n">
        <v>-55.88</v>
      </c>
      <c r="AN113" s="72" t="n">
        <v>-0.41</v>
      </c>
      <c r="AO113" s="72" t="n">
        <v>-3.4</v>
      </c>
      <c r="AP113" s="62" t="inlineStr">
        <is>
          <t>Hang Seng Commerce &amp; Industry sub-index</t>
        </is>
      </c>
      <c r="AQ113" s="72" t="n">
        <v>-99.43000000000001</v>
      </c>
      <c r="AR113" s="63" t="inlineStr">
        <is>
          <t>2026-08-24</t>
        </is>
      </c>
      <c r="AS113" s="64" t="n">
        <v>583.4</v>
      </c>
      <c r="AT113" s="67" t="n">
        <v>-960.1</v>
      </c>
      <c r="AU113" s="62" t="inlineStr">
        <is>
          <t>N</t>
        </is>
      </c>
      <c r="AV113" s="62" t="inlineStr">
        <is>
          <t>n/m</t>
        </is>
      </c>
      <c r="AW113" s="73" t="n"/>
      <c r="AX113" s="73" t="n"/>
      <c r="AY113" s="73" t="n">
        <v>22.5</v>
      </c>
      <c r="AZ113" s="74" t="inlineStr">
        <is>
          <t>N</t>
        </is>
      </c>
      <c r="BA113" s="75">
        <f>IF('BBG Verify'!K113="","not filed — run on terminal",'BBG Verify'!K113)</f>
        <v/>
      </c>
      <c r="BB113" s="62" t="inlineStr">
        <is>
          <t>N/A</t>
        </is>
      </c>
      <c r="BC113" s="62" t="inlineStr">
        <is>
          <t>N/A</t>
        </is>
      </c>
      <c r="BD113" s="62" t="inlineStr">
        <is>
          <t>N/A</t>
        </is>
      </c>
      <c r="BE113" s="62" t="inlineStr">
        <is>
          <t>N/A</t>
        </is>
      </c>
      <c r="BF113" s="62" t="inlineStr">
        <is>
          <t>N/A</t>
        </is>
      </c>
      <c r="BG113" s="74" t="inlineStr">
        <is>
          <t>UBS Securities Hong Kong Limited; China International Capital Corporation Hong Kong Securities Limited; BOCOM International (Asia) Limited; ABCI Capital Limited</t>
        </is>
      </c>
      <c r="BH113" s="62" t="inlineStr">
        <is>
          <t>China International Capital Corporation Hong Kong Securities Limited; UBS Securities Hong Kong Limited; BOCOM International (Asia) Limited; ABCI Capital Limited</t>
        </is>
      </c>
      <c r="BI113" s="62" t="inlineStr">
        <is>
          <t>UBS AG Hong Kong Branch; China International Capital Corporation Hong Kong Securities Limited; BOCOM International Securities Limited; ABCI Capital Limited; Futu Securities International (Hong Kong) Limited; Zhongtai International Securities Limited; Fosun Hani Securities Limited</t>
        </is>
      </c>
      <c r="BJ113" s="62" t="inlineStr">
        <is>
          <t>ABCI Securities Company Limited; Beta International Securities Limited; CEB International Capital Corporation Limited; China International Capital Corporation Hong Kong Securities Limited; Eddid Securities and Futures Limited; Fosun Hani Securities Limited; Futu Securities International (Hong Kong) Limited; Livermore Holdings Limited; Tiger Brokers (HK) Global Limited; UBS AG Hong Kong Branch; Zhongtai International Securities Limited</t>
        </is>
      </c>
      <c r="BK113" s="76">
        <f>HYPERLINK("https://www1.hkexnews.hk/listedco/listconews/sehk/2022/0614/2022061400009.pdf","prospectus")</f>
        <v/>
      </c>
      <c r="BL113" s="76">
        <f>HYPERLINK("https://www1.hkexnews.hk/listedco/listconews/sehk/2022/0623/2022062300034.htm","allotment")</f>
        <v/>
      </c>
      <c r="BM113" s="76">
        <f>HYPERLINK("https://www1.hkexnews.hk/listedco/listconews/sehk/2022/0718/2022071800093.pdf","stabilisation")</f>
        <v/>
      </c>
      <c r="BN113" s="74" t="n"/>
      <c r="BO113" s="62" t="inlineStr">
        <is>
          <t>P/E: n/m — loss-making at IPO (use P/S) · range low: cap-only pricing — the filing publishes a Maximum Offer Price and no indicative floor · A/H: no A-share listing</t>
        </is>
      </c>
    </row>
    <row r="114" ht="15" customHeight="1">
      <c r="A114" s="61" t="inlineStr">
        <is>
          <t>2167</t>
        </is>
      </c>
      <c r="B114" s="62" t="inlineStr">
        <is>
          <t>TI CLOUD</t>
        </is>
      </c>
      <c r="C114" s="62" t="inlineStr">
        <is>
          <t>天潤雲</t>
        </is>
      </c>
      <c r="D114" s="62" t="inlineStr">
        <is>
          <t>Tech/AI</t>
        </is>
      </c>
      <c r="E114" s="62" t="inlineStr">
        <is>
          <t>SaaS / enterprise software</t>
        </is>
      </c>
      <c r="F114" s="62" t="inlineStr">
        <is>
          <t>Systems Software</t>
        </is>
      </c>
      <c r="G114" s="62" t="inlineStr">
        <is>
          <t>Standard</t>
        </is>
      </c>
      <c r="H114" s="63" t="n">
        <v>44742</v>
      </c>
      <c r="I114" s="64" t="n">
        <v>255.7</v>
      </c>
      <c r="J114" s="62" t="inlineStr">
        <is>
          <t>net proceeds</t>
        </is>
      </c>
      <c r="K114" s="65" t="n">
        <v>12.85</v>
      </c>
      <c r="L114" s="65" t="n">
        <v>13.85</v>
      </c>
      <c r="M114" s="65" t="n">
        <v>12.85</v>
      </c>
      <c r="N114" s="62" t="inlineStr">
        <is>
          <t>N</t>
        </is>
      </c>
      <c r="O114" s="66" t="n">
        <v>92.8</v>
      </c>
      <c r="P114" s="66" t="n">
        <v>0</v>
      </c>
      <c r="Q114" s="67" t="n">
        <v>2397.3</v>
      </c>
      <c r="R114" s="62" t="inlineStr">
        <is>
          <t>aastocks:上市市值 at the struck price</t>
        </is>
      </c>
      <c r="S114" s="68" t="n">
        <v>1.17</v>
      </c>
      <c r="T114" s="69" t="n">
        <v>1.27</v>
      </c>
      <c r="U114" s="70" t="n">
        <v>23.4</v>
      </c>
      <c r="V114" s="66" t="n">
        <v>8.17</v>
      </c>
      <c r="W114" s="62" t="inlineStr">
        <is>
          <t>Agora, Inc; Platinum Investment Management Limited</t>
        </is>
      </c>
      <c r="X114" s="62" t="inlineStr">
        <is>
          <t>agora;platinum</t>
        </is>
      </c>
      <c r="Y114" s="66" t="n">
        <v>8.09</v>
      </c>
      <c r="Z114" s="62" t="inlineStr">
        <is>
          <t>partial</t>
        </is>
      </c>
      <c r="AA114" s="71" t="n">
        <v>-0.08</v>
      </c>
      <c r="AB114" s="72" t="n">
        <v>-0.08</v>
      </c>
      <c r="AC114" s="72" t="n">
        <v>0</v>
      </c>
      <c r="AD114" s="72" t="n">
        <v>2.72</v>
      </c>
      <c r="AE114" s="72" t="n">
        <v>-19.07</v>
      </c>
      <c r="AF114" s="72" t="n">
        <v>-22.26</v>
      </c>
      <c r="AG114" s="72" t="n">
        <v>2.8</v>
      </c>
      <c r="AH114" s="72" t="n">
        <v>-19.01</v>
      </c>
      <c r="AI114" s="72" t="n">
        <v>-22.2</v>
      </c>
      <c r="AJ114" s="72" t="n">
        <v>5.43</v>
      </c>
      <c r="AK114" s="72" t="n">
        <v>-6.78</v>
      </c>
      <c r="AL114" s="72" t="n">
        <v>7.17</v>
      </c>
      <c r="AM114" s="72" t="n">
        <v>-7.81</v>
      </c>
      <c r="AN114" s="72" t="n">
        <v>-12.29</v>
      </c>
      <c r="AO114" s="72" t="n">
        <v>-11.2</v>
      </c>
      <c r="AP114" s="62" t="inlineStr">
        <is>
          <t>HSTECH (Hang Seng TECH ETF)</t>
        </is>
      </c>
      <c r="AQ114" s="72" t="n">
        <v>-65.59999999999999</v>
      </c>
      <c r="AR114" s="63" t="inlineStr">
        <is>
          <t>2026-08-20</t>
        </is>
      </c>
      <c r="AS114" s="64" t="n">
        <v>442.1</v>
      </c>
      <c r="AT114" s="67" t="n">
        <v>19.6</v>
      </c>
      <c r="AU114" s="62" t="inlineStr">
        <is>
          <t>Y</t>
        </is>
      </c>
      <c r="AV114" s="73" t="n">
        <v>122.3</v>
      </c>
      <c r="AW114" s="73" t="n"/>
      <c r="AX114" s="73" t="n">
        <v>10.2</v>
      </c>
      <c r="AY114" s="73" t="n">
        <v>5.4</v>
      </c>
      <c r="AZ114" s="74" t="inlineStr">
        <is>
          <t>N</t>
        </is>
      </c>
      <c r="BA114" s="75">
        <f>IF('BBG Verify'!K114="","not filed — run on terminal",'BBG Verify'!K114)</f>
        <v/>
      </c>
      <c r="BB114" s="62" t="inlineStr">
        <is>
          <t>N/A</t>
        </is>
      </c>
      <c r="BC114" s="62" t="inlineStr">
        <is>
          <t>N/A</t>
        </is>
      </c>
      <c r="BD114" s="62" t="inlineStr">
        <is>
          <t>N/A</t>
        </is>
      </c>
      <c r="BE114" s="62" t="inlineStr">
        <is>
          <t>N/A</t>
        </is>
      </c>
      <c r="BF114" s="62" t="inlineStr">
        <is>
          <t>N/A</t>
        </is>
      </c>
      <c r="BG114" s="74" t="inlineStr">
        <is>
          <t>China International Capital Corporation Hong Kong Securities Limited</t>
        </is>
      </c>
      <c r="BH114" s="62" t="inlineStr">
        <is>
          <t>China International Capital Corporation Hong Kong Securities Limited</t>
        </is>
      </c>
      <c r="BI114" s="62" t="inlineStr">
        <is>
          <t>China International Capital Corporation Hong Kong Securities Limited; Macquarie Capital Limited; CMB International Capital Limited; BOCI Asia Limited; Shenwan Hongyuan Securities (H.K.) Limited; Tiger Brokers (HK) Global Limited; Futu Securities International (Hong Kong) Limited</t>
        </is>
      </c>
      <c r="BJ114" s="62" t="inlineStr">
        <is>
          <t>BOCI Asia Limited; China International Capital Corporation Hong Kong Securities Limited; CMB International Capital Limited; Futu Securities International (Hong Kong) Limited; Livermore Holdings Limited; Macquarie Capital Limited; Silverbricks Securities Company Limited; Shenwan Hongyuan Securities (H.K.) Limited; Tiger Brokers (HK) Global Limited</t>
        </is>
      </c>
      <c r="BK114" s="76">
        <f>HYPERLINK("https://www1.hkexnews.hk/listedco/listconews/sehk/2022/0621/2022062100009.pdf","prospectus")</f>
        <v/>
      </c>
      <c r="BL114" s="76">
        <f>HYPERLINK("https://www1.hkexnews.hk/listedco/listconews/sehk/2022/0629/2022062900092.htm","allotment")</f>
        <v/>
      </c>
      <c r="BM114" s="76">
        <f>HYPERLINK("https://www1.hkexnews.hk/listedco/listconews/sehk/2022/0724/2022072400037.pdf","stabilisation")</f>
        <v/>
      </c>
      <c r="BN114" s="74" t="n"/>
      <c r="BO114" s="62" t="inlineStr">
        <is>
          <t>A/H: no A-share listing · market cap: estimate from deal size / offer % of enlarged capital disagreed with the published listing cap — published figure adopted · cornerstone: AAStocks institutional table includes non-cornerstone orders (superset) — cornerstone % is from the prospectus</t>
        </is>
      </c>
    </row>
    <row r="115" ht="15" customHeight="1">
      <c r="A115" s="61" t="inlineStr">
        <is>
          <t>2372</t>
        </is>
      </c>
      <c r="B115" s="62" t="inlineStr">
        <is>
          <t>WEILI HOLDINGS</t>
        </is>
      </c>
      <c r="C115" s="62" t="inlineStr">
        <is>
          <t>偉立控股</t>
        </is>
      </c>
      <c r="D115" s="62" t="inlineStr">
        <is>
          <t>Materials/Energy</t>
        </is>
      </c>
      <c r="E115" s="62" t="inlineStr">
        <is>
          <t>Chemicals</t>
        </is>
      </c>
      <c r="F115" s="62" t="inlineStr">
        <is>
          <t>Cigarette Products</t>
        </is>
      </c>
      <c r="G115" s="62" t="inlineStr">
        <is>
          <t>Standard</t>
        </is>
      </c>
      <c r="H115" s="63" t="n">
        <v>44742</v>
      </c>
      <c r="I115" s="64" t="n">
        <v>126</v>
      </c>
      <c r="J115" s="62" t="inlineStr">
        <is>
          <t>gross (price x shares)</t>
        </is>
      </c>
      <c r="K115" s="65" t="n">
        <v>0.63</v>
      </c>
      <c r="L115" s="65" t="n">
        <v>0.67</v>
      </c>
      <c r="M115" s="65" t="n">
        <v>0.63</v>
      </c>
      <c r="N115" s="62" t="inlineStr">
        <is>
          <t>N</t>
        </is>
      </c>
      <c r="O115" s="66" t="n">
        <v>94</v>
      </c>
      <c r="P115" s="66" t="n">
        <v>0</v>
      </c>
      <c r="Q115" s="67" t="n">
        <v>534.1</v>
      </c>
      <c r="R115" s="62" t="inlineStr">
        <is>
          <t>aastocks:上市市值 at the struck price</t>
        </is>
      </c>
      <c r="S115" s="68" t="n">
        <v>11.37</v>
      </c>
      <c r="T115" s="69" t="n">
        <v>1.29</v>
      </c>
      <c r="U115" s="70" t="n">
        <v>0</v>
      </c>
      <c r="V115" s="66" t="n">
        <v>23.59</v>
      </c>
      <c r="W115" s="62" t="n"/>
      <c r="X115" s="62" t="n"/>
      <c r="Y115" s="66" t="n">
        <v>15</v>
      </c>
      <c r="Z115" s="62" t="inlineStr">
        <is>
          <t>lapsed (no over-allocation)</t>
        </is>
      </c>
      <c r="AA115" s="71" t="n">
        <v>0</v>
      </c>
      <c r="AB115" s="72" t="n">
        <v>11.11</v>
      </c>
      <c r="AC115" s="72" t="n">
        <v>-10</v>
      </c>
      <c r="AD115" s="72" t="n">
        <v>4.76</v>
      </c>
      <c r="AE115" s="72" t="n">
        <v>-30.16</v>
      </c>
      <c r="AF115" s="72" t="n">
        <v>-30.16</v>
      </c>
      <c r="AG115" s="72" t="n">
        <v>4.76</v>
      </c>
      <c r="AH115" s="72" t="n">
        <v>-30.16</v>
      </c>
      <c r="AI115" s="72" t="n">
        <v>-30.16</v>
      </c>
      <c r="AJ115" s="72" t="n">
        <v>4.94</v>
      </c>
      <c r="AK115" s="72" t="n">
        <v>-21.1</v>
      </c>
      <c r="AL115" s="72" t="n">
        <v>-8.720000000000001</v>
      </c>
      <c r="AM115" s="72" t="n">
        <v>-22.14</v>
      </c>
      <c r="AN115" s="72" t="n">
        <v>-9.06</v>
      </c>
      <c r="AO115" s="72" t="n">
        <v>-8.02</v>
      </c>
      <c r="AP115" s="62" t="inlineStr">
        <is>
          <t>Hang Seng Commerce &amp; Industry sub-index</t>
        </is>
      </c>
      <c r="AQ115" s="72" t="n">
        <v>54.76</v>
      </c>
      <c r="AR115" s="63" t="inlineStr">
        <is>
          <t>2026-08-20</t>
        </is>
      </c>
      <c r="AS115" s="64" t="n">
        <v>407.3</v>
      </c>
      <c r="AT115" s="67" t="n">
        <v>39.3</v>
      </c>
      <c r="AU115" s="62" t="inlineStr">
        <is>
          <t>Y</t>
        </is>
      </c>
      <c r="AV115" s="73" t="n">
        <v>13.6</v>
      </c>
      <c r="AW115" s="73" t="n"/>
      <c r="AX115" s="73" t="n"/>
      <c r="AY115" s="73" t="n">
        <v>1.3</v>
      </c>
      <c r="AZ115" s="74" t="inlineStr">
        <is>
          <t>N</t>
        </is>
      </c>
      <c r="BA115" s="75">
        <f>IF('BBG Verify'!K115="","not filed — run on terminal",'BBG Verify'!K115)</f>
        <v/>
      </c>
      <c r="BB115" s="62" t="inlineStr">
        <is>
          <t>N/A</t>
        </is>
      </c>
      <c r="BC115" s="62" t="inlineStr">
        <is>
          <t>N/A</t>
        </is>
      </c>
      <c r="BD115" s="62" t="inlineStr">
        <is>
          <t>N/A</t>
        </is>
      </c>
      <c r="BE115" s="62" t="inlineStr">
        <is>
          <t>N/A</t>
        </is>
      </c>
      <c r="BF115" s="62" t="inlineStr">
        <is>
          <t>N/A</t>
        </is>
      </c>
      <c r="BG115" s="74" t="n"/>
      <c r="BH115" s="62" t="inlineStr">
        <is>
          <t>Grande Capital Limited</t>
        </is>
      </c>
      <c r="BI115" s="62" t="inlineStr">
        <is>
          <t>First Shanghai Securities Limited; CRIC Securities Company Limited; Zhongtai International Securities Limited</t>
        </is>
      </c>
      <c r="BJ115" s="62" t="inlineStr">
        <is>
          <t>China Galaxy International Securities (Hong Kong) Company Limited; Cinda International Capital Limited; CRIC Securities Company Limited; First Shanghai Securities Limited; Kingsway Financial Services Group Limited; Livermore Holdings Limited; Valuable Capital Limited; Zhongtai International Securities Limited</t>
        </is>
      </c>
      <c r="BK115" s="76">
        <f>HYPERLINK("https://www1.hkexnews.hk/listedco/listconews/sehk/2022/0617/2022061700066.htm","prospectus")</f>
        <v/>
      </c>
      <c r="BL115" s="76">
        <f>HYPERLINK("https://www1.hkexnews.hk/listedco/listconews/sehk/2022/0629/2022062900108.htm","allotment")</f>
        <v/>
      </c>
      <c r="BM115" s="76">
        <f>HYPERLINK("https://www1.hkexnews.hk/listedco/listconews/sehk/2022/0722/2022072201214.pdf","stabilisation")</f>
        <v/>
      </c>
      <c r="BN115" s="74" t="n"/>
      <c r="BO115" s="62" t="inlineStr">
        <is>
          <t>A/H: no A-share listing · sponsor: English name not in the filing text; AAStocks 保薦人 shown · cornerstone list: no cornerstone tranche in this deal</t>
        </is>
      </c>
    </row>
    <row r="116" ht="15" customHeight="1">
      <c r="A116" s="61" t="inlineStr">
        <is>
          <t>2391</t>
        </is>
      </c>
      <c r="B116" s="62" t="inlineStr">
        <is>
          <t>TUYA-W</t>
        </is>
      </c>
      <c r="C116" s="62" t="inlineStr">
        <is>
          <t>塗鴉智能－Ｗ</t>
        </is>
      </c>
      <c r="D116" s="62" t="inlineStr">
        <is>
          <t>Tech/AI</t>
        </is>
      </c>
      <c r="E116" s="62" t="inlineStr">
        <is>
          <t>SaaS / enterprise software</t>
        </is>
      </c>
      <c r="F116" s="62" t="inlineStr">
        <is>
          <t>Systems Software</t>
        </is>
      </c>
      <c r="G116" s="62" t="inlineStr">
        <is>
          <t>WVR</t>
        </is>
      </c>
      <c r="H116" s="63" t="n">
        <v>44747</v>
      </c>
      <c r="I116" s="64" t="n">
        <v>140.9</v>
      </c>
      <c r="J116" s="62" t="inlineStr">
        <is>
          <t>gross (price x shares)</t>
        </is>
      </c>
      <c r="K116" s="65" t="n"/>
      <c r="L116" s="65" t="n">
        <v>22.8</v>
      </c>
      <c r="M116" s="65" t="n">
        <v>19.3</v>
      </c>
      <c r="N116" s="62" t="inlineStr">
        <is>
          <t>N</t>
        </is>
      </c>
      <c r="O116" s="66" t="n">
        <v>84.59999999999999</v>
      </c>
      <c r="P116" s="66" t="n"/>
      <c r="Q116" s="67" t="n">
        <v>13190.9</v>
      </c>
      <c r="R116" s="62" t="inlineStr">
        <is>
          <t>prospectus:stated market capitalisation</t>
        </is>
      </c>
      <c r="S116" s="68" t="n">
        <v>9.949999999999999</v>
      </c>
      <c r="T116" s="69" t="n">
        <v>1.3</v>
      </c>
      <c r="U116" s="70" t="n"/>
      <c r="V116" s="66" t="n">
        <v>1.07</v>
      </c>
      <c r="W116" s="62" t="n"/>
      <c r="X116" s="62" t="n"/>
      <c r="Y116" s="66" t="n">
        <v>10.33</v>
      </c>
      <c r="Z116" s="62" t="inlineStr">
        <is>
          <t>lapsed</t>
        </is>
      </c>
      <c r="AA116" s="71" t="n">
        <v>0</v>
      </c>
      <c r="AB116" s="72" t="n">
        <v>1.35</v>
      </c>
      <c r="AC116" s="72" t="n">
        <v>-1.33</v>
      </c>
      <c r="AD116" s="72" t="n">
        <v>-2.07</v>
      </c>
      <c r="AE116" s="72" t="n">
        <v>-30.05</v>
      </c>
      <c r="AF116" s="72" t="n">
        <v>-60.62</v>
      </c>
      <c r="AG116" s="72" t="n">
        <v>-2.07</v>
      </c>
      <c r="AH116" s="72" t="n">
        <v>-30.05</v>
      </c>
      <c r="AI116" s="72" t="n">
        <v>-60.62</v>
      </c>
      <c r="AJ116" s="72" t="n">
        <v>5.15</v>
      </c>
      <c r="AK116" s="72" t="n">
        <v>-16.97</v>
      </c>
      <c r="AL116" s="72" t="n">
        <v>-30.77</v>
      </c>
      <c r="AM116" s="72" t="n">
        <v>-17.48</v>
      </c>
      <c r="AN116" s="72" t="n">
        <v>-13.08</v>
      </c>
      <c r="AO116" s="72" t="n">
        <v>-12.57</v>
      </c>
      <c r="AP116" s="62" t="inlineStr">
        <is>
          <t>HSTECH (Hang Seng TECH ETF)</t>
        </is>
      </c>
      <c r="AQ116" s="72" t="n">
        <v>-30.31</v>
      </c>
      <c r="AR116" s="63" t="inlineStr">
        <is>
          <t>2026-08-20</t>
        </is>
      </c>
      <c r="AS116" s="64" t="n">
        <v>2356.2</v>
      </c>
      <c r="AT116" s="67" t="n">
        <v>-1368.3</v>
      </c>
      <c r="AU116" s="62" t="inlineStr">
        <is>
          <t>N</t>
        </is>
      </c>
      <c r="AV116" s="62" t="inlineStr">
        <is>
          <t>n/m</t>
        </is>
      </c>
      <c r="AW116" s="73" t="n"/>
      <c r="AX116" s="73" t="n"/>
      <c r="AY116" s="73" t="n">
        <v>5.6</v>
      </c>
      <c r="AZ116" s="74" t="inlineStr">
        <is>
          <t>N</t>
        </is>
      </c>
      <c r="BA116" s="75">
        <f>IF('BBG Verify'!K116="","not filed — run on terminal",'BBG Verify'!K116)</f>
        <v/>
      </c>
      <c r="BB116" s="62" t="inlineStr">
        <is>
          <t>N/A</t>
        </is>
      </c>
      <c r="BC116" s="62" t="inlineStr">
        <is>
          <t>N/A</t>
        </is>
      </c>
      <c r="BD116" s="62" t="inlineStr">
        <is>
          <t>N/A</t>
        </is>
      </c>
      <c r="BE116" s="62" t="inlineStr">
        <is>
          <t>N/A</t>
        </is>
      </c>
      <c r="BF116" s="62" t="inlineStr">
        <is>
          <t>N/A</t>
        </is>
      </c>
      <c r="BG116" s="74" t="inlineStr">
        <is>
          <t>China International Capital Corporation Hong Kong Securities Limited; Merrill Lynch (Asia Pacific) Limited; Morgan Stanley Asia Limited</t>
        </is>
      </c>
      <c r="BH116" s="62" t="inlineStr">
        <is>
          <t>China International Capital Corporation Hong Kong Securities Limited; Morgan Stanley Asia Limited; Merrill Lynch (Asia Pacific) Limited</t>
        </is>
      </c>
      <c r="BI116" s="62" t="inlineStr">
        <is>
          <t>China International Capital Corporation Hong Kong Securities Limited; Morgan Stanley Asia Limited; Merrill Lynch (Asia Pacific) Limited; CMB International Capital Limited; Tiger Brokers (HK) Global Limited</t>
        </is>
      </c>
      <c r="BJ116" s="62" t="inlineStr">
        <is>
          <t>China International Capital Corporation Hong Kong Securities Limited; CMB International Capital Corporation Limited; Merrill Lynch (Asia Pacific) Limited; Morgan Stanley Asia Limited; Tiger Brokers (HK) Global Limited</t>
        </is>
      </c>
      <c r="BK116" s="76">
        <f>HYPERLINK("https://www1.hkexnews.hk/listedco/listconews/sehk/2022/0622/2022062200189.pdf","prospectus")</f>
        <v/>
      </c>
      <c r="BL116" s="76">
        <f>HYPERLINK("https://www1.hkexnews.hk/listedco/listconews/sehk/2022/0704/2022070400032.htm","allotment")</f>
        <v/>
      </c>
      <c r="BM116" s="76">
        <f>HYPERLINK("https://www1.hkexnews.hk/listedco/listconews/sehk/2022/0727/2022072701192.pdf","stabilisation")</f>
        <v/>
      </c>
      <c r="BN116" s="74" t="n"/>
      <c r="BO116" s="62" t="inlineStr">
        <is>
          <t>P/E: n/m — loss-making at IPO (use P/S) · range low: cap-only pricing — the filing publishes a Maximum Offer Price and no indicative floor · A/H: no A-share listing · cornerstone list: cornerstone section not machine-extractable — see the prospectus link · cornerstone %: cornerstone aggregate not stated in the filing</t>
        </is>
      </c>
    </row>
    <row r="117" ht="15" customHeight="1">
      <c r="A117" s="61" t="inlineStr">
        <is>
          <t>9955</t>
        </is>
      </c>
      <c r="B117" s="62" t="inlineStr">
        <is>
          <t>CLOUDR</t>
        </is>
      </c>
      <c r="C117" s="62" t="inlineStr">
        <is>
          <t>智雲健康</t>
        </is>
      </c>
      <c r="D117" s="62" t="inlineStr">
        <is>
          <t>Healthcare</t>
        </is>
      </c>
      <c r="E117" s="62" t="inlineStr">
        <is>
          <t>Digital health</t>
        </is>
      </c>
      <c r="F117" s="62" t="inlineStr">
        <is>
          <t>Health Care Equipment</t>
        </is>
      </c>
      <c r="G117" s="62" t="inlineStr">
        <is>
          <t>Standard</t>
        </is>
      </c>
      <c r="H117" s="63" t="n">
        <v>44748</v>
      </c>
      <c r="I117" s="64" t="n">
        <v>83.40000000000001</v>
      </c>
      <c r="J117" s="62" t="inlineStr">
        <is>
          <t>net proceeds</t>
        </is>
      </c>
      <c r="K117" s="65" t="n"/>
      <c r="L117" s="65" t="n">
        <v>30.5</v>
      </c>
      <c r="M117" s="65" t="n">
        <v>30.5</v>
      </c>
      <c r="N117" s="62" t="inlineStr">
        <is>
          <t>Y</t>
        </is>
      </c>
      <c r="O117" s="66" t="n">
        <v>100</v>
      </c>
      <c r="P117" s="66" t="n"/>
      <c r="Q117" s="67" t="n">
        <v>17896</v>
      </c>
      <c r="R117" s="62" t="inlineStr">
        <is>
          <t>press:sina/雷峰网 2022-07: 收28.2港元 市值165.54亿</t>
        </is>
      </c>
      <c r="S117" s="68" t="n">
        <v>7.89</v>
      </c>
      <c r="T117" s="69" t="n">
        <v>2.15</v>
      </c>
      <c r="U117" s="70" t="n">
        <v>60.96</v>
      </c>
      <c r="V117" s="66" t="n">
        <v>0.18</v>
      </c>
      <c r="W117" s="62" t="inlineStr">
        <is>
          <t>Harvest International Premium Value (Secondary Market) Fund SPC; Sanofi Foreign Participations B.V; Tasly International Capital Limited; Yangtze River (Hong Kong) Limited</t>
        </is>
      </c>
      <c r="X117" s="62" t="inlineStr">
        <is>
          <t>harvest;sanofi;tasly;yangtze</t>
        </is>
      </c>
      <c r="Y117" s="66" t="n">
        <v>15.23</v>
      </c>
      <c r="Z117" s="62" t="inlineStr">
        <is>
          <t>lapsed</t>
        </is>
      </c>
      <c r="AA117" s="71" t="n">
        <v>-7.54</v>
      </c>
      <c r="AB117" s="72" t="n">
        <v>0</v>
      </c>
      <c r="AC117" s="72" t="n">
        <v>-7.54</v>
      </c>
      <c r="AD117" s="72" t="n">
        <v>-9.84</v>
      </c>
      <c r="AE117" s="72" t="n">
        <v>-33.77</v>
      </c>
      <c r="AF117" s="72" t="n">
        <v>-54.43</v>
      </c>
      <c r="AG117" s="72" t="n">
        <v>-2.49</v>
      </c>
      <c r="AH117" s="72" t="n">
        <v>-28.37</v>
      </c>
      <c r="AI117" s="72" t="n">
        <v>-50.71</v>
      </c>
      <c r="AJ117" s="72" t="n">
        <v>-2.59</v>
      </c>
      <c r="AK117" s="72" t="n">
        <v>-20.96</v>
      </c>
      <c r="AL117" s="72" t="n">
        <v>-30.06</v>
      </c>
      <c r="AM117" s="72" t="n">
        <v>-17.17</v>
      </c>
      <c r="AN117" s="72" t="n">
        <v>-12.81</v>
      </c>
      <c r="AO117" s="72" t="n">
        <v>-11.2</v>
      </c>
      <c r="AP117" s="62" t="inlineStr">
        <is>
          <t>China Biotech ETF (HS biotech proxy)</t>
        </is>
      </c>
      <c r="AQ117" s="72" t="n">
        <v>-98.33</v>
      </c>
      <c r="AR117" s="63" t="inlineStr">
        <is>
          <t>2026-08-20</t>
        </is>
      </c>
      <c r="AS117" s="64" t="n">
        <v>1932.4</v>
      </c>
      <c r="AT117" s="67" t="n">
        <v>-3186.6</v>
      </c>
      <c r="AU117" s="62" t="inlineStr">
        <is>
          <t>N</t>
        </is>
      </c>
      <c r="AV117" s="62" t="inlineStr">
        <is>
          <t>n/m</t>
        </is>
      </c>
      <c r="AW117" s="73" t="n"/>
      <c r="AX117" s="73" t="n"/>
      <c r="AY117" s="73" t="n">
        <v>9.300000000000001</v>
      </c>
      <c r="AZ117" s="74" t="inlineStr">
        <is>
          <t>N</t>
        </is>
      </c>
      <c r="BA117" s="75">
        <f>IF('BBG Verify'!K117="","not filed — run on terminal",'BBG Verify'!K117)</f>
        <v/>
      </c>
      <c r="BB117" s="62" t="inlineStr">
        <is>
          <t>N/A</t>
        </is>
      </c>
      <c r="BC117" s="62" t="inlineStr">
        <is>
          <t>N/A</t>
        </is>
      </c>
      <c r="BD117" s="62" t="inlineStr">
        <is>
          <t>N/A</t>
        </is>
      </c>
      <c r="BE117" s="62" t="inlineStr">
        <is>
          <t>N/A</t>
        </is>
      </c>
      <c r="BF117" s="62" t="inlineStr">
        <is>
          <t>N/A</t>
        </is>
      </c>
      <c r="BG117" s="74" t="inlineStr">
        <is>
          <t>Morgan Stanley Asia Limited; J.P. Morgan Securities (Far East) Limited; J.P. Morgan Securities (Asia Pacific) Limited; China International Capital Corporation Hong Kong Securities Limited</t>
        </is>
      </c>
      <c r="BH117" s="62" t="inlineStr">
        <is>
          <t>Morgan Stanley Asia Limited; J.P. Morgan Securities (Far East) Limited</t>
        </is>
      </c>
      <c r="BI117" s="62" t="inlineStr">
        <is>
          <t>Morgan Stanley Asia Limited; J.P. Morgan Securities (Asia Pacific) Limited; China International Capital Corporation Hong Kong Securities Limited; CMB International Capital Limited; J.P. Morgan Securities plc; Valuable Capital Limited</t>
        </is>
      </c>
      <c r="BJ117" s="62" t="inlineStr">
        <is>
          <t>China International Capital Corporation Hong Kong Securities Limited; CMB International Capital Limited; J.P. Morgan Securities (Asia Pacific) Limited; Morgan Stanley Asia Limited; Valuable Capital Limited</t>
        </is>
      </c>
      <c r="BK117" s="76">
        <f>HYPERLINK("https://www1.hkexnews.hk/listedco/listconews/sehk/2022/0623/2022062300064.htm","prospectus")</f>
        <v/>
      </c>
      <c r="BL117" s="76">
        <f>HYPERLINK("https://www1.hkexnews.hk/listedco/listconews/sehk/2022/0705/2022070500012.htm","allotment")</f>
        <v/>
      </c>
      <c r="BM117" s="76">
        <f>HYPERLINK("https://www1.hkexnews.hk/listedco/listconews/sehk/2022/0728/2022072801570.pdf","stabilisation")</f>
        <v/>
      </c>
      <c r="BN117" s="74" t="n"/>
      <c r="BO117" s="62" t="inlineStr">
        <is>
          <t>P/E: n/m — loss-making at IPO (use P/S) · price range: fixed-price offering (no indicative range) · range low: cap-only pricing — the filing publishes a Maximum Offer Price and no indicative floor · A/H: no A-share listing · cornerstone: AAStocks institutional table includes non-cornerstone orders (superset) — cornerstone % is from the prospectus</t>
        </is>
      </c>
    </row>
    <row r="118" ht="15" customHeight="1">
      <c r="A118" s="61" t="inlineStr">
        <is>
          <t>2376</t>
        </is>
      </c>
      <c r="B118" s="62" t="inlineStr">
        <is>
          <t>LUSHANGSERVICES</t>
        </is>
      </c>
      <c r="C118" s="62" t="inlineStr">
        <is>
          <t>魯商服務</t>
        </is>
      </c>
      <c r="D118" s="62" t="inlineStr">
        <is>
          <t>Real Estate</t>
        </is>
      </c>
      <c r="E118" s="62" t="inlineStr">
        <is>
          <t>Property management</t>
        </is>
      </c>
      <c r="F118" s="62" t="inlineStr">
        <is>
          <t>Property Service and Management</t>
        </is>
      </c>
      <c r="G118" s="62" t="inlineStr">
        <is>
          <t>Standard</t>
        </is>
      </c>
      <c r="H118" s="63" t="n">
        <v>44750</v>
      </c>
      <c r="I118" s="64" t="n">
        <v>28.6</v>
      </c>
      <c r="J118" s="62" t="inlineStr">
        <is>
          <t>net proceeds</t>
        </is>
      </c>
      <c r="K118" s="65" t="n"/>
      <c r="L118" s="65" t="n">
        <v>7.92</v>
      </c>
      <c r="M118" s="65" t="n">
        <v>5.92</v>
      </c>
      <c r="N118" s="62" t="inlineStr">
        <is>
          <t>N</t>
        </is>
      </c>
      <c r="O118" s="66" t="n">
        <v>74.7</v>
      </c>
      <c r="P118" s="66" t="n"/>
      <c r="Q118" s="67" t="n">
        <v>967.9</v>
      </c>
      <c r="R118" s="62" t="inlineStr">
        <is>
          <t>aastocks:上市市值 at the struck price</t>
        </is>
      </c>
      <c r="S118" s="68" t="n">
        <v>7.39</v>
      </c>
      <c r="T118" s="69" t="n">
        <v>1.2</v>
      </c>
      <c r="U118" s="70" t="n">
        <v>0</v>
      </c>
      <c r="V118" s="66" t="n">
        <v>2.95</v>
      </c>
      <c r="W118" s="62" t="n"/>
      <c r="X118" s="62" t="n"/>
      <c r="Y118" s="66" t="n">
        <v>15</v>
      </c>
      <c r="Z118" s="62" t="inlineStr">
        <is>
          <t>lapsed</t>
        </is>
      </c>
      <c r="AA118" s="71" t="n">
        <v>-25.17</v>
      </c>
      <c r="AB118" s="72" t="n">
        <v>-15.37</v>
      </c>
      <c r="AC118" s="72" t="n">
        <v>-11.58</v>
      </c>
      <c r="AD118" s="72" t="n">
        <v>-39.19</v>
      </c>
      <c r="AE118" s="72" t="n">
        <v>-57.43</v>
      </c>
      <c r="AF118" s="72" t="n">
        <v>-60.3</v>
      </c>
      <c r="AG118" s="72" t="n">
        <v>-18.74</v>
      </c>
      <c r="AH118" s="72" t="n">
        <v>-43.11</v>
      </c>
      <c r="AI118" s="72" t="n">
        <v>-46.95</v>
      </c>
      <c r="AJ118" s="72" t="n">
        <v>-31.5</v>
      </c>
      <c r="AK118" s="72" t="n">
        <v>-46.54</v>
      </c>
      <c r="AL118" s="72" t="n">
        <v>-41.93</v>
      </c>
      <c r="AM118" s="72" t="n">
        <v>-31.36</v>
      </c>
      <c r="AN118" s="72" t="n">
        <v>-10.89</v>
      </c>
      <c r="AO118" s="72" t="n">
        <v>-11.75</v>
      </c>
      <c r="AP118" s="62" t="inlineStr">
        <is>
          <t>Hang Seng Properties sub-index</t>
        </is>
      </c>
      <c r="AQ118" s="72" t="n">
        <v>-62.67</v>
      </c>
      <c r="AR118" s="63" t="inlineStr">
        <is>
          <t>2026-08-20</t>
        </is>
      </c>
      <c r="AS118" s="64" t="n">
        <v>641.1</v>
      </c>
      <c r="AT118" s="67" t="n">
        <v>84.7</v>
      </c>
      <c r="AU118" s="62" t="inlineStr">
        <is>
          <t>Y</t>
        </is>
      </c>
      <c r="AV118" s="73" t="n">
        <v>11.4</v>
      </c>
      <c r="AW118" s="73" t="n"/>
      <c r="AX118" s="73" t="n">
        <v>7.4</v>
      </c>
      <c r="AY118" s="73" t="n">
        <v>1.5</v>
      </c>
      <c r="AZ118" s="74" t="inlineStr">
        <is>
          <t>N</t>
        </is>
      </c>
      <c r="BA118" s="75">
        <f>IF('BBG Verify'!K118="","not filed — run on terminal",'BBG Verify'!K118)</f>
        <v/>
      </c>
      <c r="BB118" s="62" t="inlineStr">
        <is>
          <t>N/A</t>
        </is>
      </c>
      <c r="BC118" s="62" t="inlineStr">
        <is>
          <t>N/A</t>
        </is>
      </c>
      <c r="BD118" s="62" t="inlineStr">
        <is>
          <t>N/A</t>
        </is>
      </c>
      <c r="BE118" s="62" t="inlineStr">
        <is>
          <t>N/A</t>
        </is>
      </c>
      <c r="BF118" s="62" t="inlineStr">
        <is>
          <t>N/A</t>
        </is>
      </c>
      <c r="BG118" s="74" t="inlineStr">
        <is>
          <t>ABCI Capital Limited</t>
        </is>
      </c>
      <c r="BH118" s="62" t="inlineStr">
        <is>
          <t>ABCI Capital Limited</t>
        </is>
      </c>
      <c r="BI118" s="62" t="inlineStr">
        <is>
          <t>ABCI Capital Limited; Zhongtai International Securities Limited; China International Capital Corporation Hong Kong Securities Limited; Central, Hong Kong GF Securities (Hong Kong) Brokerage Limited; Wanchai, Hong Kong Guotai Junan Securities (Hong Kong) Limited; CMBC Securities Company Limited; Yue Xiu Securities Company Limited; Wanchai, Hong Kong China Chengtong (Hong Kong) Asset Management Company Limited; Wan Chai, Hong Kong Fortune (HK) Securities Limited; Eddid Securities and Futures Limited</t>
        </is>
      </c>
      <c r="BJ118" s="62" t="inlineStr">
        <is>
          <t>ABCI Securities Company Limited; China Chengtong (Hong Kong) Asset Management Company Limited; China Everbright Securities (HK) Limited; China International Capital Corporation Hong Kong Securities Limited; CMBC Securities Company Limited; Eddid Securities and Futures Limited; Fortune (HK) Securities Limited; GF Securities (Hong Kong) Brokerage Limited; Guotai Junan Securities (Hong Kong) Limited; Livermore Holdings Limited; Valuable Capital Limited; Yue Xiu Securities Company Limited</t>
        </is>
      </c>
      <c r="BK118" s="76">
        <f>HYPERLINK("https://www1.hkexnews.hk/listedco/listconews/sehk/2022/0627/2022062700017.pdf","prospectus")</f>
        <v/>
      </c>
      <c r="BL118" s="76">
        <f>HYPERLINK("https://www1.hkexnews.hk/listedco/listconews/sehk/2022/0707/2022070700020.htm","allotment")</f>
        <v/>
      </c>
      <c r="BM118" s="76">
        <f>HYPERLINK("https://www1.hkexnews.hk/listedco/listconews/sehk/2022/0801/2022080101943.pdf","stabilisation")</f>
        <v/>
      </c>
      <c r="BN118" s="74" t="n"/>
      <c r="BO118" s="62" t="inlineStr">
        <is>
          <t>range low: cap-only pricing — the filing publishes a Maximum Offer Price and no indicative floor · A/H: no A-share listing · cornerstone list: no cornerstone tranche in this deal</t>
        </is>
      </c>
    </row>
    <row r="119" ht="15" customHeight="1">
      <c r="A119" s="61" t="inlineStr">
        <is>
          <t>2392</t>
        </is>
      </c>
      <c r="B119" s="62" t="inlineStr">
        <is>
          <t>XUANWU CLOUD</t>
        </is>
      </c>
      <c r="C119" s="62" t="inlineStr">
        <is>
          <t>玄武雲</t>
        </is>
      </c>
      <c r="D119" s="62" t="inlineStr">
        <is>
          <t>Tech/AI</t>
        </is>
      </c>
      <c r="E119" s="62" t="inlineStr">
        <is>
          <t>SaaS / enterprise software</t>
        </is>
      </c>
      <c r="F119" s="62" t="inlineStr">
        <is>
          <t>Systems Software</t>
        </is>
      </c>
      <c r="G119" s="62" t="inlineStr">
        <is>
          <t>Standard</t>
        </is>
      </c>
      <c r="H119" s="63" t="n">
        <v>44750</v>
      </c>
      <c r="I119" s="64" t="n">
        <v>214.6</v>
      </c>
      <c r="J119" s="62" t="inlineStr">
        <is>
          <t>gross (price x shares)</t>
        </is>
      </c>
      <c r="K119" s="65" t="n">
        <v>4.93</v>
      </c>
      <c r="L119" s="65" t="n">
        <v>6.91</v>
      </c>
      <c r="M119" s="65" t="n">
        <v>6.24</v>
      </c>
      <c r="N119" s="62" t="inlineStr">
        <is>
          <t>N</t>
        </is>
      </c>
      <c r="O119" s="66" t="n">
        <v>90.3</v>
      </c>
      <c r="P119" s="66" t="n">
        <v>66.2</v>
      </c>
      <c r="Q119" s="67" t="n">
        <v>3871.8</v>
      </c>
      <c r="R119" s="62" t="inlineStr">
        <is>
          <t>aastocks:上市市值 at the struck price</t>
        </is>
      </c>
      <c r="S119" s="68" t="n">
        <v>42.13</v>
      </c>
      <c r="T119" s="69" t="n">
        <v>2.09</v>
      </c>
      <c r="U119" s="70" t="n">
        <v>27.2</v>
      </c>
      <c r="V119" s="66" t="n">
        <v>4.04</v>
      </c>
      <c r="W119" s="62" t="inlineStr">
        <is>
          <t>Colorful Cloud</t>
        </is>
      </c>
      <c r="X119" s="62" t="inlineStr">
        <is>
          <t>colorful</t>
        </is>
      </c>
      <c r="Y119" s="66" t="n">
        <v>5.62</v>
      </c>
      <c r="Z119" s="62" t="inlineStr">
        <is>
          <t>lapsed</t>
        </is>
      </c>
      <c r="AA119" s="71" t="n">
        <v>0.64</v>
      </c>
      <c r="AB119" s="72" t="n">
        <v>0</v>
      </c>
      <c r="AC119" s="72" t="n">
        <v>0.64</v>
      </c>
      <c r="AD119" s="72" t="n">
        <v>-7.05</v>
      </c>
      <c r="AE119" s="72" t="n">
        <v>4.17</v>
      </c>
      <c r="AF119" s="72" t="n">
        <v>-3.21</v>
      </c>
      <c r="AG119" s="72" t="n">
        <v>-7.64</v>
      </c>
      <c r="AH119" s="72" t="n">
        <v>3.51</v>
      </c>
      <c r="AI119" s="72" t="n">
        <v>-3.83</v>
      </c>
      <c r="AJ119" s="72" t="n">
        <v>-0.33</v>
      </c>
      <c r="AK119" s="72" t="n">
        <v>12.94</v>
      </c>
      <c r="AL119" s="72" t="n">
        <v>22.36</v>
      </c>
      <c r="AM119" s="72" t="n">
        <v>12.93</v>
      </c>
      <c r="AN119" s="72" t="n">
        <v>-8.77</v>
      </c>
      <c r="AO119" s="72" t="n">
        <v>-9.42</v>
      </c>
      <c r="AP119" s="62" t="inlineStr">
        <is>
          <t>HSTECH (Hang Seng TECH ETF)</t>
        </is>
      </c>
      <c r="AQ119" s="72" t="n">
        <v>-83.73</v>
      </c>
      <c r="AR119" s="63" t="inlineStr">
        <is>
          <t>2026-08-20</t>
        </is>
      </c>
      <c r="AS119" s="64" t="n">
        <v>876.4</v>
      </c>
      <c r="AT119" s="67" t="n">
        <v>32.2</v>
      </c>
      <c r="AU119" s="62" t="inlineStr">
        <is>
          <t>Y</t>
        </is>
      </c>
      <c r="AV119" s="73" t="n">
        <v>120.2</v>
      </c>
      <c r="AW119" s="73" t="n"/>
      <c r="AX119" s="73" t="n"/>
      <c r="AY119" s="73" t="n">
        <v>4.4</v>
      </c>
      <c r="AZ119" s="74" t="inlineStr">
        <is>
          <t>N</t>
        </is>
      </c>
      <c r="BA119" s="75">
        <f>IF('BBG Verify'!K119="","not filed — run on terminal",'BBG Verify'!K119)</f>
        <v/>
      </c>
      <c r="BB119" s="62" t="inlineStr">
        <is>
          <t>N/A</t>
        </is>
      </c>
      <c r="BC119" s="62" t="inlineStr">
        <is>
          <t>N/A</t>
        </is>
      </c>
      <c r="BD119" s="62" t="inlineStr">
        <is>
          <t>N/A</t>
        </is>
      </c>
      <c r="BE119" s="62" t="inlineStr">
        <is>
          <t>N/A</t>
        </is>
      </c>
      <c r="BF119" s="62" t="inlineStr">
        <is>
          <t>N/A</t>
        </is>
      </c>
      <c r="BG119" s="74" t="inlineStr">
        <is>
          <t>CMB International Capital Limited</t>
        </is>
      </c>
      <c r="BH119" s="62" t="inlineStr">
        <is>
          <t>CMB International Capital Corporation Limited</t>
        </is>
      </c>
      <c r="BI119" s="62" t="inlineStr">
        <is>
          <t>CMB International Capital Limited; Huatai Financial Holdings (Hong Kong) Limited; CLSA Limited; Guotai Junan Securities (Hong Kong) Limited; Citrus Securities Limited</t>
        </is>
      </c>
      <c r="BJ119" s="62" t="inlineStr">
        <is>
          <t>Citrus Securities Limited; CLSA Limited; CMB International Capital Limited; Guotai Junan Securities (Hong Kong) Limited; Huatai Financial Holdings (Hong Kong) Limited; Livermore Holdings Limited</t>
        </is>
      </c>
      <c r="BK119" s="76">
        <f>HYPERLINK("https://www1.hkexnews.hk/listedco/listconews/sehk/2022/0624/2022062400033.pdf","prospectus")</f>
        <v/>
      </c>
      <c r="BL119" s="76">
        <f>HYPERLINK("https://www1.hkexnews.hk/listedco/listconews/sehk/2022/0707/2022070700032.htm","allotment")</f>
        <v/>
      </c>
      <c r="BM119" s="76">
        <f>HYPERLINK("https://www1.hkexnews.hk/listedco/listconews/sehk/2022/0731/2022073100021.pdf","stabilisation")</f>
        <v/>
      </c>
      <c r="BN119" s="74" t="n"/>
      <c r="BO119" s="62" t="inlineStr">
        <is>
          <t>A/H: no A-share listing · market cap: estimate from stated market capitalisation disagreed with the published listing cap — published figure adopted</t>
        </is>
      </c>
    </row>
    <row r="120" ht="15" customHeight="1">
      <c r="A120" s="61" t="inlineStr">
        <is>
          <t>2297</t>
        </is>
      </c>
      <c r="B120" s="62" t="inlineStr">
        <is>
          <t>RAINMED-B</t>
        </is>
      </c>
      <c r="C120" s="62" t="inlineStr">
        <is>
          <t>潤邁德－Ｂ</t>
        </is>
      </c>
      <c r="D120" s="62" t="inlineStr">
        <is>
          <t>Healthcare</t>
        </is>
      </c>
      <c r="E120" s="62" t="inlineStr">
        <is>
          <t>Medical devices</t>
        </is>
      </c>
      <c r="F120" s="62" t="inlineStr">
        <is>
          <t>Biotechnology - Medical Devices</t>
        </is>
      </c>
      <c r="G120" s="62" t="inlineStr">
        <is>
          <t>18A</t>
        </is>
      </c>
      <c r="H120" s="63" t="n">
        <v>44750</v>
      </c>
      <c r="I120" s="64" t="n">
        <v>145.7</v>
      </c>
      <c r="J120" s="62" t="inlineStr">
        <is>
          <t>gross (price x shares)</t>
        </is>
      </c>
      <c r="K120" s="65" t="n"/>
      <c r="L120" s="65" t="n">
        <v>6.24</v>
      </c>
      <c r="M120" s="65" t="n">
        <v>6.24</v>
      </c>
      <c r="N120" s="62" t="inlineStr">
        <is>
          <t>Y</t>
        </is>
      </c>
      <c r="O120" s="66" t="n">
        <v>100</v>
      </c>
      <c r="P120" s="66" t="n"/>
      <c r="Q120" s="67" t="n">
        <v>7287.1</v>
      </c>
      <c r="R120" s="62" t="inlineStr">
        <is>
          <t>aastocks:上市市值 at the struck price</t>
        </is>
      </c>
      <c r="S120" s="68" t="n">
        <v>6.35</v>
      </c>
      <c r="T120" s="69" t="n">
        <v>1.34</v>
      </c>
      <c r="U120" s="70" t="n">
        <v>0</v>
      </c>
      <c r="V120" s="66" t="n">
        <v>2</v>
      </c>
      <c r="W120" s="62" t="n"/>
      <c r="X120" s="62" t="n"/>
      <c r="Y120" s="66" t="n">
        <v>18.4</v>
      </c>
      <c r="Z120" s="62" t="inlineStr">
        <is>
          <t>partial</t>
        </is>
      </c>
      <c r="AA120" s="71" t="n">
        <v>-15.38</v>
      </c>
      <c r="AB120" s="72" t="n">
        <v>-10.26</v>
      </c>
      <c r="AC120" s="72" t="n">
        <v>-5.71</v>
      </c>
      <c r="AD120" s="72" t="n">
        <v>-18.11</v>
      </c>
      <c r="AE120" s="72" t="n">
        <v>-33.49</v>
      </c>
      <c r="AF120" s="72" t="n">
        <v>-52.88</v>
      </c>
      <c r="AG120" s="72" t="n">
        <v>-3.23</v>
      </c>
      <c r="AH120" s="72" t="n">
        <v>-21.4</v>
      </c>
      <c r="AI120" s="72" t="n">
        <v>-44.32</v>
      </c>
      <c r="AJ120" s="72" t="n">
        <v>-13.29</v>
      </c>
      <c r="AK120" s="72" t="n">
        <v>-25.89</v>
      </c>
      <c r="AL120" s="72" t="n">
        <v>-28.65</v>
      </c>
      <c r="AM120" s="72" t="n">
        <v>-14.39</v>
      </c>
      <c r="AN120" s="72" t="n">
        <v>-7.6</v>
      </c>
      <c r="AO120" s="72" t="n">
        <v>-7.01</v>
      </c>
      <c r="AP120" s="62" t="inlineStr">
        <is>
          <t>China Biotech ETF (HS biotech proxy)</t>
        </is>
      </c>
      <c r="AQ120" s="72" t="n">
        <v>-96.81</v>
      </c>
      <c r="AR120" s="63" t="inlineStr">
        <is>
          <t>2026-08-20</t>
        </is>
      </c>
      <c r="AS120" s="64" t="n">
        <v>89.3</v>
      </c>
      <c r="AT120" s="67" t="n">
        <v>-697</v>
      </c>
      <c r="AU120" s="62" t="inlineStr">
        <is>
          <t>N</t>
        </is>
      </c>
      <c r="AV120" s="62" t="inlineStr">
        <is>
          <t>n/m</t>
        </is>
      </c>
      <c r="AW120" s="73" t="n"/>
      <c r="AX120" s="73" t="n"/>
      <c r="AY120" s="73" t="n">
        <v>81.59999999999999</v>
      </c>
      <c r="AZ120" s="74" t="inlineStr">
        <is>
          <t>N</t>
        </is>
      </c>
      <c r="BA120" s="75">
        <f>IF('BBG Verify'!K120="","not filed — run on terminal",'BBG Verify'!K120)</f>
        <v/>
      </c>
      <c r="BB120" s="62" t="inlineStr">
        <is>
          <t>N/A</t>
        </is>
      </c>
      <c r="BC120" s="62" t="inlineStr">
        <is>
          <t>N/A</t>
        </is>
      </c>
      <c r="BD120" s="62" t="inlineStr">
        <is>
          <t>N/A</t>
        </is>
      </c>
      <c r="BE120" s="62" t="inlineStr">
        <is>
          <t>N/A</t>
        </is>
      </c>
      <c r="BF120" s="62" t="inlineStr">
        <is>
          <t>N/A</t>
        </is>
      </c>
      <c r="BG120" s="74" t="inlineStr">
        <is>
          <t>Huatai Financial Holdings (Hong Kong) Limited</t>
        </is>
      </c>
      <c r="BH120" s="62" t="inlineStr">
        <is>
          <t>Huatai Financial Holdings (Hong Kong) Limited</t>
        </is>
      </c>
      <c r="BI120" s="62" t="inlineStr">
        <is>
          <t>Huatai Financial Holdings (Hong Kong) Limited; Zhongtai International Securities Limited; BOCOM International Securities Limited; Eddid Securities and Futures Limited</t>
        </is>
      </c>
      <c r="BJ120" s="62" t="inlineStr">
        <is>
          <t>Beta International Securities Limited; Eddid Securities and Futures Limited; Huatai Financial Holdings (Hong Kong) Limited; Livermore Holdings Limited; Zhongtai International Securities Limited</t>
        </is>
      </c>
      <c r="BK120" s="76">
        <f>HYPERLINK("https://www1.hkexnews.hk/listedco/listconews/sehk/2022/0627/2022062700021.pdf","prospectus")</f>
        <v/>
      </c>
      <c r="BL120" s="76">
        <f>HYPERLINK("https://www1.hkexnews.hk/listedco/listconews/sehk/2022/0707/2022070700056.htm","allotment")</f>
        <v/>
      </c>
      <c r="BM120" s="76">
        <f>HYPERLINK("https://www1.hkexnews.hk/listedco/listconews/sehk/2022/0801/2022080100005.pdf","stabilisation")</f>
        <v/>
      </c>
      <c r="BN120" s="74" t="n"/>
      <c r="BO120" s="62" t="inlineStr">
        <is>
          <t>P/E: n/m — loss-making at IPO (use P/S) · range low: cap-only pricing — the filing publishes a Maximum Offer Price and no indicative floor · A/H: no A-share listing · market cap: estimate from stated market capitalisation disagreed with the published listing cap — published figure adopted · cornerstone list: no cornerstone tranche in this deal</t>
        </is>
      </c>
    </row>
    <row r="121" ht="15" customHeight="1">
      <c r="A121" s="61" t="inlineStr">
        <is>
          <t>2361</t>
        </is>
      </c>
      <c r="B121" s="62" t="inlineStr">
        <is>
          <t>SINOHEALTH HLDG</t>
        </is>
      </c>
      <c r="C121" s="62" t="inlineStr">
        <is>
          <t>中康科技控股</t>
        </is>
      </c>
      <c r="D121" s="62" t="inlineStr">
        <is>
          <t>Healthcare</t>
        </is>
      </c>
      <c r="E121" s="62" t="inlineStr">
        <is>
          <t>Digital health</t>
        </is>
      </c>
      <c r="F121" s="62" t="inlineStr">
        <is>
          <t>Health Care Services</t>
        </is>
      </c>
      <c r="G121" s="62" t="inlineStr">
        <is>
          <t>Standard</t>
        </is>
      </c>
      <c r="H121" s="63" t="n">
        <v>44754</v>
      </c>
      <c r="I121" s="64" t="n">
        <v>60.3</v>
      </c>
      <c r="J121" s="62" t="inlineStr">
        <is>
          <t>net proceeds</t>
        </is>
      </c>
      <c r="K121" s="65" t="n">
        <v>4.83</v>
      </c>
      <c r="L121" s="65" t="n">
        <v>5.36</v>
      </c>
      <c r="M121" s="65" t="n">
        <v>5.36</v>
      </c>
      <c r="N121" s="62" t="inlineStr">
        <is>
          <t>Y</t>
        </is>
      </c>
      <c r="O121" s="66" t="n">
        <v>100</v>
      </c>
      <c r="P121" s="66" t="n">
        <v>100</v>
      </c>
      <c r="Q121" s="67" t="n">
        <v>2782.9</v>
      </c>
      <c r="R121" s="62" t="inlineStr">
        <is>
          <t>aastocks:上市市值 at the struck price</t>
        </is>
      </c>
      <c r="S121" s="68" t="n">
        <v>2.21</v>
      </c>
      <c r="T121" s="69" t="n">
        <v>1.36</v>
      </c>
      <c r="U121" s="70" t="n">
        <v>13.8</v>
      </c>
      <c r="V121" s="66" t="n">
        <v>1.87</v>
      </c>
      <c r="W121" s="62" t="inlineStr">
        <is>
          <t>Baheal Wellness Limited; Kangshi No.1 LP; Luns Family Holdings Limited; Zheng Jingjie</t>
        </is>
      </c>
      <c r="X121" s="62" t="inlineStr">
        <is>
          <t>baheal;kangshi;luns;zheng-jingjie</t>
        </is>
      </c>
      <c r="Y121" s="66" t="n">
        <v>16.6667</v>
      </c>
      <c r="Z121" s="62" t="inlineStr">
        <is>
          <t>partial</t>
        </is>
      </c>
      <c r="AA121" s="71" t="n">
        <v>0</v>
      </c>
      <c r="AB121" s="72" t="n">
        <v>-11.57</v>
      </c>
      <c r="AC121" s="72" t="n">
        <v>13.08</v>
      </c>
      <c r="AD121" s="72" t="n">
        <v>11.94</v>
      </c>
      <c r="AE121" s="72" t="n">
        <v>-1.49</v>
      </c>
      <c r="AF121" s="72" t="n">
        <v>-38.06</v>
      </c>
      <c r="AG121" s="72" t="n">
        <v>11.94</v>
      </c>
      <c r="AH121" s="72" t="n">
        <v>-1.49</v>
      </c>
      <c r="AI121" s="72" t="n">
        <v>-38.06</v>
      </c>
      <c r="AJ121" s="72" t="n">
        <v>15.54</v>
      </c>
      <c r="AK121" s="72" t="n">
        <v>7.56</v>
      </c>
      <c r="AL121" s="72" t="n">
        <v>-12.31</v>
      </c>
      <c r="AM121" s="72" t="n">
        <v>4.62</v>
      </c>
      <c r="AN121" s="72" t="n">
        <v>-9.050000000000001</v>
      </c>
      <c r="AO121" s="72" t="n">
        <v>-6.11</v>
      </c>
      <c r="AP121" s="62" t="inlineStr">
        <is>
          <t>China Biotech ETF (HS biotech proxy)</t>
        </is>
      </c>
      <c r="AQ121" s="72" t="n">
        <v>-4.85</v>
      </c>
      <c r="AR121" s="63" t="inlineStr">
        <is>
          <t>2026-08-20</t>
        </is>
      </c>
      <c r="AS121" s="64" t="n">
        <v>356.6</v>
      </c>
      <c r="AT121" s="67" t="n">
        <v>79.2</v>
      </c>
      <c r="AU121" s="62" t="inlineStr">
        <is>
          <t>Y</t>
        </is>
      </c>
      <c r="AV121" s="73" t="n">
        <v>35.1</v>
      </c>
      <c r="AW121" s="73" t="n"/>
      <c r="AX121" s="73" t="n">
        <v>22.1</v>
      </c>
      <c r="AY121" s="73" t="n">
        <v>7.8</v>
      </c>
      <c r="AZ121" s="74" t="inlineStr">
        <is>
          <t>N</t>
        </is>
      </c>
      <c r="BA121" s="75">
        <f>IF('BBG Verify'!K121="","not filed — run on terminal",'BBG Verify'!K121)</f>
        <v/>
      </c>
      <c r="BB121" s="62" t="inlineStr">
        <is>
          <t>N/A</t>
        </is>
      </c>
      <c r="BC121" s="62" t="inlineStr">
        <is>
          <t>N/A</t>
        </is>
      </c>
      <c r="BD121" s="62" t="inlineStr">
        <is>
          <t>N/A</t>
        </is>
      </c>
      <c r="BE121" s="62" t="inlineStr">
        <is>
          <t>N/A</t>
        </is>
      </c>
      <c r="BF121" s="62" t="inlineStr">
        <is>
          <t>N/A</t>
        </is>
      </c>
      <c r="BG121" s="74" t="inlineStr">
        <is>
          <t>BNP Paribas Securities (Asia) Limited</t>
        </is>
      </c>
      <c r="BH121" s="62" t="inlineStr">
        <is>
          <t>BNP Paribas Securities (Asia) Limited</t>
        </is>
      </c>
      <c r="BI121" s="62" t="inlineStr">
        <is>
          <t>BNP Paribas Securities (Asia) Limited; CCB International Capital Limited; Orient Securities (Hong Kong) Limited</t>
        </is>
      </c>
      <c r="BJ121" s="62" t="inlineStr">
        <is>
          <t>BNP Paribas Securities (Asia) Limited; CCB International Capital Limited; Eddid Securities and Futures Limited; Fosun Hani Securities Limited; Futu Securities International (Hong Kong) Limited; Guotai Junan Securities (Hong Kong) Limited; Haitong International Securities Company Limited; Innovax Securities Limited; Livermore Holdings Limited; Orient Securities (Hong Kong) Limited; UOB Kay Hian (Hong Kong) Limited; Zhongtai International Securities Limited</t>
        </is>
      </c>
      <c r="BK121" s="76">
        <f>HYPERLINK("https://www1.hkexnews.hk/listedco/listconews/sehk/2022/0628/2022062800038.pdf","prospectus")</f>
        <v/>
      </c>
      <c r="BL121" s="76">
        <f>HYPERLINK("https://www1.hkexnews.hk/listedco/listconews/sehk/2022/0711/2022071100010.htm","allotment")</f>
        <v/>
      </c>
      <c r="BM121" s="76">
        <f>HYPERLINK("https://www1.hkexnews.hk/listedco/listconews/sehk/2022/0804/2022080401926.pdf","stabilisation")</f>
        <v/>
      </c>
      <c r="BN121" s="74" t="n"/>
      <c r="BO121" s="62" t="inlineStr">
        <is>
          <t>price range: fixed-price offering (no indicative range) · A/H: no A-share listing · cornerstone: AAStocks institutional table includes non-cornerstone orders (superset) — cornerstone % is from the prospectus</t>
        </is>
      </c>
    </row>
    <row r="122" ht="15" customHeight="1">
      <c r="A122" s="61" t="inlineStr">
        <is>
          <t>2385</t>
        </is>
      </c>
      <c r="B122" s="62" t="inlineStr">
        <is>
          <t>READBOY</t>
        </is>
      </c>
      <c r="C122" s="62" t="inlineStr">
        <is>
          <t>讀書郎</t>
        </is>
      </c>
      <c r="D122" s="62" t="inlineStr">
        <is>
          <t>Tech/AI</t>
        </is>
      </c>
      <c r="E122" s="62" t="inlineStr">
        <is>
          <t>Smart hardware / consumer electronics</t>
        </is>
      </c>
      <c r="F122" s="62" t="inlineStr">
        <is>
          <t>Education Services</t>
        </is>
      </c>
      <c r="G122" s="62" t="inlineStr">
        <is>
          <t>Standard</t>
        </is>
      </c>
      <c r="H122" s="63" t="n">
        <v>44754</v>
      </c>
      <c r="I122" s="64" t="n">
        <v>57.8</v>
      </c>
      <c r="J122" s="62" t="inlineStr">
        <is>
          <t>net proceeds</t>
        </is>
      </c>
      <c r="K122" s="65" t="n"/>
      <c r="L122" s="65" t="n">
        <v>10</v>
      </c>
      <c r="M122" s="65" t="n">
        <v>7.6</v>
      </c>
      <c r="N122" s="62" t="inlineStr">
        <is>
          <t>N</t>
        </is>
      </c>
      <c r="O122" s="66" t="n">
        <v>76</v>
      </c>
      <c r="P122" s="66" t="n"/>
      <c r="Q122" s="67" t="n">
        <v>3317.2</v>
      </c>
      <c r="R122" s="62" t="inlineStr">
        <is>
          <t>aastocks:上市市值 at the struck price</t>
        </is>
      </c>
      <c r="S122" s="68" t="n">
        <v>1.73</v>
      </c>
      <c r="T122" s="69" t="n">
        <v>1.62</v>
      </c>
      <c r="U122" s="70" t="n">
        <v>54.22</v>
      </c>
      <c r="V122" s="66" t="n">
        <v>0.8</v>
      </c>
      <c r="W122" s="62" t="inlineStr">
        <is>
          <t>Azure Telecommunication; Eastland; Gold Synergy; Gui Chunfang; Jin Tao; Tower Lead; Yang Xiaojie; Zheng Changping</t>
        </is>
      </c>
      <c r="X122" s="62" t="inlineStr">
        <is>
          <t>azure;eastland;gold;gui;jin-tao;tower;yang-xiaojie;zheng-changping</t>
        </is>
      </c>
      <c r="Y122" s="66" t="n">
        <v>15</v>
      </c>
      <c r="Z122" s="62" t="inlineStr">
        <is>
          <t>lapsed</t>
        </is>
      </c>
      <c r="AA122" s="71" t="n">
        <v>-5.26</v>
      </c>
      <c r="AB122" s="72" t="n">
        <v>-28.95</v>
      </c>
      <c r="AC122" s="72" t="n">
        <v>33.34</v>
      </c>
      <c r="AD122" s="72" t="n">
        <v>-3.03</v>
      </c>
      <c r="AE122" s="72" t="n">
        <v>-7.89</v>
      </c>
      <c r="AF122" s="72" t="n">
        <v>-6.32</v>
      </c>
      <c r="AG122" s="72" t="n">
        <v>2.35</v>
      </c>
      <c r="AH122" s="72" t="n">
        <v>-2.78</v>
      </c>
      <c r="AI122" s="72" t="n">
        <v>-1.12</v>
      </c>
      <c r="AJ122" s="72" t="n">
        <v>-1.27</v>
      </c>
      <c r="AK122" s="72" t="n">
        <v>1.14</v>
      </c>
      <c r="AL122" s="72" t="n">
        <v>22.53</v>
      </c>
      <c r="AM122" s="72" t="n">
        <v>4.83</v>
      </c>
      <c r="AN122" s="72" t="n">
        <v>-9.029999999999999</v>
      </c>
      <c r="AO122" s="72" t="n">
        <v>-7.61</v>
      </c>
      <c r="AP122" s="62" t="inlineStr">
        <is>
          <t>HSTECH (Hang Seng TECH ETF)</t>
        </is>
      </c>
      <c r="AQ122" s="72" t="n">
        <v>-24.61</v>
      </c>
      <c r="AR122" s="63" t="inlineStr">
        <is>
          <t>2026-08-20</t>
        </is>
      </c>
      <c r="AS122" s="64" t="n">
        <v>894.5</v>
      </c>
      <c r="AT122" s="67" t="n">
        <v>90.40000000000001</v>
      </c>
      <c r="AU122" s="62" t="inlineStr">
        <is>
          <t>Y</t>
        </is>
      </c>
      <c r="AV122" s="73" t="n">
        <v>36.7</v>
      </c>
      <c r="AW122" s="73" t="n"/>
      <c r="AX122" s="73" t="n"/>
      <c r="AY122" s="73" t="n">
        <v>3.7</v>
      </c>
      <c r="AZ122" s="74" t="inlineStr">
        <is>
          <t>N</t>
        </is>
      </c>
      <c r="BA122" s="75">
        <f>IF('BBG Verify'!K122="","not filed — run on terminal",'BBG Verify'!K122)</f>
        <v/>
      </c>
      <c r="BB122" s="62" t="inlineStr">
        <is>
          <t>N/A</t>
        </is>
      </c>
      <c r="BC122" s="62" t="inlineStr">
        <is>
          <t>N/A</t>
        </is>
      </c>
      <c r="BD122" s="62" t="inlineStr">
        <is>
          <t>N/A</t>
        </is>
      </c>
      <c r="BE122" s="62" t="inlineStr">
        <is>
          <t>N/A</t>
        </is>
      </c>
      <c r="BF122" s="62" t="inlineStr">
        <is>
          <t>N/A</t>
        </is>
      </c>
      <c r="BG122" s="74" t="inlineStr">
        <is>
          <t>China Securities (International) Corporate Finance Company Limited; Macquarie Capital Limited</t>
        </is>
      </c>
      <c r="BH122" s="62" t="inlineStr">
        <is>
          <t>China Securities (International) Corporate Finance Company Limited; Macquarie Capital Limited</t>
        </is>
      </c>
      <c r="BI122" s="62" t="inlineStr">
        <is>
          <t>China Securities (International) Corporate Finance Company Limited; Macquarie Capital Limited</t>
        </is>
      </c>
      <c r="BJ122" s="62" t="inlineStr">
        <is>
          <t>Beta International Securities Limited; China Merchants Securities (HK) Company Limited; China Securities (International) Corporate Finance Company Limited; Eddid Securities and Futures Limited; Futu Securities International (Hong Kong) Limited; Guotai Junan Securities (Hong Kong) Limited; Haitong International Securities Company Limited; Livermore Holdings Limited; Macquarie Capital Limited; Tiger Brokers (HK) Global Limited</t>
        </is>
      </c>
      <c r="BK122" s="76">
        <f>HYPERLINK("https://www1.hkexnews.hk/listedco/listconews/sehk/2022/0629/2022062900037.pdf","prospectus")</f>
        <v/>
      </c>
      <c r="BL122" s="76">
        <f>HYPERLINK("https://www1.hkexnews.hk/listedco/listconews/sehk/2022/0711/2022071100024.htm","allotment")</f>
        <v/>
      </c>
      <c r="BM122" s="76">
        <f>HYPERLINK("https://www1.hkexnews.hk/listedco/listconews/sehk/2022/0804/2022080401924.pdf","stabilisation")</f>
        <v/>
      </c>
      <c r="BN122" s="74" t="n"/>
      <c r="BO122" s="62" t="inlineStr">
        <is>
          <t>range low: cap-only pricing — the filing publishes a Maximum Offer Price and no indicative floor · A/H: no A-share listing · market cap: estimate from deal size / offer % of enlarged capital disagreed with the published listing cap — published figure adopted · cornerstone: AAStocks institutional table includes non-cornerstone orders (superset) — cornerstone % is from the prospectus</t>
        </is>
      </c>
    </row>
    <row r="123" ht="15" customHeight="1">
      <c r="A123" s="61" t="inlineStr">
        <is>
          <t>9896</t>
        </is>
      </c>
      <c r="B123" s="62" t="inlineStr">
        <is>
          <t>MNSO</t>
        </is>
      </c>
      <c r="C123" s="62" t="inlineStr">
        <is>
          <t>名創優品</t>
        </is>
      </c>
      <c r="D123" s="62" t="inlineStr">
        <is>
          <t>Consumer</t>
        </is>
      </c>
      <c r="E123" s="62" t="inlineStr">
        <is>
          <t>Retail / distribution</t>
        </is>
      </c>
      <c r="F123" s="62" t="inlineStr">
        <is>
          <t>Hypermarkets, Supermarkets &amp; Convenience Stores</t>
        </is>
      </c>
      <c r="G123" s="62" t="inlineStr">
        <is>
          <t>Standard</t>
        </is>
      </c>
      <c r="H123" s="63" t="n">
        <v>44755</v>
      </c>
      <c r="I123" s="64" t="n">
        <v>475.7</v>
      </c>
      <c r="J123" s="62" t="inlineStr">
        <is>
          <t>net proceeds</t>
        </is>
      </c>
      <c r="K123" s="65" t="n"/>
      <c r="L123" s="65" t="n">
        <v>13.8</v>
      </c>
      <c r="M123" s="65" t="n">
        <v>13.8</v>
      </c>
      <c r="N123" s="62" t="inlineStr">
        <is>
          <t>Y</t>
        </is>
      </c>
      <c r="O123" s="66" t="n">
        <v>100</v>
      </c>
      <c r="P123" s="66" t="n"/>
      <c r="Q123" s="67" t="n">
        <v>12856.8</v>
      </c>
      <c r="R123" s="62" t="inlineStr">
        <is>
          <t>derived:deal size / offer % of enlarged capital</t>
        </is>
      </c>
      <c r="S123" s="68" t="n">
        <v>1.4</v>
      </c>
      <c r="T123" s="69" t="n">
        <v>4.84</v>
      </c>
      <c r="U123" s="70" t="n"/>
      <c r="V123" s="66" t="n">
        <v>3.7</v>
      </c>
      <c r="W123" s="62" t="n"/>
      <c r="X123" s="62" t="n"/>
      <c r="Y123" s="66" t="n">
        <v>5</v>
      </c>
      <c r="Z123" s="62" t="inlineStr">
        <is>
          <t>partial</t>
        </is>
      </c>
      <c r="AA123" s="71" t="n">
        <v>-3.04</v>
      </c>
      <c r="AB123" s="72" t="n">
        <v>-4.35</v>
      </c>
      <c r="AC123" s="72" t="n">
        <v>1.37</v>
      </c>
      <c r="AD123" s="72" t="n">
        <v>3.77</v>
      </c>
      <c r="AE123" s="72" t="n">
        <v>-12.9</v>
      </c>
      <c r="AF123" s="72" t="n">
        <v>-26.23</v>
      </c>
      <c r="AG123" s="72" t="n">
        <v>7.02</v>
      </c>
      <c r="AH123" s="72" t="n">
        <v>-10.17</v>
      </c>
      <c r="AI123" s="72" t="n">
        <v>-23.92</v>
      </c>
      <c r="AJ123" s="72" t="n">
        <v>1.69</v>
      </c>
      <c r="AK123" s="72" t="n">
        <v>-9.449999999999999</v>
      </c>
      <c r="AL123" s="72" t="n">
        <v>-5.92</v>
      </c>
      <c r="AM123" s="72" t="n">
        <v>-6.55</v>
      </c>
      <c r="AN123" s="72" t="n">
        <v>-3.45</v>
      </c>
      <c r="AO123" s="72" t="n">
        <v>-3.62</v>
      </c>
      <c r="AP123" s="62" t="inlineStr">
        <is>
          <t>Hang Seng Commerce &amp; Industry sub-index</t>
        </is>
      </c>
      <c r="AQ123" s="72" t="n">
        <v>59.42</v>
      </c>
      <c r="AR123" s="63" t="inlineStr">
        <is>
          <t>2026-08-20</t>
        </is>
      </c>
      <c r="AS123" s="64" t="n">
        <v>11094.2</v>
      </c>
      <c r="AT123" s="67" t="n">
        <v>702</v>
      </c>
      <c r="AU123" s="62" t="inlineStr">
        <is>
          <t>Y</t>
        </is>
      </c>
      <c r="AV123" s="73" t="n">
        <v>18.3</v>
      </c>
      <c r="AW123" s="73" t="n"/>
      <c r="AX123" s="73" t="n"/>
      <c r="AY123" s="73" t="n">
        <v>1.2</v>
      </c>
      <c r="AZ123" s="74" t="inlineStr">
        <is>
          <t>N</t>
        </is>
      </c>
      <c r="BA123" s="75">
        <f>IF('BBG Verify'!K123="","not filed — run on terminal",'BBG Verify'!K123)</f>
        <v/>
      </c>
      <c r="BB123" s="62" t="inlineStr">
        <is>
          <t>N/A</t>
        </is>
      </c>
      <c r="BC123" s="62" t="inlineStr">
        <is>
          <t>N/A</t>
        </is>
      </c>
      <c r="BD123" s="62" t="inlineStr">
        <is>
          <t>N/A</t>
        </is>
      </c>
      <c r="BE123" s="62" t="inlineStr">
        <is>
          <t>N/A</t>
        </is>
      </c>
      <c r="BF123" s="62" t="inlineStr">
        <is>
          <t>N/A</t>
        </is>
      </c>
      <c r="BG123" s="74" t="inlineStr">
        <is>
          <t>Merrill Lynch (Asia Pacific) Limited; Haitong International Capital Limited; UBS Securities Hong Kong Limited</t>
        </is>
      </c>
      <c r="BH123" s="62" t="inlineStr">
        <is>
          <t>Haitong International Capital Limited; UBS Securities Hong Kong Limited; Merrill Lynch (Asia Pacific) Limited</t>
        </is>
      </c>
      <c r="BI123" s="62" t="inlineStr">
        <is>
          <t>Merrill Lynch (Asia Pacific) Limited; Haitong International Securities Company Limited; UBS AG Hong Kong Branch; UBS Securities LLC</t>
        </is>
      </c>
      <c r="BJ123" s="62" t="inlineStr">
        <is>
          <t>Futu Securities International (Hong Kong) Limited; GF Securities (Hong Kong) Brokerage Limited; Haitong International Securities Company Limited; Merrill Lynch (Asia Pacific) Limited; UBS AG Hong Kong Branch</t>
        </is>
      </c>
      <c r="BK123" s="76">
        <f>HYPERLINK("https://www1.hkexnews.hk/listedco/listconews/sehk/2022/0630/2022063000250.htm","prospectus")</f>
        <v/>
      </c>
      <c r="BL123" s="76">
        <f>HYPERLINK("https://www1.hkexnews.hk/listedco/listconews/sehk/2022/0712/2022071200016.htm","allotment")</f>
        <v/>
      </c>
      <c r="BM123" s="76">
        <f>HYPERLINK("https://www1.hkexnews.hk/listedco/listconews/sehk/2022/0805/2022080501253.pdf","stabilisation")</f>
        <v/>
      </c>
      <c r="BN123" s="74" t="n"/>
      <c r="BO123" s="62" t="inlineStr">
        <is>
          <t>price range: fixed-price offering (no indicative range) · range low: cap-only pricing — the filing publishes a Maximum Offer Price and no indicative floor · A/H: no A-share listing · cornerstone list: cornerstone section not machine-extractable — see the prospectus link · cornerstone %: cornerstone aggregate not stated in the filing</t>
        </is>
      </c>
    </row>
    <row r="124" ht="15" customHeight="1">
      <c r="A124" s="61" t="inlineStr">
        <is>
          <t>6661</t>
        </is>
      </c>
      <c r="B124" s="62" t="inlineStr">
        <is>
          <t>HUZHOU GAS</t>
        </is>
      </c>
      <c r="C124" s="62" t="inlineStr">
        <is>
          <t>湖州燃氣</t>
        </is>
      </c>
      <c r="D124" s="62" t="inlineStr">
        <is>
          <t>Materials/Energy</t>
        </is>
      </c>
      <c r="E124" s="62" t="inlineStr">
        <is>
          <t>Oil &amp; gas / utilities</t>
        </is>
      </c>
      <c r="F124" s="62" t="inlineStr">
        <is>
          <t>Gas Utilities</t>
        </is>
      </c>
      <c r="G124" s="62" t="inlineStr">
        <is>
          <t>Standard</t>
        </is>
      </c>
      <c r="H124" s="63" t="n">
        <v>44755</v>
      </c>
      <c r="I124" s="64" t="n">
        <v>44</v>
      </c>
      <c r="J124" s="62" t="inlineStr">
        <is>
          <t>net proceeds</t>
        </is>
      </c>
      <c r="K124" s="65" t="n"/>
      <c r="L124" s="65" t="n">
        <v>6.08</v>
      </c>
      <c r="M124" s="65" t="n">
        <v>6.08</v>
      </c>
      <c r="N124" s="62" t="inlineStr">
        <is>
          <t>Y</t>
        </is>
      </c>
      <c r="O124" s="66" t="n">
        <v>100</v>
      </c>
      <c r="P124" s="66" t="n"/>
      <c r="Q124" s="67" t="n">
        <v>158.8</v>
      </c>
      <c r="R124" s="62" t="inlineStr">
        <is>
          <t>derived:deal size / offer % of enlarged capital</t>
        </is>
      </c>
      <c r="S124" s="68" t="n">
        <v>8.08</v>
      </c>
      <c r="T124" s="69" t="n">
        <v>1.18</v>
      </c>
      <c r="U124" s="70" t="n">
        <v>18.9</v>
      </c>
      <c r="V124" s="66" t="n">
        <v>22.47</v>
      </c>
      <c r="W124" s="62" t="inlineStr">
        <is>
          <t>Huzhou Erqing Asset Operation Co., Ltd; Zhejiang Caixu Equity Investment Co., Ltd; Zhejiang Jiening Equity Investment Co., Ltd; Zhejiang Lichen Equity Investment Co., Ltd</t>
        </is>
      </c>
      <c r="X124" s="62" t="inlineStr">
        <is>
          <t>huzhou;zhejiang</t>
        </is>
      </c>
      <c r="Y124" s="66" t="n">
        <v>14.6</v>
      </c>
      <c r="Z124" s="62" t="inlineStr">
        <is>
          <t>partial</t>
        </is>
      </c>
      <c r="AA124" s="71" t="n">
        <v>-7.89</v>
      </c>
      <c r="AB124" s="72" t="n">
        <v>-1.64</v>
      </c>
      <c r="AC124" s="72" t="n">
        <v>-6.35</v>
      </c>
      <c r="AD124" s="72" t="n">
        <v>-1.32</v>
      </c>
      <c r="AE124" s="72" t="n">
        <v>-9.539999999999999</v>
      </c>
      <c r="AF124" s="72" t="n">
        <v>-5.43</v>
      </c>
      <c r="AG124" s="72" t="n">
        <v>7.13</v>
      </c>
      <c r="AH124" s="72" t="n">
        <v>-1.79</v>
      </c>
      <c r="AI124" s="72" t="n">
        <v>2.67</v>
      </c>
      <c r="AJ124" s="72" t="n">
        <v>-3.4</v>
      </c>
      <c r="AK124" s="72" t="n">
        <v>-6.09</v>
      </c>
      <c r="AL124" s="72" t="n">
        <v>14.88</v>
      </c>
      <c r="AM124" s="72" t="n">
        <v>1.83</v>
      </c>
      <c r="AN124" s="72" t="n">
        <v>-3.45</v>
      </c>
      <c r="AO124" s="72" t="n">
        <v>-3.62</v>
      </c>
      <c r="AP124" s="62" t="inlineStr">
        <is>
          <t>Hang Seng Commerce &amp; Industry sub-index</t>
        </is>
      </c>
      <c r="AQ124" s="72" t="n">
        <v>-18.67</v>
      </c>
      <c r="AR124" s="63" t="inlineStr">
        <is>
          <t>2026-08-19</t>
        </is>
      </c>
      <c r="AS124" s="64" t="n">
        <v>2044.6</v>
      </c>
      <c r="AT124" s="67" t="n">
        <v>183.4</v>
      </c>
      <c r="AU124" s="62" t="inlineStr">
        <is>
          <t>Y</t>
        </is>
      </c>
      <c r="AV124" s="73" t="n">
        <v>0.9</v>
      </c>
      <c r="AW124" s="73" t="n"/>
      <c r="AX124" s="73" t="n">
        <v>9.1</v>
      </c>
      <c r="AY124" s="73" t="n">
        <v>0.1</v>
      </c>
      <c r="AZ124" s="74" t="inlineStr">
        <is>
          <t>N</t>
        </is>
      </c>
      <c r="BA124" s="75">
        <f>IF('BBG Verify'!K124="","not filed — run on terminal",'BBG Verify'!K124)</f>
        <v/>
      </c>
      <c r="BB124" s="62" t="inlineStr">
        <is>
          <t>N/A</t>
        </is>
      </c>
      <c r="BC124" s="62" t="inlineStr">
        <is>
          <t>N/A</t>
        </is>
      </c>
      <c r="BD124" s="62" t="inlineStr">
        <is>
          <t>N/A</t>
        </is>
      </c>
      <c r="BE124" s="62" t="inlineStr">
        <is>
          <t>N/A</t>
        </is>
      </c>
      <c r="BF124" s="62" t="inlineStr">
        <is>
          <t>N/A</t>
        </is>
      </c>
      <c r="BG124" s="74" t="inlineStr">
        <is>
          <t>BOCOM International (Asia) Limited</t>
        </is>
      </c>
      <c r="BH124" s="62" t="inlineStr">
        <is>
          <t>BOCOM International (Asia) Limited</t>
        </is>
      </c>
      <c r="BI124" s="62" t="inlineStr">
        <is>
          <t>CEB International Capital Corporation Limited; China Everbright Securities (HK) Limited; Wanchai, Hong Kong China Industrial Securities International Capital Limited; Sheung Wan, Hong Kong China Tonghai Securities Limited; CMBC Securities Company Limited; Central, Hong Kong Guotai Junan Securities (Hong Kong) Limited; Zhongtai International Securities Limited</t>
        </is>
      </c>
      <c r="BJ124" s="62" t="inlineStr">
        <is>
          <t>Beta International Securities Limited; CEB International Capital Corporation Limited; China Everbright Securities (HK) Limited; China Tonghai Securities Limited; China Industrial Securities International Capital Limited; CMBC Securities Company Limited; Essence International Securities (Hong Kong) Limited; Eddid Securities and Futures Limited; Guotai Junan Securities (Hong Kong) Limited; Livermore Holdings Limited; Maxa Capital Limited; Sigma Capital Management Limited</t>
        </is>
      </c>
      <c r="BK124" s="76">
        <f>HYPERLINK("https://www1.hkexnews.hk/listedco/listconews/sehk/2022/0629/2022062900043.pdf","prospectus")</f>
        <v/>
      </c>
      <c r="BL124" s="76">
        <f>HYPERLINK("https://www1.hkexnews.hk/listedco/listconews/sehk/2022/0712/2022071200042.htm","allotment")</f>
        <v/>
      </c>
      <c r="BM124" s="76">
        <f>HYPERLINK("https://www1.hkexnews.hk/listedco/listconews/sehk/2022/0805/2022080501239.pdf","stabilisation")</f>
        <v/>
      </c>
      <c r="BN124" s="74" t="n"/>
      <c r="BO124" s="62" t="inlineStr">
        <is>
          <t>range low: cap-only pricing — the filing publishes a Maximum Offer Price and no indicative floor · A/H: no A-share listing · cornerstone: AAStocks institutional table includes non-cornerstone orders (superset) — cornerstone % is from the prospectus</t>
        </is>
      </c>
    </row>
    <row r="125" ht="15" customHeight="1">
      <c r="A125" s="61" t="inlineStr">
        <is>
          <t>6686</t>
        </is>
      </c>
      <c r="B125" s="62" t="inlineStr">
        <is>
          <t>NOAH HOLDINGS-S</t>
        </is>
      </c>
      <c r="C125" s="62" t="inlineStr">
        <is>
          <t>諾亞控股</t>
        </is>
      </c>
      <c r="D125" s="62" t="inlineStr">
        <is>
          <t>Financials</t>
        </is>
      </c>
      <c r="E125" s="62" t="inlineStr">
        <is>
          <t>Brokers / asset management</t>
        </is>
      </c>
      <c r="F125" s="62" t="inlineStr">
        <is>
          <t>Investment Holdings &amp; Assets Management</t>
        </is>
      </c>
      <c r="G125" s="62" t="inlineStr">
        <is>
          <t>Secondary</t>
        </is>
      </c>
      <c r="H125" s="63" t="n">
        <v>44755</v>
      </c>
      <c r="I125" s="64" t="n">
        <v>321.2</v>
      </c>
      <c r="J125" s="62" t="inlineStr">
        <is>
          <t>gross (price x shares)</t>
        </is>
      </c>
      <c r="K125" s="65" t="n"/>
      <c r="L125" s="65" t="n">
        <v>307</v>
      </c>
      <c r="M125" s="65" t="n">
        <v>292</v>
      </c>
      <c r="N125" s="62" t="inlineStr">
        <is>
          <t>N</t>
        </is>
      </c>
      <c r="O125" s="66" t="n">
        <v>95.09999999999999</v>
      </c>
      <c r="P125" s="66" t="n"/>
      <c r="Q125" s="67" t="n">
        <v>9575.1</v>
      </c>
      <c r="R125" s="62" t="inlineStr">
        <is>
          <t>prospectus:stated market capitalisation</t>
        </is>
      </c>
      <c r="S125" s="68" t="n">
        <v>3.26</v>
      </c>
      <c r="T125" s="69" t="n">
        <v>5.9</v>
      </c>
      <c r="U125" s="70" t="n">
        <v>0</v>
      </c>
      <c r="V125" s="66" t="n">
        <v>3.35</v>
      </c>
      <c r="W125" s="62" t="n"/>
      <c r="X125" s="62" t="n"/>
      <c r="Y125" s="66" t="n">
        <v>11.9</v>
      </c>
      <c r="Z125" s="62" t="inlineStr">
        <is>
          <t>partial</t>
        </is>
      </c>
      <c r="AA125" s="71" t="n">
        <v>-4.45</v>
      </c>
      <c r="AB125" s="72" t="n">
        <v>-2.4</v>
      </c>
      <c r="AC125" s="72" t="n">
        <v>-2.1</v>
      </c>
      <c r="AD125" s="72" t="n">
        <v>-6.16</v>
      </c>
      <c r="AE125" s="72" t="n">
        <v>-10.62</v>
      </c>
      <c r="AF125" s="72" t="n">
        <v>-27.12</v>
      </c>
      <c r="AG125" s="72" t="n">
        <v>-1.79</v>
      </c>
      <c r="AH125" s="72" t="n">
        <v>-6.46</v>
      </c>
      <c r="AI125" s="72" t="n">
        <v>-23.73</v>
      </c>
      <c r="AJ125" s="72" t="n">
        <v>-4.66</v>
      </c>
      <c r="AK125" s="72" t="n">
        <v>-7.54</v>
      </c>
      <c r="AL125" s="72" t="n">
        <v>-8.26</v>
      </c>
      <c r="AM125" s="72" t="n">
        <v>-3.99</v>
      </c>
      <c r="AN125" s="72" t="n">
        <v>-3.08</v>
      </c>
      <c r="AO125" s="72" t="n">
        <v>-2.47</v>
      </c>
      <c r="AP125" s="62" t="inlineStr">
        <is>
          <t>Hang Seng Finance sub-index</t>
        </is>
      </c>
      <c r="AQ125" s="72" t="n">
        <v>-49.86</v>
      </c>
      <c r="AR125" s="63" t="inlineStr">
        <is>
          <t>2026-08-24</t>
        </is>
      </c>
      <c r="AS125" s="64" t="n">
        <v>4759.3</v>
      </c>
      <c r="AT125" s="67" t="n"/>
      <c r="AU125" s="62" t="inlineStr">
        <is>
          <t>Y</t>
        </is>
      </c>
      <c r="AV125" s="77">
        <f>IF('BBG Verify'!O125="","not filed — run on terminal",'BBG Verify'!O125)</f>
        <v/>
      </c>
      <c r="AW125" s="73" t="n"/>
      <c r="AX125" s="73" t="n"/>
      <c r="AY125" s="73" t="n">
        <v>2</v>
      </c>
      <c r="AZ125" s="74" t="inlineStr">
        <is>
          <t>N</t>
        </is>
      </c>
      <c r="BA125" s="75">
        <f>IF('BBG Verify'!K125="","not filed — run on terminal",'BBG Verify'!K125)</f>
        <v/>
      </c>
      <c r="BB125" s="62" t="inlineStr">
        <is>
          <t>N/A</t>
        </is>
      </c>
      <c r="BC125" s="62" t="inlineStr">
        <is>
          <t>N/A</t>
        </is>
      </c>
      <c r="BD125" s="62" t="inlineStr">
        <is>
          <t>N/A</t>
        </is>
      </c>
      <c r="BE125" s="62" t="inlineStr">
        <is>
          <t>N/A</t>
        </is>
      </c>
      <c r="BF125" s="62" t="inlineStr">
        <is>
          <t>N/A</t>
        </is>
      </c>
      <c r="BG125" s="74" t="inlineStr">
        <is>
          <t>Goldman Sachs (Asia) L.L.C</t>
        </is>
      </c>
      <c r="BH125" s="62" t="inlineStr">
        <is>
          <t>Goldman Sachs (Asia) L.L.C.</t>
        </is>
      </c>
      <c r="BI125" s="62" t="inlineStr">
        <is>
          <t>Futu Securities International (Hong Kong) Limited</t>
        </is>
      </c>
      <c r="BJ125" s="62" t="inlineStr">
        <is>
          <t>BOCI Asia Limited; DBS Asia Capital Limited; Futu Securities International (Hong Kong) Limited; Goldman Sachs (Asia) L.L.C.</t>
        </is>
      </c>
      <c r="BK125" s="76">
        <f>HYPERLINK("https://www1.hkexnews.hk/listedco/listconews/sehk/2022/0629/2022062902037.pdf","prospectus")</f>
        <v/>
      </c>
      <c r="BL125" s="76">
        <f>HYPERLINK("https://www1.hkexnews.hk/listedco/listconews/sehk/2022/0712/2022071200028.htm","allotment")</f>
        <v/>
      </c>
      <c r="BM125" s="76">
        <f>HYPERLINK("https://www1.hkexnews.hk/listedco/listconews/sehk/2022/0805/2022080501393.pdf","stabilisation")</f>
        <v/>
      </c>
      <c r="BN125" s="74" t="n"/>
      <c r="BO125" s="62" t="inlineStr">
        <is>
          <t>P/E: withheld — mktcap / net income gives 5,040x, which fails the 300x plausibility check; the extracted net income (HK$1.9m) is not trustworthy · range low: cap-only pricing — the filing publishes a Maximum Offer Price and no indicative floor · A/H: no A-share listing · cornerstone list: no cornerstone tranche in this deal · financials: financial tables not machine-extractable and the pre-IPO year is outside AAStocks' 5-year window</t>
        </is>
      </c>
    </row>
    <row r="126" ht="15" customHeight="1">
      <c r="A126" s="61" t="inlineStr">
        <is>
          <t>9696</t>
        </is>
      </c>
      <c r="B126" s="62" t="inlineStr">
        <is>
          <t>TIANQI LITHIUM</t>
        </is>
      </c>
      <c r="C126" s="62" t="inlineStr">
        <is>
          <t>天齊鋰業</t>
        </is>
      </c>
      <c r="D126" s="62" t="inlineStr">
        <is>
          <t>Materials/Energy</t>
        </is>
      </c>
      <c r="E126" s="62" t="inlineStr">
        <is>
          <t>Mining / metals</t>
        </is>
      </c>
      <c r="F126" s="62" t="inlineStr">
        <is>
          <t>Diversified Metals &amp; Minerals</t>
        </is>
      </c>
      <c r="G126" s="62" t="inlineStr">
        <is>
          <t>Standard</t>
        </is>
      </c>
      <c r="H126" s="63" t="n">
        <v>44755</v>
      </c>
      <c r="I126" s="64" t="n">
        <v>13458</v>
      </c>
      <c r="J126" s="62" t="inlineStr">
        <is>
          <t>gross (price x shares)</t>
        </is>
      </c>
      <c r="K126" s="65" t="n">
        <v>69</v>
      </c>
      <c r="L126" s="65" t="n">
        <v>82</v>
      </c>
      <c r="M126" s="65" t="n">
        <v>82</v>
      </c>
      <c r="N126" s="62" t="inlineStr">
        <is>
          <t>Y</t>
        </is>
      </c>
      <c r="O126" s="66" t="n">
        <v>100</v>
      </c>
      <c r="P126" s="66" t="n">
        <v>100</v>
      </c>
      <c r="Q126" s="67" t="n">
        <v>119097.3</v>
      </c>
      <c r="R126" s="62" t="inlineStr">
        <is>
          <t>derived:deal size / offer % of enlarged capital</t>
        </is>
      </c>
      <c r="S126" s="68" t="n">
        <v>9.300000000000001</v>
      </c>
      <c r="T126" s="69" t="n">
        <v>5.2</v>
      </c>
      <c r="U126" s="70" t="n">
        <v>43.3</v>
      </c>
      <c r="V126" s="66" t="n">
        <v>6.41</v>
      </c>
      <c r="W126" s="62" t="inlineStr">
        <is>
          <t>CALB Co., Ltd; CPIC Investment Management (H.K.) Company Limited; Gold Mountains (H.K.) International Mining Company Limited; LG Chem, Ltd; Pacific Asset Management Co., Limited; Shenzhen Dynanonic Company Limited; Sichuan Energy Investment (Hong Kong) Holdings Limited</t>
        </is>
      </c>
      <c r="X126" s="62" t="inlineStr">
        <is>
          <t>calb;cpic;gold;lg;pacific-asset;shenzhen-dynanonic;sichuan</t>
        </is>
      </c>
      <c r="Y126" s="66" t="n">
        <v>15</v>
      </c>
      <c r="Z126" s="62" t="inlineStr">
        <is>
          <t>lapsed</t>
        </is>
      </c>
      <c r="AA126" s="71" t="n">
        <v>0</v>
      </c>
      <c r="AB126" s="72" t="n">
        <v>-9.15</v>
      </c>
      <c r="AC126" s="72" t="n">
        <v>10.07</v>
      </c>
      <c r="AD126" s="72" t="n">
        <v>-3.84</v>
      </c>
      <c r="AE126" s="72" t="n">
        <v>4.33</v>
      </c>
      <c r="AF126" s="72" t="n">
        <v>-21.22</v>
      </c>
      <c r="AG126" s="72" t="n">
        <v>-3.84</v>
      </c>
      <c r="AH126" s="72" t="n">
        <v>4.33</v>
      </c>
      <c r="AI126" s="72" t="n">
        <v>-21.22</v>
      </c>
      <c r="AJ126" s="72" t="n">
        <v>-5.92</v>
      </c>
      <c r="AK126" s="72" t="n">
        <v>7.78</v>
      </c>
      <c r="AL126" s="72" t="n">
        <v>-0.91</v>
      </c>
      <c r="AM126" s="72" t="n">
        <v>7.95</v>
      </c>
      <c r="AN126" s="72" t="n">
        <v>-3.45</v>
      </c>
      <c r="AO126" s="72" t="n">
        <v>-3.62</v>
      </c>
      <c r="AP126" s="62" t="inlineStr">
        <is>
          <t>Hang Seng Commerce &amp; Industry sub-index</t>
        </is>
      </c>
      <c r="AQ126" s="72" t="n">
        <v>-58.85</v>
      </c>
      <c r="AR126" s="63" t="inlineStr">
        <is>
          <t>2026-08-20</t>
        </is>
      </c>
      <c r="AS126" s="64" t="n">
        <v>8357.700000000001</v>
      </c>
      <c r="AT126" s="67" t="n">
        <v>5258.7</v>
      </c>
      <c r="AU126" s="62" t="inlineStr">
        <is>
          <t>Y</t>
        </is>
      </c>
      <c r="AV126" s="73" t="n">
        <v>22.6</v>
      </c>
      <c r="AW126" s="73" t="n">
        <v>8.5</v>
      </c>
      <c r="AX126" s="73" t="n">
        <v>23.2</v>
      </c>
      <c r="AY126" s="73" t="n">
        <v>14.3</v>
      </c>
      <c r="AZ126" s="74" t="inlineStr">
        <is>
          <t>Y</t>
        </is>
      </c>
      <c r="BA126" s="62" t="inlineStr">
        <is>
          <t>002466.SZ</t>
        </is>
      </c>
      <c r="BB126" s="72" t="n">
        <v>82.11</v>
      </c>
      <c r="BC126" s="65" t="n">
        <v>149.3266</v>
      </c>
      <c r="BD126" s="79" t="n">
        <v>0.4993</v>
      </c>
      <c r="BE126" s="77">
        <f>IF('BBG Verify'!Q126="","run on terminal",'BBG Verify'!Q126)</f>
        <v/>
      </c>
      <c r="BF126" s="77">
        <f>IF('BBG Verify'!R126="","run on terminal",'BBG Verify'!R126)</f>
        <v/>
      </c>
      <c r="BG126" s="74" t="inlineStr">
        <is>
          <t>Morgan Stanley Asia Limited; China International Capital Corporation Hong Kong Securities Limited; CMB International Capital Limited</t>
        </is>
      </c>
      <c r="BH126" s="62" t="inlineStr">
        <is>
          <t>China International Capital Corporation Hong Kong Securities Limited; Morgan Stanley Asia Limited; CMB International Capital Corporation Limited</t>
        </is>
      </c>
      <c r="BI126" s="62" t="inlineStr">
        <is>
          <t>Morgan Stanley Asia Limited; CMB International Capital Limited; BNP Paribas Securities (Asia) Limited; Credit Suisse (Hong Kong) Limited; China International Capital Corporation Hong Kong Securities Limited; Banco BTG Pactual S.A. – Cayman Branch; Futu Securities International (Hong Kong) Limited; Huatai Financial Holdings (Hong Kong) Limited</t>
        </is>
      </c>
      <c r="BJ126" s="62" t="inlineStr">
        <is>
          <t>BNP Paribas Securities (Asia) Limited; China Galaxy International Securities (Hong Kong) Company Limited; China International Capital Corporation Hong Kong Securities Limited; CMB International Capital Corporation Limited; Credit Suisse (Hong Kong) Limited; Futu Securities International (Hong Kong) Limited; Huatai Financial Holdings (Hong Kong) Limited; Morgan Stanley Asia Limited</t>
        </is>
      </c>
      <c r="BK126" s="76">
        <f>HYPERLINK("https://www1.hkexnews.hk/listedco/listconews/sehk/2022/0630/2022063000146.htm","prospectus")</f>
        <v/>
      </c>
      <c r="BL126" s="76">
        <f>HYPERLINK("https://www1.hkexnews.hk/listedco/listconews/sehk/2022/0712/2022071200062.htm","allotment")</f>
        <v/>
      </c>
      <c r="BM126" s="76">
        <f>HYPERLINK("https://www1.hkexnews.hk/listedco/listconews/sehk/2022/0805/2022080501243.pdf","stabilisation")</f>
        <v/>
      </c>
      <c r="BN126" s="74" t="n"/>
      <c r="BO126" s="62" t="inlineStr">
        <is>
          <t>A/H: Jul 2022, ~US$1.7bn — largest HK IPO of 2022 at pricing</t>
        </is>
      </c>
    </row>
    <row r="127" ht="15" customHeight="1">
      <c r="A127" s="61" t="inlineStr">
        <is>
          <t>2418</t>
        </is>
      </c>
      <c r="B127" s="62" t="inlineStr">
        <is>
          <t>DEEWIN</t>
        </is>
      </c>
      <c r="C127" s="62" t="inlineStr">
        <is>
          <t>德銀天下</t>
        </is>
      </c>
      <c r="D127" s="62" t="inlineStr">
        <is>
          <t>Industrials</t>
        </is>
      </c>
      <c r="E127" s="62" t="inlineStr">
        <is>
          <t>Logistics</t>
        </is>
      </c>
      <c r="F127" s="62" t="inlineStr">
        <is>
          <t>Automotive Retail</t>
        </is>
      </c>
      <c r="G127" s="62" t="inlineStr">
        <is>
          <t>Standard</t>
        </is>
      </c>
      <c r="H127" s="63" t="n">
        <v>44757</v>
      </c>
      <c r="I127" s="64" t="n">
        <v>977.4</v>
      </c>
      <c r="J127" s="62" t="inlineStr">
        <is>
          <t>gross (price x shares)</t>
        </is>
      </c>
      <c r="K127" s="65" t="n">
        <v>1.78</v>
      </c>
      <c r="L127" s="65" t="n">
        <v>2.13</v>
      </c>
      <c r="M127" s="65" t="n">
        <v>1.8</v>
      </c>
      <c r="N127" s="62" t="inlineStr">
        <is>
          <t>N</t>
        </is>
      </c>
      <c r="O127" s="66" t="n">
        <v>84.5</v>
      </c>
      <c r="P127" s="66" t="n">
        <v>5.7</v>
      </c>
      <c r="Q127" s="67" t="n">
        <v>3909.6</v>
      </c>
      <c r="R127" s="62" t="inlineStr">
        <is>
          <t>derived:deal size / offer % of enlarged capital</t>
        </is>
      </c>
      <c r="S127" s="68" t="n">
        <v>0.42</v>
      </c>
      <c r="T127" s="69" t="n">
        <v>1.41</v>
      </c>
      <c r="U127" s="70" t="n">
        <v>21.12</v>
      </c>
      <c r="V127" s="66" t="n">
        <v>19.72</v>
      </c>
      <c r="W127" s="62" t="inlineStr">
        <is>
          <t>Shaanxi Tide Automobile Air Conditioning Co., Ltd; Streamax Electronics Limited; Xian Yuanda Electronic Equipment Co., Ltd</t>
        </is>
      </c>
      <c r="X127" s="62" t="inlineStr">
        <is>
          <t>shaanxi;streamax;xian</t>
        </is>
      </c>
      <c r="Y127" s="66" t="n">
        <v>5.28</v>
      </c>
      <c r="Z127" s="62" t="inlineStr">
        <is>
          <t>partial</t>
        </is>
      </c>
      <c r="AA127" s="71" t="n">
        <v>0</v>
      </c>
      <c r="AB127" s="72" t="n">
        <v>-2.78</v>
      </c>
      <c r="AC127" s="72" t="n">
        <v>2.86</v>
      </c>
      <c r="AD127" s="72" t="n">
        <v>-8.890000000000001</v>
      </c>
      <c r="AE127" s="72" t="n">
        <v>-31.67</v>
      </c>
      <c r="AF127" s="72" t="n">
        <v>-46.11</v>
      </c>
      <c r="AG127" s="72" t="n">
        <v>-8.890000000000001</v>
      </c>
      <c r="AH127" s="72" t="n">
        <v>-31.67</v>
      </c>
      <c r="AI127" s="72" t="n">
        <v>-46.11</v>
      </c>
      <c r="AJ127" s="72" t="n">
        <v>-9.18</v>
      </c>
      <c r="AK127" s="72" t="n">
        <v>-27.28</v>
      </c>
      <c r="AL127" s="72" t="n">
        <v>-24.25</v>
      </c>
      <c r="AM127" s="72" t="n">
        <v>-29.63</v>
      </c>
      <c r="AN127" s="72" t="n">
        <v>-4.39</v>
      </c>
      <c r="AO127" s="72" t="n">
        <v>-2.04</v>
      </c>
      <c r="AP127" s="62" t="inlineStr">
        <is>
          <t>Hang Seng Commerce &amp; Industry sub-index</t>
        </is>
      </c>
      <c r="AQ127" s="72" t="n">
        <v>49.17</v>
      </c>
      <c r="AR127" s="63" t="inlineStr">
        <is>
          <t>2026-08-20</t>
        </is>
      </c>
      <c r="AS127" s="64" t="n">
        <v>3439.5</v>
      </c>
      <c r="AT127" s="67" t="n">
        <v>405.6</v>
      </c>
      <c r="AU127" s="62" t="inlineStr">
        <is>
          <t>Y</t>
        </is>
      </c>
      <c r="AV127" s="73" t="n">
        <v>9.6</v>
      </c>
      <c r="AW127" s="73" t="n"/>
      <c r="AX127" s="73" t="n">
        <v>79.7</v>
      </c>
      <c r="AY127" s="73" t="n">
        <v>1.1</v>
      </c>
      <c r="AZ127" s="74" t="inlineStr">
        <is>
          <t>N</t>
        </is>
      </c>
      <c r="BA127" s="75">
        <f>IF('BBG Verify'!K127="","not filed — run on terminal",'BBG Verify'!K127)</f>
        <v/>
      </c>
      <c r="BB127" s="62" t="inlineStr">
        <is>
          <t>N/A</t>
        </is>
      </c>
      <c r="BC127" s="62" t="inlineStr">
        <is>
          <t>N/A</t>
        </is>
      </c>
      <c r="BD127" s="62" t="inlineStr">
        <is>
          <t>N/A</t>
        </is>
      </c>
      <c r="BE127" s="62" t="inlineStr">
        <is>
          <t>N/A</t>
        </is>
      </c>
      <c r="BF127" s="62" t="inlineStr">
        <is>
          <t>N/A</t>
        </is>
      </c>
      <c r="BG127" s="74" t="n"/>
      <c r="BH127" s="62" t="inlineStr">
        <is>
          <t>China Securities (International) Corporate Finance Company Limited</t>
        </is>
      </c>
      <c r="BI127" s="62" t="inlineStr">
        <is>
          <t>China Securities (International) Corporate Finance Company Limited; Huatai Financial Holdings (Hong Kong) Limited; CEB International Capital Corporation Limited; BOCI Asia Limited; Futu Securities International (Hong Kong) Limited; Tiger Brokers (HK) Global Limited; Livermore Holdings Limited; Guotai Junan Securities (Hong Kong) Limited; Eddid Securities and Futures Limited</t>
        </is>
      </c>
      <c r="BJ127" s="62" t="inlineStr">
        <is>
          <t>BOCI Asia Limited; CEB International Capital Corporation Limited; China Securities (International) Corporate Finance Company Limited; Eddid Securities and Futures Limited; Futu Securities International (Hong Kong) Limited; Guotai Junan Securities (Hong Kong) Limited; Huatai Financial Holdings (Hong Kong) Limited; Livermore Holdings Limited; Tiger Brokers (HK) Global Limited; Zhongtai International Securities Limited</t>
        </is>
      </c>
      <c r="BK127" s="76">
        <f>HYPERLINK("https://www1.hkexnews.hk/listedco/listconews/sehk/2022/0630/2022063000037.pdf","prospectus")</f>
        <v/>
      </c>
      <c r="BL127" s="76">
        <f>HYPERLINK("https://www1.hkexnews.hk/listedco/listconews/sehk/2022/0714/2022071400006.htm","allotment")</f>
        <v/>
      </c>
      <c r="BM127" s="76">
        <f>HYPERLINK("https://www1.hkexnews.hk/listedco/listconews/sehk/2022/0808/2022080800065.pdf","stabilisation")</f>
        <v/>
      </c>
      <c r="BN127" s="74" t="n"/>
      <c r="BO127" s="62" t="inlineStr">
        <is>
          <t>A/H: no A-share listing · sponsor: English name not in the filing text; AAStocks 保薦人 shown</t>
        </is>
      </c>
    </row>
    <row r="128" ht="15" customHeight="1">
      <c r="A128" s="61" t="inlineStr">
        <is>
          <t>1204</t>
        </is>
      </c>
      <c r="B128" s="62" t="inlineStr">
        <is>
          <t>BOARDWARE INTEL</t>
        </is>
      </c>
      <c r="C128" s="62" t="inlineStr">
        <is>
          <t>博維智慧</t>
        </is>
      </c>
      <c r="D128" s="62" t="inlineStr">
        <is>
          <t>Tech/AI</t>
        </is>
      </c>
      <c r="E128" s="62" t="inlineStr">
        <is>
          <t>SaaS / enterprise software</t>
        </is>
      </c>
      <c r="F128" s="62" t="inlineStr">
        <is>
          <t>IT Consulting &amp; Other Services</t>
        </is>
      </c>
      <c r="G128" s="62" t="inlineStr">
        <is>
          <t>Standard</t>
        </is>
      </c>
      <c r="H128" s="63" t="n">
        <v>44757</v>
      </c>
      <c r="I128" s="64" t="n">
        <v>135</v>
      </c>
      <c r="J128" s="62" t="inlineStr">
        <is>
          <t>gross (price x shares)</t>
        </is>
      </c>
      <c r="K128" s="65" t="n">
        <v>1.08</v>
      </c>
      <c r="L128" s="65" t="n">
        <v>1.26</v>
      </c>
      <c r="M128" s="65" t="n">
        <v>1.08</v>
      </c>
      <c r="N128" s="62" t="inlineStr">
        <is>
          <t>N</t>
        </is>
      </c>
      <c r="O128" s="66" t="n">
        <v>85.7</v>
      </c>
      <c r="P128" s="66" t="n">
        <v>0</v>
      </c>
      <c r="Q128" s="67" t="n">
        <v>600</v>
      </c>
      <c r="R128" s="62" t="inlineStr">
        <is>
          <t>derived:deal size / offer % of enlarged capital</t>
        </is>
      </c>
      <c r="S128" s="68" t="n">
        <v>10.69</v>
      </c>
      <c r="T128" s="69" t="n">
        <v>1.03</v>
      </c>
      <c r="U128" s="70" t="n">
        <v>22.2</v>
      </c>
      <c r="V128" s="66" t="n">
        <v>17.5</v>
      </c>
      <c r="W128" s="62" t="inlineStr">
        <is>
          <t>Ung Choi Kun</t>
        </is>
      </c>
      <c r="X128" s="62" t="inlineStr">
        <is>
          <t>ung</t>
        </is>
      </c>
      <c r="Y128" s="66" t="n">
        <v>15</v>
      </c>
      <c r="Z128" s="62" t="inlineStr">
        <is>
          <t>lapsed (no over-allocation)</t>
        </is>
      </c>
      <c r="AA128" s="71" t="n">
        <v>12.96</v>
      </c>
      <c r="AB128" s="72" t="n">
        <v>5.56</v>
      </c>
      <c r="AC128" s="72" t="n">
        <v>7.01</v>
      </c>
      <c r="AD128" s="72" t="n">
        <v>12.96</v>
      </c>
      <c r="AE128" s="72" t="n">
        <v>10.19</v>
      </c>
      <c r="AF128" s="72" t="n">
        <v>-3.7</v>
      </c>
      <c r="AG128" s="72" t="n">
        <v>0</v>
      </c>
      <c r="AH128" s="72" t="n">
        <v>-2.45</v>
      </c>
      <c r="AI128" s="72" t="n">
        <v>-14.75</v>
      </c>
      <c r="AJ128" s="72" t="n">
        <v>12.56</v>
      </c>
      <c r="AK128" s="72" t="n">
        <v>15.77</v>
      </c>
      <c r="AL128" s="72" t="n">
        <v>26.3</v>
      </c>
      <c r="AM128" s="72" t="n">
        <v>0.33</v>
      </c>
      <c r="AN128" s="72" t="n">
        <v>-5.58</v>
      </c>
      <c r="AO128" s="72" t="n">
        <v>-2.78</v>
      </c>
      <c r="AP128" s="62" t="inlineStr">
        <is>
          <t>HSTECH (Hang Seng TECH ETF)</t>
        </is>
      </c>
      <c r="AQ128" s="72" t="n">
        <v>71.3</v>
      </c>
      <c r="AR128" s="63" t="inlineStr">
        <is>
          <t>2026-08-20</t>
        </is>
      </c>
      <c r="AS128" s="64" t="n">
        <v>534.3</v>
      </c>
      <c r="AT128" s="67" t="n">
        <v>24</v>
      </c>
      <c r="AU128" s="62" t="inlineStr">
        <is>
          <t>Y</t>
        </is>
      </c>
      <c r="AV128" s="73" t="n">
        <v>25</v>
      </c>
      <c r="AW128" s="73" t="n"/>
      <c r="AX128" s="73" t="n">
        <v>113.4</v>
      </c>
      <c r="AY128" s="73" t="n">
        <v>1.1</v>
      </c>
      <c r="AZ128" s="74" t="inlineStr">
        <is>
          <t>N</t>
        </is>
      </c>
      <c r="BA128" s="75">
        <f>IF('BBG Verify'!K128="","not filed — run on terminal",'BBG Verify'!K128)</f>
        <v/>
      </c>
      <c r="BB128" s="62" t="inlineStr">
        <is>
          <t>N/A</t>
        </is>
      </c>
      <c r="BC128" s="62" t="inlineStr">
        <is>
          <t>N/A</t>
        </is>
      </c>
      <c r="BD128" s="62" t="inlineStr">
        <is>
          <t>N/A</t>
        </is>
      </c>
      <c r="BE128" s="62" t="inlineStr">
        <is>
          <t>N/A</t>
        </is>
      </c>
      <c r="BF128" s="62" t="inlineStr">
        <is>
          <t>N/A</t>
        </is>
      </c>
      <c r="BG128" s="74" t="inlineStr">
        <is>
          <t>China Tonghai Capital Limited</t>
        </is>
      </c>
      <c r="BH128" s="62" t="inlineStr">
        <is>
          <t>China Tonghai Capital Limited</t>
        </is>
      </c>
      <c r="BI128" s="62" t="inlineStr">
        <is>
          <t>China Tonghai Securities Limited; Blackwell Global Securities Limited; Wanchai, Hong Kong BOCOM International Securities Limited; CCB International Capital Limited; Central, Hong Kong China Galaxy International Securities (Hong Kong) Co., Limited; CMBC Securities Company Limited; Central, Hong Kong Eddid Securities and Futures Limited; Central, Hong Kong Fortune (HK) Securities Limited; Innovax Securities Limited; Wan Chai, Hong Kong Zhongtai International Securities Limited</t>
        </is>
      </c>
      <c r="BJ128" s="62" t="inlineStr">
        <is>
          <t>Beta International Securities Limited; Blackwell Global Securities Limited; CCB International Capital Limited; China Galaxy International Securities (Hong Kong) Company Limited; China Tonghai Securities Limited; CMBC Securities Company Limited; Eddid Securities and Futures Limited; Fortune (HK) Securities Limited; Guotai Junan Securities (Hong Kong) Limited; Innovax Securities Limited</t>
        </is>
      </c>
      <c r="BK128" s="76">
        <f>HYPERLINK("https://www1.hkexnews.hk/listedco/listconews/sehk/2022/0629/2022062900148.htm","prospectus")</f>
        <v/>
      </c>
      <c r="BL128" s="76">
        <f>HYPERLINK("https://www1.hkexnews.hk/listedco/listconews/sehk/2022/0714/2022071400026.htm","allotment")</f>
        <v/>
      </c>
      <c r="BM128" s="76">
        <f>HYPERLINK("https://www1.hkexnews.hk/listedco/listconews/sehk/2022/0805/2022080500015.pdf","stabilisation")</f>
        <v/>
      </c>
      <c r="BN128" s="74" t="n"/>
      <c r="BO128" s="62" t="inlineStr">
        <is>
          <t>A/H: no A-share listing · cornerstone: table parse read 72% but the institutional total implies 22% — parse rejected, the AAStocks institutional total used (22.2%)</t>
        </is>
      </c>
    </row>
    <row r="129" ht="15" customHeight="1">
      <c r="A129" s="61" t="inlineStr">
        <is>
          <t>2172</t>
        </is>
      </c>
      <c r="B129" s="62" t="inlineStr">
        <is>
          <t>MICROPORT NEURO</t>
        </is>
      </c>
      <c r="C129" s="62" t="inlineStr">
        <is>
          <t>微創腦科學</t>
        </is>
      </c>
      <c r="D129" s="62" t="inlineStr">
        <is>
          <t>Healthcare</t>
        </is>
      </c>
      <c r="E129" s="62" t="inlineStr">
        <is>
          <t>Medical devices</t>
        </is>
      </c>
      <c r="F129" s="62" t="inlineStr">
        <is>
          <t>Health Care Equipment</t>
        </is>
      </c>
      <c r="G129" s="62" t="inlineStr">
        <is>
          <t>Standard</t>
        </is>
      </c>
      <c r="H129" s="63" t="n">
        <v>44757</v>
      </c>
      <c r="I129" s="64" t="n">
        <v>337.6</v>
      </c>
      <c r="J129" s="62" t="inlineStr">
        <is>
          <t>gross (price x shares)</t>
        </is>
      </c>
      <c r="K129" s="65" t="n"/>
      <c r="L129" s="65" t="n">
        <v>24.64</v>
      </c>
      <c r="M129" s="65" t="n">
        <v>24.64</v>
      </c>
      <c r="N129" s="62" t="inlineStr">
        <is>
          <t>Y</t>
        </is>
      </c>
      <c r="O129" s="66" t="n">
        <v>100</v>
      </c>
      <c r="P129" s="66" t="n"/>
      <c r="Q129" s="67" t="n">
        <v>14450</v>
      </c>
      <c r="R129" s="62" t="inlineStr">
        <is>
          <t>press:vbdata/动脉网: 上市总市值144.5亿</t>
        </is>
      </c>
      <c r="S129" s="68" t="n">
        <v>45.27</v>
      </c>
      <c r="T129" s="69" t="n">
        <v>2.14</v>
      </c>
      <c r="U129" s="70" t="n">
        <v>61.9</v>
      </c>
      <c r="V129" s="66" t="n">
        <v>0.89</v>
      </c>
      <c r="W129" s="62" t="inlineStr">
        <is>
          <t>Harvest; Xinhuanet Co., Ltd</t>
        </is>
      </c>
      <c r="X129" s="62" t="inlineStr">
        <is>
          <t>harvest;xinhuanet</t>
        </is>
      </c>
      <c r="Y129" s="66" t="n">
        <v>10.97</v>
      </c>
      <c r="Z129" s="62" t="inlineStr">
        <is>
          <t>lapsed</t>
        </is>
      </c>
      <c r="AA129" s="71" t="n">
        <v>-0.16</v>
      </c>
      <c r="AB129" s="72" t="n">
        <v>0.24</v>
      </c>
      <c r="AC129" s="72" t="n">
        <v>-0.4</v>
      </c>
      <c r="AD129" s="72" t="n">
        <v>-0.37</v>
      </c>
      <c r="AE129" s="72" t="n">
        <v>-0.97</v>
      </c>
      <c r="AF129" s="72" t="n">
        <v>-0.37</v>
      </c>
      <c r="AG129" s="72" t="n">
        <v>-0.21</v>
      </c>
      <c r="AH129" s="72" t="n">
        <v>-0.8100000000000001</v>
      </c>
      <c r="AI129" s="72" t="n">
        <v>-0.21</v>
      </c>
      <c r="AJ129" s="72" t="n">
        <v>2.56</v>
      </c>
      <c r="AK129" s="72" t="n">
        <v>5.44</v>
      </c>
      <c r="AL129" s="72" t="n">
        <v>17.36</v>
      </c>
      <c r="AM129" s="72" t="n">
        <v>3.15</v>
      </c>
      <c r="AN129" s="72" t="n">
        <v>-6.41</v>
      </c>
      <c r="AO129" s="72" t="n">
        <v>-3.96</v>
      </c>
      <c r="AP129" s="62" t="inlineStr">
        <is>
          <t>China Biotech ETF (HS biotech proxy)</t>
        </is>
      </c>
      <c r="AQ129" s="72" t="n">
        <v>-64.45</v>
      </c>
      <c r="AR129" s="63" t="inlineStr">
        <is>
          <t>2026-08-20</t>
        </is>
      </c>
      <c r="AS129" s="64" t="n">
        <v>421.1</v>
      </c>
      <c r="AT129" s="67" t="n"/>
      <c r="AU129" s="62" t="inlineStr">
        <is>
          <t>Y</t>
        </is>
      </c>
      <c r="AV129" s="77">
        <f>IF('BBG Verify'!O129="","not filed — run on terminal",'BBG Verify'!O129)</f>
        <v/>
      </c>
      <c r="AW129" s="73" t="n"/>
      <c r="AX129" s="73" t="n">
        <v>23.6</v>
      </c>
      <c r="AY129" s="73" t="n">
        <v>34.3</v>
      </c>
      <c r="AZ129" s="74" t="inlineStr">
        <is>
          <t>N</t>
        </is>
      </c>
      <c r="BA129" s="75">
        <f>IF('BBG Verify'!K129="","not filed — run on terminal",'BBG Verify'!K129)</f>
        <v/>
      </c>
      <c r="BB129" s="62" t="inlineStr">
        <is>
          <t>N/A</t>
        </is>
      </c>
      <c r="BC129" s="62" t="inlineStr">
        <is>
          <t>N/A</t>
        </is>
      </c>
      <c r="BD129" s="62" t="inlineStr">
        <is>
          <t>N/A</t>
        </is>
      </c>
      <c r="BE129" s="62" t="inlineStr">
        <is>
          <t>N/A</t>
        </is>
      </c>
      <c r="BF129" s="62" t="inlineStr">
        <is>
          <t>N/A</t>
        </is>
      </c>
      <c r="BG129" s="74" t="inlineStr">
        <is>
          <t>J.P. Morgan Securities (Far East) Limited; China International Capital Corporation Hong Kong Securities Limited</t>
        </is>
      </c>
      <c r="BH129" s="62" t="inlineStr">
        <is>
          <t>China International Capital Corporation Hong Kong Securities Limited; J.P. Morgan Securities (Far East) Limited</t>
        </is>
      </c>
      <c r="BI129" s="62" t="inlineStr">
        <is>
          <t>J.P. Morgan Securities (Asia Pacific) Limited; China International Capital Corporation Hong Kong Securities Limited; J.P. Morgan Securities plc; Futu Securities International (Hong Kong) Limited; Livermore Holdings Limited</t>
        </is>
      </c>
      <c r="BJ129" s="62" t="inlineStr">
        <is>
          <t>China International Capital Corporation Hong Kong Securities Limited; Futu Securities International (Hong Kong) Limited; J.P. Morgan Securities (Asia Pacific) Limited; Livermore Holdings Limited</t>
        </is>
      </c>
      <c r="BK129" s="76">
        <f>HYPERLINK("https://www1.hkexnews.hk/listedco/listconews/sehk/2022/0629/2022062900318.htm","prospectus")</f>
        <v/>
      </c>
      <c r="BL129" s="76">
        <f>HYPERLINK("https://www1.hkexnews.hk/listedco/listconews/sehk/2022/0714/2022071400060.htm","allotment")</f>
        <v/>
      </c>
      <c r="BM129" s="76">
        <f>HYPERLINK("https://www1.hkexnews.hk/listedco/listconews/sehk/2022/0807/2022080700009.pdf","stabilisation")</f>
        <v/>
      </c>
      <c r="BN129" s="74" t="n"/>
      <c r="BO129" s="62" t="inlineStr">
        <is>
          <t>P/E: withheld — mktcap / net income gives 543x, which fails the 300x plausibility check; the extracted net income (HK$26.6m) is not trustworthy · price range: fixed-price offering (no indicative range) · range low: cap-only pricing — the filing publishes a Maximum Offer Price and no indicative floor · A/H: no A-share listing · financials: financial tables not machine-extractable and the pre-IPO year is outside AAStocks' 5-year window</t>
        </is>
      </c>
    </row>
    <row r="130" ht="15" customHeight="1">
      <c r="A130" s="61" t="inlineStr">
        <is>
          <t>2237</t>
        </is>
      </c>
      <c r="B130" s="62" t="inlineStr">
        <is>
          <t>CHINA GRAPHITE</t>
        </is>
      </c>
      <c r="C130" s="62" t="inlineStr">
        <is>
          <t>中國石墨</t>
        </is>
      </c>
      <c r="D130" s="62" t="inlineStr">
        <is>
          <t>Materials/Energy</t>
        </is>
      </c>
      <c r="E130" s="62" t="inlineStr">
        <is>
          <t>Mining / metals</t>
        </is>
      </c>
      <c r="F130" s="62" t="inlineStr">
        <is>
          <t>Diversified Metals &amp; Minerals</t>
        </is>
      </c>
      <c r="G130" s="62" t="inlineStr">
        <is>
          <t>Standard</t>
        </is>
      </c>
      <c r="H130" s="63" t="n">
        <v>44760</v>
      </c>
      <c r="I130" s="64" t="n">
        <v>17.9</v>
      </c>
      <c r="J130" s="62" t="inlineStr">
        <is>
          <t>net proceeds</t>
        </is>
      </c>
      <c r="K130" s="65" t="n"/>
      <c r="L130" s="65" t="n">
        <v>0.375</v>
      </c>
      <c r="M130" s="65" t="n">
        <v>0.325</v>
      </c>
      <c r="N130" s="62" t="inlineStr">
        <is>
          <t>N</t>
        </is>
      </c>
      <c r="O130" s="66" t="n">
        <v>86.7</v>
      </c>
      <c r="P130" s="66" t="n"/>
      <c r="Q130" s="67" t="n">
        <v>589.3</v>
      </c>
      <c r="R130" s="62" t="inlineStr">
        <is>
          <t>aastocks:上市市值 at the struck price</t>
        </is>
      </c>
      <c r="S130" s="68" t="n">
        <v>26.51</v>
      </c>
      <c r="T130" s="69" t="n">
        <v>1.06</v>
      </c>
      <c r="U130" s="70" t="n"/>
      <c r="V130" s="66" t="n">
        <v>3.04</v>
      </c>
      <c r="W130" s="62" t="n"/>
      <c r="X130" s="62" t="n"/>
      <c r="Y130" s="66" t="n">
        <v>15</v>
      </c>
      <c r="Z130" s="62" t="inlineStr">
        <is>
          <t>lapsed (no over-allocation)</t>
        </is>
      </c>
      <c r="AA130" s="71" t="n">
        <v>143.08</v>
      </c>
      <c r="AB130" s="72" t="n">
        <v>35.38</v>
      </c>
      <c r="AC130" s="72" t="n">
        <v>79.55</v>
      </c>
      <c r="AD130" s="72" t="n">
        <v>56.92</v>
      </c>
      <c r="AE130" s="72" t="n">
        <v>176.92</v>
      </c>
      <c r="AF130" s="72" t="n">
        <v>183.08</v>
      </c>
      <c r="AG130" s="72" t="n">
        <v>-35.45</v>
      </c>
      <c r="AH130" s="72" t="n">
        <v>13.92</v>
      </c>
      <c r="AI130" s="72" t="n">
        <v>16.46</v>
      </c>
      <c r="AJ130" s="72" t="n">
        <v>55.26</v>
      </c>
      <c r="AK130" s="72" t="n">
        <v>180.79</v>
      </c>
      <c r="AL130" s="72" t="n">
        <v>203.2</v>
      </c>
      <c r="AM130" s="72" t="n">
        <v>20.44</v>
      </c>
      <c r="AN130" s="72" t="n">
        <v>-3.87</v>
      </c>
      <c r="AO130" s="72" t="n">
        <v>-6.52</v>
      </c>
      <c r="AP130" s="62" t="inlineStr">
        <is>
          <t>Hang Seng Commerce &amp; Industry sub-index</t>
        </is>
      </c>
      <c r="AQ130" s="72" t="n">
        <v>-30.15</v>
      </c>
      <c r="AR130" s="63" t="inlineStr">
        <is>
          <t>2026-08-21</t>
        </is>
      </c>
      <c r="AS130" s="64" t="n">
        <v>218.2</v>
      </c>
      <c r="AT130" s="67" t="n">
        <v>58.7</v>
      </c>
      <c r="AU130" s="62" t="inlineStr">
        <is>
          <t>Y</t>
        </is>
      </c>
      <c r="AV130" s="73" t="n">
        <v>10</v>
      </c>
      <c r="AW130" s="73" t="n"/>
      <c r="AX130" s="73" t="n">
        <v>53.8</v>
      </c>
      <c r="AY130" s="73" t="n">
        <v>2.7</v>
      </c>
      <c r="AZ130" s="74" t="inlineStr">
        <is>
          <t>N</t>
        </is>
      </c>
      <c r="BA130" s="75">
        <f>IF('BBG Verify'!K130="","not filed — run on terminal",'BBG Verify'!K130)</f>
        <v/>
      </c>
      <c r="BB130" s="62" t="inlineStr">
        <is>
          <t>N/A</t>
        </is>
      </c>
      <c r="BC130" s="62" t="inlineStr">
        <is>
          <t>N/A</t>
        </is>
      </c>
      <c r="BD130" s="62" t="inlineStr">
        <is>
          <t>N/A</t>
        </is>
      </c>
      <c r="BE130" s="62" t="inlineStr">
        <is>
          <t>N/A</t>
        </is>
      </c>
      <c r="BF130" s="62" t="inlineStr">
        <is>
          <t>N/A</t>
        </is>
      </c>
      <c r="BG130" s="74" t="inlineStr">
        <is>
          <t>Lego Corporate Finance Limited</t>
        </is>
      </c>
      <c r="BH130" s="62" t="inlineStr">
        <is>
          <t>Lego Corporate Finance Limited</t>
        </is>
      </c>
      <c r="BI130" s="62" t="inlineStr">
        <is>
          <t>China Galaxy Internati onal Securities (Hong Kong) Co., Limited; China Tonghai Securities Limited; Guotai Junan Securities (Hong Kong) Limited</t>
        </is>
      </c>
      <c r="BJ130" s="62" t="inlineStr">
        <is>
          <t>Alpha Financial Group Limited; AMC Wanhai Securities Limited; CCB International Capital Limited; China Galaxy International Securities (Hong Kong) Company Limited; China Tonghai Securities Limited; CIS Securities Asset Management Limited; CSFG International Securities Limited; Elstone Securities Limited; Eddid Securities and Futures Limited; Golden Eagle Brokerage Limited; Guotai Junan Securities (Hong Kong) Limited; Lego Securities Limited</t>
        </is>
      </c>
      <c r="BK130" s="76">
        <f>HYPERLINK("https://www1.hkexnews.hk/listedco/listconews/sehk/2022/0630/2022063000021.pdf","prospectus")</f>
        <v/>
      </c>
      <c r="BL130" s="76">
        <f>HYPERLINK("https://www1.hkexnews.hk/listedco/listconews/sehk/2022/0715/2022071500016.htm","allotment")</f>
        <v/>
      </c>
      <c r="BM130" s="76">
        <f>HYPERLINK("https://www1.hkexnews.hk/listedco/listconews/sehk/2022/0808/2022080800011.pdf","stabilisation")</f>
        <v/>
      </c>
      <c r="BN130" s="74" t="n"/>
      <c r="BO130" s="62" t="inlineStr">
        <is>
          <t>range low: cap-only pricing — the filing publishes a Maximum Offer Price and no indicative floor · A/H: no A-share listing · market cap: estimate from deal size / offer % of enlarged capital disagreed with the published listing cap — published figure adopted · cornerstone list: cornerstone section not machine-extractable — see the prospectus link · cornerstone %: cornerstone aggregate not stated in the filing</t>
        </is>
      </c>
    </row>
    <row r="131" ht="15" customHeight="1">
      <c r="A131" s="61" t="inlineStr">
        <is>
          <t>9857</t>
        </is>
      </c>
      <c r="B131" s="62" t="inlineStr">
        <is>
          <t>LINMON MEDIA</t>
        </is>
      </c>
      <c r="C131" s="62" t="inlineStr">
        <is>
          <t>檸萌影視</t>
        </is>
      </c>
      <c r="D131" s="62" t="inlineStr">
        <is>
          <t>TMT-other</t>
        </is>
      </c>
      <c r="E131" s="62" t="inlineStr">
        <is>
          <t>Media / advertising</t>
        </is>
      </c>
      <c r="F131" s="62" t="inlineStr">
        <is>
          <t>Movies &amp; Entertainment</t>
        </is>
      </c>
      <c r="G131" s="62" t="inlineStr">
        <is>
          <t>Standard</t>
        </is>
      </c>
      <c r="H131" s="63" t="n">
        <v>44783</v>
      </c>
      <c r="I131" s="64" t="n">
        <v>420.1</v>
      </c>
      <c r="J131" s="62" t="inlineStr">
        <is>
          <t>gross (price x shares)</t>
        </is>
      </c>
      <c r="K131" s="65" t="n">
        <v>27.75</v>
      </c>
      <c r="L131" s="65" t="n">
        <v>33.3</v>
      </c>
      <c r="M131" s="65" t="n">
        <v>27.75</v>
      </c>
      <c r="N131" s="62" t="inlineStr">
        <is>
          <t>N</t>
        </is>
      </c>
      <c r="O131" s="66" t="n">
        <v>83.3</v>
      </c>
      <c r="P131" s="66" t="n">
        <v>0</v>
      </c>
      <c r="Q131" s="67" t="n">
        <v>10002.7</v>
      </c>
      <c r="R131" s="62" t="inlineStr">
        <is>
          <t>prospectus:stated market capitalisation</t>
        </is>
      </c>
      <c r="S131" s="68" t="n">
        <v>0.8100000000000001</v>
      </c>
      <c r="T131" s="69" t="n">
        <v>1.38</v>
      </c>
      <c r="U131" s="70" t="n">
        <v>46.7</v>
      </c>
      <c r="V131" s="66" t="n">
        <v>2.24</v>
      </c>
      <c r="W131" s="62" t="inlineStr">
        <is>
          <t>Harvest International Premium Value (Secondary Market) Fund SPC; Heilan Group Co., Limited</t>
        </is>
      </c>
      <c r="X131" s="62" t="inlineStr">
        <is>
          <t>harvest;heilan</t>
        </is>
      </c>
      <c r="Y131" s="66" t="n">
        <v>20</v>
      </c>
      <c r="Z131" s="62" t="inlineStr">
        <is>
          <t>lapsed</t>
        </is>
      </c>
      <c r="AA131" s="71" t="n">
        <v>-2.7</v>
      </c>
      <c r="AB131" s="72" t="n">
        <v>0</v>
      </c>
      <c r="AC131" s="72" t="n">
        <v>-2.7</v>
      </c>
      <c r="AD131" s="72" t="n">
        <v>0</v>
      </c>
      <c r="AE131" s="72" t="n">
        <v>-3.42</v>
      </c>
      <c r="AF131" s="72" t="n">
        <v>-12.43</v>
      </c>
      <c r="AG131" s="72" t="n">
        <v>2.77</v>
      </c>
      <c r="AH131" s="72" t="n">
        <v>-0.74</v>
      </c>
      <c r="AI131" s="72" t="n">
        <v>-10</v>
      </c>
      <c r="AJ131" s="72" t="n">
        <v>0.4</v>
      </c>
      <c r="AK131" s="72" t="n">
        <v>2.32</v>
      </c>
      <c r="AL131" s="72" t="n">
        <v>5.79</v>
      </c>
      <c r="AM131" s="72" t="n">
        <v>3.12</v>
      </c>
      <c r="AN131" s="72" t="n">
        <v>-5.74</v>
      </c>
      <c r="AO131" s="72" t="n">
        <v>-3.86</v>
      </c>
      <c r="AP131" s="62" t="inlineStr">
        <is>
          <t>Hang Seng Index</t>
        </is>
      </c>
      <c r="AQ131" s="72" t="n">
        <v>-89.98</v>
      </c>
      <c r="AR131" s="63" t="inlineStr">
        <is>
          <t>2026-08-20</t>
        </is>
      </c>
      <c r="AS131" s="64" t="n">
        <v>1373.9</v>
      </c>
      <c r="AT131" s="67" t="n">
        <v>67</v>
      </c>
      <c r="AU131" s="62" t="inlineStr">
        <is>
          <t>Y</t>
        </is>
      </c>
      <c r="AV131" s="73" t="n">
        <v>149.3</v>
      </c>
      <c r="AW131" s="73" t="n"/>
      <c r="AX131" s="73" t="n">
        <v>27.3</v>
      </c>
      <c r="AY131" s="73" t="n">
        <v>7.3</v>
      </c>
      <c r="AZ131" s="74" t="inlineStr">
        <is>
          <t>N</t>
        </is>
      </c>
      <c r="BA131" s="75">
        <f>IF('BBG Verify'!K131="","not filed — run on terminal",'BBG Verify'!K131)</f>
        <v/>
      </c>
      <c r="BB131" s="62" t="inlineStr">
        <is>
          <t>N/A</t>
        </is>
      </c>
      <c r="BC131" s="62" t="inlineStr">
        <is>
          <t>N/A</t>
        </is>
      </c>
      <c r="BD131" s="62" t="inlineStr">
        <is>
          <t>N/A</t>
        </is>
      </c>
      <c r="BE131" s="62" t="inlineStr">
        <is>
          <t>N/A</t>
        </is>
      </c>
      <c r="BF131" s="62" t="inlineStr">
        <is>
          <t>N/A</t>
        </is>
      </c>
      <c r="BG131" s="74" t="inlineStr">
        <is>
          <t>Morgan Stanley Asia Limited; China International Capital Corporation Hong Kong Securities Limited</t>
        </is>
      </c>
      <c r="BH131" s="62" t="inlineStr">
        <is>
          <t>China International Capital Corporation Hong Kong Securities Limited; Morgan Stanley Asia Limited</t>
        </is>
      </c>
      <c r="BI131" s="62" t="inlineStr">
        <is>
          <t>Morgan Stanley Asia Limited; China International Capital Corporation Hong Kong Securities Limited; CMB International Capital Limited; Futu Securities International (Hong Kong) Limited</t>
        </is>
      </c>
      <c r="BJ131" s="62" t="inlineStr">
        <is>
          <t>China International Capital Corporation Hong Kong Securities Limited; CMB International Capital Limited; Futu Securities International (Hong Kong) Limited; Livermore Holdings Limited; Morgan Stanley Asia Limited</t>
        </is>
      </c>
      <c r="BK131" s="76">
        <f>HYPERLINK("https://www1.hkexnews.hk/listedco/listconews/sehk/2022/0729/2022072900015.pdf","prospectus")</f>
        <v/>
      </c>
      <c r="BL131" s="76">
        <f>HYPERLINK("https://www1.hkexnews.hk/listedco/listconews/sehk/2022/0809/2022080900036.htm","allotment")</f>
        <v/>
      </c>
      <c r="BM131" s="76">
        <f>HYPERLINK("https://www1.hkexnews.hk/listedco/listconews/sehk/2022/0902/2022090202423.pdf","stabilisation")</f>
        <v/>
      </c>
      <c r="BN131" s="74" t="n"/>
      <c r="BO131" s="62" t="inlineStr">
        <is>
          <t>A/H: no A-share listing</t>
        </is>
      </c>
    </row>
    <row r="132" ht="15" customHeight="1">
      <c r="A132" s="61" t="inlineStr">
        <is>
          <t>2321</t>
        </is>
      </c>
      <c r="B132" s="62" t="inlineStr">
        <is>
          <t>SWANGCHAICHUAN</t>
        </is>
      </c>
      <c r="C132" s="62" t="inlineStr">
        <is>
          <t>雙財莊</t>
        </is>
      </c>
      <c r="D132" s="62" t="inlineStr">
        <is>
          <t>Materials/Energy</t>
        </is>
      </c>
      <c r="E132" s="62" t="inlineStr">
        <is>
          <t>Oil &amp; gas / utilities</t>
        </is>
      </c>
      <c r="F132" s="62" t="inlineStr">
        <is>
          <t>Packaged Foods</t>
        </is>
      </c>
      <c r="G132" s="62" t="inlineStr">
        <is>
          <t>Standard</t>
        </is>
      </c>
      <c r="H132" s="63" t="n">
        <v>44792</v>
      </c>
      <c r="I132" s="64" t="n">
        <v>135</v>
      </c>
      <c r="J132" s="62" t="inlineStr">
        <is>
          <t>gross (price x shares)</t>
        </is>
      </c>
      <c r="K132" s="65" t="n">
        <v>0.52</v>
      </c>
      <c r="L132" s="65" t="n">
        <v>0.5600000000000001</v>
      </c>
      <c r="M132" s="65" t="n">
        <v>0.5600000000000001</v>
      </c>
      <c r="N132" s="62" t="inlineStr">
        <is>
          <t>Y</t>
        </is>
      </c>
      <c r="O132" s="66" t="n">
        <v>100</v>
      </c>
      <c r="P132" s="66" t="n">
        <v>100</v>
      </c>
      <c r="Q132" s="67" t="n">
        <v>487.4</v>
      </c>
      <c r="R132" s="62" t="inlineStr">
        <is>
          <t>derived:deal size / offer % of enlarged capital</t>
        </is>
      </c>
      <c r="S132" s="68" t="n">
        <v>19.2</v>
      </c>
      <c r="T132" s="69" t="n">
        <v>2.1</v>
      </c>
      <c r="U132" s="70" t="n">
        <v>38.4</v>
      </c>
      <c r="V132" s="66" t="n">
        <v>17.06</v>
      </c>
      <c r="W132" s="62" t="inlineStr">
        <is>
          <t>Dato Sri Ng Chong Keong; Dato Sri Pek Kok Sam; Huihuang Resources Limited; Mr. Tee Kian Heng</t>
        </is>
      </c>
      <c r="X132" s="62" t="inlineStr">
        <is>
          <t>dato;huihuang;mr-tee</t>
        </is>
      </c>
      <c r="Y132" s="66" t="n">
        <v>15</v>
      </c>
      <c r="Z132" s="62" t="inlineStr">
        <is>
          <t>full</t>
        </is>
      </c>
      <c r="AA132" s="71" t="n">
        <v>41.07</v>
      </c>
      <c r="AB132" s="72" t="n">
        <v>42.86</v>
      </c>
      <c r="AC132" s="72" t="n">
        <v>-1.25</v>
      </c>
      <c r="AD132" s="72" t="n">
        <v>62.5</v>
      </c>
      <c r="AE132" s="72" t="n">
        <v>96.43000000000001</v>
      </c>
      <c r="AF132" s="72" t="n">
        <v>258.93</v>
      </c>
      <c r="AG132" s="72" t="n">
        <v>15.19</v>
      </c>
      <c r="AH132" s="72" t="n">
        <v>39.24</v>
      </c>
      <c r="AI132" s="72" t="n">
        <v>154.43</v>
      </c>
      <c r="AJ132" s="72" t="n">
        <v>59.03</v>
      </c>
      <c r="AK132" s="72" t="n">
        <v>102.35</v>
      </c>
      <c r="AL132" s="72" t="n">
        <v>268.7</v>
      </c>
      <c r="AM132" s="72" t="n">
        <v>45.12</v>
      </c>
      <c r="AN132" s="72" t="n">
        <v>-5.92</v>
      </c>
      <c r="AO132" s="72" t="n">
        <v>-5.88</v>
      </c>
      <c r="AP132" s="62" t="inlineStr">
        <is>
          <t>Hang Seng Commerce &amp; Industry sub-index</t>
        </is>
      </c>
      <c r="AQ132" s="72" t="n">
        <v>-10.71</v>
      </c>
      <c r="AR132" s="63" t="inlineStr">
        <is>
          <t>2026-08-20</t>
        </is>
      </c>
      <c r="AS132" s="64" t="n">
        <v>668.7</v>
      </c>
      <c r="AT132" s="67" t="n">
        <v>23.6</v>
      </c>
      <c r="AU132" s="62" t="inlineStr">
        <is>
          <t>Y</t>
        </is>
      </c>
      <c r="AV132" s="73" t="n">
        <v>20.7</v>
      </c>
      <c r="AW132" s="73" t="n"/>
      <c r="AX132" s="73" t="n">
        <v>8.1</v>
      </c>
      <c r="AY132" s="73" t="n">
        <v>0.7</v>
      </c>
      <c r="AZ132" s="74" t="inlineStr">
        <is>
          <t>N</t>
        </is>
      </c>
      <c r="BA132" s="75">
        <f>IF('BBG Verify'!K132="","not filed — run on terminal",'BBG Verify'!K132)</f>
        <v/>
      </c>
      <c r="BB132" s="62" t="inlineStr">
        <is>
          <t>N/A</t>
        </is>
      </c>
      <c r="BC132" s="62" t="inlineStr">
        <is>
          <t>N/A</t>
        </is>
      </c>
      <c r="BD132" s="62" t="inlineStr">
        <is>
          <t>N/A</t>
        </is>
      </c>
      <c r="BE132" s="62" t="inlineStr">
        <is>
          <t>N/A</t>
        </is>
      </c>
      <c r="BF132" s="62" t="inlineStr">
        <is>
          <t>N/A</t>
        </is>
      </c>
      <c r="BG132" s="74" t="inlineStr">
        <is>
          <t>Sunny Fortune Capital Limited</t>
        </is>
      </c>
      <c r="BH132" s="62" t="inlineStr">
        <is>
          <t>Sunny Fortune Capital Limited</t>
        </is>
      </c>
      <c r="BI132" s="62" t="inlineStr">
        <is>
          <t>Sunny Fortune Capital Limited; Elstone Securities Limited; BOCOM International Securities Limited; Central, Hong Kong China Galaxy International Securities (Hong Kong) Co., Limited; CMBC Securities Company Limited; Central, Hong Kong Haitong International Securities Company Limited; Phillip Securities (Hong Kong) Limited</t>
        </is>
      </c>
      <c r="BJ132" s="62" t="inlineStr">
        <is>
          <t>Beta International Securities Limited; China Galaxy International Securities (Hong Kong) Company Limited; CMBC Securities Company Limited; Elstone Securities Limited; Haitong International Securities Company Limited; Phillip Securities (Hong Kong) Limited; Sunny Fortune Capital Limited</t>
        </is>
      </c>
      <c r="BK132" s="76">
        <f>HYPERLINK("https://www1.hkexnews.hk/listedco/listconews/sehk/2022/0808/2022080800013.pdf","prospectus")</f>
        <v/>
      </c>
      <c r="BL132" s="76">
        <f>HYPERLINK("https://www1.hkexnews.hk/listedco/listconews/sehk/2022/0818/2022081800018.htm","allotment")</f>
        <v/>
      </c>
      <c r="BM132" s="76">
        <f>HYPERLINK("https://www1.hkexnews.hk/listedco/listconews/sehk/2022/0913/2022091300161.pdf","stabilisation")</f>
        <v/>
      </c>
      <c r="BN132" s="74" t="n"/>
      <c r="BO132" s="62" t="inlineStr">
        <is>
          <t>A/H: no A-share listing</t>
        </is>
      </c>
    </row>
    <row r="133" ht="15" customHeight="1">
      <c r="A133" s="61" t="inlineStr">
        <is>
          <t>2152</t>
        </is>
      </c>
      <c r="B133" s="62" t="inlineStr">
        <is>
          <t>SUXIN SERVICES</t>
        </is>
      </c>
      <c r="C133" s="62" t="inlineStr">
        <is>
          <t>蘇新服務</t>
        </is>
      </c>
      <c r="D133" s="62" t="inlineStr">
        <is>
          <t>Real Estate</t>
        </is>
      </c>
      <c r="E133" s="62" t="inlineStr">
        <is>
          <t>Property management</t>
        </is>
      </c>
      <c r="F133" s="62" t="inlineStr">
        <is>
          <t>Property Service and Management</t>
        </is>
      </c>
      <c r="G133" s="62" t="inlineStr">
        <is>
          <t>Standard</t>
        </is>
      </c>
      <c r="H133" s="63" t="n">
        <v>44797</v>
      </c>
      <c r="I133" s="64" t="n">
        <v>215</v>
      </c>
      <c r="J133" s="62" t="inlineStr">
        <is>
          <t>gross (price x shares)</t>
        </is>
      </c>
      <c r="K133" s="65" t="n">
        <v>8.6</v>
      </c>
      <c r="L133" s="65" t="n">
        <v>9.6</v>
      </c>
      <c r="M133" s="65" t="n">
        <v>8.6</v>
      </c>
      <c r="N133" s="62" t="inlineStr">
        <is>
          <t>N</t>
        </is>
      </c>
      <c r="O133" s="66" t="n">
        <v>89.59999999999999</v>
      </c>
      <c r="P133" s="66" t="n">
        <v>0</v>
      </c>
      <c r="Q133" s="67" t="n">
        <v>959.6</v>
      </c>
      <c r="R133" s="62" t="inlineStr">
        <is>
          <t>aastocks:上市市值 at the struck price</t>
        </is>
      </c>
      <c r="S133" s="68" t="n">
        <v>0.71</v>
      </c>
      <c r="T133" s="69" t="n">
        <v>1.2</v>
      </c>
      <c r="U133" s="70" t="n">
        <v>20.2</v>
      </c>
      <c r="V133" s="66" t="n">
        <v>17.88</v>
      </c>
      <c r="W133" s="62" t="inlineStr">
        <is>
          <t>Chiyu International Capital Limited; Suzhou Guanglin Construction Company Limited; Suzhou Qianmo Village Development Construction Tourism Company Limited</t>
        </is>
      </c>
      <c r="X133" s="62" t="inlineStr">
        <is>
          <t>chiyu;suzhou</t>
        </is>
      </c>
      <c r="Y133" s="66" t="n">
        <v>17.55</v>
      </c>
      <c r="Z133" s="62" t="inlineStr">
        <is>
          <t>partial</t>
        </is>
      </c>
      <c r="AA133" s="71" t="n">
        <v>-0.12</v>
      </c>
      <c r="AB133" s="72" t="n">
        <v>-4.65</v>
      </c>
      <c r="AC133" s="72" t="n">
        <v>4.75</v>
      </c>
      <c r="AD133" s="72" t="n">
        <v>-0.12</v>
      </c>
      <c r="AE133" s="72" t="n">
        <v>-27.33</v>
      </c>
      <c r="AF133" s="72" t="n">
        <v>-29.07</v>
      </c>
      <c r="AG133" s="72" t="n">
        <v>0</v>
      </c>
      <c r="AH133" s="72" t="n">
        <v>-27.24</v>
      </c>
      <c r="AI133" s="72" t="n">
        <v>-28.98</v>
      </c>
      <c r="AJ133" s="72" t="n">
        <v>0.08</v>
      </c>
      <c r="AK133" s="72" t="n">
        <v>-26.23</v>
      </c>
      <c r="AL133" s="72" t="n">
        <v>-20.32</v>
      </c>
      <c r="AM133" s="72" t="n">
        <v>-27.51</v>
      </c>
      <c r="AN133" s="72" t="n">
        <v>-1.1</v>
      </c>
      <c r="AO133" s="72" t="n">
        <v>0.27</v>
      </c>
      <c r="AP133" s="62" t="inlineStr">
        <is>
          <t>Hang Seng Properties sub-index</t>
        </is>
      </c>
      <c r="AQ133" s="72" t="n">
        <v>-44.3</v>
      </c>
      <c r="AR133" s="63" t="inlineStr">
        <is>
          <t>2026-08-20</t>
        </is>
      </c>
      <c r="AS133" s="64" t="n">
        <v>508.2</v>
      </c>
      <c r="AT133" s="67" t="n">
        <v>62.2</v>
      </c>
      <c r="AU133" s="62" t="inlineStr">
        <is>
          <t>Y</t>
        </is>
      </c>
      <c r="AV133" s="73" t="n">
        <v>15.4</v>
      </c>
      <c r="AW133" s="73" t="n"/>
      <c r="AX133" s="73" t="n">
        <v>5.6</v>
      </c>
      <c r="AY133" s="73" t="n">
        <v>1.9</v>
      </c>
      <c r="AZ133" s="74" t="inlineStr">
        <is>
          <t>N</t>
        </is>
      </c>
      <c r="BA133" s="75">
        <f>IF('BBG Verify'!K133="","not filed — run on terminal",'BBG Verify'!K133)</f>
        <v/>
      </c>
      <c r="BB133" s="62" t="inlineStr">
        <is>
          <t>N/A</t>
        </is>
      </c>
      <c r="BC133" s="62" t="inlineStr">
        <is>
          <t>N/A</t>
        </is>
      </c>
      <c r="BD133" s="62" t="inlineStr">
        <is>
          <t>N/A</t>
        </is>
      </c>
      <c r="BE133" s="62" t="inlineStr">
        <is>
          <t>N/A</t>
        </is>
      </c>
      <c r="BF133" s="62" t="inlineStr">
        <is>
          <t>N/A</t>
        </is>
      </c>
      <c r="BG133" s="74" t="inlineStr">
        <is>
          <t>BOCOM International (Asia) Limited; Central, Hong Kong Sole Representative BOCOM International Securities Limited</t>
        </is>
      </c>
      <c r="BH133" s="62" t="inlineStr">
        <is>
          <t>BOCOM International (Asia) Limited</t>
        </is>
      </c>
      <c r="BI133" s="62" t="inlineStr">
        <is>
          <t>Haitong International Securities Company Limited; China Everbright Securities (HK) Limited; Wanchai, Hong Kong CEB International Capital Corporation Limited; Central, Hong Kong CMBC Securities Company Limited; Central, Hong Kong Essence International Securities (Hong Kong) Limited; Central, Hong Kong ABCI Capital Limited</t>
        </is>
      </c>
      <c r="BJ133" s="62" t="inlineStr">
        <is>
          <t>ABCI Securities Company Limited; Beta International Securities Limited; CEB International Capital Corporation Limited; China Everbright Securities (HK) Limited; CMBC Securities Company Limited; Essence International Securities (Hong Kong) Limited; Eddid Securities and Futures Limited; Haitong International Securities Company Limited; Maxa Capital Limited; Shenwan Hongyuan Securities (H.K.) Limited; Sinomax Securities Limited; Zhongtai International Securities Limited</t>
        </is>
      </c>
      <c r="BK133" s="76">
        <f>HYPERLINK("https://www1.hkexnews.hk/listedco/listconews/sehk/2022/0811/2022081100025.pdf","prospectus")</f>
        <v/>
      </c>
      <c r="BL133" s="76">
        <f>HYPERLINK("https://www1.hkexnews.hk/listedco/listconews/sehk/2022/0823/2022082300018.htm","allotment")</f>
        <v/>
      </c>
      <c r="BM133" s="76">
        <f>HYPERLINK("https://www1.hkexnews.hk/listedco/listconews/sehk/2022/0915/2022091501585.pdf","stabilisation")</f>
        <v/>
      </c>
      <c r="BN133" s="74" t="n"/>
      <c r="BO133" s="62" t="inlineStr">
        <is>
          <t>A/H: no A-share listing · market cap: estimate from deal size / offer % of enlarged capital disagreed with the published listing cap — published figure adopted · cornerstone %: AAStocks institutional-order total / deal size — an upper bound; the table can include non-cornerstone orders</t>
        </is>
      </c>
    </row>
    <row r="134" ht="15" customHeight="1">
      <c r="A134" s="61" t="inlineStr">
        <is>
          <t>1880</t>
        </is>
      </c>
      <c r="B134" s="62" t="inlineStr">
        <is>
          <t>CTG DUTY-FREE</t>
        </is>
      </c>
      <c r="C134" s="62" t="inlineStr">
        <is>
          <t>中國中免</t>
        </is>
      </c>
      <c r="D134" s="62" t="inlineStr">
        <is>
          <t>Consumer</t>
        </is>
      </c>
      <c r="E134" s="62" t="inlineStr">
        <is>
          <t>Retail / distribution</t>
        </is>
      </c>
      <c r="F134" s="62" t="inlineStr">
        <is>
          <t>Tourism</t>
        </is>
      </c>
      <c r="G134" s="62" t="inlineStr">
        <is>
          <t>Standard</t>
        </is>
      </c>
      <c r="H134" s="63" t="n">
        <v>44798</v>
      </c>
      <c r="I134" s="64" t="n">
        <v>16236.4</v>
      </c>
      <c r="J134" s="62" t="inlineStr">
        <is>
          <t>gross (price x shares)</t>
        </is>
      </c>
      <c r="K134" s="65" t="n"/>
      <c r="L134" s="65" t="n">
        <v>165.5</v>
      </c>
      <c r="M134" s="65" t="n">
        <v>158</v>
      </c>
      <c r="N134" s="62" t="inlineStr">
        <is>
          <t>N</t>
        </is>
      </c>
      <c r="O134" s="66" t="n">
        <v>95.5</v>
      </c>
      <c r="P134" s="66" t="n"/>
      <c r="Q134" s="67" t="n">
        <v>284350.3</v>
      </c>
      <c r="R134" s="62" t="inlineStr">
        <is>
          <t>derived:deal size / offer % of enlarged capital</t>
        </is>
      </c>
      <c r="S134" s="68" t="n">
        <v>1.06</v>
      </c>
      <c r="T134" s="69" t="n">
        <v>4.7</v>
      </c>
      <c r="U134" s="70" t="n">
        <v>44.5</v>
      </c>
      <c r="V134" s="66" t="n">
        <v>3.17</v>
      </c>
      <c r="W134" s="62" t="inlineStr">
        <is>
          <t>AMOREPACIFIC Group; China State-Owned Enterprise Mixed Ownership Reform Fund Co., Ltd; China Structural Reform Fund Corporation Limited; COSCO Shipping (Hong Kong) Co., Limited; Hainan Free Trade Port Construction Investment Fund Co., Ltd; Luzhou Laojiao Co., Ltd; Rongshi International Holding Company Limited; Shanghai Airport Investment Corporation Limited; The Oaktree Funds</t>
        </is>
      </c>
      <c r="X134" s="62" t="inlineStr">
        <is>
          <t>amorepacific;state-owned;structural;cosco;hainan;luzhou;rongshi;shanghai-airport;oaktree</t>
        </is>
      </c>
      <c r="Y134" s="66" t="n">
        <v>5</v>
      </c>
      <c r="Z134" s="62" t="n"/>
      <c r="AA134" s="71" t="n">
        <v>0</v>
      </c>
      <c r="AB134" s="72" t="n">
        <v>-24.05</v>
      </c>
      <c r="AC134" s="72" t="n">
        <v>31.67</v>
      </c>
      <c r="AD134" s="72" t="n">
        <v>8.23</v>
      </c>
      <c r="AE134" s="72" t="n">
        <v>17.09</v>
      </c>
      <c r="AF134" s="72" t="n">
        <v>9.300000000000001</v>
      </c>
      <c r="AG134" s="72" t="n">
        <v>8.23</v>
      </c>
      <c r="AH134" s="72" t="n">
        <v>17.09</v>
      </c>
      <c r="AI134" s="72" t="n">
        <v>9.300000000000001</v>
      </c>
      <c r="AJ134" s="72" t="n">
        <v>5.36</v>
      </c>
      <c r="AK134" s="72" t="n">
        <v>24.76</v>
      </c>
      <c r="AL134" s="72" t="n">
        <v>20.62</v>
      </c>
      <c r="AM134" s="72" t="n">
        <v>28.99</v>
      </c>
      <c r="AN134" s="72" t="n">
        <v>-7.67</v>
      </c>
      <c r="AO134" s="72" t="n">
        <v>-11.9</v>
      </c>
      <c r="AP134" s="62" t="inlineStr">
        <is>
          <t>Hang Seng Commerce &amp; Industry sub-index</t>
        </is>
      </c>
      <c r="AQ134" s="72" t="n">
        <v>-68.94</v>
      </c>
      <c r="AR134" s="63" t="inlineStr">
        <is>
          <t>2026-08-20</t>
        </is>
      </c>
      <c r="AS134" s="64" t="n">
        <v>74443.10000000001</v>
      </c>
      <c r="AT134" s="67" t="n">
        <v>13685.4</v>
      </c>
      <c r="AU134" s="62" t="inlineStr">
        <is>
          <t>Y</t>
        </is>
      </c>
      <c r="AV134" s="73" t="n">
        <v>20.8</v>
      </c>
      <c r="AW134" s="73" t="n">
        <v>32.6</v>
      </c>
      <c r="AX134" s="73" t="n">
        <v>22</v>
      </c>
      <c r="AY134" s="73" t="n">
        <v>3.8</v>
      </c>
      <c r="AZ134" s="74" t="inlineStr">
        <is>
          <t>Y</t>
        </is>
      </c>
      <c r="BA134" s="62" t="inlineStr">
        <is>
          <t>601888.SS</t>
        </is>
      </c>
      <c r="BB134" s="72" t="n">
        <v>37.93</v>
      </c>
      <c r="BC134" s="65" t="n">
        <v>217.934</v>
      </c>
      <c r="BD134" s="79" t="n">
        <v>0.2527</v>
      </c>
      <c r="BE134" s="77">
        <f>IF('BBG Verify'!Q134="","run on terminal",'BBG Verify'!Q134)</f>
        <v/>
      </c>
      <c r="BF134" s="77">
        <f>IF('BBG Verify'!R134="","run on terminal",'BBG Verify'!R134)</f>
        <v/>
      </c>
      <c r="BG134" s="74" t="inlineStr">
        <is>
          <t>China International Capital Corporation Hong Kong Securities Limited; UBS Securities Hong Kong Limited</t>
        </is>
      </c>
      <c r="BH134" s="62" t="inlineStr">
        <is>
          <t>China International Capital Corporation Hong Kong Securities Limited; UBS Securities Hong Kong Limited</t>
        </is>
      </c>
      <c r="BI134" s="62" t="inlineStr">
        <is>
          <t>China International Capital Corporation Hong Kong Securities Limited; UBS AG Hong Kong Branch; CCB International Capital Limited; CLSA Limited; Haitong International Securities Company Limited; ABCI Capital Limited; BOCI Asia Limited; BOCOM International Securities Limited; CMB International Capital Limited; DBS Asia Capital Limited; Guotai Junan Securities (Hong Kong) Limited; ICBC International Capital Limited</t>
        </is>
      </c>
      <c r="BJ134" s="62" t="inlineStr">
        <is>
          <t>ABCI Securities Company Limited; Beta International Securities Limited; BOCI Asia Limited; CCB International Capital Limited; China Galaxy International Securities (Hong Kong) Company Limited; China International Capital Corporation Hong Kong Securities Limited; CLSA Limited; CMB International Capital Limited; China Securities (International) Corporate Finance Company Limited; DBS Asia Capital Limited; Guotai Junan Securities (Hong Kong) Limited; Haitong International Securities Company Limited</t>
        </is>
      </c>
      <c r="BK134" s="76">
        <f>HYPERLINK("https://www1.hkexnews.hk/listedco/listconews/sehk/2022/0815/2022081500013.pdf","prospectus")</f>
        <v/>
      </c>
      <c r="BL134" s="76">
        <f>HYPERLINK("https://www1.hkexnews.hk/listedco/listconews/sehk/2022/0824/2022082400024.htm","allotment")</f>
        <v/>
      </c>
      <c r="BM134" s="62" t="n"/>
      <c r="BN134" s="74" t="n"/>
      <c r="BO134" s="62" t="inlineStr">
        <is>
          <t>greenshoe: end-of-stabilisation notice not located · range low: cap-only pricing — the filing publishes a Maximum Offer Price and no indicative floor · A/H: Aug 2022, ~US$2.1bn H offering</t>
        </is>
      </c>
    </row>
    <row r="135" ht="15" customHeight="1">
      <c r="A135" s="61" t="inlineStr">
        <is>
          <t>2315</t>
        </is>
      </c>
      <c r="B135" s="62" t="inlineStr">
        <is>
          <t>BIOCYTOGEN-B</t>
        </is>
      </c>
      <c r="C135" s="62" t="inlineStr">
        <is>
          <t>百奧賽圖－Ｂ</t>
        </is>
      </c>
      <c r="D135" s="62" t="inlineStr">
        <is>
          <t>Healthcare</t>
        </is>
      </c>
      <c r="E135" s="62" t="inlineStr">
        <is>
          <t>Biotech pre-revenue (18A)</t>
        </is>
      </c>
      <c r="F135" s="62" t="inlineStr">
        <is>
          <t>Biotechnology - Supplies &amp; Services</t>
        </is>
      </c>
      <c r="G135" s="62" t="inlineStr">
        <is>
          <t>18A</t>
        </is>
      </c>
      <c r="H135" s="63" t="n">
        <v>44805</v>
      </c>
      <c r="I135" s="64" t="n">
        <v>548.7</v>
      </c>
      <c r="J135" s="62" t="inlineStr">
        <is>
          <t>gross (price x shares)</t>
        </is>
      </c>
      <c r="K135" s="65" t="n"/>
      <c r="L135" s="65" t="n">
        <v>25.22</v>
      </c>
      <c r="M135" s="65" t="n">
        <v>25.22</v>
      </c>
      <c r="N135" s="62" t="inlineStr">
        <is>
          <t>Y</t>
        </is>
      </c>
      <c r="O135" s="66" t="n">
        <v>100</v>
      </c>
      <c r="P135" s="66" t="n"/>
      <c r="Q135" s="67" t="n">
        <v>10004.5</v>
      </c>
      <c r="R135" s="62" t="inlineStr">
        <is>
          <t>prospectus:stated market capitalisation</t>
        </is>
      </c>
      <c r="S135" s="68" t="n">
        <v>5.93</v>
      </c>
      <c r="T135" s="69" t="n">
        <v>1.6</v>
      </c>
      <c r="U135" s="70" t="n">
        <v>71.14</v>
      </c>
      <c r="V135" s="66" t="n">
        <v>1.58</v>
      </c>
      <c r="W135" s="62" t="inlineStr">
        <is>
          <t>Beijing Xingxing Equity Investment Partnership (Limited Partnership); QuantumPharm Limited; RemeGen Co., Ltd; Sanjin International CO., LTD; VEKEN (HONGKONG) ECONOMIC AND TRADE CO., LIMITED</t>
        </is>
      </c>
      <c r="X135" s="62" t="inlineStr">
        <is>
          <t>beijing-xingxing;quantumpharm;remegen;sanjin;veken</t>
        </is>
      </c>
      <c r="Y135" s="66" t="n">
        <v>14.1</v>
      </c>
      <c r="Z135" s="62" t="inlineStr">
        <is>
          <t>partial</t>
        </is>
      </c>
      <c r="AA135" s="71" t="n">
        <v>3.09</v>
      </c>
      <c r="AB135" s="72" t="n">
        <v>4.28</v>
      </c>
      <c r="AC135" s="72" t="n">
        <v>-1.14</v>
      </c>
      <c r="AD135" s="72" t="n">
        <v>0.71</v>
      </c>
      <c r="AE135" s="72" t="n">
        <v>5.47</v>
      </c>
      <c r="AF135" s="72" t="n">
        <v>3.09</v>
      </c>
      <c r="AG135" s="72" t="n">
        <v>-2.31</v>
      </c>
      <c r="AH135" s="72" t="n">
        <v>2.31</v>
      </c>
      <c r="AI135" s="72" t="n">
        <v>0</v>
      </c>
      <c r="AJ135" s="72" t="n">
        <v>5.94</v>
      </c>
      <c r="AK135" s="72" t="n">
        <v>19.05</v>
      </c>
      <c r="AL135" s="72" t="n">
        <v>3.95</v>
      </c>
      <c r="AM135" s="72" t="n">
        <v>15.36</v>
      </c>
      <c r="AN135" s="72" t="n">
        <v>-13.58</v>
      </c>
      <c r="AO135" s="72" t="n">
        <v>-13.05</v>
      </c>
      <c r="AP135" s="62" t="inlineStr">
        <is>
          <t>China Biotech ETF (HS biotech proxy)</t>
        </is>
      </c>
      <c r="AQ135" s="72" t="n">
        <v>142.27</v>
      </c>
      <c r="AR135" s="63" t="inlineStr">
        <is>
          <t>2026-08-20</t>
        </is>
      </c>
      <c r="AS135" s="64" t="n">
        <v>390</v>
      </c>
      <c r="AT135" s="67" t="n">
        <v>-600.1</v>
      </c>
      <c r="AU135" s="62" t="inlineStr">
        <is>
          <t>N</t>
        </is>
      </c>
      <c r="AV135" s="62" t="inlineStr">
        <is>
          <t>n/m</t>
        </is>
      </c>
      <c r="AW135" s="73" t="n"/>
      <c r="AX135" s="73" t="n">
        <v>127.3</v>
      </c>
      <c r="AY135" s="73" t="n">
        <v>25.7</v>
      </c>
      <c r="AZ135" s="74" t="inlineStr">
        <is>
          <t>Y</t>
        </is>
      </c>
      <c r="BA135" s="62" t="inlineStr">
        <is>
          <t>688796.SS</t>
        </is>
      </c>
      <c r="BB135" s="72" t="n"/>
      <c r="BC135" s="65" t="n"/>
      <c r="BD135" s="79" t="n">
        <v>1.4384</v>
      </c>
      <c r="BE135" s="77">
        <f>IF('BBG Verify'!Q135="","run on terminal",'BBG Verify'!Q135)</f>
        <v/>
      </c>
      <c r="BF135" s="77">
        <f>IF('BBG Verify'!R135="","run on terminal",'BBG Verify'!R135)</f>
        <v/>
      </c>
      <c r="BG135" s="74" t="inlineStr">
        <is>
          <t>Goldman Sachs (Asia) L.L.C; China International Capital Corporation Hong Kong Securities Limited</t>
        </is>
      </c>
      <c r="BH135" s="62" t="inlineStr">
        <is>
          <t>China International Capital Corporation Hong Kong Securities Limited; Goldman Sachs (Asia) L.L.C.</t>
        </is>
      </c>
      <c r="BI135" s="62" t="inlineStr">
        <is>
          <t>Goldman Sachs (Asia) L.L.C; CMB International Capital Limited; CLSA Limited; China International Capital Corporation Hong Kong Securities Limited; Futu Securities International (Hong Kong) Limited; Valuable Capital Limited; Haitong International Securities Company Limited</t>
        </is>
      </c>
      <c r="BJ135" s="62" t="inlineStr">
        <is>
          <t>Beta International Securities Limited; China International Capital Corporation Hong Kong Securities Limited; CLSA Limited; CMB International Capital Limited; Futu Securities International (Hong Kong) Limited; Goldman Sachs (Asia) L.L.C.; Haitong International Securities Company Limited; Valuable Capital Limited</t>
        </is>
      </c>
      <c r="BK135" s="76">
        <f>HYPERLINK("https://www1.hkexnews.hk/listedco/listconews/sehk/2022/0819/2022081900021.pdf","prospectus")</f>
        <v/>
      </c>
      <c r="BL135" s="76">
        <f>HYPERLINK("https://www1.hkexnews.hk/listedco/listconews/sehk/2022/0831/2022083100060.htm","allotment")</f>
        <v/>
      </c>
      <c r="BM135" s="76">
        <f>HYPERLINK("https://www1.hkexnews.hk/listedco/listconews/sehk/2022/0923/2022092301878.pdf","stabilisation")</f>
        <v/>
      </c>
      <c r="BN135" s="74" t="n"/>
      <c r="BO135" s="62" t="inlineStr">
        <is>
          <t>P/E: n/m — loss-making at IPO (use P/S) · range low: cap-only pricing — the filing publishes a Maximum Offer Price and no indicative floor · A/H: A-share 688796 listed AFTER the H IPO — no A price existed on the H pricing date, so an at-IPO premium cannot exist; the today premium is live · deal size: stated gross HK$16.9m rejected — below the deal's own net proceeds HK$471.1m, which cannot happen</t>
        </is>
      </c>
    </row>
    <row r="136" ht="15" customHeight="1">
      <c r="A136" s="61" t="inlineStr">
        <is>
          <t>9886</t>
        </is>
      </c>
      <c r="B136" s="62" t="inlineStr">
        <is>
          <t>DINGDANG HEALTH</t>
        </is>
      </c>
      <c r="C136" s="62" t="inlineStr">
        <is>
          <t>叮噹健康</t>
        </is>
      </c>
      <c r="D136" s="62" t="inlineStr">
        <is>
          <t>Healthcare</t>
        </is>
      </c>
      <c r="E136" s="62" t="inlineStr">
        <is>
          <t>Digital health</t>
        </is>
      </c>
      <c r="F136" s="62" t="inlineStr">
        <is>
          <t>Health Care Services</t>
        </is>
      </c>
      <c r="G136" s="62" t="inlineStr">
        <is>
          <t>Standard</t>
        </is>
      </c>
      <c r="H136" s="63" t="n">
        <v>44818</v>
      </c>
      <c r="I136" s="64" t="n">
        <v>402.4</v>
      </c>
      <c r="J136" s="62" t="inlineStr">
        <is>
          <t>gross (price x shares)</t>
        </is>
      </c>
      <c r="K136" s="65" t="n"/>
      <c r="L136" s="65" t="n">
        <v>12</v>
      </c>
      <c r="M136" s="65" t="n">
        <v>12</v>
      </c>
      <c r="N136" s="62" t="inlineStr">
        <is>
          <t>Y</t>
        </is>
      </c>
      <c r="O136" s="66" t="n">
        <v>100</v>
      </c>
      <c r="P136" s="66" t="n"/>
      <c r="Q136" s="67" t="n">
        <v>16096</v>
      </c>
      <c r="R136" s="62" t="inlineStr">
        <is>
          <t>derived:deal size / offer % of enlarged capital</t>
        </is>
      </c>
      <c r="S136" s="68" t="n">
        <v>7.2</v>
      </c>
      <c r="T136" s="69" t="n">
        <v>1.7</v>
      </c>
      <c r="U136" s="70" t="n">
        <v>74.09</v>
      </c>
      <c r="V136" s="66" t="n">
        <v>0.65</v>
      </c>
      <c r="W136" s="62" t="inlineStr">
        <is>
          <t>Harvest International Premium Value (Secondary Market) Fund SPC; Jumpcan International Co., Ltd; Sunshine Life Insurance Corporation Limited</t>
        </is>
      </c>
      <c r="X136" s="62" t="inlineStr">
        <is>
          <t>harvest;jumpcan;sunshine</t>
        </is>
      </c>
      <c r="Y136" s="66" t="n">
        <v>10</v>
      </c>
      <c r="Z136" s="62" t="inlineStr">
        <is>
          <t>lapsed</t>
        </is>
      </c>
      <c r="AA136" s="71" t="n">
        <v>0</v>
      </c>
      <c r="AB136" s="72" t="n">
        <v>2.83</v>
      </c>
      <c r="AC136" s="72" t="n">
        <v>-2.75</v>
      </c>
      <c r="AD136" s="72" t="n">
        <v>0.33</v>
      </c>
      <c r="AE136" s="72" t="n">
        <v>-1</v>
      </c>
      <c r="AF136" s="72" t="n">
        <v>0</v>
      </c>
      <c r="AG136" s="72" t="n">
        <v>0.33</v>
      </c>
      <c r="AH136" s="72" t="n">
        <v>-1</v>
      </c>
      <c r="AI136" s="72" t="n">
        <v>0</v>
      </c>
      <c r="AJ136" s="72" t="n">
        <v>8.640000000000001</v>
      </c>
      <c r="AK136" s="72" t="n">
        <v>3.13</v>
      </c>
      <c r="AL136" s="72" t="n">
        <v>-5.67</v>
      </c>
      <c r="AM136" s="72" t="n">
        <v>1.52</v>
      </c>
      <c r="AN136" s="72" t="n">
        <v>-4.13</v>
      </c>
      <c r="AO136" s="72" t="n">
        <v>-2.52</v>
      </c>
      <c r="AP136" s="62" t="inlineStr">
        <is>
          <t>China Biotech ETF (HS biotech proxy)</t>
        </is>
      </c>
      <c r="AQ136" s="72" t="n">
        <v>-93.33</v>
      </c>
      <c r="AR136" s="63" t="inlineStr">
        <is>
          <t>2026-08-20</t>
        </is>
      </c>
      <c r="AS136" s="64" t="n">
        <v>2451.4</v>
      </c>
      <c r="AT136" s="67" t="n">
        <v>-1.2</v>
      </c>
      <c r="AU136" s="62" t="inlineStr">
        <is>
          <t>N</t>
        </is>
      </c>
      <c r="AV136" s="62" t="inlineStr">
        <is>
          <t>n/m</t>
        </is>
      </c>
      <c r="AW136" s="73" t="n"/>
      <c r="AX136" s="73" t="n"/>
      <c r="AY136" s="73" t="n">
        <v>6.6</v>
      </c>
      <c r="AZ136" s="74" t="inlineStr">
        <is>
          <t>N</t>
        </is>
      </c>
      <c r="BA136" s="75">
        <f>IF('BBG Verify'!K136="","not filed — run on terminal",'BBG Verify'!K136)</f>
        <v/>
      </c>
      <c r="BB136" s="62" t="inlineStr">
        <is>
          <t>N/A</t>
        </is>
      </c>
      <c r="BC136" s="62" t="inlineStr">
        <is>
          <t>N/A</t>
        </is>
      </c>
      <c r="BD136" s="62" t="inlineStr">
        <is>
          <t>N/A</t>
        </is>
      </c>
      <c r="BE136" s="62" t="inlineStr">
        <is>
          <t>N/A</t>
        </is>
      </c>
      <c r="BF136" s="62" t="inlineStr">
        <is>
          <t>N/A</t>
        </is>
      </c>
      <c r="BG136" s="74" t="inlineStr">
        <is>
          <t>CMB International Capital Limited</t>
        </is>
      </c>
      <c r="BH136" s="62" t="inlineStr">
        <is>
          <t>China International Capital Corporation Hong Kong Securities Limited; CMB International Capital Corporation Limited</t>
        </is>
      </c>
      <c r="BI136" s="62" t="inlineStr">
        <is>
          <t>CMB International Capital Limited; China International Capital Corporation Hong Kong Securities Limited; Futu Securities International (Hong Kong) Limited</t>
        </is>
      </c>
      <c r="BJ136" s="62" t="inlineStr">
        <is>
          <t>China International Capital Corporation Hong Kong Securities Limited; CMB International Capital Corporation Limited; Futu Securities International (Hong Kong) Limited; Silverbricks Securities Company Limited</t>
        </is>
      </c>
      <c r="BK136" s="76">
        <f>HYPERLINK("https://www1.hkexnews.hk/listedco/listconews/sehk/2022/0901/2022090100013.pdf","prospectus")</f>
        <v/>
      </c>
      <c r="BL136" s="76">
        <f>HYPERLINK("https://www1.hkexnews.hk/listedco/listconews/sehk/2022/0913/2022091300006.htm","allotment")</f>
        <v/>
      </c>
      <c r="BM136" s="76">
        <f>HYPERLINK("https://www1.hkexnews.hk/listedco/listconews/sehk/2022/1006/2022100601196.pdf","stabilisation")</f>
        <v/>
      </c>
      <c r="BN136" s="74" t="n"/>
      <c r="BO136" s="62" t="inlineStr">
        <is>
          <t>P/E: n/m — loss-making at IPO (use P/S) · range low: cap-only pricing — the filing publishes a Maximum Offer Price and no indicative floor · A/H: no A-share listing</t>
        </is>
      </c>
    </row>
    <row r="137" ht="15" customHeight="1">
      <c r="A137" s="61" t="inlineStr">
        <is>
          <t>2350</t>
        </is>
      </c>
      <c r="B137" s="62" t="inlineStr">
        <is>
          <t>MTT GROUP</t>
        </is>
      </c>
      <c r="C137" s="62" t="inlineStr">
        <is>
          <t>數科集團</t>
        </is>
      </c>
      <c r="D137" s="62" t="inlineStr">
        <is>
          <t>Industrials</t>
        </is>
      </c>
      <c r="E137" s="62" t="inlineStr">
        <is>
          <t>Construction / engineering</t>
        </is>
      </c>
      <c r="F137" s="62" t="inlineStr">
        <is>
          <t>IT Products Distributors</t>
        </is>
      </c>
      <c r="G137" s="62" t="inlineStr">
        <is>
          <t>Standard</t>
        </is>
      </c>
      <c r="H137" s="63" t="n">
        <v>44830</v>
      </c>
      <c r="I137" s="64" t="n">
        <v>119.5</v>
      </c>
      <c r="J137" s="62" t="inlineStr">
        <is>
          <t>gross (price x shares)</t>
        </is>
      </c>
      <c r="K137" s="65" t="n">
        <v>0.8</v>
      </c>
      <c r="L137" s="65" t="n">
        <v>0.86</v>
      </c>
      <c r="M137" s="65" t="n">
        <v>0.85</v>
      </c>
      <c r="N137" s="62" t="inlineStr">
        <is>
          <t>N</t>
        </is>
      </c>
      <c r="O137" s="66" t="n">
        <v>98.8</v>
      </c>
      <c r="P137" s="66" t="n">
        <v>83.3</v>
      </c>
      <c r="Q137" s="67" t="n">
        <v>478</v>
      </c>
      <c r="R137" s="62" t="inlineStr">
        <is>
          <t>derived:deal size / offer % of enlarged capital</t>
        </is>
      </c>
      <c r="S137" s="68" t="n">
        <v>151.3</v>
      </c>
      <c r="T137" s="69" t="n">
        <v>1.1</v>
      </c>
      <c r="U137" s="70" t="n">
        <v>27.6</v>
      </c>
      <c r="V137" s="66" t="n">
        <v>18.1</v>
      </c>
      <c r="W137" s="62" t="inlineStr">
        <is>
          <t>ATNT Group Management Limited; EC InfoTech Limited; Mr. Cheng Wan Wai; Mr. Hung Kwong Yee; Wong Cheuk Tim, Timothy</t>
        </is>
      </c>
      <c r="X137" s="62" t="inlineStr">
        <is>
          <t>atnt;ec;mr-cheng;mr-hung;wong</t>
        </is>
      </c>
      <c r="Y137" s="66" t="n">
        <v>15</v>
      </c>
      <c r="Z137" s="62" t="inlineStr">
        <is>
          <t>lapsed (no over-allocation)</t>
        </is>
      </c>
      <c r="AA137" s="71" t="n">
        <v>-27.06</v>
      </c>
      <c r="AB137" s="72" t="n">
        <v>5.88</v>
      </c>
      <c r="AC137" s="72" t="n">
        <v>-31.11</v>
      </c>
      <c r="AD137" s="72" t="n">
        <v>-34.12</v>
      </c>
      <c r="AE137" s="72" t="n">
        <v>-41.18</v>
      </c>
      <c r="AF137" s="72" t="n">
        <v>-54.12</v>
      </c>
      <c r="AG137" s="72" t="n">
        <v>-9.68</v>
      </c>
      <c r="AH137" s="72" t="n">
        <v>-19.36</v>
      </c>
      <c r="AI137" s="72" t="n">
        <v>-37.1</v>
      </c>
      <c r="AJ137" s="72" t="n">
        <v>-31.16</v>
      </c>
      <c r="AK137" s="72" t="n">
        <v>-25.58</v>
      </c>
      <c r="AL137" s="72" t="n">
        <v>-63.72</v>
      </c>
      <c r="AM137" s="72" t="n">
        <v>-2.79</v>
      </c>
      <c r="AN137" s="72" t="n">
        <v>-15.6</v>
      </c>
      <c r="AO137" s="72" t="n">
        <v>-16.57</v>
      </c>
      <c r="AP137" s="62" t="inlineStr">
        <is>
          <t>Hang Seng Commerce &amp; Industry sub-index</t>
        </is>
      </c>
      <c r="AQ137" s="72" t="n">
        <v>-22.35</v>
      </c>
      <c r="AR137" s="63" t="inlineStr">
        <is>
          <t>2026-08-21</t>
        </is>
      </c>
      <c r="AS137" s="64" t="n">
        <v>631.5</v>
      </c>
      <c r="AT137" s="67" t="n">
        <v>47.3</v>
      </c>
      <c r="AU137" s="62" t="inlineStr">
        <is>
          <t>Y</t>
        </is>
      </c>
      <c r="AV137" s="73" t="n">
        <v>10.1</v>
      </c>
      <c r="AW137" s="73" t="n"/>
      <c r="AX137" s="73" t="n"/>
      <c r="AY137" s="73" t="n">
        <v>0.8</v>
      </c>
      <c r="AZ137" s="74" t="inlineStr">
        <is>
          <t>N</t>
        </is>
      </c>
      <c r="BA137" s="75">
        <f>IF('BBG Verify'!K137="","not filed — run on terminal",'BBG Verify'!K137)</f>
        <v/>
      </c>
      <c r="BB137" s="62" t="inlineStr">
        <is>
          <t>N/A</t>
        </is>
      </c>
      <c r="BC137" s="62" t="inlineStr">
        <is>
          <t>N/A</t>
        </is>
      </c>
      <c r="BD137" s="62" t="inlineStr">
        <is>
          <t>N/A</t>
        </is>
      </c>
      <c r="BE137" s="62" t="inlineStr">
        <is>
          <t>N/A</t>
        </is>
      </c>
      <c r="BF137" s="62" t="inlineStr">
        <is>
          <t>N/A</t>
        </is>
      </c>
      <c r="BG137" s="74" t="inlineStr">
        <is>
          <t>Innovax Capital Limited</t>
        </is>
      </c>
      <c r="BH137" s="62" t="inlineStr">
        <is>
          <t>Innovax Capital Limited</t>
        </is>
      </c>
      <c r="BI137" s="62" t="inlineStr">
        <is>
          <t>and Innovax Securities Limited</t>
        </is>
      </c>
      <c r="BJ137" s="62" t="inlineStr">
        <is>
          <t>Canfield Securities Company Limited; China PA Securities (Hong Kong) Company Limited; Innovax Securities Limited; Sinomax Securities Limited</t>
        </is>
      </c>
      <c r="BK137" s="76">
        <f>HYPERLINK("https://www1.hkexnews.hk/listedco/listconews/sehk/2022/0913/2022091300024.htm","prospectus")</f>
        <v/>
      </c>
      <c r="BL137" s="76">
        <f>HYPERLINK("https://www1.hkexnews.hk/listedco/listconews/sehk/2022/0923/2022092300212.htm","allotment")</f>
        <v/>
      </c>
      <c r="BM137" s="76">
        <f>HYPERLINK("https://www1.hkexnews.hk/listedco/listconews/sehk/2022/1017/2022101700385.pdf","stabilisation")</f>
        <v/>
      </c>
      <c r="BN137" s="74" t="n"/>
      <c r="BO137" s="62" t="inlineStr">
        <is>
          <t>A/H: no A-share listing · cornerstone: table parse read 100% but the institutional total implies 28% — parse rejected, the AAStocks institutional total used (27.6%)</t>
        </is>
      </c>
    </row>
    <row r="138" ht="15" customHeight="1">
      <c r="A138" s="61" t="inlineStr">
        <is>
          <t>9863</t>
        </is>
      </c>
      <c r="B138" s="62" t="inlineStr">
        <is>
          <t>LEAPMOTOR</t>
        </is>
      </c>
      <c r="C138" s="62" t="inlineStr">
        <is>
          <t>零跑汽車</t>
        </is>
      </c>
      <c r="D138" s="62" t="inlineStr">
        <is>
          <t>Consumer</t>
        </is>
      </c>
      <c r="E138" s="62" t="inlineStr">
        <is>
          <t>Autos (NEV OEM)</t>
        </is>
      </c>
      <c r="F138" s="62" t="inlineStr">
        <is>
          <t>Automobile Manufacturers</t>
        </is>
      </c>
      <c r="G138" s="62" t="inlineStr">
        <is>
          <t>Standard</t>
        </is>
      </c>
      <c r="H138" s="63" t="n">
        <v>44833</v>
      </c>
      <c r="I138" s="64" t="n">
        <v>918.3</v>
      </c>
      <c r="J138" s="62" t="inlineStr">
        <is>
          <t>net proceeds</t>
        </is>
      </c>
      <c r="K138" s="65" t="n">
        <v>48</v>
      </c>
      <c r="L138" s="65" t="n">
        <v>62</v>
      </c>
      <c r="M138" s="65" t="n">
        <v>48</v>
      </c>
      <c r="N138" s="62" t="inlineStr">
        <is>
          <t>N</t>
        </is>
      </c>
      <c r="O138" s="66" t="n">
        <v>77.40000000000001</v>
      </c>
      <c r="P138" s="66" t="n">
        <v>0</v>
      </c>
      <c r="Q138" s="67" t="n">
        <v>67235.39999999999</v>
      </c>
      <c r="R138" s="62" t="inlineStr">
        <is>
          <t>aastocks:上市市值 at the struck price</t>
        </is>
      </c>
      <c r="S138" s="68" t="n">
        <v>0.16</v>
      </c>
      <c r="T138" s="69" t="n">
        <v>2.33</v>
      </c>
      <c r="U138" s="70" t="n">
        <v>29.6</v>
      </c>
      <c r="V138" s="66" t="n">
        <v>0.96</v>
      </c>
      <c r="W138" s="62" t="inlineStr">
        <is>
          <t>GF Fund Management Co., Ltd; Jinhua Industrial Fund Co., Ltd; Kwok Tai East International Group Limited; Zhejiang Industrial Fund</t>
        </is>
      </c>
      <c r="X138" s="62" t="inlineStr">
        <is>
          <t>gf;jinhua;kwok;zhejiang</t>
        </is>
      </c>
      <c r="Y138" s="66" t="n">
        <v>14.6</v>
      </c>
      <c r="Z138" s="62" t="inlineStr">
        <is>
          <t>lapsed</t>
        </is>
      </c>
      <c r="AA138" s="71" t="n">
        <v>-33.54</v>
      </c>
      <c r="AB138" s="72" t="n">
        <v>-14.58</v>
      </c>
      <c r="AC138" s="72" t="n">
        <v>-22.2</v>
      </c>
      <c r="AD138" s="72" t="n">
        <v>-48.33</v>
      </c>
      <c r="AE138" s="72" t="n">
        <v>-62.21</v>
      </c>
      <c r="AF138" s="72" t="n">
        <v>-37.08</v>
      </c>
      <c r="AG138" s="72" t="n">
        <v>-22.25</v>
      </c>
      <c r="AH138" s="72" t="n">
        <v>-43.14</v>
      </c>
      <c r="AI138" s="72" t="n">
        <v>-5.33</v>
      </c>
      <c r="AJ138" s="72" t="n">
        <v>-50.82</v>
      </c>
      <c r="AK138" s="72" t="n">
        <v>-44.05</v>
      </c>
      <c r="AL138" s="72" t="n">
        <v>-48.68</v>
      </c>
      <c r="AM138" s="72" t="n">
        <v>-25.2</v>
      </c>
      <c r="AN138" s="72" t="n">
        <v>-18.16</v>
      </c>
      <c r="AO138" s="72" t="n">
        <v>-17.94</v>
      </c>
      <c r="AP138" s="62" t="inlineStr">
        <is>
          <t>Hang Seng Commerce &amp; Industry sub-index</t>
        </is>
      </c>
      <c r="AQ138" s="72" t="n">
        <v>-12.83</v>
      </c>
      <c r="AR138" s="63" t="inlineStr">
        <is>
          <t>2026-08-20</t>
        </is>
      </c>
      <c r="AS138" s="64" t="n">
        <v>694.4</v>
      </c>
      <c r="AT138" s="67" t="n">
        <v>-3130.4</v>
      </c>
      <c r="AU138" s="62" t="inlineStr">
        <is>
          <t>N</t>
        </is>
      </c>
      <c r="AV138" s="62" t="inlineStr">
        <is>
          <t>n/m</t>
        </is>
      </c>
      <c r="AW138" s="73" t="n"/>
      <c r="AX138" s="73" t="n">
        <v>95.59999999999999</v>
      </c>
      <c r="AY138" s="73" t="n">
        <v>96.8</v>
      </c>
      <c r="AZ138" s="74" t="inlineStr">
        <is>
          <t>N</t>
        </is>
      </c>
      <c r="BA138" s="75">
        <f>IF('BBG Verify'!K138="","not filed — run on terminal",'BBG Verify'!K138)</f>
        <v/>
      </c>
      <c r="BB138" s="62" t="inlineStr">
        <is>
          <t>N/A</t>
        </is>
      </c>
      <c r="BC138" s="62" t="inlineStr">
        <is>
          <t>N/A</t>
        </is>
      </c>
      <c r="BD138" s="62" t="inlineStr">
        <is>
          <t>N/A</t>
        </is>
      </c>
      <c r="BE138" s="62" t="inlineStr">
        <is>
          <t>N/A</t>
        </is>
      </c>
      <c r="BF138" s="62" t="inlineStr">
        <is>
          <t>N/A</t>
        </is>
      </c>
      <c r="BG138" s="74" t="inlineStr">
        <is>
          <t>J.P . Morgan Securities (Far East) Limited; China International Capital Corporation Hong Kong Securities Limited; Citigroup Global Markets Asia Limited; CCB International Capital Limited</t>
        </is>
      </c>
      <c r="BH138" s="62" t="inlineStr">
        <is>
          <t>China International Capital Corporation Hong Kong Securities Limited; CCB International Capital Limited; J.P. Morgan Securities (Far East) Limited; Citigroup Global Markets Asia Limited</t>
        </is>
      </c>
      <c r="BI138" s="62" t="inlineStr">
        <is>
          <t>J.P . Morgan Securities (Asia Pacific) Limited; China International Capital Corporation Hong Kong Securities Limited; Citigroup Global Markets Asia Limited; CCB International Capital Limited; China Securities (International) Corporate Finance Company Limited; J.P . Morgan Securities plc; Citigroup Global Markets Limited; London E14 5LB United Kingdom CCB International Capital Limited; Huatai Financial Holdings (Hong Kong) Limited; ABCI Capital Limited; Futu Securities International (Hong Kong) Limited</t>
        </is>
      </c>
      <c r="BJ138" s="62" t="inlineStr">
        <is>
          <t>ABCI Securities Company Limited; CCB International Capital Limited; Citigroup Global Markets Asia Limited; China International Capital Corporation Hong Kong Securities Limited; CLSA Limited; China Securities (International) Corporate Finance Company Limited; Futu Securities International (Hong Kong) Limited; Huatai Financial Holdings (Hong Kong) Limited; J.P. Morgan Securities (Asia Pacific) Limited; Tiger Brokers (HK) Global Limited</t>
        </is>
      </c>
      <c r="BK138" s="76">
        <f>HYPERLINK("https://www1.hkexnews.hk/listedco/listconews/sehk/2022/0920/2022092000023.pdf","prospectus")</f>
        <v/>
      </c>
      <c r="BL138" s="76">
        <f>HYPERLINK("https://www1.hkexnews.hk/listedco/listconews/sehk/2022/0928/2022092800020.htm","allotment")</f>
        <v/>
      </c>
      <c r="BM138" s="76">
        <f>HYPERLINK("https://www1.hkexnews.hk/listedco/listconews/sehk/2022/1023/2022102300019.pdf","stabilisation")</f>
        <v/>
      </c>
      <c r="BN138" s="74" t="n"/>
      <c r="BO138" s="62" t="inlineStr">
        <is>
          <t>P/E: n/m — loss-making at IPO (use P/S) · A/H: no A-share listing · market cap: estimate from deal size / offer % of enlarged capital disagreed with the published listing cap — published figure adopted · cornerstone: AAStocks institutional table includes non-cornerstone orders (superset) — cornerstone % is from the prospectus</t>
        </is>
      </c>
    </row>
    <row r="139" ht="15" customHeight="1">
      <c r="A139" s="61" t="inlineStr">
        <is>
          <t>2602</t>
        </is>
      </c>
      <c r="B139" s="62" t="inlineStr">
        <is>
          <t>ONEWO</t>
        </is>
      </c>
      <c r="C139" s="62" t="inlineStr">
        <is>
          <t>萬物雲</t>
        </is>
      </c>
      <c r="D139" s="62" t="inlineStr">
        <is>
          <t>Real Estate</t>
        </is>
      </c>
      <c r="E139" s="62" t="inlineStr">
        <is>
          <t>Property management</t>
        </is>
      </c>
      <c r="F139" s="62" t="inlineStr">
        <is>
          <t>Property Service and Management</t>
        </is>
      </c>
      <c r="G139" s="62" t="inlineStr">
        <is>
          <t>Standard</t>
        </is>
      </c>
      <c r="H139" s="63" t="n">
        <v>44833</v>
      </c>
      <c r="I139" s="64" t="n">
        <v>5759.8</v>
      </c>
      <c r="J139" s="62" t="inlineStr">
        <is>
          <t>gross (price x shares)</t>
        </is>
      </c>
      <c r="K139" s="65" t="n"/>
      <c r="L139" s="65" t="n">
        <v>52.7</v>
      </c>
      <c r="M139" s="65" t="n">
        <v>49.35</v>
      </c>
      <c r="N139" s="62" t="inlineStr">
        <is>
          <t>N</t>
        </is>
      </c>
      <c r="O139" s="66" t="n">
        <v>93.59999999999999</v>
      </c>
      <c r="P139" s="66" t="n"/>
      <c r="Q139" s="67" t="n">
        <v>61685.8</v>
      </c>
      <c r="R139" s="62" t="inlineStr">
        <is>
          <t>aastocks:上市市值 at the struck price</t>
        </is>
      </c>
      <c r="S139" s="68" t="n">
        <v>0.82</v>
      </c>
      <c r="T139" s="69" t="n">
        <v>3.3</v>
      </c>
      <c r="U139" s="70" t="n">
        <v>37.56</v>
      </c>
      <c r="V139" s="66" t="n">
        <v>5.83</v>
      </c>
      <c r="W139" s="62" t="inlineStr">
        <is>
          <t>Athos Asia Event Driven Master Fund; Cephei QFII China Total Return Fund Ltd; China Chengtong Investment Company Limited; HHLR Fund, L.P.; YHG Investment, L.P; The China State-owned Enterprise Mixed Ownership Reform Fund Co., Ltd; UBS Asset Management (Singapore) Ltd</t>
        </is>
      </c>
      <c r="X139" s="62" t="inlineStr">
        <is>
          <t>athos;cephei;chengtong;hhlr;yhg;state-owned;ubs</t>
        </is>
      </c>
      <c r="Y139" s="66" t="n">
        <v>10</v>
      </c>
      <c r="Z139" s="62" t="inlineStr">
        <is>
          <t>partial</t>
        </is>
      </c>
      <c r="AA139" s="71" t="n">
        <v>-6.79</v>
      </c>
      <c r="AB139" s="72" t="n">
        <v>-7.6</v>
      </c>
      <c r="AC139" s="72" t="n">
        <v>0.88</v>
      </c>
      <c r="AD139" s="72" t="n">
        <v>-11.65</v>
      </c>
      <c r="AE139" s="72" t="n">
        <v>-39.72</v>
      </c>
      <c r="AF139" s="72" t="n">
        <v>-0.61</v>
      </c>
      <c r="AG139" s="72" t="n">
        <v>-5.21</v>
      </c>
      <c r="AH139" s="72" t="n">
        <v>-35.33</v>
      </c>
      <c r="AI139" s="72" t="n">
        <v>6.63</v>
      </c>
      <c r="AJ139" s="72" t="n">
        <v>-12.68</v>
      </c>
      <c r="AK139" s="72" t="n">
        <v>-20.53</v>
      </c>
      <c r="AL139" s="72" t="n">
        <v>-13.61</v>
      </c>
      <c r="AM139" s="72" t="n">
        <v>-17.65</v>
      </c>
      <c r="AN139" s="72" t="n">
        <v>-19.19</v>
      </c>
      <c r="AO139" s="72" t="n">
        <v>-17.68</v>
      </c>
      <c r="AP139" s="62" t="inlineStr">
        <is>
          <t>Hang Seng Properties sub-index</t>
        </is>
      </c>
      <c r="AQ139" s="72" t="n">
        <v>-63.69</v>
      </c>
      <c r="AR139" s="63" t="inlineStr">
        <is>
          <t>2026-08-20</t>
        </is>
      </c>
      <c r="AS139" s="64" t="n">
        <v>26075</v>
      </c>
      <c r="AT139" s="67" t="n">
        <v>1885.7</v>
      </c>
      <c r="AU139" s="62" t="inlineStr">
        <is>
          <t>Y</t>
        </is>
      </c>
      <c r="AV139" s="73" t="n">
        <v>32.7</v>
      </c>
      <c r="AW139" s="73" t="n">
        <v>24.2</v>
      </c>
      <c r="AX139" s="73" t="n">
        <v>26</v>
      </c>
      <c r="AY139" s="73" t="n">
        <v>2.4</v>
      </c>
      <c r="AZ139" s="74" t="inlineStr">
        <is>
          <t>N</t>
        </is>
      </c>
      <c r="BA139" s="75">
        <f>IF('BBG Verify'!K139="","not filed — run on terminal",'BBG Verify'!K139)</f>
        <v/>
      </c>
      <c r="BB139" s="62" t="inlineStr">
        <is>
          <t>N/A</t>
        </is>
      </c>
      <c r="BC139" s="62" t="inlineStr">
        <is>
          <t>N/A</t>
        </is>
      </c>
      <c r="BD139" s="62" t="inlineStr">
        <is>
          <t>N/A</t>
        </is>
      </c>
      <c r="BE139" s="62" t="inlineStr">
        <is>
          <t>N/A</t>
        </is>
      </c>
      <c r="BF139" s="62" t="inlineStr">
        <is>
          <t>N/A</t>
        </is>
      </c>
      <c r="BG139" s="74" t="inlineStr">
        <is>
          <t>CLSA Capital Markets Limited; Citigroup Global Markets Asia Limited; Goldman Sachs (Asia) L.L.C; CLSA Limited</t>
        </is>
      </c>
      <c r="BH139" s="62" t="inlineStr">
        <is>
          <t>Goldman Sachs (Asia) L.L.C.; CLSA Capital Markets Limited; Citigroup Global Markets Asia Limited</t>
        </is>
      </c>
      <c r="BI139" s="62" t="inlineStr">
        <is>
          <t>CLSA Limited; Citigroup Global Markets Asia Limited; Goldman Sachs (Asia) L.L.C; CMB International Capital Limited; ICBC International Capital Limited; Citigroup Global Markets Limited; Canary Wharf London E14 5LB United Kingdom Goldman Sachs (Asia) L.L.C; ICBC International Securities Limited</t>
        </is>
      </c>
      <c r="BJ139" s="62" t="inlineStr">
        <is>
          <t>ABCI Securities Company Limited; BOCI Asia Limited; CCB International Capital Limited; Citigroup Global Markets Asia Limited; CLSA Limited; CMB International Capital Limited; Goldman Sachs (Asia) L.L.C.; Guosen Securities (HK) Capital Company Limited; ICBC International Securities Limited</t>
        </is>
      </c>
      <c r="BK139" s="76">
        <f>HYPERLINK("https://www1.hkexnews.hk/listedco/listconews/sehk/2022/0919/2022091900009.pdf","prospectus")</f>
        <v/>
      </c>
      <c r="BL139" s="76">
        <f>HYPERLINK("https://www1.hkexnews.hk/listedco/listconews/sehk/2022/0928/2022092800042.htm","allotment")</f>
        <v/>
      </c>
      <c r="BM139" s="76">
        <f>HYPERLINK("https://www1.hkexnews.hk/listedco/listconews/sehk/2022/1023/2022102300033.pdf","stabilisation")</f>
        <v/>
      </c>
      <c r="BN139" s="74" t="n"/>
      <c r="BO139" s="62" t="inlineStr">
        <is>
          <t>range low: cap-only pricing — the filing publishes a Maximum Offer Price and no indicative floor · A/H: no A-share listing · market cap: estimate from stated market capitalisation disagreed with the published listing cap — published figure adopted</t>
        </is>
      </c>
    </row>
    <row r="140" ht="15" customHeight="1">
      <c r="A140" s="61" t="inlineStr">
        <is>
          <t>6660</t>
        </is>
      </c>
      <c r="B140" s="62" t="inlineStr">
        <is>
          <t>AIM VACCINE</t>
        </is>
      </c>
      <c r="C140" s="62" t="inlineStr">
        <is>
          <t>艾美疫苗</t>
        </is>
      </c>
      <c r="D140" s="62" t="inlineStr">
        <is>
          <t>Healthcare</t>
        </is>
      </c>
      <c r="E140" s="62" t="inlineStr">
        <is>
          <t>Biopharma commercial</t>
        </is>
      </c>
      <c r="F140" s="62" t="inlineStr">
        <is>
          <t>Biotechnology - Pharmaceuticals</t>
        </is>
      </c>
      <c r="G140" s="62" t="inlineStr">
        <is>
          <t>Standard</t>
        </is>
      </c>
      <c r="H140" s="63" t="n">
        <v>44840</v>
      </c>
      <c r="I140" s="64" t="n">
        <v>157</v>
      </c>
      <c r="J140" s="62" t="inlineStr">
        <is>
          <t>gross (price x shares)</t>
        </is>
      </c>
      <c r="K140" s="65" t="n"/>
      <c r="L140" s="65" t="n">
        <v>16.16</v>
      </c>
      <c r="M140" s="65" t="n">
        <v>16.16</v>
      </c>
      <c r="N140" s="62" t="inlineStr">
        <is>
          <t>Y</t>
        </is>
      </c>
      <c r="O140" s="66" t="n">
        <v>100</v>
      </c>
      <c r="P140" s="66" t="n"/>
      <c r="Q140" s="67" t="n">
        <v>19549</v>
      </c>
      <c r="R140" s="62" t="inlineStr">
        <is>
          <t>prospectus:stated market capitalisation</t>
        </is>
      </c>
      <c r="S140" s="68" t="n">
        <v>3.15</v>
      </c>
      <c r="T140" s="69" t="n">
        <v>3.27</v>
      </c>
      <c r="U140" s="70" t="n">
        <v>0</v>
      </c>
      <c r="V140" s="66" t="n">
        <v>0.8</v>
      </c>
      <c r="W140" s="62" t="n"/>
      <c r="X140" s="62" t="n"/>
      <c r="Y140" s="66" t="n">
        <v>20</v>
      </c>
      <c r="Z140" s="62" t="inlineStr">
        <is>
          <t>partial</t>
        </is>
      </c>
      <c r="AA140" s="71" t="n">
        <v>3.09</v>
      </c>
      <c r="AB140" s="72" t="n">
        <v>-7.18</v>
      </c>
      <c r="AC140" s="72" t="n">
        <v>11.06</v>
      </c>
      <c r="AD140" s="72" t="n">
        <v>3.71</v>
      </c>
      <c r="AE140" s="72" t="n">
        <v>77.59999999999999</v>
      </c>
      <c r="AF140" s="72" t="n">
        <v>54.7</v>
      </c>
      <c r="AG140" s="72" t="n">
        <v>0.6</v>
      </c>
      <c r="AH140" s="72" t="n">
        <v>72.28</v>
      </c>
      <c r="AI140" s="72" t="n">
        <v>50.06</v>
      </c>
      <c r="AJ140" s="72" t="n">
        <v>7.04</v>
      </c>
      <c r="AK140" s="72" t="n">
        <v>65.25</v>
      </c>
      <c r="AL140" s="72" t="n">
        <v>35.21</v>
      </c>
      <c r="AM140" s="72" t="n">
        <v>58.37</v>
      </c>
      <c r="AN140" s="72" t="n">
        <v>12.35</v>
      </c>
      <c r="AO140" s="72" t="n">
        <v>13.91</v>
      </c>
      <c r="AP140" s="62" t="inlineStr">
        <is>
          <t>China Biotech ETF (HS biotech proxy)</t>
        </is>
      </c>
      <c r="AQ140" s="72" t="n">
        <v>-89.48</v>
      </c>
      <c r="AR140" s="63" t="inlineStr">
        <is>
          <t>2026-08-20</t>
        </is>
      </c>
      <c r="AS140" s="64" t="n">
        <v>1727.1</v>
      </c>
      <c r="AT140" s="67" t="n">
        <v>-667.4</v>
      </c>
      <c r="AU140" s="62" t="inlineStr">
        <is>
          <t>N</t>
        </is>
      </c>
      <c r="AV140" s="62" t="inlineStr">
        <is>
          <t>n/m</t>
        </is>
      </c>
      <c r="AW140" s="73" t="n"/>
      <c r="AX140" s="73" t="n"/>
      <c r="AY140" s="73" t="n">
        <v>11.3</v>
      </c>
      <c r="AZ140" s="74" t="inlineStr">
        <is>
          <t>N</t>
        </is>
      </c>
      <c r="BA140" s="75">
        <f>IF('BBG Verify'!K140="","not filed — run on terminal",'BBG Verify'!K140)</f>
        <v/>
      </c>
      <c r="BB140" s="62" t="inlineStr">
        <is>
          <t>N/A</t>
        </is>
      </c>
      <c r="BC140" s="62" t="inlineStr">
        <is>
          <t>N/A</t>
        </is>
      </c>
      <c r="BD140" s="62" t="inlineStr">
        <is>
          <t>N/A</t>
        </is>
      </c>
      <c r="BE140" s="62" t="inlineStr">
        <is>
          <t>N/A</t>
        </is>
      </c>
      <c r="BF140" s="62" t="inlineStr">
        <is>
          <t>N/A</t>
        </is>
      </c>
      <c r="BG140" s="74" t="inlineStr">
        <is>
          <t>Goldman Sachs (Asia) L.L.C; China International Capital Corporation Hong Kong Securities Limited; China Securities (International) Corporate Finance Company Limited; Central, Hong Kong Macquarie Capital Limited</t>
        </is>
      </c>
      <c r="BH140" s="62" t="inlineStr">
        <is>
          <t>China International Capital Corporation Hong Kong Securities Limited; Goldman Sachs (Asia) L.L.C.; China Securities (International) Corporate Finance Company Limited; Macquarie Capital Limited</t>
        </is>
      </c>
      <c r="BI140" s="62" t="inlineStr">
        <is>
          <t>Goldman Sachs (Asia) L.L.C; China International Capital Corporation Hong Kong Securities Limited; China Securities (International) Corporate Finance Company Limited; Central, Hong Kong Macquarie Capital Limited; Central, Hong Kong ICBC International Capital Limited; CMB International Capital Limited; Central, Hong Kong Futu Securities International (Hong Kong) Limited; Tiger Brokers (HK) Global Limited</t>
        </is>
      </c>
      <c r="BJ140" s="62" t="inlineStr">
        <is>
          <t>BOCI Asia Limited; China International Capital Corporation Hong Kong Securities Limited; CMB International Capital Limited; China Securities (International) Corporate Finance Company Limited; Futu Securities International (Hong Kong) Limited; Goldman Sachs (Asia) L.L.C.; ICBC International Securities Limited; Livermore Holdings Limited; Macquarie Capital Limited; Tiger Brokers (HK) Global Limited</t>
        </is>
      </c>
      <c r="BK140" s="76">
        <f>HYPERLINK("https://www1.hkexnews.hk/listedco/listconews/sehk/2022/0923/2022092300031.pdf","prospectus")</f>
        <v/>
      </c>
      <c r="BL140" s="76">
        <f>HYPERLINK("https://www1.hkexnews.hk/listedco/listconews/sehk/2022/1005/2022100500006.htm","allotment")</f>
        <v/>
      </c>
      <c r="BM140" s="76">
        <f>HYPERLINK("https://www1.hkexnews.hk/listedco/listconews/sehk/2022/1028/2022102802169.pdf","stabilisation")</f>
        <v/>
      </c>
      <c r="BN140" s="74" t="n"/>
      <c r="BO140" s="62" t="inlineStr">
        <is>
          <t>P/E: n/m — loss-making at IPO (use P/S) · range low: cap-only pricing — the filing publishes a Maximum Offer Price and no indicative floor · A/H: no A-share listing · cornerstone list: no cornerstone tranche in this deal</t>
        </is>
      </c>
    </row>
    <row r="141" ht="15" customHeight="1">
      <c r="A141" s="61" t="inlineStr">
        <is>
          <t>3931</t>
        </is>
      </c>
      <c r="B141" s="62" t="inlineStr">
        <is>
          <t>CALB</t>
        </is>
      </c>
      <c r="C141" s="62" t="inlineStr">
        <is>
          <t>中創新航</t>
        </is>
      </c>
      <c r="D141" s="62" t="inlineStr">
        <is>
          <t>Industrials</t>
        </is>
      </c>
      <c r="E141" s="62" t="inlineStr">
        <is>
          <t>Batteries / energy storage</t>
        </is>
      </c>
      <c r="F141" s="62" t="inlineStr">
        <is>
          <t>Battery Products</t>
        </is>
      </c>
      <c r="G141" s="62" t="inlineStr">
        <is>
          <t>Standard</t>
        </is>
      </c>
      <c r="H141" s="63" t="n">
        <v>44840</v>
      </c>
      <c r="I141" s="64" t="n">
        <v>9863.9</v>
      </c>
      <c r="J141" s="62" t="inlineStr">
        <is>
          <t>net proceeds</t>
        </is>
      </c>
      <c r="K141" s="65" t="n">
        <v>38</v>
      </c>
      <c r="L141" s="65" t="n">
        <v>51</v>
      </c>
      <c r="M141" s="65" t="n">
        <v>38</v>
      </c>
      <c r="N141" s="62" t="inlineStr">
        <is>
          <t>N</t>
        </is>
      </c>
      <c r="O141" s="66" t="n">
        <v>74.5</v>
      </c>
      <c r="P141" s="66" t="n">
        <v>0</v>
      </c>
      <c r="Q141" s="67" t="n">
        <v>67347.5</v>
      </c>
      <c r="R141" s="62" t="inlineStr">
        <is>
          <t>prospectus:stated market capitalisation</t>
        </is>
      </c>
      <c r="S141" s="68" t="n">
        <v>0.21</v>
      </c>
      <c r="T141" s="69" t="n">
        <v>2.11</v>
      </c>
      <c r="U141" s="70" t="n">
        <v>58.7</v>
      </c>
      <c r="V141" s="66" t="n">
        <v>6.05</v>
      </c>
      <c r="W141" s="62" t="inlineStr">
        <is>
          <t>Changzhou Jingce New Energy Tech Co., Ltd; CNGR Hong Kong Material Science &amp; Technology Co., Limited; Hans Laser Technology Co., Limited; Hefei Beicheng Construction Investment (Group) Company Limited; Jiangmen New Energy; Jiangsu Pure Precision Technology Co., Ltd; Lv Lizhi; Tianqi Lithium HK Co., Limited; Tibet Nord Technology Co., Ltd; TMA International PTE. LTD; Wang Sing International Resources Limited; XING FA (HONG KONG) IMP.&amp;EXP. LIMITED; XPeng Inc; Zhenshi Group (HK) Heshi Composite Materials Co., Limited</t>
        </is>
      </c>
      <c r="X141" s="62" t="inlineStr">
        <is>
          <t>changzhou;cngr;hans;hefei;jiangmen;jiangsu;lv;tianqi;tibet;tma;wang-sing;xing;xpeng;zhenshi</t>
        </is>
      </c>
      <c r="Y141" s="66" t="n">
        <v>14.32</v>
      </c>
      <c r="Z141" s="62" t="inlineStr">
        <is>
          <t>lapsed</t>
        </is>
      </c>
      <c r="AA141" s="71" t="n">
        <v>0</v>
      </c>
      <c r="AB141" s="72" t="n">
        <v>0</v>
      </c>
      <c r="AC141" s="72" t="n">
        <v>0</v>
      </c>
      <c r="AD141" s="72" t="n">
        <v>-2.63</v>
      </c>
      <c r="AE141" s="72" t="n">
        <v>-37.76</v>
      </c>
      <c r="AF141" s="72" t="n">
        <v>-45.79</v>
      </c>
      <c r="AG141" s="72" t="n">
        <v>-2.63</v>
      </c>
      <c r="AH141" s="72" t="n">
        <v>-37.76</v>
      </c>
      <c r="AI141" s="72" t="n">
        <v>-45.79</v>
      </c>
      <c r="AJ141" s="72" t="n">
        <v>8.5</v>
      </c>
      <c r="AK141" s="72" t="n">
        <v>-26.11</v>
      </c>
      <c r="AL141" s="72" t="n">
        <v>-60.24</v>
      </c>
      <c r="AM141" s="72" t="n">
        <v>-26.44</v>
      </c>
      <c r="AN141" s="72" t="n">
        <v>-11.65</v>
      </c>
      <c r="AO141" s="72" t="n">
        <v>-11.32</v>
      </c>
      <c r="AP141" s="62" t="inlineStr">
        <is>
          <t>Hang Seng Commerce &amp; Industry sub-index</t>
        </is>
      </c>
      <c r="AQ141" s="72" t="n">
        <v>-47.79</v>
      </c>
      <c r="AR141" s="63" t="inlineStr">
        <is>
          <t>2026-08-20</t>
        </is>
      </c>
      <c r="AS141" s="64" t="n">
        <v>7498.8</v>
      </c>
      <c r="AT141" s="67" t="n"/>
      <c r="AU141" s="62" t="inlineStr">
        <is>
          <t>Y</t>
        </is>
      </c>
      <c r="AV141" s="77">
        <f>IF('BBG Verify'!O141="","not filed — run on terminal",'BBG Verify'!O141)</f>
        <v/>
      </c>
      <c r="AW141" s="73" t="n"/>
      <c r="AX141" s="73" t="n">
        <v>20.7</v>
      </c>
      <c r="AY141" s="73" t="n">
        <v>9</v>
      </c>
      <c r="AZ141" s="74" t="inlineStr">
        <is>
          <t>N</t>
        </is>
      </c>
      <c r="BA141" s="75">
        <f>IF('BBG Verify'!K141="","not filed — run on terminal",'BBG Verify'!K141)</f>
        <v/>
      </c>
      <c r="BB141" s="62" t="inlineStr">
        <is>
          <t>N/A</t>
        </is>
      </c>
      <c r="BC141" s="62" t="inlineStr">
        <is>
          <t>N/A</t>
        </is>
      </c>
      <c r="BD141" s="62" t="inlineStr">
        <is>
          <t>N/A</t>
        </is>
      </c>
      <c r="BE141" s="62" t="inlineStr">
        <is>
          <t>N/A</t>
        </is>
      </c>
      <c r="BF141" s="62" t="inlineStr">
        <is>
          <t>N/A</t>
        </is>
      </c>
      <c r="BG141" s="74" t="inlineStr">
        <is>
          <t>OC Huatai Financial Holdings (Hong Kong) Limited</t>
        </is>
      </c>
      <c r="BH141" s="62" t="inlineStr">
        <is>
          <t>Huatai Financial Holdings (Hong Kong) Limited</t>
        </is>
      </c>
      <c r="BI141" s="62" t="inlineStr">
        <is>
          <t>Huatai Financial Holdings (Hong Kong) Limited; J.P. Morgan Securities (Asia Pacific) Limited; Citigroup Global Markets Asia Limited</t>
        </is>
      </c>
      <c r="BJ141" s="62" t="inlineStr">
        <is>
          <t>Citigroup Global Markets Asia Limited; Credit Suisse (Hong Kong) Limited; Futu Securities International (Hong Kong) Limited; Huatai Financial Holdings (Hong Kong) Limited; J.P. Morgan Securities (Asia Pacific) Limited</t>
        </is>
      </c>
      <c r="BK141" s="76">
        <f>HYPERLINK("https://www1.hkexnews.hk/listedco/listconews/sehk/2022/0923/2022092300035.pdf","prospectus")</f>
        <v/>
      </c>
      <c r="BL141" s="76">
        <f>HYPERLINK("https://www1.hkexnews.hk/listedco/listconews/sehk/2022/1005/2022100500028.htm","allotment")</f>
        <v/>
      </c>
      <c r="BM141" s="76">
        <f>HYPERLINK("https://www1.hkexnews.hk/listedco/listconews/sehk/2022/1028/2022102801659.pdf","stabilisation")</f>
        <v/>
      </c>
      <c r="BN141" s="74" t="n"/>
      <c r="BO141" s="62" t="inlineStr">
        <is>
          <t>P/E: withheld — mktcap / net income gives 549x, which fails the 300x plausibility check; the extracted net income (HK$122.7m) is not trustworthy · A/H: no A-share listing · cornerstone: table parse read 93% but the institutional total implies 58% — parse rejected, the filed aggregate-amount sentence used (58.7%) · financials: financial tables not machine-extractable and the pre-IPO year is outside AAStocks' 5-year window</t>
        </is>
      </c>
    </row>
    <row r="142" ht="15" customHeight="1">
      <c r="A142" s="61" t="inlineStr">
        <is>
          <t>9877</t>
        </is>
      </c>
      <c r="B142" s="62" t="inlineStr">
        <is>
          <t>JENSCARE-B</t>
        </is>
      </c>
      <c r="C142" s="62" t="inlineStr">
        <is>
          <t>健世科技－Ｂ</t>
        </is>
      </c>
      <c r="D142" s="62" t="inlineStr">
        <is>
          <t>Healthcare</t>
        </is>
      </c>
      <c r="E142" s="62" t="inlineStr">
        <is>
          <t>Medical devices</t>
        </is>
      </c>
      <c r="F142" s="62" t="inlineStr">
        <is>
          <t>Biotechnology - Medical Devices</t>
        </is>
      </c>
      <c r="G142" s="62" t="inlineStr">
        <is>
          <t>18A</t>
        </is>
      </c>
      <c r="H142" s="63" t="n">
        <v>44844</v>
      </c>
      <c r="I142" s="64" t="n">
        <v>32</v>
      </c>
      <c r="J142" s="62" t="inlineStr">
        <is>
          <t>net proceeds</t>
        </is>
      </c>
      <c r="K142" s="65" t="n"/>
      <c r="L142" s="65" t="n">
        <v>28.8</v>
      </c>
      <c r="M142" s="65" t="n">
        <v>27.8</v>
      </c>
      <c r="N142" s="62" t="inlineStr">
        <is>
          <t>N</t>
        </is>
      </c>
      <c r="O142" s="66" t="n">
        <v>96.5</v>
      </c>
      <c r="P142" s="66" t="n"/>
      <c r="Q142" s="67" t="n">
        <v>11138.4</v>
      </c>
      <c r="R142" s="62" t="inlineStr">
        <is>
          <t>prospectus:stated market capitalisation</t>
        </is>
      </c>
      <c r="S142" s="68" t="n">
        <v>1.52</v>
      </c>
      <c r="T142" s="69" t="n">
        <v>1.19</v>
      </c>
      <c r="U142" s="70" t="n">
        <v>77.7</v>
      </c>
      <c r="V142" s="66" t="n">
        <v>0.06</v>
      </c>
      <c r="W142" s="62" t="inlineStr">
        <is>
          <t>LifeTech Scientific Corporation</t>
        </is>
      </c>
      <c r="X142" s="62" t="inlineStr">
        <is>
          <t>lifetech</t>
        </is>
      </c>
      <c r="Y142" s="66" t="n">
        <v>17.32</v>
      </c>
      <c r="Z142" s="62" t="inlineStr">
        <is>
          <t>lapsed</t>
        </is>
      </c>
      <c r="AA142" s="71" t="n">
        <v>1.62</v>
      </c>
      <c r="AB142" s="72" t="n">
        <v>0.72</v>
      </c>
      <c r="AC142" s="72" t="n">
        <v>0.89</v>
      </c>
      <c r="AD142" s="72" t="n">
        <v>0.54</v>
      </c>
      <c r="AE142" s="72" t="n">
        <v>11.51</v>
      </c>
      <c r="AF142" s="72" t="n">
        <v>28.42</v>
      </c>
      <c r="AG142" s="72" t="n">
        <v>-1.06</v>
      </c>
      <c r="AH142" s="72" t="n">
        <v>9.73</v>
      </c>
      <c r="AI142" s="72" t="n">
        <v>26.37</v>
      </c>
      <c r="AJ142" s="72" t="n">
        <v>-7.07</v>
      </c>
      <c r="AK142" s="72" t="n">
        <v>-4.32</v>
      </c>
      <c r="AL142" s="72" t="n">
        <v>4.05</v>
      </c>
      <c r="AM142" s="72" t="n">
        <v>-8.83</v>
      </c>
      <c r="AN142" s="72" t="n">
        <v>15.83</v>
      </c>
      <c r="AO142" s="72" t="n">
        <v>18.56</v>
      </c>
      <c r="AP142" s="62" t="inlineStr">
        <is>
          <t>China Biotech ETF (HS biotech proxy)</t>
        </is>
      </c>
      <c r="AQ142" s="72" t="n">
        <v>-73.98999999999999</v>
      </c>
      <c r="AR142" s="63" t="inlineStr">
        <is>
          <t>2026-08-21</t>
        </is>
      </c>
      <c r="AS142" s="64" t="n">
        <v>172.8</v>
      </c>
      <c r="AT142" s="67" t="n">
        <v>59.7</v>
      </c>
      <c r="AU142" s="62" t="inlineStr">
        <is>
          <t>Y</t>
        </is>
      </c>
      <c r="AV142" s="73" t="n">
        <v>186.6</v>
      </c>
      <c r="AW142" s="73" t="n"/>
      <c r="AX142" s="73" t="n"/>
      <c r="AY142" s="73" t="n">
        <v>64.5</v>
      </c>
      <c r="AZ142" s="74" t="inlineStr">
        <is>
          <t>N</t>
        </is>
      </c>
      <c r="BA142" s="75">
        <f>IF('BBG Verify'!K142="","not filed — run on terminal",'BBG Verify'!K142)</f>
        <v/>
      </c>
      <c r="BB142" s="62" t="inlineStr">
        <is>
          <t>N/A</t>
        </is>
      </c>
      <c r="BC142" s="62" t="inlineStr">
        <is>
          <t>N/A</t>
        </is>
      </c>
      <c r="BD142" s="62" t="inlineStr">
        <is>
          <t>N/A</t>
        </is>
      </c>
      <c r="BE142" s="62" t="inlineStr">
        <is>
          <t>N/A</t>
        </is>
      </c>
      <c r="BF142" s="62" t="inlineStr">
        <is>
          <t>N/A</t>
        </is>
      </c>
      <c r="BG142" s="74" t="inlineStr">
        <is>
          <t>China International Capital Corporation Hong Kong Securities Limited; Citigroup Global Markets Asia Limited</t>
        </is>
      </c>
      <c r="BH142" s="62" t="inlineStr">
        <is>
          <t>China International Capital Corporation Hong Kong Securities Limited; Citigroup Global Markets Asia Limited</t>
        </is>
      </c>
      <c r="BI142" s="62" t="inlineStr">
        <is>
          <t>China International Capital Corporation Hong Kong Securities Limited; Citigroup Global Markets Asia Limited; Huatai Financial Holdings (Hong Kong) Limited; ABCI Capital Limited; Citigroup Global Markets Limited; 115 – Huatai Financial Holdings (Hong Kong) Limited; BOCOM International Securities Limited; Futu Securities International (Hong Kong) Limited; Tiger Brokers (HK) Global Limited</t>
        </is>
      </c>
      <c r="BJ142" s="62" t="inlineStr">
        <is>
          <t>ABCI Capital Limited; Beta International Securities Limited; Citigroup Global Markets Asia Limited; China International Capital Corporation Hong Kong Securities Limited; Futu Securities International (Hong Kong) Limited; Huatai Financial Holdings (Hong Kong) Limited; Silverbricks Securities Company Limited; Tiger Brokers (HK) Global Limited</t>
        </is>
      </c>
      <c r="BK142" s="76">
        <f>HYPERLINK("https://www1.hkexnews.hk/listedco/listconews/sehk/2022/0923/2022092300017.pdf","prospectus")</f>
        <v/>
      </c>
      <c r="BL142" s="76">
        <f>HYPERLINK("https://www1.hkexnews.hk/listedco/listconews/sehk/2022/1007/2022100700012.htm","allotment")</f>
        <v/>
      </c>
      <c r="BM142" s="76">
        <f>HYPERLINK("https://www1.hkexnews.hk/listedco/listconews/sehk/2022/1031/2022103100005.pdf","stabilisation")</f>
        <v/>
      </c>
      <c r="BN142" s="74" t="n"/>
      <c r="BO142" s="62" t="inlineStr">
        <is>
          <t>range low: cap-only pricing — the filing publishes a Maximum Offer Price and no indicative floor · A/H: no A-share listing · cornerstone: AAStocks institutional table includes non-cornerstone orders (superset) — cornerstone % is from the prospectus · deal size: stated gross HK$11.2m rejected — below the deal's own net proceeds HK$32.0m, which cannot happen</t>
        </is>
      </c>
    </row>
    <row r="143" ht="15" customHeight="1">
      <c r="A143" s="61" t="inlineStr">
        <is>
          <t>1489</t>
        </is>
      </c>
      <c r="B143" s="62" t="inlineStr">
        <is>
          <t>GC CONSTRUCTION</t>
        </is>
      </c>
      <c r="C143" s="62" t="inlineStr">
        <is>
          <t>GC CONSTRUCTION</t>
        </is>
      </c>
      <c r="D143" s="62" t="inlineStr">
        <is>
          <t>Industrials</t>
        </is>
      </c>
      <c r="E143" s="62" t="inlineStr">
        <is>
          <t>Construction / engineering</t>
        </is>
      </c>
      <c r="F143" s="62" t="inlineStr">
        <is>
          <t>Building Construction</t>
        </is>
      </c>
      <c r="G143" s="62" t="inlineStr">
        <is>
          <t>Standard</t>
        </is>
      </c>
      <c r="H143" s="63" t="n">
        <v>44844</v>
      </c>
      <c r="I143" s="64" t="n">
        <v>125</v>
      </c>
      <c r="J143" s="62" t="inlineStr">
        <is>
          <t>gross (price x shares)</t>
        </is>
      </c>
      <c r="K143" s="65" t="n">
        <v>0.5</v>
      </c>
      <c r="L143" s="65" t="n">
        <v>0.54</v>
      </c>
      <c r="M143" s="65" t="n">
        <v>0.5</v>
      </c>
      <c r="N143" s="62" t="inlineStr">
        <is>
          <t>N</t>
        </is>
      </c>
      <c r="O143" s="66" t="n">
        <v>92.59999999999999</v>
      </c>
      <c r="P143" s="66" t="n">
        <v>0</v>
      </c>
      <c r="Q143" s="67" t="n">
        <v>537</v>
      </c>
      <c r="R143" s="62" t="inlineStr">
        <is>
          <t>aastocks:上市市值 at the struck price</t>
        </is>
      </c>
      <c r="S143" s="68" t="n">
        <v>7.58</v>
      </c>
      <c r="T143" s="69" t="n">
        <v>1.04</v>
      </c>
      <c r="U143" s="70" t="n">
        <v>16</v>
      </c>
      <c r="V143" s="66" t="n">
        <v>19.55</v>
      </c>
      <c r="W143" s="62" t="inlineStr">
        <is>
          <t>Chu Kin Lan; Infinitus Wealth Limited</t>
        </is>
      </c>
      <c r="X143" s="62" t="inlineStr">
        <is>
          <t>chu;infinitus</t>
        </is>
      </c>
      <c r="Y143" s="66" t="n">
        <v>15</v>
      </c>
      <c r="Z143" s="62" t="n"/>
      <c r="AA143" s="71" t="n">
        <v>10</v>
      </c>
      <c r="AB143" s="72" t="n">
        <v>24</v>
      </c>
      <c r="AC143" s="72" t="n">
        <v>-11.29</v>
      </c>
      <c r="AD143" s="72" t="n">
        <v>2</v>
      </c>
      <c r="AE143" s="72" t="n">
        <v>8</v>
      </c>
      <c r="AF143" s="72" t="n">
        <v>0</v>
      </c>
      <c r="AG143" s="72" t="n">
        <v>-7.27</v>
      </c>
      <c r="AH143" s="72" t="n">
        <v>-1.82</v>
      </c>
      <c r="AI143" s="72" t="n">
        <v>-9.09</v>
      </c>
      <c r="AJ143" s="72" t="n">
        <v>10.1</v>
      </c>
      <c r="AK143" s="72" t="n">
        <v>16.15</v>
      </c>
      <c r="AL143" s="72" t="n">
        <v>-20.19</v>
      </c>
      <c r="AM143" s="72" t="n">
        <v>2.81</v>
      </c>
      <c r="AN143" s="72" t="n">
        <v>-8.15</v>
      </c>
      <c r="AO143" s="72" t="n">
        <v>-4.63</v>
      </c>
      <c r="AP143" s="62" t="inlineStr">
        <is>
          <t>Hang Seng Commerce &amp; Industry sub-index</t>
        </is>
      </c>
      <c r="AQ143" s="72" t="n">
        <v>155</v>
      </c>
      <c r="AR143" s="63" t="inlineStr">
        <is>
          <t>2026-08-21</t>
        </is>
      </c>
      <c r="AS143" s="64" t="n">
        <v>440.4</v>
      </c>
      <c r="AT143" s="67" t="n">
        <v>46</v>
      </c>
      <c r="AU143" s="62" t="inlineStr">
        <is>
          <t>Y</t>
        </is>
      </c>
      <c r="AV143" s="73" t="n">
        <v>11.7</v>
      </c>
      <c r="AW143" s="73" t="n"/>
      <c r="AX143" s="73" t="n"/>
      <c r="AY143" s="73" t="n">
        <v>1.2</v>
      </c>
      <c r="AZ143" s="74" t="inlineStr">
        <is>
          <t>N</t>
        </is>
      </c>
      <c r="BA143" s="75">
        <f>IF('BBG Verify'!K143="","not filed — run on terminal",'BBG Verify'!K143)</f>
        <v/>
      </c>
      <c r="BB143" s="62" t="inlineStr">
        <is>
          <t>N/A</t>
        </is>
      </c>
      <c r="BC143" s="62" t="inlineStr">
        <is>
          <t>N/A</t>
        </is>
      </c>
      <c r="BD143" s="62" t="inlineStr">
        <is>
          <t>N/A</t>
        </is>
      </c>
      <c r="BE143" s="62" t="inlineStr">
        <is>
          <t>N/A</t>
        </is>
      </c>
      <c r="BF143" s="62" t="inlineStr">
        <is>
          <t>N/A</t>
        </is>
      </c>
      <c r="BG143" s="74" t="n"/>
      <c r="BH143" s="62" t="inlineStr">
        <is>
          <t>Grande Capital Limited</t>
        </is>
      </c>
      <c r="BI143" s="62" t="inlineStr">
        <is>
          <t>China Tonghai Securities Limited; Realord Asia Pacific Securities Limited</t>
        </is>
      </c>
      <c r="BJ143" s="62" t="inlineStr">
        <is>
          <t>China Tonghai Securities Limited; CSFG International Securities Limited; Chief Securities Limited; Realord Asia Pacific Securities Limited; Sinomax Securities Limited</t>
        </is>
      </c>
      <c r="BK143" s="76">
        <f>HYPERLINK("https://www1.hkexnews.hk/listedco/listconews/sehk/2022/0923/2022092300044.htm","prospectus")</f>
        <v/>
      </c>
      <c r="BL143" s="76">
        <f>HYPERLINK("https://www1.hkexnews.hk/listedco/listconews/sehk/2022/1007/2022100700042.htm","allotment")</f>
        <v/>
      </c>
      <c r="BM143" s="62" t="n"/>
      <c r="BN143" s="74" t="n"/>
      <c r="BO143" s="62" t="inlineStr">
        <is>
          <t>greenshoe: end-of-stabilisation notice not located · A/H: no A-share listing · sponsor: English name not in the filing text; AAStocks 保薦人 shown</t>
        </is>
      </c>
    </row>
    <row r="144" ht="15" customHeight="1">
      <c r="A144" s="61" t="inlineStr">
        <is>
          <t>2422</t>
        </is>
      </c>
      <c r="B144" s="62" t="inlineStr">
        <is>
          <t>REGO INTERACT</t>
        </is>
      </c>
      <c r="C144" s="62" t="inlineStr">
        <is>
          <t>潤歌互動</t>
        </is>
      </c>
      <c r="D144" s="62" t="inlineStr">
        <is>
          <t>TMT-other</t>
        </is>
      </c>
      <c r="E144" s="62" t="inlineStr">
        <is>
          <t>Media / advertising</t>
        </is>
      </c>
      <c r="F144" s="62" t="inlineStr">
        <is>
          <t>Advertising</t>
        </is>
      </c>
      <c r="G144" s="62" t="inlineStr">
        <is>
          <t>Standard</t>
        </is>
      </c>
      <c r="H144" s="63" t="n">
        <v>44851</v>
      </c>
      <c r="I144" s="64" t="n">
        <v>160</v>
      </c>
      <c r="J144" s="62" t="inlineStr">
        <is>
          <t>gross (price x shares)</t>
        </is>
      </c>
      <c r="K144" s="65" t="n">
        <v>0.64</v>
      </c>
      <c r="L144" s="65" t="n">
        <v>0.8</v>
      </c>
      <c r="M144" s="65" t="n">
        <v>0.64</v>
      </c>
      <c r="N144" s="62" t="inlineStr">
        <is>
          <t>N</t>
        </is>
      </c>
      <c r="O144" s="66" t="n">
        <v>80</v>
      </c>
      <c r="P144" s="66" t="n">
        <v>0</v>
      </c>
      <c r="Q144" s="67" t="n">
        <v>577.4</v>
      </c>
      <c r="R144" s="62" t="inlineStr">
        <is>
          <t>derived:deal size / offer % of enlarged capital</t>
        </is>
      </c>
      <c r="S144" s="68" t="n">
        <v>14.1</v>
      </c>
      <c r="T144" s="69" t="n">
        <v>1.37</v>
      </c>
      <c r="U144" s="70" t="n">
        <v>9.4</v>
      </c>
      <c r="V144" s="66" t="n">
        <v>25.11</v>
      </c>
      <c r="W144" s="62" t="inlineStr">
        <is>
          <t>Fighton Asia Master Fund Limited</t>
        </is>
      </c>
      <c r="X144" s="62" t="inlineStr">
        <is>
          <t>fighton</t>
        </is>
      </c>
      <c r="Y144" s="66" t="n">
        <v>10</v>
      </c>
      <c r="Z144" s="62" t="inlineStr">
        <is>
          <t>lapsed (no over-allocation)</t>
        </is>
      </c>
      <c r="AA144" s="71" t="n">
        <v>110.94</v>
      </c>
      <c r="AB144" s="72" t="n">
        <v>103.12</v>
      </c>
      <c r="AC144" s="72" t="n">
        <v>3.85</v>
      </c>
      <c r="AD144" s="72" t="n">
        <v>218.75</v>
      </c>
      <c r="AE144" s="72" t="n">
        <v>314.06</v>
      </c>
      <c r="AF144" s="72" t="n">
        <v>284.38</v>
      </c>
      <c r="AG144" s="72" t="n">
        <v>51.11</v>
      </c>
      <c r="AH144" s="72" t="n">
        <v>96.29000000000001</v>
      </c>
      <c r="AI144" s="72" t="n">
        <v>82.22</v>
      </c>
      <c r="AJ144" s="72" t="n">
        <v>227.23</v>
      </c>
      <c r="AK144" s="72" t="n">
        <v>303.48</v>
      </c>
      <c r="AL144" s="72" t="n">
        <v>254.3</v>
      </c>
      <c r="AM144" s="72" t="n">
        <v>85.88</v>
      </c>
      <c r="AN144" s="72" t="n">
        <v>10.58</v>
      </c>
      <c r="AO144" s="72" t="n">
        <v>10.41</v>
      </c>
      <c r="AP144" s="62" t="inlineStr">
        <is>
          <t>Hang Seng Index</t>
        </is>
      </c>
      <c r="AQ144" s="72" t="n">
        <v>205.47</v>
      </c>
      <c r="AR144" s="63" t="inlineStr">
        <is>
          <t>2026-08-24</t>
        </is>
      </c>
      <c r="AS144" s="64" t="n">
        <v>241.5</v>
      </c>
      <c r="AT144" s="67" t="n">
        <v>55</v>
      </c>
      <c r="AU144" s="62" t="inlineStr">
        <is>
          <t>Y</t>
        </is>
      </c>
      <c r="AV144" s="73" t="n">
        <v>10.5</v>
      </c>
      <c r="AW144" s="73" t="n"/>
      <c r="AX144" s="73" t="n"/>
      <c r="AY144" s="73" t="n">
        <v>2.4</v>
      </c>
      <c r="AZ144" s="74" t="inlineStr">
        <is>
          <t>N</t>
        </is>
      </c>
      <c r="BA144" s="75">
        <f>IF('BBG Verify'!K144="","not filed — run on terminal",'BBG Verify'!K144)</f>
        <v/>
      </c>
      <c r="BB144" s="62" t="inlineStr">
        <is>
          <t>N/A</t>
        </is>
      </c>
      <c r="BC144" s="62" t="inlineStr">
        <is>
          <t>N/A</t>
        </is>
      </c>
      <c r="BD144" s="62" t="inlineStr">
        <is>
          <t>N/A</t>
        </is>
      </c>
      <c r="BE144" s="62" t="inlineStr">
        <is>
          <t>N/A</t>
        </is>
      </c>
      <c r="BF144" s="62" t="inlineStr">
        <is>
          <t>N/A</t>
        </is>
      </c>
      <c r="BG144" s="74" t="inlineStr">
        <is>
          <t>CMBC International Capital Limited</t>
        </is>
      </c>
      <c r="BH144" s="62" t="inlineStr">
        <is>
          <t>CMBC International Capital Limited</t>
        </is>
      </c>
      <c r="BI144" s="62" t="inlineStr">
        <is>
          <t>CMBC Securities Company Limited; China Galaxy International Securities (Hong Kong) Co., Limited; Alpha International Securities (HONG KONG) Limited; Zheshang International Financial Holdings Co., Limited; Blackwell Global Securities Limited; ABCI Capital Limited; BOCOM International Securities Limited; CCB International Capital Limited; China Everbright Securities (HK) Limited; Zhongtai International Securities Limited; SBI China Capital Financial Services Limited; Shenwan Hongyuan Securities (H.K.) Limited</t>
        </is>
      </c>
      <c r="BJ144" s="62" t="inlineStr">
        <is>
          <t>ABCI Capital Limited; ABCI Securities Company Limited; Alpha International Securities (HK) Limited; Beta International Securities Limited; Blackwell Global Securities Limited; CCB International Capital Limited; China Everbright Securities (HK) Limited; China Galaxy International Securities (Hong Kong) Company Limited; China Industrial Securities International Capital Limited; CMBC Securities Company Limited; Guotai Junan Securities (Hong Kong) Limited; Livermore Holdings Limited</t>
        </is>
      </c>
      <c r="BK144" s="76">
        <f>HYPERLINK("https://www1.hkexnews.hk/listedco/listconews/sehk/2022/0930/2022093000075.pdf","prospectus")</f>
        <v/>
      </c>
      <c r="BL144" s="76">
        <f>HYPERLINK("https://www1.hkexnews.hk/listedco/listconews/sehk/2022/1014/2022101400042.htm","allotment")</f>
        <v/>
      </c>
      <c r="BM144" s="76">
        <f>HYPERLINK("https://www1.hkexnews.hk/listedco/listconews/sehk/2022/1106/2022110600015.pdf","stabilisation")</f>
        <v/>
      </c>
      <c r="BN144" s="74" t="n"/>
      <c r="BO144" s="62" t="inlineStr">
        <is>
          <t>A/H: no A-share listing</t>
        </is>
      </c>
    </row>
    <row r="145" ht="15" customHeight="1">
      <c r="A145" s="61" t="inlineStr">
        <is>
          <t>6610</t>
        </is>
      </c>
      <c r="B145" s="62" t="inlineStr">
        <is>
          <t>FLOWING CLOUD</t>
        </is>
      </c>
      <c r="C145" s="62" t="inlineStr">
        <is>
          <t>飛天雲動</t>
        </is>
      </c>
      <c r="D145" s="62" t="inlineStr">
        <is>
          <t>TMT-other</t>
        </is>
      </c>
      <c r="E145" s="62" t="inlineStr">
        <is>
          <t>Media / advertising</t>
        </is>
      </c>
      <c r="F145" s="62" t="inlineStr">
        <is>
          <t>Systems Software</t>
        </is>
      </c>
      <c r="G145" s="62" t="inlineStr">
        <is>
          <t>Standard</t>
        </is>
      </c>
      <c r="H145" s="63" t="n">
        <v>44852</v>
      </c>
      <c r="I145" s="64" t="n">
        <v>600</v>
      </c>
      <c r="J145" s="62" t="inlineStr">
        <is>
          <t>gross (price x shares)</t>
        </is>
      </c>
      <c r="K145" s="65" t="n"/>
      <c r="L145" s="65" t="n">
        <v>2.88</v>
      </c>
      <c r="M145" s="65" t="n">
        <v>2.21</v>
      </c>
      <c r="N145" s="62" t="inlineStr">
        <is>
          <t>N</t>
        </is>
      </c>
      <c r="O145" s="66" t="n">
        <v>76.7</v>
      </c>
      <c r="P145" s="66" t="n"/>
      <c r="Q145" s="67" t="n">
        <v>4930.7</v>
      </c>
      <c r="R145" s="62" t="inlineStr">
        <is>
          <t>aastocks:上市市值 at the struck price</t>
        </is>
      </c>
      <c r="S145" s="68" t="n">
        <v>1.05</v>
      </c>
      <c r="T145" s="69" t="n">
        <v>1.07</v>
      </c>
      <c r="U145" s="70" t="n">
        <v>14.7</v>
      </c>
      <c r="V145" s="66" t="n">
        <v>10.38</v>
      </c>
      <c r="W145" s="62" t="inlineStr">
        <is>
          <t>Anji Guorong Construction Co., Ltd; Anji Qicai Lingfeng Rural Tourism Investment Co., Ltd; SensePower Management Limited; TradeGo FinTech Limited; Zhejiang Tianzihu Industry Investment Co., Ltd</t>
        </is>
      </c>
      <c r="X145" s="62" t="inlineStr">
        <is>
          <t>anji;sensepower;tradego;zhejiang</t>
        </is>
      </c>
      <c r="Y145" s="66" t="n">
        <v>16.87</v>
      </c>
      <c r="Z145" s="62" t="inlineStr">
        <is>
          <t>lapsed</t>
        </is>
      </c>
      <c r="AA145" s="71" t="n">
        <v>-4.07</v>
      </c>
      <c r="AB145" s="72" t="n">
        <v>0</v>
      </c>
      <c r="AC145" s="72" t="n">
        <v>-4.07</v>
      </c>
      <c r="AD145" s="72" t="n">
        <v>3.62</v>
      </c>
      <c r="AE145" s="72" t="n">
        <v>47.96</v>
      </c>
      <c r="AF145" s="72" t="n">
        <v>89.59</v>
      </c>
      <c r="AG145" s="72" t="n">
        <v>8.02</v>
      </c>
      <c r="AH145" s="72" t="n">
        <v>54.24</v>
      </c>
      <c r="AI145" s="72" t="n">
        <v>97.63</v>
      </c>
      <c r="AJ145" s="72" t="n">
        <v>12.33</v>
      </c>
      <c r="AK145" s="72" t="n">
        <v>38.07</v>
      </c>
      <c r="AL145" s="72" t="n">
        <v>59.1</v>
      </c>
      <c r="AM145" s="72" t="n">
        <v>46.31</v>
      </c>
      <c r="AN145" s="72" t="n">
        <v>9.890000000000001</v>
      </c>
      <c r="AO145" s="72" t="n">
        <v>7.93</v>
      </c>
      <c r="AP145" s="62" t="inlineStr">
        <is>
          <t>Hang Seng Index</t>
        </is>
      </c>
      <c r="AQ145" s="72" t="n">
        <v>-98.23999999999999</v>
      </c>
      <c r="AR145" s="63" t="inlineStr">
        <is>
          <t>2026-08-24</t>
        </is>
      </c>
      <c r="AS145" s="64" t="n">
        <v>654.8</v>
      </c>
      <c r="AT145" s="67" t="n">
        <v>78.90000000000001</v>
      </c>
      <c r="AU145" s="62" t="inlineStr">
        <is>
          <t>Y</t>
        </is>
      </c>
      <c r="AV145" s="73" t="n">
        <v>62.5</v>
      </c>
      <c r="AW145" s="73" t="n"/>
      <c r="AX145" s="73" t="n"/>
      <c r="AY145" s="73" t="n">
        <v>7.5</v>
      </c>
      <c r="AZ145" s="74" t="inlineStr">
        <is>
          <t>N</t>
        </is>
      </c>
      <c r="BA145" s="75">
        <f>IF('BBG Verify'!K145="","not filed — run on terminal",'BBG Verify'!K145)</f>
        <v/>
      </c>
      <c r="BB145" s="62" t="inlineStr">
        <is>
          <t>N/A</t>
        </is>
      </c>
      <c r="BC145" s="62" t="inlineStr">
        <is>
          <t>N/A</t>
        </is>
      </c>
      <c r="BD145" s="62" t="inlineStr">
        <is>
          <t>N/A</t>
        </is>
      </c>
      <c r="BE145" s="62" t="inlineStr">
        <is>
          <t>N/A</t>
        </is>
      </c>
      <c r="BF145" s="62" t="inlineStr">
        <is>
          <t>N/A</t>
        </is>
      </c>
      <c r="BG145" s="74" t="inlineStr">
        <is>
          <t>Shenwan Hongyuan Capital (H.K.) Limited</t>
        </is>
      </c>
      <c r="BH145" s="62" t="inlineStr">
        <is>
          <t>Shenwan Hongyuan Capital (H.K.) Limited</t>
        </is>
      </c>
      <c r="BI145" s="62" t="inlineStr">
        <is>
          <t>Shenwan Hongyuan Securities (H.K.) Limited; CLSA Limited; CMB International Capital Limited; DBS Asia Capital Limited; Huatai Financial Holdings (Hong Kong) Limited; ABCI Capital Limited; Citrus Securities Limited; Zhongtai International Securities Limited; China Everbright Securities (HK) Limited; West Bull Securities Limited; China Galaxy International Securities (Hong Kong) Co., Limited</t>
        </is>
      </c>
      <c r="BJ145" s="62" t="inlineStr">
        <is>
          <t>ABCI Securities Company Limited; China Everbright Securities (HK) Limited; China Galaxy International Securities (Hong Kong) Company Limited; Citrus Securities Limited; CLSA Limited; CMB International Capital Limited; DBS Asia Capital Limited; Dragonstone Capital Management Limited; Futu Securities International (Hong Kong) Limited; Huatai Financial Holdings (Hong Kong) Limited; Livermore Holdings Limited; Phillip Securities (Hong Kong) Limited</t>
        </is>
      </c>
      <c r="BK145" s="76">
        <f>HYPERLINK("https://www1.hkexnews.hk/listedco/listconews/sehk/2022/0929/2022092900133.pdf","prospectus")</f>
        <v/>
      </c>
      <c r="BL145" s="76">
        <f>HYPERLINK("https://www1.hkexnews.hk/listedco/listconews/sehk/2022/1017/2022101700012.htm","allotment")</f>
        <v/>
      </c>
      <c r="BM145" s="76">
        <f>HYPERLINK("https://www1.hkexnews.hk/listedco/listconews/sehk/2022/1107/2022110700440.pdf","stabilisation")</f>
        <v/>
      </c>
      <c r="BN145" s="74" t="n"/>
      <c r="BO145" s="62" t="inlineStr">
        <is>
          <t>range low: cap-only pricing — the filing publishes a Maximum Offer Price and no indicative floor · A/H: no A-share listing · market cap: estimate from deal size / offer % of enlarged capital disagreed with the published listing cap — published figure adopted</t>
        </is>
      </c>
    </row>
    <row r="146" ht="15" customHeight="1">
      <c r="A146" s="61" t="inlineStr">
        <is>
          <t>2367</t>
        </is>
      </c>
      <c r="B146" s="62" t="inlineStr">
        <is>
          <t>GIANT BIOGENE</t>
        </is>
      </c>
      <c r="C146" s="62" t="inlineStr">
        <is>
          <t>巨子生物</t>
        </is>
      </c>
      <c r="D146" s="62" t="inlineStr">
        <is>
          <t>Consumer</t>
        </is>
      </c>
      <c r="E146" s="62" t="inlineStr">
        <is>
          <t>Beauty / personal care</t>
        </is>
      </c>
      <c r="F146" s="62" t="inlineStr">
        <is>
          <t>Beauty &amp; Toiletries Products and Services</t>
        </is>
      </c>
      <c r="G146" s="62" t="inlineStr">
        <is>
          <t>Standard</t>
        </is>
      </c>
      <c r="H146" s="63" t="n">
        <v>44869</v>
      </c>
      <c r="I146" s="64" t="n">
        <v>549.4</v>
      </c>
      <c r="J146" s="62" t="inlineStr">
        <is>
          <t>gross (price x shares)</t>
        </is>
      </c>
      <c r="K146" s="65" t="n"/>
      <c r="L146" s="65" t="n">
        <v>27.7</v>
      </c>
      <c r="M146" s="65" t="n">
        <v>24.3</v>
      </c>
      <c r="N146" s="62" t="inlineStr">
        <is>
          <t>N</t>
        </is>
      </c>
      <c r="O146" s="66" t="n">
        <v>87.7</v>
      </c>
      <c r="P146" s="66" t="n"/>
      <c r="Q146" s="67" t="n">
        <v>24096</v>
      </c>
      <c r="R146" s="62" t="inlineStr">
        <is>
          <t>prospectus:stated market capitalisation</t>
        </is>
      </c>
      <c r="S146" s="68" t="n">
        <v>2.08</v>
      </c>
      <c r="T146" s="69" t="n">
        <v>4.22</v>
      </c>
      <c r="U146" s="70" t="n">
        <v>0</v>
      </c>
      <c r="V146" s="66" t="n">
        <v>2.28</v>
      </c>
      <c r="W146" s="62" t="n"/>
      <c r="X146" s="62" t="n"/>
      <c r="Y146" s="66" t="n">
        <v>10</v>
      </c>
      <c r="Z146" s="62" t="inlineStr">
        <is>
          <t>full</t>
        </is>
      </c>
      <c r="AA146" s="71" t="n">
        <v>9.880000000000001</v>
      </c>
      <c r="AB146" s="72" t="n">
        <v>7</v>
      </c>
      <c r="AC146" s="72" t="n">
        <v>2.69</v>
      </c>
      <c r="AD146" s="72" t="n">
        <v>37.45</v>
      </c>
      <c r="AE146" s="72" t="n">
        <v>24.28</v>
      </c>
      <c r="AF146" s="72" t="n">
        <v>106.38</v>
      </c>
      <c r="AG146" s="72" t="n">
        <v>25.09</v>
      </c>
      <c r="AH146" s="72" t="n">
        <v>13.11</v>
      </c>
      <c r="AI146" s="72" t="n">
        <v>87.81999999999999</v>
      </c>
      <c r="AJ146" s="72" t="n">
        <v>24.53</v>
      </c>
      <c r="AK146" s="72" t="n">
        <v>-4.9</v>
      </c>
      <c r="AL146" s="72" t="n">
        <v>62.73</v>
      </c>
      <c r="AM146" s="72" t="n">
        <v>-8.210000000000001</v>
      </c>
      <c r="AN146" s="72" t="n">
        <v>29.18</v>
      </c>
      <c r="AO146" s="72" t="n">
        <v>21.32</v>
      </c>
      <c r="AP146" s="62" t="inlineStr">
        <is>
          <t>Hang Seng Commerce &amp; Industry sub-index</t>
        </is>
      </c>
      <c r="AQ146" s="72" t="n">
        <v>21.81</v>
      </c>
      <c r="AR146" s="63" t="inlineStr">
        <is>
          <t>2026-08-20</t>
        </is>
      </c>
      <c r="AS146" s="64" t="n">
        <v>1707.7</v>
      </c>
      <c r="AT146" s="67" t="n">
        <v>910.9</v>
      </c>
      <c r="AU146" s="62" t="inlineStr">
        <is>
          <t>Y</t>
        </is>
      </c>
      <c r="AV146" s="73" t="n">
        <v>26.5</v>
      </c>
      <c r="AW146" s="73" t="n"/>
      <c r="AX146" s="73" t="n">
        <v>14</v>
      </c>
      <c r="AY146" s="73" t="n">
        <v>14.1</v>
      </c>
      <c r="AZ146" s="74" t="inlineStr">
        <is>
          <t>N</t>
        </is>
      </c>
      <c r="BA146" s="75">
        <f>IF('BBG Verify'!K146="","not filed — run on terminal",'BBG Verify'!K146)</f>
        <v/>
      </c>
      <c r="BB146" s="62" t="inlineStr">
        <is>
          <t>N/A</t>
        </is>
      </c>
      <c r="BC146" s="62" t="inlineStr">
        <is>
          <t>N/A</t>
        </is>
      </c>
      <c r="BD146" s="62" t="inlineStr">
        <is>
          <t>N/A</t>
        </is>
      </c>
      <c r="BE146" s="62" t="inlineStr">
        <is>
          <t>N/A</t>
        </is>
      </c>
      <c r="BF146" s="62" t="inlineStr">
        <is>
          <t>N/A</t>
        </is>
      </c>
      <c r="BG146" s="74" t="n"/>
      <c r="BH146" s="62" t="inlineStr">
        <is>
          <t>China International Capital Corporation Hong Kong Securities Limited; Goldman Sachs (Asia) L.L.C.</t>
        </is>
      </c>
      <c r="BI146" s="62" t="inlineStr">
        <is>
          <t>China International Capital Corporation Hong Kong Securities Limited; Futu Securities International (Hong Kong) Limited; GF Securities (Hong Kong) Brokerage Limited; Goldman Sachs (Asia) L.L.C.; Huatai Financial Holdings (Hong Kong) Limited; Silverbricks Securities Company Limited</t>
        </is>
      </c>
      <c r="BJ146" s="62" t="inlineStr">
        <is>
          <t>China International Capital Corporation Hong Kong Securities Limited; Futu Securities International (Hong Kong) Limited; GF Securities (Hong Kong) Brokerage Limited; Goldman Sachs (Asia) L.L.C.; Huatai Financial Holdings (Hong Kong) Limited; Silverbricks Securities Company Limited</t>
        </is>
      </c>
      <c r="BK146" s="76">
        <f>HYPERLINK("https://www1.hkexnews.hk/listedco/listconews/sehk/2022/1025/2022102500007.pdf","prospectus")</f>
        <v/>
      </c>
      <c r="BL146" s="76">
        <f>HYPERLINK("https://www1.hkexnews.hk/listedco/listconews/sehk/2022/1103/2022110300024.htm","allotment")</f>
        <v/>
      </c>
      <c r="BM146" s="76">
        <f>HYPERLINK("https://www1.hkexnews.hk/listedco/listconews/sehk/2022/1127/2022112700063.pdf","stabilisation")</f>
        <v/>
      </c>
      <c r="BN146" s="74" t="n"/>
      <c r="BO146" s="62" t="inlineStr">
        <is>
          <t>range low: cap-only pricing — the filing publishes a Maximum Offer Price and no indicative floor · A/H: no A-share listing · sponsor: English name not in the filing text; AAStocks 保薦人 shown · cornerstone list: no cornerstone tranche in this deal</t>
        </is>
      </c>
    </row>
    <row r="147" ht="15" customHeight="1">
      <c r="A147" s="61" t="inlineStr">
        <is>
          <t>2291</t>
        </is>
      </c>
      <c r="B147" s="62" t="inlineStr">
        <is>
          <t>SCIENTECH</t>
        </is>
      </c>
      <c r="C147" s="62" t="inlineStr">
        <is>
          <t>心泰醫療</t>
        </is>
      </c>
      <c r="D147" s="62" t="inlineStr">
        <is>
          <t>Healthcare</t>
        </is>
      </c>
      <c r="E147" s="62" t="inlineStr">
        <is>
          <t>Medical devices</t>
        </is>
      </c>
      <c r="F147" s="62" t="inlineStr">
        <is>
          <t>Health Care Equipment</t>
        </is>
      </c>
      <c r="G147" s="62" t="inlineStr">
        <is>
          <t>Standard</t>
        </is>
      </c>
      <c r="H147" s="63" t="n">
        <v>44873</v>
      </c>
      <c r="I147" s="64" t="n">
        <v>654.6</v>
      </c>
      <c r="J147" s="62" t="inlineStr">
        <is>
          <t>gross (price x shares)</t>
        </is>
      </c>
      <c r="K147" s="65" t="n">
        <v>29.15</v>
      </c>
      <c r="L147" s="65" t="n">
        <v>31.45</v>
      </c>
      <c r="M147" s="65" t="n">
        <v>29.15</v>
      </c>
      <c r="N147" s="62" t="inlineStr">
        <is>
          <t>N</t>
        </is>
      </c>
      <c r="O147" s="66" t="n">
        <v>92.7</v>
      </c>
      <c r="P147" s="66" t="n">
        <v>0</v>
      </c>
      <c r="Q147" s="67" t="n">
        <v>10847</v>
      </c>
      <c r="R147" s="62" t="inlineStr">
        <is>
          <t>aastocks:上市市值 at the struck price</t>
        </is>
      </c>
      <c r="S147" s="68" t="n">
        <v>2.11</v>
      </c>
      <c r="T147" s="69" t="n">
        <v>1.38</v>
      </c>
      <c r="U147" s="70" t="n">
        <v>29.6</v>
      </c>
      <c r="V147" s="66" t="n">
        <v>4.25</v>
      </c>
      <c r="W147" s="62" t="inlineStr">
        <is>
          <t>Harvest International Premium Value (Secondary Market) Fund SPC; Jointown International Group Company Limited</t>
        </is>
      </c>
      <c r="X147" s="62" t="inlineStr">
        <is>
          <t>harvest;jointown</t>
        </is>
      </c>
      <c r="Y147" s="66" t="n">
        <v>8.52</v>
      </c>
      <c r="Z147" s="62" t="inlineStr">
        <is>
          <t>lapsed</t>
        </is>
      </c>
      <c r="AA147" s="71" t="n">
        <v>0</v>
      </c>
      <c r="AB147" s="72" t="n">
        <v>2.23</v>
      </c>
      <c r="AC147" s="72" t="n">
        <v>-2.18</v>
      </c>
      <c r="AD147" s="72" t="n">
        <v>-5.49</v>
      </c>
      <c r="AE147" s="72" t="n">
        <v>-0.17</v>
      </c>
      <c r="AF147" s="72" t="n">
        <v>-0.51</v>
      </c>
      <c r="AG147" s="72" t="n">
        <v>-5.49</v>
      </c>
      <c r="AH147" s="72" t="n">
        <v>-0.17</v>
      </c>
      <c r="AI147" s="72" t="n">
        <v>-0.51</v>
      </c>
      <c r="AJ147" s="72" t="n">
        <v>-8.24</v>
      </c>
      <c r="AK147" s="72" t="n">
        <v>3.51</v>
      </c>
      <c r="AL147" s="72" t="n">
        <v>-7.17</v>
      </c>
      <c r="AM147" s="72" t="n">
        <v>2.2</v>
      </c>
      <c r="AN147" s="72" t="n">
        <v>-3.68</v>
      </c>
      <c r="AO147" s="72" t="n">
        <v>-2.37</v>
      </c>
      <c r="AP147" s="62" t="inlineStr">
        <is>
          <t>China Biotech ETF (HS biotech proxy)</t>
        </is>
      </c>
      <c r="AQ147" s="72" t="n">
        <v>-58.22</v>
      </c>
      <c r="AR147" s="63" t="inlineStr">
        <is>
          <t>2026-08-20</t>
        </is>
      </c>
      <c r="AS147" s="64" t="n">
        <v>244.8</v>
      </c>
      <c r="AT147" s="67" t="n">
        <v>64.59999999999999</v>
      </c>
      <c r="AU147" s="62" t="inlineStr">
        <is>
          <t>Y</t>
        </is>
      </c>
      <c r="AV147" s="73" t="n">
        <v>167.9</v>
      </c>
      <c r="AW147" s="73" t="n"/>
      <c r="AX147" s="73" t="n">
        <v>14</v>
      </c>
      <c r="AY147" s="73" t="n">
        <v>44.3</v>
      </c>
      <c r="AZ147" s="74" t="inlineStr">
        <is>
          <t>N</t>
        </is>
      </c>
      <c r="BA147" s="75">
        <f>IF('BBG Verify'!K147="","not filed — run on terminal",'BBG Verify'!K147)</f>
        <v/>
      </c>
      <c r="BB147" s="62" t="inlineStr">
        <is>
          <t>N/A</t>
        </is>
      </c>
      <c r="BC147" s="62" t="inlineStr">
        <is>
          <t>N/A</t>
        </is>
      </c>
      <c r="BD147" s="62" t="inlineStr">
        <is>
          <t>N/A</t>
        </is>
      </c>
      <c r="BE147" s="62" t="inlineStr">
        <is>
          <t>N/A</t>
        </is>
      </c>
      <c r="BF147" s="62" t="inlineStr">
        <is>
          <t>N/A</t>
        </is>
      </c>
      <c r="BG147" s="74" t="n"/>
      <c r="BH147" s="62" t="inlineStr">
        <is>
          <t>China International Capital Corporation Hong Kong Securities Limited</t>
        </is>
      </c>
      <c r="BI147" s="62" t="inlineStr">
        <is>
          <t>China International Capital Corporation Hong Kong Securities Limited; CLSA Limited; China Galaxy International Securities (Hong Kong) Co., Limited; Huatai Financial Holdings (Hong Kong) Limited; V aluable Capital Limited</t>
        </is>
      </c>
      <c r="BJ147" s="62" t="inlineStr">
        <is>
          <t>China Galaxy International Securities (Hong Kong) Company Limited; China International Capital Corporation Hong Kong Securities Limited; CLSA Limited; Huatai Financial Holdings (Hong Kong) Limited; Valuable Capital Limited</t>
        </is>
      </c>
      <c r="BK147" s="76">
        <f>HYPERLINK("https://www1.hkexnews.hk/listedco/listconews/sehk/2022/1027/2022102700013.pdf","prospectus")</f>
        <v/>
      </c>
      <c r="BL147" s="76">
        <f>HYPERLINK("https://www1.hkexnews.hk/listedco/listconews/sehk/2022/1107/2022110700010.htm","allotment")</f>
        <v/>
      </c>
      <c r="BM147" s="76">
        <f>HYPERLINK("https://www1.hkexnews.hk/listedco/listconews/sehk/2022/1201/2022120103355.pdf","stabilisation")</f>
        <v/>
      </c>
      <c r="BN147" s="74" t="n"/>
      <c r="BO147" s="62" t="inlineStr">
        <is>
          <t>A/H: no A-share listing · sponsor: English name not in the filing text; AAStocks 保薦人 shown · market cap: estimate from stated market capitalisation disagreed with the published listing cap — published figure adopted</t>
        </is>
      </c>
    </row>
    <row r="148" ht="15" customHeight="1">
      <c r="A148" s="61" t="inlineStr">
        <is>
          <t>6696</t>
        </is>
      </c>
      <c r="B148" s="62" t="inlineStr">
        <is>
          <t>MANY IDEA CLOUD</t>
        </is>
      </c>
      <c r="C148" s="62" t="inlineStr">
        <is>
          <t>多想雲</t>
        </is>
      </c>
      <c r="D148" s="62" t="inlineStr">
        <is>
          <t>TMT-other</t>
        </is>
      </c>
      <c r="E148" s="62" t="inlineStr">
        <is>
          <t>Media / advertising</t>
        </is>
      </c>
      <c r="F148" s="62" t="inlineStr">
        <is>
          <t>Advertising</t>
        </is>
      </c>
      <c r="G148" s="62" t="inlineStr">
        <is>
          <t>Standard</t>
        </is>
      </c>
      <c r="H148" s="63" t="n">
        <v>44874</v>
      </c>
      <c r="I148" s="64" t="n">
        <v>313.6</v>
      </c>
      <c r="J148" s="62" t="inlineStr">
        <is>
          <t>gross (price x shares)</t>
        </is>
      </c>
      <c r="K148" s="65" t="n">
        <v>1.88</v>
      </c>
      <c r="L148" s="65" t="n">
        <v>2.38</v>
      </c>
      <c r="M148" s="65" t="n">
        <v>1.96</v>
      </c>
      <c r="N148" s="62" t="inlineStr">
        <is>
          <t>N</t>
        </is>
      </c>
      <c r="O148" s="66" t="n">
        <v>82.40000000000001</v>
      </c>
      <c r="P148" s="66" t="n">
        <v>16</v>
      </c>
      <c r="Q148" s="67" t="n">
        <v>1704</v>
      </c>
      <c r="R148" s="62" t="inlineStr">
        <is>
          <t>aastocks:上市市值 at the struck price</t>
        </is>
      </c>
      <c r="S148" s="68" t="n">
        <v>2.81</v>
      </c>
      <c r="T148" s="69" t="n">
        <v>1.01</v>
      </c>
      <c r="U148" s="70" t="n">
        <v>3.32</v>
      </c>
      <c r="V148" s="66" t="n">
        <v>17.79</v>
      </c>
      <c r="W148" s="62" t="inlineStr">
        <is>
          <t>Lai Shixian</t>
        </is>
      </c>
      <c r="X148" s="62" t="inlineStr">
        <is>
          <t>lai</t>
        </is>
      </c>
      <c r="Y148" s="66" t="n">
        <v>15</v>
      </c>
      <c r="Z148" s="62" t="inlineStr">
        <is>
          <t>lapsed (no over-allocation)</t>
        </is>
      </c>
      <c r="AA148" s="71" t="n">
        <v>2.04</v>
      </c>
      <c r="AB148" s="72" t="n">
        <v>48.47</v>
      </c>
      <c r="AC148" s="72" t="n">
        <v>-31.27</v>
      </c>
      <c r="AD148" s="72" t="n">
        <v>-15.82</v>
      </c>
      <c r="AE148" s="72" t="n">
        <v>-64.29000000000001</v>
      </c>
      <c r="AF148" s="72" t="n">
        <v>-70.92</v>
      </c>
      <c r="AG148" s="72" t="n">
        <v>-17.5</v>
      </c>
      <c r="AH148" s="72" t="n">
        <v>-65</v>
      </c>
      <c r="AI148" s="72" t="n">
        <v>-71.5</v>
      </c>
      <c r="AJ148" s="72" t="n">
        <v>-26.08</v>
      </c>
      <c r="AK148" s="72" t="n">
        <v>-81.76000000000001</v>
      </c>
      <c r="AL148" s="72" t="n">
        <v>-98.44</v>
      </c>
      <c r="AM148" s="72" t="n">
        <v>-83.90000000000001</v>
      </c>
      <c r="AN148" s="72" t="n">
        <v>17.47</v>
      </c>
      <c r="AO148" s="72" t="n">
        <v>18.9</v>
      </c>
      <c r="AP148" s="62" t="inlineStr">
        <is>
          <t>Hang Seng Index</t>
        </is>
      </c>
      <c r="AQ148" s="72" t="n">
        <v>-92.5</v>
      </c>
      <c r="AR148" s="63" t="inlineStr">
        <is>
          <t>2026-03-30</t>
        </is>
      </c>
      <c r="AS148" s="64" t="n">
        <v>388.6</v>
      </c>
      <c r="AT148" s="67" t="n">
        <v>71.2</v>
      </c>
      <c r="AU148" s="62" t="inlineStr">
        <is>
          <t>Y</t>
        </is>
      </c>
      <c r="AV148" s="73" t="n">
        <v>23.9</v>
      </c>
      <c r="AW148" s="73" t="n"/>
      <c r="AX148" s="73" t="n"/>
      <c r="AY148" s="73" t="n">
        <v>4.4</v>
      </c>
      <c r="AZ148" s="74" t="inlineStr">
        <is>
          <t>N</t>
        </is>
      </c>
      <c r="BA148" s="75">
        <f>IF('BBG Verify'!K148="","not filed — run on terminal",'BBG Verify'!K148)</f>
        <v/>
      </c>
      <c r="BB148" s="62" t="inlineStr">
        <is>
          <t>N/A</t>
        </is>
      </c>
      <c r="BC148" s="62" t="inlineStr">
        <is>
          <t>N/A</t>
        </is>
      </c>
      <c r="BD148" s="62" t="inlineStr">
        <is>
          <t>N/A</t>
        </is>
      </c>
      <c r="BE148" s="62" t="inlineStr">
        <is>
          <t>N/A</t>
        </is>
      </c>
      <c r="BF148" s="62" t="inlineStr">
        <is>
          <t>N/A</t>
        </is>
      </c>
      <c r="BG148" s="74" t="inlineStr">
        <is>
          <t>Zhongtai International Capital Limited</t>
        </is>
      </c>
      <c r="BH148" s="62" t="inlineStr">
        <is>
          <t>Zhongtai International Capital Limited</t>
        </is>
      </c>
      <c r="BI148" s="62" t="inlineStr">
        <is>
          <t>Zhongtai International Securities Limited; Sunfund Securities Limited; CLSALimited; Zheshang International Financial Holdings Co., Limited; SPDB International Capital Limited; BOCOM International Securities Limited; Shenwan Hongyuan Securities (H.K.) Limited; China Industrial Securities International Capital Limited; Guotai Junan Securities (Hong Kong) Limited; Maxa Capital Limited</t>
        </is>
      </c>
      <c r="BJ148" s="62" t="inlineStr">
        <is>
          <t>Beta International Securities Limited; China Industrial Securities International Capital Limited; CLSA Limited; First Shanghai Securities Limited; Guotai Junan Securities (Hong Kong) Limited; Goldlink Securities Limited; Livermore Holdings Limited; Maxa Capital Limited; Shenwan Hongyuan Securities (H.K.) Limited; SPDB International Capital Limited; Sunfund Securities Limited; Tiger Brokers (HK) Global Limited</t>
        </is>
      </c>
      <c r="BK148" s="76">
        <f>HYPERLINK("https://www1.hkexnews.hk/listedco/listconews/sehk/2022/1028/2022102800015.pdf","prospectus")</f>
        <v/>
      </c>
      <c r="BL148" s="76">
        <f>HYPERLINK("https://www1.hkexnews.hk/listedco/listconews/sehk/2022/1108/2022110800012.htm","allotment")</f>
        <v/>
      </c>
      <c r="BM148" s="76">
        <f>HYPERLINK("https://www1.hkexnews.hk/listedco/listconews/sehk/2022/1202/2022120200787.pdf","stabilisation")</f>
        <v/>
      </c>
      <c r="BN148" s="74" t="n"/>
      <c r="BO148" s="62" t="inlineStr">
        <is>
          <t>A/H: no A-share listing</t>
        </is>
      </c>
    </row>
    <row r="149" ht="15" customHeight="1">
      <c r="A149" s="61" t="inlineStr">
        <is>
          <t>2420</t>
        </is>
      </c>
      <c r="B149" s="62" t="inlineStr">
        <is>
          <t>ZIBUYU</t>
        </is>
      </c>
      <c r="C149" s="62" t="inlineStr">
        <is>
          <t>子不語</t>
        </is>
      </c>
      <c r="D149" s="62" t="inlineStr">
        <is>
          <t>Tech/AI</t>
        </is>
      </c>
      <c r="E149" s="62" t="inlineStr">
        <is>
          <t>Internet platform / e-commerce</t>
        </is>
      </c>
      <c r="F149" s="62" t="inlineStr">
        <is>
          <t>e-Commerce &amp; Internet Services</t>
        </is>
      </c>
      <c r="G149" s="62" t="inlineStr">
        <is>
          <t>Standard</t>
        </is>
      </c>
      <c r="H149" s="63" t="n">
        <v>44876</v>
      </c>
      <c r="I149" s="64" t="n">
        <v>229.9</v>
      </c>
      <c r="J149" s="62" t="inlineStr">
        <is>
          <t>gross (price x shares)</t>
        </is>
      </c>
      <c r="K149" s="65" t="n">
        <v>7.86</v>
      </c>
      <c r="L149" s="65" t="n">
        <v>9.42</v>
      </c>
      <c r="M149" s="65" t="n">
        <v>7.86</v>
      </c>
      <c r="N149" s="62" t="inlineStr">
        <is>
          <t>N</t>
        </is>
      </c>
      <c r="O149" s="66" t="n">
        <v>83.40000000000001</v>
      </c>
      <c r="P149" s="66" t="n">
        <v>0</v>
      </c>
      <c r="Q149" s="67" t="n">
        <v>3930</v>
      </c>
      <c r="R149" s="62" t="inlineStr">
        <is>
          <t>prospectus:stated market capitalisation</t>
        </is>
      </c>
      <c r="S149" s="68" t="n">
        <v>1.91</v>
      </c>
      <c r="T149" s="69" t="n">
        <v>1.56</v>
      </c>
      <c r="U149" s="70" t="n">
        <v>37.9</v>
      </c>
      <c r="V149" s="66" t="n">
        <v>3.63</v>
      </c>
      <c r="W149" s="62" t="inlineStr">
        <is>
          <t>De Well Group Singapore Pte. Ltd; GF Fund Management Co., Ltd; Zhejiang Eifini Industrial Co., Ltd</t>
        </is>
      </c>
      <c r="X149" s="62" t="inlineStr">
        <is>
          <t>de;gf;zhejiang</t>
        </is>
      </c>
      <c r="Y149" s="66" t="n"/>
      <c r="Z149" s="62" t="n"/>
      <c r="AA149" s="71" t="n">
        <v>5.47</v>
      </c>
      <c r="AB149" s="72" t="n">
        <v>6.36</v>
      </c>
      <c r="AC149" s="72" t="n">
        <v>-0.84</v>
      </c>
      <c r="AD149" s="72" t="n">
        <v>-16.41</v>
      </c>
      <c r="AE149" s="72" t="n">
        <v>-20.87</v>
      </c>
      <c r="AF149" s="72" t="n">
        <v>-33.84</v>
      </c>
      <c r="AG149" s="72" t="n">
        <v>-20.75</v>
      </c>
      <c r="AH149" s="72" t="n">
        <v>-24.97</v>
      </c>
      <c r="AI149" s="72" t="n">
        <v>-37.27</v>
      </c>
      <c r="AJ149" s="72" t="n">
        <v>-34.21</v>
      </c>
      <c r="AK149" s="72" t="n">
        <v>-52.69</v>
      </c>
      <c r="AL149" s="72" t="n">
        <v>-71.23</v>
      </c>
      <c r="AM149" s="72" t="n">
        <v>-44.55</v>
      </c>
      <c r="AN149" s="72" t="n">
        <v>31.82</v>
      </c>
      <c r="AO149" s="72" t="n">
        <v>19.58</v>
      </c>
      <c r="AP149" s="62" t="inlineStr">
        <is>
          <t>HSTECH (Hang Seng TECH ETF)</t>
        </is>
      </c>
      <c r="AQ149" s="72" t="n">
        <v>-51.15</v>
      </c>
      <c r="AR149" s="63" t="inlineStr">
        <is>
          <t>2026-08-20</t>
        </is>
      </c>
      <c r="AS149" s="64" t="n">
        <v>2581.2</v>
      </c>
      <c r="AT149" s="67" t="n">
        <v>89.2</v>
      </c>
      <c r="AU149" s="62" t="inlineStr">
        <is>
          <t>Y</t>
        </is>
      </c>
      <c r="AV149" s="73" t="n">
        <v>44.1</v>
      </c>
      <c r="AW149" s="73" t="n"/>
      <c r="AX149" s="73" t="n">
        <v>5.9</v>
      </c>
      <c r="AY149" s="73" t="n">
        <v>1.5</v>
      </c>
      <c r="AZ149" s="74" t="inlineStr">
        <is>
          <t>N</t>
        </is>
      </c>
      <c r="BA149" s="75">
        <f>IF('BBG Verify'!K149="","not filed — run on terminal",'BBG Verify'!K149)</f>
        <v/>
      </c>
      <c r="BB149" s="62" t="inlineStr">
        <is>
          <t>N/A</t>
        </is>
      </c>
      <c r="BC149" s="62" t="inlineStr">
        <is>
          <t>N/A</t>
        </is>
      </c>
      <c r="BD149" s="62" t="inlineStr">
        <is>
          <t>N/A</t>
        </is>
      </c>
      <c r="BE149" s="62" t="inlineStr">
        <is>
          <t>N/A</t>
        </is>
      </c>
      <c r="BF149" s="62" t="inlineStr">
        <is>
          <t>N/A</t>
        </is>
      </c>
      <c r="BG149" s="74" t="inlineStr">
        <is>
          <t>and Sponsor-OC Huatai Financial Holdings (Hong Kong) Limited; ABCI Capital Limited</t>
        </is>
      </c>
      <c r="BH149" s="62" t="inlineStr">
        <is>
          <t>Huatai Financial Holdings (Hong Kong) Limited; ABCI Capital Limited</t>
        </is>
      </c>
      <c r="BI149" s="62" t="inlineStr">
        <is>
          <t>Huatai Financial Holdings (Hong Kong) Limited; ABCI Capital Limited; Shenwan Hongyuan Securities (H.K.) Limited; BOCOM International Securities Limited</t>
        </is>
      </c>
      <c r="BJ149" s="62" t="inlineStr">
        <is>
          <t>ABCI Securities Company Limited; Beta International Securities Limited; Futu Securities International (Hong Kong) Limited; Guotai Junan Securities (Hong Kong) Limited; Huatai Financial Holdings (Hong Kong) Limited; Shenwan Hongyuan Securities (H.K.) Limited; Victory Securities Company Limited</t>
        </is>
      </c>
      <c r="BK149" s="76">
        <f>HYPERLINK("https://www1.hkexnews.hk/listedco/listconews/sehk/2022/1031/2022103100013.pdf","prospectus")</f>
        <v/>
      </c>
      <c r="BL149" s="76">
        <f>HYPERLINK("https://www1.hkexnews.hk/listedco/listconews/sehk/2022/1110/2022111000034.htm","allotment")</f>
        <v/>
      </c>
      <c r="BM149" s="62" t="n"/>
      <c r="BN149" s="74" t="n"/>
      <c r="BO149" s="62" t="inlineStr">
        <is>
          <t>greenshoe: no over-allotment option in the offer structure · A/H: no A-share listing · cornerstone: AAStocks institutional table includes non-cornerstone orders (superset) — cornerstone % is from the prospectus · greenshoe size: no over-allotment option in the offer structure</t>
        </is>
      </c>
    </row>
    <row r="150" ht="15" customHeight="1">
      <c r="A150" s="61" t="inlineStr">
        <is>
          <t>1407</t>
        </is>
      </c>
      <c r="B150" s="62" t="inlineStr">
        <is>
          <t>JY GAS</t>
        </is>
      </c>
      <c r="C150" s="62" t="inlineStr">
        <is>
          <t>交運燃氣</t>
        </is>
      </c>
      <c r="D150" s="62" t="inlineStr">
        <is>
          <t>Materials/Energy</t>
        </is>
      </c>
      <c r="E150" s="62" t="inlineStr">
        <is>
          <t>Oil &amp; gas / utilities</t>
        </is>
      </c>
      <c r="F150" s="62" t="inlineStr">
        <is>
          <t>Gas Utilities</t>
        </is>
      </c>
      <c r="G150" s="62" t="inlineStr">
        <is>
          <t>Standard</t>
        </is>
      </c>
      <c r="H150" s="63" t="n">
        <v>44881</v>
      </c>
      <c r="I150" s="64" t="n">
        <v>156.2</v>
      </c>
      <c r="J150" s="62" t="inlineStr">
        <is>
          <t>gross (price x shares)</t>
        </is>
      </c>
      <c r="K150" s="65" t="n">
        <v>1.42</v>
      </c>
      <c r="L150" s="65" t="n">
        <v>1.62</v>
      </c>
      <c r="M150" s="65" t="n">
        <v>1.42</v>
      </c>
      <c r="N150" s="62" t="inlineStr">
        <is>
          <t>N</t>
        </is>
      </c>
      <c r="O150" s="66" t="n">
        <v>87.7</v>
      </c>
      <c r="P150" s="66" t="n">
        <v>0</v>
      </c>
      <c r="Q150" s="67" t="n">
        <v>701.9</v>
      </c>
      <c r="R150" s="62" t="inlineStr">
        <is>
          <t>aastocks:上市市值 at the struck price</t>
        </is>
      </c>
      <c r="S150" s="68" t="n">
        <v>7.15</v>
      </c>
      <c r="T150" s="69" t="n">
        <v>1.17</v>
      </c>
      <c r="U150" s="70" t="n">
        <v>0</v>
      </c>
      <c r="V150" s="66" t="n">
        <v>22.25</v>
      </c>
      <c r="W150" s="62" t="n"/>
      <c r="X150" s="62" t="n"/>
      <c r="Y150" s="66" t="n">
        <v>10</v>
      </c>
      <c r="Z150" s="62" t="inlineStr">
        <is>
          <t>lapsed (no over-allocation)</t>
        </is>
      </c>
      <c r="AA150" s="71" t="n">
        <v>0</v>
      </c>
      <c r="AB150" s="72" t="n">
        <v>7.04</v>
      </c>
      <c r="AC150" s="72" t="n">
        <v>-6.58</v>
      </c>
      <c r="AD150" s="72" t="n">
        <v>-5.63</v>
      </c>
      <c r="AE150" s="72" t="n">
        <v>-25.35</v>
      </c>
      <c r="AF150" s="72" t="n">
        <v>-47.89</v>
      </c>
      <c r="AG150" s="72" t="n">
        <v>-5.63</v>
      </c>
      <c r="AH150" s="72" t="n">
        <v>-25.35</v>
      </c>
      <c r="AI150" s="72" t="n">
        <v>-47.89</v>
      </c>
      <c r="AJ150" s="72" t="n">
        <v>0.57</v>
      </c>
      <c r="AK150" s="72" t="n">
        <v>-30.25</v>
      </c>
      <c r="AL150" s="72" t="n">
        <v>-58.57</v>
      </c>
      <c r="AM150" s="72" t="n">
        <v>-30.56</v>
      </c>
      <c r="AN150" s="72" t="n">
        <v>4.9</v>
      </c>
      <c r="AO150" s="72" t="n">
        <v>5.21</v>
      </c>
      <c r="AP150" s="62" t="inlineStr">
        <is>
          <t>Hang Seng Commerce &amp; Industry sub-index</t>
        </is>
      </c>
      <c r="AQ150" s="72" t="n">
        <v>-57.04</v>
      </c>
      <c r="AR150" s="63" t="inlineStr">
        <is>
          <t>2026-08-20</t>
        </is>
      </c>
      <c r="AS150" s="64" t="n">
        <v>485</v>
      </c>
      <c r="AT150" s="67" t="n">
        <v>75.2</v>
      </c>
      <c r="AU150" s="62" t="inlineStr">
        <is>
          <t>Y</t>
        </is>
      </c>
      <c r="AV150" s="73" t="n">
        <v>9.300000000000001</v>
      </c>
      <c r="AW150" s="73" t="n"/>
      <c r="AX150" s="73" t="n">
        <v>8.1</v>
      </c>
      <c r="AY150" s="73" t="n">
        <v>1.4</v>
      </c>
      <c r="AZ150" s="74" t="inlineStr">
        <is>
          <t>N</t>
        </is>
      </c>
      <c r="BA150" s="75">
        <f>IF('BBG Verify'!K150="","not filed — run on terminal",'BBG Verify'!K150)</f>
        <v/>
      </c>
      <c r="BB150" s="62" t="inlineStr">
        <is>
          <t>N/A</t>
        </is>
      </c>
      <c r="BC150" s="62" t="inlineStr">
        <is>
          <t>N/A</t>
        </is>
      </c>
      <c r="BD150" s="62" t="inlineStr">
        <is>
          <t>N/A</t>
        </is>
      </c>
      <c r="BE150" s="62" t="inlineStr">
        <is>
          <t>N/A</t>
        </is>
      </c>
      <c r="BF150" s="62" t="inlineStr">
        <is>
          <t>N/A</t>
        </is>
      </c>
      <c r="BG150" s="74" t="inlineStr">
        <is>
          <t>China Industrial Securities International Capital Limited</t>
        </is>
      </c>
      <c r="BH150" s="62" t="inlineStr">
        <is>
          <t>China Industrial Securities International Capital Limited</t>
        </is>
      </c>
      <c r="BI150" s="62" t="inlineStr">
        <is>
          <t>China Industrial Securities International Capital Limited; ABCI Capital Limited; ICBC International Capital Limited; CCB International Capital Limited; BOCOM International Securities Limited; CMBC Securities Company Limited; SPDB International Capital Limited; Zhongtai International Securities Limited; China Everbright Securities (HK) Limited; SBI China Capital Financial Services Limited; Livermore Holdings Limited; Valuable Capital Limited</t>
        </is>
      </c>
      <c r="BJ150" s="62" t="inlineStr">
        <is>
          <t>ABCI Securities Company Limited; Beta International Securities Limited; CCB International Capital Limited; CEB International Capital Corporation Limited; China Everbright Securities (HK) Limited; China Industrial Securities International Capital Limited; CMBC Securities Company Limited; ICBC International Securities Limited; Livermore Holdings Limited; Maxa Capital Limited; SBI China Capital Financial Services Limited; SPDB International Capital Limited</t>
        </is>
      </c>
      <c r="BK150" s="76">
        <f>HYPERLINK("https://www1.hkexnews.hk/listedco/listconews/sehk/2022/1031/2022103100007.pdf","prospectus")</f>
        <v/>
      </c>
      <c r="BL150" s="76">
        <f>HYPERLINK("https://www1.hkexnews.hk/listedco/listconews/sehk/2022/1115/2022111500160.htm","allotment")</f>
        <v/>
      </c>
      <c r="BM150" s="76">
        <f>HYPERLINK("https://www1.hkexnews.hk/listedco/listconews/sehk/2022/1208/2022120800587.pdf","stabilisation")</f>
        <v/>
      </c>
      <c r="BN150" s="74" t="n"/>
      <c r="BO150" s="62" t="inlineStr">
        <is>
          <t>A/H: no A-share listing · market cap: estimate from deal size / offer % of enlarged capital disagreed with the published listing cap — published figure adopted · cornerstone list: no cornerstone tranche in this deal</t>
        </is>
      </c>
    </row>
    <row r="151" ht="15" customHeight="1">
      <c r="A151" s="61" t="inlineStr">
        <is>
          <t>2436</t>
        </is>
      </c>
      <c r="B151" s="62" t="inlineStr">
        <is>
          <t>LX TECHNOLOGY</t>
        </is>
      </c>
      <c r="C151" s="62" t="inlineStr">
        <is>
          <t>凌雄科技</t>
        </is>
      </c>
      <c r="D151" s="62" t="inlineStr">
        <is>
          <t>Tech/AI</t>
        </is>
      </c>
      <c r="E151" s="62" t="inlineStr">
        <is>
          <t>SaaS / enterprise software</t>
        </is>
      </c>
      <c r="F151" s="62" t="inlineStr">
        <is>
          <t>Computer Storage &amp; Peripherals</t>
        </is>
      </c>
      <c r="G151" s="62" t="inlineStr">
        <is>
          <t>Standard</t>
        </is>
      </c>
      <c r="H151" s="63" t="n">
        <v>44889</v>
      </c>
      <c r="I151" s="64" t="n">
        <v>404.8</v>
      </c>
      <c r="J151" s="62" t="inlineStr">
        <is>
          <t>gross (price x shares)</t>
        </is>
      </c>
      <c r="K151" s="65" t="n"/>
      <c r="L151" s="65" t="n">
        <v>8.74</v>
      </c>
      <c r="M151" s="65" t="n">
        <v>7.6</v>
      </c>
      <c r="N151" s="62" t="inlineStr">
        <is>
          <t>N</t>
        </is>
      </c>
      <c r="O151" s="66" t="n">
        <v>87</v>
      </c>
      <c r="P151" s="66" t="n"/>
      <c r="Q151" s="67" t="n">
        <v>2684.4</v>
      </c>
      <c r="R151" s="62" t="inlineStr">
        <is>
          <t>derived:deal size / offer % of enlarged capital</t>
        </is>
      </c>
      <c r="S151" s="68" t="n">
        <v>15</v>
      </c>
      <c r="T151" s="69" t="n">
        <v>1.12</v>
      </c>
      <c r="U151" s="70" t="n">
        <v>0</v>
      </c>
      <c r="V151" s="66" t="n">
        <v>15.08</v>
      </c>
      <c r="W151" s="62" t="n"/>
      <c r="X151" s="62" t="n"/>
      <c r="Y151" s="66" t="n">
        <v>5.06</v>
      </c>
      <c r="Z151" s="62" t="n"/>
      <c r="AA151" s="71" t="n">
        <v>2.63</v>
      </c>
      <c r="AB151" s="72" t="n">
        <v>3.95</v>
      </c>
      <c r="AC151" s="72" t="n">
        <v>-1.27</v>
      </c>
      <c r="AD151" s="72" t="n">
        <v>18.29</v>
      </c>
      <c r="AE151" s="72" t="n">
        <v>43.42</v>
      </c>
      <c r="AF151" s="72" t="n">
        <v>77.37</v>
      </c>
      <c r="AG151" s="72" t="n">
        <v>15.26</v>
      </c>
      <c r="AH151" s="72" t="n">
        <v>39.74</v>
      </c>
      <c r="AI151" s="72" t="n">
        <v>72.81999999999999</v>
      </c>
      <c r="AJ151" s="72" t="n">
        <v>10.48</v>
      </c>
      <c r="AK151" s="72" t="n">
        <v>27.34</v>
      </c>
      <c r="AL151" s="72" t="n">
        <v>59.87</v>
      </c>
      <c r="AM151" s="72" t="n">
        <v>24.58</v>
      </c>
      <c r="AN151" s="72" t="n">
        <v>16.08</v>
      </c>
      <c r="AO151" s="72" t="n">
        <v>15.16</v>
      </c>
      <c r="AP151" s="62" t="inlineStr">
        <is>
          <t>HSTECH (Hang Seng TECH ETF)</t>
        </is>
      </c>
      <c r="AQ151" s="72" t="n">
        <v>166.32</v>
      </c>
      <c r="AR151" s="63" t="inlineStr">
        <is>
          <t>2026-08-20</t>
        </is>
      </c>
      <c r="AS151" s="64" t="n">
        <v>1463.4</v>
      </c>
      <c r="AT151" s="67" t="n">
        <v>-493.6</v>
      </c>
      <c r="AU151" s="62" t="inlineStr">
        <is>
          <t>N</t>
        </is>
      </c>
      <c r="AV151" s="62" t="inlineStr">
        <is>
          <t>n/m</t>
        </is>
      </c>
      <c r="AW151" s="73" t="n"/>
      <c r="AX151" s="73" t="n">
        <v>360.2</v>
      </c>
      <c r="AY151" s="73" t="n">
        <v>1.8</v>
      </c>
      <c r="AZ151" s="74" t="inlineStr">
        <is>
          <t>N</t>
        </is>
      </c>
      <c r="BA151" s="75">
        <f>IF('BBG Verify'!K151="","not filed — run on terminal",'BBG Verify'!K151)</f>
        <v/>
      </c>
      <c r="BB151" s="62" t="inlineStr">
        <is>
          <t>N/A</t>
        </is>
      </c>
      <c r="BC151" s="62" t="inlineStr">
        <is>
          <t>N/A</t>
        </is>
      </c>
      <c r="BD151" s="62" t="inlineStr">
        <is>
          <t>N/A</t>
        </is>
      </c>
      <c r="BE151" s="62" t="inlineStr">
        <is>
          <t>N/A</t>
        </is>
      </c>
      <c r="BF151" s="62" t="inlineStr">
        <is>
          <t>N/A</t>
        </is>
      </c>
      <c r="BG151" s="74" t="inlineStr">
        <is>
          <t>Haitong International Capital Limited</t>
        </is>
      </c>
      <c r="BH151" s="62" t="inlineStr">
        <is>
          <t>Haitong International Capital Limited</t>
        </is>
      </c>
      <c r="BI151" s="62" t="inlineStr">
        <is>
          <t>Haitong International Securities Company Limited; Futu Securities International (Hong Kong) Limited; Tiger Brokers (HK) Global Limited; Dragonstone Capital Management Limited</t>
        </is>
      </c>
      <c r="BJ151" s="62" t="inlineStr">
        <is>
          <t>CSFG International Securities Limited; Dragonstone Capital Management Limited; Futu Securities International (Hong Kong) Limited; Haitong International Securities Company Limited; Maxa Capital Limited; Sinomax Securities Limited; Tiger Brokers (HK) Global Limited</t>
        </is>
      </c>
      <c r="BK151" s="76">
        <f>HYPERLINK("https://www1.hkexnews.hk/listedco/listconews/sehk/2022/1114/2022111400005.pdf","prospectus")</f>
        <v/>
      </c>
      <c r="BL151" s="76">
        <f>HYPERLINK("https://www1.hkexnews.hk/listedco/listconews/sehk/2022/1123/2022112300038.htm","allotment")</f>
        <v/>
      </c>
      <c r="BM151" s="62" t="n"/>
      <c r="BN151" s="74" t="n"/>
      <c r="BO151" s="62" t="inlineStr">
        <is>
          <t>P/E: n/m — loss-making at IPO (use P/S) · greenshoe: end-of-stabilisation notice not located · range low: cap-only pricing — the filing publishes a Maximum Offer Price and no indicative floor · A/H: no A-share listing · cornerstone list: no cornerstone tranche in this deal</t>
        </is>
      </c>
    </row>
    <row r="152" ht="15" customHeight="1">
      <c r="A152" s="61" t="inlineStr">
        <is>
          <t>3660</t>
        </is>
      </c>
      <c r="B152" s="62" t="inlineStr">
        <is>
          <t>360 DIGITECH-S</t>
        </is>
      </c>
      <c r="C152" s="62" t="inlineStr">
        <is>
          <t>奇富科技－Ｓ</t>
        </is>
      </c>
      <c r="D152" s="62" t="inlineStr">
        <is>
          <t>Tech/AI</t>
        </is>
      </c>
      <c r="E152" s="62" t="inlineStr">
        <is>
          <t>Fintech platform</t>
        </is>
      </c>
      <c r="F152" s="62" t="inlineStr">
        <is>
          <t>Other Diversified Financial Services</t>
        </is>
      </c>
      <c r="G152" s="62" t="inlineStr">
        <is>
          <t>Secondary</t>
        </is>
      </c>
      <c r="H152" s="63" t="n">
        <v>44894</v>
      </c>
      <c r="I152" s="64" t="n">
        <v>277.2</v>
      </c>
      <c r="J152" s="62" t="inlineStr">
        <is>
          <t>gross (price x shares)</t>
        </is>
      </c>
      <c r="K152" s="65" t="n"/>
      <c r="L152" s="65" t="n">
        <v>50.03</v>
      </c>
      <c r="M152" s="65" t="n">
        <v>50.03</v>
      </c>
      <c r="N152" s="62" t="inlineStr">
        <is>
          <t>Y</t>
        </is>
      </c>
      <c r="O152" s="66" t="n">
        <v>100</v>
      </c>
      <c r="P152" s="66" t="n"/>
      <c r="Q152" s="67" t="n">
        <v>28200</v>
      </c>
      <c r="R152" s="62" t="inlineStr">
        <is>
          <t>prospectus:stated market capitalisation</t>
        </is>
      </c>
      <c r="S152" s="68" t="n">
        <v>2.46</v>
      </c>
      <c r="T152" s="69" t="n">
        <v>5.3</v>
      </c>
      <c r="U152" s="70" t="n"/>
      <c r="V152" s="66" t="n">
        <v>0.98</v>
      </c>
      <c r="W152" s="62" t="n"/>
      <c r="X152" s="62" t="n"/>
      <c r="Y152" s="66" t="n">
        <v>10</v>
      </c>
      <c r="Z152" s="62" t="n"/>
      <c r="AA152" s="71" t="n">
        <v>3.44</v>
      </c>
      <c r="AB152" s="72" t="n">
        <v>1.14</v>
      </c>
      <c r="AC152" s="72" t="n">
        <v>2.27</v>
      </c>
      <c r="AD152" s="72" t="n">
        <v>33.82</v>
      </c>
      <c r="AE152" s="72" t="n">
        <v>57.31</v>
      </c>
      <c r="AF152" s="72" t="n">
        <v>67.90000000000001</v>
      </c>
      <c r="AG152" s="72" t="n">
        <v>29.37</v>
      </c>
      <c r="AH152" s="72" t="n">
        <v>52.08</v>
      </c>
      <c r="AI152" s="72" t="n">
        <v>62.32</v>
      </c>
      <c r="AJ152" s="72" t="n">
        <v>12.92</v>
      </c>
      <c r="AK152" s="72" t="n">
        <v>37.06</v>
      </c>
      <c r="AL152" s="72" t="n">
        <v>46.65</v>
      </c>
      <c r="AM152" s="72" t="n">
        <v>40.83</v>
      </c>
      <c r="AN152" s="72" t="n">
        <v>20.25</v>
      </c>
      <c r="AO152" s="72" t="n">
        <v>11.25</v>
      </c>
      <c r="AP152" s="62" t="inlineStr">
        <is>
          <t>HSTECH (Hang Seng TECH ETF)</t>
        </is>
      </c>
      <c r="AQ152" s="72" t="n">
        <v>-6.06</v>
      </c>
      <c r="AR152" s="63" t="inlineStr">
        <is>
          <t>2026-08-20</t>
        </is>
      </c>
      <c r="AS152" s="64" t="n">
        <v>18299.2</v>
      </c>
      <c r="AT152" s="67" t="n">
        <v>6359.9</v>
      </c>
      <c r="AU152" s="62" t="inlineStr">
        <is>
          <t>Y</t>
        </is>
      </c>
      <c r="AV152" s="73" t="n">
        <v>4.4</v>
      </c>
      <c r="AW152" s="73" t="n"/>
      <c r="AX152" s="73" t="n"/>
      <c r="AY152" s="73" t="n">
        <v>1.5</v>
      </c>
      <c r="AZ152" s="74" t="inlineStr">
        <is>
          <t>N</t>
        </is>
      </c>
      <c r="BA152" s="75">
        <f>IF('BBG Verify'!K152="","not filed — run on terminal",'BBG Verify'!K152)</f>
        <v/>
      </c>
      <c r="BB152" s="62" t="inlineStr">
        <is>
          <t>N/A</t>
        </is>
      </c>
      <c r="BC152" s="62" t="inlineStr">
        <is>
          <t>N/A</t>
        </is>
      </c>
      <c r="BD152" s="62" t="inlineStr">
        <is>
          <t>N/A</t>
        </is>
      </c>
      <c r="BE152" s="62" t="inlineStr">
        <is>
          <t>N/A</t>
        </is>
      </c>
      <c r="BF152" s="62" t="inlineStr">
        <is>
          <t>N/A</t>
        </is>
      </c>
      <c r="BG152" s="74" t="inlineStr">
        <is>
          <t>Citigroup Global Markets Asia Limited; China International Capital Corporation Hong Kong Securities Limited</t>
        </is>
      </c>
      <c r="BH152" s="62" t="inlineStr">
        <is>
          <t>China International Capital Corporation Hong Kong Securities Limited; Citigroup Global Markets Asia Limited</t>
        </is>
      </c>
      <c r="BI152" s="62" t="inlineStr">
        <is>
          <t>Citigroup Global Markets Asia Limited; China International Capital Corporation Hong Kong Securities Limited; Citigroup Global Markets Limited; 198 – China International Capital Corporation Hong Kong Securities Limited; CCB International Capital Limited; Futu Securities International (Hong Kong) Limited; Tiger Brokers (HK) Global Limited</t>
        </is>
      </c>
      <c r="BJ152" s="62" t="inlineStr">
        <is>
          <t>CCB International Capital Limited; Citigroup Global Markets Asia Limited; China International Capital Corporation Hong Kong Securities Limited; Futu Securities International (Hong Kong) Limited; Livermore Holdings Limited; Tiger Brokers (HK) Global Limited</t>
        </is>
      </c>
      <c r="BK152" s="76">
        <f>HYPERLINK("https://www1.hkexnews.hk/listedco/listconews/sehk/2022/1118/2022111800030.htm","prospectus")</f>
        <v/>
      </c>
      <c r="BL152" s="76">
        <f>HYPERLINK("https://www1.hkexnews.hk/listedco/listconews/sehk/2022/1128/2022112800016.htm","allotment")</f>
        <v/>
      </c>
      <c r="BM152" s="62" t="n"/>
      <c r="BN152" s="74" t="n"/>
      <c r="BO152" s="62" t="inlineStr">
        <is>
          <t>greenshoe: end-of-stabilisation notice not located · price range: fixed-price offering (no indicative range) · range low: cap-only pricing — the filing publishes a Maximum Offer Price and no indicative floor · A/H: no A-share listing · cornerstone list: cornerstone section not machine-extractable — see the prospectus link · cornerstone %: cornerstone aggregate not stated in the filing</t>
        </is>
      </c>
    </row>
    <row r="153" ht="15" customHeight="1">
      <c r="A153" s="61" t="inlineStr">
        <is>
          <t>2245</t>
        </is>
      </c>
      <c r="B153" s="62" t="inlineStr">
        <is>
          <t>LYGEND RESOURCE</t>
        </is>
      </c>
      <c r="C153" s="62" t="inlineStr">
        <is>
          <t>力勤資源</t>
        </is>
      </c>
      <c r="D153" s="62" t="inlineStr">
        <is>
          <t>Materials/Energy</t>
        </is>
      </c>
      <c r="E153" s="62" t="inlineStr">
        <is>
          <t>Mining / metals</t>
        </is>
      </c>
      <c r="F153" s="62" t="inlineStr">
        <is>
          <t>Diversified Metals &amp; Minerals</t>
        </is>
      </c>
      <c r="G153" s="62" t="inlineStr">
        <is>
          <t>Standard</t>
        </is>
      </c>
      <c r="H153" s="63" t="n">
        <v>44896</v>
      </c>
      <c r="I153" s="64" t="n">
        <v>3674.3</v>
      </c>
      <c r="J153" s="62" t="inlineStr">
        <is>
          <t>gross (price x shares)</t>
        </is>
      </c>
      <c r="K153" s="65" t="n"/>
      <c r="L153" s="65" t="n">
        <v>19.96</v>
      </c>
      <c r="M153" s="65" t="n">
        <v>15.8</v>
      </c>
      <c r="N153" s="62" t="inlineStr">
        <is>
          <t>N</t>
        </is>
      </c>
      <c r="O153" s="66" t="n">
        <v>79.2</v>
      </c>
      <c r="P153" s="66" t="n"/>
      <c r="Q153" s="67" t="n">
        <v>27664.5</v>
      </c>
      <c r="R153" s="62" t="inlineStr">
        <is>
          <t>aastocks:上市市值 at the struck price</t>
        </is>
      </c>
      <c r="S153" s="68" t="n">
        <v>1.47</v>
      </c>
      <c r="T153" s="69" t="n">
        <v>1.4</v>
      </c>
      <c r="U153" s="70" t="n">
        <v>70.3</v>
      </c>
      <c r="V153" s="66" t="n">
        <v>3.94</v>
      </c>
      <c r="W153" s="62" t="inlineStr">
        <is>
          <t>China State-Owned Enterprise Mixed Ownership Reform Fund Co., Ltd; GEM Hong Kong International Co., Limited; Hongkong Brunp and Catl Co., Limited; Hubei Ronbay Battery Triangle No. 1 Equity Investment Fund Partnership; Ningbo Yinzhou District Financial Holding Co., Ltd</t>
        </is>
      </c>
      <c r="X153" s="62" t="inlineStr">
        <is>
          <t>state-owned;gem;hongkong;hubei;ningbo</t>
        </is>
      </c>
      <c r="Y153" s="66" t="n">
        <v>15</v>
      </c>
      <c r="Z153" s="62" t="inlineStr">
        <is>
          <t>partial</t>
        </is>
      </c>
      <c r="AA153" s="71" t="n">
        <v>0</v>
      </c>
      <c r="AB153" s="72" t="n">
        <v>0</v>
      </c>
      <c r="AC153" s="72" t="n">
        <v>0</v>
      </c>
      <c r="AD153" s="72" t="n">
        <v>-3.67</v>
      </c>
      <c r="AE153" s="72" t="n">
        <v>1.14</v>
      </c>
      <c r="AF153" s="72" t="n">
        <v>-19.37</v>
      </c>
      <c r="AG153" s="72" t="n">
        <v>-3.67</v>
      </c>
      <c r="AH153" s="72" t="n">
        <v>1.14</v>
      </c>
      <c r="AI153" s="72" t="n">
        <v>-19.37</v>
      </c>
      <c r="AJ153" s="72" t="n">
        <v>-10.02</v>
      </c>
      <c r="AK153" s="72" t="n">
        <v>-11.5</v>
      </c>
      <c r="AL153" s="72" t="n">
        <v>-25.92</v>
      </c>
      <c r="AM153" s="72" t="n">
        <v>-10.42</v>
      </c>
      <c r="AN153" s="72" t="n">
        <v>12.64</v>
      </c>
      <c r="AO153" s="72" t="n">
        <v>11.56</v>
      </c>
      <c r="AP153" s="62" t="inlineStr">
        <is>
          <t>Hang Seng Commerce &amp; Industry sub-index</t>
        </is>
      </c>
      <c r="AQ153" s="72" t="n">
        <v>6.65</v>
      </c>
      <c r="AR153" s="63" t="inlineStr">
        <is>
          <t>2026-08-20</t>
        </is>
      </c>
      <c r="AS153" s="64" t="n">
        <v>13694.2</v>
      </c>
      <c r="AT153" s="67" t="n">
        <v>1386</v>
      </c>
      <c r="AU153" s="62" t="inlineStr">
        <is>
          <t>Y</t>
        </is>
      </c>
      <c r="AV153" s="73" t="n">
        <v>20</v>
      </c>
      <c r="AW153" s="73" t="n">
        <v>3.4</v>
      </c>
      <c r="AX153" s="73" t="n">
        <v>7.2</v>
      </c>
      <c r="AY153" s="73" t="n">
        <v>2</v>
      </c>
      <c r="AZ153" s="74" t="inlineStr">
        <is>
          <t>N</t>
        </is>
      </c>
      <c r="BA153" s="75">
        <f>IF('BBG Verify'!K153="","not filed — run on terminal",'BBG Verify'!K153)</f>
        <v/>
      </c>
      <c r="BB153" s="62" t="inlineStr">
        <is>
          <t>N/A</t>
        </is>
      </c>
      <c r="BC153" s="62" t="inlineStr">
        <is>
          <t>N/A</t>
        </is>
      </c>
      <c r="BD153" s="62" t="inlineStr">
        <is>
          <t>N/A</t>
        </is>
      </c>
      <c r="BE153" s="62" t="inlineStr">
        <is>
          <t>N/A</t>
        </is>
      </c>
      <c r="BF153" s="62" t="inlineStr">
        <is>
          <t>N/A</t>
        </is>
      </c>
      <c r="BG153" s="74" t="inlineStr">
        <is>
          <t>China International Capital Corporation Hong Kong Securities Limited; CMB International Capital Limited</t>
        </is>
      </c>
      <c r="BH153" s="62" t="inlineStr">
        <is>
          <t>China International Capital Corporation Hong Kong Securities Limited; CMB International Capital Limited</t>
        </is>
      </c>
      <c r="BI153" s="62" t="inlineStr">
        <is>
          <t>China International Capital Corporation Hong Kong Securities Limited; CMB International Capital Limited; Central, Hong Kong BOCI Asia Limited; Central, Hong Kong DBS Asia Capital Limited; ABCI Capital Limited; BNP Paribas Securities (Asia) Limited</t>
        </is>
      </c>
      <c r="BJ153" s="62" t="inlineStr">
        <is>
          <t>ABCI Securities Company Limited; BNP Paribas Securities (Asia) Limited; BOCI Asia Limited; China International Capital Corporation Hong Kong Securities Limited; CMB International Capital Limited; DBS Asia Capital Limited; Silverbricks Securities Company Limited</t>
        </is>
      </c>
      <c r="BK153" s="76">
        <f>HYPERLINK("https://www1.hkexnews.hk/listedco/listconews/sehk/2022/1121/2022112100023.htm","prospectus")</f>
        <v/>
      </c>
      <c r="BL153" s="76">
        <f>HYPERLINK("https://www1.hkexnews.hk/listedco/listconews/sehk/2022/1130/2022113000304.htm","allotment")</f>
        <v/>
      </c>
      <c r="BM153" s="76">
        <f>HYPERLINK("https://www1.hkexnews.hk/listedco/listconews/sehk/2022/1228/2022122801241.pdf","stabilisation")</f>
        <v/>
      </c>
      <c r="BN153" s="74" t="n"/>
      <c r="BO153" s="62" t="inlineStr">
        <is>
          <t>range low: cap-only pricing — the filing publishes a Maximum Offer Price and no indicative floor · A/H: no A-share listing · market cap: estimate from stated market capitalisation disagreed with the published listing cap — published figure adopted</t>
        </is>
      </c>
    </row>
    <row r="154" ht="15" customHeight="1">
      <c r="A154" s="61" t="inlineStr">
        <is>
          <t>6963</t>
        </is>
      </c>
      <c r="B154" s="62" t="inlineStr">
        <is>
          <t>SUNSHINE INS</t>
        </is>
      </c>
      <c r="C154" s="62" t="inlineStr">
        <is>
          <t>陽光保險</t>
        </is>
      </c>
      <c r="D154" s="62" t="inlineStr">
        <is>
          <t>Financials</t>
        </is>
      </c>
      <c r="E154" s="62" t="inlineStr">
        <is>
          <t>Insurance</t>
        </is>
      </c>
      <c r="F154" s="62" t="inlineStr">
        <is>
          <t>Life &amp; Health Insurance</t>
        </is>
      </c>
      <c r="G154" s="62" t="inlineStr">
        <is>
          <t>Standard</t>
        </is>
      </c>
      <c r="H154" s="63" t="n">
        <v>44904</v>
      </c>
      <c r="I154" s="64" t="n">
        <v>6705.4</v>
      </c>
      <c r="J154" s="62" t="inlineStr">
        <is>
          <t>gross (price x shares)</t>
        </is>
      </c>
      <c r="K154" s="65" t="n"/>
      <c r="L154" s="65" t="n">
        <v>6.45</v>
      </c>
      <c r="M154" s="65" t="n">
        <v>5.83</v>
      </c>
      <c r="N154" s="62" t="inlineStr">
        <is>
          <t>N</t>
        </is>
      </c>
      <c r="O154" s="66" t="n">
        <v>90.40000000000001</v>
      </c>
      <c r="P154" s="66" t="n"/>
      <c r="Q154" s="67" t="n">
        <v>59182.7</v>
      </c>
      <c r="R154" s="62" t="inlineStr">
        <is>
          <t>derived:deal size / offer % of enlarged capital</t>
        </is>
      </c>
      <c r="S154" s="68" t="n">
        <v>0.13</v>
      </c>
      <c r="T154" s="69" t="n">
        <v>1.34</v>
      </c>
      <c r="U154" s="70" t="n"/>
      <c r="V154" s="66" t="n">
        <v>11.33</v>
      </c>
      <c r="W154" s="62" t="n"/>
      <c r="X154" s="62" t="n"/>
      <c r="Y154" s="66" t="n">
        <v>10</v>
      </c>
      <c r="Z154" s="62" t="inlineStr">
        <is>
          <t>lapsed</t>
        </is>
      </c>
      <c r="AA154" s="71" t="n">
        <v>0</v>
      </c>
      <c r="AB154" s="72" t="n">
        <v>0</v>
      </c>
      <c r="AC154" s="72" t="n">
        <v>0</v>
      </c>
      <c r="AD154" s="72" t="n">
        <v>-27.27</v>
      </c>
      <c r="AE154" s="72" t="n">
        <v>-12.86</v>
      </c>
      <c r="AF154" s="72" t="n">
        <v>-30.02</v>
      </c>
      <c r="AG154" s="72" t="n">
        <v>-27.27</v>
      </c>
      <c r="AH154" s="72" t="n">
        <v>-12.86</v>
      </c>
      <c r="AI154" s="72" t="n">
        <v>-30.02</v>
      </c>
      <c r="AJ154" s="72" t="n">
        <v>-27.83</v>
      </c>
      <c r="AK154" s="72" t="n">
        <v>-23.24</v>
      </c>
      <c r="AL154" s="72" t="n">
        <v>-33.01</v>
      </c>
      <c r="AM154" s="72" t="n">
        <v>-21.54</v>
      </c>
      <c r="AN154" s="72" t="n">
        <v>10.38</v>
      </c>
      <c r="AO154" s="72" t="n">
        <v>8.68</v>
      </c>
      <c r="AP154" s="62" t="inlineStr">
        <is>
          <t>Hang Seng Finance sub-index</t>
        </is>
      </c>
      <c r="AQ154" s="72" t="n">
        <v>-42.71</v>
      </c>
      <c r="AR154" s="63" t="inlineStr">
        <is>
          <t>2026-08-20</t>
        </is>
      </c>
      <c r="AS154" s="64" t="n">
        <v>108190.5</v>
      </c>
      <c r="AT154" s="67" t="n">
        <v>6471.3</v>
      </c>
      <c r="AU154" s="62" t="inlineStr">
        <is>
          <t>Y</t>
        </is>
      </c>
      <c r="AV154" s="73" t="n">
        <v>9.1</v>
      </c>
      <c r="AW154" s="73" t="n">
        <v>7.9</v>
      </c>
      <c r="AX154" s="73" t="n">
        <v>5.4</v>
      </c>
      <c r="AY154" s="73" t="n">
        <v>0.5</v>
      </c>
      <c r="AZ154" s="74" t="inlineStr">
        <is>
          <t>N</t>
        </is>
      </c>
      <c r="BA154" s="75">
        <f>IF('BBG Verify'!K154="","not filed — run on terminal",'BBG Verify'!K154)</f>
        <v/>
      </c>
      <c r="BB154" s="62" t="inlineStr">
        <is>
          <t>N/A</t>
        </is>
      </c>
      <c r="BC154" s="62" t="inlineStr">
        <is>
          <t>N/A</t>
        </is>
      </c>
      <c r="BD154" s="62" t="inlineStr">
        <is>
          <t>N/A</t>
        </is>
      </c>
      <c r="BE154" s="62" t="inlineStr">
        <is>
          <t>N/A</t>
        </is>
      </c>
      <c r="BF154" s="62" t="inlineStr">
        <is>
          <t>N/A</t>
        </is>
      </c>
      <c r="BG154" s="74" t="inlineStr">
        <is>
          <t>Huatai Financial Holdings (Hong Kong) Limited; China International Capital Corporation Hong Kong Securities Limited; UBS Securities Hong Kong Limited; CCB International Capital Limited</t>
        </is>
      </c>
      <c r="BH154" s="62" t="inlineStr">
        <is>
          <t>China International Capital Corporation Hong Kong Securities Limited; CCB International Capital Limited; UBS Securities Hong Kong Limited; Huatai Financial Holdings (Hong Kong) Limited</t>
        </is>
      </c>
      <c r="BI154" s="62" t="inlineStr">
        <is>
          <t>Huatai Financial Holdings (Hong Kong) Limited; China International Capital Corporation Hong Kong Securities Limited; UBS AG Hong Kong Branch; CCB International Capital Limited; BNP Paribas Securities (Asia) Limited; BOCOM International Securities Limited; ICBC International Capital Limited; CLSA Limited; ABCI Capital Limited; China Merchants Securities (HK) Co., Limited; Shenwan Hongyuan Securities (H.K.) Limited; Soochow Securities International Brokerage Limited</t>
        </is>
      </c>
      <c r="BJ154" s="62" t="inlineStr">
        <is>
          <t>ABCI Securities Company Limited; Beta International Securities Limited; BNP Paribas Securities (Asia) Limited; CCB International Capital Limited; China International Capital Corporation Hong Kong Securities Limited; CMB International Capital Corporation Limited; China Merchants Securities (HK) Company Limited; Huatai Financial Holdings (Hong Kong) Limited; ICBC International Securities Limited; Shenwan Hongyuan Securities (H.K.) Limited; Soochow Securities International Brokerage Limited; UBS AG Hong Kong Branch</t>
        </is>
      </c>
      <c r="BK154" s="76">
        <f>HYPERLINK("https://www1.hkexnews.hk/listedco/listconews/sehk/2022/1130/2022113000027.pdf","prospectus")</f>
        <v/>
      </c>
      <c r="BL154" s="76">
        <f>HYPERLINK("https://www1.hkexnews.hk/listedco/listconews/sehk/2022/1208/2022120800048.htm","allotment")</f>
        <v/>
      </c>
      <c r="BM154" s="76">
        <f>HYPERLINK("https://www1.hkexnews.hk/listedco/listconews/sehk/2023/0105/2023010500005.pdf","stabilisation")</f>
        <v/>
      </c>
      <c r="BN154" s="74" t="n"/>
      <c r="BO154" s="62" t="inlineStr">
        <is>
          <t>range low: cap-only pricing — the filing publishes a Maximum Offer Price and no indicative floor · A/H: no A-share listing · cornerstone list: cornerstone section not machine-extractable — see the prospectus link · cornerstone %: cornerstone aggregate not stated in the filing</t>
        </is>
      </c>
    </row>
    <row r="155" ht="15" customHeight="1">
      <c r="A155" s="61" t="inlineStr">
        <is>
          <t>2407</t>
        </is>
      </c>
      <c r="B155" s="62" t="inlineStr">
        <is>
          <t>GAUSH MEDITECH</t>
        </is>
      </c>
      <c r="C155" s="62" t="inlineStr">
        <is>
          <t>高視醫療</t>
        </is>
      </c>
      <c r="D155" s="62" t="inlineStr">
        <is>
          <t>Healthcare</t>
        </is>
      </c>
      <c r="E155" s="62" t="inlineStr">
        <is>
          <t>Medical devices</t>
        </is>
      </c>
      <c r="F155" s="62" t="inlineStr">
        <is>
          <t>Health Care Equipment</t>
        </is>
      </c>
      <c r="G155" s="62" t="inlineStr">
        <is>
          <t>Standard</t>
        </is>
      </c>
      <c r="H155" s="63" t="n">
        <v>44907</v>
      </c>
      <c r="I155" s="64" t="n">
        <v>283.1</v>
      </c>
      <c r="J155" s="62" t="inlineStr">
        <is>
          <t>net proceeds</t>
        </is>
      </c>
      <c r="K155" s="65" t="n"/>
      <c r="L155" s="65" t="n">
        <v>51.4</v>
      </c>
      <c r="M155" s="65" t="n">
        <v>51.4</v>
      </c>
      <c r="N155" s="62" t="inlineStr">
        <is>
          <t>Y</t>
        </is>
      </c>
      <c r="O155" s="66" t="n">
        <v>100</v>
      </c>
      <c r="P155" s="66" t="n"/>
      <c r="Q155" s="67" t="n">
        <v>2822.5</v>
      </c>
      <c r="R155" s="62" t="inlineStr">
        <is>
          <t>derived:deal size / offer % of enlarged capital</t>
        </is>
      </c>
      <c r="S155" s="68" t="n">
        <v>1.52</v>
      </c>
      <c r="T155" s="69" t="n">
        <v>1.04</v>
      </c>
      <c r="U155" s="70" t="n">
        <v>94.52</v>
      </c>
      <c r="V155" s="66" t="n">
        <v>0.55</v>
      </c>
      <c r="W155" s="62" t="inlineStr">
        <is>
          <t>CL Kiwi Holding Ltd; Jiangsu Sino-German Services Trade Industry Investment Fund L.P; Wuxi Gaoshi Venture Capital L.P; Wuxi Shigao Equity Investment L.P</t>
        </is>
      </c>
      <c r="X155" s="62" t="inlineStr">
        <is>
          <t>cl;jiangsu;wuxi</t>
        </is>
      </c>
      <c r="Y155" s="66" t="n">
        <v>8.83</v>
      </c>
      <c r="Z155" s="62" t="inlineStr">
        <is>
          <t>partial</t>
        </is>
      </c>
      <c r="AA155" s="71" t="n">
        <v>0</v>
      </c>
      <c r="AB155" s="72" t="n">
        <v>-0.39</v>
      </c>
      <c r="AC155" s="72" t="n">
        <v>0.39</v>
      </c>
      <c r="AD155" s="72" t="n">
        <v>0</v>
      </c>
      <c r="AE155" s="72" t="n">
        <v>-2.72</v>
      </c>
      <c r="AF155" s="72" t="n">
        <v>-4.28</v>
      </c>
      <c r="AG155" s="72" t="n">
        <v>0</v>
      </c>
      <c r="AH155" s="72" t="n">
        <v>-2.72</v>
      </c>
      <c r="AI155" s="72" t="n">
        <v>-4.28</v>
      </c>
      <c r="AJ155" s="72" t="n">
        <v>5.08</v>
      </c>
      <c r="AK155" s="72" t="n">
        <v>-13.03</v>
      </c>
      <c r="AL155" s="72" t="n">
        <v>-1.41</v>
      </c>
      <c r="AM155" s="72" t="n">
        <v>-12.83</v>
      </c>
      <c r="AN155" s="72" t="n">
        <v>10.31</v>
      </c>
      <c r="AO155" s="72" t="n">
        <v>10.11</v>
      </c>
      <c r="AP155" s="62" t="inlineStr">
        <is>
          <t>China Biotech ETF (HS biotech proxy)</t>
        </is>
      </c>
      <c r="AQ155" s="72" t="n">
        <v>-91.44</v>
      </c>
      <c r="AR155" s="63" t="inlineStr">
        <is>
          <t>2026-08-21</t>
        </is>
      </c>
      <c r="AS155" s="64" t="n">
        <v>1428</v>
      </c>
      <c r="AT155" s="67" t="n">
        <v>-151.8</v>
      </c>
      <c r="AU155" s="62" t="inlineStr">
        <is>
          <t>N</t>
        </is>
      </c>
      <c r="AV155" s="62" t="inlineStr">
        <is>
          <t>n/m</t>
        </is>
      </c>
      <c r="AW155" s="73" t="n"/>
      <c r="AX155" s="73" t="n">
        <v>6</v>
      </c>
      <c r="AY155" s="73" t="n">
        <v>2</v>
      </c>
      <c r="AZ155" s="74" t="inlineStr">
        <is>
          <t>N</t>
        </is>
      </c>
      <c r="BA155" s="75">
        <f>IF('BBG Verify'!K155="","not filed — run on terminal",'BBG Verify'!K155)</f>
        <v/>
      </c>
      <c r="BB155" s="62" t="inlineStr">
        <is>
          <t>N/A</t>
        </is>
      </c>
      <c r="BC155" s="62" t="inlineStr">
        <is>
          <t>N/A</t>
        </is>
      </c>
      <c r="BD155" s="62" t="inlineStr">
        <is>
          <t>N/A</t>
        </is>
      </c>
      <c r="BE155" s="62" t="inlineStr">
        <is>
          <t>N/A</t>
        </is>
      </c>
      <c r="BF155" s="62" t="inlineStr">
        <is>
          <t>N/A</t>
        </is>
      </c>
      <c r="BG155" s="74" t="inlineStr">
        <is>
          <t>Morgan Stanley Asia Limited; Haitong International Capital Limited</t>
        </is>
      </c>
      <c r="BH155" s="62" t="inlineStr">
        <is>
          <t>Morgan Stanley Asia Limited; Haitong International Capital Limited</t>
        </is>
      </c>
      <c r="BI155" s="62" t="inlineStr">
        <is>
          <t>Morgan Stanley Asia Limited; Haitong International Securities Company Limited</t>
        </is>
      </c>
      <c r="BJ155" s="62" t="inlineStr">
        <is>
          <t>Daiwa Capital Markets Hong Kong Limited; Futu Securities International (Hong Kong) Limited; Haitong International Securities Company Limited; Maxa Capital Limited; Morgan Stanley Asia Limited; Sinomax Securities Limited; Tiger Brokers (HK) Global Limited</t>
        </is>
      </c>
      <c r="BK155" s="76">
        <f>HYPERLINK("https://www1.hkexnews.hk/listedco/listconews/sehk/2022/1130/2022113000167.pdf","prospectus")</f>
        <v/>
      </c>
      <c r="BL155" s="76">
        <f>HYPERLINK("https://www1.hkexnews.hk/listedco/listconews/sehk/2022/1209/2022120900012.htm","allotment")</f>
        <v/>
      </c>
      <c r="BM155" s="76">
        <f>HYPERLINK("https://www1.hkexnews.hk/listedco/listconews/sehk/2023/0104/2023010402177.pdf","stabilisation")</f>
        <v/>
      </c>
      <c r="BN155" s="74" t="n"/>
      <c r="BO155" s="62" t="inlineStr">
        <is>
          <t>P/E: n/m — loss-making at IPO (use P/S) · range low: cap-only pricing — the filing publishes a Maximum Offer Price and no indicative floor · A/H: no A-share listing</t>
        </is>
      </c>
    </row>
    <row r="156" ht="15" customHeight="1">
      <c r="A156" s="61" t="inlineStr">
        <is>
          <t>2440</t>
        </is>
      </c>
      <c r="B156" s="62" t="inlineStr">
        <is>
          <t>HOWKINGTECH</t>
        </is>
      </c>
      <c r="C156" s="62" t="inlineStr">
        <is>
          <t>迷策略</t>
        </is>
      </c>
      <c r="D156" s="62" t="inlineStr">
        <is>
          <t>Tech/AI</t>
        </is>
      </c>
      <c r="E156" s="62" t="inlineStr">
        <is>
          <t>SaaS / enterprise software</t>
        </is>
      </c>
      <c r="F156" s="62" t="inlineStr">
        <is>
          <t>Telecommunications &amp; Networking Equipment</t>
        </is>
      </c>
      <c r="G156" s="62" t="inlineStr">
        <is>
          <t>Standard</t>
        </is>
      </c>
      <c r="H156" s="63" t="n">
        <v>44907</v>
      </c>
      <c r="I156" s="64" t="n">
        <v>98.3</v>
      </c>
      <c r="J156" s="62" t="inlineStr">
        <is>
          <t>gross (price x shares)</t>
        </is>
      </c>
      <c r="K156" s="65" t="n">
        <v>2.73</v>
      </c>
      <c r="L156" s="65" t="n">
        <v>3.28</v>
      </c>
      <c r="M156" s="65" t="n">
        <v>2.73</v>
      </c>
      <c r="N156" s="62" t="inlineStr">
        <is>
          <t>N</t>
        </is>
      </c>
      <c r="O156" s="66" t="n">
        <v>83.2</v>
      </c>
      <c r="P156" s="66" t="n">
        <v>0</v>
      </c>
      <c r="Q156" s="67" t="n">
        <v>614.4</v>
      </c>
      <c r="R156" s="62" t="inlineStr">
        <is>
          <t>derived:deal size / offer % of enlarged capital</t>
        </is>
      </c>
      <c r="S156" s="68" t="n">
        <v>96.73</v>
      </c>
      <c r="T156" s="69" t="n">
        <v>1.1</v>
      </c>
      <c r="U156" s="70" t="n">
        <v>58.333</v>
      </c>
      <c r="V156" s="66" t="n">
        <v>6.67</v>
      </c>
      <c r="W156" s="62" t="inlineStr">
        <is>
          <t>Anji Jize LLP; Anji Kaize LLP</t>
        </is>
      </c>
      <c r="X156" s="62" t="inlineStr">
        <is>
          <t>anji</t>
        </is>
      </c>
      <c r="Y156" s="66" t="n">
        <v>9.333</v>
      </c>
      <c r="Z156" s="62" t="n"/>
      <c r="AA156" s="71" t="n">
        <v>-26.74</v>
      </c>
      <c r="AB156" s="72" t="n">
        <v>-18.68</v>
      </c>
      <c r="AC156" s="72" t="n">
        <v>-9.91</v>
      </c>
      <c r="AD156" s="72" t="n">
        <v>-41.76</v>
      </c>
      <c r="AE156" s="72" t="n">
        <v>-47.25</v>
      </c>
      <c r="AF156" s="72" t="n">
        <v>-44.69</v>
      </c>
      <c r="AG156" s="72" t="n">
        <v>-20.5</v>
      </c>
      <c r="AH156" s="72" t="n">
        <v>-28</v>
      </c>
      <c r="AI156" s="72" t="n">
        <v>-24.5</v>
      </c>
      <c r="AJ156" s="72" t="n">
        <v>-35.87</v>
      </c>
      <c r="AK156" s="72" t="n">
        <v>-51.43</v>
      </c>
      <c r="AL156" s="72" t="n">
        <v>-35.55</v>
      </c>
      <c r="AM156" s="72" t="n">
        <v>-37.03</v>
      </c>
      <c r="AN156" s="72" t="n">
        <v>4.18</v>
      </c>
      <c r="AO156" s="72" t="n">
        <v>9.029999999999999</v>
      </c>
      <c r="AP156" s="62" t="inlineStr">
        <is>
          <t>HSTECH (Hang Seng TECH ETF)</t>
        </is>
      </c>
      <c r="AQ156" s="72" t="n">
        <v>-64.09999999999999</v>
      </c>
      <c r="AR156" s="63" t="inlineStr">
        <is>
          <t>2026-08-21</t>
        </is>
      </c>
      <c r="AS156" s="64" t="n">
        <v>208.5</v>
      </c>
      <c r="AT156" s="67" t="n">
        <v>37.8</v>
      </c>
      <c r="AU156" s="62" t="inlineStr">
        <is>
          <t>Y</t>
        </is>
      </c>
      <c r="AV156" s="73" t="n">
        <v>16.3</v>
      </c>
      <c r="AW156" s="73" t="n"/>
      <c r="AX156" s="73" t="n"/>
      <c r="AY156" s="73" t="n">
        <v>2.9</v>
      </c>
      <c r="AZ156" s="74" t="inlineStr">
        <is>
          <t>N</t>
        </is>
      </c>
      <c r="BA156" s="75">
        <f>IF('BBG Verify'!K156="","not filed — run on terminal",'BBG Verify'!K156)</f>
        <v/>
      </c>
      <c r="BB156" s="62" t="inlineStr">
        <is>
          <t>N/A</t>
        </is>
      </c>
      <c r="BC156" s="62" t="inlineStr">
        <is>
          <t>N/A</t>
        </is>
      </c>
      <c r="BD156" s="62" t="inlineStr">
        <is>
          <t>N/A</t>
        </is>
      </c>
      <c r="BE156" s="62" t="inlineStr">
        <is>
          <t>N/A</t>
        </is>
      </c>
      <c r="BF156" s="62" t="inlineStr">
        <is>
          <t>N/A</t>
        </is>
      </c>
      <c r="BG156" s="74" t="inlineStr">
        <is>
          <t>Ping An of China Capital (Hong Kong) Company Limited</t>
        </is>
      </c>
      <c r="BH156" s="62" t="inlineStr">
        <is>
          <t>Ping An of China Capital (Hong Kong) Company Limited</t>
        </is>
      </c>
      <c r="BI156" s="62" t="inlineStr">
        <is>
          <t>China PA Securities (Hong Kong) Company Limited; Innovax Securities Limited; CMBC Securities Company Limited; Valuable Capital Limited</t>
        </is>
      </c>
      <c r="BJ156" s="62" t="inlineStr">
        <is>
          <t>Central China International Capital Limited; CMBC Securities Company Limited; China PA Securities (Hong Kong) Company Limited; Innovax Securities Limited; Lego Securities Limited; Tiger Brokers (HK) Global Limited; Valuable Capital Limited</t>
        </is>
      </c>
      <c r="BK156" s="76">
        <f>HYPERLINK("https://www1.hkexnews.hk/listedco/listconews/sehk/2022/1130/2022113000131.pdf","prospectus")</f>
        <v/>
      </c>
      <c r="BL156" s="76">
        <f>HYPERLINK("https://www1.hkexnews.hk/listedco/listconews/sehk/2022/1209/2022120900148.htm","allotment")</f>
        <v/>
      </c>
      <c r="BM156" s="62" t="n"/>
      <c r="BN156" s="74" t="n"/>
      <c r="BO156" s="62" t="inlineStr">
        <is>
          <t>greenshoe: end-of-stabilisation notice not located · A/H: no A-share listing</t>
        </is>
      </c>
    </row>
    <row r="157" ht="15" customHeight="1">
      <c r="A157" s="61" t="inlineStr">
        <is>
          <t>1947</t>
        </is>
      </c>
      <c r="B157" s="62" t="inlineStr">
        <is>
          <t>MEIHAO GROUP</t>
        </is>
      </c>
      <c r="C157" s="62" t="inlineStr">
        <is>
          <t>美皓集團</t>
        </is>
      </c>
      <c r="D157" s="62" t="inlineStr">
        <is>
          <t>Healthcare</t>
        </is>
      </c>
      <c r="E157" s="62" t="inlineStr">
        <is>
          <t>Hospitals / clinics</t>
        </is>
      </c>
      <c r="F157" s="62" t="inlineStr">
        <is>
          <t>Health Care Services</t>
        </is>
      </c>
      <c r="G157" s="62" t="inlineStr">
        <is>
          <t>Standard</t>
        </is>
      </c>
      <c r="H157" s="63" t="n">
        <v>44909</v>
      </c>
      <c r="I157" s="64" t="n">
        <v>126</v>
      </c>
      <c r="J157" s="62" t="inlineStr">
        <is>
          <t>gross (price x shares)</t>
        </is>
      </c>
      <c r="K157" s="65" t="n"/>
      <c r="L157" s="65" t="n">
        <v>1</v>
      </c>
      <c r="M157" s="65" t="n">
        <v>0.84</v>
      </c>
      <c r="N157" s="62" t="inlineStr">
        <is>
          <t>N</t>
        </is>
      </c>
      <c r="O157" s="66" t="n">
        <v>84</v>
      </c>
      <c r="P157" s="66" t="n"/>
      <c r="Q157" s="67" t="n">
        <v>560</v>
      </c>
      <c r="R157" s="62" t="inlineStr">
        <is>
          <t>derived:deal size / offer % of enlarged capital</t>
        </is>
      </c>
      <c r="S157" s="68" t="n">
        <v>41.31</v>
      </c>
      <c r="T157" s="69" t="n">
        <v>1.37</v>
      </c>
      <c r="U157" s="70" t="n">
        <v>0</v>
      </c>
      <c r="V157" s="66" t="n">
        <v>22.5</v>
      </c>
      <c r="W157" s="62" t="n"/>
      <c r="X157" s="62" t="n"/>
      <c r="Y157" s="66" t="n">
        <v>10</v>
      </c>
      <c r="Z157" s="62" t="inlineStr">
        <is>
          <t>lapsed (no over-allocation)</t>
        </is>
      </c>
      <c r="AA157" s="71" t="n">
        <v>-14.29</v>
      </c>
      <c r="AB157" s="72" t="n">
        <v>-9.52</v>
      </c>
      <c r="AC157" s="72" t="n">
        <v>-5.27</v>
      </c>
      <c r="AD157" s="72" t="n">
        <v>-39.29</v>
      </c>
      <c r="AE157" s="72" t="n">
        <v>-36.9</v>
      </c>
      <c r="AF157" s="72" t="n">
        <v>-40.48</v>
      </c>
      <c r="AG157" s="72" t="n">
        <v>-29.17</v>
      </c>
      <c r="AH157" s="72" t="n">
        <v>-26.38</v>
      </c>
      <c r="AI157" s="72" t="n">
        <v>-30.56</v>
      </c>
      <c r="AJ157" s="72" t="n">
        <v>-33.66</v>
      </c>
      <c r="AK157" s="72" t="n">
        <v>-46.59</v>
      </c>
      <c r="AL157" s="72" t="n">
        <v>-37.97</v>
      </c>
      <c r="AM157" s="72" t="n">
        <v>-36.39</v>
      </c>
      <c r="AN157" s="72" t="n">
        <v>9.69</v>
      </c>
      <c r="AO157" s="72" t="n">
        <v>10.01</v>
      </c>
      <c r="AP157" s="62" t="inlineStr">
        <is>
          <t>China Biotech ETF (HS biotech proxy)</t>
        </is>
      </c>
      <c r="AQ157" s="72" t="n">
        <v>-34.52</v>
      </c>
      <c r="AR157" s="63" t="inlineStr">
        <is>
          <t>2026-08-20</t>
        </is>
      </c>
      <c r="AS157" s="64" t="n">
        <v>115.8</v>
      </c>
      <c r="AT157" s="67" t="n">
        <v>35.4</v>
      </c>
      <c r="AU157" s="62" t="inlineStr">
        <is>
          <t>Y</t>
        </is>
      </c>
      <c r="AV157" s="73" t="n">
        <v>15.8</v>
      </c>
      <c r="AW157" s="73" t="n"/>
      <c r="AX157" s="73" t="n"/>
      <c r="AY157" s="73" t="n">
        <v>4.8</v>
      </c>
      <c r="AZ157" s="74" t="inlineStr">
        <is>
          <t>N</t>
        </is>
      </c>
      <c r="BA157" s="75">
        <f>IF('BBG Verify'!K157="","not filed — run on terminal",'BBG Verify'!K157)</f>
        <v/>
      </c>
      <c r="BB157" s="62" t="inlineStr">
        <is>
          <t>N/A</t>
        </is>
      </c>
      <c r="BC157" s="62" t="inlineStr">
        <is>
          <t>N/A</t>
        </is>
      </c>
      <c r="BD157" s="62" t="inlineStr">
        <is>
          <t>N/A</t>
        </is>
      </c>
      <c r="BE157" s="62" t="inlineStr">
        <is>
          <t>N/A</t>
        </is>
      </c>
      <c r="BF157" s="62" t="inlineStr">
        <is>
          <t>N/A</t>
        </is>
      </c>
      <c r="BG157" s="74" t="inlineStr">
        <is>
          <t>Innovax Capital Limited; Sinolink Securities (Hong Kong) Company Limited</t>
        </is>
      </c>
      <c r="BH157" s="62" t="inlineStr">
        <is>
          <t>Innovax Capital Limited; Sinolink Securities (Hong Kong) Company Limited</t>
        </is>
      </c>
      <c r="BI157" s="62" t="inlineStr">
        <is>
          <t>Innovax Securities Limited; WE Securities Limited; Sinolink Securities (Hong Kong) Company Limited; Guotai Junan Securities (Hong Kong) Limited; CCB International Capital Limited; Central, Hong Kong CMBC Securities Company Limited; CSFG International Securities Limited; HGNH International Securities Co., Limited</t>
        </is>
      </c>
      <c r="BJ157" s="62" t="inlineStr">
        <is>
          <t>CCB International Capital Limited; CMBC Securities Company Limited; CSFG International Securities Limited; Guotai Junan Securities (Hong Kong) Limited; HGNH International Securities Co., Limited; Innovax Securities Limited; Sinolink Securities (Hong Kong) Company Limited; Tiger Brokers (HK) Global Limited; WE Securities Limited</t>
        </is>
      </c>
      <c r="BK157" s="76">
        <f>HYPERLINK("https://www1.hkexnews.hk/listedco/listconews/sehk/2022/1130/2022113000017.pdf","prospectus")</f>
        <v/>
      </c>
      <c r="BL157" s="76">
        <f>HYPERLINK("https://www1.hkexnews.hk/listedco/listconews/sehk/2022/1213/2022121300028.htm","allotment")</f>
        <v/>
      </c>
      <c r="BM157" s="76">
        <f>HYPERLINK("https://www1.hkexnews.hk/listedco/listconews/sehk/2023/0105/2023010501561.pdf","stabilisation")</f>
        <v/>
      </c>
      <c r="BN157" s="74" t="n"/>
      <c r="BO157" s="62" t="inlineStr">
        <is>
          <t>range low: cap-only pricing — the filing publishes a Maximum Offer Price and no indicative floor · A/H: no A-share listing · cornerstone list: no cornerstone tranche in this deal</t>
        </is>
      </c>
    </row>
    <row r="158" ht="15" customHeight="1">
      <c r="A158" s="61" t="inlineStr">
        <is>
          <t>1244</t>
        </is>
      </c>
      <c r="B158" s="62" t="inlineStr">
        <is>
          <t>3D MEDICINES-B</t>
        </is>
      </c>
      <c r="C158" s="62" t="inlineStr">
        <is>
          <t>思路迪醫藥股份</t>
        </is>
      </c>
      <c r="D158" s="62" t="inlineStr">
        <is>
          <t>Healthcare</t>
        </is>
      </c>
      <c r="E158" s="62" t="inlineStr">
        <is>
          <t>Biotech pre-revenue (18A)</t>
        </is>
      </c>
      <c r="F158" s="62" t="inlineStr">
        <is>
          <t>Biotechnology - Supplies &amp; Services</t>
        </is>
      </c>
      <c r="G158" s="62" t="inlineStr">
        <is>
          <t>18A</t>
        </is>
      </c>
      <c r="H158" s="63" t="n">
        <v>44910</v>
      </c>
      <c r="I158" s="64" t="n">
        <v>251.1</v>
      </c>
      <c r="J158" s="62" t="inlineStr">
        <is>
          <t>net proceeds</t>
        </is>
      </c>
      <c r="K158" s="65" t="n">
        <v>22.96</v>
      </c>
      <c r="L158" s="65" t="n">
        <v>26.24</v>
      </c>
      <c r="M158" s="65" t="n">
        <v>24.98</v>
      </c>
      <c r="N158" s="62" t="inlineStr">
        <is>
          <t>N</t>
        </is>
      </c>
      <c r="O158" s="66" t="n">
        <v>95.2</v>
      </c>
      <c r="P158" s="66" t="n">
        <v>61.6</v>
      </c>
      <c r="Q158" s="67" t="n">
        <v>6678.6</v>
      </c>
      <c r="R158" s="62" t="inlineStr">
        <is>
          <t>aastocks:上市市值 at the struck price</t>
        </is>
      </c>
      <c r="S158" s="68" t="n">
        <v>5.97</v>
      </c>
      <c r="T158" s="69" t="n">
        <v>1.26</v>
      </c>
      <c r="U158" s="70" t="n">
        <v>62.49</v>
      </c>
      <c r="V158" s="66" t="n">
        <v>1.41</v>
      </c>
      <c r="W158" s="62" t="inlineStr">
        <is>
          <t>Harvest International Premium Value (Secondary Market) Fund SPC; Mobilewise Limited; TradArt Investment SP</t>
        </is>
      </c>
      <c r="X158" s="62" t="inlineStr">
        <is>
          <t>harvest;mobilewise;tradart</t>
        </is>
      </c>
      <c r="Y158" s="66" t="n">
        <v>7.29</v>
      </c>
      <c r="Z158" s="62" t="inlineStr">
        <is>
          <t>partial</t>
        </is>
      </c>
      <c r="AA158" s="71" t="n">
        <v>25.9</v>
      </c>
      <c r="AB158" s="72" t="n">
        <v>16.09</v>
      </c>
      <c r="AC158" s="72" t="n">
        <v>8.449999999999999</v>
      </c>
      <c r="AD158" s="72" t="n">
        <v>66.13</v>
      </c>
      <c r="AE158" s="72" t="n">
        <v>139.39</v>
      </c>
      <c r="AF158" s="72" t="n">
        <v>167.21</v>
      </c>
      <c r="AG158" s="72" t="n">
        <v>31.95</v>
      </c>
      <c r="AH158" s="72" t="n">
        <v>90.14</v>
      </c>
      <c r="AI158" s="72" t="n">
        <v>112.24</v>
      </c>
      <c r="AJ158" s="72" t="n">
        <v>70.7</v>
      </c>
      <c r="AK158" s="72" t="n">
        <v>129.95</v>
      </c>
      <c r="AL158" s="72" t="n">
        <v>169.24</v>
      </c>
      <c r="AM158" s="72" t="n">
        <v>78.67</v>
      </c>
      <c r="AN158" s="72" t="n">
        <v>9.44</v>
      </c>
      <c r="AO158" s="72" t="n">
        <v>11.47</v>
      </c>
      <c r="AP158" s="62" t="inlineStr">
        <is>
          <t>China Biotech ETF (HS biotech proxy)</t>
        </is>
      </c>
      <c r="AQ158" s="72" t="n">
        <v>-86.31</v>
      </c>
      <c r="AR158" s="63" t="inlineStr">
        <is>
          <t>2026-08-20</t>
        </is>
      </c>
      <c r="AS158" s="64" t="n">
        <v>177.2</v>
      </c>
      <c r="AT158" s="67" t="n">
        <v>-1577.5</v>
      </c>
      <c r="AU158" s="62" t="inlineStr">
        <is>
          <t>N</t>
        </is>
      </c>
      <c r="AV158" s="62" t="inlineStr">
        <is>
          <t>n/m</t>
        </is>
      </c>
      <c r="AW158" s="73" t="n"/>
      <c r="AX158" s="73" t="n"/>
      <c r="AY158" s="73" t="n">
        <v>37.7</v>
      </c>
      <c r="AZ158" s="74" t="inlineStr">
        <is>
          <t>N</t>
        </is>
      </c>
      <c r="BA158" s="75">
        <f>IF('BBG Verify'!K158="","not filed — run on terminal",'BBG Verify'!K158)</f>
        <v/>
      </c>
      <c r="BB158" s="62" t="inlineStr">
        <is>
          <t>N/A</t>
        </is>
      </c>
      <c r="BC158" s="62" t="inlineStr">
        <is>
          <t>N/A</t>
        </is>
      </c>
      <c r="BD158" s="62" t="inlineStr">
        <is>
          <t>N/A</t>
        </is>
      </c>
      <c r="BE158" s="62" t="inlineStr">
        <is>
          <t>N/A</t>
        </is>
      </c>
      <c r="BF158" s="62" t="inlineStr">
        <is>
          <t>N/A</t>
        </is>
      </c>
      <c r="BG158" s="74" t="inlineStr">
        <is>
          <t>China International Capital Corporation Hong Kong Securities Limited; China Securities (International) Corporate Finance Company Limited</t>
        </is>
      </c>
      <c r="BH158" s="62" t="inlineStr">
        <is>
          <t>China International Capital Corporation Hong Kong Securities Limited; China Securities (International) Corporate Finance Company Limited</t>
        </is>
      </c>
      <c r="BI158" s="62" t="inlineStr">
        <is>
          <t>China International Capital Corporation Hong Kong Securities Limited; China Securities (International) Corporate Finance Company Limited; CNCB (Hong Kong) Capital Limited; CCB International Capital Limited; Huarong International Securities Limited; Livermore Holdings Limited; ABCI Capital Limited; Tiger Brokers (HK) Global Limited</t>
        </is>
      </c>
      <c r="BJ158" s="62" t="inlineStr">
        <is>
          <t>ABCI Securities Company Limited; CCB International Capital Limited; China International Capital Corporation Hong Kong Securities Limited; CNCB (Hong Kong) Capital Limited; CSFG International Securities Limited; China Securities (International) Corporate Finance Company Limited; Futu Securities International (Hong Kong) Limited; Huarong International Securities Limited; Lego Securities Limited; Livermore Holdings Limited; Tiger Brokers (HK) Global Limited; Valuable Capital Limited</t>
        </is>
      </c>
      <c r="BK158" s="76">
        <f>HYPERLINK("https://www1.hkexnews.hk/listedco/listconews/sehk/2022/1129/2022112900013.pdf","prospectus")</f>
        <v/>
      </c>
      <c r="BL158" s="76">
        <f>HYPERLINK("https://www1.hkexnews.hk/listedco/listconews/sehk/2022/1214/2022121400036.htm","allotment")</f>
        <v/>
      </c>
      <c r="BM158" s="76">
        <f>HYPERLINK("https://www1.hkexnews.hk/listedco/listconews/sehk/2023/0109/2023010900027.pdf","stabilisation")</f>
        <v/>
      </c>
      <c r="BN158" s="74" t="n"/>
      <c r="BO158" s="62" t="inlineStr">
        <is>
          <t>P/E: n/m — loss-making at IPO (use P/S) · A/H: no A-share listing · market cap: estimate from deal size / offer % of enlarged capital disagreed with the published listing cap — published figure adopted · cornerstone: AAStocks institutional table includes non-cornerstone orders (superset) — cornerstone % is from the prospectus</t>
        </is>
      </c>
    </row>
    <row r="159" ht="15" customHeight="1">
      <c r="A159" s="61" t="inlineStr">
        <is>
          <t>9985</t>
        </is>
      </c>
      <c r="B159" s="62" t="inlineStr">
        <is>
          <t>WEILONG</t>
        </is>
      </c>
      <c r="C159" s="62" t="inlineStr">
        <is>
          <t>衛龍美味</t>
        </is>
      </c>
      <c r="D159" s="62" t="inlineStr">
        <is>
          <t>Consumer</t>
        </is>
      </c>
      <c r="E159" s="62" t="inlineStr">
        <is>
          <t>Beverages / packaged food</t>
        </is>
      </c>
      <c r="F159" s="62" t="inlineStr">
        <is>
          <t>Packaged Foods</t>
        </is>
      </c>
      <c r="G159" s="62" t="inlineStr">
        <is>
          <t>Standard</t>
        </is>
      </c>
      <c r="H159" s="63" t="n">
        <v>44910</v>
      </c>
      <c r="I159" s="64" t="n">
        <v>1018</v>
      </c>
      <c r="J159" s="62" t="inlineStr">
        <is>
          <t>gross (price x shares)</t>
        </is>
      </c>
      <c r="K159" s="65" t="n">
        <v>10.4</v>
      </c>
      <c r="L159" s="65" t="n">
        <v>11.4</v>
      </c>
      <c r="M159" s="65" t="n">
        <v>10.56</v>
      </c>
      <c r="N159" s="62" t="inlineStr">
        <is>
          <t>N</t>
        </is>
      </c>
      <c r="O159" s="66" t="n">
        <v>92.59999999999999</v>
      </c>
      <c r="P159" s="66" t="n">
        <v>16</v>
      </c>
      <c r="Q159" s="67" t="n">
        <v>24829.3</v>
      </c>
      <c r="R159" s="62" t="inlineStr">
        <is>
          <t>derived:deal size / offer % of enlarged capital</t>
        </is>
      </c>
      <c r="S159" s="68" t="n">
        <v>15.3</v>
      </c>
      <c r="T159" s="69" t="n">
        <v>2.6</v>
      </c>
      <c r="U159" s="70" t="n">
        <v>57.46</v>
      </c>
      <c r="V159" s="66" t="n">
        <v>1.74</v>
      </c>
      <c r="W159" s="62" t="inlineStr">
        <is>
          <t>Media Global Management Limited; Prospect Bridge Value L.P; Sunshine Life Insurance Corporation Limited</t>
        </is>
      </c>
      <c r="X159" s="62" t="inlineStr">
        <is>
          <t>media;prospect;sunshine</t>
        </is>
      </c>
      <c r="Y159" s="66" t="n">
        <v>17.06</v>
      </c>
      <c r="Z159" s="62" t="inlineStr">
        <is>
          <t>lapsed</t>
        </is>
      </c>
      <c r="AA159" s="71" t="n">
        <v>-5.11</v>
      </c>
      <c r="AB159" s="72" t="n">
        <v>-3.41</v>
      </c>
      <c r="AC159" s="72" t="n">
        <v>-1.76</v>
      </c>
      <c r="AD159" s="72" t="n">
        <v>-12.12</v>
      </c>
      <c r="AE159" s="72" t="n">
        <v>-0.57</v>
      </c>
      <c r="AF159" s="72" t="n">
        <v>7.95</v>
      </c>
      <c r="AG159" s="72" t="n">
        <v>-7.39</v>
      </c>
      <c r="AH159" s="72" t="n">
        <v>4.78</v>
      </c>
      <c r="AI159" s="72" t="n">
        <v>13.76</v>
      </c>
      <c r="AJ159" s="72" t="n">
        <v>-12.16</v>
      </c>
      <c r="AK159" s="72" t="n">
        <v>-11.74</v>
      </c>
      <c r="AL159" s="72" t="n">
        <v>10.29</v>
      </c>
      <c r="AM159" s="72" t="n">
        <v>-8.859999999999999</v>
      </c>
      <c r="AN159" s="72" t="n">
        <v>11.17</v>
      </c>
      <c r="AO159" s="72" t="n">
        <v>13.64</v>
      </c>
      <c r="AP159" s="62" t="inlineStr">
        <is>
          <t>Hang Seng Commerce &amp; Industry sub-index</t>
        </is>
      </c>
      <c r="AQ159" s="72" t="n">
        <v>-19.03</v>
      </c>
      <c r="AR159" s="63" t="inlineStr">
        <is>
          <t>2026-08-20</t>
        </is>
      </c>
      <c r="AS159" s="64" t="n">
        <v>5280.2</v>
      </c>
      <c r="AT159" s="67" t="n">
        <v>1206.3</v>
      </c>
      <c r="AU159" s="62" t="inlineStr">
        <is>
          <t>Y</t>
        </is>
      </c>
      <c r="AV159" s="73" t="n">
        <v>20.6</v>
      </c>
      <c r="AW159" s="73" t="n"/>
      <c r="AX159" s="73" t="n">
        <v>12.1</v>
      </c>
      <c r="AY159" s="73" t="n">
        <v>4.7</v>
      </c>
      <c r="AZ159" s="74" t="inlineStr">
        <is>
          <t>N</t>
        </is>
      </c>
      <c r="BA159" s="75">
        <f>IF('BBG Verify'!K159="","not filed — run on terminal",'BBG Verify'!K159)</f>
        <v/>
      </c>
      <c r="BB159" s="62" t="inlineStr">
        <is>
          <t>N/A</t>
        </is>
      </c>
      <c r="BC159" s="62" t="inlineStr">
        <is>
          <t>N/A</t>
        </is>
      </c>
      <c r="BD159" s="62" t="inlineStr">
        <is>
          <t>N/A</t>
        </is>
      </c>
      <c r="BE159" s="62" t="inlineStr">
        <is>
          <t>N/A</t>
        </is>
      </c>
      <c r="BF159" s="62" t="inlineStr">
        <is>
          <t>N/A</t>
        </is>
      </c>
      <c r="BG159" s="74" t="inlineStr">
        <is>
          <t>Morgan Stanley Asia Limited; China International Capital Corporation Hong Kong Securities Limited</t>
        </is>
      </c>
      <c r="BH159" s="62" t="inlineStr">
        <is>
          <t>China International Capital Corporation Hong Kong Securities Limited; Morgan Stanley Asia Limited; UBS Securities Hong Kong Limited</t>
        </is>
      </c>
      <c r="BI159" s="62" t="inlineStr">
        <is>
          <t>UBS AG Hong Kong Branch; Morgan Stanley Asia Limited; China International Capital Corporation Hong Kong Securities Limited; Futu Securities International (Hong Kong) Limited</t>
        </is>
      </c>
      <c r="BJ159" s="62" t="inlineStr">
        <is>
          <t>BNP Paribas Securities (Asia) Limited; CCB International Capital Limited; China International Capital Corporation Hong Kong Securities Limited; Futu Securities International (Hong Kong) Limited; I Win Securities Limited; Morgan Stanley Asia Limited; Silverbricks Securities Company Limited; UBS AG Hong Kong Branch</t>
        </is>
      </c>
      <c r="BK159" s="76">
        <f>HYPERLINK("https://www1.hkexnews.hk/listedco/listconews/sehk/2022/1205/2022120500015.pdf","prospectus")</f>
        <v/>
      </c>
      <c r="BL159" s="76">
        <f>HYPERLINK("https://www1.hkexnews.hk/listedco/listconews/sehk/2022/1214/2022121400094.htm","allotment")</f>
        <v/>
      </c>
      <c r="BM159" s="76">
        <f>HYPERLINK("https://www1.hkexnews.hk/listedco/listconews/sehk/2023/0109/2023010900033.pdf","stabilisation")</f>
        <v/>
      </c>
      <c r="BN159" s="74" t="n"/>
      <c r="BO159" s="62" t="inlineStr">
        <is>
          <t>A/H: no A-share listing</t>
        </is>
      </c>
    </row>
    <row r="160" ht="15" customHeight="1">
      <c r="A160" s="61" t="inlineStr">
        <is>
          <t>2457</t>
        </is>
      </c>
      <c r="B160" s="62" t="inlineStr">
        <is>
          <t>BUYANG INTL</t>
        </is>
      </c>
      <c r="C160" s="62" t="inlineStr">
        <is>
          <t>步陽國際</t>
        </is>
      </c>
      <c r="D160" s="62" t="inlineStr">
        <is>
          <t>Consumer</t>
        </is>
      </c>
      <c r="E160" s="62" t="inlineStr">
        <is>
          <t>Auto parts / supply chain</t>
        </is>
      </c>
      <c r="F160" s="62" t="inlineStr">
        <is>
          <t>Tires &amp; Rubber</t>
        </is>
      </c>
      <c r="G160" s="62" t="inlineStr">
        <is>
          <t>Standard</t>
        </is>
      </c>
      <c r="H160" s="63" t="n">
        <v>44910</v>
      </c>
      <c r="I160" s="64" t="n">
        <v>125</v>
      </c>
      <c r="J160" s="62" t="inlineStr">
        <is>
          <t>gross (price x shares)</t>
        </is>
      </c>
      <c r="K160" s="65" t="n">
        <v>0.5</v>
      </c>
      <c r="L160" s="65" t="n">
        <v>0.6</v>
      </c>
      <c r="M160" s="65" t="n">
        <v>0.5</v>
      </c>
      <c r="N160" s="62" t="inlineStr">
        <is>
          <t>N</t>
        </is>
      </c>
      <c r="O160" s="66" t="n">
        <v>83.3</v>
      </c>
      <c r="P160" s="66" t="n">
        <v>0</v>
      </c>
      <c r="Q160" s="67" t="n">
        <v>550</v>
      </c>
      <c r="R160" s="62" t="inlineStr">
        <is>
          <t>aastocks:上市市值 at the struck price</t>
        </is>
      </c>
      <c r="S160" s="68" t="n">
        <v>51.22</v>
      </c>
      <c r="T160" s="69" t="n">
        <v>1.19</v>
      </c>
      <c r="U160" s="70" t="n">
        <v>24</v>
      </c>
      <c r="V160" s="66" t="n">
        <v>17.27</v>
      </c>
      <c r="W160" s="62" t="inlineStr">
        <is>
          <t>Arda (HK) Investment Co., Limited</t>
        </is>
      </c>
      <c r="X160" s="62" t="inlineStr">
        <is>
          <t>arda</t>
        </is>
      </c>
      <c r="Y160" s="66" t="n">
        <v>6</v>
      </c>
      <c r="Z160" s="62" t="inlineStr">
        <is>
          <t>lapsed (no over-allocation)</t>
        </is>
      </c>
      <c r="AA160" s="71" t="n">
        <v>-40</v>
      </c>
      <c r="AB160" s="72" t="n">
        <v>-29</v>
      </c>
      <c r="AC160" s="72" t="n">
        <v>-15.49</v>
      </c>
      <c r="AD160" s="72" t="n">
        <v>-25</v>
      </c>
      <c r="AE160" s="72" t="n">
        <v>-15</v>
      </c>
      <c r="AF160" s="72" t="n">
        <v>-31</v>
      </c>
      <c r="AG160" s="72" t="n">
        <v>25</v>
      </c>
      <c r="AH160" s="72" t="n">
        <v>41.67</v>
      </c>
      <c r="AI160" s="72" t="n">
        <v>15</v>
      </c>
      <c r="AJ160" s="72" t="n">
        <v>-25.04</v>
      </c>
      <c r="AK160" s="72" t="n">
        <v>-26.17</v>
      </c>
      <c r="AL160" s="72" t="n">
        <v>-28.66</v>
      </c>
      <c r="AM160" s="72" t="n">
        <v>28.03</v>
      </c>
      <c r="AN160" s="72" t="n">
        <v>11.17</v>
      </c>
      <c r="AO160" s="72" t="n">
        <v>13.64</v>
      </c>
      <c r="AP160" s="62" t="inlineStr">
        <is>
          <t>Hang Seng Commerce &amp; Industry sub-index</t>
        </is>
      </c>
      <c r="AQ160" s="72" t="n">
        <v>-26</v>
      </c>
      <c r="AR160" s="63" t="inlineStr">
        <is>
          <t>2026-08-20</t>
        </is>
      </c>
      <c r="AS160" s="64" t="n">
        <v>484.4</v>
      </c>
      <c r="AT160" s="67" t="n">
        <v>41.4</v>
      </c>
      <c r="AU160" s="62" t="inlineStr">
        <is>
          <t>Y</t>
        </is>
      </c>
      <c r="AV160" s="73" t="n">
        <v>13.3</v>
      </c>
      <c r="AW160" s="73" t="n"/>
      <c r="AX160" s="73" t="n">
        <v>28.6</v>
      </c>
      <c r="AY160" s="73" t="n">
        <v>1.1</v>
      </c>
      <c r="AZ160" s="74" t="inlineStr">
        <is>
          <t>N</t>
        </is>
      </c>
      <c r="BA160" s="75">
        <f>IF('BBG Verify'!K160="","not filed — run on terminal",'BBG Verify'!K160)</f>
        <v/>
      </c>
      <c r="BB160" s="62" t="inlineStr">
        <is>
          <t>N/A</t>
        </is>
      </c>
      <c r="BC160" s="62" t="inlineStr">
        <is>
          <t>N/A</t>
        </is>
      </c>
      <c r="BD160" s="62" t="inlineStr">
        <is>
          <t>N/A</t>
        </is>
      </c>
      <c r="BE160" s="62" t="inlineStr">
        <is>
          <t>N/A</t>
        </is>
      </c>
      <c r="BF160" s="62" t="inlineStr">
        <is>
          <t>N/A</t>
        </is>
      </c>
      <c r="BG160" s="74" t="inlineStr">
        <is>
          <t>Zhongtai International Capital Limited; OC Zhongtai International Securities Limited</t>
        </is>
      </c>
      <c r="BH160" s="62" t="inlineStr">
        <is>
          <t>Zhongtai International Capital Limited</t>
        </is>
      </c>
      <c r="BI160" s="62" t="inlineStr">
        <is>
          <t>Zhongtai International Securities Limited; BOCOM International Securities Limited; SPDB International Capital Limited; GF Securities (Hong Kong) Brokerage Limited; CEB International Capital Corporation Limited; Southwest Securities (HK) Brokerage Limited; First Shanghai Securities Limited; China Tonghai Securities Limited; Zheshang International Financial Holdings Co., Limited; ZMF Asset Management Limited</t>
        </is>
      </c>
      <c r="BJ160" s="62" t="inlineStr">
        <is>
          <t>Beta International Securities Limited; CEB International Capital Corporation Limited; China Tonghai Securities Limited; China PA Securities (Hong Kong) Company Limited; First Shanghai Securities Limited; GF Securities (Hong Kong) Brokerage Limited; Goldlink Securities Limited; Sunhigh Financial Holdings Limited; SPDB International Capital Limited; Southwest Securities (HK) Brokerage Limited; West Bull Securities Limited; Zheshang International Financial Holdings Co., Limited</t>
        </is>
      </c>
      <c r="BK160" s="76">
        <f>HYPERLINK("https://www1.hkexnews.hk/listedco/listconews/sehk/2022/1129/2022112900024.htm","prospectus")</f>
        <v/>
      </c>
      <c r="BL160" s="76">
        <f>HYPERLINK("https://www1.hkexnews.hk/listedco/listconews/sehk/2022/1214/2022121400106.htm","allotment")</f>
        <v/>
      </c>
      <c r="BM160" s="76">
        <f>HYPERLINK("https://www1.hkexnews.hk/listedco/listconews/sehk/2023/0106/2023010600817.pdf","stabilisation")</f>
        <v/>
      </c>
      <c r="BN160" s="74" t="n"/>
      <c r="BO160" s="62" t="inlineStr">
        <is>
          <t>A/H: no A-share listing</t>
        </is>
      </c>
    </row>
    <row r="161" ht="15" customHeight="1">
      <c r="A161" s="61" t="inlineStr">
        <is>
          <t>2145</t>
        </is>
      </c>
      <c r="B161" s="62" t="inlineStr">
        <is>
          <t>CHICMAX</t>
        </is>
      </c>
      <c r="C161" s="62" t="inlineStr">
        <is>
          <t>上美股份</t>
        </is>
      </c>
      <c r="D161" s="62" t="inlineStr">
        <is>
          <t>Consumer</t>
        </is>
      </c>
      <c r="E161" s="62" t="inlineStr">
        <is>
          <t>Beauty / personal care</t>
        </is>
      </c>
      <c r="F161" s="62" t="inlineStr">
        <is>
          <t>Beauty &amp; Toiletries Products and Services</t>
        </is>
      </c>
      <c r="G161" s="62" t="inlineStr">
        <is>
          <t>Standard</t>
        </is>
      </c>
      <c r="H161" s="63" t="n">
        <v>44917</v>
      </c>
      <c r="I161" s="64" t="n">
        <v>136.2</v>
      </c>
      <c r="J161" s="62" t="inlineStr">
        <is>
          <t>net proceeds</t>
        </is>
      </c>
      <c r="K161" s="65" t="n"/>
      <c r="L161" s="65" t="n">
        <v>29.8</v>
      </c>
      <c r="M161" s="65" t="n">
        <v>25.2</v>
      </c>
      <c r="N161" s="62" t="inlineStr">
        <is>
          <t>N</t>
        </is>
      </c>
      <c r="O161" s="66" t="n">
        <v>84.59999999999999</v>
      </c>
      <c r="P161" s="66" t="n"/>
      <c r="Q161" s="67" t="n">
        <v>11576.5</v>
      </c>
      <c r="R161" s="62" t="inlineStr">
        <is>
          <t>aastocks:上市市值 at the struck price</t>
        </is>
      </c>
      <c r="S161" s="68" t="n">
        <v>0.48</v>
      </c>
      <c r="T161" s="69" t="n">
        <v>1.42</v>
      </c>
      <c r="U161" s="70" t="n">
        <v>0</v>
      </c>
      <c r="V161" s="66" t="n">
        <v>1.18</v>
      </c>
      <c r="W161" s="62" t="n"/>
      <c r="X161" s="62" t="n"/>
      <c r="Y161" s="66" t="n">
        <v>10.6</v>
      </c>
      <c r="Z161" s="62" t="inlineStr">
        <is>
          <t>partial</t>
        </is>
      </c>
      <c r="AA161" s="71" t="n">
        <v>0</v>
      </c>
      <c r="AB161" s="72" t="n">
        <v>0</v>
      </c>
      <c r="AC161" s="72" t="n">
        <v>0</v>
      </c>
      <c r="AD161" s="72" t="n">
        <v>19.05</v>
      </c>
      <c r="AE161" s="72" t="n">
        <v>20.63</v>
      </c>
      <c r="AF161" s="72" t="n">
        <v>0.79</v>
      </c>
      <c r="AG161" s="72" t="n">
        <v>19.05</v>
      </c>
      <c r="AH161" s="72" t="n">
        <v>20.63</v>
      </c>
      <c r="AI161" s="72" t="n">
        <v>0.79</v>
      </c>
      <c r="AJ161" s="72" t="n">
        <v>13.54</v>
      </c>
      <c r="AK161" s="72" t="n">
        <v>3.49</v>
      </c>
      <c r="AL161" s="72" t="n">
        <v>-5.67</v>
      </c>
      <c r="AM161" s="72" t="n">
        <v>7.85</v>
      </c>
      <c r="AN161" s="72" t="n">
        <v>17.14</v>
      </c>
      <c r="AO161" s="72" t="n">
        <v>12.78</v>
      </c>
      <c r="AP161" s="62" t="inlineStr">
        <is>
          <t>Hang Seng Commerce &amp; Industry sub-index</t>
        </is>
      </c>
      <c r="AQ161" s="72" t="n">
        <v>-3.81</v>
      </c>
      <c r="AR161" s="63" t="inlineStr">
        <is>
          <t>2026-08-20</t>
        </is>
      </c>
      <c r="AS161" s="64" t="n">
        <v>3980.8</v>
      </c>
      <c r="AT161" s="67" t="n">
        <v>372.7</v>
      </c>
      <c r="AU161" s="62" t="inlineStr">
        <is>
          <t>Y</t>
        </is>
      </c>
      <c r="AV161" s="73" t="n">
        <v>31.1</v>
      </c>
      <c r="AW161" s="73" t="n"/>
      <c r="AX161" s="73" t="n">
        <v>9</v>
      </c>
      <c r="AY161" s="73" t="n">
        <v>2.9</v>
      </c>
      <c r="AZ161" s="74" t="inlineStr">
        <is>
          <t>N</t>
        </is>
      </c>
      <c r="BA161" s="75">
        <f>IF('BBG Verify'!K161="","not filed — run on terminal",'BBG Verify'!K161)</f>
        <v/>
      </c>
      <c r="BB161" s="62" t="inlineStr">
        <is>
          <t>N/A</t>
        </is>
      </c>
      <c r="BC161" s="62" t="inlineStr">
        <is>
          <t>N/A</t>
        </is>
      </c>
      <c r="BD161" s="62" t="inlineStr">
        <is>
          <t>N/A</t>
        </is>
      </c>
      <c r="BE161" s="62" t="inlineStr">
        <is>
          <t>N/A</t>
        </is>
      </c>
      <c r="BF161" s="62" t="inlineStr">
        <is>
          <t>N/A</t>
        </is>
      </c>
      <c r="BG161" s="74" t="inlineStr">
        <is>
          <t>J.P. Morgan Securities (Far East) Limited; China International Capital Corporation Hong Kong Securities Limited; CLSA Capital Markets Limited</t>
        </is>
      </c>
      <c r="BH161" s="62" t="inlineStr">
        <is>
          <t>China International Capital Corporation Hong Kong Securities Limited; J.P. Morgan Securities (Far East) Limited; CLSA Capital Markets Limited</t>
        </is>
      </c>
      <c r="BI161" s="62" t="inlineStr">
        <is>
          <t>J.P. Morgan Securities (Asia Pacific) Limited; China International Capital Corporation Hong Kong Securities Limited; CLSA Limited; J.P. Morgan Securities plc; Shenwan Hongyuan Securities (H.K.) Limited; Tiger Brokers (HK) Global Limited; Futu Securities International (Hong Kong) Limited; No.95 Queensway Admiralty, Hong Kong Valuable Capital Limited; BOCI Asia Limited</t>
        </is>
      </c>
      <c r="BJ161" s="62" t="inlineStr">
        <is>
          <t>BOCI Asia Limited; China International Capital Corporation Hong Kong Securities Limited; CLSA Limited; Futu Securities International (Hong Kong) Limited; J.P. Morgan Securities (Asia Pacific) Limited; Shenwan Hongyuan Securities (H.K.) Limited; Tiger Brokers (HK) Global Limited; Valuable Capital Limited; Zhongtai International Securities Limited</t>
        </is>
      </c>
      <c r="BK161" s="76">
        <f>HYPERLINK("https://www1.hkexnews.hk/listedco/listconews/sehk/2022/1212/2022121200011.pdf","prospectus")</f>
        <v/>
      </c>
      <c r="BL161" s="76">
        <f>HYPERLINK("https://www1.hkexnews.hk/listedco/listconews/sehk/2022/1221/2022122100048.htm","allotment")</f>
        <v/>
      </c>
      <c r="BM161" s="76">
        <f>HYPERLINK("https://www1.hkexnews.hk/listedco/listconews/sehk/2023/0116/2023011600073.pdf","stabilisation")</f>
        <v/>
      </c>
      <c r="BN161" s="74" t="n"/>
      <c r="BO161" s="62" t="inlineStr">
        <is>
          <t>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t>
        </is>
      </c>
    </row>
    <row r="162" ht="15" customHeight="1">
      <c r="A162" s="61" t="inlineStr">
        <is>
          <t>0314</t>
        </is>
      </c>
      <c r="B162" s="62" t="inlineStr">
        <is>
          <t>SIPAI HEALTH</t>
        </is>
      </c>
      <c r="C162" s="62" t="inlineStr">
        <is>
          <t>思派健康</t>
        </is>
      </c>
      <c r="D162" s="62" t="inlineStr">
        <is>
          <t>Healthcare</t>
        </is>
      </c>
      <c r="E162" s="62" t="inlineStr">
        <is>
          <t>Digital health</t>
        </is>
      </c>
      <c r="F162" s="62" t="inlineStr">
        <is>
          <t>Health Care Supplies</t>
        </is>
      </c>
      <c r="G162" s="62" t="inlineStr">
        <is>
          <t>Standard</t>
        </is>
      </c>
      <c r="H162" s="63" t="n">
        <v>44918</v>
      </c>
      <c r="I162" s="64" t="n">
        <v>184.5</v>
      </c>
      <c r="J162" s="62" t="inlineStr">
        <is>
          <t>gross (price x shares)</t>
        </is>
      </c>
      <c r="K162" s="65" t="n"/>
      <c r="L162" s="65" t="n">
        <v>18.6</v>
      </c>
      <c r="M162" s="65" t="n">
        <v>18.6</v>
      </c>
      <c r="N162" s="62" t="inlineStr">
        <is>
          <t>Y</t>
        </is>
      </c>
      <c r="O162" s="66" t="n">
        <v>100</v>
      </c>
      <c r="P162" s="66" t="n"/>
      <c r="Q162" s="67" t="n">
        <v>4000</v>
      </c>
      <c r="R162" s="62" t="inlineStr">
        <is>
          <t>prospectus:stated market capitalisation</t>
        </is>
      </c>
      <c r="S162" s="68" t="n">
        <v>8.27</v>
      </c>
      <c r="T162" s="69" t="n">
        <v>1.41</v>
      </c>
      <c r="U162" s="70" t="n">
        <v>0</v>
      </c>
      <c r="V162" s="66" t="n">
        <v>4.61</v>
      </c>
      <c r="W162" s="62" t="n"/>
      <c r="X162" s="62" t="n"/>
      <c r="Y162" s="66" t="n">
        <v>12.94</v>
      </c>
      <c r="Z162" s="62" t="inlineStr">
        <is>
          <t>lapsed</t>
        </is>
      </c>
      <c r="AA162" s="71" t="n">
        <v>34.41</v>
      </c>
      <c r="AB162" s="72" t="n">
        <v>27.42</v>
      </c>
      <c r="AC162" s="72" t="n">
        <v>5.49</v>
      </c>
      <c r="AD162" s="72" t="n">
        <v>0</v>
      </c>
      <c r="AE162" s="72" t="n">
        <v>7.42</v>
      </c>
      <c r="AF162" s="72" t="n">
        <v>97.84999999999999</v>
      </c>
      <c r="AG162" s="72" t="n">
        <v>-25.6</v>
      </c>
      <c r="AH162" s="72" t="n">
        <v>-20.08</v>
      </c>
      <c r="AI162" s="72" t="n">
        <v>47.2</v>
      </c>
      <c r="AJ162" s="72" t="n">
        <v>-8.31</v>
      </c>
      <c r="AK162" s="72" t="n">
        <v>-5.25</v>
      </c>
      <c r="AL162" s="72" t="n">
        <v>97.47</v>
      </c>
      <c r="AM162" s="72" t="n">
        <v>-32.06</v>
      </c>
      <c r="AN162" s="72" t="n">
        <v>12.67</v>
      </c>
      <c r="AO162" s="72" t="n">
        <v>11.98</v>
      </c>
      <c r="AP162" s="62" t="inlineStr">
        <is>
          <t>China Biotech ETF (HS biotech proxy)</t>
        </is>
      </c>
      <c r="AQ162" s="72" t="n">
        <v>-91.95999999999999</v>
      </c>
      <c r="AR162" s="63" t="inlineStr">
        <is>
          <t>2026-08-20</t>
        </is>
      </c>
      <c r="AS162" s="64" t="n">
        <v>3821.3</v>
      </c>
      <c r="AT162" s="67" t="n">
        <v>-4114.5</v>
      </c>
      <c r="AU162" s="62" t="inlineStr">
        <is>
          <t>N</t>
        </is>
      </c>
      <c r="AV162" s="62" t="inlineStr">
        <is>
          <t>n/m</t>
        </is>
      </c>
      <c r="AW162" s="73" t="n"/>
      <c r="AX162" s="73" t="n"/>
      <c r="AY162" s="73" t="n">
        <v>1</v>
      </c>
      <c r="AZ162" s="74" t="inlineStr">
        <is>
          <t>N</t>
        </is>
      </c>
      <c r="BA162" s="75">
        <f>IF('BBG Verify'!K162="","not filed — run on terminal",'BBG Verify'!K162)</f>
        <v/>
      </c>
      <c r="BB162" s="62" t="inlineStr">
        <is>
          <t>N/A</t>
        </is>
      </c>
      <c r="BC162" s="62" t="inlineStr">
        <is>
          <t>N/A</t>
        </is>
      </c>
      <c r="BD162" s="62" t="inlineStr">
        <is>
          <t>N/A</t>
        </is>
      </c>
      <c r="BE162" s="62" t="inlineStr">
        <is>
          <t>N/A</t>
        </is>
      </c>
      <c r="BF162" s="62" t="inlineStr">
        <is>
          <t>N/A</t>
        </is>
      </c>
      <c r="BG162" s="74" t="inlineStr">
        <is>
          <t>Morgan Stanley Asia Limited; Haitong International Capital Limited; Haitong International Securities Company Limited</t>
        </is>
      </c>
      <c r="BH162" s="62" t="inlineStr">
        <is>
          <t>Morgan Stanley Asia Limited; Haitong International Capital Limited</t>
        </is>
      </c>
      <c r="BI162" s="62" t="inlineStr">
        <is>
          <t>Futu Securities International (Hong Kong) Limited; Haitong International Securities Company Limited; I Win Securities Limited; Maxa Capital Limited; Morgan Stanley Asia Limited</t>
        </is>
      </c>
      <c r="BJ162" s="62" t="inlineStr">
        <is>
          <t>Futu Securities International (Hong Kong) Limited; Haitong International Securities Company Limited; I Win Securities Limited; Maxa Capital Limited; Morgan Stanley Asia Limited</t>
        </is>
      </c>
      <c r="BK162" s="76">
        <f>HYPERLINK("https://www1.hkexnews.hk/listedco/listconews/sehk/2022/1212/2022121200024.htm","prospectus")</f>
        <v/>
      </c>
      <c r="BL162" s="76">
        <f>HYPERLINK("https://www1.hkexnews.hk/listedco/listconews/sehk/2022/1222/2022122200018.htm","allotment")</f>
        <v/>
      </c>
      <c r="BM162" s="76">
        <f>HYPERLINK("https://www1.hkexnews.hk/listedco/listconews/sehk/2023/0115/2023011500007.pdf","stabilisation")</f>
        <v/>
      </c>
      <c r="BN162" s="74" t="n"/>
      <c r="BO162" s="62" t="inlineStr">
        <is>
          <t>P/E: n/m — loss-making at IPO (use P/S) · price range: fixed-price offering (no indicative range) · range low: cap-only pricing — the filing publishes a Maximum Offer Price and no indicative floor · A/H: no A-share listing · cornerstone list: no cornerstone tranche in this deal</t>
        </is>
      </c>
    </row>
    <row r="163" ht="15" customHeight="1">
      <c r="A163" s="61" t="inlineStr">
        <is>
          <t>6929</t>
        </is>
      </c>
      <c r="B163" s="62" t="inlineStr">
        <is>
          <t>ORBUSNEICH</t>
        </is>
      </c>
      <c r="C163" s="62" t="inlineStr">
        <is>
          <t>業聚醫療</t>
        </is>
      </c>
      <c r="D163" s="62" t="inlineStr">
        <is>
          <t>Healthcare</t>
        </is>
      </c>
      <c r="E163" s="62" t="inlineStr">
        <is>
          <t>Medical devices</t>
        </is>
      </c>
      <c r="F163" s="62" t="inlineStr">
        <is>
          <t>Health Care Equipment</t>
        </is>
      </c>
      <c r="G163" s="62" t="inlineStr">
        <is>
          <t>Standard</t>
        </is>
      </c>
      <c r="H163" s="63" t="n">
        <v>44918</v>
      </c>
      <c r="I163" s="64" t="n">
        <v>480.8</v>
      </c>
      <c r="J163" s="62" t="inlineStr">
        <is>
          <t>gross (price x shares)</t>
        </is>
      </c>
      <c r="K163" s="65" t="n"/>
      <c r="L163" s="65" t="n">
        <v>8.800000000000001</v>
      </c>
      <c r="M163" s="65" t="n">
        <v>8.800000000000001</v>
      </c>
      <c r="N163" s="62" t="inlineStr">
        <is>
          <t>Y</t>
        </is>
      </c>
      <c r="O163" s="66" t="n">
        <v>100</v>
      </c>
      <c r="P163" s="66" t="n"/>
      <c r="Q163" s="67" t="n">
        <v>7284</v>
      </c>
      <c r="R163" s="62" t="inlineStr">
        <is>
          <t>prospectus:stated market capitalisation</t>
        </is>
      </c>
      <c r="S163" s="68" t="n">
        <v>2.01</v>
      </c>
      <c r="T163" s="69" t="n">
        <v>1.09</v>
      </c>
      <c r="U163" s="70" t="n">
        <v>72.59999999999999</v>
      </c>
      <c r="V163" s="66" t="n">
        <v>1.81</v>
      </c>
      <c r="W163" s="62" t="inlineStr">
        <is>
          <t>Hangzhou Fuyang Industrial Fund Investment Management Co., Ltd</t>
        </is>
      </c>
      <c r="X163" s="62" t="inlineStr">
        <is>
          <t>hangzhou-fuyang</t>
        </is>
      </c>
      <c r="Y163" s="66" t="n"/>
      <c r="Z163" s="62" t="n"/>
      <c r="AA163" s="71" t="n">
        <v>3.98</v>
      </c>
      <c r="AB163" s="72" t="n">
        <v>0</v>
      </c>
      <c r="AC163" s="72" t="n">
        <v>3.98</v>
      </c>
      <c r="AD163" s="72" t="n">
        <v>-5.11</v>
      </c>
      <c r="AE163" s="72" t="n">
        <v>-6.25</v>
      </c>
      <c r="AF163" s="72" t="n">
        <v>45.68</v>
      </c>
      <c r="AG163" s="72" t="n">
        <v>-8.74</v>
      </c>
      <c r="AH163" s="72" t="n">
        <v>-9.84</v>
      </c>
      <c r="AI163" s="72" t="n">
        <v>40.1</v>
      </c>
      <c r="AJ163" s="72" t="n">
        <v>-13.42</v>
      </c>
      <c r="AK163" s="72" t="n">
        <v>-18.92</v>
      </c>
      <c r="AL163" s="72" t="n">
        <v>45.3</v>
      </c>
      <c r="AM163" s="72" t="n">
        <v>-21.82</v>
      </c>
      <c r="AN163" s="72" t="n">
        <v>12.67</v>
      </c>
      <c r="AO163" s="72" t="n">
        <v>11.98</v>
      </c>
      <c r="AP163" s="62" t="inlineStr">
        <is>
          <t>China Biotech ETF (HS biotech proxy)</t>
        </is>
      </c>
      <c r="AQ163" s="72" t="n">
        <v>-53.92</v>
      </c>
      <c r="AR163" s="63" t="inlineStr">
        <is>
          <t>2026-08-20</t>
        </is>
      </c>
      <c r="AS163" s="64" t="n">
        <v>908.4</v>
      </c>
      <c r="AT163" s="67" t="n">
        <v>-10.3</v>
      </c>
      <c r="AU163" s="62" t="inlineStr">
        <is>
          <t>N</t>
        </is>
      </c>
      <c r="AV163" s="62" t="inlineStr">
        <is>
          <t>n/m</t>
        </is>
      </c>
      <c r="AW163" s="73" t="n"/>
      <c r="AX163" s="73" t="n">
        <v>9.699999999999999</v>
      </c>
      <c r="AY163" s="73" t="n">
        <v>8</v>
      </c>
      <c r="AZ163" s="74" t="inlineStr">
        <is>
          <t>N</t>
        </is>
      </c>
      <c r="BA163" s="75">
        <f>IF('BBG Verify'!K163="","not filed — run on terminal",'BBG Verify'!K163)</f>
        <v/>
      </c>
      <c r="BB163" s="62" t="inlineStr">
        <is>
          <t>N/A</t>
        </is>
      </c>
      <c r="BC163" s="62" t="inlineStr">
        <is>
          <t>N/A</t>
        </is>
      </c>
      <c r="BD163" s="62" t="inlineStr">
        <is>
          <t>N/A</t>
        </is>
      </c>
      <c r="BE163" s="62" t="inlineStr">
        <is>
          <t>N/A</t>
        </is>
      </c>
      <c r="BF163" s="62" t="inlineStr">
        <is>
          <t>N/A</t>
        </is>
      </c>
      <c r="BG163" s="74" t="inlineStr">
        <is>
          <t>China International Capital Corporation Hong Kong Securities Limited; CCB International Capital Limited</t>
        </is>
      </c>
      <c r="BH163" s="62" t="inlineStr">
        <is>
          <t>CCB International Capital Limited; China International Capital Corporation (HK) Ltd</t>
        </is>
      </c>
      <c r="BI163" s="62" t="inlineStr">
        <is>
          <t>China International Capital Corporation Hong Kong Securities Limited; CCB International Capital Limited; BNP Paribas Securities (Asia) Limited; CLSA Limited; China Merchants Securities (HK) Co., Limited; ZMF Asset Management Limited; Futu Securities International (Hong Kong) Limited</t>
        </is>
      </c>
      <c r="BJ163" s="62" t="inlineStr">
        <is>
          <t>BNP Paribas Securities (Asia) Limited; CCB International Capital Limited; China International Capital Corporation Hong Kong Securities Limited; CLSA Limited; China Merchants Securities (HK) Company Limited; Futu Securities International (Hong Kong) Limited; Yue Xiu Securities Company Limited; ZMF Asset Management Limited</t>
        </is>
      </c>
      <c r="BK163" s="76">
        <f>HYPERLINK("https://www1.hkexnews.hk/listedco/listconews/sehk/2022/1213/2022121300009.pdf","prospectus")</f>
        <v/>
      </c>
      <c r="BL163" s="76">
        <f>HYPERLINK("https://www1.hkexnews.hk/listedco/listconews/sehk/2022/1222/2022122200034.htm","allotment")</f>
        <v/>
      </c>
      <c r="BM163" s="62" t="n"/>
      <c r="BN163" s="74" t="n"/>
      <c r="BO163" s="62"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t>
        </is>
      </c>
    </row>
    <row r="164" ht="15" customHeight="1">
      <c r="A164" s="61" t="inlineStr">
        <is>
          <t>2427</t>
        </is>
      </c>
      <c r="B164" s="62" t="inlineStr">
        <is>
          <t>GUANZE MEDICAL</t>
        </is>
      </c>
      <c r="C164" s="62" t="inlineStr">
        <is>
          <t>GUANZE MEDICAL</t>
        </is>
      </c>
      <c r="D164" s="62" t="inlineStr">
        <is>
          <t>Healthcare</t>
        </is>
      </c>
      <c r="E164" s="62" t="inlineStr">
        <is>
          <t>Medical devices</t>
        </is>
      </c>
      <c r="F164" s="62" t="inlineStr">
        <is>
          <t>Health Care Services</t>
        </is>
      </c>
      <c r="G164" s="62" t="inlineStr">
        <is>
          <t>Standard</t>
        </is>
      </c>
      <c r="H164" s="63" t="n">
        <v>44924</v>
      </c>
      <c r="I164" s="64" t="n">
        <v>102.2</v>
      </c>
      <c r="J164" s="62" t="inlineStr">
        <is>
          <t>gross (price x shares)</t>
        </is>
      </c>
      <c r="K164" s="65" t="n">
        <v>0.53</v>
      </c>
      <c r="L164" s="65" t="n">
        <v>0.63</v>
      </c>
      <c r="M164" s="65" t="n">
        <v>0.53</v>
      </c>
      <c r="N164" s="62" t="inlineStr">
        <is>
          <t>N</t>
        </is>
      </c>
      <c r="O164" s="66" t="n">
        <v>84.09999999999999</v>
      </c>
      <c r="P164" s="66" t="n">
        <v>0</v>
      </c>
      <c r="Q164" s="67" t="n">
        <v>583.4</v>
      </c>
      <c r="R164" s="62" t="inlineStr">
        <is>
          <t>aastocks:上市市值 at the struck price</t>
        </is>
      </c>
      <c r="S164" s="68" t="n">
        <v>14.23</v>
      </c>
      <c r="T164" s="69" t="n">
        <v>1.2</v>
      </c>
      <c r="U164" s="70" t="n">
        <v>24</v>
      </c>
      <c r="V164" s="66" t="n">
        <v>13.31</v>
      </c>
      <c r="W164" s="62" t="inlineStr">
        <is>
          <t>Carsonlin Investment Ltd; Mu Min; Yang Xinyun</t>
        </is>
      </c>
      <c r="X164" s="62" t="inlineStr">
        <is>
          <t>carsonlin;mu;yang-xinyun</t>
        </is>
      </c>
      <c r="Y164" s="66" t="n">
        <v>10</v>
      </c>
      <c r="Z164" s="62" t="inlineStr">
        <is>
          <t>lapsed (no over-allocation)</t>
        </is>
      </c>
      <c r="AA164" s="71" t="n">
        <v>230.19</v>
      </c>
      <c r="AB164" s="72" t="n">
        <v>126.42</v>
      </c>
      <c r="AC164" s="72" t="n">
        <v>45.83</v>
      </c>
      <c r="AD164" s="72" t="n">
        <v>281.13</v>
      </c>
      <c r="AE164" s="72" t="n">
        <v>196.23</v>
      </c>
      <c r="AF164" s="72" t="n">
        <v>696.23</v>
      </c>
      <c r="AG164" s="72" t="n">
        <v>15.43</v>
      </c>
      <c r="AH164" s="72" t="n">
        <v>-10.28</v>
      </c>
      <c r="AI164" s="72" t="n">
        <v>141.14</v>
      </c>
      <c r="AJ164" s="72" t="n">
        <v>273.69</v>
      </c>
      <c r="AK164" s="72" t="n">
        <v>182.72</v>
      </c>
      <c r="AL164" s="72" t="n">
        <v>699.04</v>
      </c>
      <c r="AM164" s="72" t="n">
        <v>-20.57</v>
      </c>
      <c r="AN164" s="72" t="n">
        <v>13.51</v>
      </c>
      <c r="AO164" s="72" t="n">
        <v>10.29</v>
      </c>
      <c r="AP164" s="62" t="inlineStr">
        <is>
          <t>China Biotech ETF (HS biotech proxy)</t>
        </is>
      </c>
      <c r="AQ164" s="72" t="n">
        <v>333.96</v>
      </c>
      <c r="AR164" s="63" t="inlineStr">
        <is>
          <t>2026-08-20</t>
        </is>
      </c>
      <c r="AS164" s="64" t="n">
        <v>232.1</v>
      </c>
      <c r="AT164" s="67" t="n">
        <v>25.4</v>
      </c>
      <c r="AU164" s="62" t="inlineStr">
        <is>
          <t>Y</t>
        </is>
      </c>
      <c r="AV164" s="73" t="n">
        <v>23</v>
      </c>
      <c r="AW164" s="73" t="n"/>
      <c r="AX164" s="73" t="n"/>
      <c r="AY164" s="73" t="n">
        <v>2.5</v>
      </c>
      <c r="AZ164" s="74" t="inlineStr">
        <is>
          <t>N</t>
        </is>
      </c>
      <c r="BA164" s="75">
        <f>IF('BBG Verify'!K164="","not filed — run on terminal",'BBG Verify'!K164)</f>
        <v/>
      </c>
      <c r="BB164" s="62" t="inlineStr">
        <is>
          <t>N/A</t>
        </is>
      </c>
      <c r="BC164" s="62" t="inlineStr">
        <is>
          <t>N/A</t>
        </is>
      </c>
      <c r="BD164" s="62" t="inlineStr">
        <is>
          <t>N/A</t>
        </is>
      </c>
      <c r="BE164" s="62" t="inlineStr">
        <is>
          <t>N/A</t>
        </is>
      </c>
      <c r="BF164" s="62" t="inlineStr">
        <is>
          <t>N/A</t>
        </is>
      </c>
      <c r="BG164" s="74" t="inlineStr">
        <is>
          <t>Southwest Securities (HK) Capital Limited</t>
        </is>
      </c>
      <c r="BH164" s="62" t="inlineStr">
        <is>
          <t>Southwest Securities (HK) Capital Limited</t>
        </is>
      </c>
      <c r="BI164" s="62" t="inlineStr">
        <is>
          <t>Southwest Securities (HK) Brokerage Limited; Goldlink Securities Limited; Wanchai, Hong Kong Lead Securities (HK) Limited; Wanchai, Hong Kong BOCOM International S ecurities Limited; Shenwan Hongyuan Securi ties (H.K.) Limited; SPDB International Capital Limited; Zhongtai International Securities Limited; Central, Hong Kong Alpha Financial Group Limited; Central, Hong Kong Elstone Securities Limited</t>
        </is>
      </c>
      <c r="BJ164" s="62" t="inlineStr">
        <is>
          <t>Alpha Financial Group Limited; Beta International Securities Limited; Elstone Securities Limited; Goldlink Securities Limited; ICBC International Securities Limited; I Win Securities Limited; Lead Securities (HK) Limited; Shenwan Hongyuan Securities (H.K.) Limited; SPDB International Capital Limited; Southwest Securities (HK) Brokerage Limited; Zhongtai International Securities Limited</t>
        </is>
      </c>
      <c r="BK164" s="76">
        <f>HYPERLINK("https://www1.hkexnews.hk/listedco/listconews/sehk/2022/1215/2022121500017.pdf","prospectus")</f>
        <v/>
      </c>
      <c r="BL164" s="76">
        <f>HYPERLINK("https://www1.hkexnews.hk/listedco/listconews/sehk/2022/1228/2022122800004.htm","allotment")</f>
        <v/>
      </c>
      <c r="BM164" s="76">
        <f>HYPERLINK("https://www1.hkexnews.hk/listedco/listconews/sehk/2023/0119/2023011900669.pdf","stabilisation")</f>
        <v/>
      </c>
      <c r="BN164" s="74" t="n"/>
      <c r="BO164" s="62" t="inlineStr">
        <is>
          <t>A/H: no A-share listing · market cap: estimate from deal size / offer % of enlarged capital disagreed with the published listing cap — published figure adopted</t>
        </is>
      </c>
    </row>
    <row r="165" ht="15" customHeight="1">
      <c r="A165" s="61" t="inlineStr">
        <is>
          <t>6698</t>
        </is>
      </c>
      <c r="B165" s="62" t="inlineStr">
        <is>
          <t>STAR CM</t>
        </is>
      </c>
      <c r="C165" s="62" t="inlineStr">
        <is>
          <t>星空華文</t>
        </is>
      </c>
      <c r="D165" s="62" t="inlineStr">
        <is>
          <t>TMT-other</t>
        </is>
      </c>
      <c r="E165" s="62" t="inlineStr">
        <is>
          <t>Media / advertising</t>
        </is>
      </c>
      <c r="F165" s="62" t="inlineStr">
        <is>
          <t>Movies &amp; Entertainment</t>
        </is>
      </c>
      <c r="G165" s="62" t="inlineStr">
        <is>
          <t>Standard</t>
        </is>
      </c>
      <c r="H165" s="63" t="n">
        <v>44924</v>
      </c>
      <c r="I165" s="64" t="n">
        <v>390.4</v>
      </c>
      <c r="J165" s="62" t="inlineStr">
        <is>
          <t>gross (price x shares)</t>
        </is>
      </c>
      <c r="K165" s="65" t="n"/>
      <c r="L165" s="65" t="n">
        <v>32.5</v>
      </c>
      <c r="M165" s="65" t="n">
        <v>26.5</v>
      </c>
      <c r="N165" s="62" t="inlineStr">
        <is>
          <t>N</t>
        </is>
      </c>
      <c r="O165" s="66" t="n">
        <v>81.5</v>
      </c>
      <c r="P165" s="66" t="n"/>
      <c r="Q165" s="67" t="n">
        <v>10551.4</v>
      </c>
      <c r="R165" s="62" t="inlineStr">
        <is>
          <t>derived:deal size / offer % of enlarged capital</t>
        </is>
      </c>
      <c r="S165" s="68" t="n">
        <v>5.12</v>
      </c>
      <c r="T165" s="69" t="n">
        <v>1.47</v>
      </c>
      <c r="U165" s="70" t="n">
        <v>10</v>
      </c>
      <c r="V165" s="66" t="n">
        <v>3.33</v>
      </c>
      <c r="W165" s="62" t="inlineStr">
        <is>
          <t>TradArt Investment SP</t>
        </is>
      </c>
      <c r="X165" s="62" t="inlineStr">
        <is>
          <t>tradart</t>
        </is>
      </c>
      <c r="Y165" s="66" t="n">
        <v>15</v>
      </c>
      <c r="Z165" s="62" t="inlineStr">
        <is>
          <t>partial</t>
        </is>
      </c>
      <c r="AA165" s="71" t="n">
        <v>70.56999999999999</v>
      </c>
      <c r="AB165" s="72" t="n">
        <v>22.83</v>
      </c>
      <c r="AC165" s="72" t="n">
        <v>38.87</v>
      </c>
      <c r="AD165" s="72" t="n">
        <v>76.59999999999999</v>
      </c>
      <c r="AE165" s="72" t="n">
        <v>198.3</v>
      </c>
      <c r="AF165" s="72" t="n">
        <v>277.36</v>
      </c>
      <c r="AG165" s="72" t="n">
        <v>3.54</v>
      </c>
      <c r="AH165" s="72" t="n">
        <v>74.88</v>
      </c>
      <c r="AI165" s="72" t="n">
        <v>121.23</v>
      </c>
      <c r="AJ165" s="72" t="n">
        <v>71.11</v>
      </c>
      <c r="AK165" s="72" t="n">
        <v>187.95</v>
      </c>
      <c r="AL165" s="72" t="n">
        <v>274.8</v>
      </c>
      <c r="AM165" s="72" t="n">
        <v>63.65</v>
      </c>
      <c r="AN165" s="72" t="n">
        <v>10.35</v>
      </c>
      <c r="AO165" s="72" t="n">
        <v>11.23</v>
      </c>
      <c r="AP165" s="62" t="inlineStr">
        <is>
          <t>Hang Seng Index</t>
        </is>
      </c>
      <c r="AQ165" s="72" t="n">
        <v>-96.79000000000001</v>
      </c>
      <c r="AR165" s="63" t="inlineStr">
        <is>
          <t>2026-08-20</t>
        </is>
      </c>
      <c r="AS165" s="64" t="n">
        <v>960.8</v>
      </c>
      <c r="AT165" s="67" t="n">
        <v>95.59999999999999</v>
      </c>
      <c r="AU165" s="62" t="inlineStr">
        <is>
          <t>Y</t>
        </is>
      </c>
      <c r="AV165" s="73" t="n">
        <v>110.4</v>
      </c>
      <c r="AW165" s="73" t="n"/>
      <c r="AX165" s="73" t="n"/>
      <c r="AY165" s="73" t="n">
        <v>11</v>
      </c>
      <c r="AZ165" s="74" t="inlineStr">
        <is>
          <t>N</t>
        </is>
      </c>
      <c r="BA165" s="75">
        <f>IF('BBG Verify'!K165="","not filed — run on terminal",'BBG Verify'!K165)</f>
        <v/>
      </c>
      <c r="BB165" s="62" t="inlineStr">
        <is>
          <t>N/A</t>
        </is>
      </c>
      <c r="BC165" s="62" t="inlineStr">
        <is>
          <t>N/A</t>
        </is>
      </c>
      <c r="BD165" s="62" t="inlineStr">
        <is>
          <t>N/A</t>
        </is>
      </c>
      <c r="BE165" s="62" t="inlineStr">
        <is>
          <t>N/A</t>
        </is>
      </c>
      <c r="BF165" s="62" t="inlineStr">
        <is>
          <t>N/A</t>
        </is>
      </c>
      <c r="BG165" s="74" t="inlineStr">
        <is>
          <t>China International Capital Corporation Hong Kong Securities Limited; China Securities (International) Corporate Finance Company Limited</t>
        </is>
      </c>
      <c r="BH165" s="62" t="inlineStr">
        <is>
          <t>China International Capital Corporation Hong Kong Securities Limited; China Securities (International) Corporate Finance Company Limited</t>
        </is>
      </c>
      <c r="BI165" s="62" t="inlineStr">
        <is>
          <t>China International Capital Corporation Hong Kong Securities Limited; China Securities (International) Corporate Finance Company Limited; Guotai Junan Securities (Hong Kong) Limited; Huatai Financial Holdings (Hong Kong) Limited; ABCI Capital Limited; Huarong International Securities Limited; Zheshang International Financial Holdings Co., Limited; China Everbright Securities (HK) Limited; Valuable Capital Limited; Livermore Holdings Limited; Tiger Brokers (HK) Global Limited</t>
        </is>
      </c>
      <c r="BJ165" s="62" t="inlineStr">
        <is>
          <t>ABCI Securities Company Limited; China Everbright Securities (HK) Limited; China International Capital Corporation Hong Kong Securities Limited; China Securities (International) Corporate Finance Company Limited; Differ Financial and Securities Limited; Guotai Junan Securities (Hong Kong) Limited; Huatai Financial Holdings (Hong Kong) Limited; Huarong International Securities Limited; Livermore Holdings Limited; Tiger Brokers (HK) Global Limited; Valuable Capital Limited; WE Securities Limited</t>
        </is>
      </c>
      <c r="BK165" s="76">
        <f>HYPERLINK("https://www1.hkexnews.hk/listedco/listconews/sehk/2022/1215/2022121500027.pdf","prospectus")</f>
        <v/>
      </c>
      <c r="BL165" s="76">
        <f>HYPERLINK("https://www1.hkexnews.hk/listedco/listconews/sehk/2022/1228/2022122800022.htm","allotment")</f>
        <v/>
      </c>
      <c r="BM165" s="76">
        <f>HYPERLINK("https://www1.hkexnews.hk/listedco/listconews/sehk/2023/0119/2023011901155.pdf","stabilisation")</f>
        <v/>
      </c>
      <c r="BN165" s="74" t="n"/>
      <c r="BO165" s="62" t="inlineStr">
        <is>
          <t>range low: cap-only pricing — the filing publishes a Maximum Offer Price and no indicative floor · A/H: no A-share listing · cornerstone: table parse read 97% but the institutional total implies 10% — parse rejected, the filed aggregate-amount sentence used (10.0%)</t>
        </is>
      </c>
    </row>
    <row r="166" ht="15" customHeight="1">
      <c r="A166" s="61" t="inlineStr">
        <is>
          <t>2425</t>
        </is>
      </c>
      <c r="B166" s="62" t="inlineStr">
        <is>
          <t>AUSTASIA GROUP</t>
        </is>
      </c>
      <c r="C166" s="62" t="inlineStr">
        <is>
          <t>澳亞集團</t>
        </is>
      </c>
      <c r="D166" s="62" t="inlineStr">
        <is>
          <t>Consumer</t>
        </is>
      </c>
      <c r="E166" s="62" t="inlineStr">
        <is>
          <t>Beverages / packaged food</t>
        </is>
      </c>
      <c r="F166" s="62" t="inlineStr">
        <is>
          <t>Dairy Products</t>
        </is>
      </c>
      <c r="G166" s="62" t="inlineStr">
        <is>
          <t>Standard</t>
        </is>
      </c>
      <c r="H166" s="63" t="n">
        <v>44925</v>
      </c>
      <c r="I166" s="64" t="n">
        <v>196.1</v>
      </c>
      <c r="J166" s="62" t="inlineStr">
        <is>
          <t>gross (price x shares)</t>
        </is>
      </c>
      <c r="K166" s="65" t="n"/>
      <c r="L166" s="65" t="n">
        <v>7</v>
      </c>
      <c r="M166" s="65" t="n">
        <v>6.4</v>
      </c>
      <c r="N166" s="62" t="inlineStr">
        <is>
          <t>N</t>
        </is>
      </c>
      <c r="O166" s="66" t="n">
        <v>91.40000000000001</v>
      </c>
      <c r="P166" s="66" t="n"/>
      <c r="Q166" s="67" t="n">
        <v>4476.5</v>
      </c>
      <c r="R166" s="62" t="inlineStr">
        <is>
          <t>prospectus:stated market capitalisation</t>
        </is>
      </c>
      <c r="S166" s="68" t="n">
        <v>2.08</v>
      </c>
      <c r="T166" s="69" t="n">
        <v>1.16</v>
      </c>
      <c r="U166" s="70" t="n">
        <v>44.1</v>
      </c>
      <c r="V166" s="66" t="n">
        <v>2.45</v>
      </c>
      <c r="W166" s="62" t="inlineStr">
        <is>
          <t>Proterra Asia Food Fund 3 VCC; Well Alliance Investment Holdings Limited</t>
        </is>
      </c>
      <c r="X166" s="62" t="inlineStr">
        <is>
          <t>proterra;well</t>
        </is>
      </c>
      <c r="Y166" s="66" t="n">
        <v>15</v>
      </c>
      <c r="Z166" s="62" t="inlineStr">
        <is>
          <t>partial</t>
        </is>
      </c>
      <c r="AA166" s="71" t="n">
        <v>-0.47</v>
      </c>
      <c r="AB166" s="72" t="n">
        <v>-4.69</v>
      </c>
      <c r="AC166" s="72" t="n">
        <v>4.43</v>
      </c>
      <c r="AD166" s="72" t="n">
        <v>-5.78</v>
      </c>
      <c r="AE166" s="72" t="n">
        <v>-22.97</v>
      </c>
      <c r="AF166" s="72" t="n">
        <v>-47.81</v>
      </c>
      <c r="AG166" s="72" t="n">
        <v>-5.34</v>
      </c>
      <c r="AH166" s="72" t="n">
        <v>-22.61</v>
      </c>
      <c r="AI166" s="72" t="n">
        <v>-47.56</v>
      </c>
      <c r="AJ166" s="72" t="n">
        <v>-15.78</v>
      </c>
      <c r="AK166" s="72" t="n">
        <v>-35.62</v>
      </c>
      <c r="AL166" s="72" t="n">
        <v>-51.22</v>
      </c>
      <c r="AM166" s="72" t="n">
        <v>-35.63</v>
      </c>
      <c r="AN166" s="72" t="n">
        <v>12.65</v>
      </c>
      <c r="AO166" s="72" t="n">
        <v>13.02</v>
      </c>
      <c r="AP166" s="62" t="inlineStr">
        <is>
          <t>Hang Seng Commerce &amp; Industry sub-index</t>
        </is>
      </c>
      <c r="AQ166" s="72" t="n">
        <v>-71.88</v>
      </c>
      <c r="AR166" s="63" t="inlineStr">
        <is>
          <t>2026-08-20</t>
        </is>
      </c>
      <c r="AS166" s="64" t="n">
        <v>4183.2</v>
      </c>
      <c r="AT166" s="67" t="n">
        <v>173.9</v>
      </c>
      <c r="AU166" s="62" t="inlineStr">
        <is>
          <t>Y</t>
        </is>
      </c>
      <c r="AV166" s="73" t="n">
        <v>25.7</v>
      </c>
      <c r="AW166" s="73" t="n">
        <v>5</v>
      </c>
      <c r="AX166" s="73" t="n"/>
      <c r="AY166" s="73" t="n">
        <v>1.1</v>
      </c>
      <c r="AZ166" s="74" t="inlineStr">
        <is>
          <t>N</t>
        </is>
      </c>
      <c r="BA166" s="75">
        <f>IF('BBG Verify'!K166="","not filed — run on terminal",'BBG Verify'!K166)</f>
        <v/>
      </c>
      <c r="BB166" s="62" t="inlineStr">
        <is>
          <t>N/A</t>
        </is>
      </c>
      <c r="BC166" s="62" t="inlineStr">
        <is>
          <t>N/A</t>
        </is>
      </c>
      <c r="BD166" s="62" t="inlineStr">
        <is>
          <t>N/A</t>
        </is>
      </c>
      <c r="BE166" s="62" t="inlineStr">
        <is>
          <t>N/A</t>
        </is>
      </c>
      <c r="BF166" s="62" t="inlineStr">
        <is>
          <t>N/A</t>
        </is>
      </c>
      <c r="BG166" s="74" t="inlineStr">
        <is>
          <t>China International Capital Corporation Hong Kong Securities Limited; DBS Asia Capital Limited</t>
        </is>
      </c>
      <c r="BH166" s="62" t="inlineStr">
        <is>
          <t>China International Capital Corporation Hong Kong Securities Limited; DBS Asia Capital Limited</t>
        </is>
      </c>
      <c r="BI166" s="62" t="inlineStr">
        <is>
          <t>China International Capital Corporation Hong Kong Securities Limited; DBS Asia Capital Limited; Daiwa Capital Markets Hong Kong Limited; ABCI Capital Limited; BOCOM International Securities Limited; Futu Securities International (Hong Kong) Limited</t>
        </is>
      </c>
      <c r="BJ166" s="62" t="inlineStr">
        <is>
          <t>ABCI Securities Company Limited; Beta International Securities Limited; China International Capital Corporation Hong Kong Securities Limited; DBS Asia Capital Limited; Daiwa Capital Markets Hong Kong Limited; Futu Securities International (Hong Kong) Limited; Silverbricks Securities Company Limited</t>
        </is>
      </c>
      <c r="BK166" s="76">
        <f>HYPERLINK("https://www1.hkexnews.hk/listedco/listconews/sehk/2022/1216/2022121600017.pdf","prospectus")</f>
        <v/>
      </c>
      <c r="BL166" s="76">
        <f>HYPERLINK("https://www1.hkexnews.hk/listedco/listconews/sehk/2022/1229/2022122900092.htm","allotment")</f>
        <v/>
      </c>
      <c r="BM166" s="76">
        <f>HYPERLINK("https://www1.hkexnews.hk/listedco/listconews/sehk/2023/0120/2023012001115.pdf","stabilisation")</f>
        <v/>
      </c>
      <c r="BN166" s="74" t="n"/>
      <c r="BO166" s="62" t="inlineStr">
        <is>
          <t>range low: cap-only pricing — the filing publishes a Maximum Offer Price and no indicative floor · A/H: no A-share listing · cornerstone: AAStocks institutional table includes non-cornerstone orders (superset) — cornerstone % is from the prospectus</t>
        </is>
      </c>
    </row>
    <row r="167" ht="15" customHeight="1">
      <c r="A167" s="61" t="inlineStr">
        <is>
          <t>6922</t>
        </is>
      </c>
      <c r="B167" s="62" t="inlineStr">
        <is>
          <t>CRYOFOCUS-B</t>
        </is>
      </c>
      <c r="C167" s="62" t="inlineStr">
        <is>
          <t>康灃生物－Ｂ</t>
        </is>
      </c>
      <c r="D167" s="62" t="inlineStr">
        <is>
          <t>Healthcare</t>
        </is>
      </c>
      <c r="E167" s="62" t="inlineStr">
        <is>
          <t>Medical devices</t>
        </is>
      </c>
      <c r="F167" s="62" t="inlineStr">
        <is>
          <t>Biotechnology - Medical Devices</t>
        </is>
      </c>
      <c r="G167" s="62" t="inlineStr">
        <is>
          <t>18A</t>
        </is>
      </c>
      <c r="H167" s="63" t="n">
        <v>44925</v>
      </c>
      <c r="I167" s="64" t="n">
        <v>210</v>
      </c>
      <c r="J167" s="62" t="inlineStr">
        <is>
          <t>gross (price x shares)</t>
        </is>
      </c>
      <c r="K167" s="65" t="n"/>
      <c r="L167" s="65" t="n">
        <v>18.9</v>
      </c>
      <c r="M167" s="65" t="n">
        <v>18.9</v>
      </c>
      <c r="N167" s="62" t="inlineStr">
        <is>
          <t>Y</t>
        </is>
      </c>
      <c r="O167" s="66" t="n">
        <v>100</v>
      </c>
      <c r="P167" s="66" t="n"/>
      <c r="Q167" s="67" t="n">
        <v>4516.1</v>
      </c>
      <c r="R167" s="62" t="inlineStr">
        <is>
          <t>derived:deal size / offer % of enlarged capital</t>
        </is>
      </c>
      <c r="S167" s="68" t="n">
        <v>1.95</v>
      </c>
      <c r="T167" s="69" t="n">
        <v>1.28</v>
      </c>
      <c r="U167" s="70" t="n"/>
      <c r="V167" s="66" t="n">
        <v>4.65</v>
      </c>
      <c r="W167" s="62" t="n"/>
      <c r="X167" s="62" t="n"/>
      <c r="Y167" s="66" t="n"/>
      <c r="Z167" s="62" t="n"/>
      <c r="AA167" s="71" t="n">
        <v>-6.56</v>
      </c>
      <c r="AB167" s="72" t="n">
        <v>-2.12</v>
      </c>
      <c r="AC167" s="72" t="n">
        <v>-4.54</v>
      </c>
      <c r="AD167" s="72" t="n">
        <v>-9.84</v>
      </c>
      <c r="AE167" s="72" t="n">
        <v>-19.05</v>
      </c>
      <c r="AF167" s="72" t="n">
        <v>-12.7</v>
      </c>
      <c r="AG167" s="72" t="n">
        <v>-3.51</v>
      </c>
      <c r="AH167" s="72" t="n">
        <v>-13.37</v>
      </c>
      <c r="AI167" s="72" t="n">
        <v>-6.57</v>
      </c>
      <c r="AJ167" s="72" t="n">
        <v>-15.15</v>
      </c>
      <c r="AK167" s="72" t="n">
        <v>-28.32</v>
      </c>
      <c r="AL167" s="72" t="n">
        <v>-7.74</v>
      </c>
      <c r="AM167" s="72" t="n">
        <v>-23.17</v>
      </c>
      <c r="AN167" s="72" t="n">
        <v>9.27</v>
      </c>
      <c r="AO167" s="72" t="n">
        <v>9.800000000000001</v>
      </c>
      <c r="AP167" s="62" t="inlineStr">
        <is>
          <t>China Biotech ETF (HS biotech proxy)</t>
        </is>
      </c>
      <c r="AQ167" s="72" t="n">
        <v>-81.72</v>
      </c>
      <c r="AR167" s="63" t="inlineStr">
        <is>
          <t>2026-08-20</t>
        </is>
      </c>
      <c r="AS167" s="64" t="n">
        <v>13.3</v>
      </c>
      <c r="AT167" s="67" t="n">
        <v>-101.7</v>
      </c>
      <c r="AU167" s="62" t="inlineStr">
        <is>
          <t>N</t>
        </is>
      </c>
      <c r="AV167" s="62" t="inlineStr">
        <is>
          <t>n/m</t>
        </is>
      </c>
      <c r="AW167" s="73" t="n"/>
      <c r="AX167" s="73" t="n"/>
      <c r="AY167" s="73" t="n">
        <v>339.6</v>
      </c>
      <c r="AZ167" s="74" t="inlineStr">
        <is>
          <t>N</t>
        </is>
      </c>
      <c r="BA167" s="75">
        <f>IF('BBG Verify'!K167="","not filed — run on terminal",'BBG Verify'!K167)</f>
        <v/>
      </c>
      <c r="BB167" s="62" t="inlineStr">
        <is>
          <t>N/A</t>
        </is>
      </c>
      <c r="BC167" s="62" t="inlineStr">
        <is>
          <t>N/A</t>
        </is>
      </c>
      <c r="BD167" s="62" t="inlineStr">
        <is>
          <t>N/A</t>
        </is>
      </c>
      <c r="BE167" s="62" t="inlineStr">
        <is>
          <t>N/A</t>
        </is>
      </c>
      <c r="BF167" s="62" t="inlineStr">
        <is>
          <t>N/A</t>
        </is>
      </c>
      <c r="BG167" s="74" t="inlineStr">
        <is>
          <t>Citigroup Global Markets Asia Limited; Huatai Financial Holdings (Hong Kong) Limited</t>
        </is>
      </c>
      <c r="BH167" s="62" t="inlineStr">
        <is>
          <t>Huatai Financial Holdings (Hong Kong) Limited; Citigroup Global Markets Asia Limited</t>
        </is>
      </c>
      <c r="BI167" s="62" t="inlineStr">
        <is>
          <t>Citigroup Global Markets Asia Limited; Huatai Financial Holdings (Hong Kong) Limited; CMB International Capital Limited; ABCI Capital Limited; Citigroup Global Markets Limited; BOCOM International Securities Limited; Futu Securities International (Hong Kong) Limited; Tiger Brokers (HK) Global Limited</t>
        </is>
      </c>
      <c r="BJ167" s="62" t="inlineStr">
        <is>
          <t>ABCI Securities Company Limited; Beta International Securities Limited; Citigroup Global Markets Asia Limited; CMB International Capital Corporation Limited; Futu Securities International (Hong Kong) Limited; Huatai Financial Holdings (Hong Kong) Limited; Silverbricks Securities Company Limited; Tiger Brokers (HK) Global Limited</t>
        </is>
      </c>
      <c r="BK167" s="76">
        <f>HYPERLINK("https://www1.hkexnews.hk/listedco/listconews/sehk/2022/1216/2022121600015.pdf","prospectus")</f>
        <v/>
      </c>
      <c r="BL167" s="76">
        <f>HYPERLINK("https://www1.hkexnews.hk/listedco/listconews/sehk/2022/1229/2022122900114.htm","allotment")</f>
        <v/>
      </c>
      <c r="BM167" s="62" t="n"/>
      <c r="BN167" s="74" t="n"/>
      <c r="BO167" s="62" t="inlineStr">
        <is>
          <t>P/E: n/m — loss-making at IPO (use P/S) · greenshoe: no over-allotment option in the offer structure · range low: cap-only pricing — the filing publishes a Maximum Offer Price and no indicative floor · A/H: no A-share listing · cornerstone list: cornerstone section not machine-extractable — see the prospectus link · cornerstone %: cornerstone aggregate not stated in the filing · greenshoe size: no over-allotment option in the offer structure · P/S: 340x on HK$13.3m revenue — effectively pre-revenue; the multiple is shown for completeness, not comparability</t>
        </is>
      </c>
    </row>
    <row r="168" ht="15" customHeight="1">
      <c r="A168" s="61" t="inlineStr">
        <is>
          <t>6955</t>
        </is>
      </c>
      <c r="B168" s="62" t="inlineStr">
        <is>
          <t>BOAN BIOTECH-B</t>
        </is>
      </c>
      <c r="C168" s="62" t="inlineStr">
        <is>
          <t>博安生物</t>
        </is>
      </c>
      <c r="D168" s="62" t="inlineStr">
        <is>
          <t>Healthcare</t>
        </is>
      </c>
      <c r="E168" s="62" t="inlineStr">
        <is>
          <t>Biotech pre-revenue (18A)</t>
        </is>
      </c>
      <c r="F168" s="62" t="inlineStr">
        <is>
          <t>Biotechnology - Pharmaceuticals</t>
        </is>
      </c>
      <c r="G168" s="62" t="inlineStr">
        <is>
          <t>18A</t>
        </is>
      </c>
      <c r="H168" s="63" t="n">
        <v>44925</v>
      </c>
      <c r="I168" s="64" t="n">
        <v>29.1</v>
      </c>
      <c r="J168" s="62" t="inlineStr">
        <is>
          <t>net proceeds</t>
        </is>
      </c>
      <c r="K168" s="65" t="n"/>
      <c r="L168" s="65" t="n">
        <v>19.8</v>
      </c>
      <c r="M168" s="65" t="n">
        <v>19.8</v>
      </c>
      <c r="N168" s="62" t="inlineStr">
        <is>
          <t>Y</t>
        </is>
      </c>
      <c r="O168" s="66" t="n">
        <v>100</v>
      </c>
      <c r="P168" s="66" t="n"/>
      <c r="Q168" s="67" t="n">
        <v>1212.5</v>
      </c>
      <c r="R168" s="62" t="inlineStr">
        <is>
          <t>derived:deal size / offer % of enlarged capital</t>
        </is>
      </c>
      <c r="S168" s="68" t="n">
        <v>2.12</v>
      </c>
      <c r="T168" s="69" t="n">
        <v>1.52</v>
      </c>
      <c r="U168" s="70" t="n">
        <v>71.01000000000001</v>
      </c>
      <c r="V168" s="66" t="n">
        <v>0.7</v>
      </c>
      <c r="W168" s="62" t="inlineStr">
        <is>
          <t>Fu Heliang; Harvest Great Bay Investment SP; Sino Biopharmaceutical Limited</t>
        </is>
      </c>
      <c r="X168" s="62" t="inlineStr">
        <is>
          <t>fu;harvest;sino-biopharmaceutical</t>
        </is>
      </c>
      <c r="Y168" s="66" t="n">
        <v>18.14</v>
      </c>
      <c r="Z168" s="62" t="inlineStr">
        <is>
          <t>lapsed</t>
        </is>
      </c>
      <c r="AA168" s="71" t="n">
        <v>0</v>
      </c>
      <c r="AB168" s="72" t="n">
        <v>0.51</v>
      </c>
      <c r="AC168" s="72" t="n">
        <v>-0.51</v>
      </c>
      <c r="AD168" s="72" t="n">
        <v>-17.17</v>
      </c>
      <c r="AE168" s="72" t="n">
        <v>-22.02</v>
      </c>
      <c r="AF168" s="72" t="n">
        <v>-2.32</v>
      </c>
      <c r="AG168" s="72" t="n">
        <v>-17.17</v>
      </c>
      <c r="AH168" s="72" t="n">
        <v>-22.02</v>
      </c>
      <c r="AI168" s="72" t="n">
        <v>-2.32</v>
      </c>
      <c r="AJ168" s="72" t="n">
        <v>-22.48</v>
      </c>
      <c r="AK168" s="72" t="n">
        <v>-31.29</v>
      </c>
      <c r="AL168" s="72" t="n">
        <v>2.64</v>
      </c>
      <c r="AM168" s="72" t="n">
        <v>-31.82</v>
      </c>
      <c r="AN168" s="72" t="n">
        <v>9.27</v>
      </c>
      <c r="AO168" s="72" t="n">
        <v>9.800000000000001</v>
      </c>
      <c r="AP168" s="62" t="inlineStr">
        <is>
          <t>China Biotech ETF (HS biotech proxy)</t>
        </is>
      </c>
      <c r="AQ168" s="72" t="n">
        <v>-78.28</v>
      </c>
      <c r="AR168" s="63" t="inlineStr">
        <is>
          <t>2026-08-20</t>
        </is>
      </c>
      <c r="AS168" s="64" t="n">
        <v>242.8</v>
      </c>
      <c r="AT168" s="67" t="n">
        <v>-364.9</v>
      </c>
      <c r="AU168" s="62" t="inlineStr">
        <is>
          <t>N</t>
        </is>
      </c>
      <c r="AV168" s="62" t="inlineStr">
        <is>
          <t>n/m</t>
        </is>
      </c>
      <c r="AW168" s="73" t="n"/>
      <c r="AX168" s="73" t="n">
        <v>196.1</v>
      </c>
      <c r="AY168" s="73" t="n">
        <v>5</v>
      </c>
      <c r="AZ168" s="74" t="inlineStr">
        <is>
          <t>N</t>
        </is>
      </c>
      <c r="BA168" s="75">
        <f>IF('BBG Verify'!K168="","not filed — run on terminal",'BBG Verify'!K168)</f>
        <v/>
      </c>
      <c r="BB168" s="62" t="inlineStr">
        <is>
          <t>N/A</t>
        </is>
      </c>
      <c r="BC168" s="62" t="inlineStr">
        <is>
          <t>N/A</t>
        </is>
      </c>
      <c r="BD168" s="62" t="inlineStr">
        <is>
          <t>N/A</t>
        </is>
      </c>
      <c r="BE168" s="62" t="inlineStr">
        <is>
          <t>N/A</t>
        </is>
      </c>
      <c r="BF168" s="62" t="inlineStr">
        <is>
          <t>N/A</t>
        </is>
      </c>
      <c r="BG168" s="74" t="inlineStr">
        <is>
          <t>UBS Securities Hong Kong Limited; Essence Corporate Finance (Hong Kong) Limited</t>
        </is>
      </c>
      <c r="BH168" s="62" t="inlineStr">
        <is>
          <t>UBS Securities Hong Kong Limited; Essence Corporate Finance (Hong Kong) Limited</t>
        </is>
      </c>
      <c r="BI168" s="62" t="inlineStr">
        <is>
          <t>UBS AG Hong Kong Branch; Essence International Securities (Hong Kong) Limited</t>
        </is>
      </c>
      <c r="BJ168" s="62" t="inlineStr">
        <is>
          <t>Essence International Securities (Hong Kong) Limited; Futu Securities International (Hong Kong) Limited; Livermore Holdings Limited; Silverbricks Securities Company Limited; UBS AG Hong Kong Branch</t>
        </is>
      </c>
      <c r="BK168" s="76">
        <f>HYPERLINK("https://www1.hkexnews.hk/listedco/listconews/sehk/2022/1219/2022121900009.pdf","prospectus")</f>
        <v/>
      </c>
      <c r="BL168" s="76">
        <f>HYPERLINK("https://www1.hkexnews.hk/listedco/listconews/sehk/2022/1229/2022122900320.htm","allotment")</f>
        <v/>
      </c>
      <c r="BM168" s="76">
        <f>HYPERLINK("https://www1.hkexnews.hk/listedco/listconews/sehk/2023/0125/2023012500003.pdf","stabilisation")</f>
        <v/>
      </c>
      <c r="BN168" s="74" t="n"/>
      <c r="BO168" s="62" t="inlineStr">
        <is>
          <t>P/E: n/m — loss-making at IPO (use P/S) · range low: cap-only pricing — the filing publishes a Maximum Offer Price and no indicative floor · A/H: no A-share listing · cornerstone: AAStocks institutional table includes non-cornerstone orders (superset) — cornerstone % is from the prospectus</t>
        </is>
      </c>
    </row>
    <row r="169" ht="15" customHeight="1">
      <c r="A169" s="61" t="inlineStr">
        <is>
          <t>2469</t>
        </is>
      </c>
      <c r="B169" s="62" t="inlineStr">
        <is>
          <t>FENBI</t>
        </is>
      </c>
      <c r="C169" s="62" t="inlineStr">
        <is>
          <t>粉筆</t>
        </is>
      </c>
      <c r="D169" s="62" t="inlineStr">
        <is>
          <t>Consumer</t>
        </is>
      </c>
      <c r="E169" s="62" t="inlineStr">
        <is>
          <t>Consumer services / education</t>
        </is>
      </c>
      <c r="F169" s="62" t="inlineStr">
        <is>
          <t>Education Services</t>
        </is>
      </c>
      <c r="G169" s="62" t="inlineStr">
        <is>
          <t>Standard</t>
        </is>
      </c>
      <c r="H169" s="63" t="n">
        <v>44935</v>
      </c>
      <c r="I169" s="64" t="n">
        <v>198</v>
      </c>
      <c r="J169" s="62" t="inlineStr">
        <is>
          <t>gross (price x shares)</t>
        </is>
      </c>
      <c r="K169" s="65" t="n"/>
      <c r="L169" s="65" t="n">
        <v>9.9</v>
      </c>
      <c r="M169" s="65" t="n">
        <v>9.9</v>
      </c>
      <c r="N169" s="62" t="inlineStr">
        <is>
          <t>Y</t>
        </is>
      </c>
      <c r="O169" s="66" t="n">
        <v>100</v>
      </c>
      <c r="P169" s="66" t="n"/>
      <c r="Q169" s="67" t="n">
        <v>20763.3</v>
      </c>
      <c r="R169" s="62" t="inlineStr">
        <is>
          <t>aastocks:上市市值 at the struck price</t>
        </is>
      </c>
      <c r="S169" s="68" t="n">
        <v>33.8</v>
      </c>
      <c r="T169" s="69" t="n">
        <v>2.32</v>
      </c>
      <c r="U169" s="70" t="n">
        <v>0</v>
      </c>
      <c r="V169" s="66" t="n">
        <v>0.95</v>
      </c>
      <c r="W169" s="62" t="n"/>
      <c r="X169" s="62" t="n"/>
      <c r="Y169" s="66" t="n">
        <v>10.42</v>
      </c>
      <c r="Z169" s="62" t="inlineStr">
        <is>
          <t>lapsed</t>
        </is>
      </c>
      <c r="AA169" s="71" t="n">
        <v>12.12</v>
      </c>
      <c r="AB169" s="72" t="n">
        <v>6.06</v>
      </c>
      <c r="AC169" s="72" t="n">
        <v>5.71</v>
      </c>
      <c r="AD169" s="72" t="n">
        <v>5.05</v>
      </c>
      <c r="AE169" s="72" t="n">
        <v>24.65</v>
      </c>
      <c r="AF169" s="72" t="n">
        <v>22.83</v>
      </c>
      <c r="AG169" s="72" t="n">
        <v>-6.31</v>
      </c>
      <c r="AH169" s="72" t="n">
        <v>11.18</v>
      </c>
      <c r="AI169" s="72" t="n">
        <v>9.550000000000001</v>
      </c>
      <c r="AJ169" s="72" t="n">
        <v>0.8</v>
      </c>
      <c r="AK169" s="72" t="n">
        <v>23.48</v>
      </c>
      <c r="AL169" s="72" t="n">
        <v>26.53</v>
      </c>
      <c r="AM169" s="72" t="n">
        <v>12.68</v>
      </c>
      <c r="AN169" s="72" t="n">
        <v>1.17</v>
      </c>
      <c r="AO169" s="72" t="n">
        <v>-1.5</v>
      </c>
      <c r="AP169" s="62" t="inlineStr">
        <is>
          <t>Hang Seng Commerce &amp; Industry sub-index</t>
        </is>
      </c>
      <c r="AQ169" s="72" t="n">
        <v>-96.26000000000001</v>
      </c>
      <c r="AR169" s="63" t="inlineStr">
        <is>
          <t>2026-08-21</t>
        </is>
      </c>
      <c r="AS169" s="64" t="n">
        <v>3771.4</v>
      </c>
      <c r="AT169" s="67" t="n">
        <v>-2263.7</v>
      </c>
      <c r="AU169" s="62" t="inlineStr">
        <is>
          <t>N</t>
        </is>
      </c>
      <c r="AV169" s="62" t="inlineStr">
        <is>
          <t>n/m</t>
        </is>
      </c>
      <c r="AW169" s="73" t="n"/>
      <c r="AX169" s="73" t="n">
        <v>3.2</v>
      </c>
      <c r="AY169" s="73" t="n">
        <v>5.5</v>
      </c>
      <c r="AZ169" s="74" t="inlineStr">
        <is>
          <t>N</t>
        </is>
      </c>
      <c r="BA169" s="75">
        <f>IF('BBG Verify'!K169="","not filed — run on terminal",'BBG Verify'!K169)</f>
        <v/>
      </c>
      <c r="BB169" s="62" t="inlineStr">
        <is>
          <t>N/A</t>
        </is>
      </c>
      <c r="BC169" s="62" t="inlineStr">
        <is>
          <t>N/A</t>
        </is>
      </c>
      <c r="BD169" s="62" t="inlineStr">
        <is>
          <t>N/A</t>
        </is>
      </c>
      <c r="BE169" s="62" t="inlineStr">
        <is>
          <t>N/A</t>
        </is>
      </c>
      <c r="BF169" s="62" t="inlineStr">
        <is>
          <t>N/A</t>
        </is>
      </c>
      <c r="BG169" s="74" t="n"/>
      <c r="BH169" s="62" t="inlineStr">
        <is>
          <t>China International Capital Corporation Hong Kong Securities Limited; Merrill Lynch (Asia Pacific) Limited; Citigroup Global Markets Asia Limited</t>
        </is>
      </c>
      <c r="BI169" s="62" t="inlineStr">
        <is>
          <t>(in no particular order) Citigroup Global Markets Asia Limited; China International Capital Corporation Hong Kong Securities Limited; Central, Hong Kong Merrill Lynch (Asia Pacific) Limited; Central, Hong Kong Haitong International Securities Company Limited; ICBC International Securities Limited</t>
        </is>
      </c>
      <c r="BJ169" s="62" t="inlineStr">
        <is>
          <t>Beta International Securities Limited; Citigroup Global Markets Asia Limited; China International Capital Corporation Hong Kong Securities Limited; CMB International Capital Limited; China Merchants Securities (HK) Company Limited; CRIC Securities Company Limited; CSFG International Securities Limited; Futu Securities International (Hong Kong) Limited; Haitong International Securities Company Limited; ICBC International Securities Limited; Macquarie Capital Limited; Maxa Capital Limited</t>
        </is>
      </c>
      <c r="BK169" s="76">
        <f>HYPERLINK("https://www1.hkexnews.hk/listedco/listconews/sehk/2022/1223/2022122300005.pdf","prospectus")</f>
        <v/>
      </c>
      <c r="BL169" s="76">
        <f>HYPERLINK("https://www1.hkexnews.hk/listedco/listconews/sehk/2023/0106/2023010600010.htm","allotment")</f>
        <v/>
      </c>
      <c r="BM169" s="76">
        <f>HYPERLINK("https://www1.hkexnews.hk/listedco/listconews/sehk/2023/0129/2023012900007.pdf","stabilisation")</f>
        <v/>
      </c>
      <c r="BN169" s="74" t="n"/>
      <c r="BO169" s="62" t="inlineStr">
        <is>
          <t>P/E: n/m — loss-making at IPO (use P/S) · range low: cap-only pricing — the filing publishes a Maximum Offer Price and no indicative floor · A/H: no A-share listing · sponsor: English name not in the filing text; AAStocks 保薦人 shown · market cap: estimate from stated market capitalisation disagreed with the published listing cap — published figure adopted · cornerstone list: no cornerstone tranche in this deal</t>
        </is>
      </c>
    </row>
    <row r="170" ht="15" customHeight="1">
      <c r="A170" s="61" t="inlineStr">
        <is>
          <t>2402</t>
        </is>
      </c>
      <c r="B170" s="62" t="inlineStr">
        <is>
          <t>SINOHYTEC</t>
        </is>
      </c>
      <c r="C170" s="62" t="inlineStr">
        <is>
          <t>億華通</t>
        </is>
      </c>
      <c r="D170" s="62" t="inlineStr">
        <is>
          <t>Industrials</t>
        </is>
      </c>
      <c r="E170" s="62" t="inlineStr">
        <is>
          <t>Batteries / energy storage</t>
        </is>
      </c>
      <c r="F170" s="62" t="inlineStr">
        <is>
          <t>Battery Products</t>
        </is>
      </c>
      <c r="G170" s="62" t="inlineStr">
        <is>
          <t>Standard</t>
        </is>
      </c>
      <c r="H170" s="63" t="n">
        <v>44938</v>
      </c>
      <c r="I170" s="64" t="n">
        <v>1057.7</v>
      </c>
      <c r="J170" s="62" t="inlineStr">
        <is>
          <t>gross (price x shares)</t>
        </is>
      </c>
      <c r="K170" s="65" t="n">
        <v>60</v>
      </c>
      <c r="L170" s="65" t="n">
        <v>76</v>
      </c>
      <c r="M170" s="65" t="n">
        <v>60</v>
      </c>
      <c r="N170" s="62" t="inlineStr">
        <is>
          <t>N</t>
        </is>
      </c>
      <c r="O170" s="66" t="n">
        <v>78.90000000000001</v>
      </c>
      <c r="P170" s="66" t="n">
        <v>0</v>
      </c>
      <c r="Q170" s="67" t="n">
        <v>7051.3</v>
      </c>
      <c r="R170" s="62" t="inlineStr">
        <is>
          <t>derived:deal size / offer % of enlarged capital</t>
        </is>
      </c>
      <c r="S170" s="68" t="n">
        <v>0.29</v>
      </c>
      <c r="T170" s="69" t="n">
        <v>1.84</v>
      </c>
      <c r="U170" s="70" t="n">
        <v>36.6</v>
      </c>
      <c r="V170" s="66" t="n">
        <v>9.51</v>
      </c>
      <c r="W170" s="62" t="inlineStr">
        <is>
          <t>Astonish Investment Pte. Ltd; Harvest International Premium Value (Secondary Market) Fund SPC</t>
        </is>
      </c>
      <c r="X170" s="62" t="inlineStr">
        <is>
          <t>astonish;harvest</t>
        </is>
      </c>
      <c r="Y170" s="66" t="n">
        <v>15.8</v>
      </c>
      <c r="Z170" s="62" t="inlineStr">
        <is>
          <t>partial</t>
        </is>
      </c>
      <c r="AA170" s="71" t="n">
        <v>0</v>
      </c>
      <c r="AB170" s="72" t="n">
        <v>0</v>
      </c>
      <c r="AC170" s="72" t="n">
        <v>0</v>
      </c>
      <c r="AD170" s="72" t="n">
        <v>0</v>
      </c>
      <c r="AE170" s="72" t="n">
        <v>8.25</v>
      </c>
      <c r="AF170" s="72" t="n">
        <v>-0.5</v>
      </c>
      <c r="AG170" s="72" t="n">
        <v>0</v>
      </c>
      <c r="AH170" s="72" t="n">
        <v>8.25</v>
      </c>
      <c r="AI170" s="72" t="n">
        <v>-0.5</v>
      </c>
      <c r="AJ170" s="72" t="n">
        <v>-0.09</v>
      </c>
      <c r="AK170" s="72" t="n">
        <v>12.29</v>
      </c>
      <c r="AL170" s="72" t="n">
        <v>7.22</v>
      </c>
      <c r="AM170" s="72" t="n">
        <v>12</v>
      </c>
      <c r="AN170" s="72" t="n">
        <v>-4.04</v>
      </c>
      <c r="AO170" s="72" t="n">
        <v>-3.75</v>
      </c>
      <c r="AP170" s="62" t="inlineStr">
        <is>
          <t>Hang Seng Commerce &amp; Industry sub-index</t>
        </is>
      </c>
      <c r="AQ170" s="72" t="n">
        <v>-61.29</v>
      </c>
      <c r="AR170" s="63" t="inlineStr">
        <is>
          <t>2026-08-24</t>
        </is>
      </c>
      <c r="AS170" s="64" t="n">
        <v>692.3</v>
      </c>
      <c r="AT170" s="67" t="n">
        <v>-203.9</v>
      </c>
      <c r="AU170" s="62" t="inlineStr">
        <is>
          <t>N</t>
        </is>
      </c>
      <c r="AV170" s="62" t="inlineStr">
        <is>
          <t>n/m</t>
        </is>
      </c>
      <c r="AW170" s="73" t="n"/>
      <c r="AX170" s="73" t="n"/>
      <c r="AY170" s="73" t="n">
        <v>10.2</v>
      </c>
      <c r="AZ170" s="74" t="inlineStr">
        <is>
          <t>Y</t>
        </is>
      </c>
      <c r="BA170" s="62" t="inlineStr">
        <is>
          <t>688339.SS</t>
        </is>
      </c>
      <c r="BB170" s="72" t="n">
        <v>54.15</v>
      </c>
      <c r="BC170" s="65" t="n">
        <v>92.48820000000001</v>
      </c>
      <c r="BD170" s="79" t="n">
        <v>0.6351</v>
      </c>
      <c r="BE170" s="77">
        <f>IF('BBG Verify'!Q170="","run on terminal",'BBG Verify'!Q170)</f>
        <v/>
      </c>
      <c r="BF170" s="77">
        <f>IF('BBG Verify'!R170="","run on terminal",'BBG Verify'!R170)</f>
        <v/>
      </c>
      <c r="BG170" s="74" t="inlineStr">
        <is>
          <t>Guotai Junan Capital Limited; Giraffe Capital Limited</t>
        </is>
      </c>
      <c r="BH170" s="62" t="inlineStr">
        <is>
          <t>Guotai Junan Capital Limited; Giraffe Capital Limited</t>
        </is>
      </c>
      <c r="BI170" s="62" t="inlineStr">
        <is>
          <t>Guotai Junan Securities (Hong Kong) Limited; CLSA Limited; Essence International Securities (Hong Kong) Limited; Zhongtai International Securities Limited; China Everbright Securities (HK) Limited; ICBC International Capital Limited; Futu Securities International (Hong Kong) Limited; Valuable Capital Limited</t>
        </is>
      </c>
      <c r="BJ170" s="62" t="inlineStr">
        <is>
          <t>China Everbright Securities (HK) Limited; CLSA Limited; Essence International Securities (Hong Kong) Limited; Futu Securities International (Hong Kong) Limited; Guotai Junan Securities (Hong Kong) Limited; ICBC International Securities Limited; Merdeka Securities Limited; SPDB International Capital Limited; Valuable Capital Limited; Zhongtai International Securities Limited</t>
        </is>
      </c>
      <c r="BK170" s="76">
        <f>HYPERLINK("https://www1.hkexnews.hk/listedco/listconews/sehk/2022/1229/2022122900013.pdf","prospectus")</f>
        <v/>
      </c>
      <c r="BL170" s="76">
        <f>HYPERLINK("https://www1.hkexnews.hk/listedco/listconews/sehk/2023/0111/2023011100006.htm","allotment")</f>
        <v/>
      </c>
      <c r="BM170" s="76">
        <f>HYPERLINK("https://www1.hkexnews.hk/listedco/listconews/sehk/2023/0206/2023020600005.pdf","stabilisation")</f>
        <v/>
      </c>
      <c r="BN170" s="74" t="n"/>
      <c r="BO170" s="62" t="inlineStr">
        <is>
          <t>P/E: n/m — loss-making at IPO (use P/S) · A/H: H listed Jan 2023 (hydrogen fuel cells); A+H on STAR · cornerstone %: AAStocks institutional-order total / deal size — an upper bound; the table can include non-cornerstone orders</t>
        </is>
      </c>
    </row>
    <row r="171" ht="15" customHeight="1">
      <c r="A171" s="61" t="inlineStr">
        <is>
          <t>2147</t>
        </is>
      </c>
      <c r="B171" s="62" t="inlineStr">
        <is>
          <t>ZHENGWEI GROUP</t>
        </is>
      </c>
      <c r="C171" s="62" t="inlineStr">
        <is>
          <t>正味集團</t>
        </is>
      </c>
      <c r="D171" s="62" t="inlineStr">
        <is>
          <t>Consumer</t>
        </is>
      </c>
      <c r="E171" s="62" t="inlineStr">
        <is>
          <t>Beverages / packaged food</t>
        </is>
      </c>
      <c r="F171" s="62" t="inlineStr">
        <is>
          <t>Packaged Foods</t>
        </is>
      </c>
      <c r="G171" s="62" t="inlineStr">
        <is>
          <t>Standard</t>
        </is>
      </c>
      <c r="H171" s="63" t="n">
        <v>44939</v>
      </c>
      <c r="I171" s="64" t="n">
        <v>97.3</v>
      </c>
      <c r="J171" s="62" t="inlineStr">
        <is>
          <t>net proceeds</t>
        </is>
      </c>
      <c r="K171" s="65" t="n"/>
      <c r="L171" s="65" t="n">
        <v>0.68</v>
      </c>
      <c r="M171" s="65" t="n">
        <v>0.68</v>
      </c>
      <c r="N171" s="62" t="inlineStr">
        <is>
          <t>Y</t>
        </is>
      </c>
      <c r="O171" s="66" t="n">
        <v>100</v>
      </c>
      <c r="P171" s="66" t="n"/>
      <c r="Q171" s="67" t="n">
        <v>600</v>
      </c>
      <c r="R171" s="62" t="inlineStr">
        <is>
          <t>aastocks:上市市值 at the struck price</t>
        </is>
      </c>
      <c r="S171" s="68" t="n">
        <v>18.28</v>
      </c>
      <c r="T171" s="69" t="n">
        <v>1.33</v>
      </c>
      <c r="U171" s="70" t="n">
        <v>0</v>
      </c>
      <c r="V171" s="66" t="n">
        <v>16.22</v>
      </c>
      <c r="W171" s="62" t="n"/>
      <c r="X171" s="62" t="n"/>
      <c r="Y171" s="66" t="n">
        <v>15</v>
      </c>
      <c r="Z171" s="62" t="inlineStr">
        <is>
          <t>lapsed (no over-allocation)</t>
        </is>
      </c>
      <c r="AA171" s="71" t="n">
        <v>-17.65</v>
      </c>
      <c r="AB171" s="72" t="n">
        <v>8.82</v>
      </c>
      <c r="AC171" s="72" t="n">
        <v>-24.32</v>
      </c>
      <c r="AD171" s="72" t="n">
        <v>-29.41</v>
      </c>
      <c r="AE171" s="72" t="n">
        <v>-30.88</v>
      </c>
      <c r="AF171" s="72" t="n">
        <v>-1.47</v>
      </c>
      <c r="AG171" s="72" t="n">
        <v>-14.28</v>
      </c>
      <c r="AH171" s="72" t="n">
        <v>-16.07</v>
      </c>
      <c r="AI171" s="72" t="n">
        <v>19.65</v>
      </c>
      <c r="AJ171" s="72" t="n">
        <v>-32.28</v>
      </c>
      <c r="AK171" s="72" t="n">
        <v>-28.04</v>
      </c>
      <c r="AL171" s="72" t="n">
        <v>5.72</v>
      </c>
      <c r="AM171" s="72" t="n">
        <v>-12.04</v>
      </c>
      <c r="AN171" s="72" t="n">
        <v>-2.84</v>
      </c>
      <c r="AO171" s="72" t="n">
        <v>-4.03</v>
      </c>
      <c r="AP171" s="62" t="inlineStr">
        <is>
          <t>Hang Seng Commerce &amp; Industry sub-index</t>
        </is>
      </c>
      <c r="AQ171" s="72" t="n">
        <v>-95.78</v>
      </c>
      <c r="AR171" s="63" t="inlineStr">
        <is>
          <t>2026-08-24</t>
        </is>
      </c>
      <c r="AS171" s="64" t="n">
        <v>376.2</v>
      </c>
      <c r="AT171" s="67" t="n">
        <v>53.1</v>
      </c>
      <c r="AU171" s="62" t="inlineStr">
        <is>
          <t>Y</t>
        </is>
      </c>
      <c r="AV171" s="73" t="n">
        <v>11.3</v>
      </c>
      <c r="AW171" s="73" t="n">
        <v>6</v>
      </c>
      <c r="AX171" s="73" t="n"/>
      <c r="AY171" s="73" t="n">
        <v>1.6</v>
      </c>
      <c r="AZ171" s="74" t="inlineStr">
        <is>
          <t>N</t>
        </is>
      </c>
      <c r="BA171" s="75">
        <f>IF('BBG Verify'!K171="","not filed — run on terminal",'BBG Verify'!K171)</f>
        <v/>
      </c>
      <c r="BB171" s="62" t="inlineStr">
        <is>
          <t>N/A</t>
        </is>
      </c>
      <c r="BC171" s="62" t="inlineStr">
        <is>
          <t>N/A</t>
        </is>
      </c>
      <c r="BD171" s="62" t="inlineStr">
        <is>
          <t>N/A</t>
        </is>
      </c>
      <c r="BE171" s="62" t="inlineStr">
        <is>
          <t>N/A</t>
        </is>
      </c>
      <c r="BF171" s="62" t="inlineStr">
        <is>
          <t>N/A</t>
        </is>
      </c>
      <c r="BG171" s="74" t="inlineStr">
        <is>
          <t>Grand Moore Capital Limited</t>
        </is>
      </c>
      <c r="BH171" s="62" t="inlineStr">
        <is>
          <t>Grand Moore Capital Limited</t>
        </is>
      </c>
      <c r="BI171" s="62" t="inlineStr">
        <is>
          <t>Grand Moore Capital Limited; Valuable Capital Limited; China PA Securities (Hong Kong) Company Limited; Cinda International Capital Limited; Fortune (HK) Securities Limited; Guotai Junan Securities (Hong Kong) Limited; Zhong Y ang Securities Limited</t>
        </is>
      </c>
      <c r="BJ171" s="62" t="inlineStr">
        <is>
          <t>Cinda International Capital Limited; China PA Securities (Hong Kong) Company Limited; Fortune (HK) Securities Limited; Guotai Junan Securities (Hong Kong) Limited; Grand Moore Capital Limited; Valuable Capital Limited; Zhong Yang Securities Limited</t>
        </is>
      </c>
      <c r="BK171" s="76">
        <f>HYPERLINK("https://www1.hkexnews.hk/listedco/listconews/sehk/2022/1230/2022123000080.htm","prospectus")</f>
        <v/>
      </c>
      <c r="BL171" s="76">
        <f>HYPERLINK("https://www1.hkexnews.hk/listedco/listconews/sehk/2023/0112/2023011200014.htm","allotment")</f>
        <v/>
      </c>
      <c r="BM171" s="76">
        <f>HYPERLINK("https://www1.hkexnews.hk/listedco/listconews/sehk/2023/0210/2023021001132.pdf","stabilisation")</f>
        <v/>
      </c>
      <c r="BN171" s="74" t="n"/>
      <c r="BO171" s="62" t="inlineStr">
        <is>
          <t>price range: fixed-price offering (no indicative range) · 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t>
        </is>
      </c>
    </row>
    <row r="172" ht="15" customHeight="1">
      <c r="A172" s="61" t="inlineStr">
        <is>
          <t>2411</t>
        </is>
      </c>
      <c r="B172" s="62" t="inlineStr">
        <is>
          <t>PAGODA GP</t>
        </is>
      </c>
      <c r="C172" s="62" t="inlineStr">
        <is>
          <t>百果園集團</t>
        </is>
      </c>
      <c r="D172" s="62" t="inlineStr">
        <is>
          <t>Consumer</t>
        </is>
      </c>
      <c r="E172" s="62" t="inlineStr">
        <is>
          <t>Retail / distribution</t>
        </is>
      </c>
      <c r="F172" s="62" t="inlineStr">
        <is>
          <t>Agricultural Products</t>
        </is>
      </c>
      <c r="G172" s="62" t="inlineStr">
        <is>
          <t>Standard</t>
        </is>
      </c>
      <c r="H172" s="63" t="n">
        <v>44942</v>
      </c>
      <c r="I172" s="64" t="n">
        <v>442.1</v>
      </c>
      <c r="J172" s="62" t="inlineStr">
        <is>
          <t>gross (price x shares)</t>
        </is>
      </c>
      <c r="K172" s="65" t="n">
        <v>5</v>
      </c>
      <c r="L172" s="65" t="n">
        <v>6.2</v>
      </c>
      <c r="M172" s="65" t="n">
        <v>5.6</v>
      </c>
      <c r="N172" s="62" t="inlineStr">
        <is>
          <t>N</t>
        </is>
      </c>
      <c r="O172" s="66" t="n">
        <v>90.3</v>
      </c>
      <c r="P172" s="66" t="n">
        <v>50</v>
      </c>
      <c r="Q172" s="67" t="n">
        <v>7756.1</v>
      </c>
      <c r="R172" s="62" t="inlineStr">
        <is>
          <t>derived:deal size / offer % of enlarged capital</t>
        </is>
      </c>
      <c r="S172" s="68" t="n">
        <v>12.2</v>
      </c>
      <c r="T172" s="69" t="n">
        <v>2.8</v>
      </c>
      <c r="U172" s="70" t="n">
        <v>5.32</v>
      </c>
      <c r="V172" s="66" t="n">
        <v>5.4</v>
      </c>
      <c r="W172" s="62" t="inlineStr">
        <is>
          <t>HONG KONG BAIJIADA NEW MATERIAL LIMITED; Nantong Douson Drilling and Production Equipment Co., Ltd; Yip Wing Kui</t>
        </is>
      </c>
      <c r="X172" s="62" t="inlineStr">
        <is>
          <t>baijiada;nantong;yip</t>
        </is>
      </c>
      <c r="Y172" s="66" t="n">
        <v>15</v>
      </c>
      <c r="Z172" s="62" t="inlineStr">
        <is>
          <t>partial</t>
        </is>
      </c>
      <c r="AA172" s="71" t="n">
        <v>7.14</v>
      </c>
      <c r="AB172" s="72" t="n">
        <v>16.43</v>
      </c>
      <c r="AC172" s="72" t="n">
        <v>-7.98</v>
      </c>
      <c r="AD172" s="72" t="n">
        <v>1.07</v>
      </c>
      <c r="AE172" s="72" t="n">
        <v>0.71</v>
      </c>
      <c r="AF172" s="72" t="n">
        <v>5.54</v>
      </c>
      <c r="AG172" s="72" t="n">
        <v>-5.67</v>
      </c>
      <c r="AH172" s="72" t="n">
        <v>-6</v>
      </c>
      <c r="AI172" s="72" t="n">
        <v>-1.49</v>
      </c>
      <c r="AJ172" s="72" t="n">
        <v>-3.18</v>
      </c>
      <c r="AK172" s="72" t="n">
        <v>6.37</v>
      </c>
      <c r="AL172" s="72" t="n">
        <v>15.72</v>
      </c>
      <c r="AM172" s="72" t="n">
        <v>-0.58</v>
      </c>
      <c r="AN172" s="72" t="n">
        <v>-5.66</v>
      </c>
      <c r="AO172" s="72" t="n">
        <v>-5.42</v>
      </c>
      <c r="AP172" s="62" t="inlineStr">
        <is>
          <t>Hang Seng Commerce &amp; Industry sub-index</t>
        </is>
      </c>
      <c r="AQ172" s="72" t="n">
        <v>-73.84</v>
      </c>
      <c r="AR172" s="63" t="inlineStr">
        <is>
          <t>2026-08-21</t>
        </is>
      </c>
      <c r="AS172" s="64" t="n">
        <v>11318.3</v>
      </c>
      <c r="AT172" s="67" t="n">
        <v>243.5</v>
      </c>
      <c r="AU172" s="62" t="inlineStr">
        <is>
          <t>Y</t>
        </is>
      </c>
      <c r="AV172" s="73" t="n">
        <v>31.9</v>
      </c>
      <c r="AW172" s="73" t="n"/>
      <c r="AX172" s="73" t="n"/>
      <c r="AY172" s="73" t="n">
        <v>0.7</v>
      </c>
      <c r="AZ172" s="74" t="inlineStr">
        <is>
          <t>N</t>
        </is>
      </c>
      <c r="BA172" s="75">
        <f>IF('BBG Verify'!K172="","not filed — run on terminal",'BBG Verify'!K172)</f>
        <v/>
      </c>
      <c r="BB172" s="62" t="inlineStr">
        <is>
          <t>N/A</t>
        </is>
      </c>
      <c r="BC172" s="62" t="inlineStr">
        <is>
          <t>N/A</t>
        </is>
      </c>
      <c r="BD172" s="62" t="inlineStr">
        <is>
          <t>N/A</t>
        </is>
      </c>
      <c r="BE172" s="62" t="inlineStr">
        <is>
          <t>N/A</t>
        </is>
      </c>
      <c r="BF172" s="62" t="inlineStr">
        <is>
          <t>N/A</t>
        </is>
      </c>
      <c r="BG172" s="74" t="inlineStr">
        <is>
          <t>Morgan Stanley Asia Limited</t>
        </is>
      </c>
      <c r="BH172" s="62" t="inlineStr">
        <is>
          <t>Morgan Stanley Asia Limited</t>
        </is>
      </c>
      <c r="BI172" s="62" t="inlineStr">
        <is>
          <t>Morgan Stanley Asia Limited; CMB International Capital Limited</t>
        </is>
      </c>
      <c r="BJ172" s="62" t="inlineStr">
        <is>
          <t>CMB International Capital Limited; First Shanghai Securities Limited; Fosun Hani Securities Limited; Futu Securities International (Hong Kong) Limited; Morgan Stanley Asia Limited; Tiger Brokers (HK) Global Limited</t>
        </is>
      </c>
      <c r="BK172" s="76">
        <f>HYPERLINK("https://www1.hkexnews.hk/listedco/listconews/sehk/2022/1229/2022122900158.htm","prospectus")</f>
        <v/>
      </c>
      <c r="BL172" s="76">
        <f>HYPERLINK("https://www1.hkexnews.hk/listedco/listconews/sehk/2023/0113/2023011300018.htm","allotment")</f>
        <v/>
      </c>
      <c r="BM172" s="76">
        <f>HYPERLINK("https://www1.hkexnews.hk/listedco/listconews/sehk/2023/0208/2023020800810.pdf","stabilisation")</f>
        <v/>
      </c>
      <c r="BN172" s="74" t="n"/>
      <c r="BO172" s="62" t="inlineStr">
        <is>
          <t>A/H: no A-share listing · cornerstone: AAStocks institutional table includes non-cornerstone orders (superset) — cornerstone % is from the prospectus</t>
        </is>
      </c>
    </row>
    <row r="173" ht="15" customHeight="1">
      <c r="A173" s="61" t="inlineStr">
        <is>
          <t>2373</t>
        </is>
      </c>
      <c r="B173" s="62" t="inlineStr">
        <is>
          <t>BEAUTYFARM MED</t>
        </is>
      </c>
      <c r="C173" s="62" t="inlineStr">
        <is>
          <t>美麗田園醫療健康</t>
        </is>
      </c>
      <c r="D173" s="62" t="inlineStr">
        <is>
          <t>Consumer</t>
        </is>
      </c>
      <c r="E173" s="62" t="inlineStr">
        <is>
          <t>Beauty / personal care</t>
        </is>
      </c>
      <c r="F173" s="62" t="inlineStr">
        <is>
          <t>Health Care Services</t>
        </is>
      </c>
      <c r="G173" s="62" t="inlineStr">
        <is>
          <t>Standard</t>
        </is>
      </c>
      <c r="H173" s="63" t="n">
        <v>44942</v>
      </c>
      <c r="I173" s="64" t="n">
        <v>387.2</v>
      </c>
      <c r="J173" s="62" t="inlineStr">
        <is>
          <t>net proceeds</t>
        </is>
      </c>
      <c r="K173" s="65" t="n"/>
      <c r="L173" s="65" t="n">
        <v>19.32</v>
      </c>
      <c r="M173" s="65" t="n">
        <v>19.32</v>
      </c>
      <c r="N173" s="62" t="inlineStr">
        <is>
          <t>Y</t>
        </is>
      </c>
      <c r="O173" s="66" t="n">
        <v>100</v>
      </c>
      <c r="P173" s="66" t="n"/>
      <c r="Q173" s="67" t="n">
        <v>4454.8</v>
      </c>
      <c r="R173" s="62" t="inlineStr">
        <is>
          <t>prospectus:stated market capitalisation</t>
        </is>
      </c>
      <c r="S173" s="68" t="n">
        <v>22.12</v>
      </c>
      <c r="T173" s="69" t="n">
        <v>4.7</v>
      </c>
      <c r="U173" s="70" t="n">
        <v>28.4</v>
      </c>
      <c r="V173" s="66" t="n">
        <v>6.22</v>
      </c>
      <c r="W173" s="62" t="inlineStr">
        <is>
          <t>Harvest International Premium Value (Secondary Market) Fund SPC; Juzi Holding Co., Ltd; Kunming Botanee Bio-technology Sales Co., Ltd; TruMed Healthcare Master Fund and TruMed Health Innovation Fund LP</t>
        </is>
      </c>
      <c r="X173" s="62" t="inlineStr">
        <is>
          <t>harvest;juzi;kunming;trumed</t>
        </is>
      </c>
      <c r="Y173" s="66" t="n">
        <v>7</v>
      </c>
      <c r="Z173" s="62" t="inlineStr">
        <is>
          <t>full</t>
        </is>
      </c>
      <c r="AA173" s="71" t="n">
        <v>53.47</v>
      </c>
      <c r="AB173" s="72" t="n">
        <v>57.87</v>
      </c>
      <c r="AC173" s="72" t="n">
        <v>-2.79</v>
      </c>
      <c r="AD173" s="72" t="n">
        <v>56.31</v>
      </c>
      <c r="AE173" s="72" t="n">
        <v>45.96</v>
      </c>
      <c r="AF173" s="72" t="n">
        <v>58.64</v>
      </c>
      <c r="AG173" s="72" t="n">
        <v>1.85</v>
      </c>
      <c r="AH173" s="72" t="n">
        <v>-4.89</v>
      </c>
      <c r="AI173" s="72" t="n">
        <v>3.37</v>
      </c>
      <c r="AJ173" s="72" t="n">
        <v>52.06</v>
      </c>
      <c r="AK173" s="72" t="n">
        <v>51.62</v>
      </c>
      <c r="AL173" s="72" t="n">
        <v>68.81999999999999</v>
      </c>
      <c r="AM173" s="72" t="n">
        <v>0.53</v>
      </c>
      <c r="AN173" s="72" t="n">
        <v>-5.66</v>
      </c>
      <c r="AO173" s="72" t="n">
        <v>-5.42</v>
      </c>
      <c r="AP173" s="62" t="inlineStr">
        <is>
          <t>Hang Seng Commerce &amp; Industry sub-index</t>
        </is>
      </c>
      <c r="AQ173" s="72" t="n">
        <v>-4.35</v>
      </c>
      <c r="AR173" s="63" t="inlineStr">
        <is>
          <t>2026-08-21</t>
        </is>
      </c>
      <c r="AS173" s="64" t="n">
        <v>1958.8</v>
      </c>
      <c r="AT173" s="67" t="n">
        <v>229.2</v>
      </c>
      <c r="AU173" s="62" t="inlineStr">
        <is>
          <t>Y</t>
        </is>
      </c>
      <c r="AV173" s="73" t="n">
        <v>19.4</v>
      </c>
      <c r="AW173" s="73" t="n"/>
      <c r="AX173" s="73" t="n">
        <v>11.9</v>
      </c>
      <c r="AY173" s="73" t="n">
        <v>2.3</v>
      </c>
      <c r="AZ173" s="74" t="inlineStr">
        <is>
          <t>N</t>
        </is>
      </c>
      <c r="BA173" s="75">
        <f>IF('BBG Verify'!K173="","not filed — run on terminal",'BBG Verify'!K173)</f>
        <v/>
      </c>
      <c r="BB173" s="62" t="inlineStr">
        <is>
          <t>N/A</t>
        </is>
      </c>
      <c r="BC173" s="62" t="inlineStr">
        <is>
          <t>N/A</t>
        </is>
      </c>
      <c r="BD173" s="62" t="inlineStr">
        <is>
          <t>N/A</t>
        </is>
      </c>
      <c r="BE173" s="62" t="inlineStr">
        <is>
          <t>N/A</t>
        </is>
      </c>
      <c r="BF173" s="62" t="inlineStr">
        <is>
          <t>N/A</t>
        </is>
      </c>
      <c r="BG173" s="74" t="inlineStr">
        <is>
          <t>Morgan Stanley Asia Limited; Haitong International Capital Limited; Central, Hong Kong Huatai Financial Holdings (Hong Kong) Limited</t>
        </is>
      </c>
      <c r="BH173" s="62" t="inlineStr">
        <is>
          <t>Morgan Stanley Asia Limited; Haitong International Capital Limited; Huatai Financial Holdings (Hong Kong) Limited</t>
        </is>
      </c>
      <c r="BI173" s="62" t="inlineStr">
        <is>
          <t>Morgan Stanley Asia Limited; Haitong International Securities Company Limited; Huatai Financial Holdings (Hong Kong) Limited; CLSA Limited; ICBC International Capital Limited</t>
        </is>
      </c>
      <c r="BJ173" s="62" t="inlineStr">
        <is>
          <t>CLSA Limited; Futu Securities International (Hong Kong) Limited; Huatai Financial Holdings (Hong Kong) Limited; Haitong International Securities Company Limited; ICBC International Securities Limited; Morgan Stanley Asia Limited; Tiger Brokers (HK) Global Limited; Valuable Capital Limited</t>
        </is>
      </c>
      <c r="BK173" s="76">
        <f>HYPERLINK("https://www1.hkexnews.hk/listedco/listconews/sehk/2022/1230/2022123000067.pdf","prospectus")</f>
        <v/>
      </c>
      <c r="BL173" s="76">
        <f>HYPERLINK("https://www1.hkexnews.hk/listedco/listconews/sehk/2023/0113/2023011300032.htm","allotment")</f>
        <v/>
      </c>
      <c r="BM173" s="76">
        <f>HYPERLINK("https://www1.hkexnews.hk/listedco/listconews/sehk/2023/0205/2023020500007.pdf","stabilisation")</f>
        <v/>
      </c>
      <c r="BN173" s="74" t="n"/>
      <c r="BO173" s="62" t="inlineStr">
        <is>
          <t>range low: cap-only pricing — the filing publishes a Maximum Offer Price and no indicative floor · A/H: no A-share listing · cornerstone: AAStocks institutional table includes non-cornerstone orders (superset) — cornerstone % is from the prospectus</t>
        </is>
      </c>
    </row>
    <row r="174" ht="15" customHeight="1">
      <c r="A174" s="61" t="inlineStr">
        <is>
          <t>2458</t>
        </is>
      </c>
      <c r="B174" s="62" t="inlineStr">
        <is>
          <t>GALA TECH HOLD</t>
        </is>
      </c>
      <c r="C174" s="62" t="inlineStr">
        <is>
          <t>望塵科技控股</t>
        </is>
      </c>
      <c r="D174" s="62" t="inlineStr">
        <is>
          <t>Tech/AI</t>
        </is>
      </c>
      <c r="E174" s="62" t="inlineStr">
        <is>
          <t>Fintech platform</t>
        </is>
      </c>
      <c r="F174" s="62" t="inlineStr">
        <is>
          <t>Gaming Software</t>
        </is>
      </c>
      <c r="G174" s="62" t="inlineStr">
        <is>
          <t>Standard</t>
        </is>
      </c>
      <c r="H174" s="63" t="n">
        <v>44942</v>
      </c>
      <c r="I174" s="64" t="n">
        <v>11</v>
      </c>
      <c r="J174" s="62" t="inlineStr">
        <is>
          <t>net proceeds</t>
        </is>
      </c>
      <c r="K174" s="65" t="n"/>
      <c r="L174" s="65" t="n">
        <v>7.16</v>
      </c>
      <c r="M174" s="65" t="n">
        <v>6.5</v>
      </c>
      <c r="N174" s="62" t="inlineStr">
        <is>
          <t>N</t>
        </is>
      </c>
      <c r="O174" s="66" t="n">
        <v>90.8</v>
      </c>
      <c r="P174" s="66" t="n"/>
      <c r="Q174" s="67" t="n">
        <v>969.5</v>
      </c>
      <c r="R174" s="62" t="inlineStr">
        <is>
          <t>aastocks:上市市值 at the struck price</t>
        </is>
      </c>
      <c r="S174" s="68" t="n">
        <v>3.4</v>
      </c>
      <c r="T174" s="69" t="n">
        <v>1.7</v>
      </c>
      <c r="U174" s="70" t="n">
        <v>0</v>
      </c>
      <c r="V174" s="66" t="n">
        <v>1.13</v>
      </c>
      <c r="W174" s="62" t="n"/>
      <c r="X174" s="62" t="n"/>
      <c r="Y174" s="66" t="n"/>
      <c r="Z174" s="62" t="n"/>
      <c r="AA174" s="71" t="n">
        <v>-11.54</v>
      </c>
      <c r="AB174" s="72" t="n">
        <v>-23.08</v>
      </c>
      <c r="AC174" s="72" t="n">
        <v>15</v>
      </c>
      <c r="AD174" s="72" t="n">
        <v>-20.92</v>
      </c>
      <c r="AE174" s="72" t="n">
        <v>4.46</v>
      </c>
      <c r="AF174" s="72" t="n">
        <v>-20.31</v>
      </c>
      <c r="AG174" s="72" t="n">
        <v>-10.6</v>
      </c>
      <c r="AH174" s="72" t="n">
        <v>18.09</v>
      </c>
      <c r="AI174" s="72" t="n">
        <v>-9.91</v>
      </c>
      <c r="AJ174" s="72" t="n">
        <v>-25.11</v>
      </c>
      <c r="AK174" s="72" t="n">
        <v>10.92</v>
      </c>
      <c r="AL174" s="72" t="n">
        <v>-7.35</v>
      </c>
      <c r="AM174" s="72" t="n">
        <v>23.33</v>
      </c>
      <c r="AN174" s="72" t="n">
        <v>-6.46</v>
      </c>
      <c r="AO174" s="72" t="n">
        <v>-5.24</v>
      </c>
      <c r="AP174" s="62" t="inlineStr">
        <is>
          <t>HSTECH (Hang Seng TECH ETF)</t>
        </is>
      </c>
      <c r="AQ174" s="72" t="n">
        <v>-5.85</v>
      </c>
      <c r="AR174" s="63" t="inlineStr">
        <is>
          <t>2026-08-21</t>
        </is>
      </c>
      <c r="AS174" s="64" t="n">
        <v>505.8</v>
      </c>
      <c r="AT174" s="67" t="n">
        <v>-1</v>
      </c>
      <c r="AU174" s="62" t="inlineStr">
        <is>
          <t>N</t>
        </is>
      </c>
      <c r="AV174" s="62" t="inlineStr">
        <is>
          <t>n/m</t>
        </is>
      </c>
      <c r="AW174" s="73" t="n"/>
      <c r="AX174" s="73" t="n">
        <v>7.8</v>
      </c>
      <c r="AY174" s="73" t="n">
        <v>1.9</v>
      </c>
      <c r="AZ174" s="74" t="inlineStr">
        <is>
          <t>N</t>
        </is>
      </c>
      <c r="BA174" s="75">
        <f>IF('BBG Verify'!K174="","not filed — run on terminal",'BBG Verify'!K174)</f>
        <v/>
      </c>
      <c r="BB174" s="62" t="inlineStr">
        <is>
          <t>N/A</t>
        </is>
      </c>
      <c r="BC174" s="62" t="inlineStr">
        <is>
          <t>N/A</t>
        </is>
      </c>
      <c r="BD174" s="62" t="inlineStr">
        <is>
          <t>N/A</t>
        </is>
      </c>
      <c r="BE174" s="62" t="inlineStr">
        <is>
          <t>N/A</t>
        </is>
      </c>
      <c r="BF174" s="62" t="inlineStr">
        <is>
          <t>N/A</t>
        </is>
      </c>
      <c r="BG174" s="74" t="inlineStr">
        <is>
          <t>UOB Kay Hian (Hong Kong) Limited</t>
        </is>
      </c>
      <c r="BH174" s="62" t="inlineStr">
        <is>
          <t>UOB Kay Hian (Hong Kong) Limited</t>
        </is>
      </c>
      <c r="BI174" s="62" t="inlineStr">
        <is>
          <t>UOB Kay Hian (Hong Kong) Limited</t>
        </is>
      </c>
      <c r="BJ174" s="62" t="inlineStr">
        <is>
          <t>Futu Securities International (Hong Kong) Limited; Haitong International Securities Company Limited; Maxa Capital Limited; Tiger Brokers (HK) Global Limited; UOB Kay Hian (Hong Kong) Limited</t>
        </is>
      </c>
      <c r="BK174" s="76">
        <f>HYPERLINK("https://www1.hkexnews.hk/listedco/listconews/sehk/2022/1230/2022123000207.pdf","prospectus")</f>
        <v/>
      </c>
      <c r="BL174" s="76">
        <f>HYPERLINK("https://www1.hkexnews.hk/listedco/listconews/sehk/2023/0113/2023011300078.htm","allotment")</f>
        <v/>
      </c>
      <c r="BM174" s="62" t="n"/>
      <c r="BN174" s="74" t="n"/>
      <c r="BO174" s="62" t="inlineStr">
        <is>
          <t>P/E: n/m — loss-making at IPO (use P/S) · greenshoe: no over-allotment option in the offer structure · 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 · greenshoe size: no over-allotment option in the offer structure</t>
        </is>
      </c>
    </row>
    <row r="175" ht="15" customHeight="1">
      <c r="A175" s="61" t="inlineStr">
        <is>
          <t>2459</t>
        </is>
      </c>
      <c r="B175" s="62" t="inlineStr">
        <is>
          <t>SANERGY GROUP</t>
        </is>
      </c>
      <c r="C175" s="62" t="inlineStr">
        <is>
          <t>昇能集團</t>
        </is>
      </c>
      <c r="D175" s="62" t="inlineStr">
        <is>
          <t>Materials/Energy</t>
        </is>
      </c>
      <c r="E175" s="62" t="inlineStr">
        <is>
          <t>Chemicals</t>
        </is>
      </c>
      <c r="F175" s="62" t="inlineStr">
        <is>
          <t>Electrical Components &amp; Equipment</t>
        </is>
      </c>
      <c r="G175" s="62" t="inlineStr">
        <is>
          <t>Standard</t>
        </is>
      </c>
      <c r="H175" s="63" t="n">
        <v>44943</v>
      </c>
      <c r="I175" s="64" t="n">
        <v>275.8</v>
      </c>
      <c r="J175" s="62" t="inlineStr">
        <is>
          <t>gross (price x shares)</t>
        </is>
      </c>
      <c r="K175" s="65" t="n"/>
      <c r="L175" s="65" t="n">
        <v>2.2</v>
      </c>
      <c r="M175" s="65" t="n">
        <v>1.6</v>
      </c>
      <c r="N175" s="62" t="inlineStr">
        <is>
          <t>N</t>
        </is>
      </c>
      <c r="O175" s="66" t="n">
        <v>72.7</v>
      </c>
      <c r="P175" s="66" t="n"/>
      <c r="Q175" s="67" t="n">
        <v>1779.4</v>
      </c>
      <c r="R175" s="62" t="inlineStr">
        <is>
          <t>derived:deal size / offer % of enlarged capital</t>
        </is>
      </c>
      <c r="S175" s="68" t="n">
        <v>9.880000000000001</v>
      </c>
      <c r="T175" s="69" t="n">
        <v>1.2</v>
      </c>
      <c r="U175" s="70" t="n">
        <v>0</v>
      </c>
      <c r="V175" s="66" t="n">
        <v>15.5</v>
      </c>
      <c r="W175" s="62" t="n"/>
      <c r="X175" s="62" t="n"/>
      <c r="Y175" s="66" t="n">
        <v>15</v>
      </c>
      <c r="Z175" s="62" t="inlineStr">
        <is>
          <t>lapsed (no over-allocation)</t>
        </is>
      </c>
      <c r="AA175" s="71" t="n">
        <v>11.25</v>
      </c>
      <c r="AB175" s="72" t="n">
        <v>5</v>
      </c>
      <c r="AC175" s="72" t="n">
        <v>5.95</v>
      </c>
      <c r="AD175" s="72" t="n">
        <v>3.12</v>
      </c>
      <c r="AE175" s="72" t="n">
        <v>51.25</v>
      </c>
      <c r="AF175" s="72" t="n">
        <v>10</v>
      </c>
      <c r="AG175" s="72" t="n">
        <v>-7.31</v>
      </c>
      <c r="AH175" s="72" t="n">
        <v>35.96</v>
      </c>
      <c r="AI175" s="72" t="n">
        <v>-1.12</v>
      </c>
      <c r="AJ175" s="72" t="n">
        <v>-2.34</v>
      </c>
      <c r="AK175" s="72" t="n">
        <v>55.97</v>
      </c>
      <c r="AL175" s="72" t="n">
        <v>20.52</v>
      </c>
      <c r="AM175" s="72" t="n">
        <v>40.1</v>
      </c>
      <c r="AN175" s="72" t="n">
        <v>-4.72</v>
      </c>
      <c r="AO175" s="72" t="n">
        <v>-4.14</v>
      </c>
      <c r="AP175" s="62" t="inlineStr">
        <is>
          <t>Hang Seng Commerce &amp; Industry sub-index</t>
        </is>
      </c>
      <c r="AQ175" s="72" t="n">
        <v>-95.75</v>
      </c>
      <c r="AR175" s="63" t="inlineStr">
        <is>
          <t>2026-08-24</t>
        </is>
      </c>
      <c r="AS175" s="64" t="n">
        <v>846.6</v>
      </c>
      <c r="AT175" s="67" t="n">
        <v>32.7</v>
      </c>
      <c r="AU175" s="62" t="inlineStr">
        <is>
          <t>Y</t>
        </is>
      </c>
      <c r="AV175" s="73" t="n">
        <v>54.4</v>
      </c>
      <c r="AW175" s="73" t="n"/>
      <c r="AX175" s="73" t="n"/>
      <c r="AY175" s="73" t="n">
        <v>2.1</v>
      </c>
      <c r="AZ175" s="74" t="inlineStr">
        <is>
          <t>N</t>
        </is>
      </c>
      <c r="BA175" s="75">
        <f>IF('BBG Verify'!K175="","not filed — run on terminal",'BBG Verify'!K175)</f>
        <v/>
      </c>
      <c r="BB175" s="62" t="inlineStr">
        <is>
          <t>N/A</t>
        </is>
      </c>
      <c r="BC175" s="62" t="inlineStr">
        <is>
          <t>N/A</t>
        </is>
      </c>
      <c r="BD175" s="62" t="inlineStr">
        <is>
          <t>N/A</t>
        </is>
      </c>
      <c r="BE175" s="62" t="inlineStr">
        <is>
          <t>N/A</t>
        </is>
      </c>
      <c r="BF175" s="62" t="inlineStr">
        <is>
          <t>N/A</t>
        </is>
      </c>
      <c r="BG175" s="74" t="inlineStr">
        <is>
          <t>Southwest Securities (HK) Capital Limited</t>
        </is>
      </c>
      <c r="BH175" s="62" t="inlineStr">
        <is>
          <t>Southwest Securities (HK) Capital Limited</t>
        </is>
      </c>
      <c r="BI175" s="62" t="inlineStr">
        <is>
          <t>Southwest Securities (HK) Brokerage Limited; Yue Xiu Securities Company Limited; First Capital Securities Limited; Central, Hong Kong Sheng Yuan Securities Limited; BOCI Asia Limited; ABCI Capital Limited; JMC Capital International Limited; Valuable Capital Limited</t>
        </is>
      </c>
      <c r="BJ175" s="62" t="inlineStr">
        <is>
          <t>ABCI Securities Company Limited; BOCI Asia Limited; China Everbright Securities (HK) Limited; Eddid Securities and Futures Limited; First Capital Securities Limited; JMC Capital International Limited; Southwest Securities (HK) Brokerage Limited; Sheng Yuan Securities Limited; Tiger Brokers (HK) Global Limited; Valuable Capital Limited; Vision Capital International Holdings Limited; Venture Smart Asia Limited</t>
        </is>
      </c>
      <c r="BK175" s="76">
        <f>HYPERLINK("https://www1.hkexnews.hk/listedco/listconews/sehk/2022/1230/2022123000059.pdf","prospectus")</f>
        <v/>
      </c>
      <c r="BL175" s="76">
        <f>HYPERLINK("https://www1.hkexnews.hk/listedco/listconews/sehk/2023/0116/2023011600008.htm","allotment")</f>
        <v/>
      </c>
      <c r="BM175" s="76">
        <f>HYPERLINK("https://www1.hkexnews.hk/listedco/listconews/sehk/2023/0209/2023020900283.pdf","stabilisation")</f>
        <v/>
      </c>
      <c r="BN175" s="74" t="n"/>
      <c r="BO175" s="62" t="inlineStr">
        <is>
          <t>range low: cap-only pricing — the filing publishes a Maximum Offer Price and no indicative floor · A/H: no A-share listing · cornerstone list: no cornerstone tranche in this deal</t>
        </is>
      </c>
    </row>
    <row r="176" ht="15" customHeight="1">
      <c r="A176" s="61" t="inlineStr">
        <is>
          <t>2455</t>
        </is>
      </c>
      <c r="B176" s="62" t="inlineStr">
        <is>
          <t>RUNHUA SERVICE</t>
        </is>
      </c>
      <c r="C176" s="62" t="inlineStr">
        <is>
          <t>潤華服務</t>
        </is>
      </c>
      <c r="D176" s="62" t="inlineStr">
        <is>
          <t>Real Estate</t>
        </is>
      </c>
      <c r="E176" s="62" t="inlineStr">
        <is>
          <t>Property management</t>
        </is>
      </c>
      <c r="F176" s="62" t="inlineStr">
        <is>
          <t>Property Service and Management</t>
        </is>
      </c>
      <c r="G176" s="62" t="inlineStr">
        <is>
          <t>Standard</t>
        </is>
      </c>
      <c r="H176" s="63" t="n">
        <v>44943</v>
      </c>
      <c r="I176" s="64" t="n">
        <v>127.5</v>
      </c>
      <c r="J176" s="62" t="inlineStr">
        <is>
          <t>gross (price x shares)</t>
        </is>
      </c>
      <c r="K176" s="65" t="n">
        <v>1.7</v>
      </c>
      <c r="L176" s="65" t="n">
        <v>2</v>
      </c>
      <c r="M176" s="65" t="n">
        <v>1.7</v>
      </c>
      <c r="N176" s="62" t="inlineStr">
        <is>
          <t>N</t>
        </is>
      </c>
      <c r="O176" s="66" t="n">
        <v>85</v>
      </c>
      <c r="P176" s="66" t="n">
        <v>0</v>
      </c>
      <c r="Q176" s="67" t="n">
        <v>510</v>
      </c>
      <c r="R176" s="62" t="inlineStr">
        <is>
          <t>derived:deal size / offer % of enlarged capital</t>
        </is>
      </c>
      <c r="S176" s="68" t="n">
        <v>8.74</v>
      </c>
      <c r="T176" s="69" t="n">
        <v>1.29</v>
      </c>
      <c r="U176" s="70" t="n">
        <v>34.9</v>
      </c>
      <c r="V176" s="66" t="n">
        <v>16.27</v>
      </c>
      <c r="W176" s="62" t="inlineStr">
        <is>
          <t>Jinan Huaiyin Urban Construction Investment Group Co., Ltd</t>
        </is>
      </c>
      <c r="X176" s="62" t="inlineStr">
        <is>
          <t>jinan</t>
        </is>
      </c>
      <c r="Y176" s="66" t="n">
        <v>8.699999999999999</v>
      </c>
      <c r="Z176" s="62" t="inlineStr">
        <is>
          <t>lapsed (no over-allocation)</t>
        </is>
      </c>
      <c r="AA176" s="71" t="n">
        <v>-25.88</v>
      </c>
      <c r="AB176" s="72" t="n">
        <v>-18.82</v>
      </c>
      <c r="AC176" s="72" t="n">
        <v>-8.699999999999999</v>
      </c>
      <c r="AD176" s="72" t="n">
        <v>-23.53</v>
      </c>
      <c r="AE176" s="72" t="n">
        <v>-25.88</v>
      </c>
      <c r="AF176" s="72" t="n">
        <v>-20</v>
      </c>
      <c r="AG176" s="72" t="n">
        <v>3.17</v>
      </c>
      <c r="AH176" s="72" t="n">
        <v>0</v>
      </c>
      <c r="AI176" s="72" t="n">
        <v>7.93</v>
      </c>
      <c r="AJ176" s="72" t="n">
        <v>-28.37</v>
      </c>
      <c r="AK176" s="72" t="n">
        <v>-21.46</v>
      </c>
      <c r="AL176" s="72" t="n">
        <v>-10.74</v>
      </c>
      <c r="AM176" s="72" t="n">
        <v>4.13</v>
      </c>
      <c r="AN176" s="72" t="n">
        <v>-4.42</v>
      </c>
      <c r="AO176" s="72" t="n">
        <v>-4.13</v>
      </c>
      <c r="AP176" s="62" t="inlineStr">
        <is>
          <t>Hang Seng Properties sub-index</t>
        </is>
      </c>
      <c r="AQ176" s="72" t="n">
        <v>-60.59</v>
      </c>
      <c r="AR176" s="63" t="inlineStr">
        <is>
          <t>2026-08-20</t>
        </is>
      </c>
      <c r="AS176" s="64" t="n">
        <v>661.4</v>
      </c>
      <c r="AT176" s="67" t="n">
        <v>44.2</v>
      </c>
      <c r="AU176" s="62" t="inlineStr">
        <is>
          <t>Y</t>
        </is>
      </c>
      <c r="AV176" s="73" t="n">
        <v>11.5</v>
      </c>
      <c r="AW176" s="73" t="n"/>
      <c r="AX176" s="73" t="n">
        <v>3.8</v>
      </c>
      <c r="AY176" s="73" t="n">
        <v>0.8</v>
      </c>
      <c r="AZ176" s="74" t="inlineStr">
        <is>
          <t>N</t>
        </is>
      </c>
      <c r="BA176" s="75">
        <f>IF('BBG Verify'!K176="","not filed — run on terminal",'BBG Verify'!K176)</f>
        <v/>
      </c>
      <c r="BB176" s="62" t="inlineStr">
        <is>
          <t>N/A</t>
        </is>
      </c>
      <c r="BC176" s="62" t="inlineStr">
        <is>
          <t>N/A</t>
        </is>
      </c>
      <c r="BD176" s="62" t="inlineStr">
        <is>
          <t>N/A</t>
        </is>
      </c>
      <c r="BE176" s="62" t="inlineStr">
        <is>
          <t>N/A</t>
        </is>
      </c>
      <c r="BF176" s="62" t="inlineStr">
        <is>
          <t>N/A</t>
        </is>
      </c>
      <c r="BG176" s="74" t="inlineStr">
        <is>
          <t>Zhongtai International Capital Limited; OC Zhongtai International Securities Limited</t>
        </is>
      </c>
      <c r="BH176" s="62" t="inlineStr">
        <is>
          <t>Zhongtai International Capital Limited</t>
        </is>
      </c>
      <c r="BI176" s="62" t="inlineStr">
        <is>
          <t>Zhongtai International Securities Limited; ICBC International Capital Limited; BOCOM International Securities Limited; SPDB International Capital Limited; CCB International Capital Limited; China Everbright Securities (HK) Limited; Guotai Junan Securities (Hong Kong) Limited; Fosun Hani Securities Limited; China Tonghai Securities Limited; ZMF Asset Management Limited</t>
        </is>
      </c>
      <c r="BJ176" s="62" t="inlineStr">
        <is>
          <t>Beta International Securities Limited; CCB International Capital Limited; China Everbright Securities (HK) Limited; China Tonghai Securities Limited; Fosun Hani Securities Limited; GF Securities (Hong Kong) Brokerage Limited; Guotai Junan Securities (Hong Kong) Limited; ICBC International Securities Limited; Livermore Holdings Limited; SPDB International Capital Limited</t>
        </is>
      </c>
      <c r="BK176" s="76">
        <f>HYPERLINK("https://www1.hkexnews.hk/listedco/listconews/sehk/2022/1230/2022123000035.pdf","prospectus")</f>
        <v/>
      </c>
      <c r="BL176" s="76">
        <f>HYPERLINK("https://www1.hkexnews.hk/listedco/listconews/sehk/2023/0116/2023011600024.htm","allotment")</f>
        <v/>
      </c>
      <c r="BM176" s="76">
        <f>HYPERLINK("https://www1.hkexnews.hk/listedco/listconews/sehk/2023/0208/2023020800031.pdf","stabilisation")</f>
        <v/>
      </c>
      <c r="BN176" s="74" t="n"/>
      <c r="BO176" s="62" t="inlineStr">
        <is>
          <t>A/H: no A-share listing</t>
        </is>
      </c>
    </row>
    <row r="177" ht="15" customHeight="1">
      <c r="A177" s="61" t="inlineStr">
        <is>
          <t>2306</t>
        </is>
      </c>
      <c r="B177" s="62" t="inlineStr">
        <is>
          <t>YH ENT</t>
        </is>
      </c>
      <c r="C177" s="62" t="inlineStr">
        <is>
          <t>樂華娛樂</t>
        </is>
      </c>
      <c r="D177" s="62" t="inlineStr">
        <is>
          <t>TMT-other</t>
        </is>
      </c>
      <c r="E177" s="62" t="inlineStr">
        <is>
          <t>Media / advertising</t>
        </is>
      </c>
      <c r="F177" s="62" t="inlineStr">
        <is>
          <t>Movies &amp; Entertainment</t>
        </is>
      </c>
      <c r="G177" s="62" t="inlineStr">
        <is>
          <t>Standard</t>
        </is>
      </c>
      <c r="H177" s="63" t="n">
        <v>44945</v>
      </c>
      <c r="I177" s="64" t="n">
        <v>489.8</v>
      </c>
      <c r="J177" s="62" t="inlineStr">
        <is>
          <t>gross (price x shares)</t>
        </is>
      </c>
      <c r="K177" s="65" t="n"/>
      <c r="L177" s="65" t="n">
        <v>4.08</v>
      </c>
      <c r="M177" s="65" t="n">
        <v>4.08</v>
      </c>
      <c r="N177" s="62" t="inlineStr">
        <is>
          <t>Y</t>
        </is>
      </c>
      <c r="O177" s="66" t="n">
        <v>100</v>
      </c>
      <c r="P177" s="66" t="n"/>
      <c r="Q177" s="67" t="n">
        <v>3910.4</v>
      </c>
      <c r="R177" s="62" t="inlineStr">
        <is>
          <t>aastocks:上市市值 at the struck price</t>
        </is>
      </c>
      <c r="S177" s="68" t="n">
        <v>28.68</v>
      </c>
      <c r="T177" s="69" t="n">
        <v>1.29</v>
      </c>
      <c r="U177" s="70" t="n">
        <v>17.9</v>
      </c>
      <c r="V177" s="66" t="n">
        <v>10.28</v>
      </c>
      <c r="W177" s="62" t="inlineStr">
        <is>
          <t>Ding Shijia; Maoyan Entertainment (HK) Limited; Sun Mass Energy Development Limited; TradArt Asset Management Co., Limited</t>
        </is>
      </c>
      <c r="X177" s="62" t="inlineStr">
        <is>
          <t>ding-shijia;maoyan;sun-mass;tradart</t>
        </is>
      </c>
      <c r="Y177" s="66" t="n">
        <v>12.28</v>
      </c>
      <c r="Z177" s="62" t="inlineStr">
        <is>
          <t>partial</t>
        </is>
      </c>
      <c r="AA177" s="71" t="n">
        <v>47.79</v>
      </c>
      <c r="AB177" s="72" t="n">
        <v>37.25</v>
      </c>
      <c r="AC177" s="72" t="n">
        <v>7.68</v>
      </c>
      <c r="AD177" s="72" t="n">
        <v>17.16</v>
      </c>
      <c r="AE177" s="72" t="n">
        <v>6.86</v>
      </c>
      <c r="AF177" s="72" t="n">
        <v>-1.23</v>
      </c>
      <c r="AG177" s="72" t="n">
        <v>-20.73</v>
      </c>
      <c r="AH177" s="72" t="n">
        <v>-27.69</v>
      </c>
      <c r="AI177" s="72" t="n">
        <v>-33.17</v>
      </c>
      <c r="AJ177" s="72" t="n">
        <v>16.4</v>
      </c>
      <c r="AK177" s="72" t="n">
        <v>12.65</v>
      </c>
      <c r="AL177" s="72" t="n">
        <v>7.63</v>
      </c>
      <c r="AM177" s="72" t="n">
        <v>-22.01</v>
      </c>
      <c r="AN177" s="72" t="n">
        <v>-5.79</v>
      </c>
      <c r="AO177" s="72" t="n">
        <v>-5.68</v>
      </c>
      <c r="AP177" s="62" t="inlineStr">
        <is>
          <t>Hang Seng Index</t>
        </is>
      </c>
      <c r="AQ177" s="72" t="n">
        <v>-51.72</v>
      </c>
      <c r="AR177" s="63" t="inlineStr">
        <is>
          <t>2026-08-20</t>
        </is>
      </c>
      <c r="AS177" s="64" t="n">
        <v>1419.5</v>
      </c>
      <c r="AT177" s="67" t="n">
        <v>368.9</v>
      </c>
      <c r="AU177" s="62" t="inlineStr">
        <is>
          <t>Y</t>
        </is>
      </c>
      <c r="AV177" s="73" t="n">
        <v>10.6</v>
      </c>
      <c r="AW177" s="73" t="n"/>
      <c r="AX177" s="73" t="n">
        <v>22.1</v>
      </c>
      <c r="AY177" s="73" t="n">
        <v>2.8</v>
      </c>
      <c r="AZ177" s="74" t="inlineStr">
        <is>
          <t>N</t>
        </is>
      </c>
      <c r="BA177" s="75">
        <f>IF('BBG Verify'!K177="","not filed — run on terminal",'BBG Verify'!K177)</f>
        <v/>
      </c>
      <c r="BB177" s="62" t="inlineStr">
        <is>
          <t>N/A</t>
        </is>
      </c>
      <c r="BC177" s="62" t="inlineStr">
        <is>
          <t>N/A</t>
        </is>
      </c>
      <c r="BD177" s="62" t="inlineStr">
        <is>
          <t>N/A</t>
        </is>
      </c>
      <c r="BE177" s="62" t="inlineStr">
        <is>
          <t>N/A</t>
        </is>
      </c>
      <c r="BF177" s="62" t="inlineStr">
        <is>
          <t>N/A</t>
        </is>
      </c>
      <c r="BG177" s="74" t="inlineStr">
        <is>
          <t>China Merchants Securities (HK) Co., Limited</t>
        </is>
      </c>
      <c r="BH177" s="62" t="inlineStr">
        <is>
          <t>China Securities (International) Corporate Finance Company Limited; China Merchants Securities (HK) Company Limited</t>
        </is>
      </c>
      <c r="BI177" s="62" t="inlineStr">
        <is>
          <t>Valuable Capital Limited; China Everbright Securities (HK) Limited; CSFG International Securities Limited; Guosen Securities (HK) Capital Company Limited; uSmart Securities Limited; Tiger Brokers (HK) Global Limited; Futu Securities International (Hong Kong) Limited; Guotai Junan Securities (Hong Kong) Limited; Livermore Holdings Limited</t>
        </is>
      </c>
      <c r="BJ177" s="62" t="inlineStr">
        <is>
          <t>China Everbright Securities (HK) Limited; China Merchants Securities (HK) Company Limited; China Securities (International) Corporate Finance Company Limited; Easy Securities Limited; Futu Securities International (Hong Kong) Limited; Guotai Junan Securities (Hong Kong) Limited; Guosen Securities (HK) Capital Company Limited; Livermore Holdings Limited; SDHG International Securities Limited; Tiger Brokers (HK) Global Limited</t>
        </is>
      </c>
      <c r="BK177" s="76">
        <f>HYPERLINK("https://www1.hkexnews.hk/listedco/listconews/sehk/2022/1230/2022123000047.pdf","prospectus")</f>
        <v/>
      </c>
      <c r="BL177" s="76">
        <f>HYPERLINK("https://www1.hkexnews.hk/listedco/listconews/sehk/2023/0118/2023011800042.htm","allotment")</f>
        <v/>
      </c>
      <c r="BM177" s="76">
        <f>HYPERLINK("https://www1.hkexnews.hk/listedco/listconews/sehk/2023/0212/2023021200017.pdf","stabilisation")</f>
        <v/>
      </c>
      <c r="BN177" s="74" t="n"/>
      <c r="BO177" s="62" t="inlineStr">
        <is>
          <t>price range: fixed-price offering (no indicative range) · range low: cap-only pricing — the filing publishes a Maximum Offer Price and no indicative floor · A/H: no A-share listing</t>
        </is>
      </c>
    </row>
    <row r="178" ht="15" customHeight="1">
      <c r="A178" s="61" t="inlineStr">
        <is>
          <t>2450</t>
        </is>
      </c>
      <c r="B178" s="62" t="inlineStr">
        <is>
          <t>HUAIBEI GD CO</t>
        </is>
      </c>
      <c r="C178" s="62" t="inlineStr">
        <is>
          <t>淮北綠金股份</t>
        </is>
      </c>
      <c r="D178" s="62" t="inlineStr">
        <is>
          <t>Materials/Energy</t>
        </is>
      </c>
      <c r="E178" s="62" t="inlineStr">
        <is>
          <t>Chemicals</t>
        </is>
      </c>
      <c r="F178" s="62" t="inlineStr">
        <is>
          <t>Construction Materials</t>
        </is>
      </c>
      <c r="G178" s="62" t="inlineStr">
        <is>
          <t>Standard</t>
        </is>
      </c>
      <c r="H178" s="63" t="n">
        <v>44946</v>
      </c>
      <c r="I178" s="64" t="n">
        <v>126.1</v>
      </c>
      <c r="J178" s="62" t="inlineStr">
        <is>
          <t>gross (price x shares)</t>
        </is>
      </c>
      <c r="K178" s="65" t="n"/>
      <c r="L178" s="65" t="n">
        <v>2.31</v>
      </c>
      <c r="M178" s="65" t="n">
        <v>1.91</v>
      </c>
      <c r="N178" s="62" t="inlineStr">
        <is>
          <t>N</t>
        </is>
      </c>
      <c r="O178" s="66" t="n">
        <v>82.7</v>
      </c>
      <c r="P178" s="66" t="n"/>
      <c r="Q178" s="67" t="n">
        <v>504.3</v>
      </c>
      <c r="R178" s="62" t="inlineStr">
        <is>
          <t>prospectus:stated market capitalisation</t>
        </is>
      </c>
      <c r="S178" s="68" t="n">
        <v>12.26</v>
      </c>
      <c r="T178" s="69" t="n">
        <v>0.95</v>
      </c>
      <c r="U178" s="70" t="n">
        <v>0</v>
      </c>
      <c r="V178" s="66" t="n">
        <v>25</v>
      </c>
      <c r="W178" s="62" t="n"/>
      <c r="X178" s="62" t="n"/>
      <c r="Y178" s="66" t="n">
        <v>20</v>
      </c>
      <c r="Z178" s="62" t="inlineStr">
        <is>
          <t>lapsed (no over-allocation)</t>
        </is>
      </c>
      <c r="AA178" s="71" t="n">
        <v>-44.5</v>
      </c>
      <c r="AB178" s="72" t="n">
        <v>-36.65</v>
      </c>
      <c r="AC178" s="72" t="n">
        <v>-12.39</v>
      </c>
      <c r="AD178" s="72" t="n">
        <v>-47.64</v>
      </c>
      <c r="AE178" s="72" t="n">
        <v>-57.59</v>
      </c>
      <c r="AF178" s="72" t="n">
        <v>-63.87</v>
      </c>
      <c r="AG178" s="72" t="n">
        <v>-5.66</v>
      </c>
      <c r="AH178" s="72" t="n">
        <v>-23.59</v>
      </c>
      <c r="AI178" s="72" t="n">
        <v>-34.9</v>
      </c>
      <c r="AJ178" s="72" t="n">
        <v>-50.94</v>
      </c>
      <c r="AK178" s="72" t="n">
        <v>-49.69</v>
      </c>
      <c r="AL178" s="72" t="n">
        <v>-52.12</v>
      </c>
      <c r="AM178" s="72" t="n">
        <v>-13.47</v>
      </c>
      <c r="AN178" s="72" t="n">
        <v>-7.9</v>
      </c>
      <c r="AO178" s="72" t="n">
        <v>-10.12</v>
      </c>
      <c r="AP178" s="62" t="inlineStr">
        <is>
          <t>Hang Seng Commerce &amp; Industry sub-index</t>
        </is>
      </c>
      <c r="AQ178" s="72" t="n">
        <v>371.2</v>
      </c>
      <c r="AR178" s="63" t="inlineStr">
        <is>
          <t>2026-08-20</t>
        </is>
      </c>
      <c r="AS178" s="64" t="n">
        <v>407.4</v>
      </c>
      <c r="AT178" s="67" t="n">
        <v>108.8</v>
      </c>
      <c r="AU178" s="62" t="inlineStr">
        <is>
          <t>Y</t>
        </is>
      </c>
      <c r="AV178" s="73" t="n">
        <v>4.6</v>
      </c>
      <c r="AW178" s="73" t="n"/>
      <c r="AX178" s="73" t="n"/>
      <c r="AY178" s="73" t="n">
        <v>1.2</v>
      </c>
      <c r="AZ178" s="74" t="inlineStr">
        <is>
          <t>N</t>
        </is>
      </c>
      <c r="BA178" s="75">
        <f>IF('BBG Verify'!K178="","not filed — run on terminal",'BBG Verify'!K178)</f>
        <v/>
      </c>
      <c r="BB178" s="62" t="inlineStr">
        <is>
          <t>N/A</t>
        </is>
      </c>
      <c r="BC178" s="62" t="inlineStr">
        <is>
          <t>N/A</t>
        </is>
      </c>
      <c r="BD178" s="62" t="inlineStr">
        <is>
          <t>N/A</t>
        </is>
      </c>
      <c r="BE178" s="62" t="inlineStr">
        <is>
          <t>N/A</t>
        </is>
      </c>
      <c r="BF178" s="62" t="inlineStr">
        <is>
          <t>N/A</t>
        </is>
      </c>
      <c r="BG178" s="74" t="inlineStr">
        <is>
          <t>China Everbright Capital Limited</t>
        </is>
      </c>
      <c r="BH178" s="62" t="inlineStr">
        <is>
          <t>China Everbright Capital Limited</t>
        </is>
      </c>
      <c r="BI178" s="62" t="inlineStr">
        <is>
          <t>China Everbright Securities (HK) Limited; ABCI Capital Limited; BOCI Asia Limited; BOCOM International Securities Limited; China PA Securities (Hong Kong) Company Limited; Citrus Securities Limited; CMBC Securities Company Limited; Huaan Securities (Hong Kong) Brokerage Limited; ICBC International Securities Limited; SPDB International Capital Limited; Zhongtai International Securities Limited</t>
        </is>
      </c>
      <c r="BJ178" s="62" t="inlineStr">
        <is>
          <t>ABCI Securities Company Limited; Beta International Securities Limited; BOCI Asia Limited; China Everbright Securities (HK) Limited; China Industrial Securities International Capital Limited; Citrus Securities Limited; CMBC Securities Company Limited; China PA Securities (Hong Kong) Company Limited; Huaan Securities (Hong Kong) Brokerage Limited; ICBC International Securities Limited; Livermore Holdings Limited; Maxa Capital Limited</t>
        </is>
      </c>
      <c r="BK178" s="76">
        <f>HYPERLINK("https://www1.hkexnews.hk/listedco/listconews/sehk/2022/1230/2022123000043.pdf","prospectus")</f>
        <v/>
      </c>
      <c r="BL178" s="76">
        <f>HYPERLINK("https://www1.hkexnews.hk/listedco/listconews/sehk/2023/0119/2023011900018.htm","allotment")</f>
        <v/>
      </c>
      <c r="BM178" s="76">
        <f>HYPERLINK("https://www1.hkexnews.hk/listedco/listconews/sehk/2023/0212/2023021200031.pdf","stabilisation")</f>
        <v/>
      </c>
      <c r="BN178" s="74" t="n"/>
      <c r="BO178" s="62" t="inlineStr">
        <is>
          <t>range low: cap-only pricing — the filing publishes a Maximum Offer Price and no indicative floor · A/H: no A-share listing · cornerstone list: no cornerstone tranche in this deal</t>
        </is>
      </c>
    </row>
    <row r="179" ht="15" customHeight="1">
      <c r="A179" s="61" t="inlineStr">
        <is>
          <t>2482</t>
        </is>
      </c>
      <c r="B179" s="62" t="inlineStr">
        <is>
          <t>LOGORY</t>
        </is>
      </c>
      <c r="C179" s="62" t="inlineStr">
        <is>
          <t>維天運通</t>
        </is>
      </c>
      <c r="D179" s="62" t="inlineStr">
        <is>
          <t>Industrials</t>
        </is>
      </c>
      <c r="E179" s="62" t="inlineStr">
        <is>
          <t>Logistics</t>
        </is>
      </c>
      <c r="F179" s="62" t="inlineStr">
        <is>
          <t>Air Freight &amp; Logistics</t>
        </is>
      </c>
      <c r="G179" s="62" t="inlineStr">
        <is>
          <t>Standard</t>
        </is>
      </c>
      <c r="H179" s="63" t="n">
        <v>44994</v>
      </c>
      <c r="I179" s="64" t="n">
        <v>125.3</v>
      </c>
      <c r="J179" s="62" t="inlineStr">
        <is>
          <t>gross (price x shares)</t>
        </is>
      </c>
      <c r="K179" s="65" t="n">
        <v>2.9</v>
      </c>
      <c r="L179" s="65" t="n">
        <v>3.5</v>
      </c>
      <c r="M179" s="65" t="n">
        <v>2.9</v>
      </c>
      <c r="N179" s="62" t="inlineStr">
        <is>
          <t>N</t>
        </is>
      </c>
      <c r="O179" s="66" t="n">
        <v>82.90000000000001</v>
      </c>
      <c r="P179" s="66" t="n">
        <v>0</v>
      </c>
      <c r="Q179" s="67" t="n">
        <v>4735.2</v>
      </c>
      <c r="R179" s="62" t="inlineStr">
        <is>
          <t>aastocks:上市市值 at the struck price</t>
        </is>
      </c>
      <c r="S179" s="68" t="n">
        <v>23.09</v>
      </c>
      <c r="T179" s="69" t="n">
        <v>1.43</v>
      </c>
      <c r="U179" s="70" t="n">
        <v>65.2</v>
      </c>
      <c r="V179" s="66" t="n">
        <v>0.92</v>
      </c>
      <c r="W179" s="62" t="inlineStr">
        <is>
          <t>Hefei Gaoxin Development &amp; Investment Group Co., Ltd; XINGTAI HOLDING COMPANY (HONG KONG) LIMITED</t>
        </is>
      </c>
      <c r="X179" s="62" t="inlineStr">
        <is>
          <t>hefei;xingtai</t>
        </is>
      </c>
      <c r="Y179" s="66" t="n">
        <v>19.62</v>
      </c>
      <c r="Z179" s="62" t="inlineStr">
        <is>
          <t>lapsed (no over-allocation)</t>
        </is>
      </c>
      <c r="AA179" s="71" t="n">
        <v>-2.07</v>
      </c>
      <c r="AB179" s="72" t="n">
        <v>-3.1</v>
      </c>
      <c r="AC179" s="72" t="n">
        <v>1.06</v>
      </c>
      <c r="AD179" s="72" t="n">
        <v>-1.38</v>
      </c>
      <c r="AE179" s="72" t="n">
        <v>-4.48</v>
      </c>
      <c r="AF179" s="72" t="n">
        <v>-6.9</v>
      </c>
      <c r="AG179" s="72" t="n">
        <v>0.7</v>
      </c>
      <c r="AH179" s="72" t="n">
        <v>-2.46</v>
      </c>
      <c r="AI179" s="72" t="n">
        <v>-4.93</v>
      </c>
      <c r="AJ179" s="72" t="n">
        <v>2.92</v>
      </c>
      <c r="AK179" s="72" t="n">
        <v>-6.85</v>
      </c>
      <c r="AL179" s="72" t="n">
        <v>-3.69</v>
      </c>
      <c r="AM179" s="72" t="n">
        <v>-5.71</v>
      </c>
      <c r="AN179" s="72" t="n">
        <v>2.37</v>
      </c>
      <c r="AO179" s="72" t="n">
        <v>3.25</v>
      </c>
      <c r="AP179" s="62" t="inlineStr">
        <is>
          <t>Hang Seng Commerce &amp; Industry sub-index</t>
        </is>
      </c>
      <c r="AQ179" s="72" t="n">
        <v>-89.48</v>
      </c>
      <c r="AR179" s="63" t="inlineStr">
        <is>
          <t>2026-08-20</t>
        </is>
      </c>
      <c r="AS179" s="64" t="n">
        <v>6927</v>
      </c>
      <c r="AT179" s="67" t="n"/>
      <c r="AU179" s="62" t="inlineStr">
        <is>
          <t>Y</t>
        </is>
      </c>
      <c r="AV179" s="77">
        <f>IF('BBG Verify'!O179="","not filed — run on terminal",'BBG Verify'!O179)</f>
        <v/>
      </c>
      <c r="AW179" s="73" t="n"/>
      <c r="AX179" s="73" t="n">
        <v>8.4</v>
      </c>
      <c r="AY179" s="73" t="n">
        <v>0.7</v>
      </c>
      <c r="AZ179" s="74" t="inlineStr">
        <is>
          <t>N</t>
        </is>
      </c>
      <c r="BA179" s="75">
        <f>IF('BBG Verify'!K179="","not filed — run on terminal",'BBG Verify'!K179)</f>
        <v/>
      </c>
      <c r="BB179" s="62" t="inlineStr">
        <is>
          <t>N/A</t>
        </is>
      </c>
      <c r="BC179" s="62" t="inlineStr">
        <is>
          <t>N/A</t>
        </is>
      </c>
      <c r="BD179" s="62" t="inlineStr">
        <is>
          <t>N/A</t>
        </is>
      </c>
      <c r="BE179" s="62" t="inlineStr">
        <is>
          <t>N/A</t>
        </is>
      </c>
      <c r="BF179" s="62" t="inlineStr">
        <is>
          <t>N/A</t>
        </is>
      </c>
      <c r="BG179" s="74" t="inlineStr">
        <is>
          <t>Haitong International Capital Limited; Haitong International Securities Company Limited</t>
        </is>
      </c>
      <c r="BH179" s="62" t="inlineStr">
        <is>
          <t>Haitong International Capital Limited</t>
        </is>
      </c>
      <c r="BI179" s="62" t="inlineStr">
        <is>
          <t>Haitong International Securities Company Limited; CLSA Limited</t>
        </is>
      </c>
      <c r="BJ179" s="62" t="inlineStr">
        <is>
          <t>CLSA Limited; Haitong International Securities Company Limited; SDHG International Securities Limited; Sinomax Securities Limited; Valuable Capital Limited</t>
        </is>
      </c>
      <c r="BK179" s="76">
        <f>HYPERLINK("https://www1.hkexnews.hk/listedco/listconews/sehk/2023/0227/2023022700005.pdf","prospectus")</f>
        <v/>
      </c>
      <c r="BL179" s="76">
        <f>HYPERLINK("https://www1.hkexnews.hk/listedco/listconews/sehk/2023/0308/2023030800008.htm","allotment")</f>
        <v/>
      </c>
      <c r="BM179" s="76">
        <f>HYPERLINK("https://www1.hkexnews.hk/listedco/listconews/sehk/2023/0403/2023040300095.pdf","stabilisation")</f>
        <v/>
      </c>
      <c r="BN179" s="74" t="n"/>
      <c r="BO179" s="62" t="inlineStr">
        <is>
          <t>P/E: withheld — mktcap / net income gives 3,157x, which fails the 300x plausibility check; the extracted net income (HK$1.5m) is not trustworthy · A/H: no A-share listing · market cap: estimate from deal size / offer % of enlarged capital disagreed with the published listing cap — published figure adopted · financials: financial tables not machine-extractable and the pre-IPO year is outside AAStocks' 5-year window</t>
        </is>
      </c>
    </row>
    <row r="180" ht="15" customHeight="1">
      <c r="A180" s="61" t="inlineStr">
        <is>
          <t>9636</t>
        </is>
      </c>
      <c r="B180" s="62" t="inlineStr">
        <is>
          <t>JF WEALTH</t>
        </is>
      </c>
      <c r="C180" s="62" t="inlineStr">
        <is>
          <t>九方智投控股</t>
        </is>
      </c>
      <c r="D180" s="62" t="inlineStr">
        <is>
          <t>Financials</t>
        </is>
      </c>
      <c r="E180" s="62" t="inlineStr">
        <is>
          <t>Brokers / asset management</t>
        </is>
      </c>
      <c r="F180" s="62" t="inlineStr">
        <is>
          <t>Education Services</t>
        </is>
      </c>
      <c r="G180" s="62" t="inlineStr">
        <is>
          <t>Standard</t>
        </is>
      </c>
      <c r="H180" s="63" t="n">
        <v>44995</v>
      </c>
      <c r="I180" s="64" t="n">
        <v>1013.5</v>
      </c>
      <c r="J180" s="62" t="inlineStr">
        <is>
          <t>gross (price x shares)</t>
        </is>
      </c>
      <c r="K180" s="65" t="n">
        <v>16.98</v>
      </c>
      <c r="L180" s="65" t="n">
        <v>18.78</v>
      </c>
      <c r="M180" s="65" t="n">
        <v>17</v>
      </c>
      <c r="N180" s="62" t="inlineStr">
        <is>
          <t>N</t>
        </is>
      </c>
      <c r="O180" s="66" t="n">
        <v>90.5</v>
      </c>
      <c r="P180" s="66" t="n">
        <v>1.1</v>
      </c>
      <c r="Q180" s="67" t="n">
        <v>7908.8</v>
      </c>
      <c r="R180" s="62" t="inlineStr">
        <is>
          <t>prospectus:stated market capitalisation</t>
        </is>
      </c>
      <c r="S180" s="68" t="n">
        <v>2.59</v>
      </c>
      <c r="T180" s="69" t="n">
        <v>1.85</v>
      </c>
      <c r="U180" s="70" t="n">
        <v>7.75</v>
      </c>
      <c r="V180" s="66" t="n">
        <v>11.82</v>
      </c>
      <c r="W180" s="62" t="inlineStr">
        <is>
          <t>Duke King Holdings Limited; Garland Glory Holdings Limited; New China Asset Management (Hong Kong) Limited; Orchid Asia V Co-Investment, Limited; Sichuan Hebang Investment Group Co., Ltd</t>
        </is>
      </c>
      <c r="X180" s="62" t="inlineStr">
        <is>
          <t>duke;garland;new;orchid;sichuan</t>
        </is>
      </c>
      <c r="Y180" s="66" t="n">
        <v>10</v>
      </c>
      <c r="Z180" s="62" t="inlineStr">
        <is>
          <t>partial</t>
        </is>
      </c>
      <c r="AA180" s="71" t="n">
        <v>0.82</v>
      </c>
      <c r="AB180" s="72" t="n">
        <v>0.12</v>
      </c>
      <c r="AC180" s="72" t="n">
        <v>0.7</v>
      </c>
      <c r="AD180" s="72" t="n">
        <v>-0.82</v>
      </c>
      <c r="AE180" s="72" t="n">
        <v>-7.65</v>
      </c>
      <c r="AF180" s="72" t="n">
        <v>-4.82</v>
      </c>
      <c r="AG180" s="72" t="n">
        <v>-1.63</v>
      </c>
      <c r="AH180" s="72" t="n">
        <v>-8.4</v>
      </c>
      <c r="AI180" s="72" t="n">
        <v>-5.59</v>
      </c>
      <c r="AJ180" s="72" t="n">
        <v>2.29</v>
      </c>
      <c r="AK180" s="72" t="n">
        <v>-7.31</v>
      </c>
      <c r="AL180" s="72" t="n">
        <v>-3.67</v>
      </c>
      <c r="AM180" s="72" t="n">
        <v>-10.95</v>
      </c>
      <c r="AN180" s="72" t="n">
        <v>-0.34</v>
      </c>
      <c r="AO180" s="72" t="n">
        <v>2.55</v>
      </c>
      <c r="AP180" s="62" t="inlineStr">
        <is>
          <t>Hang Seng Finance sub-index</t>
        </is>
      </c>
      <c r="AQ180" s="72" t="n">
        <v>64</v>
      </c>
      <c r="AR180" s="63" t="inlineStr">
        <is>
          <t>2026-08-20</t>
        </is>
      </c>
      <c r="AS180" s="64" t="n">
        <v>1597.1</v>
      </c>
      <c r="AT180" s="67" t="n">
        <v>255.6</v>
      </c>
      <c r="AU180" s="62" t="inlineStr">
        <is>
          <t>Y</t>
        </is>
      </c>
      <c r="AV180" s="73" t="n">
        <v>30.9</v>
      </c>
      <c r="AW180" s="73" t="n">
        <v>12.4</v>
      </c>
      <c r="AX180" s="73" t="n">
        <v>11.4</v>
      </c>
      <c r="AY180" s="73" t="n">
        <v>5</v>
      </c>
      <c r="AZ180" s="74" t="inlineStr">
        <is>
          <t>N</t>
        </is>
      </c>
      <c r="BA180" s="75">
        <f>IF('BBG Verify'!K180="","not filed — run on terminal",'BBG Verify'!K180)</f>
        <v/>
      </c>
      <c r="BB180" s="62" t="inlineStr">
        <is>
          <t>N/A</t>
        </is>
      </c>
      <c r="BC180" s="62" t="inlineStr">
        <is>
          <t>N/A</t>
        </is>
      </c>
      <c r="BD180" s="62" t="inlineStr">
        <is>
          <t>N/A</t>
        </is>
      </c>
      <c r="BE180" s="62" t="inlineStr">
        <is>
          <t>N/A</t>
        </is>
      </c>
      <c r="BF180" s="62" t="inlineStr">
        <is>
          <t>N/A</t>
        </is>
      </c>
      <c r="BG180" s="74" t="n"/>
      <c r="BH180" s="62" t="inlineStr">
        <is>
          <t>China International Capital Corporation Hong Kong Securities Limited</t>
        </is>
      </c>
      <c r="BI180" s="62" t="inlineStr">
        <is>
          <t>China International Capital Corporation Hong Kong Securities Limited; BNP Paribas Securities (Asia) Limited; SPDB International Capital Limited; Huatai Financial Holdings (Hong Kong) Limited; Forthright Securities Company Limited; CCB International Capital Limited</t>
        </is>
      </c>
      <c r="BJ180" s="62" t="inlineStr">
        <is>
          <t>BNP Paribas Securities (Asia) Limited; CCB International Capital Limited; China International Capital Corporation Hong Kong Securities Limited; Forthright Securities Company Limited; Futu Securities International (Hong Kong) Limited; Huatai Financial Holdings (Hong Kong) Limited; ICBC International Securities Limited; SPDB International Capital Limited; Tiger Brokers (HK) Global Limited; Valuable Capital Limited; Zhongtai International Securities Limited</t>
        </is>
      </c>
      <c r="BK180" s="76">
        <f>HYPERLINK("https://www1.hkexnews.hk/listedco/listconews/sehk/2023/0228/2023022800011.pdf","prospectus")</f>
        <v/>
      </c>
      <c r="BL180" s="76">
        <f>HYPERLINK("https://www1.hkexnews.hk/listedco/listconews/sehk/2023/0309/2023030900008.htm","allotment")</f>
        <v/>
      </c>
      <c r="BM180" s="76">
        <f>HYPERLINK("https://www1.hkexnews.hk/listedco/listconews/sehk/2023/0402/2023040200127.pdf","stabilisation")</f>
        <v/>
      </c>
      <c r="BN180" s="74" t="n"/>
      <c r="BO180" s="62" t="inlineStr">
        <is>
          <t>A/H: no A-share listing · sponsor: English name not in the filing text; AAStocks 保薦人 shown · cornerstone: AAStocks institutional table includes non-cornerstone orders (superset) — cornerstone % is from the prospectus</t>
        </is>
      </c>
    </row>
    <row r="181" ht="15" customHeight="1">
      <c r="A181" s="61" t="inlineStr">
        <is>
          <t>1405</t>
        </is>
      </c>
      <c r="B181" s="62" t="inlineStr">
        <is>
          <t>DPC DASH</t>
        </is>
      </c>
      <c r="C181" s="62" t="inlineStr">
        <is>
          <t>達勢股份</t>
        </is>
      </c>
      <c r="D181" s="62" t="inlineStr">
        <is>
          <t>Consumer</t>
        </is>
      </c>
      <c r="E181" s="62" t="inlineStr">
        <is>
          <t>F&amp;B chains / restaurants</t>
        </is>
      </c>
      <c r="F181" s="62" t="inlineStr">
        <is>
          <t>Restaurants</t>
        </is>
      </c>
      <c r="G181" s="62" t="inlineStr">
        <is>
          <t>Standard</t>
        </is>
      </c>
      <c r="H181" s="63" t="n">
        <v>45013</v>
      </c>
      <c r="I181" s="64" t="n">
        <v>588.8</v>
      </c>
      <c r="J181" s="62" t="inlineStr">
        <is>
          <t>gross (price x shares)</t>
        </is>
      </c>
      <c r="K181" s="65" t="n"/>
      <c r="L181" s="65" t="n">
        <v>46</v>
      </c>
      <c r="M181" s="65" t="n">
        <v>46</v>
      </c>
      <c r="N181" s="62" t="inlineStr">
        <is>
          <t>Y</t>
        </is>
      </c>
      <c r="O181" s="66" t="n">
        <v>100</v>
      </c>
      <c r="P181" s="66" t="n"/>
      <c r="Q181" s="67" t="n">
        <v>5327</v>
      </c>
      <c r="R181" s="62" t="inlineStr">
        <is>
          <t>prospectus:stated market capitalisation</t>
        </is>
      </c>
      <c r="S181" s="68" t="n">
        <v>0.45</v>
      </c>
      <c r="T181" s="69" t="n">
        <v>1.9</v>
      </c>
      <c r="U181" s="70" t="n">
        <v>0</v>
      </c>
      <c r="V181" s="66" t="n">
        <v>11.05</v>
      </c>
      <c r="W181" s="62" t="n"/>
      <c r="X181" s="62" t="n"/>
      <c r="Y181" s="66" t="n">
        <v>9.949999999999999</v>
      </c>
      <c r="Z181" s="62" t="inlineStr">
        <is>
          <t>partial</t>
        </is>
      </c>
      <c r="AA181" s="71" t="n">
        <v>-0.11</v>
      </c>
      <c r="AB181" s="72" t="n">
        <v>0</v>
      </c>
      <c r="AC181" s="72" t="n">
        <v>-0.11</v>
      </c>
      <c r="AD181" s="72" t="n">
        <v>22.83</v>
      </c>
      <c r="AE181" s="72" t="n">
        <v>17.72</v>
      </c>
      <c r="AF181" s="72" t="n">
        <v>13.8</v>
      </c>
      <c r="AG181" s="72" t="n">
        <v>22.97</v>
      </c>
      <c r="AH181" s="72" t="n">
        <v>17.85</v>
      </c>
      <c r="AI181" s="72" t="n">
        <v>13.93</v>
      </c>
      <c r="AJ181" s="72" t="n">
        <v>18.4</v>
      </c>
      <c r="AK181" s="72" t="n">
        <v>18.4</v>
      </c>
      <c r="AL181" s="72" t="n">
        <v>17.59</v>
      </c>
      <c r="AM181" s="72" t="n">
        <v>19.51</v>
      </c>
      <c r="AN181" s="72" t="n">
        <v>-0.68</v>
      </c>
      <c r="AO181" s="72" t="n">
        <v>-1.66</v>
      </c>
      <c r="AP181" s="62" t="inlineStr">
        <is>
          <t>Hang Seng Commerce &amp; Industry sub-index</t>
        </is>
      </c>
      <c r="AQ181" s="72" t="n">
        <v>-19.35</v>
      </c>
      <c r="AR181" s="63" t="inlineStr">
        <is>
          <t>2026-08-20</t>
        </is>
      </c>
      <c r="AS181" s="64" t="n">
        <v>2222.9</v>
      </c>
      <c r="AT181" s="67" t="n">
        <v>-244.9</v>
      </c>
      <c r="AU181" s="62" t="inlineStr">
        <is>
          <t>N</t>
        </is>
      </c>
      <c r="AV181" s="62" t="inlineStr">
        <is>
          <t>n/m</t>
        </is>
      </c>
      <c r="AW181" s="73" t="n"/>
      <c r="AX181" s="73" t="n">
        <v>30.1</v>
      </c>
      <c r="AY181" s="73" t="n">
        <v>2.4</v>
      </c>
      <c r="AZ181" s="74" t="inlineStr">
        <is>
          <t>N</t>
        </is>
      </c>
      <c r="BA181" s="75">
        <f>IF('BBG Verify'!K181="","not filed — run on terminal",'BBG Verify'!K181)</f>
        <v/>
      </c>
      <c r="BB181" s="62" t="inlineStr">
        <is>
          <t>N/A</t>
        </is>
      </c>
      <c r="BC181" s="62" t="inlineStr">
        <is>
          <t>N/A</t>
        </is>
      </c>
      <c r="BD181" s="62" t="inlineStr">
        <is>
          <t>N/A</t>
        </is>
      </c>
      <c r="BE181" s="62" t="inlineStr">
        <is>
          <t>N/A</t>
        </is>
      </c>
      <c r="BF181" s="62" t="inlineStr">
        <is>
          <t>N/A</t>
        </is>
      </c>
      <c r="BG181" s="74" t="inlineStr">
        <is>
          <t>Merrill Lynch (Asia Pacific) Limited; Financial Advisor Ampere Partners Limited</t>
        </is>
      </c>
      <c r="BH181" s="62" t="inlineStr">
        <is>
          <t>Merrill Lynch (Asia Pacific) Limited</t>
        </is>
      </c>
      <c r="BI181" s="62" t="inlineStr">
        <is>
          <t>Merrill Lynch (Asia Pacific) Limited</t>
        </is>
      </c>
      <c r="BJ181" s="62" t="inlineStr">
        <is>
          <t>DBS Asia Capital Limited; Merrill Lynch (Asia Pacific) Limited</t>
        </is>
      </c>
      <c r="BK181" s="76">
        <f>HYPERLINK("https://www1.hkexnews.hk/listedco/listconews/sehk/2023/0316/2023031600034.htm","prospectus")</f>
        <v/>
      </c>
      <c r="BL181" s="76">
        <f>HYPERLINK("https://www1.hkexnews.hk/listedco/listconews/sehk/2023/0327/2023032700030.htm","allotment")</f>
        <v/>
      </c>
      <c r="BM181" s="76">
        <f>HYPERLINK("https://www1.hkexnews.hk/listedco/listconews/sehk/2023/0420/2023042000559.pdf","stabilisation")</f>
        <v/>
      </c>
      <c r="BN181" s="74" t="n"/>
      <c r="BO181" s="62" t="inlineStr">
        <is>
          <t>P/E: n/m — loss-making at IPO (use P/S) · price range: fixed-price offering (no indicative range) · range low: cap-only pricing — the filing publishes a Maximum Offer Price and no indicative floor · A/H: no A-share listing · cornerstone list: no cornerstone tranche in this deal</t>
        </is>
      </c>
    </row>
    <row r="182" ht="15" customHeight="1">
      <c r="A182" s="61" t="inlineStr">
        <is>
          <t>2409</t>
        </is>
      </c>
      <c r="B182" s="62" t="inlineStr">
        <is>
          <t>SEACON</t>
        </is>
      </c>
      <c r="C182" s="62" t="inlineStr">
        <is>
          <t>洲際船務</t>
        </is>
      </c>
      <c r="D182" s="62" t="inlineStr">
        <is>
          <t>Industrials</t>
        </is>
      </c>
      <c r="E182" s="62" t="inlineStr">
        <is>
          <t>Logistics</t>
        </is>
      </c>
      <c r="F182" s="62" t="inlineStr">
        <is>
          <t>Marine Ports &amp; Services</t>
        </is>
      </c>
      <c r="G182" s="62" t="inlineStr">
        <is>
          <t>Standard</t>
        </is>
      </c>
      <c r="H182" s="63" t="n">
        <v>45014</v>
      </c>
      <c r="I182" s="64" t="n">
        <v>408.8</v>
      </c>
      <c r="J182" s="62" t="inlineStr">
        <is>
          <t>gross (price x shares)</t>
        </is>
      </c>
      <c r="K182" s="65" t="n"/>
      <c r="L182" s="65" t="n">
        <v>3.27</v>
      </c>
      <c r="M182" s="65" t="n">
        <v>3.27</v>
      </c>
      <c r="N182" s="62" t="inlineStr">
        <is>
          <t>Y</t>
        </is>
      </c>
      <c r="O182" s="66" t="n">
        <v>100</v>
      </c>
      <c r="P182" s="66" t="n"/>
      <c r="Q182" s="67" t="n">
        <v>1635.2</v>
      </c>
      <c r="R182" s="62" t="inlineStr">
        <is>
          <t>derived:deal size / offer % of enlarged capital</t>
        </is>
      </c>
      <c r="S182" s="68" t="n">
        <v>1.14</v>
      </c>
      <c r="T182" s="69" t="n">
        <v>1.09</v>
      </c>
      <c r="U182" s="70" t="n">
        <v>19.96</v>
      </c>
      <c r="V182" s="66" t="n">
        <v>20.01</v>
      </c>
      <c r="W182" s="62" t="inlineStr">
        <is>
          <t>Danube Bridge Shipping Limited; Guodian Shipping (Hong Kong) Company Limited; Huzhou Wuxing Tourism Development Co., Ltd</t>
        </is>
      </c>
      <c r="X182" s="62" t="inlineStr">
        <is>
          <t>danube;guodian;huzhou</t>
        </is>
      </c>
      <c r="Y182" s="66" t="n">
        <v>15</v>
      </c>
      <c r="Z182" s="62" t="inlineStr">
        <is>
          <t>lapsed</t>
        </is>
      </c>
      <c r="AA182" s="71" t="n">
        <v>-21.1</v>
      </c>
      <c r="AB182" s="72" t="n">
        <v>0.31</v>
      </c>
      <c r="AC182" s="72" t="n">
        <v>-21.34</v>
      </c>
      <c r="AD182" s="72" t="n">
        <v>-7.65</v>
      </c>
      <c r="AE182" s="72" t="n">
        <v>-13.76</v>
      </c>
      <c r="AF182" s="72" t="n">
        <v>-5.81</v>
      </c>
      <c r="AG182" s="72" t="n">
        <v>17.05</v>
      </c>
      <c r="AH182" s="72" t="n">
        <v>9.300000000000001</v>
      </c>
      <c r="AI182" s="72" t="n">
        <v>19.38</v>
      </c>
      <c r="AJ182" s="72" t="n">
        <v>-11.46</v>
      </c>
      <c r="AK182" s="72" t="n">
        <v>-10.65</v>
      </c>
      <c r="AL182" s="72" t="n">
        <v>-1.93</v>
      </c>
      <c r="AM182" s="72" t="n">
        <v>15.1</v>
      </c>
      <c r="AN182" s="72" t="n">
        <v>-3.11</v>
      </c>
      <c r="AO182" s="72" t="n">
        <v>-5.8</v>
      </c>
      <c r="AP182" s="62" t="inlineStr">
        <is>
          <t>Hang Seng Commerce &amp; Industry sub-index</t>
        </is>
      </c>
      <c r="AQ182" s="72" t="n">
        <v>25.38</v>
      </c>
      <c r="AR182" s="63" t="inlineStr">
        <is>
          <t>2026-08-20</t>
        </is>
      </c>
      <c r="AS182" s="64" t="n">
        <v>2907.4</v>
      </c>
      <c r="AT182" s="67" t="n">
        <v>312</v>
      </c>
      <c r="AU182" s="62" t="inlineStr">
        <is>
          <t>Y</t>
        </is>
      </c>
      <c r="AV182" s="73" t="n">
        <v>5.2</v>
      </c>
      <c r="AW182" s="73" t="n">
        <v>2.2</v>
      </c>
      <c r="AX182" s="73" t="n">
        <v>7.5</v>
      </c>
      <c r="AY182" s="73" t="n">
        <v>0.6</v>
      </c>
      <c r="AZ182" s="74" t="inlineStr">
        <is>
          <t>N</t>
        </is>
      </c>
      <c r="BA182" s="75">
        <f>IF('BBG Verify'!K182="","not filed — run on terminal",'BBG Verify'!K182)</f>
        <v/>
      </c>
      <c r="BB182" s="62" t="inlineStr">
        <is>
          <t>N/A</t>
        </is>
      </c>
      <c r="BC182" s="62" t="inlineStr">
        <is>
          <t>N/A</t>
        </is>
      </c>
      <c r="BD182" s="62" t="inlineStr">
        <is>
          <t>N/A</t>
        </is>
      </c>
      <c r="BE182" s="62" t="inlineStr">
        <is>
          <t>N/A</t>
        </is>
      </c>
      <c r="BF182" s="62" t="inlineStr">
        <is>
          <t>N/A</t>
        </is>
      </c>
      <c r="BG182" s="74" t="inlineStr">
        <is>
          <t>Zhongtai International Capital Limited</t>
        </is>
      </c>
      <c r="BH182" s="62" t="inlineStr">
        <is>
          <t>Zhongtai International Capital Limited</t>
        </is>
      </c>
      <c r="BI182" s="62" t="inlineStr">
        <is>
          <t>Zhongtai International Securities Limited; Shenwan Hongyuan Securities (H.K.) Limited; Citrus Securities Limited; BOCOM International Securities Limited</t>
        </is>
      </c>
      <c r="BJ182" s="62" t="inlineStr">
        <is>
          <t>Beta International Securities Limited; Citrus Securities Limited; CMBC Securities Company Limited; Futu Securities International (Hong Kong) Limited; Shenwan Hongyuan Capital (H.K.) Limited; Valuable Capital Limited; Zhongtai International Securities Limited</t>
        </is>
      </c>
      <c r="BK182" s="76">
        <f>HYPERLINK("https://www1.hkexnews.hk/listedco/listconews/sehk/2023/0314/2023031400009.pdf","prospectus")</f>
        <v/>
      </c>
      <c r="BL182" s="76">
        <f>HYPERLINK("https://www1.hkexnews.hk/listedco/listconews/sehk/2023/0328/2023032800038.htm","allotment")</f>
        <v/>
      </c>
      <c r="BM182" s="76">
        <f>HYPERLINK("https://www1.hkexnews.hk/listedco/listconews/sehk/2023/0416/2023041600007.pdf","stabilisation")</f>
        <v/>
      </c>
      <c r="BN182" s="74" t="n"/>
      <c r="BO182" s="62" t="inlineStr">
        <is>
          <t>price range: fixed-price offering (no indicative range) · range low: cap-only pricing — the filing publishes a Maximum Offer Price and no indicative floor · A/H: no A-share listing</t>
        </is>
      </c>
    </row>
    <row r="183" ht="15" customHeight="1">
      <c r="A183" s="61" t="inlineStr">
        <is>
          <t>2433</t>
        </is>
      </c>
      <c r="B183" s="62" t="inlineStr">
        <is>
          <t>ZT HN GROUP</t>
        </is>
      </c>
      <c r="C183" s="62" t="inlineStr">
        <is>
          <t>中天湖南集團</t>
        </is>
      </c>
      <c r="D183" s="62" t="inlineStr">
        <is>
          <t>Industrials</t>
        </is>
      </c>
      <c r="E183" s="62" t="inlineStr">
        <is>
          <t>Construction / engineering</t>
        </is>
      </c>
      <c r="F183" s="62" t="inlineStr">
        <is>
          <t>Building Construction</t>
        </is>
      </c>
      <c r="G183" s="62" t="inlineStr">
        <is>
          <t>Standard</t>
        </is>
      </c>
      <c r="H183" s="63" t="n">
        <v>45015</v>
      </c>
      <c r="I183" s="64" t="n">
        <v>141.6</v>
      </c>
      <c r="J183" s="62" t="inlineStr">
        <is>
          <t>gross (price x shares)</t>
        </is>
      </c>
      <c r="K183" s="65" t="n"/>
      <c r="L183" s="65" t="n">
        <v>1.18</v>
      </c>
      <c r="M183" s="65" t="n">
        <v>1.18</v>
      </c>
      <c r="N183" s="62" t="inlineStr">
        <is>
          <t>Y</t>
        </is>
      </c>
      <c r="O183" s="66" t="n">
        <v>100</v>
      </c>
      <c r="P183" s="66" t="n"/>
      <c r="Q183" s="67" t="n">
        <v>511.2</v>
      </c>
      <c r="R183" s="62" t="inlineStr">
        <is>
          <t>derived:deal size / offer % of enlarged capital</t>
        </is>
      </c>
      <c r="S183" s="68" t="n">
        <v>10.62</v>
      </c>
      <c r="T183" s="69" t="n">
        <v>1.01</v>
      </c>
      <c r="U183" s="70" t="n">
        <v>0</v>
      </c>
      <c r="V183" s="66" t="n">
        <v>27.7</v>
      </c>
      <c r="W183" s="62" t="n"/>
      <c r="X183" s="62" t="n"/>
      <c r="Y183" s="66" t="n">
        <v>20</v>
      </c>
      <c r="Z183" s="62" t="inlineStr">
        <is>
          <t>lapsed (no over-allocation)</t>
        </is>
      </c>
      <c r="AA183" s="71" t="n">
        <v>126.27</v>
      </c>
      <c r="AB183" s="72" t="n">
        <v>147.46</v>
      </c>
      <c r="AC183" s="72" t="n">
        <v>-8.56</v>
      </c>
      <c r="AD183" s="72" t="n">
        <v>77.12</v>
      </c>
      <c r="AE183" s="72" t="n">
        <v>22.03</v>
      </c>
      <c r="AF183" s="72" t="n">
        <v>-62.29</v>
      </c>
      <c r="AG183" s="72" t="n">
        <v>-21.72</v>
      </c>
      <c r="AH183" s="72" t="n">
        <v>-46.07</v>
      </c>
      <c r="AI183" s="72" t="n">
        <v>-83.33</v>
      </c>
      <c r="AJ183" s="72" t="n">
        <v>75.79000000000001</v>
      </c>
      <c r="AK183" s="72" t="n">
        <v>27.11</v>
      </c>
      <c r="AL183" s="72" t="n">
        <v>-54.32</v>
      </c>
      <c r="AM183" s="72" t="n">
        <v>-40.11</v>
      </c>
      <c r="AN183" s="72" t="n">
        <v>-5.08</v>
      </c>
      <c r="AO183" s="72" t="n">
        <v>-5.96</v>
      </c>
      <c r="AP183" s="62" t="inlineStr">
        <is>
          <t>Hang Seng Commerce &amp; Industry sub-index</t>
        </is>
      </c>
      <c r="AQ183" s="72" t="n">
        <v>-93.73</v>
      </c>
      <c r="AR183" s="63" t="inlineStr">
        <is>
          <t>2026-08-20</t>
        </is>
      </c>
      <c r="AS183" s="64" t="n">
        <v>2005.7</v>
      </c>
      <c r="AT183" s="67" t="n">
        <v>-0.8</v>
      </c>
      <c r="AU183" s="62" t="inlineStr">
        <is>
          <t>N</t>
        </is>
      </c>
      <c r="AV183" s="62" t="inlineStr">
        <is>
          <t>n/m</t>
        </is>
      </c>
      <c r="AW183" s="73" t="n"/>
      <c r="AX183" s="73" t="n"/>
      <c r="AY183" s="73" t="n">
        <v>0.3</v>
      </c>
      <c r="AZ183" s="74" t="inlineStr">
        <is>
          <t>N</t>
        </is>
      </c>
      <c r="BA183" s="75">
        <f>IF('BBG Verify'!K183="","not filed — run on terminal",'BBG Verify'!K183)</f>
        <v/>
      </c>
      <c r="BB183" s="62" t="inlineStr">
        <is>
          <t>N/A</t>
        </is>
      </c>
      <c r="BC183" s="62" t="inlineStr">
        <is>
          <t>N/A</t>
        </is>
      </c>
      <c r="BD183" s="62" t="inlineStr">
        <is>
          <t>N/A</t>
        </is>
      </c>
      <c r="BE183" s="62" t="inlineStr">
        <is>
          <t>N/A</t>
        </is>
      </c>
      <c r="BF183" s="62" t="inlineStr">
        <is>
          <t>N/A</t>
        </is>
      </c>
      <c r="BG183" s="74" t="inlineStr">
        <is>
          <t>Grande Capital Limited</t>
        </is>
      </c>
      <c r="BH183" s="62" t="inlineStr">
        <is>
          <t>Grande Capital Limited</t>
        </is>
      </c>
      <c r="BI183" s="62" t="inlineStr">
        <is>
          <t>SPDB International Capital Limited; BOCOM International Securities Limited; I Win Securities Limited; China Everbright Securities (HK) Limited; Soochow Securities International Brokerage Limited; Alliance Capital Partners Limited</t>
        </is>
      </c>
      <c r="BJ183" s="62" t="inlineStr">
        <is>
          <t>Alliance Capital Partners Limited; Beta International Securities Limited; China Everbright Securities (HK) Limited; ChaoShang Securities Limited; CMBC Securities Company Limited; Eddid Securities and Futures Limited; Grande Capital Limited; I Win Securities Limited; Leeds Securities Investment Limited; Maxa Capital Limited; SPDB International Capital Limited; Soochow Securities International Brokerage Limited</t>
        </is>
      </c>
      <c r="BK183" s="76">
        <f>HYPERLINK("https://www1.hkexnews.hk/listedco/listconews/sehk/2023/0320/2023032000008.htm","prospectus")</f>
        <v/>
      </c>
      <c r="BL183" s="76">
        <f>HYPERLINK("https://www1.hkexnews.hk/listedco/listconews/sehk/2023/0329/2023032900042.htm","allotment")</f>
        <v/>
      </c>
      <c r="BM183" s="76">
        <f>HYPERLINK("https://www1.hkexnews.hk/listedco/listconews/sehk/2023/0424/2023042400020.pdf","stabilisation")</f>
        <v/>
      </c>
      <c r="BN183" s="74" t="n"/>
      <c r="BO183" s="62" t="inlineStr">
        <is>
          <t>P/E: n/m — loss-making at IPO (use P/S) · price range: fixed-price offering (no indicative range) · range low: cap-only pricing — the filing publishes a Maximum Offer Price and no indicative floor · A/H: no A-share listing · cornerstone list: no cornerstone tranche in this deal</t>
        </is>
      </c>
    </row>
    <row r="184" ht="15" customHeight="1">
      <c r="A184" s="61" t="inlineStr">
        <is>
          <t>2405</t>
        </is>
      </c>
      <c r="B184" s="62" t="inlineStr">
        <is>
          <t>POWERWIN TECH</t>
        </is>
      </c>
      <c r="C184" s="62" t="inlineStr">
        <is>
          <t>力盟科技</t>
        </is>
      </c>
      <c r="D184" s="62" t="inlineStr">
        <is>
          <t>TMT-other</t>
        </is>
      </c>
      <c r="E184" s="62" t="inlineStr">
        <is>
          <t>Media / advertising</t>
        </is>
      </c>
      <c r="F184" s="62" t="inlineStr">
        <is>
          <t>Advertising</t>
        </is>
      </c>
      <c r="G184" s="62" t="inlineStr">
        <is>
          <t>Standard</t>
        </is>
      </c>
      <c r="H184" s="63" t="n">
        <v>45016</v>
      </c>
      <c r="I184" s="64" t="n">
        <v>140</v>
      </c>
      <c r="J184" s="62" t="inlineStr">
        <is>
          <t>gross (price x shares)</t>
        </is>
      </c>
      <c r="K184" s="65" t="n"/>
      <c r="L184" s="65" t="n">
        <v>0.75</v>
      </c>
      <c r="M184" s="65" t="n">
        <v>0.7</v>
      </c>
      <c r="N184" s="62" t="inlineStr">
        <is>
          <t>N</t>
        </is>
      </c>
      <c r="O184" s="66" t="n">
        <v>93.3</v>
      </c>
      <c r="P184" s="66" t="n"/>
      <c r="Q184" s="67" t="n">
        <v>520</v>
      </c>
      <c r="R184" s="62" t="inlineStr">
        <is>
          <t>prospectus:stated market capitalisation</t>
        </is>
      </c>
      <c r="S184" s="68" t="n">
        <v>13.47</v>
      </c>
      <c r="T184" s="69" t="n">
        <v>1.45</v>
      </c>
      <c r="U184" s="70" t="n"/>
      <c r="V184" s="66" t="n">
        <v>26.92</v>
      </c>
      <c r="W184" s="62" t="n"/>
      <c r="X184" s="62" t="n"/>
      <c r="Y184" s="66" t="n">
        <v>20</v>
      </c>
      <c r="Z184" s="62" t="inlineStr">
        <is>
          <t>lapsed (no over-allocation)</t>
        </is>
      </c>
      <c r="AA184" s="71" t="n">
        <v>20</v>
      </c>
      <c r="AB184" s="72" t="n">
        <v>8.57</v>
      </c>
      <c r="AC184" s="72" t="n">
        <v>10.53</v>
      </c>
      <c r="AD184" s="72" t="n">
        <v>50</v>
      </c>
      <c r="AE184" s="72" t="n">
        <v>128.57</v>
      </c>
      <c r="AF184" s="72" t="n">
        <v>385.71</v>
      </c>
      <c r="AG184" s="72" t="n">
        <v>25</v>
      </c>
      <c r="AH184" s="72" t="n">
        <v>90.47</v>
      </c>
      <c r="AI184" s="72" t="n">
        <v>304.76</v>
      </c>
      <c r="AJ184" s="72" t="n">
        <v>50</v>
      </c>
      <c r="AK184" s="72" t="n">
        <v>129.85</v>
      </c>
      <c r="AL184" s="72" t="n">
        <v>394.46</v>
      </c>
      <c r="AM184" s="72" t="n">
        <v>92.19</v>
      </c>
      <c r="AN184" s="72" t="n">
        <v>-1.28</v>
      </c>
      <c r="AO184" s="72" t="n">
        <v>-1.72</v>
      </c>
      <c r="AP184" s="62" t="inlineStr">
        <is>
          <t>Hang Seng Index</t>
        </is>
      </c>
      <c r="AQ184" s="72" t="n">
        <v>-50.71</v>
      </c>
      <c r="AR184" s="63" t="inlineStr">
        <is>
          <t>2026-08-20</t>
        </is>
      </c>
      <c r="AS184" s="64" t="n">
        <v>111.9</v>
      </c>
      <c r="AT184" s="67" t="n">
        <v>45</v>
      </c>
      <c r="AU184" s="62" t="inlineStr">
        <is>
          <t>Y</t>
        </is>
      </c>
      <c r="AV184" s="73" t="n">
        <v>11.6</v>
      </c>
      <c r="AW184" s="73" t="n"/>
      <c r="AX184" s="73" t="n"/>
      <c r="AY184" s="73" t="n">
        <v>4.6</v>
      </c>
      <c r="AZ184" s="74" t="inlineStr">
        <is>
          <t>N</t>
        </is>
      </c>
      <c r="BA184" s="75">
        <f>IF('BBG Verify'!K184="","not filed — run on terminal",'BBG Verify'!K184)</f>
        <v/>
      </c>
      <c r="BB184" s="62" t="inlineStr">
        <is>
          <t>N/A</t>
        </is>
      </c>
      <c r="BC184" s="62" t="inlineStr">
        <is>
          <t>N/A</t>
        </is>
      </c>
      <c r="BD184" s="62" t="inlineStr">
        <is>
          <t>N/A</t>
        </is>
      </c>
      <c r="BE184" s="62" t="inlineStr">
        <is>
          <t>N/A</t>
        </is>
      </c>
      <c r="BF184" s="62" t="inlineStr">
        <is>
          <t>N/A</t>
        </is>
      </c>
      <c r="BG184" s="74" t="inlineStr">
        <is>
          <t>GF Capital (Hong Kong) Limited</t>
        </is>
      </c>
      <c r="BH184" s="62" t="inlineStr">
        <is>
          <t>GF Capital (Hong Kong) Limited</t>
        </is>
      </c>
      <c r="BI184" s="62" t="inlineStr">
        <is>
          <t>GF Securities (Hong Kong) Brokerage Limited; First Capital Securities Limited; Maxa Capital Limited; China Everbright Securities (HK) Limited</t>
        </is>
      </c>
      <c r="BJ184" s="62" t="inlineStr">
        <is>
          <t>China Everbright Securities (HK) Limited; First Capital Securities Limited; GF Securities (Hong Kong) Brokerage Limited; Maxa Capital Limited</t>
        </is>
      </c>
      <c r="BK184" s="76">
        <f>HYPERLINK("https://www1.hkexnews.hk/listedco/listconews/sehk/2023/0321/2023032100009.pdf","prospectus")</f>
        <v/>
      </c>
      <c r="BL184" s="76">
        <f>HYPERLINK("https://www1.hkexnews.hk/listedco/listconews/sehk/2023/0330/2023033000098.htm","allotment")</f>
        <v/>
      </c>
      <c r="BM184" s="76">
        <f>HYPERLINK("https://www1.hkexnews.hk/listedco/listconews/sehk/2023/0423/2023042300029.pdf","stabilisation")</f>
        <v/>
      </c>
      <c r="BN184" s="74" t="n"/>
      <c r="BO184" s="62" t="inlineStr">
        <is>
          <t>range low: cap-only pricing — the filing publishes a Maximum Offer Price and no indicative floor · A/H: no A-share listing · cornerstone list: cornerstone section not machine-extractable — see the prospectus link · cornerstone %: cornerstone aggregate not stated in the filing</t>
        </is>
      </c>
    </row>
    <row r="185" ht="15" customHeight="1">
      <c r="A185" s="61" t="inlineStr">
        <is>
          <t>2439</t>
        </is>
      </c>
      <c r="B185" s="62" t="inlineStr">
        <is>
          <t>CH TREASURES NM</t>
        </is>
      </c>
      <c r="C185" s="62" t="inlineStr">
        <is>
          <t>中寶新材</t>
        </is>
      </c>
      <c r="D185" s="62" t="inlineStr">
        <is>
          <t>Materials/Energy</t>
        </is>
      </c>
      <c r="E185" s="62" t="inlineStr">
        <is>
          <t>Chemicals</t>
        </is>
      </c>
      <c r="F185" s="62" t="inlineStr">
        <is>
          <t>Environmental Goods</t>
        </is>
      </c>
      <c r="G185" s="62" t="inlineStr">
        <is>
          <t>Standard</t>
        </is>
      </c>
      <c r="H185" s="63" t="n">
        <v>45016</v>
      </c>
      <c r="I185" s="64" t="n">
        <v>262.5</v>
      </c>
      <c r="J185" s="62" t="inlineStr">
        <is>
          <t>gross (price x shares)</t>
        </is>
      </c>
      <c r="K185" s="65" t="n"/>
      <c r="L185" s="65" t="n">
        <v>1.35</v>
      </c>
      <c r="M185" s="65" t="n">
        <v>1.05</v>
      </c>
      <c r="N185" s="62" t="inlineStr">
        <is>
          <t>N</t>
        </is>
      </c>
      <c r="O185" s="66" t="n">
        <v>77.8</v>
      </c>
      <c r="P185" s="66" t="n"/>
      <c r="Q185" s="67" t="n">
        <v>1200</v>
      </c>
      <c r="R185" s="62" t="inlineStr">
        <is>
          <t>aastocks:上市市值 at the struck price</t>
        </is>
      </c>
      <c r="S185" s="68" t="n">
        <v>6.33</v>
      </c>
      <c r="T185" s="69" t="n">
        <v>6.33</v>
      </c>
      <c r="U185" s="70" t="n">
        <v>48.7</v>
      </c>
      <c r="V185" s="66" t="n">
        <v>11.22</v>
      </c>
      <c r="W185" s="62" t="inlineStr">
        <is>
          <t>ZhongBaoNew materials. Ltd</t>
        </is>
      </c>
      <c r="X185" s="62" t="inlineStr">
        <is>
          <t>zhongbaonew</t>
        </is>
      </c>
      <c r="Y185" s="66" t="n">
        <v>7.8097</v>
      </c>
      <c r="Z185" s="62" t="inlineStr">
        <is>
          <t>lapsed (no over-allocation)</t>
        </is>
      </c>
      <c r="AA185" s="71" t="n">
        <v>-35.24</v>
      </c>
      <c r="AB185" s="72" t="n">
        <v>-38.1</v>
      </c>
      <c r="AC185" s="72" t="n">
        <v>4.62</v>
      </c>
      <c r="AD185" s="72" t="n">
        <v>-36.19</v>
      </c>
      <c r="AE185" s="72" t="n">
        <v>-39.05</v>
      </c>
      <c r="AF185" s="72" t="n">
        <v>-50.48</v>
      </c>
      <c r="AG185" s="72" t="n">
        <v>-1.47</v>
      </c>
      <c r="AH185" s="72" t="n">
        <v>-5.88</v>
      </c>
      <c r="AI185" s="72" t="n">
        <v>-23.53</v>
      </c>
      <c r="AJ185" s="72" t="n">
        <v>-34.63</v>
      </c>
      <c r="AK185" s="72" t="n">
        <v>-33.87</v>
      </c>
      <c r="AL185" s="72" t="n">
        <v>-39.78</v>
      </c>
      <c r="AM185" s="72" t="n">
        <v>0.29</v>
      </c>
      <c r="AN185" s="72" t="n">
        <v>-5.18</v>
      </c>
      <c r="AO185" s="72" t="n">
        <v>-6.17</v>
      </c>
      <c r="AP185" s="62" t="inlineStr">
        <is>
          <t>Hang Seng Commerce &amp; Industry sub-index</t>
        </is>
      </c>
      <c r="AQ185" s="72" t="n">
        <v>-73.81</v>
      </c>
      <c r="AR185" s="63" t="inlineStr">
        <is>
          <t>2026-08-20</t>
        </is>
      </c>
      <c r="AS185" s="64" t="n">
        <v>282.4</v>
      </c>
      <c r="AT185" s="67" t="n">
        <v>-57.2</v>
      </c>
      <c r="AU185" s="62" t="inlineStr">
        <is>
          <t>N</t>
        </is>
      </c>
      <c r="AV185" s="62" t="inlineStr">
        <is>
          <t>n/m</t>
        </is>
      </c>
      <c r="AW185" s="73" t="n"/>
      <c r="AX185" s="73" t="n">
        <v>8</v>
      </c>
      <c r="AY185" s="73" t="n">
        <v>4.2</v>
      </c>
      <c r="AZ185" s="74" t="inlineStr">
        <is>
          <t>N</t>
        </is>
      </c>
      <c r="BA185" s="75">
        <f>IF('BBG Verify'!K185="","not filed — run on terminal",'BBG Verify'!K185)</f>
        <v/>
      </c>
      <c r="BB185" s="62" t="inlineStr">
        <is>
          <t>N/A</t>
        </is>
      </c>
      <c r="BC185" s="62" t="inlineStr">
        <is>
          <t>N/A</t>
        </is>
      </c>
      <c r="BD185" s="62" t="inlineStr">
        <is>
          <t>N/A</t>
        </is>
      </c>
      <c r="BE185" s="62" t="inlineStr">
        <is>
          <t>N/A</t>
        </is>
      </c>
      <c r="BF185" s="62" t="inlineStr">
        <is>
          <t>N/A</t>
        </is>
      </c>
      <c r="BG185" s="74" t="inlineStr">
        <is>
          <t>Soochow Securities International Capital Limited</t>
        </is>
      </c>
      <c r="BH185" s="62" t="inlineStr">
        <is>
          <t>Soochow Securities International Capital Limited</t>
        </is>
      </c>
      <c r="BI185" s="62" t="inlineStr">
        <is>
          <t>Fosun International Securities Limited; VBG Capital Limited; Wealth Link Securities Limited; China Galaxy International Securities (Hong Kong) Co., Limited; Zhongtai International Securities Limited</t>
        </is>
      </c>
      <c r="BJ185" s="62" t="inlineStr">
        <is>
          <t>China Galaxy International Securities (Hong Kong) Company Limited; Elstone Securities Limited; Eddid Securities and Futures Limited; Fosun International Securities Limited; First Shanghai Securities Limited; Futu Securities International (Hong Kong) Limited; Grand China Securities Limited; Plutus Securities Limited; Sunhigh Financial Holdings Limited; Sinomax Securities Limited; Soochow Securities International Brokerage Limited; Tiger Brokers (HK) Global Limited</t>
        </is>
      </c>
      <c r="BK185" s="76">
        <f>HYPERLINK("https://www1.hkexnews.hk/listedco/listconews/sehk/2023/0321/2023032100050.htm","prospectus")</f>
        <v/>
      </c>
      <c r="BL185" s="76">
        <f>HYPERLINK("https://www1.hkexnews.hk/listedco/listconews/sehk/2023/0330/2023033000220.htm","allotment")</f>
        <v/>
      </c>
      <c r="BM185" s="76">
        <f>HYPERLINK("https://www1.hkexnews.hk/listedco/listconews/sehk/2023/0424/2023042400062.pdf","stabilisation")</f>
        <v/>
      </c>
      <c r="BN185" s="74" t="n"/>
      <c r="BO185" s="62" t="inlineStr">
        <is>
          <t>P/E: n/m — loss-making at IPO (use P/S) · range low: cap-only pricing — the filing publishes a Maximum Offer Price and no indicative floor · A/H: no A-share listing · market cap: estimate from deal size / offer % of enlarged capital disagreed with the published listing cap — published figure adopted</t>
        </is>
      </c>
    </row>
    <row r="186" ht="15" customHeight="1">
      <c r="A186" s="61" t="inlineStr">
        <is>
          <t>9669</t>
        </is>
      </c>
      <c r="B186" s="62" t="inlineStr">
        <is>
          <t>BEISEN HOLDING</t>
        </is>
      </c>
      <c r="C186" s="62" t="inlineStr">
        <is>
          <t>北森控股</t>
        </is>
      </c>
      <c r="D186" s="62" t="inlineStr">
        <is>
          <t>Tech/AI</t>
        </is>
      </c>
      <c r="E186" s="62" t="inlineStr">
        <is>
          <t>SaaS / enterprise software</t>
        </is>
      </c>
      <c r="F186" s="62" t="inlineStr">
        <is>
          <t>Commercial &amp; Professional Services</t>
        </is>
      </c>
      <c r="G186" s="62" t="inlineStr">
        <is>
          <t>Standard</t>
        </is>
      </c>
      <c r="H186" s="63" t="n">
        <v>45029</v>
      </c>
      <c r="I186" s="64" t="n">
        <v>238.9</v>
      </c>
      <c r="J186" s="62" t="inlineStr">
        <is>
          <t>gross (price x shares)</t>
        </is>
      </c>
      <c r="K186" s="65" t="n"/>
      <c r="L186" s="65" t="n">
        <v>29.7</v>
      </c>
      <c r="M186" s="65" t="n">
        <v>29.7</v>
      </c>
      <c r="N186" s="62" t="inlineStr">
        <is>
          <t>Y</t>
        </is>
      </c>
      <c r="O186" s="66" t="n">
        <v>100</v>
      </c>
      <c r="P186" s="66" t="n"/>
      <c r="Q186" s="67" t="n">
        <v>4977.1</v>
      </c>
      <c r="R186" s="62" t="inlineStr">
        <is>
          <t>derived:deal size / offer % of enlarged capital</t>
        </is>
      </c>
      <c r="S186" s="68" t="n">
        <v>16.57</v>
      </c>
      <c r="T186" s="69" t="n">
        <v>1.51</v>
      </c>
      <c r="U186" s="70" t="n">
        <v>0</v>
      </c>
      <c r="V186" s="66" t="n">
        <v>4.8</v>
      </c>
      <c r="W186" s="62" t="n"/>
      <c r="X186" s="62" t="n"/>
      <c r="Y186" s="66" t="n">
        <v>20</v>
      </c>
      <c r="Z186" s="62" t="inlineStr">
        <is>
          <t>lapsed</t>
        </is>
      </c>
      <c r="AA186" s="71" t="n">
        <v>-12.12</v>
      </c>
      <c r="AB186" s="72" t="n">
        <v>-0.34</v>
      </c>
      <c r="AC186" s="72" t="n">
        <v>-11.82</v>
      </c>
      <c r="AD186" s="72" t="n">
        <v>-52.53</v>
      </c>
      <c r="AE186" s="72" t="n">
        <v>-69.19</v>
      </c>
      <c r="AF186" s="72" t="n">
        <v>-71.08</v>
      </c>
      <c r="AG186" s="72" t="n">
        <v>-45.98</v>
      </c>
      <c r="AH186" s="72" t="n">
        <v>-64.94</v>
      </c>
      <c r="AI186" s="72" t="n">
        <v>-67.09</v>
      </c>
      <c r="AJ186" s="72" t="n">
        <v>-50.87</v>
      </c>
      <c r="AK186" s="72" t="n">
        <v>-63.52</v>
      </c>
      <c r="AL186" s="72" t="n">
        <v>-72.45</v>
      </c>
      <c r="AM186" s="72" t="n">
        <v>-59.32</v>
      </c>
      <c r="AN186" s="72" t="n">
        <v>-5.67</v>
      </c>
      <c r="AO186" s="72" t="n">
        <v>-5.62</v>
      </c>
      <c r="AP186" s="62" t="inlineStr">
        <is>
          <t>HSTECH (Hang Seng TECH ETF)</t>
        </is>
      </c>
      <c r="AQ186" s="72" t="n">
        <v>-89.68000000000001</v>
      </c>
      <c r="AR186" s="63" t="inlineStr">
        <is>
          <t>2026-08-20</t>
        </is>
      </c>
      <c r="AS186" s="64" t="n">
        <v>612</v>
      </c>
      <c r="AT186" s="67" t="n">
        <v>-1034.2</v>
      </c>
      <c r="AU186" s="62" t="inlineStr">
        <is>
          <t>N</t>
        </is>
      </c>
      <c r="AV186" s="62" t="inlineStr">
        <is>
          <t>n/m</t>
        </is>
      </c>
      <c r="AW186" s="73" t="n"/>
      <c r="AX186" s="73" t="n"/>
      <c r="AY186" s="73" t="n">
        <v>8.1</v>
      </c>
      <c r="AZ186" s="74" t="inlineStr">
        <is>
          <t>N</t>
        </is>
      </c>
      <c r="BA186" s="75">
        <f>IF('BBG Verify'!K186="","not filed — run on terminal",'BBG Verify'!K186)</f>
        <v/>
      </c>
      <c r="BB186" s="62" t="inlineStr">
        <is>
          <t>N/A</t>
        </is>
      </c>
      <c r="BC186" s="62" t="inlineStr">
        <is>
          <t>N/A</t>
        </is>
      </c>
      <c r="BD186" s="62" t="inlineStr">
        <is>
          <t>N/A</t>
        </is>
      </c>
      <c r="BE186" s="62" t="inlineStr">
        <is>
          <t>N/A</t>
        </is>
      </c>
      <c r="BF186" s="62" t="inlineStr">
        <is>
          <t>N/A</t>
        </is>
      </c>
      <c r="BG186" s="74" t="inlineStr">
        <is>
          <t>Sponsor-overall Coordinators and Overall Coordinators Morgan Stanley Asia Limited; China International Capital Corporation Hong Kong Securities Limited</t>
        </is>
      </c>
      <c r="BH186" s="62" t="inlineStr">
        <is>
          <t>China International Capital Corporation Hong Kong Securities Limited; Morgan Stanley Asia Limited</t>
        </is>
      </c>
      <c r="BI186" s="62" t="inlineStr">
        <is>
          <t>Morgan Stanley Asia Limited; China International Capital Corporation Hong Kong Securities Limited; Futu Securities International (Hong Kong) Limited; Tiger Brokers (HK) Global Limited; Co-manager Silverbricks Securities Company Limited; Silverbricks Securities Company Limited</t>
        </is>
      </c>
      <c r="BJ186" s="62" t="inlineStr">
        <is>
          <t>China International Capital Corporation Hong Kong Securities Limited; Futu Securities International (Hong Kong) Limited; Morgan Stanley Asia Limited; Silverbricks Securities Company Limited; Tiger Brokers (HK) Global Limited</t>
        </is>
      </c>
      <c r="BK186" s="76">
        <f>HYPERLINK("https://www1.hkexnews.hk/listedco/listconews/sehk/2023/0330/2023033000324.htm","prospectus")</f>
        <v/>
      </c>
      <c r="BL186" s="76">
        <f>HYPERLINK("https://www1.hkexnews.hk/listedco/listconews/sehk/2023/0412/2023041200010.htm","allotment")</f>
        <v/>
      </c>
      <c r="BM186" s="76">
        <f>HYPERLINK("https://www1.hkexnews.hk/listedco/listconews/sehk/2023/0504/2023050401929.pdf","stabilisation")</f>
        <v/>
      </c>
      <c r="BN186" s="74" t="n"/>
      <c r="BO186" s="62" t="inlineStr">
        <is>
          <t>P/E: n/m — loss-making at IPO (use P/S) · range low: cap-only pricing — the filing publishes a Maximum Offer Price and no indicative floor · A/H: no A-share listing · cornerstone list: no cornerstone tranche in this deal</t>
        </is>
      </c>
    </row>
    <row r="187" ht="15" customHeight="1">
      <c r="A187" s="61" t="inlineStr">
        <is>
          <t>6979</t>
        </is>
      </c>
      <c r="B187" s="62" t="inlineStr">
        <is>
          <t>ZJLD</t>
        </is>
      </c>
      <c r="C187" s="62" t="inlineStr">
        <is>
          <t>珍酒李渡</t>
        </is>
      </c>
      <c r="D187" s="62" t="inlineStr">
        <is>
          <t>Consumer</t>
        </is>
      </c>
      <c r="E187" s="62" t="inlineStr">
        <is>
          <t>Beverages / packaged food</t>
        </is>
      </c>
      <c r="F187" s="62" t="inlineStr">
        <is>
          <t>Beverages (Alcoholic)</t>
        </is>
      </c>
      <c r="G187" s="62" t="inlineStr">
        <is>
          <t>Standard</t>
        </is>
      </c>
      <c r="H187" s="63" t="n">
        <v>45043</v>
      </c>
      <c r="I187" s="64" t="n">
        <v>5309.4</v>
      </c>
      <c r="J187" s="62" t="inlineStr">
        <is>
          <t>gross (price x shares)</t>
        </is>
      </c>
      <c r="K187" s="65" t="n"/>
      <c r="L187" s="65" t="n">
        <v>10.82</v>
      </c>
      <c r="M187" s="65" t="n">
        <v>10.82</v>
      </c>
      <c r="N187" s="62" t="inlineStr">
        <is>
          <t>Y</t>
        </is>
      </c>
      <c r="O187" s="66" t="n">
        <v>100</v>
      </c>
      <c r="P187" s="66" t="n"/>
      <c r="Q187" s="67" t="n">
        <v>38863.4</v>
      </c>
      <c r="R187" s="62" t="inlineStr">
        <is>
          <t>aastocks:上市市值 at the struck price</t>
        </is>
      </c>
      <c r="S187" s="68" t="n">
        <v>1.94</v>
      </c>
      <c r="T187" s="69" t="n">
        <v>3.9</v>
      </c>
      <c r="U187" s="70" t="n">
        <v>0</v>
      </c>
      <c r="V187" s="66" t="n">
        <v>13.66</v>
      </c>
      <c r="W187" s="62" t="n"/>
      <c r="X187" s="62" t="n"/>
      <c r="Y187" s="66" t="n">
        <v>5.3</v>
      </c>
      <c r="Z187" s="62" t="inlineStr">
        <is>
          <t>lapsed</t>
        </is>
      </c>
      <c r="AA187" s="71" t="n">
        <v>-17.93</v>
      </c>
      <c r="AB187" s="72" t="n">
        <v>-16.82</v>
      </c>
      <c r="AC187" s="72" t="n">
        <v>-1.33</v>
      </c>
      <c r="AD187" s="72" t="n">
        <v>-15.9</v>
      </c>
      <c r="AE187" s="72" t="n">
        <v>-34.1</v>
      </c>
      <c r="AF187" s="72" t="n">
        <v>-12.38</v>
      </c>
      <c r="AG187" s="72" t="n">
        <v>2.47</v>
      </c>
      <c r="AH187" s="72" t="n">
        <v>-19.7</v>
      </c>
      <c r="AI187" s="72" t="n">
        <v>6.76</v>
      </c>
      <c r="AJ187" s="72" t="n">
        <v>-16.15</v>
      </c>
      <c r="AK187" s="72" t="n">
        <v>-26.77</v>
      </c>
      <c r="AL187" s="72" t="n">
        <v>-16.74</v>
      </c>
      <c r="AM187" s="72" t="n">
        <v>-12.63</v>
      </c>
      <c r="AN187" s="72" t="n">
        <v>-7.33</v>
      </c>
      <c r="AO187" s="72" t="n">
        <v>-7.07</v>
      </c>
      <c r="AP187" s="62" t="inlineStr">
        <is>
          <t>Hang Seng Commerce &amp; Industry sub-index</t>
        </is>
      </c>
      <c r="AQ187" s="72" t="n">
        <v>-28.05</v>
      </c>
      <c r="AR187" s="63" t="inlineStr">
        <is>
          <t>2026-08-20</t>
        </is>
      </c>
      <c r="AS187" s="64" t="n">
        <v>6441.5</v>
      </c>
      <c r="AT187" s="67" t="n">
        <v>572.1</v>
      </c>
      <c r="AU187" s="62" t="inlineStr">
        <is>
          <t>Y</t>
        </is>
      </c>
      <c r="AV187" s="73" t="n">
        <v>67.90000000000001</v>
      </c>
      <c r="AW187" s="73" t="n">
        <v>17.5</v>
      </c>
      <c r="AX187" s="73" t="n">
        <v>42.9</v>
      </c>
      <c r="AY187" s="73" t="n">
        <v>6</v>
      </c>
      <c r="AZ187" s="74" t="inlineStr">
        <is>
          <t>N</t>
        </is>
      </c>
      <c r="BA187" s="75">
        <f>IF('BBG Verify'!K187="","not filed — run on terminal",'BBG Verify'!K187)</f>
        <v/>
      </c>
      <c r="BB187" s="62" t="inlineStr">
        <is>
          <t>N/A</t>
        </is>
      </c>
      <c r="BC187" s="62" t="inlineStr">
        <is>
          <t>N/A</t>
        </is>
      </c>
      <c r="BD187" s="62" t="inlineStr">
        <is>
          <t>N/A</t>
        </is>
      </c>
      <c r="BE187" s="62" t="inlineStr">
        <is>
          <t>N/A</t>
        </is>
      </c>
      <c r="BF187" s="62" t="inlineStr">
        <is>
          <t>N/A</t>
        </is>
      </c>
      <c r="BG187" s="74" t="inlineStr">
        <is>
          <t>Goldman Sachs (Asia) L.L.C; China Securities (International) Corporate Finance Company Limited</t>
        </is>
      </c>
      <c r="BH187" s="62" t="inlineStr">
        <is>
          <t>Goldman Sachs (Asia) L.L.C.; China Securities (International) Corporate Finance Company Limited</t>
        </is>
      </c>
      <c r="BI187" s="62" t="inlineStr">
        <is>
          <t>Goldman Sachs (Asia) L.L.C; China Securities (International) Corporate Finance Company Limited; Central, Hong Kong China International Capital Corporation Hong Kong Securities Limited; Central, Hong Kong KKR Capital Markets Asia Limited</t>
        </is>
      </c>
      <c r="BJ187" s="62" t="inlineStr">
        <is>
          <t>China International Capital Corporation Hong Kong Securities Limited; China Securities (International) Corporate Finance Company Limited; Goldman Sachs (Asia) L.L.C.</t>
        </is>
      </c>
      <c r="BK187" s="76">
        <f>HYPERLINK("https://www1.hkexnews.hk/listedco/listconews/sehk/2023/0417/2023041700044.htm","prospectus")</f>
        <v/>
      </c>
      <c r="BL187" s="76">
        <f>HYPERLINK("https://www1.hkexnews.hk/listedco/listconews/sehk/2023/0426/2023042600060.htm","allotment")</f>
        <v/>
      </c>
      <c r="BM187" s="76">
        <f>HYPERLINK("https://www1.hkexnews.hk/listedco/listconews/sehk/2023/0525/2023052500386.pdf","stabilisation")</f>
        <v/>
      </c>
      <c r="BN187" s="74" t="n"/>
      <c r="BO187" s="62" t="inlineStr">
        <is>
          <t>price range: fixed-price offering (no indicative range) · range low: cap-only pricing — the filing publishes a Maximum Offer Price and no indicative floor · A/H: no A-share listing · market cap: estimate from stated market capitalisation disagreed with the published listing cap — published figure adopted · cornerstone list: no cornerstone tranche in this deal · deal size: stated gross HK$795.0m rejected — below the deal's own net proceeds HK$4,990.0m, which cannot happen</t>
        </is>
      </c>
    </row>
    <row r="188" ht="15" customHeight="1">
      <c r="A188" s="61" t="inlineStr">
        <is>
          <t>2415</t>
        </is>
      </c>
      <c r="B188" s="62" t="inlineStr">
        <is>
          <t>MEDSCI</t>
        </is>
      </c>
      <c r="C188" s="62" t="inlineStr">
        <is>
          <t>梅斯健康</t>
        </is>
      </c>
      <c r="D188" s="62" t="inlineStr">
        <is>
          <t>Healthcare</t>
        </is>
      </c>
      <c r="E188" s="62" t="inlineStr">
        <is>
          <t>CXO / pharma services</t>
        </is>
      </c>
      <c r="F188" s="62" t="inlineStr">
        <is>
          <t>Health Care Services</t>
        </is>
      </c>
      <c r="G188" s="62" t="inlineStr">
        <is>
          <t>Standard</t>
        </is>
      </c>
      <c r="H188" s="63" t="n">
        <v>45043</v>
      </c>
      <c r="I188" s="64" t="n">
        <v>607.8</v>
      </c>
      <c r="J188" s="62" t="inlineStr">
        <is>
          <t>gross (price x shares)</t>
        </is>
      </c>
      <c r="K188" s="65" t="n"/>
      <c r="L188" s="65" t="n">
        <v>10.16</v>
      </c>
      <c r="M188" s="65" t="n">
        <v>9.1</v>
      </c>
      <c r="N188" s="62" t="inlineStr">
        <is>
          <t>N</t>
        </is>
      </c>
      <c r="O188" s="66" t="n">
        <v>89.59999999999999</v>
      </c>
      <c r="P188" s="66" t="n"/>
      <c r="Q188" s="67" t="n">
        <v>6101.8</v>
      </c>
      <c r="R188" s="62" t="inlineStr">
        <is>
          <t>aastocks:上市市值 at the struck price</t>
        </is>
      </c>
      <c r="S188" s="68" t="n">
        <v>9.85</v>
      </c>
      <c r="T188" s="69" t="n">
        <v>1.47</v>
      </c>
      <c r="U188" s="70" t="n">
        <v>20.1</v>
      </c>
      <c r="V188" s="66" t="n">
        <v>7.96</v>
      </c>
      <c r="W188" s="62" t="inlineStr">
        <is>
          <t>Anji Guorong Construction Co., Ltd; Anji Guorong Venture Capital Co., Ltd; Anji Jiaotou Industrial Development Co., Ltd; Anji Qicai Lingfeng Rural Tourism Investment Co., Ltd; GF Global Capital Limited; Harvest International Premium Value (Secondary Market) Fund SPC</t>
        </is>
      </c>
      <c r="X188" s="62" t="inlineStr">
        <is>
          <t>anji;gf;harvest</t>
        </is>
      </c>
      <c r="Y188" s="66" t="n">
        <v>10.82</v>
      </c>
      <c r="Z188" s="62" t="n"/>
      <c r="AA188" s="71" t="n">
        <v>1.1</v>
      </c>
      <c r="AB188" s="72" t="n">
        <v>-2.75</v>
      </c>
      <c r="AC188" s="72" t="n">
        <v>3.96</v>
      </c>
      <c r="AD188" s="72" t="n">
        <v>-5.49</v>
      </c>
      <c r="AE188" s="72" t="n">
        <v>2.64</v>
      </c>
      <c r="AF188" s="72" t="n">
        <v>-15.16</v>
      </c>
      <c r="AG188" s="72" t="n">
        <v>-6.52</v>
      </c>
      <c r="AH188" s="72" t="n">
        <v>1.52</v>
      </c>
      <c r="AI188" s="72" t="n">
        <v>-16.08</v>
      </c>
      <c r="AJ188" s="72" t="n">
        <v>-5.78</v>
      </c>
      <c r="AK188" s="72" t="n">
        <v>8.73</v>
      </c>
      <c r="AL188" s="72" t="n">
        <v>-8.449999999999999</v>
      </c>
      <c r="AM188" s="72" t="n">
        <v>8.359999999999999</v>
      </c>
      <c r="AN188" s="72" t="n">
        <v>-6.09</v>
      </c>
      <c r="AO188" s="72" t="n">
        <v>-6.84</v>
      </c>
      <c r="AP188" s="62" t="inlineStr">
        <is>
          <t>China Biotech ETF (HS biotech proxy)</t>
        </is>
      </c>
      <c r="AQ188" s="72" t="n">
        <v>-91.31999999999999</v>
      </c>
      <c r="AR188" s="63" t="inlineStr">
        <is>
          <t>2026-08-20</t>
        </is>
      </c>
      <c r="AS188" s="64" t="n">
        <v>383.8</v>
      </c>
      <c r="AT188" s="67" t="n">
        <v>-109.9</v>
      </c>
      <c r="AU188" s="62" t="inlineStr">
        <is>
          <t>N</t>
        </is>
      </c>
      <c r="AV188" s="62" t="inlineStr">
        <is>
          <t>n/m</t>
        </is>
      </c>
      <c r="AW188" s="73" t="n"/>
      <c r="AX188" s="73" t="n">
        <v>19.5</v>
      </c>
      <c r="AY188" s="73" t="n">
        <v>15.9</v>
      </c>
      <c r="AZ188" s="74" t="inlineStr">
        <is>
          <t>N</t>
        </is>
      </c>
      <c r="BA188" s="75">
        <f>IF('BBG Verify'!K188="","not filed — run on terminal",'BBG Verify'!K188)</f>
        <v/>
      </c>
      <c r="BB188" s="62" t="inlineStr">
        <is>
          <t>N/A</t>
        </is>
      </c>
      <c r="BC188" s="62" t="inlineStr">
        <is>
          <t>N/A</t>
        </is>
      </c>
      <c r="BD188" s="62" t="inlineStr">
        <is>
          <t>N/A</t>
        </is>
      </c>
      <c r="BE188" s="62" t="inlineStr">
        <is>
          <t>N/A</t>
        </is>
      </c>
      <c r="BF188" s="62" t="inlineStr">
        <is>
          <t>N/A</t>
        </is>
      </c>
      <c r="BG188" s="74" t="inlineStr">
        <is>
          <t>China International Capital Corporation Hong Kong Securities Limited; Macquarie Capital Limited</t>
        </is>
      </c>
      <c r="BH188" s="62" t="inlineStr">
        <is>
          <t>China International Capital Corporation Hong Kong Securities Limited; Macquarie Capital Limited</t>
        </is>
      </c>
      <c r="BI188" s="62" t="inlineStr">
        <is>
          <t>China International Capital Corporation Hong Kong Securities Limited; Macquarie Capital Limited; CCB International Capital Limited; Essence International Securities (Hong Kong) Limited; Dragonstone Capital Management Limited; China Everbright Securities (HK) Limited; First Shanghai Securities Limited; First Capital Securities Limited; Zhongtai International Securities Limited; Futu Securities International (Hong Kong) Limited</t>
        </is>
      </c>
      <c r="BJ188" s="62" t="inlineStr">
        <is>
          <t>CCB International Capital Limited; China Everbright Securities (HK) Limited; China International Capital Corporation Hong Kong Securities Limited; Dragonstone Capital Management Limited; Essence International Securities (Hong Kong) Limited; First Capital Securities Limited; First Shanghai Securities Limited; Futu Securities International (Hong Kong) Limited; Haitong International Securities Company Limited; Livermore Holdings Limited; Macquarie Capital Limited; Silverbricks Securities Company Limited</t>
        </is>
      </c>
      <c r="BK188" s="76">
        <f>HYPERLINK("https://www1.hkexnews.hk/listedco/listconews/sehk/2023/0417/2023041700009.pdf","prospectus")</f>
        <v/>
      </c>
      <c r="BL188" s="76">
        <f>HYPERLINK("https://www1.hkexnews.hk/listedco/listconews/sehk/2023/0426/2023042600046.htm","allotment")</f>
        <v/>
      </c>
      <c r="BM188" s="62" t="n"/>
      <c r="BN188" s="74" t="n"/>
      <c r="BO188" s="62" t="inlineStr">
        <is>
          <t>P/E: n/m — loss-making at IPO (use P/S) · greenshoe: end-of-stabilisation notice not located · range low: cap-only pricing — the filing publishes a Maximum Offer Price and no indicative floor · A/H: no A-share listing · cornerstone: AAStocks institutional table includes non-cornerstone orders (superset) — cornerstone % is from the prospectus · deal size: stated gross HK$18.2m rejected — below the deal's own net proceeds HK$538.2m, which cannot happen</t>
        </is>
      </c>
    </row>
    <row r="189" ht="15" customHeight="1">
      <c r="A189" s="61" t="inlineStr">
        <is>
          <t>2480</t>
        </is>
      </c>
      <c r="B189" s="62" t="inlineStr">
        <is>
          <t>LUZHU BIOTECH-B</t>
        </is>
      </c>
      <c r="C189" s="62" t="inlineStr">
        <is>
          <t>綠竹生物－Ｂ</t>
        </is>
      </c>
      <c r="D189" s="62" t="inlineStr">
        <is>
          <t>Healthcare</t>
        </is>
      </c>
      <c r="E189" s="62" t="inlineStr">
        <is>
          <t>Biotech pre-revenue (18A)</t>
        </is>
      </c>
      <c r="F189" s="62" t="inlineStr">
        <is>
          <t>Biotechnology - Pharmaceuticals</t>
        </is>
      </c>
      <c r="G189" s="62" t="inlineStr">
        <is>
          <t>18A</t>
        </is>
      </c>
      <c r="H189" s="63" t="n">
        <v>45054</v>
      </c>
      <c r="I189" s="64" t="n">
        <v>51.1</v>
      </c>
      <c r="J189" s="62" t="inlineStr">
        <is>
          <t>net proceeds</t>
        </is>
      </c>
      <c r="K189" s="65" t="n">
        <v>32.8</v>
      </c>
      <c r="L189" s="65" t="n">
        <v>41.65</v>
      </c>
      <c r="M189" s="65" t="n">
        <v>32.8</v>
      </c>
      <c r="N189" s="62" t="inlineStr">
        <is>
          <t>N</t>
        </is>
      </c>
      <c r="O189" s="66" t="n">
        <v>78.8</v>
      </c>
      <c r="P189" s="66" t="n">
        <v>0</v>
      </c>
      <c r="Q189" s="67" t="n">
        <v>8051.3</v>
      </c>
      <c r="R189" s="62" t="inlineStr">
        <is>
          <t>aastocks:上市市值 at the struck price</t>
        </is>
      </c>
      <c r="S189" s="68" t="n">
        <v>3.25</v>
      </c>
      <c r="T189" s="69" t="n">
        <v>1.33</v>
      </c>
      <c r="U189" s="70" t="n">
        <v>46.1</v>
      </c>
      <c r="V189" s="66" t="n">
        <v>0.34</v>
      </c>
      <c r="W189" s="62" t="inlineStr">
        <is>
          <t>Harvest International Premium Value (Secondary Market) Fund SPC</t>
        </is>
      </c>
      <c r="X189" s="62" t="inlineStr">
        <is>
          <t>harvest</t>
        </is>
      </c>
      <c r="Y189" s="66" t="n">
        <v>11.2</v>
      </c>
      <c r="Z189" s="62" t="inlineStr">
        <is>
          <t>lapsed</t>
        </is>
      </c>
      <c r="AA189" s="71" t="n">
        <v>-32.93</v>
      </c>
      <c r="AB189" s="72" t="n">
        <v>-3.96</v>
      </c>
      <c r="AC189" s="72" t="n">
        <v>-30.16</v>
      </c>
      <c r="AD189" s="72" t="n">
        <v>-30.95</v>
      </c>
      <c r="AE189" s="72" t="n">
        <v>1.98</v>
      </c>
      <c r="AF189" s="72" t="n">
        <v>-3.51</v>
      </c>
      <c r="AG189" s="72" t="n">
        <v>2.95</v>
      </c>
      <c r="AH189" s="72" t="n">
        <v>52.05</v>
      </c>
      <c r="AI189" s="72" t="n">
        <v>43.86</v>
      </c>
      <c r="AJ189" s="72" t="n">
        <v>-29.01</v>
      </c>
      <c r="AK189" s="72" t="n">
        <v>10.5</v>
      </c>
      <c r="AL189" s="72" t="n">
        <v>9.609999999999999</v>
      </c>
      <c r="AM189" s="72" t="n">
        <v>60.28</v>
      </c>
      <c r="AN189" s="72" t="n">
        <v>-8.52</v>
      </c>
      <c r="AO189" s="72" t="n">
        <v>-8.23</v>
      </c>
      <c r="AP189" s="62" t="inlineStr">
        <is>
          <t>China Biotech ETF (HS biotech proxy)</t>
        </is>
      </c>
      <c r="AQ189" s="72" t="n">
        <v>-60.06</v>
      </c>
      <c r="AR189" s="63" t="inlineStr">
        <is>
          <t>2026-08-21</t>
        </is>
      </c>
      <c r="AS189" s="64" t="n">
        <v>0</v>
      </c>
      <c r="AT189" s="67" t="n">
        <v>-797.7</v>
      </c>
      <c r="AU189" s="62" t="inlineStr">
        <is>
          <t>N</t>
        </is>
      </c>
      <c r="AV189" s="62" t="inlineStr">
        <is>
          <t>n/m</t>
        </is>
      </c>
      <c r="AW189" s="73" t="n"/>
      <c r="AX189" s="73" t="n"/>
      <c r="AY189" s="62" t="inlineStr">
        <is>
          <t>pre-rev</t>
        </is>
      </c>
      <c r="AZ189" s="74" t="inlineStr">
        <is>
          <t>N</t>
        </is>
      </c>
      <c r="BA189" s="75">
        <f>IF('BBG Verify'!K189="","not filed — run on terminal",'BBG Verify'!K189)</f>
        <v/>
      </c>
      <c r="BB189" s="62" t="inlineStr">
        <is>
          <t>N/A</t>
        </is>
      </c>
      <c r="BC189" s="62" t="inlineStr">
        <is>
          <t>N/A</t>
        </is>
      </c>
      <c r="BD189" s="62" t="inlineStr">
        <is>
          <t>N/A</t>
        </is>
      </c>
      <c r="BE189" s="62" t="inlineStr">
        <is>
          <t>N/A</t>
        </is>
      </c>
      <c r="BF189" s="62" t="inlineStr">
        <is>
          <t>N/A</t>
        </is>
      </c>
      <c r="BG189" s="74" t="inlineStr">
        <is>
          <t>China International Capital Corporation Hong Kong Securities Limited</t>
        </is>
      </c>
      <c r="BH189" s="62" t="inlineStr">
        <is>
          <t>China International Capital Corporation Hong Kong Securities Limited</t>
        </is>
      </c>
      <c r="BI189" s="62" t="inlineStr">
        <is>
          <t>Guotai Junan Securities (Hong Kong) Limited; CCB International Capital Limited; Guosen Securities (HK) Capital Company Limited; Fosun International Securities Limited; Patrons Securities Limited; Eddid Securities and Futures Limited; ABCI Capital Limited; Valuable Capital Limited; Futu Securities International (Hong Kong) Limited; CNCB (Hong Kong) Capital Limited; Central China International Capital Limited</t>
        </is>
      </c>
      <c r="BJ189" s="62" t="inlineStr">
        <is>
          <t>ABCI Securities Company Limited; BOCI Asia Limited; CCB International Capital Limited; CEB International Capital Corporation Limited; Central China International Capital Limited; China International Capital Corporation Hong Kong Securities Limited; CNCB (Hong Kong) Capital Limited; Dragonstone Capital Management Limited; Eddid Securities and Futures Limited; Fosun International Securities Limited; Futu Securities International (Hong Kong) Limited; GF Securities (Hong Kong) Brokerage Limited</t>
        </is>
      </c>
      <c r="BK189" s="76">
        <f>HYPERLINK("https://www1.hkexnews.hk/listedco/listconews/sehk/2023/0425/2023042500039.pdf","prospectus")</f>
        <v/>
      </c>
      <c r="BL189" s="76">
        <f>HYPERLINK("https://www1.hkexnews.hk/listedco/listconews/sehk/2023/0505/2023050500008.htm","allotment")</f>
        <v/>
      </c>
      <c r="BM189" s="76">
        <f>HYPERLINK("https://www1.hkexnews.hk/listedco/listconews/sehk/2023/0528/2023052800097.pdf","stabilisation")</f>
        <v/>
      </c>
      <c r="BN189" s="74" t="n"/>
      <c r="BO189" s="62" t="inlineStr">
        <is>
          <t>P/E: n/m — loss-making at IPO (use P/S) · A/H: no A-share listing · market cap: estimate from deal size / offer % of enlarged capital disagreed with the published listing cap — published figure adopted · cornerstone: AAStocks institutional table includes non-cornerstone orders (superset) — cornerstone % is from the prospectus · P/S: no revenue line in the filed P&amp;L (pre-revenue issuer) — no sales multiple can exist; the cell reads pre-rev, not blank · deal size: stated gross HK$39.5m rejected — below the deal's own net proceeds HK$51.1m, which cannot happen</t>
        </is>
      </c>
    </row>
    <row r="190" ht="15" customHeight="1">
      <c r="A190" s="61" t="inlineStr">
        <is>
          <t>2442</t>
        </is>
      </c>
      <c r="B190" s="62" t="inlineStr">
        <is>
          <t>EASY SMART GP</t>
        </is>
      </c>
      <c r="C190" s="62" t="inlineStr">
        <is>
          <t>怡俊集團控股</t>
        </is>
      </c>
      <c r="D190" s="62" t="inlineStr">
        <is>
          <t>Industrials</t>
        </is>
      </c>
      <c r="E190" s="62" t="inlineStr">
        <is>
          <t>Construction / engineering</t>
        </is>
      </c>
      <c r="F190" s="62" t="inlineStr">
        <is>
          <t>Security &amp; Alarm Services</t>
        </is>
      </c>
      <c r="G190" s="62" t="inlineStr">
        <is>
          <t>Standard</t>
        </is>
      </c>
      <c r="H190" s="63" t="n">
        <v>45055</v>
      </c>
      <c r="I190" s="64" t="n">
        <v>130.6</v>
      </c>
      <c r="J190" s="62" t="inlineStr">
        <is>
          <t>gross (price x shares)</t>
        </is>
      </c>
      <c r="K190" s="65" t="n"/>
      <c r="L190" s="65" t="n">
        <v>1.38</v>
      </c>
      <c r="M190" s="65" t="n">
        <v>1.28</v>
      </c>
      <c r="N190" s="62" t="inlineStr">
        <is>
          <t>N</t>
        </is>
      </c>
      <c r="O190" s="66" t="n">
        <v>92.8</v>
      </c>
      <c r="P190" s="66" t="n"/>
      <c r="Q190" s="67" t="n">
        <v>560</v>
      </c>
      <c r="R190" s="62" t="inlineStr">
        <is>
          <t>aastocks:上市市值 at the struck price</t>
        </is>
      </c>
      <c r="S190" s="68" t="n">
        <v>17.27</v>
      </c>
      <c r="T190" s="69" t="n">
        <v>1.05</v>
      </c>
      <c r="U190" s="70" t="n">
        <v>0</v>
      </c>
      <c r="V190" s="66" t="n">
        <v>23.32</v>
      </c>
      <c r="W190" s="62" t="n"/>
      <c r="X190" s="62" t="n"/>
      <c r="Y190" s="66" t="n">
        <v>15</v>
      </c>
      <c r="Z190" s="62" t="inlineStr">
        <is>
          <t>lapsed (no over-allocation)</t>
        </is>
      </c>
      <c r="AA190" s="71" t="n">
        <v>-23.44</v>
      </c>
      <c r="AB190" s="72" t="n">
        <v>-32.03</v>
      </c>
      <c r="AC190" s="72" t="n">
        <v>12.64</v>
      </c>
      <c r="AD190" s="72" t="n">
        <v>20.31</v>
      </c>
      <c r="AE190" s="72" t="n">
        <v>26.56</v>
      </c>
      <c r="AF190" s="72" t="n">
        <v>-21.09</v>
      </c>
      <c r="AG190" s="72" t="n">
        <v>57.14</v>
      </c>
      <c r="AH190" s="72" t="n">
        <v>65.31</v>
      </c>
      <c r="AI190" s="72" t="n">
        <v>3.07</v>
      </c>
      <c r="AJ190" s="72" t="n">
        <v>20.66</v>
      </c>
      <c r="AK190" s="72" t="n">
        <v>30.9</v>
      </c>
      <c r="AL190" s="72" t="n">
        <v>-21.01</v>
      </c>
      <c r="AM190" s="72" t="n">
        <v>67.06</v>
      </c>
      <c r="AN190" s="72" t="n">
        <v>-4.34</v>
      </c>
      <c r="AO190" s="72" t="n">
        <v>-1.75</v>
      </c>
      <c r="AP190" s="62" t="inlineStr">
        <is>
          <t>Hang Seng Commerce &amp; Industry sub-index</t>
        </is>
      </c>
      <c r="AQ190" s="72" t="n">
        <v>7157.81</v>
      </c>
      <c r="AR190" s="63" t="inlineStr">
        <is>
          <t>2026-08-20</t>
        </is>
      </c>
      <c r="AS190" s="64" t="n">
        <v>240.5</v>
      </c>
      <c r="AT190" s="67" t="n">
        <v>28.8</v>
      </c>
      <c r="AU190" s="62" t="inlineStr">
        <is>
          <t>Y</t>
        </is>
      </c>
      <c r="AV190" s="73" t="n">
        <v>19.4</v>
      </c>
      <c r="AW190" s="73" t="n"/>
      <c r="AX190" s="73" t="n"/>
      <c r="AY190" s="73" t="n">
        <v>2.3</v>
      </c>
      <c r="AZ190" s="74" t="inlineStr">
        <is>
          <t>N</t>
        </is>
      </c>
      <c r="BA190" s="75">
        <f>IF('BBG Verify'!K190="","not filed — run on terminal",'BBG Verify'!K190)</f>
        <v/>
      </c>
      <c r="BB190" s="62" t="inlineStr">
        <is>
          <t>N/A</t>
        </is>
      </c>
      <c r="BC190" s="62" t="inlineStr">
        <is>
          <t>N/A</t>
        </is>
      </c>
      <c r="BD190" s="62" t="inlineStr">
        <is>
          <t>N/A</t>
        </is>
      </c>
      <c r="BE190" s="62" t="inlineStr">
        <is>
          <t>N/A</t>
        </is>
      </c>
      <c r="BF190" s="62" t="inlineStr">
        <is>
          <t>N/A</t>
        </is>
      </c>
      <c r="BG190" s="74" t="n"/>
      <c r="BH190" s="62" t="inlineStr">
        <is>
          <t>Grande Capital Limited</t>
        </is>
      </c>
      <c r="BI190" s="62" t="inlineStr">
        <is>
          <t>Astrum Capital Management Limited; Beta International Securities Limited; CMBC Securities Company Limited; Eddid Securities and Futures Limited; Grande Capital Limited; Head &amp; Shoulders Securities Limited</t>
        </is>
      </c>
      <c r="BJ190" s="62" t="inlineStr">
        <is>
          <t>Astrum Capital Management Limited; Beta International Securities Limited; CMBC Securities Company Limited; Eddid Securities and Futures Limited; Grande Capital Limited; Head &amp; Shoulders Securities Limited; Maxa Capital Limited</t>
        </is>
      </c>
      <c r="BK190" s="76">
        <f>HYPERLINK("https://www1.hkexnews.hk/listedco/listconews/sehk/2023/0425/2023042500029.pdf","prospectus")</f>
        <v/>
      </c>
      <c r="BL190" s="76">
        <f>HYPERLINK("https://www1.hkexnews.hk/listedco/listconews/sehk/2023/0508/2023050800004.htm","allotment")</f>
        <v/>
      </c>
      <c r="BM190" s="76">
        <f>HYPERLINK("https://www1.hkexnews.hk/listedco/listconews/sehk/2023/0529/2023052900093.pdf","stabilisation")</f>
        <v/>
      </c>
      <c r="BN190" s="74" t="n"/>
      <c r="BO190" s="62" t="inlineStr">
        <is>
          <t>range low: cap-only pricing — the filing publishes a Maximum Offer Price and no indicative floor · A/H: no A-share listing · sponsor: English name not in the filing text; AAStocks 保薦人 shown · market cap: estimate from deal size / offer % of enlarged capital disagreed with the published listing cap — published figure adopted · cornerstone list: no cornerstone tranche in this deal</t>
        </is>
      </c>
    </row>
    <row r="191" ht="15" customHeight="1">
      <c r="A191" s="61" t="inlineStr">
        <is>
          <t>2486</t>
        </is>
      </c>
      <c r="B191" s="62" t="inlineStr">
        <is>
          <t>PLUS GP HOLDING</t>
        </is>
      </c>
      <c r="C191" s="62" t="inlineStr">
        <is>
          <t>普樂師集團控股</t>
        </is>
      </c>
      <c r="D191" s="62" t="inlineStr">
        <is>
          <t>TMT-other</t>
        </is>
      </c>
      <c r="E191" s="62" t="inlineStr">
        <is>
          <t>Media / advertising</t>
        </is>
      </c>
      <c r="F191" s="62" t="inlineStr">
        <is>
          <t>Advertising</t>
        </is>
      </c>
      <c r="G191" s="62" t="inlineStr">
        <is>
          <t>Standard</t>
        </is>
      </c>
      <c r="H191" s="63" t="n">
        <v>45057</v>
      </c>
      <c r="I191" s="64" t="n">
        <v>265</v>
      </c>
      <c r="J191" s="62" t="inlineStr">
        <is>
          <t>gross (price x shares)</t>
        </is>
      </c>
      <c r="K191" s="65" t="n"/>
      <c r="L191" s="65" t="n">
        <v>11.8</v>
      </c>
      <c r="M191" s="65" t="n">
        <v>10.6</v>
      </c>
      <c r="N191" s="62" t="inlineStr">
        <is>
          <t>N</t>
        </is>
      </c>
      <c r="O191" s="66" t="n">
        <v>89.8</v>
      </c>
      <c r="P191" s="66" t="n"/>
      <c r="Q191" s="67" t="n">
        <v>1327.1</v>
      </c>
      <c r="R191" s="62" t="inlineStr">
        <is>
          <t>prospectus:stated market capitalisation</t>
        </is>
      </c>
      <c r="S191" s="68" t="n">
        <v>2.2</v>
      </c>
      <c r="T191" s="69" t="n">
        <v>1.2</v>
      </c>
      <c r="U191" s="70" t="n">
        <v>0</v>
      </c>
      <c r="V191" s="66" t="n">
        <v>19.97</v>
      </c>
      <c r="W191" s="62" t="n"/>
      <c r="X191" s="62" t="n"/>
      <c r="Y191" s="66" t="n">
        <v>11.98</v>
      </c>
      <c r="Z191" s="62" t="inlineStr">
        <is>
          <t>lapsed</t>
        </is>
      </c>
      <c r="AA191" s="71" t="n">
        <v>-24.62</v>
      </c>
      <c r="AB191" s="72" t="n">
        <v>-1.89</v>
      </c>
      <c r="AC191" s="72" t="n">
        <v>-23.17</v>
      </c>
      <c r="AD191" s="72" t="n">
        <v>-29.25</v>
      </c>
      <c r="AE191" s="72" t="n">
        <v>-43.68</v>
      </c>
      <c r="AF191" s="72" t="n">
        <v>-50</v>
      </c>
      <c r="AG191" s="72" t="n">
        <v>-6.14</v>
      </c>
      <c r="AH191" s="72" t="n">
        <v>-25.29</v>
      </c>
      <c r="AI191" s="72" t="n">
        <v>-33.67</v>
      </c>
      <c r="AJ191" s="72" t="n">
        <v>-29.07</v>
      </c>
      <c r="AK191" s="72" t="n">
        <v>-41.87</v>
      </c>
      <c r="AL191" s="72" t="n">
        <v>-46.52</v>
      </c>
      <c r="AM191" s="72" t="n">
        <v>-23.57</v>
      </c>
      <c r="AN191" s="72" t="n">
        <v>-1.81</v>
      </c>
      <c r="AO191" s="72" t="n">
        <v>-1.72</v>
      </c>
      <c r="AP191" s="62" t="inlineStr">
        <is>
          <t>Hang Seng Index</t>
        </is>
      </c>
      <c r="AQ191" s="72" t="n">
        <v>-58.58</v>
      </c>
      <c r="AR191" s="63" t="inlineStr">
        <is>
          <t>2026-08-20</t>
        </is>
      </c>
      <c r="AS191" s="64" t="n">
        <v>679.9</v>
      </c>
      <c r="AT191" s="67" t="n">
        <v>58</v>
      </c>
      <c r="AU191" s="62" t="inlineStr">
        <is>
          <t>Y</t>
        </is>
      </c>
      <c r="AV191" s="73" t="n">
        <v>22.9</v>
      </c>
      <c r="AW191" s="73" t="n"/>
      <c r="AX191" s="73" t="n">
        <v>19.6</v>
      </c>
      <c r="AY191" s="73" t="n">
        <v>2</v>
      </c>
      <c r="AZ191" s="74" t="inlineStr">
        <is>
          <t>N</t>
        </is>
      </c>
      <c r="BA191" s="75">
        <f>IF('BBG Verify'!K191="","not filed — run on terminal",'BBG Verify'!K191)</f>
        <v/>
      </c>
      <c r="BB191" s="62" t="inlineStr">
        <is>
          <t>N/A</t>
        </is>
      </c>
      <c r="BC191" s="62" t="inlineStr">
        <is>
          <t>N/A</t>
        </is>
      </c>
      <c r="BD191" s="62" t="inlineStr">
        <is>
          <t>N/A</t>
        </is>
      </c>
      <c r="BE191" s="62" t="inlineStr">
        <is>
          <t>N/A</t>
        </is>
      </c>
      <c r="BF191" s="62" t="inlineStr">
        <is>
          <t>N/A</t>
        </is>
      </c>
      <c r="BG191" s="74" t="inlineStr">
        <is>
          <t>Jefferies Hong Kong Limited; Guotai Junan Capital Limited</t>
        </is>
      </c>
      <c r="BH191" s="62" t="inlineStr">
        <is>
          <t>Jefferies Hong Kong Limited; Guotai Junan Capital Limited</t>
        </is>
      </c>
      <c r="BI191" s="62" t="inlineStr">
        <is>
          <t>Jefferies Hong Kong Limited; Guotai Junan Securities (Hong Kong) Limited; CCB International Capital Limited; CMB Int ernational Capital Limited; ABCI Capital Limited; SPDB International Capital Limited</t>
        </is>
      </c>
      <c r="BJ191" s="62" t="inlineStr">
        <is>
          <t>ABCI Securities Company Limited; CCB International Capital Limited; Conrad Investment Services Limited; CMB International Capital Corporation Limited; Guotai Junan Securities (Hong Kong) Limited; Jefferies Hong Kong Limited; Livermore Holdings Limited; SBI China Capital Financial Services Limited; SPDB International Capital Limited</t>
        </is>
      </c>
      <c r="BK191" s="76">
        <f>HYPERLINK("https://www1.hkexnews.hk/listedco/listconews/sehk/2023/0428/2023042800147.pdf","prospectus")</f>
        <v/>
      </c>
      <c r="BL191" s="76">
        <f>HYPERLINK("https://www1.hkexnews.hk/listedco/listconews/sehk/2023/0510/2023051000024.htm","allotment")</f>
        <v/>
      </c>
      <c r="BM191" s="76">
        <f>HYPERLINK("https://www1.hkexnews.hk/listedco/listconews/sehk/2023/0604/2023060400005.pdf","stabilisation")</f>
        <v/>
      </c>
      <c r="BN191" s="74" t="n"/>
      <c r="BO191" s="62" t="inlineStr">
        <is>
          <t>range low: cap-only pricing — the filing publishes a Maximum Offer Price and no indicative floor · A/H: no A-share listing · cornerstone list: no cornerstone tranche in this deal</t>
        </is>
      </c>
    </row>
    <row r="192" ht="15" customHeight="1">
      <c r="A192" s="61" t="inlineStr">
        <is>
          <t>9930</t>
        </is>
      </c>
      <c r="B192" s="62" t="inlineStr">
        <is>
          <t>HORIZON CD</t>
        </is>
      </c>
      <c r="C192" s="62" t="inlineStr">
        <is>
          <t>宏信建發</t>
        </is>
      </c>
      <c r="D192" s="62" t="inlineStr">
        <is>
          <t>Industrials</t>
        </is>
      </c>
      <c r="E192" s="62" t="inlineStr">
        <is>
          <t>Capital goods / machinery</t>
        </is>
      </c>
      <c r="F192" s="62" t="inlineStr">
        <is>
          <t>Construction &amp; Farm Machinery &amp; Heavy Trucks</t>
        </is>
      </c>
      <c r="G192" s="62" t="inlineStr">
        <is>
          <t>Standard</t>
        </is>
      </c>
      <c r="H192" s="63" t="n">
        <v>45071</v>
      </c>
      <c r="I192" s="64" t="n">
        <v>1648.4</v>
      </c>
      <c r="J192" s="62" t="inlineStr">
        <is>
          <t>gross (price x shares)</t>
        </is>
      </c>
      <c r="K192" s="65" t="n"/>
      <c r="L192" s="65" t="n">
        <v>4.8</v>
      </c>
      <c r="M192" s="65" t="n">
        <v>4.52</v>
      </c>
      <c r="N192" s="62" t="inlineStr">
        <is>
          <t>N</t>
        </is>
      </c>
      <c r="O192" s="66" t="n">
        <v>94.2</v>
      </c>
      <c r="P192" s="66" t="n"/>
      <c r="Q192" s="67" t="n">
        <v>12778.3</v>
      </c>
      <c r="R192" s="62" t="inlineStr">
        <is>
          <t>derived:deal size / offer % of enlarged capital</t>
        </is>
      </c>
      <c r="S192" s="68" t="n">
        <v>0.12</v>
      </c>
      <c r="T192" s="69" t="n">
        <v>1.47</v>
      </c>
      <c r="U192" s="70" t="n">
        <v>23.7</v>
      </c>
      <c r="V192" s="66" t="n">
        <v>9.84</v>
      </c>
      <c r="W192" s="62" t="inlineStr">
        <is>
          <t>HK Dongbin Joint Victory Development Co. Limited; LGMG International Limited; Shanghai Gold Ring Enterprise Group Co., Ltd; Shanghai Putuo Science and Technology Investment Co., Ltd; Xinheng Holding Limited; Zhejiang Dingli Machinery Co., Ltd; Zoomlion International Trading (H.K.) Co., Limited</t>
        </is>
      </c>
      <c r="X192" s="62" t="inlineStr">
        <is>
          <t>dongbin;lgmg;shanghai-gold;shanghai-putuo;xinheng;zhejiang;zoomlion</t>
        </is>
      </c>
      <c r="Y192" s="66" t="n">
        <v>5.52</v>
      </c>
      <c r="Z192" s="62" t="inlineStr">
        <is>
          <t>lapsed (no over-allocation)</t>
        </is>
      </c>
      <c r="AA192" s="71" t="n">
        <v>-28.98</v>
      </c>
      <c r="AB192" s="72" t="n">
        <v>-27.88</v>
      </c>
      <c r="AC192" s="72" t="n">
        <v>-1.53</v>
      </c>
      <c r="AD192" s="72" t="n">
        <v>-41.37</v>
      </c>
      <c r="AE192" s="72" t="n">
        <v>-44.69</v>
      </c>
      <c r="AF192" s="72" t="n">
        <v>-36.95</v>
      </c>
      <c r="AG192" s="72" t="n">
        <v>-17.45</v>
      </c>
      <c r="AH192" s="72" t="n">
        <v>-22.12</v>
      </c>
      <c r="AI192" s="72" t="n">
        <v>-11.22</v>
      </c>
      <c r="AJ192" s="72" t="n">
        <v>-40.72</v>
      </c>
      <c r="AK192" s="72" t="n">
        <v>-45.27</v>
      </c>
      <c r="AL192" s="72" t="n">
        <v>-35.49</v>
      </c>
      <c r="AM192" s="72" t="n">
        <v>-25.1</v>
      </c>
      <c r="AN192" s="72" t="n">
        <v>0.58</v>
      </c>
      <c r="AO192" s="72" t="n">
        <v>2.98</v>
      </c>
      <c r="AP192" s="62" t="inlineStr">
        <is>
          <t>Hang Seng Commerce &amp; Industry sub-index</t>
        </is>
      </c>
      <c r="AQ192" s="72" t="n">
        <v>-82.73999999999999</v>
      </c>
      <c r="AR192" s="63" t="inlineStr">
        <is>
          <t>2026-08-20</t>
        </is>
      </c>
      <c r="AS192" s="64" t="n">
        <v>8665.4</v>
      </c>
      <c r="AT192" s="67" t="n">
        <v>733.2</v>
      </c>
      <c r="AU192" s="62" t="inlineStr">
        <is>
          <t>Y</t>
        </is>
      </c>
      <c r="AV192" s="73" t="n">
        <v>17.4</v>
      </c>
      <c r="AW192" s="73" t="n">
        <v>12.4</v>
      </c>
      <c r="AX192" s="73" t="n">
        <v>14.7</v>
      </c>
      <c r="AY192" s="73" t="n">
        <v>1.5</v>
      </c>
      <c r="AZ192" s="74" t="inlineStr">
        <is>
          <t>N</t>
        </is>
      </c>
      <c r="BA192" s="75">
        <f>IF('BBG Verify'!K192="","not filed — run on terminal",'BBG Verify'!K192)</f>
        <v/>
      </c>
      <c r="BB192" s="62" t="inlineStr">
        <is>
          <t>N/A</t>
        </is>
      </c>
      <c r="BC192" s="62" t="inlineStr">
        <is>
          <t>N/A</t>
        </is>
      </c>
      <c r="BD192" s="62" t="inlineStr">
        <is>
          <t>N/A</t>
        </is>
      </c>
      <c r="BE192" s="62" t="inlineStr">
        <is>
          <t>N/A</t>
        </is>
      </c>
      <c r="BF192" s="62" t="inlineStr">
        <is>
          <t>N/A</t>
        </is>
      </c>
      <c r="BG192" s="74" t="inlineStr">
        <is>
          <t>and Sponsor-OCs Huatai Financial Holdings (Hong Kong) Limited; Citigroup Global Markets Asia Limited; CMB International Capital Limited; DBS Asia Capital Limited</t>
        </is>
      </c>
      <c r="BH192" s="62" t="inlineStr">
        <is>
          <t>Huatai Financial Holdings (Hong Kong) Limited; CMB International Capital Limited; Citigroup Global Markets Asia Limited; DBS Asia Capital Limited</t>
        </is>
      </c>
      <c r="BI192" s="62" t="inlineStr">
        <is>
          <t>Huatai Financial Holdings (Hong Kong) Limited; Citigroup Global Markets Asia Limited; CMB International Capital Limited; DBS Asia Capital Limited; 102 – CMB International Capital Limited; BOCI Asia Limited; Shenwan Hongyuan Securities (H.K.) Limited; Guotai Junan Securities (Hong Kong) Limited; BOCOM International Securities Limited; CCB International Capital Limited; ABCI Capital Limited; Zhongtai International Securities Limited</t>
        </is>
      </c>
      <c r="BJ192" s="62" t="inlineStr">
        <is>
          <t>ABCI Securities Company Limited; Beta International Securities Limited; BOCI Asia Limited; CCB International Capital Limited; Citigroup Global Markets Asia Limited; CMB International Capital Limited; DBS Asia Capital Limited; Futu Securities International (Hong Kong) Limited; Guotai Junan Securities (Hong Kong) Limited; Huatai Financial Holdings (Hong Kong) Limited; Shenwan Hongyuan Securities (H.K.) Limited; Tiger Brokers (HK) Global Limited</t>
        </is>
      </c>
      <c r="BK192" s="76">
        <f>HYPERLINK("https://www1.hkexnews.hk/listedco/listconews/sehk/2023/0512/2023051200007.pdf","prospectus")</f>
        <v/>
      </c>
      <c r="BL192" s="76">
        <f>HYPERLINK("https://www1.hkexnews.hk/listedco/listconews/sehk/2023/0524/2023052400046.htm","allotment")</f>
        <v/>
      </c>
      <c r="BM192" s="76">
        <f>HYPERLINK("https://www1.hkexnews.hk/listedco/listconews/sehk/2023/0619/2023061900189.pdf","stabilisation")</f>
        <v/>
      </c>
      <c r="BN192" s="74" t="n"/>
      <c r="BO192" s="62" t="inlineStr">
        <is>
          <t>range low: cap-only pricing — the filing publishes a Maximum Offer Price and no indicative floor · A/H: no A-share listing · cornerstone: AAStocks institutional table includes non-cornerstone orders (superset) — cornerstone % is from the prospectus</t>
        </is>
      </c>
    </row>
    <row r="193" ht="15" customHeight="1">
      <c r="A193" s="61" t="inlineStr">
        <is>
          <t>2416</t>
        </is>
      </c>
      <c r="B193" s="62" t="inlineStr">
        <is>
          <t>EDIANYUN</t>
        </is>
      </c>
      <c r="C193" s="62" t="inlineStr">
        <is>
          <t>易點雲</t>
        </is>
      </c>
      <c r="D193" s="62" t="inlineStr">
        <is>
          <t>Tech/AI</t>
        </is>
      </c>
      <c r="E193" s="62" t="inlineStr">
        <is>
          <t>SaaS / enterprise software</t>
        </is>
      </c>
      <c r="F193" s="62" t="inlineStr">
        <is>
          <t>IT Consulting &amp; Other Services</t>
        </is>
      </c>
      <c r="G193" s="62" t="inlineStr">
        <is>
          <t>Standard</t>
        </is>
      </c>
      <c r="H193" s="63" t="n">
        <v>45071</v>
      </c>
      <c r="I193" s="64" t="n">
        <v>97</v>
      </c>
      <c r="J193" s="62" t="inlineStr">
        <is>
          <t>net proceeds</t>
        </is>
      </c>
      <c r="K193" s="65" t="n">
        <v>10</v>
      </c>
      <c r="L193" s="65" t="n">
        <v>12</v>
      </c>
      <c r="M193" s="65" t="n">
        <v>10.19</v>
      </c>
      <c r="N193" s="62" t="inlineStr">
        <is>
          <t>N</t>
        </is>
      </c>
      <c r="O193" s="66" t="n">
        <v>84.90000000000001</v>
      </c>
      <c r="P193" s="66" t="n">
        <v>9.5</v>
      </c>
      <c r="Q193" s="67" t="n">
        <v>5742.6</v>
      </c>
      <c r="R193" s="62" t="inlineStr">
        <is>
          <t>prospectus:stated market capitalisation</t>
        </is>
      </c>
      <c r="S193" s="68" t="n">
        <v>0.35</v>
      </c>
      <c r="T193" s="69" t="n">
        <v>1.2</v>
      </c>
      <c r="U193" s="70" t="n">
        <v>26.76</v>
      </c>
      <c r="V193" s="66" t="n">
        <v>1.24</v>
      </c>
      <c r="W193" s="62" t="inlineStr">
        <is>
          <t>Orinno Investment</t>
        </is>
      </c>
      <c r="X193" s="62" t="inlineStr">
        <is>
          <t>orinno</t>
        </is>
      </c>
      <c r="Y193" s="66" t="n">
        <v>5.34</v>
      </c>
      <c r="Z193" s="62" t="inlineStr">
        <is>
          <t>lapsed (no over-allocation)</t>
        </is>
      </c>
      <c r="AA193" s="71" t="n">
        <v>-3.04</v>
      </c>
      <c r="AB193" s="72" t="n">
        <v>-7.16</v>
      </c>
      <c r="AC193" s="72" t="n">
        <v>4.44</v>
      </c>
      <c r="AD193" s="72" t="n">
        <v>7.95</v>
      </c>
      <c r="AE193" s="72" t="n">
        <v>2.65</v>
      </c>
      <c r="AF193" s="72" t="n">
        <v>-36.11</v>
      </c>
      <c r="AG193" s="72" t="n">
        <v>11.33</v>
      </c>
      <c r="AH193" s="72" t="n">
        <v>5.87</v>
      </c>
      <c r="AI193" s="72" t="n">
        <v>-34.11</v>
      </c>
      <c r="AJ193" s="72" t="n">
        <v>6.38</v>
      </c>
      <c r="AK193" s="72" t="n">
        <v>-2.7</v>
      </c>
      <c r="AL193" s="72" t="n">
        <v>-44.05</v>
      </c>
      <c r="AM193" s="72" t="n">
        <v>-1.39</v>
      </c>
      <c r="AN193" s="72" t="n">
        <v>5.35</v>
      </c>
      <c r="AO193" s="72" t="n">
        <v>7.26</v>
      </c>
      <c r="AP193" s="62" t="inlineStr">
        <is>
          <t>HSTECH (Hang Seng TECH ETF)</t>
        </is>
      </c>
      <c r="AQ193" s="72" t="n">
        <v>-58.29</v>
      </c>
      <c r="AR193" s="63" t="inlineStr">
        <is>
          <t>2026-08-20</t>
        </is>
      </c>
      <c r="AS193" s="64" t="n">
        <v>1509.1</v>
      </c>
      <c r="AT193" s="67" t="n">
        <v>-672.8</v>
      </c>
      <c r="AU193" s="62" t="inlineStr">
        <is>
          <t>N</t>
        </is>
      </c>
      <c r="AV193" s="62" t="inlineStr">
        <is>
          <t>n/m</t>
        </is>
      </c>
      <c r="AW193" s="73" t="n"/>
      <c r="AX193" s="73" t="n">
        <v>12.7</v>
      </c>
      <c r="AY193" s="73" t="n">
        <v>3.8</v>
      </c>
      <c r="AZ193" s="74" t="inlineStr">
        <is>
          <t>N</t>
        </is>
      </c>
      <c r="BA193" s="75">
        <f>IF('BBG Verify'!K193="","not filed — run on terminal",'BBG Verify'!K193)</f>
        <v/>
      </c>
      <c r="BB193" s="62" t="inlineStr">
        <is>
          <t>N/A</t>
        </is>
      </c>
      <c r="BC193" s="62" t="inlineStr">
        <is>
          <t>N/A</t>
        </is>
      </c>
      <c r="BD193" s="62" t="inlineStr">
        <is>
          <t>N/A</t>
        </is>
      </c>
      <c r="BE193" s="62" t="inlineStr">
        <is>
          <t>N/A</t>
        </is>
      </c>
      <c r="BF193" s="62" t="inlineStr">
        <is>
          <t>N/A</t>
        </is>
      </c>
      <c r="BG193" s="74" t="n"/>
      <c r="BH193" s="62" t="inlineStr">
        <is>
          <t>China International Capital Corporation Hong Kong Securities Limited</t>
        </is>
      </c>
      <c r="BI193" s="62" t="inlineStr">
        <is>
          <t>China International Capital Corporation Hong Kong Securities Limited; Credit Suisse (Hong Kong) Limited; CLSA Limited</t>
        </is>
      </c>
      <c r="BJ193" s="62" t="inlineStr">
        <is>
          <t>China International Capital Corporation Hong Kong Securities Limited; CLSA Limited; Credit Suisse (Hong Kong) Limited; Dongxing Securities (Hong Kong) Company Limited; Futu Securities International (Hong Kong) Limited; Tiger Brokers (HK) Global Limited; Valuable Capital Limited</t>
        </is>
      </c>
      <c r="BK193" s="76">
        <f>HYPERLINK("https://www1.hkexnews.hk/listedco/listconews/sehk/2023/0515/2023051500005.pdf","prospectus")</f>
        <v/>
      </c>
      <c r="BL193" s="76">
        <f>HYPERLINK("https://www1.hkexnews.hk/listedco/listconews/sehk/2023/0524/2023052400060.htm","allotment")</f>
        <v/>
      </c>
      <c r="BM193" s="76">
        <f>HYPERLINK("https://www1.hkexnews.hk/listedco/listconews/sehk/2023/0618/2023061800019.pdf","stabilisation")</f>
        <v/>
      </c>
      <c r="BN193" s="74" t="n"/>
      <c r="BO193" s="62" t="inlineStr">
        <is>
          <t>P/E: n/m — loss-making at IPO (use P/S) · A/H: no A-share listing · sponsor: English name not in the filing text; AAStocks 保薦人 shown · cornerstone: AAStocks institutional table includes non-cornerstone orders (superset) — cornerstone % is from the prospectus</t>
        </is>
      </c>
    </row>
    <row r="194" ht="15" customHeight="1">
      <c r="A194" s="61" t="inlineStr">
        <is>
          <t>2487</t>
        </is>
      </c>
      <c r="B194" s="62" t="inlineStr">
        <is>
          <t>CUTIA-B</t>
        </is>
      </c>
      <c r="C194" s="62" t="inlineStr">
        <is>
          <t>科笛－Ｂ</t>
        </is>
      </c>
      <c r="D194" s="62" t="inlineStr">
        <is>
          <t>Healthcare</t>
        </is>
      </c>
      <c r="E194" s="62" t="inlineStr">
        <is>
          <t>Biotech pre-revenue (18A)</t>
        </is>
      </c>
      <c r="F194" s="62" t="inlineStr">
        <is>
          <t>Biotechnology - Pharmaceuticals</t>
        </is>
      </c>
      <c r="G194" s="62" t="inlineStr">
        <is>
          <t>18A</t>
        </is>
      </c>
      <c r="H194" s="63" t="n">
        <v>45089</v>
      </c>
      <c r="I194" s="64" t="n">
        <v>465</v>
      </c>
      <c r="J194" s="62" t="inlineStr">
        <is>
          <t>gross (price x shares)</t>
        </is>
      </c>
      <c r="K194" s="65" t="n">
        <v>20.65</v>
      </c>
      <c r="L194" s="65" t="n">
        <v>24.75</v>
      </c>
      <c r="M194" s="65" t="n">
        <v>21.85</v>
      </c>
      <c r="N194" s="62" t="inlineStr">
        <is>
          <t>N</t>
        </is>
      </c>
      <c r="O194" s="66" t="n">
        <v>88.3</v>
      </c>
      <c r="P194" s="66" t="n">
        <v>29.3</v>
      </c>
      <c r="Q194" s="67" t="n">
        <v>6278</v>
      </c>
      <c r="R194" s="62" t="inlineStr">
        <is>
          <t>prospectus:stated market capitalisation</t>
        </is>
      </c>
      <c r="S194" s="68" t="n">
        <v>1.41</v>
      </c>
      <c r="T194" s="69" t="n">
        <v>1.07</v>
      </c>
      <c r="U194" s="70" t="n">
        <v>41.29</v>
      </c>
      <c r="V194" s="66" t="n">
        <v>4.35</v>
      </c>
      <c r="W194" s="62" t="inlineStr">
        <is>
          <t>Harvest Great Bay Investment SP; So-Young Hong Kong Limited; Wuxi Xinhongdi Venture Capital Partnership (Limited Partnership)</t>
        </is>
      </c>
      <c r="X194" s="62" t="inlineStr">
        <is>
          <t>harvest;so;wuxi</t>
        </is>
      </c>
      <c r="Y194" s="66" t="n">
        <v>18.67</v>
      </c>
      <c r="Z194" s="62" t="inlineStr">
        <is>
          <t>lapsed</t>
        </is>
      </c>
      <c r="AA194" s="71" t="n">
        <v>0.46</v>
      </c>
      <c r="AB194" s="72" t="n">
        <v>-0.23</v>
      </c>
      <c r="AC194" s="72" t="n">
        <v>0.6899999999999999</v>
      </c>
      <c r="AD194" s="72" t="n">
        <v>38.67</v>
      </c>
      <c r="AE194" s="72" t="n">
        <v>-1.6</v>
      </c>
      <c r="AF194" s="72" t="n">
        <v>1.37</v>
      </c>
      <c r="AG194" s="72" t="n">
        <v>38.04</v>
      </c>
      <c r="AH194" s="72" t="n">
        <v>-2.05</v>
      </c>
      <c r="AI194" s="72" t="n">
        <v>0.91</v>
      </c>
      <c r="AJ194" s="72" t="n">
        <v>36.95</v>
      </c>
      <c r="AK194" s="72" t="n">
        <v>2.24</v>
      </c>
      <c r="AL194" s="72" t="n">
        <v>7.31</v>
      </c>
      <c r="AM194" s="72" t="n">
        <v>0.76</v>
      </c>
      <c r="AN194" s="72" t="n">
        <v>-3.84</v>
      </c>
      <c r="AO194" s="72" t="n">
        <v>-2.81</v>
      </c>
      <c r="AP194" s="62" t="inlineStr">
        <is>
          <t>China Biotech ETF (HS biotech proxy)</t>
        </is>
      </c>
      <c r="AQ194" s="72" t="n">
        <v>-91.08</v>
      </c>
      <c r="AR194" s="63" t="inlineStr">
        <is>
          <t>2026-08-21</t>
        </is>
      </c>
      <c r="AS194" s="64" t="n">
        <v>12.5</v>
      </c>
      <c r="AT194" s="67" t="n">
        <v>-611.4</v>
      </c>
      <c r="AU194" s="62" t="inlineStr">
        <is>
          <t>N</t>
        </is>
      </c>
      <c r="AV194" s="62" t="inlineStr">
        <is>
          <t>n/m</t>
        </is>
      </c>
      <c r="AW194" s="73" t="n"/>
      <c r="AX194" s="73" t="n"/>
      <c r="AY194" s="73" t="n">
        <v>502.2</v>
      </c>
      <c r="AZ194" s="74" t="inlineStr">
        <is>
          <t>N</t>
        </is>
      </c>
      <c r="BA194" s="75">
        <f>IF('BBG Verify'!K194="","not filed — run on terminal",'BBG Verify'!K194)</f>
        <v/>
      </c>
      <c r="BB194" s="62" t="inlineStr">
        <is>
          <t>N/A</t>
        </is>
      </c>
      <c r="BC194" s="62" t="inlineStr">
        <is>
          <t>N/A</t>
        </is>
      </c>
      <c r="BD194" s="62" t="inlineStr">
        <is>
          <t>N/A</t>
        </is>
      </c>
      <c r="BE194" s="62" t="inlineStr">
        <is>
          <t>N/A</t>
        </is>
      </c>
      <c r="BF194" s="62" t="inlineStr">
        <is>
          <t>N/A</t>
        </is>
      </c>
      <c r="BG194" s="74" t="inlineStr">
        <is>
          <t>China International Capital Corporation Hong Kong Securities Limited</t>
        </is>
      </c>
      <c r="BH194" s="62" t="inlineStr">
        <is>
          <t>China International Capital Corporation Hong Kong Securities Limited</t>
        </is>
      </c>
      <c r="BI194" s="62" t="inlineStr">
        <is>
          <t>China International Capital Corporation Hong Kong Securities Limited; UOB Kay Hian (Hong Kong) Limited; Futu Securities International (Hong Kong) Limited; Valuable Capital Limited</t>
        </is>
      </c>
      <c r="BJ194" s="62" t="inlineStr">
        <is>
          <t>BOCI Asia Limited; China International Capital Corporation Hong Kong Securities Limited; CLSA Limited; CMB International Capital Limited; Deutsche Bank AG, Hong Kong Branch; Futu Securities International (Hong Kong) Limited; Huatai Financial Holdings (Hong Kong) Limited; Silverbricks Securities Company Limited; Tiger Brokers (HK) Global Limited; UOB Kay Hian (Hong Kong) Limited; Valuable Capital Limited</t>
        </is>
      </c>
      <c r="BK194" s="76">
        <f>HYPERLINK("https://www1.hkexnews.hk/listedco/listconews/sehk/2023/0531/2023053100174.htm","prospectus")</f>
        <v/>
      </c>
      <c r="BL194" s="76">
        <f>HYPERLINK("https://www1.hkexnews.hk/listedco/listconews/sehk/2023/0609/2023060900016.htm","allotment")</f>
        <v/>
      </c>
      <c r="BM194" s="76">
        <f>HYPERLINK("https://www1.hkexnews.hk/listedco/listconews/sehk/2023/0705/2023070500577.pdf","stabilisation")</f>
        <v/>
      </c>
      <c r="BN194" s="74" t="n"/>
      <c r="BO194" s="62" t="inlineStr">
        <is>
          <t>P/E: n/m — loss-making at IPO (use P/S) · A/H: no A-share listing · P/S: 502x on HK$12.5m revenue — effectively pre-revenue; the multiple is shown for completeness, not comparability · deal size: stated gross HK$23.9m rejected — below the deal's own net proceeds HK$392.7m, which cannot happen</t>
        </is>
      </c>
    </row>
    <row r="195" ht="15" customHeight="1">
      <c r="A195" s="61" t="inlineStr">
        <is>
          <t>9885</t>
        </is>
      </c>
      <c r="B195" s="62" t="inlineStr">
        <is>
          <t>YSB</t>
        </is>
      </c>
      <c r="C195" s="62" t="inlineStr">
        <is>
          <t>藥師幫</t>
        </is>
      </c>
      <c r="D195" s="62" t="inlineStr">
        <is>
          <t>Healthcare</t>
        </is>
      </c>
      <c r="E195" s="62" t="inlineStr">
        <is>
          <t>Digital health</t>
        </is>
      </c>
      <c r="F195" s="62" t="inlineStr">
        <is>
          <t>Pharmaceuticals</t>
        </is>
      </c>
      <c r="G195" s="62" t="inlineStr">
        <is>
          <t>Standard</t>
        </is>
      </c>
      <c r="H195" s="63" t="n">
        <v>45105</v>
      </c>
      <c r="I195" s="64" t="n">
        <v>316.2</v>
      </c>
      <c r="J195" s="62" t="inlineStr">
        <is>
          <t>gross (price x shares)</t>
        </is>
      </c>
      <c r="K195" s="65" t="n"/>
      <c r="L195" s="65" t="n">
        <v>20</v>
      </c>
      <c r="M195" s="65" t="n">
        <v>20</v>
      </c>
      <c r="N195" s="62" t="inlineStr">
        <is>
          <t>Y</t>
        </is>
      </c>
      <c r="O195" s="66" t="n">
        <v>100</v>
      </c>
      <c r="P195" s="66" t="n"/>
      <c r="Q195" s="67" t="n">
        <v>13309.3</v>
      </c>
      <c r="R195" s="62" t="inlineStr">
        <is>
          <t>aastocks:上市市值 at the struck price</t>
        </is>
      </c>
      <c r="S195" s="68" t="n">
        <v>5.6</v>
      </c>
      <c r="T195" s="69" t="n">
        <v>2.08</v>
      </c>
      <c r="U195" s="70" t="n">
        <v>42.4</v>
      </c>
      <c r="V195" s="66" t="n">
        <v>1.37</v>
      </c>
      <c r="W195" s="62" t="inlineStr">
        <is>
          <t>ZGC International Limited</t>
        </is>
      </c>
      <c r="X195" s="62" t="inlineStr">
        <is>
          <t>zgc</t>
        </is>
      </c>
      <c r="Y195" s="66" t="n"/>
      <c r="Z195" s="62" t="inlineStr">
        <is>
          <t>partial</t>
        </is>
      </c>
      <c r="AA195" s="71" t="n">
        <v>5.5</v>
      </c>
      <c r="AB195" s="72" t="n">
        <v>15.25</v>
      </c>
      <c r="AC195" s="72" t="n">
        <v>-8.460000000000001</v>
      </c>
      <c r="AD195" s="72" t="n">
        <v>22.5</v>
      </c>
      <c r="AE195" s="72" t="n">
        <v>147.5</v>
      </c>
      <c r="AF195" s="72" t="n">
        <v>154.5</v>
      </c>
      <c r="AG195" s="72" t="n">
        <v>16.11</v>
      </c>
      <c r="AH195" s="72" t="n">
        <v>134.6</v>
      </c>
      <c r="AI195" s="72" t="n">
        <v>141.23</v>
      </c>
      <c r="AJ195" s="72" t="n">
        <v>19.59</v>
      </c>
      <c r="AK195" s="72" t="n">
        <v>140.71</v>
      </c>
      <c r="AL195" s="72" t="n">
        <v>151.87</v>
      </c>
      <c r="AM195" s="72" t="n">
        <v>127.14</v>
      </c>
      <c r="AN195" s="72" t="n">
        <v>6.79</v>
      </c>
      <c r="AO195" s="72" t="n">
        <v>7.46</v>
      </c>
      <c r="AP195" s="62" t="inlineStr">
        <is>
          <t>China Biotech ETF (HS biotech proxy)</t>
        </is>
      </c>
      <c r="AQ195" s="72" t="n">
        <v>-83.38</v>
      </c>
      <c r="AR195" s="63" t="inlineStr">
        <is>
          <t>2026-08-20</t>
        </is>
      </c>
      <c r="AS195" s="64" t="n">
        <v>15702.3</v>
      </c>
      <c r="AT195" s="67" t="n">
        <v>-1650</v>
      </c>
      <c r="AU195" s="62" t="inlineStr">
        <is>
          <t>N</t>
        </is>
      </c>
      <c r="AV195" s="62" t="inlineStr">
        <is>
          <t>n/m</t>
        </is>
      </c>
      <c r="AW195" s="73" t="n"/>
      <c r="AX195" s="73" t="n">
        <v>13.5</v>
      </c>
      <c r="AY195" s="73" t="n">
        <v>0.8</v>
      </c>
      <c r="AZ195" s="74" t="inlineStr">
        <is>
          <t>N</t>
        </is>
      </c>
      <c r="BA195" s="75">
        <f>IF('BBG Verify'!K195="","not filed — run on terminal",'BBG Verify'!K195)</f>
        <v/>
      </c>
      <c r="BB195" s="62" t="inlineStr">
        <is>
          <t>N/A</t>
        </is>
      </c>
      <c r="BC195" s="62" t="inlineStr">
        <is>
          <t>N/A</t>
        </is>
      </c>
      <c r="BD195" s="62" t="inlineStr">
        <is>
          <t>N/A</t>
        </is>
      </c>
      <c r="BE195" s="62" t="inlineStr">
        <is>
          <t>N/A</t>
        </is>
      </c>
      <c r="BF195" s="62" t="inlineStr">
        <is>
          <t>N/A</t>
        </is>
      </c>
      <c r="BG195" s="74" t="n"/>
      <c r="BH195" s="62" t="inlineStr">
        <is>
          <t>China International Capital Corporation Hong Kong Securities Limited</t>
        </is>
      </c>
      <c r="BI195" s="62" t="inlineStr">
        <is>
          <t>China International Capital Corporation Hong Kong Securities Limited; Central, Hong Kong CMB International Capital Limited; Central, Hong Kong ICBC International Securities Limited; ABCI Capital Limited; Fosun International Securities Limited</t>
        </is>
      </c>
      <c r="BJ195" s="62" t="inlineStr">
        <is>
          <t>ABCI Securities Company Limited; China International Capital Corporation Hong Kong Securities Limited; CMB International Capital Limited; Fosun International Securities Limited; Futu Securities International (Hong Kong) Limited; ICBC International Securities Limited; Patrons Securities Limited; Tiger Brokers (HK) Global Limited; Valuable Capital Limited</t>
        </is>
      </c>
      <c r="BK195" s="76">
        <f>HYPERLINK("https://www1.hkexnews.hk/listedco/listconews/sehk/2023/0615/2023061500046.htm","prospectus")</f>
        <v/>
      </c>
      <c r="BL195" s="76">
        <f>HYPERLINK("https://www1.hkexnews.hk/listedco/listconews/sehk/2023/0627/2023062700054.htm","allotment")</f>
        <v/>
      </c>
      <c r="BM195" s="76">
        <f>HYPERLINK("https://www1.hkexnews.hk/listedco/listconews/sehk/2023/0720/2023072001211.pdf","stabilisation")</f>
        <v/>
      </c>
      <c r="BN195" s="74" t="n"/>
      <c r="BO195" s="62"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market cap: estimate from stated market capitalisation disagreed with the published listing cap — published figure adopted · greenshoe size: no over-allotment option in the offer structure</t>
        </is>
      </c>
    </row>
    <row r="196" ht="15" customHeight="1">
      <c r="A196" s="61" t="inlineStr">
        <is>
          <t>2105</t>
        </is>
      </c>
      <c r="B196" s="62" t="inlineStr">
        <is>
          <t>LAEKNA-B</t>
        </is>
      </c>
      <c r="C196" s="62" t="inlineStr">
        <is>
          <t>來凱醫藥－Ｂ</t>
        </is>
      </c>
      <c r="D196" s="62" t="inlineStr">
        <is>
          <t>Healthcare</t>
        </is>
      </c>
      <c r="E196" s="62" t="inlineStr">
        <is>
          <t>Biotech pre-revenue (18A)</t>
        </is>
      </c>
      <c r="F196" s="62" t="inlineStr">
        <is>
          <t>Health Care Services</t>
        </is>
      </c>
      <c r="G196" s="62" t="inlineStr">
        <is>
          <t>18A</t>
        </is>
      </c>
      <c r="H196" s="63" t="n">
        <v>45106</v>
      </c>
      <c r="I196" s="64" t="n">
        <v>790.9</v>
      </c>
      <c r="J196" s="62" t="inlineStr">
        <is>
          <t>gross (price x shares)</t>
        </is>
      </c>
      <c r="K196" s="65" t="n"/>
      <c r="L196" s="65" t="n">
        <v>12.41</v>
      </c>
      <c r="M196" s="65" t="n">
        <v>12.41</v>
      </c>
      <c r="N196" s="62" t="inlineStr">
        <is>
          <t>Y</t>
        </is>
      </c>
      <c r="O196" s="66" t="n">
        <v>100</v>
      </c>
      <c r="P196" s="66" t="n"/>
      <c r="Q196" s="67" t="n">
        <v>4841.1</v>
      </c>
      <c r="R196" s="62" t="inlineStr">
        <is>
          <t>prospectus:stated market capitalisation</t>
        </is>
      </c>
      <c r="S196" s="68" t="n">
        <v>5.81</v>
      </c>
      <c r="T196" s="69" t="n">
        <v>1.09</v>
      </c>
      <c r="U196" s="70" t="n">
        <v>86</v>
      </c>
      <c r="V196" s="66" t="n">
        <v>2.29</v>
      </c>
      <c r="W196" s="62" t="inlineStr">
        <is>
          <t>Future Industry Investment Fund II; Ningbo Yaoshang Yanchuang Chenkai Venture Capital Partnership; OrbiMed Asia Partners III, L.P; Yuyao Yangming Equity Investment Fund Co., Ltd</t>
        </is>
      </c>
      <c r="X196" s="62" t="inlineStr">
        <is>
          <t>future;ningbo;orbimed;yuyao</t>
        </is>
      </c>
      <c r="Y196" s="66" t="n"/>
      <c r="Z196" s="62" t="n"/>
      <c r="AA196" s="71" t="n">
        <v>20.87</v>
      </c>
      <c r="AB196" s="72" t="n">
        <v>0.24</v>
      </c>
      <c r="AC196" s="72" t="n">
        <v>20.58</v>
      </c>
      <c r="AD196" s="72" t="n">
        <v>22.32</v>
      </c>
      <c r="AE196" s="72" t="n">
        <v>16.52</v>
      </c>
      <c r="AF196" s="72" t="n">
        <v>10.39</v>
      </c>
      <c r="AG196" s="72" t="n">
        <v>1.2</v>
      </c>
      <c r="AH196" s="72" t="n">
        <v>-3.6</v>
      </c>
      <c r="AI196" s="72" t="n">
        <v>-8.67</v>
      </c>
      <c r="AJ196" s="72" t="n">
        <v>20.87</v>
      </c>
      <c r="AK196" s="72" t="n">
        <v>11.37</v>
      </c>
      <c r="AL196" s="72" t="n">
        <v>7.29</v>
      </c>
      <c r="AM196" s="72" t="n">
        <v>-9.16</v>
      </c>
      <c r="AN196" s="72" t="n">
        <v>5.15</v>
      </c>
      <c r="AO196" s="72" t="n">
        <v>5.56</v>
      </c>
      <c r="AP196" s="62" t="inlineStr">
        <is>
          <t>China Biotech ETF (HS biotech proxy)</t>
        </is>
      </c>
      <c r="AQ196" s="72" t="n">
        <v>-47.99</v>
      </c>
      <c r="AR196" s="63" t="inlineStr">
        <is>
          <t>2026-08-20</t>
        </is>
      </c>
      <c r="AS196" s="64" t="n">
        <v>0</v>
      </c>
      <c r="AT196" s="67" t="n">
        <v>-859.8</v>
      </c>
      <c r="AU196" s="62" t="inlineStr">
        <is>
          <t>N</t>
        </is>
      </c>
      <c r="AV196" s="62" t="inlineStr">
        <is>
          <t>n/m</t>
        </is>
      </c>
      <c r="AW196" s="73" t="n"/>
      <c r="AX196" s="73" t="n"/>
      <c r="AY196" s="62" t="inlineStr">
        <is>
          <t>pre-rev</t>
        </is>
      </c>
      <c r="AZ196" s="74" t="inlineStr">
        <is>
          <t>N</t>
        </is>
      </c>
      <c r="BA196" s="75">
        <f>IF('BBG Verify'!K196="","not filed — run on terminal",'BBG Verify'!K196)</f>
        <v/>
      </c>
      <c r="BB196" s="62" t="inlineStr">
        <is>
          <t>N/A</t>
        </is>
      </c>
      <c r="BC196" s="62" t="inlineStr">
        <is>
          <t>N/A</t>
        </is>
      </c>
      <c r="BD196" s="62" t="inlineStr">
        <is>
          <t>N/A</t>
        </is>
      </c>
      <c r="BE196" s="62" t="inlineStr">
        <is>
          <t>N/A</t>
        </is>
      </c>
      <c r="BF196" s="62" t="inlineStr">
        <is>
          <t>N/A</t>
        </is>
      </c>
      <c r="BG196" s="74" t="inlineStr">
        <is>
          <t>China International Capital Corporation Hong Kong Securities Limited</t>
        </is>
      </c>
      <c r="BH196" s="62" t="inlineStr">
        <is>
          <t>China International Capital Corporation Hong Kong Securities Limited</t>
        </is>
      </c>
      <c r="BI196" s="62" t="inlineStr">
        <is>
          <t>China International Capital Corporation Hong Kong Securities Limited; Haitong International Securities Company Limited; ICBC International Securities Limited; ABCI Capital Limited</t>
        </is>
      </c>
      <c r="BJ196" s="62" t="inlineStr">
        <is>
          <t>ABCI Securities Company Limited; China International Capital Corporation Hong Kong Securities Limited; Futu Securities International (Hong Kong) Limited; Guotai Junan Securities (Hong Kong) Limited; Haitong International Securities Company Limited; ICBC International Securities Limited; Valuable Capital Limited</t>
        </is>
      </c>
      <c r="BK196" s="76">
        <f>HYPERLINK("https://www1.hkexnews.hk/listedco/listconews/sehk/2023/0616/2023061600013.pdf","prospectus")</f>
        <v/>
      </c>
      <c r="BL196" s="76">
        <f>HYPERLINK("https://www1.hkexnews.hk/listedco/listconews/sehk/2023/0628/2023062800052.htm","allotment")</f>
        <v/>
      </c>
      <c r="BM196" s="62" t="n"/>
      <c r="BN196" s="74" t="n"/>
      <c r="BO196" s="62"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 · P/S: no revenue line in the filed P&amp;L (pre-revenue issuer) — no sales multiple can exist; the cell reads pre-rev, not blank</t>
        </is>
      </c>
    </row>
    <row r="197" ht="15" customHeight="1">
      <c r="A197" s="61" t="inlineStr">
        <is>
          <t>9860</t>
        </is>
      </c>
      <c r="B197" s="62" t="inlineStr">
        <is>
          <t>ADICON HOLDINGS</t>
        </is>
      </c>
      <c r="C197" s="62" t="inlineStr">
        <is>
          <t>艾迪康控股</t>
        </is>
      </c>
      <c r="D197" s="62" t="inlineStr">
        <is>
          <t>Healthcare</t>
        </is>
      </c>
      <c r="E197" s="62" t="inlineStr">
        <is>
          <t>CXO / pharma services</t>
        </is>
      </c>
      <c r="F197" s="62" t="inlineStr">
        <is>
          <t>Health Care Services</t>
        </is>
      </c>
      <c r="G197" s="62" t="inlineStr">
        <is>
          <t>Standard</t>
        </is>
      </c>
      <c r="H197" s="63" t="n">
        <v>45107</v>
      </c>
      <c r="I197" s="64" t="n">
        <v>83.90000000000001</v>
      </c>
      <c r="J197" s="62" t="inlineStr">
        <is>
          <t>net proceeds</t>
        </is>
      </c>
      <c r="K197" s="65" t="n"/>
      <c r="L197" s="65" t="n">
        <v>12.32</v>
      </c>
      <c r="M197" s="65" t="n">
        <v>12.32</v>
      </c>
      <c r="N197" s="62" t="inlineStr">
        <is>
          <t>Y</t>
        </is>
      </c>
      <c r="O197" s="66" t="n">
        <v>100</v>
      </c>
      <c r="P197" s="66" t="n"/>
      <c r="Q197" s="67" t="n">
        <v>8913</v>
      </c>
      <c r="R197" s="62" t="inlineStr">
        <is>
          <t>press:sohu/stockstar: 总市值89.13亿 at HK$12.32</t>
        </is>
      </c>
      <c r="S197" s="68" t="n">
        <v>1.06</v>
      </c>
      <c r="T197" s="69" t="n">
        <v>1.8</v>
      </c>
      <c r="U197" s="70" t="n">
        <v>31.9</v>
      </c>
      <c r="V197" s="66" t="n">
        <v>0.64</v>
      </c>
      <c r="W197" s="62" t="inlineStr">
        <is>
          <t>Corelink Group Limited; Fosun Diagnostics (Shanghai) Co., Ltd; MR Global (HK) Limited; Snibe Diagnostic (Hong Kong) Company Limited; Timestar Elite Limited</t>
        </is>
      </c>
      <c r="X197" s="62" t="inlineStr">
        <is>
          <t>corelink;fosun;mr;snibe;timestar</t>
        </is>
      </c>
      <c r="Y197" s="66" t="n">
        <v>12.45</v>
      </c>
      <c r="Z197" s="62" t="inlineStr">
        <is>
          <t>partial</t>
        </is>
      </c>
      <c r="AA197" s="71" t="n">
        <v>12.01</v>
      </c>
      <c r="AB197" s="72" t="n">
        <v>0</v>
      </c>
      <c r="AC197" s="72" t="n">
        <v>12.01</v>
      </c>
      <c r="AD197" s="72" t="n">
        <v>1.62</v>
      </c>
      <c r="AE197" s="72" t="n">
        <v>0.65</v>
      </c>
      <c r="AF197" s="72" t="n">
        <v>19.97</v>
      </c>
      <c r="AG197" s="72" t="n">
        <v>-9.279999999999999</v>
      </c>
      <c r="AH197" s="72" t="n">
        <v>-10.14</v>
      </c>
      <c r="AI197" s="72" t="n">
        <v>7.11</v>
      </c>
      <c r="AJ197" s="72" t="n">
        <v>0.34</v>
      </c>
      <c r="AK197" s="72" t="n">
        <v>-5.38</v>
      </c>
      <c r="AL197" s="72" t="n">
        <v>17.55</v>
      </c>
      <c r="AM197" s="72" t="n">
        <v>-14.42</v>
      </c>
      <c r="AN197" s="72" t="n">
        <v>6.03</v>
      </c>
      <c r="AO197" s="72" t="n">
        <v>4.28</v>
      </c>
      <c r="AP197" s="62" t="inlineStr">
        <is>
          <t>China Biotech ETF (HS biotech proxy)</t>
        </is>
      </c>
      <c r="AQ197" s="72" t="n">
        <v>-71.34999999999999</v>
      </c>
      <c r="AR197" s="63" t="inlineStr">
        <is>
          <t>2026-08-20</t>
        </is>
      </c>
      <c r="AS197" s="64" t="n">
        <v>5346.7</v>
      </c>
      <c r="AT197" s="67" t="n">
        <v>753.4</v>
      </c>
      <c r="AU197" s="62" t="inlineStr">
        <is>
          <t>Y</t>
        </is>
      </c>
      <c r="AV197" s="73" t="n">
        <v>11.8</v>
      </c>
      <c r="AW197" s="73" t="n"/>
      <c r="AX197" s="73" t="n">
        <v>108.8</v>
      </c>
      <c r="AY197" s="73" t="n">
        <v>1.7</v>
      </c>
      <c r="AZ197" s="74" t="inlineStr">
        <is>
          <t>N</t>
        </is>
      </c>
      <c r="BA197" s="75">
        <f>IF('BBG Verify'!K197="","not filed — run on terminal",'BBG Verify'!K197)</f>
        <v/>
      </c>
      <c r="BB197" s="62" t="inlineStr">
        <is>
          <t>N/A</t>
        </is>
      </c>
      <c r="BC197" s="62" t="inlineStr">
        <is>
          <t>N/A</t>
        </is>
      </c>
      <c r="BD197" s="62" t="inlineStr">
        <is>
          <t>N/A</t>
        </is>
      </c>
      <c r="BE197" s="62" t="inlineStr">
        <is>
          <t>N/A</t>
        </is>
      </c>
      <c r="BF197" s="62" t="inlineStr">
        <is>
          <t>N/A</t>
        </is>
      </c>
      <c r="BG197" s="74" t="inlineStr">
        <is>
          <t>and Sponsor-OCs Morgan Stanley Asia Limited; Jefferies Hong Kong Limited</t>
        </is>
      </c>
      <c r="BH197" s="62" t="inlineStr">
        <is>
          <t>Jefferies Hong Kong Limited; Morgan Stanley Asia Limited</t>
        </is>
      </c>
      <c r="BI197" s="62" t="inlineStr">
        <is>
          <t>Morgan Stanley Asia Limited; Jefferies Hong Kong Limited; CLSA Limited; Deutsche Bank AG, Hong Kong Branch; Haitong International Securities Company Limited; The Hongkong and Shanghai Banking Corporation Limited; CCB International Capital Limited; Futu Securities International (Hong Kong) Limited; ICBC International Securities Limited; Tiger Brokers (HK) Global Limited; Valuable Capital Limited</t>
        </is>
      </c>
      <c r="BJ197" s="62" t="inlineStr">
        <is>
          <t>CCB International Capital Limited; CLSA Limited; Deutsche Bank AG, Hong Kong Branch; Futu Securities International (Hong Kong) Limited; Huatai Financial Holdings (Hong Kong) Limited; Haitong International Securities Company Limited; The Hongkong and Shanghai Banking Corporation Limited; ICBC International Securities Limited; Jefferies Hong Kong Limited; Morgan Stanley Asia Limited; Tiger Brokers (HK) Global Limited; Valuable Capital Limited</t>
        </is>
      </c>
      <c r="BK197" s="76">
        <f>HYPERLINK("https://www1.hkexnews.hk/listedco/listconews/sehk/2023/0619/2023061900005.pdf","prospectus")</f>
        <v/>
      </c>
      <c r="BL197" s="76">
        <f>HYPERLINK("https://www1.hkexnews.hk/listedco/listconews/sehk/2023/0629/2023062900124.htm","allotment")</f>
        <v/>
      </c>
      <c r="BM197" s="76">
        <f>HYPERLINK("https://www1.hkexnews.hk/listedco/listconews/sehk/2023/0723/2023072300027.pdf","stabilisation")</f>
        <v/>
      </c>
      <c r="BN197" s="74" t="n"/>
      <c r="BO197" s="62" t="inlineStr">
        <is>
          <t>range low: cap-only pricing — the filing publishes a Maximum Offer Price and no indicative floor · A/H: no A-share listing · cornerstone: AAStocks institutional table includes non-cornerstone orders (superset) — cornerstone % is from the prospectus</t>
        </is>
      </c>
    </row>
    <row r="198" ht="15" customHeight="1">
      <c r="A198" s="61" t="inlineStr">
        <is>
          <t>2481</t>
        </is>
      </c>
      <c r="B198" s="62" t="inlineStr">
        <is>
          <t>WISE LIVING TEC</t>
        </is>
      </c>
      <c r="C198" s="62" t="inlineStr">
        <is>
          <t>雙良睿能</t>
        </is>
      </c>
      <c r="D198" s="62" t="inlineStr">
        <is>
          <t>Materials/Energy</t>
        </is>
      </c>
      <c r="E198" s="62" t="inlineStr">
        <is>
          <t>Oil &amp; gas / utilities</t>
        </is>
      </c>
      <c r="F198" s="62" t="inlineStr">
        <is>
          <t>Environmental Utilities</t>
        </is>
      </c>
      <c r="G198" s="62" t="inlineStr">
        <is>
          <t>Standard</t>
        </is>
      </c>
      <c r="H198" s="63" t="n">
        <v>45117</v>
      </c>
      <c r="I198" s="64" t="n">
        <v>272.2</v>
      </c>
      <c r="J198" s="62" t="inlineStr">
        <is>
          <t>gross (price x shares)</t>
        </is>
      </c>
      <c r="K198" s="65" t="n">
        <v>3</v>
      </c>
      <c r="L198" s="65" t="n">
        <v>4.2</v>
      </c>
      <c r="M198" s="65" t="n">
        <v>3.6</v>
      </c>
      <c r="N198" s="62" t="inlineStr">
        <is>
          <t>N</t>
        </is>
      </c>
      <c r="O198" s="66" t="n">
        <v>85.7</v>
      </c>
      <c r="P198" s="66" t="n">
        <v>50</v>
      </c>
      <c r="Q198" s="67" t="n">
        <v>979.1</v>
      </c>
      <c r="R198" s="62" t="inlineStr">
        <is>
          <t>derived:deal size / offer % of enlarged capital</t>
        </is>
      </c>
      <c r="S198" s="68" t="n">
        <v>1.54</v>
      </c>
      <c r="T198" s="69" t="n">
        <v>1.35</v>
      </c>
      <c r="U198" s="70" t="n">
        <v>20.2</v>
      </c>
      <c r="V198" s="66" t="n">
        <v>22.19</v>
      </c>
      <c r="W198" s="62" t="inlineStr">
        <is>
          <t>Jiang Gang International Investment Company Limited</t>
        </is>
      </c>
      <c r="X198" s="62" t="inlineStr">
        <is>
          <t>jiang-gang</t>
        </is>
      </c>
      <c r="Y198" s="66" t="n">
        <v>15</v>
      </c>
      <c r="Z198" s="62" t="inlineStr">
        <is>
          <t>lapsed (no over-allocation)</t>
        </is>
      </c>
      <c r="AA198" s="71" t="n">
        <v>0</v>
      </c>
      <c r="AB198" s="72" t="n">
        <v>0</v>
      </c>
      <c r="AC198" s="72" t="n">
        <v>0</v>
      </c>
      <c r="AD198" s="72" t="n">
        <v>-19.72</v>
      </c>
      <c r="AE198" s="72" t="n">
        <v>-22.22</v>
      </c>
      <c r="AF198" s="72" t="n">
        <v>-26.94</v>
      </c>
      <c r="AG198" s="72" t="n">
        <v>-19.72</v>
      </c>
      <c r="AH198" s="72" t="n">
        <v>-22.22</v>
      </c>
      <c r="AI198" s="72" t="n">
        <v>-26.94</v>
      </c>
      <c r="AJ198" s="72" t="n">
        <v>-24.4</v>
      </c>
      <c r="AK198" s="72" t="n">
        <v>-29.55</v>
      </c>
      <c r="AL198" s="72" t="n">
        <v>-25.35</v>
      </c>
      <c r="AM198" s="72" t="n">
        <v>-28.46</v>
      </c>
      <c r="AN198" s="72" t="n">
        <v>7.33</v>
      </c>
      <c r="AO198" s="72" t="n">
        <v>6.24</v>
      </c>
      <c r="AP198" s="62" t="inlineStr">
        <is>
          <t>Hang Seng Commerce &amp; Industry sub-index</t>
        </is>
      </c>
      <c r="AQ198" s="72" t="n">
        <v>-28.33</v>
      </c>
      <c r="AR198" s="63" t="inlineStr">
        <is>
          <t>2026-08-21</t>
        </is>
      </c>
      <c r="AS198" s="64" t="n">
        <v>1588.1</v>
      </c>
      <c r="AT198" s="67" t="n">
        <v>154.4</v>
      </c>
      <c r="AU198" s="62" t="inlineStr">
        <is>
          <t>Y</t>
        </is>
      </c>
      <c r="AV198" s="73" t="n">
        <v>6.3</v>
      </c>
      <c r="AW198" s="73" t="n"/>
      <c r="AX198" s="73" t="n">
        <v>4</v>
      </c>
      <c r="AY198" s="73" t="n">
        <v>0.6</v>
      </c>
      <c r="AZ198" s="74" t="inlineStr">
        <is>
          <t>N</t>
        </is>
      </c>
      <c r="BA198" s="75">
        <f>IF('BBG Verify'!K198="","not filed — run on terminal",'BBG Verify'!K198)</f>
        <v/>
      </c>
      <c r="BB198" s="62" t="inlineStr">
        <is>
          <t>N/A</t>
        </is>
      </c>
      <c r="BC198" s="62" t="inlineStr">
        <is>
          <t>N/A</t>
        </is>
      </c>
      <c r="BD198" s="62" t="inlineStr">
        <is>
          <t>N/A</t>
        </is>
      </c>
      <c r="BE198" s="62" t="inlineStr">
        <is>
          <t>N/A</t>
        </is>
      </c>
      <c r="BF198" s="62" t="inlineStr">
        <is>
          <t>N/A</t>
        </is>
      </c>
      <c r="BG198" s="74" t="inlineStr">
        <is>
          <t>Guotai Junan Capital Limited</t>
        </is>
      </c>
      <c r="BH198" s="62" t="inlineStr">
        <is>
          <t>Guotai Junan Capital Limited</t>
        </is>
      </c>
      <c r="BI198" s="62" t="inlineStr">
        <is>
          <t>Guotai Junan Securities (Hong Kong) Limited; Orient Securities (Hong Kong) Limited; ABCI Capital Limited; China Galaxy International Securities (Hong Kong) Co., Limited</t>
        </is>
      </c>
      <c r="BJ198" s="62" t="inlineStr">
        <is>
          <t>ABCI Securities Company Limited; CEB International Capital Corporation Limited; China Galaxy International Securities (Hong Kong) Company Limited; Fortune (HK) Securities Limited; Guotai Junan Securities (Hong Kong) Limited; Kingsway Financial Services Group Limited; Livermore Holdings Limited; Orient Securities (Hong Kong) Limited; Selina &amp; Co. Limited</t>
        </is>
      </c>
      <c r="BK198" s="76">
        <f>HYPERLINK("https://www1.hkexnews.hk/listedco/listconews/sehk/2023/0628/2023062800029.pdf","prospectus")</f>
        <v/>
      </c>
      <c r="BL198" s="76">
        <f>HYPERLINK("https://www1.hkexnews.hk/listedco/listconews/sehk/2023/0707/2023070700062.htm","allotment")</f>
        <v/>
      </c>
      <c r="BM198" s="76">
        <f>HYPERLINK("https://www1.hkexnews.hk/listedco/listconews/sehk/2023/0802/2023080201548.pdf","stabilisation")</f>
        <v/>
      </c>
      <c r="BN198" s="74" t="n"/>
      <c r="BO198" s="62" t="inlineStr">
        <is>
          <t>A/H: no A-share listing · cornerstone: table parse read 51% but the institutional total implies 20% — parse rejected, the AAStocks institutional total used (20.2%)</t>
        </is>
      </c>
    </row>
    <row r="199" ht="15" customHeight="1">
      <c r="A199" s="61" t="inlineStr">
        <is>
          <t>6990</t>
        </is>
      </c>
      <c r="B199" s="62" t="inlineStr">
        <is>
          <t>SKB BIO-B</t>
        </is>
      </c>
      <c r="C199" s="62" t="inlineStr">
        <is>
          <t>科倫博泰生物</t>
        </is>
      </c>
      <c r="D199" s="62" t="inlineStr">
        <is>
          <t>Healthcare</t>
        </is>
      </c>
      <c r="E199" s="62" t="inlineStr">
        <is>
          <t>Biotech pre-revenue (18A)</t>
        </is>
      </c>
      <c r="F199" s="62" t="inlineStr">
        <is>
          <t>Biotechnology - Pharmaceuticals</t>
        </is>
      </c>
      <c r="G199" s="62" t="inlineStr">
        <is>
          <t>18A</t>
        </is>
      </c>
      <c r="H199" s="63" t="n">
        <v>45118</v>
      </c>
      <c r="I199" s="64" t="n">
        <v>1360.2</v>
      </c>
      <c r="J199" s="62" t="inlineStr">
        <is>
          <t>gross (price x shares)</t>
        </is>
      </c>
      <c r="K199" s="65" t="n">
        <v>60.6</v>
      </c>
      <c r="L199" s="65" t="n">
        <v>72.8</v>
      </c>
      <c r="M199" s="65" t="n">
        <v>60.6</v>
      </c>
      <c r="N199" s="62" t="inlineStr">
        <is>
          <t>N</t>
        </is>
      </c>
      <c r="O199" s="66" t="n">
        <v>83.2</v>
      </c>
      <c r="P199" s="66" t="n">
        <v>0</v>
      </c>
      <c r="Q199" s="67" t="n">
        <v>13080</v>
      </c>
      <c r="R199" s="62" t="inlineStr">
        <is>
          <t>prospectus:stated market capitalisation</t>
        </is>
      </c>
      <c r="S199" s="68" t="n">
        <v>1.27</v>
      </c>
      <c r="T199" s="69" t="n">
        <v>3.4</v>
      </c>
      <c r="U199" s="70" t="n">
        <v>16.9</v>
      </c>
      <c r="V199" s="66" t="n">
        <v>8.640000000000001</v>
      </c>
      <c r="W199" s="62" t="inlineStr">
        <is>
          <t>China Universal Asset Management Company Limited; Kelun International Development Co., Limited; Laurion Capital Master Fund Ltd; RTW Master Fund, Ltd; TruMed Healthcare Master Fund and TruMed Health Innovation Fund LP</t>
        </is>
      </c>
      <c r="X199" s="62" t="inlineStr">
        <is>
          <t>universal;kelun;laurion;rtw;trumed</t>
        </is>
      </c>
      <c r="Y199" s="66" t="n">
        <v>8.9</v>
      </c>
      <c r="Z199" s="62" t="inlineStr">
        <is>
          <t>full</t>
        </is>
      </c>
      <c r="AA199" s="71" t="n">
        <v>3.14</v>
      </c>
      <c r="AB199" s="72" t="n">
        <v>0</v>
      </c>
      <c r="AC199" s="72" t="n">
        <v>3.14</v>
      </c>
      <c r="AD199" s="72" t="n">
        <v>8.91</v>
      </c>
      <c r="AE199" s="72" t="n">
        <v>19.64</v>
      </c>
      <c r="AF199" s="72" t="n">
        <v>33.66</v>
      </c>
      <c r="AG199" s="72" t="n">
        <v>5.59</v>
      </c>
      <c r="AH199" s="72" t="n">
        <v>16</v>
      </c>
      <c r="AI199" s="72" t="n">
        <v>29.59</v>
      </c>
      <c r="AJ199" s="72" t="n">
        <v>8.56</v>
      </c>
      <c r="AK199" s="72" t="n">
        <v>19.74</v>
      </c>
      <c r="AL199" s="72" t="n">
        <v>27.77</v>
      </c>
      <c r="AM199" s="72" t="n">
        <v>16.9</v>
      </c>
      <c r="AN199" s="72" t="n">
        <v>-0.1</v>
      </c>
      <c r="AO199" s="72" t="n">
        <v>-0.9</v>
      </c>
      <c r="AP199" s="62" t="inlineStr">
        <is>
          <t>China Biotech ETF (HS biotech proxy)</t>
        </is>
      </c>
      <c r="AQ199" s="72" t="n">
        <v>779.54</v>
      </c>
      <c r="AR199" s="63" t="inlineStr">
        <is>
          <t>2026-08-20</t>
        </is>
      </c>
      <c r="AS199" s="64" t="n">
        <v>884.3</v>
      </c>
      <c r="AT199" s="67" t="n">
        <v>-677.7</v>
      </c>
      <c r="AU199" s="62" t="inlineStr">
        <is>
          <t>N</t>
        </is>
      </c>
      <c r="AV199" s="62" t="inlineStr">
        <is>
          <t>n/m</t>
        </is>
      </c>
      <c r="AW199" s="73" t="n"/>
      <c r="AX199" s="73" t="n">
        <v>692.3</v>
      </c>
      <c r="AY199" s="73" t="n">
        <v>14.8</v>
      </c>
      <c r="AZ199" s="74" t="inlineStr">
        <is>
          <t>N</t>
        </is>
      </c>
      <c r="BA199" s="75">
        <f>IF('BBG Verify'!K199="","not filed — run on terminal",'BBG Verify'!K199)</f>
        <v/>
      </c>
      <c r="BB199" s="62" t="inlineStr">
        <is>
          <t>N/A</t>
        </is>
      </c>
      <c r="BC199" s="62" t="inlineStr">
        <is>
          <t>N/A</t>
        </is>
      </c>
      <c r="BD199" s="62" t="inlineStr">
        <is>
          <t>N/A</t>
        </is>
      </c>
      <c r="BE199" s="62" t="inlineStr">
        <is>
          <t>N/A</t>
        </is>
      </c>
      <c r="BF199" s="62" t="inlineStr">
        <is>
          <t>N/A</t>
        </is>
      </c>
      <c r="BG199" s="74" t="inlineStr">
        <is>
          <t>Goldman Sachs (Asia) L.L.C; CITIC Securities (Hong Kong) Limited</t>
        </is>
      </c>
      <c r="BH199" s="62" t="inlineStr">
        <is>
          <t>Goldman Sachs (Asia) L.L.C.; CITIC Securities (Hong Kong) Limited</t>
        </is>
      </c>
      <c r="BI199" s="62" t="inlineStr">
        <is>
          <t>Goldman Sachs (Asia) L.L.C; CLSA Limited; Citigroup Global Markets Asia Limited; Citigroup Global Markets Limited; 144 – ICBC International Securities Limited; BOCOM International Securities Limited</t>
        </is>
      </c>
      <c r="BJ199" s="62" t="inlineStr">
        <is>
          <t>Beta International Securities Limited; Citigroup Global Markets Asia Limited; CLSA Limited; Goldman Sachs (Asia) L.L.C.; ICBC International Securities Limited</t>
        </is>
      </c>
      <c r="BK199" s="76">
        <f>HYPERLINK("https://www1.hkexnews.hk/listedco/listconews/sehk/2023/0629/2023062900043.pdf","prospectus")</f>
        <v/>
      </c>
      <c r="BL199" s="76">
        <f>HYPERLINK("https://www1.hkexnews.hk/listedco/listconews/sehk/2023/0710/2023071000008.htm","allotment")</f>
        <v/>
      </c>
      <c r="BM199" s="76">
        <f>HYPERLINK("https://www1.hkexnews.hk/listedco/listconews/sehk/2023/0803/2023080302096.pdf","stabilisation")</f>
        <v/>
      </c>
      <c r="BN199" s="74" t="n"/>
      <c r="BO199" s="62" t="inlineStr">
        <is>
          <t>P/E: n/m — loss-making at IPO (use P/S) · A/H: no A-share listing · cornerstone: AAStocks institutional table includes non-cornerstone orders (superset) — cornerstone % is from the prospectus · deal size: stated gross HK$54.5m rejected — below the deal's own net proceeds HK$1,258.9m, which cannot happen</t>
        </is>
      </c>
    </row>
    <row r="200" ht="15" customHeight="1">
      <c r="A200" s="61" t="inlineStr">
        <is>
          <t>3650</t>
        </is>
      </c>
      <c r="B200" s="62" t="inlineStr">
        <is>
          <t>KEEP</t>
        </is>
      </c>
      <c r="C200" s="62" t="inlineStr">
        <is>
          <t>KEEP</t>
        </is>
      </c>
      <c r="D200" s="62" t="inlineStr">
        <is>
          <t>Tech/AI</t>
        </is>
      </c>
      <c r="E200" s="62" t="inlineStr">
        <is>
          <t>Internet platform / e-commerce</t>
        </is>
      </c>
      <c r="F200" s="62" t="inlineStr">
        <is>
          <t>Leisure Products</t>
        </is>
      </c>
      <c r="G200" s="62" t="inlineStr">
        <is>
          <t>Standard</t>
        </is>
      </c>
      <c r="H200" s="63" t="n">
        <v>45119</v>
      </c>
      <c r="I200" s="64" t="n">
        <v>313.5</v>
      </c>
      <c r="J200" s="62" t="inlineStr">
        <is>
          <t>gross (price x shares)</t>
        </is>
      </c>
      <c r="K200" s="65" t="n"/>
      <c r="L200" s="65" t="n">
        <v>28.92</v>
      </c>
      <c r="M200" s="65" t="n">
        <v>28.92</v>
      </c>
      <c r="N200" s="62" t="inlineStr">
        <is>
          <t>Y</t>
        </is>
      </c>
      <c r="O200" s="66" t="n">
        <v>100</v>
      </c>
      <c r="P200" s="66" t="n"/>
      <c r="Q200" s="67" t="n">
        <v>23755.1</v>
      </c>
      <c r="R200" s="62" t="inlineStr">
        <is>
          <t>aastocks:上市市值 at the struck price</t>
        </is>
      </c>
      <c r="S200" s="68" t="n">
        <v>3.08</v>
      </c>
      <c r="T200" s="69" t="n">
        <v>1.37</v>
      </c>
      <c r="U200" s="70" t="n">
        <v>13.8</v>
      </c>
      <c r="V200" s="66" t="n">
        <v>1.14</v>
      </c>
      <c r="W200" s="62" t="inlineStr">
        <is>
          <t>Fuqing Shengde Calorie Investment Co., Ltd; Shenzhen Fenda Technology Co., Ltd; Xiamen Evere Sports Goods Co., Ltd</t>
        </is>
      </c>
      <c r="X200" s="62" t="inlineStr">
        <is>
          <t>fuqing;shenzhen-fenda;xiamen</t>
        </is>
      </c>
      <c r="Y200" s="66" t="n"/>
      <c r="Z200" s="62" t="inlineStr">
        <is>
          <t>lapsed</t>
        </is>
      </c>
      <c r="AA200" s="71" t="n">
        <v>0.28</v>
      </c>
      <c r="AB200" s="72" t="n">
        <v>4.77</v>
      </c>
      <c r="AC200" s="72" t="n">
        <v>-4.29</v>
      </c>
      <c r="AD200" s="72" t="n">
        <v>-0.24</v>
      </c>
      <c r="AE200" s="72" t="n">
        <v>9.27</v>
      </c>
      <c r="AF200" s="72" t="n">
        <v>0.62</v>
      </c>
      <c r="AG200" s="72" t="n">
        <v>-0.52</v>
      </c>
      <c r="AH200" s="72" t="n">
        <v>8.960000000000001</v>
      </c>
      <c r="AI200" s="72" t="n">
        <v>0.34</v>
      </c>
      <c r="AJ200" s="72" t="n">
        <v>-1.92</v>
      </c>
      <c r="AK200" s="72" t="n">
        <v>2.04</v>
      </c>
      <c r="AL200" s="72" t="n">
        <v>3.63</v>
      </c>
      <c r="AM200" s="72" t="n">
        <v>3.87</v>
      </c>
      <c r="AN200" s="72" t="n">
        <v>7.23</v>
      </c>
      <c r="AO200" s="72" t="n">
        <v>5.09</v>
      </c>
      <c r="AP200" s="62" t="inlineStr">
        <is>
          <t>HSTECH (Hang Seng TECH ETF)</t>
        </is>
      </c>
      <c r="AQ200" s="72" t="n">
        <v>-93.84999999999999</v>
      </c>
      <c r="AR200" s="63" t="inlineStr">
        <is>
          <t>2026-08-20</t>
        </is>
      </c>
      <c r="AS200" s="64" t="n">
        <v>959.7</v>
      </c>
      <c r="AT200" s="67" t="n">
        <v>-115</v>
      </c>
      <c r="AU200" s="62" t="inlineStr">
        <is>
          <t>N</t>
        </is>
      </c>
      <c r="AV200" s="62" t="inlineStr">
        <is>
          <t>n/m</t>
        </is>
      </c>
      <c r="AW200" s="73" t="n"/>
      <c r="AX200" s="73" t="n"/>
      <c r="AY200" s="73" t="n">
        <v>24.8</v>
      </c>
      <c r="AZ200" s="74" t="inlineStr">
        <is>
          <t>N</t>
        </is>
      </c>
      <c r="BA200" s="75">
        <f>IF('BBG Verify'!K200="","not filed — run on terminal",'BBG Verify'!K200)</f>
        <v/>
      </c>
      <c r="BB200" s="62" t="inlineStr">
        <is>
          <t>N/A</t>
        </is>
      </c>
      <c r="BC200" s="62" t="inlineStr">
        <is>
          <t>N/A</t>
        </is>
      </c>
      <c r="BD200" s="62" t="inlineStr">
        <is>
          <t>N/A</t>
        </is>
      </c>
      <c r="BE200" s="62" t="inlineStr">
        <is>
          <t>N/A</t>
        </is>
      </c>
      <c r="BF200" s="62" t="inlineStr">
        <is>
          <t>N/A</t>
        </is>
      </c>
      <c r="BG200" s="74" t="n"/>
      <c r="BH200" s="62" t="inlineStr">
        <is>
          <t>China International Capital Corporation Hong Kong Securities Limited</t>
        </is>
      </c>
      <c r="BI200" s="62" t="inlineStr">
        <is>
          <t>China International Capital Corporation Hong Kong Securities Limited; GF Securities (Hong Kong) Brokerage Limited; Central, Hong Kong CCB International Capital Limited; CMB International Capital Limited; Futu Securities International (Hong Kong) Limited; Tiger Brokers (HK) Global Limited</t>
        </is>
      </c>
      <c r="BJ200" s="62" t="inlineStr">
        <is>
          <t>CCB International Capital Limited; China International Capital Corporation Hong Kong Securities Limited; CMB International Capital Limited; Futu Securities International (Hong Kong) Limited; GF Securities (Hong Kong) Brokerage Limited; Tiger Brokers (HK) Global Limited</t>
        </is>
      </c>
      <c r="BK200" s="76">
        <f>HYPERLINK("https://www1.hkexnews.hk/listedco/listconews/sehk/2023/0630/2023063000230.htm","prospectus")</f>
        <v/>
      </c>
      <c r="BL200" s="76">
        <f>HYPERLINK("https://www1.hkexnews.hk/listedco/listconews/sehk/2023/0711/2023071100048.htm","allotment")</f>
        <v/>
      </c>
      <c r="BM200" s="76">
        <f>HYPERLINK("https://www1.hkexnews.hk/listedco/listconews/sehk/2023/0804/2023080401672.pdf","stabilisation")</f>
        <v/>
      </c>
      <c r="BN200" s="74" t="n"/>
      <c r="BO200" s="62"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market cap: estimate from stated market capitalisation disagreed with the published listing cap — published figure adopted · greenshoe size: no over-allotment option in the offer structure</t>
        </is>
      </c>
    </row>
    <row r="201" ht="15" customHeight="1">
      <c r="A201" s="61" t="inlineStr">
        <is>
          <t>6683</t>
        </is>
      </c>
      <c r="B201" s="62" t="inlineStr">
        <is>
          <t>STARPLUS LEGEND</t>
        </is>
      </c>
      <c r="C201" s="62" t="inlineStr">
        <is>
          <t>巨星傳奇</t>
        </is>
      </c>
      <c r="D201" s="62" t="inlineStr">
        <is>
          <t>TMT-other</t>
        </is>
      </c>
      <c r="E201" s="62" t="inlineStr">
        <is>
          <t>Media / advertising</t>
        </is>
      </c>
      <c r="F201" s="62" t="inlineStr">
        <is>
          <t>Beverages (Non-alcoholic)</t>
        </is>
      </c>
      <c r="G201" s="62" t="inlineStr">
        <is>
          <t>Standard</t>
        </is>
      </c>
      <c r="H201" s="63" t="n">
        <v>45120</v>
      </c>
      <c r="I201" s="64" t="n">
        <v>245.2</v>
      </c>
      <c r="J201" s="62" t="inlineStr">
        <is>
          <t>net proceeds</t>
        </is>
      </c>
      <c r="K201" s="65" t="n"/>
      <c r="L201" s="65" t="n">
        <v>4.25</v>
      </c>
      <c r="M201" s="65" t="n">
        <v>4.25</v>
      </c>
      <c r="N201" s="62" t="inlineStr">
        <is>
          <t>Y</t>
        </is>
      </c>
      <c r="O201" s="66" t="n">
        <v>100</v>
      </c>
      <c r="P201" s="66" t="n"/>
      <c r="Q201" s="67" t="n">
        <v>10660.9</v>
      </c>
      <c r="R201" s="62" t="inlineStr">
        <is>
          <t>derived:deal size / offer % of enlarged capital</t>
        </is>
      </c>
      <c r="S201" s="68" t="n">
        <v>12.99</v>
      </c>
      <c r="T201" s="69" t="n">
        <v>1.15</v>
      </c>
      <c r="U201" s="70" t="n">
        <v>3.3</v>
      </c>
      <c r="V201" s="66" t="n">
        <v>2.22</v>
      </c>
      <c r="W201" s="62" t="inlineStr">
        <is>
          <t>Blink Field Limited; NETDRAGON WEBSOFT INC</t>
        </is>
      </c>
      <c r="X201" s="62" t="inlineStr">
        <is>
          <t>blink;netdragon</t>
        </is>
      </c>
      <c r="Y201" s="66" t="n">
        <v>17.9</v>
      </c>
      <c r="Z201" s="62" t="inlineStr">
        <is>
          <t>partial</t>
        </is>
      </c>
      <c r="AA201" s="71" t="n">
        <v>23.76</v>
      </c>
      <c r="AB201" s="72" t="n">
        <v>35.29</v>
      </c>
      <c r="AC201" s="72" t="n">
        <v>-8.52</v>
      </c>
      <c r="AD201" s="72" t="n">
        <v>67.06</v>
      </c>
      <c r="AE201" s="72" t="n">
        <v>34.35</v>
      </c>
      <c r="AF201" s="72" t="n">
        <v>102.35</v>
      </c>
      <c r="AG201" s="72" t="n">
        <v>34.99</v>
      </c>
      <c r="AH201" s="72" t="n">
        <v>8.56</v>
      </c>
      <c r="AI201" s="72" t="n">
        <v>63.5</v>
      </c>
      <c r="AJ201" s="72" t="n">
        <v>65.92</v>
      </c>
      <c r="AK201" s="72" t="n">
        <v>34.81</v>
      </c>
      <c r="AL201" s="72" t="n">
        <v>108.82</v>
      </c>
      <c r="AM201" s="72" t="n">
        <v>11.54</v>
      </c>
      <c r="AN201" s="72" t="n">
        <v>-0.46</v>
      </c>
      <c r="AO201" s="72" t="n">
        <v>-2.98</v>
      </c>
      <c r="AP201" s="62" t="inlineStr">
        <is>
          <t>Hang Seng Index</t>
        </is>
      </c>
      <c r="AQ201" s="72" t="n">
        <v>2.24</v>
      </c>
      <c r="AR201" s="63" t="inlineStr">
        <is>
          <t>2026-08-20</t>
        </is>
      </c>
      <c r="AS201" s="64" t="n">
        <v>401.9</v>
      </c>
      <c r="AT201" s="67" t="n">
        <v>47.2</v>
      </c>
      <c r="AU201" s="62" t="inlineStr">
        <is>
          <t>Y</t>
        </is>
      </c>
      <c r="AV201" s="73" t="n">
        <v>225.9</v>
      </c>
      <c r="AW201" s="73" t="n"/>
      <c r="AX201" s="73" t="n"/>
      <c r="AY201" s="73" t="n">
        <v>26.5</v>
      </c>
      <c r="AZ201" s="74" t="inlineStr">
        <is>
          <t>N</t>
        </is>
      </c>
      <c r="BA201" s="75">
        <f>IF('BBG Verify'!K201="","not filed — run on terminal",'BBG Verify'!K201)</f>
        <v/>
      </c>
      <c r="BB201" s="62" t="inlineStr">
        <is>
          <t>N/A</t>
        </is>
      </c>
      <c r="BC201" s="62" t="inlineStr">
        <is>
          <t>N/A</t>
        </is>
      </c>
      <c r="BD201" s="62" t="inlineStr">
        <is>
          <t>N/A</t>
        </is>
      </c>
      <c r="BE201" s="62" t="inlineStr">
        <is>
          <t>N/A</t>
        </is>
      </c>
      <c r="BF201" s="62" t="inlineStr">
        <is>
          <t>N/A</t>
        </is>
      </c>
      <c r="BG201" s="74" t="inlineStr">
        <is>
          <t>CMBC International Capital Limited</t>
        </is>
      </c>
      <c r="BH201" s="62" t="inlineStr">
        <is>
          <t>CMBC International Capital Limited</t>
        </is>
      </c>
      <c r="BI201" s="62" t="inlineStr">
        <is>
          <t>ABCI Capital Limited</t>
        </is>
      </c>
      <c r="BJ201" s="62" t="inlineStr">
        <is>
          <t>ABCI Securities Company Limited; Bradbury Securities Limited; Beta International Securities Limited; CCB International Capital Limited; China Demeter Securities Limited; China Everbright Securities (HK) Limited; China Industrial Securities International Capital Limited; CMBC Securities Company Limited; Essence International Securities (Hong Kong) Limited; Eddid Securities and Futures Limited; First Shanghai Securities Limited; Futu Securities International (Hong Kong) Limited</t>
        </is>
      </c>
      <c r="BK201" s="76">
        <f>HYPERLINK("https://www1.hkexnews.hk/listedco/listconews/sehk/2023/0630/2023063000037.pdf","prospectus")</f>
        <v/>
      </c>
      <c r="BL201" s="76">
        <f>HYPERLINK("https://www1.hkexnews.hk/listedco/listconews/sehk/2023/0712/2023071200010.htm","allotment")</f>
        <v/>
      </c>
      <c r="BM201" s="76">
        <f>HYPERLINK("https://www1.hkexnews.hk/listedco/listconews/sehk/2023/0804/2023080401278.pdf","stabilisation")</f>
        <v/>
      </c>
      <c r="BN201" s="74" t="n"/>
      <c r="BO201" s="62" t="inlineStr">
        <is>
          <t>range low: cap-only pricing — the filing publishes a Maximum Offer Price and no indicative floor · A/H: no A-share listing · cornerstone: AAStocks institutional table includes non-cornerstone orders (superset) — cornerstone % is from the prospectus</t>
        </is>
      </c>
    </row>
    <row r="202" ht="15" customHeight="1">
      <c r="A202" s="61" t="inlineStr">
        <is>
          <t>1284</t>
        </is>
      </c>
      <c r="B202" s="62" t="inlineStr">
        <is>
          <t>NEW MEDIA LAB</t>
        </is>
      </c>
      <c r="C202" s="62" t="inlineStr">
        <is>
          <t>新傳企劃</t>
        </is>
      </c>
      <c r="D202" s="62" t="inlineStr">
        <is>
          <t>TMT-other</t>
        </is>
      </c>
      <c r="E202" s="62" t="inlineStr">
        <is>
          <t>Media / advertising</t>
        </is>
      </c>
      <c r="F202" s="62" t="inlineStr">
        <is>
          <t>Advertising</t>
        </is>
      </c>
      <c r="G202" s="62" t="inlineStr">
        <is>
          <t>Standard</t>
        </is>
      </c>
      <c r="H202" s="63" t="n">
        <v>45125</v>
      </c>
      <c r="I202" s="64" t="n">
        <v>138</v>
      </c>
      <c r="J202" s="62" t="inlineStr">
        <is>
          <t>gross (price x shares)</t>
        </is>
      </c>
      <c r="K202" s="65" t="n">
        <v>0.84</v>
      </c>
      <c r="L202" s="65" t="n">
        <v>0.92</v>
      </c>
      <c r="M202" s="65" t="n">
        <v>0.92</v>
      </c>
      <c r="N202" s="62" t="inlineStr">
        <is>
          <t>Y</t>
        </is>
      </c>
      <c r="O202" s="66" t="n">
        <v>100</v>
      </c>
      <c r="P202" s="66" t="n">
        <v>100</v>
      </c>
      <c r="Q202" s="67" t="n">
        <v>552</v>
      </c>
      <c r="R202" s="62" t="inlineStr">
        <is>
          <t>derived:deal size / offer % of enlarged capital</t>
        </is>
      </c>
      <c r="S202" s="68" t="n">
        <v>1.5</v>
      </c>
      <c r="T202" s="69" t="n">
        <v>1.5</v>
      </c>
      <c r="U202" s="70" t="n">
        <v>0</v>
      </c>
      <c r="V202" s="66" t="n">
        <v>25</v>
      </c>
      <c r="W202" s="62" t="n"/>
      <c r="X202" s="62" t="n"/>
      <c r="Y202" s="66" t="n"/>
      <c r="Z202" s="62" t="n"/>
      <c r="AA202" s="71" t="n">
        <v>1.09</v>
      </c>
      <c r="AB202" s="72" t="n">
        <v>0</v>
      </c>
      <c r="AC202" s="72" t="n">
        <v>1.09</v>
      </c>
      <c r="AD202" s="72" t="n">
        <v>1.09</v>
      </c>
      <c r="AE202" s="72" t="n">
        <v>-38.04</v>
      </c>
      <c r="AF202" s="72" t="n">
        <v>-53.26</v>
      </c>
      <c r="AG202" s="72" t="n">
        <v>0</v>
      </c>
      <c r="AH202" s="72" t="n">
        <v>-38.71</v>
      </c>
      <c r="AI202" s="72" t="n">
        <v>-53.76</v>
      </c>
      <c r="AJ202" s="72" t="n">
        <v>0.98</v>
      </c>
      <c r="AK202" s="72" t="n">
        <v>-32.45</v>
      </c>
      <c r="AL202" s="72" t="n">
        <v>-44.6</v>
      </c>
      <c r="AM202" s="72" t="n">
        <v>-35.1</v>
      </c>
      <c r="AN202" s="72" t="n">
        <v>-5.59</v>
      </c>
      <c r="AO202" s="72" t="n">
        <v>-3.61</v>
      </c>
      <c r="AP202" s="62" t="inlineStr">
        <is>
          <t>Hang Seng Index</t>
        </is>
      </c>
      <c r="AQ202" s="72" t="n">
        <v>-47.83</v>
      </c>
      <c r="AR202" s="63" t="inlineStr">
        <is>
          <t>2026-08-21</t>
        </is>
      </c>
      <c r="AS202" s="64" t="n">
        <v>240.7</v>
      </c>
      <c r="AT202" s="67" t="n">
        <v>39.4</v>
      </c>
      <c r="AU202" s="62" t="inlineStr">
        <is>
          <t>Y</t>
        </is>
      </c>
      <c r="AV202" s="73" t="n">
        <v>14</v>
      </c>
      <c r="AW202" s="73" t="n"/>
      <c r="AX202" s="73" t="n">
        <v>22.9</v>
      </c>
      <c r="AY202" s="73" t="n">
        <v>2.3</v>
      </c>
      <c r="AZ202" s="74" t="inlineStr">
        <is>
          <t>N</t>
        </is>
      </c>
      <c r="BA202" s="75">
        <f>IF('BBG Verify'!K202="","not filed — run on terminal",'BBG Verify'!K202)</f>
        <v/>
      </c>
      <c r="BB202" s="62" t="inlineStr">
        <is>
          <t>N/A</t>
        </is>
      </c>
      <c r="BC202" s="62" t="inlineStr">
        <is>
          <t>N/A</t>
        </is>
      </c>
      <c r="BD202" s="62" t="inlineStr">
        <is>
          <t>N/A</t>
        </is>
      </c>
      <c r="BE202" s="62" t="inlineStr">
        <is>
          <t>N/A</t>
        </is>
      </c>
      <c r="BF202" s="62" t="inlineStr">
        <is>
          <t>N/A</t>
        </is>
      </c>
      <c r="BG202" s="74" t="inlineStr">
        <is>
          <t>Emperor Corporate Finance Limited; Lego Corporate Finance Limited</t>
        </is>
      </c>
      <c r="BH202" s="62" t="inlineStr">
        <is>
          <t>Emperor Corporate Finance Limited; Lego Corporate Finance Limited</t>
        </is>
      </c>
      <c r="BI202" s="62" t="inlineStr">
        <is>
          <t>China Galaxy International Securities (Hong Kong) Company Limited; Emperor Securities Limited; Guotai Junan Securities (Hong Kong) Limited; Lego Securities Limited</t>
        </is>
      </c>
      <c r="BJ202" s="62" t="inlineStr">
        <is>
          <t>China Galaxy International Securities (Hong Kong) Company Limited; Emperor Securities Limited; Guotai Junan Securities (Hong Kong) Limited; Lego Securities Limited</t>
        </is>
      </c>
      <c r="BK202" s="76">
        <f>HYPERLINK("https://www1.hkexnews.hk/listedco/listconews/sehk/2023/0630/2023063000045.pdf","prospectus")</f>
        <v/>
      </c>
      <c r="BL202" s="76">
        <f>HYPERLINK("https://www1.hkexnews.hk/listedco/listconews/sehk/2023/0714/2023071400016.htm","allotment")</f>
        <v/>
      </c>
      <c r="BM202" s="62" t="n"/>
      <c r="BN202" s="74" t="n"/>
      <c r="BO202" s="62" t="inlineStr">
        <is>
          <t>greenshoe: no over-allotment option in the offer structure · A/H: no A-share listing · cornerstone list: no cornerstone tranche in this deal · greenshoe size: no over-allotment option in the offer structure</t>
        </is>
      </c>
    </row>
    <row r="203" ht="15" customHeight="1">
      <c r="A203" s="61" t="inlineStr">
        <is>
          <t>2271</t>
        </is>
      </c>
      <c r="B203" s="62" t="inlineStr">
        <is>
          <t>ZHONGAN SERVICE</t>
        </is>
      </c>
      <c r="C203" s="62" t="inlineStr">
        <is>
          <t>眾安智慧生活</t>
        </is>
      </c>
      <c r="D203" s="62" t="inlineStr">
        <is>
          <t>Real Estate</t>
        </is>
      </c>
      <c r="E203" s="62" t="inlineStr">
        <is>
          <t>Property management</t>
        </is>
      </c>
      <c r="F203" s="62" t="inlineStr">
        <is>
          <t>Property Service and Management</t>
        </is>
      </c>
      <c r="G203" s="62" t="inlineStr">
        <is>
          <t>Standard</t>
        </is>
      </c>
      <c r="H203" s="63" t="n">
        <v>45125</v>
      </c>
      <c r="I203" s="64" t="n">
        <v>21.7</v>
      </c>
      <c r="J203" s="62" t="inlineStr">
        <is>
          <t>net proceeds</t>
        </is>
      </c>
      <c r="K203" s="65" t="n">
        <v>1.18</v>
      </c>
      <c r="L203" s="65" t="n">
        <v>1.48</v>
      </c>
      <c r="M203" s="65" t="n">
        <v>1.18</v>
      </c>
      <c r="N203" s="62" t="inlineStr">
        <is>
          <t>N</t>
        </is>
      </c>
      <c r="O203" s="66" t="n">
        <v>79.7</v>
      </c>
      <c r="P203" s="66" t="n">
        <v>0</v>
      </c>
      <c r="Q203" s="67" t="n">
        <v>688.1</v>
      </c>
      <c r="R203" s="62" t="inlineStr">
        <is>
          <t>aastocks:上市市值 at the struck price</t>
        </is>
      </c>
      <c r="S203" s="68" t="n">
        <v>1.84</v>
      </c>
      <c r="T203" s="69" t="n">
        <v>1.63</v>
      </c>
      <c r="U203" s="70" t="n">
        <v>13.8</v>
      </c>
      <c r="V203" s="66" t="n">
        <v>2.72</v>
      </c>
      <c r="W203" s="62" t="inlineStr">
        <is>
          <t>Heyuan Trading (Hong Kong) Limited; Wu Mingwu</t>
        </is>
      </c>
      <c r="X203" s="62" t="inlineStr">
        <is>
          <t>heyuan;wu-mingwu</t>
        </is>
      </c>
      <c r="Y203" s="66" t="n">
        <v>10</v>
      </c>
      <c r="Z203" s="62" t="inlineStr">
        <is>
          <t>partial</t>
        </is>
      </c>
      <c r="AA203" s="71" t="n">
        <v>2.54</v>
      </c>
      <c r="AB203" s="72" t="n">
        <v>3.39</v>
      </c>
      <c r="AC203" s="72" t="n">
        <v>-0.82</v>
      </c>
      <c r="AD203" s="72" t="n">
        <v>-10.17</v>
      </c>
      <c r="AE203" s="72" t="n">
        <v>-27.12</v>
      </c>
      <c r="AF203" s="72" t="n">
        <v>-43.22</v>
      </c>
      <c r="AG203" s="72" t="n">
        <v>-12.4</v>
      </c>
      <c r="AH203" s="72" t="n">
        <v>-28.93</v>
      </c>
      <c r="AI203" s="72" t="n">
        <v>-44.63</v>
      </c>
      <c r="AJ203" s="72" t="n">
        <v>-11.75</v>
      </c>
      <c r="AK203" s="72" t="n">
        <v>-19.42</v>
      </c>
      <c r="AL203" s="72" t="n">
        <v>-27.99</v>
      </c>
      <c r="AM203" s="72" t="n">
        <v>-23.57</v>
      </c>
      <c r="AN203" s="72" t="n">
        <v>-7.7</v>
      </c>
      <c r="AO203" s="72" t="n">
        <v>-5.36</v>
      </c>
      <c r="AP203" s="62" t="inlineStr">
        <is>
          <t>Hang Seng Properties sub-index</t>
        </is>
      </c>
      <c r="AQ203" s="72" t="n">
        <v>148.73</v>
      </c>
      <c r="AR203" s="63" t="inlineStr">
        <is>
          <t>2026-08-20</t>
        </is>
      </c>
      <c r="AS203" s="64" t="n">
        <v>351.7</v>
      </c>
      <c r="AT203" s="67" t="n">
        <v>56</v>
      </c>
      <c r="AU203" s="62" t="inlineStr">
        <is>
          <t>Y</t>
        </is>
      </c>
      <c r="AV203" s="73" t="n">
        <v>12.3</v>
      </c>
      <c r="AW203" s="73" t="n"/>
      <c r="AX203" s="73" t="n">
        <v>42</v>
      </c>
      <c r="AY203" s="73" t="n">
        <v>2</v>
      </c>
      <c r="AZ203" s="74" t="inlineStr">
        <is>
          <t>N</t>
        </is>
      </c>
      <c r="BA203" s="75">
        <f>IF('BBG Verify'!K203="","not filed — run on terminal",'BBG Verify'!K203)</f>
        <v/>
      </c>
      <c r="BB203" s="62" t="inlineStr">
        <is>
          <t>N/A</t>
        </is>
      </c>
      <c r="BC203" s="62" t="inlineStr">
        <is>
          <t>N/A</t>
        </is>
      </c>
      <c r="BD203" s="62" t="inlineStr">
        <is>
          <t>N/A</t>
        </is>
      </c>
      <c r="BE203" s="62" t="inlineStr">
        <is>
          <t>N/A</t>
        </is>
      </c>
      <c r="BF203" s="62" t="inlineStr">
        <is>
          <t>N/A</t>
        </is>
      </c>
      <c r="BG203" s="74" t="inlineStr">
        <is>
          <t>China Merchants Securities (HK) Co., Limited; Huatai Financial Holdings (Hong Kong) Limited</t>
        </is>
      </c>
      <c r="BH203" s="62" t="inlineStr">
        <is>
          <t>Huatai Financial Holdings (Hong Kong) Limited; China Merchants Securities (HK) Company Limited</t>
        </is>
      </c>
      <c r="BI203" s="62" t="inlineStr">
        <is>
          <t>Guotai Junan Securities (Hong Kong) Limited; Central, Hong Kong CCB International Capital Limited; Central, Hong Kong Victory Securities Company Limited</t>
        </is>
      </c>
      <c r="BJ203" s="62" t="inlineStr">
        <is>
          <t>CCB International Capital Limited; China Merchants Securities (HK) Company Limited; Guotai Junan Securities (Hong Kong) Limited; Huatai Financial Holdings (Hong Kong) Limited; Victory Securities Company Limited</t>
        </is>
      </c>
      <c r="BK203" s="76">
        <f>HYPERLINK("https://www1.hkexnews.hk/listedco/listconews/sehk/2023/0630/2023063000209.pdf","prospectus")</f>
        <v/>
      </c>
      <c r="BL203" s="76">
        <f>HYPERLINK("https://www1.hkexnews.hk/listedco/listconews/sehk/2023/0717/2023071700006.htm","allotment")</f>
        <v/>
      </c>
      <c r="BM203" s="76">
        <f>HYPERLINK("https://www1.hkexnews.hk/listedco/listconews/sehk/2023/0810/2023081001406.pdf","stabilisation")</f>
        <v/>
      </c>
      <c r="BN203" s="74" t="n"/>
      <c r="BO203" s="62" t="inlineStr">
        <is>
          <t>A/H: no A-share listing · market cap: estimate from deal size / offer % of enlarged capital disagreed with the published listing cap — published figure adopted · cornerstone: AAStocks institutional table includes non-cornerstone orders (superset) — cornerstone % is from the prospectus</t>
        </is>
      </c>
    </row>
    <row r="204" ht="15" customHeight="1">
      <c r="A204" s="61" t="inlineStr">
        <is>
          <t>1541</t>
        </is>
      </c>
      <c r="B204" s="62" t="inlineStr">
        <is>
          <t>IMMUNEONCO-B</t>
        </is>
      </c>
      <c r="C204" s="62" t="inlineStr">
        <is>
          <t>宜明昂科－Ｂ</t>
        </is>
      </c>
      <c r="D204" s="62" t="inlineStr">
        <is>
          <t>Healthcare</t>
        </is>
      </c>
      <c r="E204" s="62" t="inlineStr">
        <is>
          <t>Biotech pre-revenue (18A)</t>
        </is>
      </c>
      <c r="F204" s="62" t="inlineStr">
        <is>
          <t>Biotechnology - Pharmaceuticals</t>
        </is>
      </c>
      <c r="G204" s="62" t="inlineStr">
        <is>
          <t>18A</t>
        </is>
      </c>
      <c r="H204" s="63" t="n">
        <v>45174</v>
      </c>
      <c r="I204" s="64" t="n">
        <v>318.9</v>
      </c>
      <c r="J204" s="62" t="inlineStr">
        <is>
          <t>gross (price x shares)</t>
        </is>
      </c>
      <c r="K204" s="65" t="n"/>
      <c r="L204" s="65" t="n">
        <v>18.6</v>
      </c>
      <c r="M204" s="65" t="n">
        <v>18.6</v>
      </c>
      <c r="N204" s="62" t="inlineStr">
        <is>
          <t>Y</t>
        </is>
      </c>
      <c r="O204" s="66" t="n">
        <v>100</v>
      </c>
      <c r="P204" s="66" t="n"/>
      <c r="Q204" s="67" t="n">
        <v>6132.7</v>
      </c>
      <c r="R204" s="62" t="inlineStr">
        <is>
          <t>derived:deal size / offer % of enlarged capital</t>
        </is>
      </c>
      <c r="S204" s="68" t="n">
        <v>9.98</v>
      </c>
      <c r="T204" s="69" t="n">
        <v>1.06</v>
      </c>
      <c r="U204" s="70" t="n">
        <v>72.81</v>
      </c>
      <c r="V204" s="66" t="n">
        <v>1.41</v>
      </c>
      <c r="W204" s="62" t="inlineStr">
        <is>
          <t>ClinChoice Medical Development Limited; Harvest International Premium Value (Secondary Market) Fund SPC; RemeGen Hong Kong Limited; WuXi Biologics HealthCare Venture</t>
        </is>
      </c>
      <c r="X204" s="62" t="inlineStr">
        <is>
          <t>clinchoice;harvest;remegen;wuxi</t>
        </is>
      </c>
      <c r="Y204" s="66" t="n">
        <v>5.2</v>
      </c>
      <c r="Z204" s="62" t="inlineStr">
        <is>
          <t>partial</t>
        </is>
      </c>
      <c r="AA204" s="71" t="n">
        <v>4.95</v>
      </c>
      <c r="AB204" s="72" t="n">
        <v>13.98</v>
      </c>
      <c r="AC204" s="72" t="n">
        <v>-7.92</v>
      </c>
      <c r="AD204" s="72" t="n">
        <v>34.41</v>
      </c>
      <c r="AE204" s="72" t="n">
        <v>38.17</v>
      </c>
      <c r="AF204" s="72" t="n">
        <v>52.96</v>
      </c>
      <c r="AG204" s="72" t="n">
        <v>28.07</v>
      </c>
      <c r="AH204" s="72" t="n">
        <v>31.65</v>
      </c>
      <c r="AI204" s="72" t="n">
        <v>45.75</v>
      </c>
      <c r="AJ204" s="72" t="n">
        <v>35.61</v>
      </c>
      <c r="AK204" s="72" t="n">
        <v>35.54</v>
      </c>
      <c r="AL204" s="72" t="n">
        <v>47.82</v>
      </c>
      <c r="AM204" s="72" t="n">
        <v>28.82</v>
      </c>
      <c r="AN204" s="72" t="n">
        <v>2.63</v>
      </c>
      <c r="AO204" s="72" t="n">
        <v>2.83</v>
      </c>
      <c r="AP204" s="62" t="inlineStr">
        <is>
          <t>China Biotech ETF (HS biotech proxy)</t>
        </is>
      </c>
      <c r="AQ204" s="72" t="n">
        <v>-81.31999999999999</v>
      </c>
      <c r="AR204" s="63" t="inlineStr">
        <is>
          <t>2026-08-20</t>
        </is>
      </c>
      <c r="AS204" s="64" t="n">
        <v>0.3</v>
      </c>
      <c r="AT204" s="67" t="n">
        <v>-164</v>
      </c>
      <c r="AU204" s="62" t="inlineStr">
        <is>
          <t>N</t>
        </is>
      </c>
      <c r="AV204" s="62" t="inlineStr">
        <is>
          <t>n/m</t>
        </is>
      </c>
      <c r="AW204" s="73" t="n"/>
      <c r="AX204" s="73" t="n"/>
      <c r="AY204" s="73" t="n">
        <v>20442.3</v>
      </c>
      <c r="AZ204" s="74" t="inlineStr">
        <is>
          <t>N</t>
        </is>
      </c>
      <c r="BA204" s="75">
        <f>IF('BBG Verify'!K204="","not filed — run on terminal",'BBG Verify'!K204)</f>
        <v/>
      </c>
      <c r="BB204" s="62" t="inlineStr">
        <is>
          <t>N/A</t>
        </is>
      </c>
      <c r="BC204" s="62" t="inlineStr">
        <is>
          <t>N/A</t>
        </is>
      </c>
      <c r="BD204" s="62" t="inlineStr">
        <is>
          <t>N/A</t>
        </is>
      </c>
      <c r="BE204" s="62" t="inlineStr">
        <is>
          <t>N/A</t>
        </is>
      </c>
      <c r="BF204" s="62" t="inlineStr">
        <is>
          <t>N/A</t>
        </is>
      </c>
      <c r="BG204" s="74" t="inlineStr">
        <is>
          <t>Morgan Stanley Asia Limited; China International Capital Corporation Hong Kong Securities Limited</t>
        </is>
      </c>
      <c r="BH204" s="62" t="inlineStr">
        <is>
          <t>China International Capital Corporation Hong Kong Securities Limited; Morgan Stanley Asia Limited</t>
        </is>
      </c>
      <c r="BI204" s="62" t="inlineStr">
        <is>
          <t>Morgan Stanley Asia Limited; China International Capital Corporation Hong Kong Securities Limited; Fosun International Securities Limited; CMB International Capital Limited; BOCI Asia Limited; ICBC International Securities Limited; Soochow Securities International Brokerage Limited; Futu Securities International (Hong Kong) Limited</t>
        </is>
      </c>
      <c r="BJ204" s="62" t="inlineStr">
        <is>
          <t>BOCI Asia Limited; China International Capital Corporation Hong Kong Securities Limited; CMB International Capital Corporation Limited; Fosun International Securities Limited; Futu Securities International (Hong Kong) Limited; ICBC International Securities Limited; Morgan Stanley Asia Limited; Soochow Securities International Brokerage Limited</t>
        </is>
      </c>
      <c r="BK204" s="76">
        <f>HYPERLINK("https://www1.hkexnews.hk/listedco/listconews/sehk/2023/0824/2023082400037.pdf","prospectus")</f>
        <v/>
      </c>
      <c r="BL204" s="76">
        <f>HYPERLINK("https://www1.hkexnews.hk/listedco/listconews/sehk/2023/0904/2023090400006.htm","allotment")</f>
        <v/>
      </c>
      <c r="BM204" s="76">
        <f>HYPERLINK("https://www1.hkexnews.hk/listedco/listconews/sehk/2023/0928/2023092802361.pdf","stabilisation")</f>
        <v/>
      </c>
      <c r="BN204" s="74" t="n"/>
      <c r="BO204" s="62" t="inlineStr">
        <is>
          <t>P/E: n/m — loss-making at IPO (use P/S) · range low: cap-only pricing — the filing publishes a Maximum Offer Price and no indicative floor · A/H: no A-share listing · P/S: 20,442x on HK$0.3m revenue — effectively pre-revenue; the multiple is shown for completeness, not comparability</t>
        </is>
      </c>
    </row>
    <row r="205" ht="15" customHeight="1">
      <c r="A205" s="61" t="inlineStr">
        <is>
          <t>2496</t>
        </is>
      </c>
      <c r="B205" s="62" t="inlineStr">
        <is>
          <t>YZYBIO-B</t>
        </is>
      </c>
      <c r="C205" s="62" t="inlineStr">
        <is>
          <t>友芝友生物－Ｂ</t>
        </is>
      </c>
      <c r="D205" s="62" t="inlineStr">
        <is>
          <t>Healthcare</t>
        </is>
      </c>
      <c r="E205" s="62" t="inlineStr">
        <is>
          <t>Biotech pre-revenue (18A)</t>
        </is>
      </c>
      <c r="F205" s="62" t="inlineStr">
        <is>
          <t>Biotechnology - Pharmaceuticals</t>
        </is>
      </c>
      <c r="G205" s="62" t="inlineStr">
        <is>
          <t>18A</t>
        </is>
      </c>
      <c r="H205" s="63" t="n">
        <v>45194</v>
      </c>
      <c r="I205" s="64" t="n">
        <v>176</v>
      </c>
      <c r="J205" s="62" t="inlineStr">
        <is>
          <t>gross (price x shares)</t>
        </is>
      </c>
      <c r="K205" s="65" t="n">
        <v>16</v>
      </c>
      <c r="L205" s="65" t="n">
        <v>20</v>
      </c>
      <c r="M205" s="65" t="n">
        <v>16</v>
      </c>
      <c r="N205" s="62" t="inlineStr">
        <is>
          <t>N</t>
        </is>
      </c>
      <c r="O205" s="66" t="n">
        <v>80</v>
      </c>
      <c r="P205" s="66" t="n">
        <v>0</v>
      </c>
      <c r="Q205" s="67" t="n">
        <v>3087.7</v>
      </c>
      <c r="R205" s="62" t="inlineStr">
        <is>
          <t>derived:deal size / offer % of enlarged capital</t>
        </is>
      </c>
      <c r="S205" s="68" t="n">
        <v>13.81</v>
      </c>
      <c r="T205" s="69" t="n">
        <v>1.57</v>
      </c>
      <c r="U205" s="70" t="n">
        <v>37.3</v>
      </c>
      <c r="V205" s="66" t="n">
        <v>3.57</v>
      </c>
      <c r="W205" s="62" t="inlineStr">
        <is>
          <t>Chengdu Puhua Kaizhi Biotechnology Co., Ltd; Wuhan Optics Valley Health Industry Investment Ltd</t>
        </is>
      </c>
      <c r="X205" s="62" t="inlineStr">
        <is>
          <t>chengdu;wuhan</t>
        </is>
      </c>
      <c r="Y205" s="66" t="n">
        <v>6.5</v>
      </c>
      <c r="Z205" s="62" t="inlineStr">
        <is>
          <t>partial</t>
        </is>
      </c>
      <c r="AA205" s="71" t="n">
        <v>0</v>
      </c>
      <c r="AB205" s="72" t="n">
        <v>2.5</v>
      </c>
      <c r="AC205" s="72" t="n">
        <v>-2.44</v>
      </c>
      <c r="AD205" s="72" t="n">
        <v>-6.25</v>
      </c>
      <c r="AE205" s="72" t="n">
        <v>-40.38</v>
      </c>
      <c r="AF205" s="72" t="n">
        <v>-45.19</v>
      </c>
      <c r="AG205" s="72" t="n">
        <v>-6.25</v>
      </c>
      <c r="AH205" s="72" t="n">
        <v>-40.38</v>
      </c>
      <c r="AI205" s="72" t="n">
        <v>-45.19</v>
      </c>
      <c r="AJ205" s="72" t="n">
        <v>-7.02</v>
      </c>
      <c r="AK205" s="72" t="n">
        <v>-45.61</v>
      </c>
      <c r="AL205" s="72" t="n">
        <v>-44.92</v>
      </c>
      <c r="AM205" s="72" t="n">
        <v>-44.99</v>
      </c>
      <c r="AN205" s="72" t="n">
        <v>5.23</v>
      </c>
      <c r="AO205" s="72" t="n">
        <v>4.61</v>
      </c>
      <c r="AP205" s="62" t="inlineStr">
        <is>
          <t>China Biotech ETF (HS biotech proxy)</t>
        </is>
      </c>
      <c r="AQ205" s="72" t="n">
        <v>-77.5</v>
      </c>
      <c r="AR205" s="63" t="inlineStr">
        <is>
          <t>2026-08-21</t>
        </is>
      </c>
      <c r="AS205" s="64" t="n">
        <v>2.2</v>
      </c>
      <c r="AT205" s="67" t="n">
        <v>-207.8</v>
      </c>
      <c r="AU205" s="62" t="inlineStr">
        <is>
          <t>N</t>
        </is>
      </c>
      <c r="AV205" s="62" t="inlineStr">
        <is>
          <t>n/m</t>
        </is>
      </c>
      <c r="AW205" s="73" t="n"/>
      <c r="AX205" s="73" t="n"/>
      <c r="AY205" s="73" t="n">
        <v>1403.5</v>
      </c>
      <c r="AZ205" s="74" t="inlineStr">
        <is>
          <t>N</t>
        </is>
      </c>
      <c r="BA205" s="75">
        <f>IF('BBG Verify'!K205="","not filed — run on terminal",'BBG Verify'!K205)</f>
        <v/>
      </c>
      <c r="BB205" s="62" t="inlineStr">
        <is>
          <t>N/A</t>
        </is>
      </c>
      <c r="BC205" s="62" t="inlineStr">
        <is>
          <t>N/A</t>
        </is>
      </c>
      <c r="BD205" s="62" t="inlineStr">
        <is>
          <t>N/A</t>
        </is>
      </c>
      <c r="BE205" s="62" t="inlineStr">
        <is>
          <t>N/A</t>
        </is>
      </c>
      <c r="BF205" s="62" t="inlineStr">
        <is>
          <t>N/A</t>
        </is>
      </c>
      <c r="BG205" s="74" t="n"/>
      <c r="BH205" s="62" t="inlineStr">
        <is>
          <t>China Securities (International) Corporate Finance Company Limited</t>
        </is>
      </c>
      <c r="BI205" s="62" t="inlineStr">
        <is>
          <t>China Securities (International) Corporate Finance Company Limited; Guotai Junan Securities (Hong Kong) Limited; CCB International Capital Limited; BOCI Asia Limited; TFI Securities and Futures Limited; China Galaxy International Securities (Hong Kong) Co., Limited</t>
        </is>
      </c>
      <c r="BJ205" s="62" t="inlineStr">
        <is>
          <t>BOCI Asia Limited; CCB International Capital Limited; China Galaxy International Securities (Hong Kong) Company Limited; China Securities (International) Corporate Finance Company Limited; Futu Securities International (Hong Kong) Limited; Guotai Junan Securities (Hong Kong) Limited; Livermore Holdings Limited; TFI Securities and Futures Limited</t>
        </is>
      </c>
      <c r="BK205" s="76">
        <f>HYPERLINK("https://www1.hkexnews.hk/listedco/listconews/sehk/2023/0913/2023091300013.pdf","prospectus")</f>
        <v/>
      </c>
      <c r="BL205" s="76">
        <f>HYPERLINK("https://www1.hkexnews.hk/listedco/listconews/sehk/2023/0922/2023092200024.htm","allotment")</f>
        <v/>
      </c>
      <c r="BM205" s="76">
        <f>HYPERLINK("https://www1.hkexnews.hk/listedco/listconews/sehk/2023/1019/2023101900003.pdf","stabilisation")</f>
        <v/>
      </c>
      <c r="BN205" s="74" t="n"/>
      <c r="BO205" s="62" t="inlineStr">
        <is>
          <t>P/E: n/m — loss-making at IPO (use P/S) · A/H: no A-share listing · sponsor: English name not in the filing text; AAStocks 保薦人 shown · cornerstone: AAStocks institutional table includes non-cornerstone orders (superset) — cornerstone % is from the prospectus · P/S: 1,404x on HK$2.2m revenue — effectively pre-revenue; the multiple is shown for completeness, not comparability</t>
        </is>
      </c>
    </row>
    <row r="206" ht="15" customHeight="1">
      <c r="A206" s="61" t="inlineStr">
        <is>
          <t>2490</t>
        </is>
      </c>
      <c r="B206" s="62" t="inlineStr">
        <is>
          <t>LC LOGISTICS</t>
        </is>
      </c>
      <c r="C206" s="62" t="inlineStr">
        <is>
          <t>樂艙物流</t>
        </is>
      </c>
      <c r="D206" s="62" t="inlineStr">
        <is>
          <t>Industrials</t>
        </is>
      </c>
      <c r="E206" s="62" t="inlineStr">
        <is>
          <t>Logistics</t>
        </is>
      </c>
      <c r="F206" s="62" t="inlineStr">
        <is>
          <t>Marine Ports &amp; Services</t>
        </is>
      </c>
      <c r="G206" s="62" t="inlineStr">
        <is>
          <t>Standard</t>
        </is>
      </c>
      <c r="H206" s="63" t="n">
        <v>45194</v>
      </c>
      <c r="I206" s="64" t="n">
        <v>145.6</v>
      </c>
      <c r="J206" s="62" t="inlineStr">
        <is>
          <t>gross (price x shares)</t>
        </is>
      </c>
      <c r="K206" s="65" t="n"/>
      <c r="L206" s="65" t="n">
        <v>5.55</v>
      </c>
      <c r="M206" s="65" t="n">
        <v>5.13</v>
      </c>
      <c r="N206" s="62" t="inlineStr">
        <is>
          <t>N</t>
        </is>
      </c>
      <c r="O206" s="66" t="n">
        <v>92.40000000000001</v>
      </c>
      <c r="P206" s="66" t="n"/>
      <c r="Q206" s="67" t="n">
        <v>1565</v>
      </c>
      <c r="R206" s="62" t="inlineStr">
        <is>
          <t>aastocks:上市市值 at the struck price</t>
        </is>
      </c>
      <c r="S206" s="68" t="n">
        <v>4.77</v>
      </c>
      <c r="T206" s="69" t="n">
        <v>1.53</v>
      </c>
      <c r="U206" s="70" t="n">
        <v>0</v>
      </c>
      <c r="V206" s="66" t="n">
        <v>9.300000000000001</v>
      </c>
      <c r="W206" s="62" t="n"/>
      <c r="X206" s="62" t="n"/>
      <c r="Y206" s="66" t="n">
        <v>10.66</v>
      </c>
      <c r="Z206" s="62" t="inlineStr">
        <is>
          <t>partial</t>
        </is>
      </c>
      <c r="AA206" s="71" t="n">
        <v>-0.58</v>
      </c>
      <c r="AB206" s="72" t="n">
        <v>0</v>
      </c>
      <c r="AC206" s="72" t="n">
        <v>-0.58</v>
      </c>
      <c r="AD206" s="72" t="n">
        <v>3.7</v>
      </c>
      <c r="AE206" s="72" t="n">
        <v>-7.8</v>
      </c>
      <c r="AF206" s="72" t="n">
        <v>-0.19</v>
      </c>
      <c r="AG206" s="72" t="n">
        <v>4.3</v>
      </c>
      <c r="AH206" s="72" t="n">
        <v>-7.26</v>
      </c>
      <c r="AI206" s="72" t="n">
        <v>0.39</v>
      </c>
      <c r="AJ206" s="72" t="n">
        <v>8.210000000000001</v>
      </c>
      <c r="AK206" s="72" t="n">
        <v>-1.18</v>
      </c>
      <c r="AL206" s="72" t="n">
        <v>10.99</v>
      </c>
      <c r="AM206" s="72" t="n">
        <v>-2.58</v>
      </c>
      <c r="AN206" s="72" t="n">
        <v>-6.62</v>
      </c>
      <c r="AO206" s="72" t="n">
        <v>-4.68</v>
      </c>
      <c r="AP206" s="62" t="inlineStr">
        <is>
          <t>Hang Seng Commerce &amp; Industry sub-index</t>
        </is>
      </c>
      <c r="AQ206" s="72" t="n">
        <v>77</v>
      </c>
      <c r="AR206" s="63" t="inlineStr">
        <is>
          <t>2026-08-24</t>
        </is>
      </c>
      <c r="AS206" s="64" t="n">
        <v>5068.7</v>
      </c>
      <c r="AT206" s="67" t="n">
        <v>424.9</v>
      </c>
      <c r="AU206" s="62" t="inlineStr">
        <is>
          <t>Y</t>
        </is>
      </c>
      <c r="AV206" s="73" t="n">
        <v>3.7</v>
      </c>
      <c r="AW206" s="73" t="n"/>
      <c r="AX206" s="73" t="n">
        <v>18</v>
      </c>
      <c r="AY206" s="73" t="n">
        <v>0.3</v>
      </c>
      <c r="AZ206" s="74" t="inlineStr">
        <is>
          <t>N</t>
        </is>
      </c>
      <c r="BA206" s="75">
        <f>IF('BBG Verify'!K206="","not filed — run on terminal",'BBG Verify'!K206)</f>
        <v/>
      </c>
      <c r="BB206" s="62" t="inlineStr">
        <is>
          <t>N/A</t>
        </is>
      </c>
      <c r="BC206" s="62" t="inlineStr">
        <is>
          <t>N/A</t>
        </is>
      </c>
      <c r="BD206" s="62" t="inlineStr">
        <is>
          <t>N/A</t>
        </is>
      </c>
      <c r="BE206" s="62" t="inlineStr">
        <is>
          <t>N/A</t>
        </is>
      </c>
      <c r="BF206" s="62" t="inlineStr">
        <is>
          <t>N/A</t>
        </is>
      </c>
      <c r="BG206" s="74" t="inlineStr">
        <is>
          <t>CITIC Securities (Hong Kong) Limited; ABCI Capital Limited</t>
        </is>
      </c>
      <c r="BH206" s="62" t="inlineStr">
        <is>
          <t>CITIC Securities (Hong Kong) Limited; ABCI Capital Limited</t>
        </is>
      </c>
      <c r="BI206" s="62" t="inlineStr">
        <is>
          <t>CLSA Limited; ABCI Capital Limited; Shenwan Hongyuan Securities (H.K.) Limited; CMB International Capital Limited; Guotai Junan Securities (Hong Kong) Limited; BOCOM International Securities Limited; CMBC Securities Company Limited; Livermore Holdings Limited; Valuable Capital Limited</t>
        </is>
      </c>
      <c r="BJ206" s="62" t="inlineStr">
        <is>
          <t>ABCI Securities Company Limited; Beta International Securities Limited; CLSA Limited; CMBC Securities Company Limited; CMB International Capital Limited; Guotai Junan Securities (Hong Kong) Limited; Livermore Holdings Limited; Shenwan Hongyuan Securities (H.K.) Limited; SPDB International Capital Limited; Valuable Capital Limited</t>
        </is>
      </c>
      <c r="BK206" s="76">
        <f>HYPERLINK("https://www1.hkexnews.hk/listedco/listconews/sehk/2023/0913/2023091300017.pdf","prospectus")</f>
        <v/>
      </c>
      <c r="BL206" s="76">
        <f>HYPERLINK("https://www1.hkexnews.hk/listedco/listconews/sehk/2023/0922/2023092200056.htm","allotment")</f>
        <v/>
      </c>
      <c r="BM206" s="76">
        <f>HYPERLINK("https://www1.hkexnews.hk/listedco/listconews/sehk/2023/1018/2023101800796.pdf","stabilisation")</f>
        <v/>
      </c>
      <c r="BN206" s="74" t="n"/>
      <c r="BO206" s="62" t="inlineStr">
        <is>
          <t>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 · deal size: stated gross HK$5.9m rejected — below the deal's own net proceeds HK$83.5m, which cannot happen</t>
        </is>
      </c>
    </row>
    <row r="207" ht="15" customHeight="1">
      <c r="A207" s="61" t="inlineStr">
        <is>
          <t>9690</t>
        </is>
      </c>
      <c r="B207" s="62" t="inlineStr">
        <is>
          <t>TUHU-W</t>
        </is>
      </c>
      <c r="C207" s="62" t="inlineStr">
        <is>
          <t>途虎－Ｗ</t>
        </is>
      </c>
      <c r="D207" s="62" t="inlineStr">
        <is>
          <t>Tech/AI</t>
        </is>
      </c>
      <c r="E207" s="62" t="inlineStr">
        <is>
          <t>Internet platform / e-commerce</t>
        </is>
      </c>
      <c r="F207" s="62" t="inlineStr">
        <is>
          <t>Automotive Retail</t>
        </is>
      </c>
      <c r="G207" s="62" t="inlineStr">
        <is>
          <t>WVR</t>
        </is>
      </c>
      <c r="H207" s="63" t="n">
        <v>45195</v>
      </c>
      <c r="I207" s="64" t="n">
        <v>173</v>
      </c>
      <c r="J207" s="62" t="inlineStr">
        <is>
          <t>net proceeds</t>
        </is>
      </c>
      <c r="K207" s="65" t="n">
        <v>28</v>
      </c>
      <c r="L207" s="65" t="n">
        <v>31</v>
      </c>
      <c r="M207" s="65" t="n">
        <v>28</v>
      </c>
      <c r="N207" s="62" t="inlineStr">
        <is>
          <t>N</t>
        </is>
      </c>
      <c r="O207" s="66" t="n">
        <v>90.3</v>
      </c>
      <c r="P207" s="66" t="n">
        <v>0</v>
      </c>
      <c r="Q207" s="67" t="n">
        <v>24157.3</v>
      </c>
      <c r="R207" s="62" t="inlineStr">
        <is>
          <t>aastocks:上市市值 at the struck price</t>
        </is>
      </c>
      <c r="S207" s="68" t="n">
        <v>2.67</v>
      </c>
      <c r="T207" s="69" t="n">
        <v>2.3</v>
      </c>
      <c r="U207" s="70" t="n">
        <v>90</v>
      </c>
      <c r="V207" s="66" t="n">
        <v>0.07000000000000001</v>
      </c>
      <c r="W207" s="62" t="inlineStr">
        <is>
          <t>Castrol Holdings International Limited; Image Frame Investment (HK) Limited; Shanghai Zizhu High-tech Zone (Group) Co., Ltd; Zhejiang Leapmotor Technology Co., Ltd</t>
        </is>
      </c>
      <c r="X207" s="62" t="inlineStr">
        <is>
          <t>castrol;image;shanghai-zizhu;zhejiang</t>
        </is>
      </c>
      <c r="Y207" s="66" t="n">
        <v>5.7</v>
      </c>
      <c r="Z207" s="62" t="inlineStr">
        <is>
          <t>partial</t>
        </is>
      </c>
      <c r="AA207" s="71" t="n">
        <v>5.36</v>
      </c>
      <c r="AB207" s="72" t="n">
        <v>0</v>
      </c>
      <c r="AC207" s="72" t="n">
        <v>5.36</v>
      </c>
      <c r="AD207" s="72" t="n">
        <v>2.5</v>
      </c>
      <c r="AE207" s="72" t="n">
        <v>25.71</v>
      </c>
      <c r="AF207" s="72" t="n">
        <v>6.96</v>
      </c>
      <c r="AG207" s="72" t="n">
        <v>-2.71</v>
      </c>
      <c r="AH207" s="72" t="n">
        <v>19.31</v>
      </c>
      <c r="AI207" s="72" t="n">
        <v>1.52</v>
      </c>
      <c r="AJ207" s="72" t="n">
        <v>6.06</v>
      </c>
      <c r="AK207" s="72" t="n">
        <v>27.86</v>
      </c>
      <c r="AL207" s="72" t="n">
        <v>10.31</v>
      </c>
      <c r="AM207" s="72" t="n">
        <v>19.69</v>
      </c>
      <c r="AN207" s="72" t="n">
        <v>-2.15</v>
      </c>
      <c r="AO207" s="72" t="n">
        <v>-0.38</v>
      </c>
      <c r="AP207" s="62" t="inlineStr">
        <is>
          <t>HSTECH (Hang Seng TECH ETF)</t>
        </is>
      </c>
      <c r="AQ207" s="72" t="n">
        <v>-57.21</v>
      </c>
      <c r="AR207" s="63" t="inlineStr">
        <is>
          <t>2026-08-20</t>
        </is>
      </c>
      <c r="AS207" s="64" t="n">
        <v>12896.7</v>
      </c>
      <c r="AT207" s="67" t="n">
        <v>-6429.3</v>
      </c>
      <c r="AU207" s="62" t="inlineStr">
        <is>
          <t>N</t>
        </is>
      </c>
      <c r="AV207" s="62" t="inlineStr">
        <is>
          <t>n/m</t>
        </is>
      </c>
      <c r="AW207" s="73" t="n"/>
      <c r="AX207" s="73" t="n">
        <v>18.7</v>
      </c>
      <c r="AY207" s="73" t="n">
        <v>1.9</v>
      </c>
      <c r="AZ207" s="74" t="inlineStr">
        <is>
          <t>N</t>
        </is>
      </c>
      <c r="BA207" s="75">
        <f>IF('BBG Verify'!K207="","not filed — run on terminal",'BBG Verify'!K207)</f>
        <v/>
      </c>
      <c r="BB207" s="62" t="inlineStr">
        <is>
          <t>N/A</t>
        </is>
      </c>
      <c r="BC207" s="62" t="inlineStr">
        <is>
          <t>N/A</t>
        </is>
      </c>
      <c r="BD207" s="62" t="inlineStr">
        <is>
          <t>N/A</t>
        </is>
      </c>
      <c r="BE207" s="62" t="inlineStr">
        <is>
          <t>N/A</t>
        </is>
      </c>
      <c r="BF207" s="62" t="inlineStr">
        <is>
          <t>N/A</t>
        </is>
      </c>
      <c r="BG207" s="74" t="inlineStr">
        <is>
          <t>Goldman Sachs (Asia) L.L.C; China International Capital Corporation Hong Kong Securities Limited; Merrill Lynch (Asia Pacific) Limited; UBS AG Hong Kong Branch</t>
        </is>
      </c>
      <c r="BH207" s="62" t="inlineStr">
        <is>
          <t>China International Capital Corporation Hong Kong Securities Limited; UBS Securities Hong Kong Limited; Merrill Lynch (Asia Pacific) Limited; Goldman Sachs (Asia) L.L.C.</t>
        </is>
      </c>
      <c r="BI207" s="62" t="inlineStr">
        <is>
          <t>Goldman Sachs (Asia) L.L.C; China International Capital Corporation Hong Kong Securities Limited; UBS AG Hong Kong Branch; Merrill Lynch (Asia Pacific) Limited; CMB International Capital Limited; BOCOM International Securities Limited; ICBC International Securities Limited; ABCI Capital Limited; Futu Securities International (Hong Kong) Limited</t>
        </is>
      </c>
      <c r="BJ207" s="62" t="inlineStr">
        <is>
          <t>ABCI Securities Company Limited; Beta International Securities Limited; China International Capital Corporation Hong Kong Securities Limited; CMB International Capital Limited; Futu Securities International (Hong Kong) Limited; Goldman Sachs (Asia) L.L.C.; ICBC International Securities Limited; Merrill Lynch (Asia Pacific) Limited; UBS AG Hong Kong Branch</t>
        </is>
      </c>
      <c r="BK207" s="76">
        <f>HYPERLINK("https://www1.hkexnews.hk/listedco/listconews/sehk/2023/0914/2023091400024.htm","prospectus")</f>
        <v/>
      </c>
      <c r="BL207" s="76">
        <f>HYPERLINK("https://www1.hkexnews.hk/listedco/listconews/sehk/2023/0925/2023092500012.htm","allotment")</f>
        <v/>
      </c>
      <c r="BM207" s="76">
        <f>HYPERLINK("https://www1.hkexnews.hk/listedco/listconews/sehk/2023/1019/2023101901082.pdf","stabilisation")</f>
        <v/>
      </c>
      <c r="BN207" s="74" t="n"/>
      <c r="BO207" s="62" t="inlineStr">
        <is>
          <t>P/E: n/m — loss-making at IPO (use P/S) · A/H: no A-share listing · market cap: estimate from stated market capitalisation disagreed with the published listing cap — published figure adopted · cornerstone: AAStocks institutional table includes non-cornerstone orders (superset) — cornerstone % is from the prospectus</t>
        </is>
      </c>
    </row>
    <row r="208" ht="15" customHeight="1">
      <c r="A208" s="61" t="inlineStr">
        <is>
          <t>9686</t>
        </is>
      </c>
      <c r="B208" s="62" t="inlineStr">
        <is>
          <t>NEUSOFT XIKANG</t>
        </is>
      </c>
      <c r="C208" s="62" t="inlineStr">
        <is>
          <t>熙康雲醫院</t>
        </is>
      </c>
      <c r="D208" s="62" t="inlineStr">
        <is>
          <t>Healthcare</t>
        </is>
      </c>
      <c r="E208" s="62" t="inlineStr">
        <is>
          <t>Digital health</t>
        </is>
      </c>
      <c r="F208" s="62" t="inlineStr">
        <is>
          <t>Health Care Services</t>
        </is>
      </c>
      <c r="G208" s="62" t="inlineStr">
        <is>
          <t>Standard</t>
        </is>
      </c>
      <c r="H208" s="63" t="n">
        <v>45197</v>
      </c>
      <c r="I208" s="64" t="n">
        <v>636.9</v>
      </c>
      <c r="J208" s="62" t="inlineStr">
        <is>
          <t>gross (price x shares)</t>
        </is>
      </c>
      <c r="K208" s="65" t="n">
        <v>4.76</v>
      </c>
      <c r="L208" s="65" t="n">
        <v>5.91</v>
      </c>
      <c r="M208" s="65" t="n">
        <v>4.76</v>
      </c>
      <c r="N208" s="62" t="inlineStr">
        <is>
          <t>N</t>
        </is>
      </c>
      <c r="O208" s="66" t="n">
        <v>80.5</v>
      </c>
      <c r="P208" s="66" t="n">
        <v>0</v>
      </c>
      <c r="Q208" s="67" t="n">
        <v>4787.1</v>
      </c>
      <c r="R208" s="62" t="inlineStr">
        <is>
          <t>aastocks:上市市值 at the struck price</t>
        </is>
      </c>
      <c r="S208" s="68" t="n">
        <v>0.9</v>
      </c>
      <c r="T208" s="69" t="n">
        <v>1.15</v>
      </c>
      <c r="U208" s="70" t="n">
        <v>34.82</v>
      </c>
      <c r="V208" s="66" t="n">
        <v>8.67</v>
      </c>
      <c r="W208" s="62" t="inlineStr">
        <is>
          <t>INFO EXPERT SERVICES LIMITED; Ningbo Haishu Industrial Investment Co., Ltd; Ningbo Industrial Development Fund Co., Ltd</t>
        </is>
      </c>
      <c r="X208" s="62" t="inlineStr">
        <is>
          <t>info;ningbo</t>
        </is>
      </c>
      <c r="Y208" s="66" t="n">
        <v>17.85</v>
      </c>
      <c r="Z208" s="62" t="n"/>
      <c r="AA208" s="71" t="n">
        <v>-42.86</v>
      </c>
      <c r="AB208" s="72" t="n">
        <v>-22.48</v>
      </c>
      <c r="AC208" s="72" t="n">
        <v>-26.29</v>
      </c>
      <c r="AD208" s="72" t="n">
        <v>-51.26</v>
      </c>
      <c r="AE208" s="72" t="n">
        <v>-66.39</v>
      </c>
      <c r="AF208" s="72" t="n">
        <v>-70.17</v>
      </c>
      <c r="AG208" s="72" t="n">
        <v>-14.7</v>
      </c>
      <c r="AH208" s="72" t="n">
        <v>-41.18</v>
      </c>
      <c r="AI208" s="72" t="n">
        <v>-47.79</v>
      </c>
      <c r="AJ208" s="72" t="n">
        <v>-49.28</v>
      </c>
      <c r="AK208" s="72" t="n">
        <v>-71.06</v>
      </c>
      <c r="AL208" s="72" t="n">
        <v>-65.91</v>
      </c>
      <c r="AM208" s="72" t="n">
        <v>-47.15</v>
      </c>
      <c r="AN208" s="72" t="n">
        <v>4.67</v>
      </c>
      <c r="AO208" s="72" t="n">
        <v>5.97</v>
      </c>
      <c r="AP208" s="62" t="inlineStr">
        <is>
          <t>China Biotech ETF (HS biotech proxy)</t>
        </is>
      </c>
      <c r="AQ208" s="72" t="n">
        <v>-82.14</v>
      </c>
      <c r="AR208" s="63" t="inlineStr">
        <is>
          <t>2026-08-20</t>
        </is>
      </c>
      <c r="AS208" s="64" t="n">
        <v>756.2</v>
      </c>
      <c r="AT208" s="67" t="n">
        <v>-267.6</v>
      </c>
      <c r="AU208" s="62" t="inlineStr">
        <is>
          <t>N</t>
        </is>
      </c>
      <c r="AV208" s="62" t="inlineStr">
        <is>
          <t>n/m</t>
        </is>
      </c>
      <c r="AW208" s="73" t="n"/>
      <c r="AX208" s="73" t="n"/>
      <c r="AY208" s="73" t="n">
        <v>6.3</v>
      </c>
      <c r="AZ208" s="74" t="inlineStr">
        <is>
          <t>N</t>
        </is>
      </c>
      <c r="BA208" s="75">
        <f>IF('BBG Verify'!K208="","not filed — run on terminal",'BBG Verify'!K208)</f>
        <v/>
      </c>
      <c r="BB208" s="62" t="inlineStr">
        <is>
          <t>N/A</t>
        </is>
      </c>
      <c r="BC208" s="62" t="inlineStr">
        <is>
          <t>N/A</t>
        </is>
      </c>
      <c r="BD208" s="62" t="inlineStr">
        <is>
          <t>N/A</t>
        </is>
      </c>
      <c r="BE208" s="62" t="inlineStr">
        <is>
          <t>N/A</t>
        </is>
      </c>
      <c r="BF208" s="62" t="inlineStr">
        <is>
          <t>N/A</t>
        </is>
      </c>
      <c r="BG208" s="74" t="n"/>
      <c r="BH208" s="62" t="inlineStr">
        <is>
          <t>China International Capital Corporation Hong Kong Securities Limited</t>
        </is>
      </c>
      <c r="BI208" s="62" t="inlineStr">
        <is>
          <t>China International Capital Corporation Hong Kong Securities Limited; Daiwa Capital Markets Hong Kong Limited; BOCI Asia Limited; Futu Securities International (Hong Kong) Limited; China Galaxy International Securities (Hong Kong) Co., Limited; GF Securities (Hong Kong) Brokerage Limited</t>
        </is>
      </c>
      <c r="BJ208" s="62" t="inlineStr">
        <is>
          <t>BOCI Asia Limited; China Galaxy International Securities (Hong Kong) Company Limited; China International Capital Corporation Hong Kong Securities Limited; Daiwa Capital Markets Hong Kong Limited; Futu Securities International (Hong Kong) Limited; GF Securities (Hong Kong) Brokerage Limited; Valuable Capital Limited</t>
        </is>
      </c>
      <c r="BK208" s="76">
        <f>HYPERLINK("https://www1.hkexnews.hk/listedco/listconews/sehk/2023/0918/2023091800017.pdf","prospectus")</f>
        <v/>
      </c>
      <c r="BL208" s="76">
        <f>HYPERLINK("https://www1.hkexnews.hk/listedco/listconews/sehk/2023/0927/2023092700030.htm","allotment")</f>
        <v/>
      </c>
      <c r="BM208" s="62" t="n"/>
      <c r="BN208" s="74" t="n"/>
      <c r="BO208" s="62" t="inlineStr">
        <is>
          <t>P/E: n/m — loss-making at IPO (use P/S) · greenshoe: end-of-stabilisation notice not located · A/H: no A-share listing · sponsor: English name not in the filing text; AAStocks 保薦人 shown · market cap: estimate from deal size / offer % of enlarged capital disagreed with the published listing cap — published figure adopted · deal size: stated gross HK$21.6m rejected — below the deal's own net proceeds HK$554.5m, which cannot happen</t>
        </is>
      </c>
    </row>
    <row r="209" ht="15" customHeight="1">
      <c r="A209" s="61" t="inlineStr">
        <is>
          <t>9890</t>
        </is>
      </c>
      <c r="B209" s="62" t="inlineStr">
        <is>
          <t>ZX INC</t>
        </is>
      </c>
      <c r="C209" s="62" t="inlineStr">
        <is>
          <t>貪玩</t>
        </is>
      </c>
      <c r="D209" s="62" t="inlineStr">
        <is>
          <t>TMT-other</t>
        </is>
      </c>
      <c r="E209" s="62" t="inlineStr">
        <is>
          <t>Media / advertising</t>
        </is>
      </c>
      <c r="F209" s="62" t="inlineStr">
        <is>
          <t>Gaming Software</t>
        </is>
      </c>
      <c r="G209" s="62" t="inlineStr">
        <is>
          <t>Standard</t>
        </is>
      </c>
      <c r="H209" s="63" t="n">
        <v>45197</v>
      </c>
      <c r="I209" s="64" t="n">
        <v>265.7</v>
      </c>
      <c r="J209" s="62" t="inlineStr">
        <is>
          <t>gross (price x shares)</t>
        </is>
      </c>
      <c r="K209" s="65" t="n">
        <v>11</v>
      </c>
      <c r="L209" s="65" t="n">
        <v>14</v>
      </c>
      <c r="M209" s="65" t="n">
        <v>14</v>
      </c>
      <c r="N209" s="62" t="inlineStr">
        <is>
          <t>Y</t>
        </is>
      </c>
      <c r="O209" s="66" t="n">
        <v>100</v>
      </c>
      <c r="P209" s="66" t="n">
        <v>100</v>
      </c>
      <c r="Q209" s="67" t="n">
        <v>7482.2</v>
      </c>
      <c r="R209" s="62" t="inlineStr">
        <is>
          <t>aastocks:上市市值 at the struck price</t>
        </is>
      </c>
      <c r="S209" s="68" t="n">
        <v>104</v>
      </c>
      <c r="T209" s="69" t="n">
        <v>1.67</v>
      </c>
      <c r="U209" s="70" t="n">
        <v>24.1</v>
      </c>
      <c r="V209" s="66" t="n">
        <v>2.7</v>
      </c>
      <c r="W209" s="62" t="inlineStr">
        <is>
          <t>4399 Net Limited; Aofei Data International Company Limited; Hong Kong Longsin Co., Limited; Shangrao High-speed Industrial Investment</t>
        </is>
      </c>
      <c r="X209" s="62" t="inlineStr">
        <is>
          <t>4399;aofei;longsin;shangrao</t>
        </is>
      </c>
      <c r="Y209" s="66" t="n">
        <v>20</v>
      </c>
      <c r="Z209" s="62" t="inlineStr">
        <is>
          <t>lapsed</t>
        </is>
      </c>
      <c r="AA209" s="71" t="n">
        <v>0</v>
      </c>
      <c r="AB209" s="72" t="n">
        <v>-1.57</v>
      </c>
      <c r="AC209" s="72" t="n">
        <v>1.6</v>
      </c>
      <c r="AD209" s="72" t="n">
        <v>-3.86</v>
      </c>
      <c r="AE209" s="72" t="n">
        <v>-14.29</v>
      </c>
      <c r="AF209" s="72" t="n">
        <v>240.36</v>
      </c>
      <c r="AG209" s="72" t="n">
        <v>-3.86</v>
      </c>
      <c r="AH209" s="72" t="n">
        <v>-14.29</v>
      </c>
      <c r="AI209" s="72" t="n">
        <v>240.36</v>
      </c>
      <c r="AJ209" s="72" t="n">
        <v>-3.15</v>
      </c>
      <c r="AK209" s="72" t="n">
        <v>-11.45</v>
      </c>
      <c r="AL209" s="72" t="n">
        <v>245.03</v>
      </c>
      <c r="AM209" s="72" t="n">
        <v>-12.79</v>
      </c>
      <c r="AN209" s="72" t="n">
        <v>-2.84</v>
      </c>
      <c r="AO209" s="72" t="n">
        <v>-1.5</v>
      </c>
      <c r="AP209" s="62" t="inlineStr">
        <is>
          <t>Hang Seng Index</t>
        </is>
      </c>
      <c r="AQ209" s="72" t="n">
        <v>-29.79</v>
      </c>
      <c r="AR209" s="63" t="inlineStr">
        <is>
          <t>2026-08-20</t>
        </is>
      </c>
      <c r="AS209" s="64" t="n">
        <v>9698.9</v>
      </c>
      <c r="AT209" s="67" t="n">
        <v>661.7</v>
      </c>
      <c r="AU209" s="62" t="inlineStr">
        <is>
          <t>Y</t>
        </is>
      </c>
      <c r="AV209" s="73" t="n">
        <v>11.3</v>
      </c>
      <c r="AW209" s="73" t="n"/>
      <c r="AX209" s="73" t="n">
        <v>3</v>
      </c>
      <c r="AY209" s="73" t="n">
        <v>0.8</v>
      </c>
      <c r="AZ209" s="74" t="inlineStr">
        <is>
          <t>N</t>
        </is>
      </c>
      <c r="BA209" s="75">
        <f>IF('BBG Verify'!K209="","not filed — run on terminal",'BBG Verify'!K209)</f>
        <v/>
      </c>
      <c r="BB209" s="62" t="inlineStr">
        <is>
          <t>N/A</t>
        </is>
      </c>
      <c r="BC209" s="62" t="inlineStr">
        <is>
          <t>N/A</t>
        </is>
      </c>
      <c r="BD209" s="62" t="inlineStr">
        <is>
          <t>N/A</t>
        </is>
      </c>
      <c r="BE209" s="62" t="inlineStr">
        <is>
          <t>N/A</t>
        </is>
      </c>
      <c r="BF209" s="62" t="inlineStr">
        <is>
          <t>N/A</t>
        </is>
      </c>
      <c r="BG209" s="74" t="n"/>
      <c r="BH209" s="62" t="inlineStr">
        <is>
          <t>China International Capital Corporation Hong Kong Securities Limited; China Securities (International) Corporate Finance Company Limited</t>
        </is>
      </c>
      <c r="BI209" s="62" t="inlineStr">
        <is>
          <t>China International Capital Corporation Hong Kong Securities Limited; China Securities (International) Corporate Finance Company Limited; China Merchants Securities (HK) Co., Limited; CLSA Limited; CMB International Capital Limited; ICBC International Securities Limited</t>
        </is>
      </c>
      <c r="BJ209" s="62" t="inlineStr">
        <is>
          <t>China International Capital Corporation Hong Kong Securities Limited; CLSA Limited; CMB International Capital Limited; China Merchants Securities (HK) Company Limited; China Securities (International) Corporate Finance Company Limited; Futu Securities International (Hong Kong) Limited; ICBC International Securities Limited; Tiger Brokers (HK) Global Limited</t>
        </is>
      </c>
      <c r="BK209" s="76">
        <f>HYPERLINK("https://www1.hkexnews.hk/listedco/listconews/sehk/2023/0918/2023091800015.pdf","prospectus")</f>
        <v/>
      </c>
      <c r="BL209" s="76">
        <f>HYPERLINK("https://www1.hkexnews.hk/listedco/listconews/sehk/2023/0927/2023092700046.htm","allotment")</f>
        <v/>
      </c>
      <c r="BM209" s="76">
        <f>HYPERLINK("https://www1.hkexnews.hk/listedco/listconews/sehk/2023/1023/2023102300009.pdf","stabilisation")</f>
        <v/>
      </c>
      <c r="BN209" s="74" t="n"/>
      <c r="BO209" s="62" t="inlineStr">
        <is>
          <t>A/H: no A-share listing · sponsor: English name not in the filing text; AAStocks 保薦人 shown · market cap: estimate from stated market capitalisation disagreed with the published listing cap — published figure adopted · deal size: stated gross HK$29.5m rejected — below the deal's own net proceeds HK$138.1m, which cannot happen</t>
        </is>
      </c>
    </row>
    <row r="210" ht="15" customHeight="1">
      <c r="A210" s="61" t="inlineStr">
        <is>
          <t>6682</t>
        </is>
      </c>
      <c r="B210" s="62" t="inlineStr">
        <is>
          <t>FOURTH PARADIGM</t>
        </is>
      </c>
      <c r="C210" s="62" t="inlineStr">
        <is>
          <t>範式智能</t>
        </is>
      </c>
      <c r="D210" s="62" t="inlineStr">
        <is>
          <t>Tech/AI</t>
        </is>
      </c>
      <c r="E210" s="62" t="inlineStr">
        <is>
          <t>AI application / agent software</t>
        </is>
      </c>
      <c r="F210" s="62" t="inlineStr">
        <is>
          <t>Application Software</t>
        </is>
      </c>
      <c r="G210" s="62" t="inlineStr">
        <is>
          <t>Standard</t>
        </is>
      </c>
      <c r="H210" s="63" t="n">
        <v>45197</v>
      </c>
      <c r="I210" s="64" t="n">
        <v>1022.8</v>
      </c>
      <c r="J210" s="62" t="inlineStr">
        <is>
          <t>gross (price x shares)</t>
        </is>
      </c>
      <c r="K210" s="65" t="n">
        <v>55.6</v>
      </c>
      <c r="L210" s="65" t="n">
        <v>61.16</v>
      </c>
      <c r="M210" s="65" t="n">
        <v>55.6</v>
      </c>
      <c r="N210" s="62" t="inlineStr">
        <is>
          <t>N</t>
        </is>
      </c>
      <c r="O210" s="66" t="n">
        <v>90.90000000000001</v>
      </c>
      <c r="P210" s="66" t="n">
        <v>0</v>
      </c>
      <c r="Q210" s="67" t="n">
        <v>22578.4</v>
      </c>
      <c r="R210" s="62" t="inlineStr">
        <is>
          <t>derived:deal size / offer % of enlarged capital</t>
        </is>
      </c>
      <c r="S210" s="68" t="n">
        <v>11.4</v>
      </c>
      <c r="T210" s="69" t="n">
        <v>1.57</v>
      </c>
      <c r="U210" s="70" t="n">
        <v>39.6</v>
      </c>
      <c r="V210" s="66" t="n">
        <v>2.74</v>
      </c>
      <c r="W210" s="62" t="inlineStr">
        <is>
          <t>Montage Technology Holdings Company Limited; New China Capital Management Limited</t>
        </is>
      </c>
      <c r="X210" s="62" t="inlineStr">
        <is>
          <t>montage;new</t>
        </is>
      </c>
      <c r="Y210" s="66" t="n">
        <v>17.6</v>
      </c>
      <c r="Z210" s="62" t="inlineStr">
        <is>
          <t>partial</t>
        </is>
      </c>
      <c r="AA210" s="71" t="n">
        <v>5.22</v>
      </c>
      <c r="AB210" s="72" t="n">
        <v>13.49</v>
      </c>
      <c r="AC210" s="72" t="n">
        <v>-7.29</v>
      </c>
      <c r="AD210" s="72" t="n">
        <v>-2.88</v>
      </c>
      <c r="AE210" s="72" t="n">
        <v>-6.47</v>
      </c>
      <c r="AF210" s="72" t="n">
        <v>-10.79</v>
      </c>
      <c r="AG210" s="72" t="n">
        <v>-7.7</v>
      </c>
      <c r="AH210" s="72" t="n">
        <v>-11.11</v>
      </c>
      <c r="AI210" s="72" t="n">
        <v>-15.22</v>
      </c>
      <c r="AJ210" s="72" t="n">
        <v>-2.51</v>
      </c>
      <c r="AK210" s="72" t="n">
        <v>-4.66</v>
      </c>
      <c r="AL210" s="72" t="n">
        <v>-7.97</v>
      </c>
      <c r="AM210" s="72" t="n">
        <v>-10.67</v>
      </c>
      <c r="AN210" s="72" t="n">
        <v>-1.81</v>
      </c>
      <c r="AO210" s="72" t="n">
        <v>-0.44</v>
      </c>
      <c r="AP210" s="62" t="inlineStr">
        <is>
          <t>HSTECH (Hang Seng TECH ETF)</t>
        </is>
      </c>
      <c r="AQ210" s="72" t="n">
        <v>-49.28</v>
      </c>
      <c r="AR210" s="63" t="inlineStr">
        <is>
          <t>2026-08-20</t>
        </is>
      </c>
      <c r="AS210" s="64" t="n">
        <v>3391.3</v>
      </c>
      <c r="AT210" s="67" t="n">
        <v>-1818.3</v>
      </c>
      <c r="AU210" s="62" t="inlineStr">
        <is>
          <t>N</t>
        </is>
      </c>
      <c r="AV210" s="62" t="inlineStr">
        <is>
          <t>n/m</t>
        </is>
      </c>
      <c r="AW210" s="73" t="n"/>
      <c r="AX210" s="73" t="n"/>
      <c r="AY210" s="73" t="n">
        <v>6.7</v>
      </c>
      <c r="AZ210" s="74" t="inlineStr">
        <is>
          <t>N</t>
        </is>
      </c>
      <c r="BA210" s="75">
        <f>IF('BBG Verify'!K210="","not filed — run on terminal",'BBG Verify'!K210)</f>
        <v/>
      </c>
      <c r="BB210" s="62" t="inlineStr">
        <is>
          <t>N/A</t>
        </is>
      </c>
      <c r="BC210" s="62" t="inlineStr">
        <is>
          <t>N/A</t>
        </is>
      </c>
      <c r="BD210" s="62" t="inlineStr">
        <is>
          <t>N/A</t>
        </is>
      </c>
      <c r="BE210" s="62" t="inlineStr">
        <is>
          <t>N/A</t>
        </is>
      </c>
      <c r="BF210" s="62" t="inlineStr">
        <is>
          <t>N/A</t>
        </is>
      </c>
      <c r="BG210" s="74" t="inlineStr">
        <is>
          <t>China International Capital Corporation Hong Kong Securities Limited</t>
        </is>
      </c>
      <c r="BH210" s="62" t="inlineStr">
        <is>
          <t>China International Capital Corporation Hong Kong Securities Limited</t>
        </is>
      </c>
      <c r="BI210" s="62" t="inlineStr">
        <is>
          <t>Huatai Financial Holdings (Hong Kong) Limited; ICBC International Securities Limited; BOCI Asia Limited; BOCOM International Securities Limited; CEB International Capital Corporation Limited; China Everbright Securities (HK) Limited; Central China International Capital Limited; North Beta International Securities Limited; China Sunrise Securities (International) Limited; Futu Securities International (Hong Kong) Limited; CNCB (Hong Kong) Capital Limited</t>
        </is>
      </c>
      <c r="BJ210" s="62" t="inlineStr">
        <is>
          <t>ABCI Securities Company Limited; Beta International Securities Limited; BOCI Asia Limited; CCB International Capital Limited; CEB International Capital Corporation Limited; Central China International Capital Limited; China Everbright Securities (HK) Limited; China International Capital Corporation Hong Kong Securities Limited; CMB International Capital Limited; China Merchants Securities (HK) Company Limited; CNCB (Hong Kong) Capital Limited; China Sunrise Securities (International) Limited</t>
        </is>
      </c>
      <c r="BK210" s="76">
        <f>HYPERLINK("https://www1.hkexnews.hk/listedco/listconews/sehk/2023/0918/2023091800009.pdf","prospectus")</f>
        <v/>
      </c>
      <c r="BL210" s="76">
        <f>HYPERLINK("https://www1.hkexnews.hk/listedco/listconews/sehk/2023/0927/2023092700070.htm","allotment")</f>
        <v/>
      </c>
      <c r="BM210" s="76">
        <f>HYPERLINK("https://www1.hkexnews.hk/listedco/listconews/sehk/2023/1023/2023102300123.pdf","stabilisation")</f>
        <v/>
      </c>
      <c r="BN210" s="74" t="n"/>
      <c r="BO210" s="62" t="inlineStr">
        <is>
          <t>P/E: n/m — loss-making at IPO (use P/S) · A/H: no A line; closest listed proxy {'code': '600588.SS', 'name': 'Yonyou Network', 'rationale': 'Enterprise-software platform embedding AI into corporate decision/ERP workflows — closest A-share enterprise-AI software exposure.'} · cornerstone: AAStocks institutional table includes non-cornerstone orders (superset) — cornerstone % is from the prospectus</t>
        </is>
      </c>
    </row>
    <row r="211" ht="15" customHeight="1">
      <c r="A211" s="61" t="inlineStr">
        <is>
          <t>1973</t>
        </is>
      </c>
      <c r="B211" s="62" t="inlineStr">
        <is>
          <t>TIAN TU CAPITAL</t>
        </is>
      </c>
      <c r="C211" s="62" t="inlineStr">
        <is>
          <t>天圖投資</t>
        </is>
      </c>
      <c r="D211" s="62" t="inlineStr">
        <is>
          <t>Financials</t>
        </is>
      </c>
      <c r="E211" s="62" t="inlineStr">
        <is>
          <t>Brokers / asset management</t>
        </is>
      </c>
      <c r="F211" s="62" t="inlineStr">
        <is>
          <t>Investment Holdings &amp; Assets Management</t>
        </is>
      </c>
      <c r="G211" s="62" t="inlineStr">
        <is>
          <t>Standard</t>
        </is>
      </c>
      <c r="H211" s="63" t="n">
        <v>45205</v>
      </c>
      <c r="I211" s="64" t="n">
        <v>1126.2</v>
      </c>
      <c r="J211" s="62" t="inlineStr">
        <is>
          <t>gross (price x shares)</t>
        </is>
      </c>
      <c r="K211" s="65" t="n">
        <v>5.8</v>
      </c>
      <c r="L211" s="65" t="n">
        <v>11.4</v>
      </c>
      <c r="M211" s="65" t="n">
        <v>6.5</v>
      </c>
      <c r="N211" s="62" t="inlineStr">
        <is>
          <t>N</t>
        </is>
      </c>
      <c r="O211" s="66" t="n">
        <v>57</v>
      </c>
      <c r="P211" s="66" t="n">
        <v>12.5</v>
      </c>
      <c r="Q211" s="67" t="n">
        <v>6232.5</v>
      </c>
      <c r="R211" s="62" t="inlineStr">
        <is>
          <t>aastocks:上市市值 at the struck price</t>
        </is>
      </c>
      <c r="S211" s="68" t="n">
        <v>0.26</v>
      </c>
      <c r="T211" s="69" t="n">
        <v>1.28</v>
      </c>
      <c r="U211" s="70" t="n">
        <v>44.2</v>
      </c>
      <c r="V211" s="66" t="n">
        <v>10.08</v>
      </c>
      <c r="W211" s="62" t="inlineStr">
        <is>
          <t>Qingdao Haiming, Qingdao Hainuo and Qingdao Financial; Shenzhen Futian Guiding Fund Investment Co., Ltd</t>
        </is>
      </c>
      <c r="X211" s="62" t="inlineStr">
        <is>
          <t>qingdao;shenzhen-futian</t>
        </is>
      </c>
      <c r="Y211" s="66" t="n">
        <v>15.21</v>
      </c>
      <c r="Z211" s="62" t="inlineStr">
        <is>
          <t>lapsed (no over-allocation)</t>
        </is>
      </c>
      <c r="AA211" s="71" t="n">
        <v>-24.92</v>
      </c>
      <c r="AB211" s="72" t="n">
        <v>-17.08</v>
      </c>
      <c r="AC211" s="72" t="n">
        <v>-9.449999999999999</v>
      </c>
      <c r="AD211" s="72" t="n">
        <v>-38.46</v>
      </c>
      <c r="AE211" s="72" t="n">
        <v>-13.85</v>
      </c>
      <c r="AF211" s="72" t="n">
        <v>-20.15</v>
      </c>
      <c r="AG211" s="72" t="n">
        <v>-18.03</v>
      </c>
      <c r="AH211" s="72" t="n">
        <v>14.74</v>
      </c>
      <c r="AI211" s="72" t="n">
        <v>6.35</v>
      </c>
      <c r="AJ211" s="72" t="n">
        <v>-42.8</v>
      </c>
      <c r="AK211" s="72" t="n">
        <v>-15.01</v>
      </c>
      <c r="AL211" s="72" t="n">
        <v>-17.37</v>
      </c>
      <c r="AM211" s="72" t="n">
        <v>15.47</v>
      </c>
      <c r="AN211" s="72" t="n">
        <v>1.16</v>
      </c>
      <c r="AO211" s="72" t="n">
        <v>-0.73</v>
      </c>
      <c r="AP211" s="62" t="inlineStr">
        <is>
          <t>Hang Seng Finance sub-index</t>
        </is>
      </c>
      <c r="AQ211" s="72" t="n">
        <v>-69.23</v>
      </c>
      <c r="AR211" s="63" t="inlineStr">
        <is>
          <t>2026-08-19</t>
        </is>
      </c>
      <c r="AS211" s="64" t="n">
        <v>465.5</v>
      </c>
      <c r="AT211" s="67" t="n">
        <v>823.9</v>
      </c>
      <c r="AU211" s="62" t="inlineStr">
        <is>
          <t>Y</t>
        </is>
      </c>
      <c r="AV211" s="73" t="n">
        <v>7.6</v>
      </c>
      <c r="AW211" s="73" t="n"/>
      <c r="AX211" s="73" t="n">
        <v>6</v>
      </c>
      <c r="AY211" s="73" t="n">
        <v>13.4</v>
      </c>
      <c r="AZ211" s="74" t="inlineStr">
        <is>
          <t>N</t>
        </is>
      </c>
      <c r="BA211" s="75">
        <f>IF('BBG Verify'!K211="","not filed — run on terminal",'BBG Verify'!K211)</f>
        <v/>
      </c>
      <c r="BB211" s="62" t="inlineStr">
        <is>
          <t>N/A</t>
        </is>
      </c>
      <c r="BC211" s="62" t="inlineStr">
        <is>
          <t>N/A</t>
        </is>
      </c>
      <c r="BD211" s="62" t="inlineStr">
        <is>
          <t>N/A</t>
        </is>
      </c>
      <c r="BE211" s="62" t="inlineStr">
        <is>
          <t>N/A</t>
        </is>
      </c>
      <c r="BF211" s="62" t="inlineStr">
        <is>
          <t>N/A</t>
        </is>
      </c>
      <c r="BG211" s="74" t="inlineStr">
        <is>
          <t>Huatai Financial Holdings (Hong Kong) Limited; BOCI Asia Limited</t>
        </is>
      </c>
      <c r="BH211" s="62" t="inlineStr">
        <is>
          <t>Huatai Financial Holdings (Hong Kong) Limited; BOCI Asia Limited</t>
        </is>
      </c>
      <c r="BI211" s="62" t="inlineStr">
        <is>
          <t>Huatai Financial Holdings (Hong Kong) Limited; BOCI Asia Limited; Zhongtai International Securities Limited; China Galaxy International Securities (Hong Kong) Co., Limited; CMB International Capital Limited; China Industrial Securities International Capital Limited; Essence International Securities (Hong Kong) Limited; CCB International Capital Limited; BOCOM International Securities Limited; ABCI Capital Limited; Guodu Securities (Hong Kong) Limited; Tiger Brokers (HK) Global Limited</t>
        </is>
      </c>
      <c r="BJ211" s="62" t="inlineStr">
        <is>
          <t>ABCI Securities Company Limited; Beta International Securities Limited; BOCI Asia Limited; CCB International Capital Limited; China Galaxy International Securities (Hong Kong) Company Limited; China Industrial Securities International Capital Limited; CMB International Capital Limited; Essence International Securities (Hong Kong) Limited; Futu Securities International (Hong Kong) Limited; Guodu Securities (Hong Kong) Limited; Huatai Financial Holdings (Hong Kong) Limited; ICBC International Securities Limited</t>
        </is>
      </c>
      <c r="BK211" s="76">
        <f>HYPERLINK("https://www1.hkexnews.hk/listedco/listconews/sehk/2023/0925/2023092500007.pdf","prospectus")</f>
        <v/>
      </c>
      <c r="BL211" s="76">
        <f>HYPERLINK("https://www1.hkexnews.hk/listedco/listconews/sehk/2023/1005/2023100500006.htm","allotment")</f>
        <v/>
      </c>
      <c r="BM211" s="76">
        <f>HYPERLINK("https://www1.hkexnews.hk/listedco/listconews/sehk/2023/1101/2023110102578.pdf","stabilisation")</f>
        <v/>
      </c>
      <c r="BN211" s="74" t="n"/>
      <c r="BO211" s="62" t="inlineStr">
        <is>
          <t>A/H: no A-share listing · market cap: estimate from stated market capitalisation disagreed with the published listing cap — published figure adopted · financials rejected: net income exceeds total income via equity-method investment gains — normal for an investment firm; both figures are as filed</t>
        </is>
      </c>
    </row>
    <row r="212" ht="15" customHeight="1">
      <c r="A212" s="61" t="inlineStr">
        <is>
          <t>2501</t>
        </is>
      </c>
      <c r="B212" s="62" t="inlineStr">
        <is>
          <t>MAIYUE TECH</t>
        </is>
      </c>
      <c r="C212" s="62" t="inlineStr">
        <is>
          <t>邁越科技</t>
        </is>
      </c>
      <c r="D212" s="62" t="inlineStr">
        <is>
          <t>Tech/AI</t>
        </is>
      </c>
      <c r="E212" s="62" t="inlineStr">
        <is>
          <t>AI application / agent software</t>
        </is>
      </c>
      <c r="F212" s="62" t="inlineStr">
        <is>
          <t>IT Consulting &amp; Other Services</t>
        </is>
      </c>
      <c r="G212" s="62" t="inlineStr">
        <is>
          <t>Standard</t>
        </is>
      </c>
      <c r="H212" s="63" t="n">
        <v>45210</v>
      </c>
      <c r="I212" s="64" t="n">
        <v>147.5</v>
      </c>
      <c r="J212" s="62" t="inlineStr">
        <is>
          <t>gross (price x shares)</t>
        </is>
      </c>
      <c r="K212" s="65" t="n"/>
      <c r="L212" s="65" t="n">
        <v>1.18</v>
      </c>
      <c r="M212" s="65" t="n">
        <v>1.18</v>
      </c>
      <c r="N212" s="62" t="inlineStr">
        <is>
          <t>Y</t>
        </is>
      </c>
      <c r="O212" s="66" t="n">
        <v>100</v>
      </c>
      <c r="P212" s="66" t="n"/>
      <c r="Q212" s="67" t="n">
        <v>612.5</v>
      </c>
      <c r="R212" s="62" t="inlineStr">
        <is>
          <t>aastocks:上市市值 at the struck price</t>
        </is>
      </c>
      <c r="S212" s="68" t="n">
        <v>2.46</v>
      </c>
      <c r="T212" s="69" t="n">
        <v>1.16</v>
      </c>
      <c r="U212" s="70" t="n">
        <v>0</v>
      </c>
      <c r="V212" s="66" t="n">
        <v>24.08</v>
      </c>
      <c r="W212" s="62" t="n"/>
      <c r="X212" s="62" t="n"/>
      <c r="Y212" s="66" t="n">
        <v>15</v>
      </c>
      <c r="Z212" s="62" t="n"/>
      <c r="AA212" s="71" t="n">
        <v>38.14</v>
      </c>
      <c r="AB212" s="72" t="n">
        <v>4.24</v>
      </c>
      <c r="AC212" s="72" t="n">
        <v>32.52</v>
      </c>
      <c r="AD212" s="72" t="n">
        <v>14.41</v>
      </c>
      <c r="AE212" s="72" t="n">
        <v>11.86</v>
      </c>
      <c r="AF212" s="72" t="n">
        <v>-2.54</v>
      </c>
      <c r="AG212" s="72" t="n">
        <v>-17.18</v>
      </c>
      <c r="AH212" s="72" t="n">
        <v>-19.02</v>
      </c>
      <c r="AI212" s="72" t="n">
        <v>-29.45</v>
      </c>
      <c r="AJ212" s="72" t="n">
        <v>16.88</v>
      </c>
      <c r="AK212" s="72" t="n">
        <v>11.6</v>
      </c>
      <c r="AL212" s="72" t="n">
        <v>8.029999999999999</v>
      </c>
      <c r="AM212" s="72" t="n">
        <v>-17.22</v>
      </c>
      <c r="AN212" s="72" t="n">
        <v>0.26</v>
      </c>
      <c r="AO212" s="72" t="n">
        <v>-1.8</v>
      </c>
      <c r="AP212" s="62" t="inlineStr">
        <is>
          <t>HSTECH (Hang Seng TECH ETF)</t>
        </is>
      </c>
      <c r="AQ212" s="72" t="n">
        <v>23.73</v>
      </c>
      <c r="AR212" s="63" t="inlineStr">
        <is>
          <t>2026-08-20</t>
        </is>
      </c>
      <c r="AS212" s="64" t="n">
        <v>267.6</v>
      </c>
      <c r="AT212" s="67" t="n">
        <v>54</v>
      </c>
      <c r="AU212" s="62" t="inlineStr">
        <is>
          <t>Y</t>
        </is>
      </c>
      <c r="AV212" s="73" t="n">
        <v>11.3</v>
      </c>
      <c r="AW212" s="73" t="n"/>
      <c r="AX212" s="73" t="n">
        <v>100.2</v>
      </c>
      <c r="AY212" s="73" t="n">
        <v>2.3</v>
      </c>
      <c r="AZ212" s="74" t="inlineStr">
        <is>
          <t>N</t>
        </is>
      </c>
      <c r="BA212" s="75">
        <f>IF('BBG Verify'!K212="","not filed — run on terminal",'BBG Verify'!K212)</f>
        <v/>
      </c>
      <c r="BB212" s="62" t="inlineStr">
        <is>
          <t>N/A</t>
        </is>
      </c>
      <c r="BC212" s="62" t="inlineStr">
        <is>
          <t>N/A</t>
        </is>
      </c>
      <c r="BD212" s="62" t="inlineStr">
        <is>
          <t>N/A</t>
        </is>
      </c>
      <c r="BE212" s="62" t="inlineStr">
        <is>
          <t>N/A</t>
        </is>
      </c>
      <c r="BF212" s="62" t="inlineStr">
        <is>
          <t>N/A</t>
        </is>
      </c>
      <c r="BG212" s="74" t="inlineStr">
        <is>
          <t>Quam Capital Limited</t>
        </is>
      </c>
      <c r="BH212" s="62" t="inlineStr">
        <is>
          <t>Quam Capital Limited</t>
        </is>
      </c>
      <c r="BI212" s="62" t="inlineStr">
        <is>
          <t>Quam Securities Limited; ABCI Capital Limited; BOCOM International Securities Limited; China Galaxy International Securities (Hong Kong) Co., Limited; CMB International Capital Limited; Guotai Junan Securities (Hong Kong) Limited; Zhongtai International Securities Limited; CMBC Securities Company Limited; Eddid Securities and Futures Limited; Innovax Securities Limited; Valuable Capital Limited</t>
        </is>
      </c>
      <c r="BJ212" s="62" t="inlineStr">
        <is>
          <t>ABCI Securities Company Limited; Beta International Securities Limited; China Galaxy International Securities (Hong Kong) Company Limited; CMBC Securities Company Limited; CMB International Capital Limited; Eddid Securities and Futures Limited; Guotai Junan Securities (Hong Kong) Limited; Innovax Securities Limited; Quam Securities Limited; Valuable Capital Limited; Yue Xiu Securities Company Limited; Zhongtai International Securities Limited</t>
        </is>
      </c>
      <c r="BK212" s="76">
        <f>HYPERLINK("https://www1.hkexnews.hk/listedco/listconews/sehk/2023/0928/2023092800100.htm","prospectus")</f>
        <v/>
      </c>
      <c r="BL212" s="76">
        <f>HYPERLINK("https://www1.hkexnews.hk/listedco/listconews/sehk/2023/1010/2023101000016.htm","allotment")</f>
        <v/>
      </c>
      <c r="BM212" s="62" t="n"/>
      <c r="BN212" s="74" t="n"/>
      <c r="BO212" s="62" t="inlineStr">
        <is>
          <t>greenshoe: end-of-stabilisation notice not located · price range: fixed-price offering (no indicative range) · range low: cap-only pricing — the filing publishes a Maximum Offer Price and no indicative floor · A/H: no A-share listing · cornerstone list: no cornerstone tranche in this deal</t>
        </is>
      </c>
    </row>
    <row r="213" ht="15" customHeight="1">
      <c r="A213" s="61" t="inlineStr">
        <is>
          <t>9676</t>
        </is>
      </c>
      <c r="B213" s="62" t="inlineStr">
        <is>
          <t>SHIYUE DAOTIAN</t>
        </is>
      </c>
      <c r="C213" s="62" t="inlineStr">
        <is>
          <t>十月稻田</t>
        </is>
      </c>
      <c r="D213" s="62" t="inlineStr">
        <is>
          <t>Consumer</t>
        </is>
      </c>
      <c r="E213" s="62" t="inlineStr">
        <is>
          <t>Beverages / packaged food</t>
        </is>
      </c>
      <c r="F213" s="62" t="inlineStr">
        <is>
          <t>Packaged Foods</t>
        </is>
      </c>
      <c r="G213" s="62" t="inlineStr">
        <is>
          <t>Standard</t>
        </is>
      </c>
      <c r="H213" s="63" t="n">
        <v>45211</v>
      </c>
      <c r="I213" s="64" t="n">
        <v>820.3</v>
      </c>
      <c r="J213" s="62" t="inlineStr">
        <is>
          <t>gross (price x shares)</t>
        </is>
      </c>
      <c r="K213" s="65" t="n">
        <v>13</v>
      </c>
      <c r="L213" s="65" t="n">
        <v>15.8</v>
      </c>
      <c r="M213" s="65" t="n">
        <v>15.36</v>
      </c>
      <c r="N213" s="62" t="inlineStr">
        <is>
          <t>N</t>
        </is>
      </c>
      <c r="O213" s="66" t="n">
        <v>97.2</v>
      </c>
      <c r="P213" s="66" t="n">
        <v>84.3</v>
      </c>
      <c r="Q213" s="67" t="n">
        <v>16406</v>
      </c>
      <c r="R213" s="62" t="inlineStr">
        <is>
          <t>derived:deal size / offer % of enlarged capital</t>
        </is>
      </c>
      <c r="S213" s="68" t="n">
        <v>1.31</v>
      </c>
      <c r="T213" s="69" t="n">
        <v>1.26</v>
      </c>
      <c r="U213" s="70" t="n">
        <v>25.4</v>
      </c>
      <c r="V213" s="66" t="n">
        <v>3.73</v>
      </c>
      <c r="W213" s="62" t="inlineStr">
        <is>
          <t>Xinmin Tianshi Agricultural Industry Development Company Limited</t>
        </is>
      </c>
      <c r="X213" s="62" t="inlineStr">
        <is>
          <t>xinmin</t>
        </is>
      </c>
      <c r="Y213" s="66" t="n"/>
      <c r="Z213" s="62" t="n"/>
      <c r="AA213" s="71" t="n">
        <v>22.66</v>
      </c>
      <c r="AB213" s="72" t="n">
        <v>8.07</v>
      </c>
      <c r="AC213" s="72" t="n">
        <v>13.5</v>
      </c>
      <c r="AD213" s="72" t="n">
        <v>60.81</v>
      </c>
      <c r="AE213" s="72" t="n">
        <v>61.46</v>
      </c>
      <c r="AF213" s="72" t="n">
        <v>68.29000000000001</v>
      </c>
      <c r="AG213" s="72" t="n">
        <v>31.1</v>
      </c>
      <c r="AH213" s="72" t="n">
        <v>31.63</v>
      </c>
      <c r="AI213" s="72" t="n">
        <v>37.2</v>
      </c>
      <c r="AJ213" s="72" t="n">
        <v>64.68000000000001</v>
      </c>
      <c r="AK213" s="72" t="n">
        <v>63.15</v>
      </c>
      <c r="AL213" s="72" t="n">
        <v>80.25</v>
      </c>
      <c r="AM213" s="72" t="n">
        <v>34.98</v>
      </c>
      <c r="AN213" s="72" t="n">
        <v>-1.69</v>
      </c>
      <c r="AO213" s="72" t="n">
        <v>-3.35</v>
      </c>
      <c r="AP213" s="62" t="inlineStr">
        <is>
          <t>Hang Seng Commerce &amp; Industry sub-index</t>
        </is>
      </c>
      <c r="AQ213" s="72" t="n">
        <v>-68.39</v>
      </c>
      <c r="AR213" s="63" t="inlineStr">
        <is>
          <t>2026-08-20</t>
        </is>
      </c>
      <c r="AS213" s="64" t="n">
        <v>4986.2</v>
      </c>
      <c r="AT213" s="67" t="n">
        <v>-413.4</v>
      </c>
      <c r="AU213" s="62" t="inlineStr">
        <is>
          <t>N</t>
        </is>
      </c>
      <c r="AV213" s="62" t="inlineStr">
        <is>
          <t>n/m</t>
        </is>
      </c>
      <c r="AW213" s="73" t="n"/>
      <c r="AX213" s="73" t="n">
        <v>9.199999999999999</v>
      </c>
      <c r="AY213" s="73" t="n">
        <v>3.3</v>
      </c>
      <c r="AZ213" s="74" t="inlineStr">
        <is>
          <t>N</t>
        </is>
      </c>
      <c r="BA213" s="75">
        <f>IF('BBG Verify'!K213="","not filed — run on terminal",'BBG Verify'!K213)</f>
        <v/>
      </c>
      <c r="BB213" s="62" t="inlineStr">
        <is>
          <t>N/A</t>
        </is>
      </c>
      <c r="BC213" s="62" t="inlineStr">
        <is>
          <t>N/A</t>
        </is>
      </c>
      <c r="BD213" s="62" t="inlineStr">
        <is>
          <t>N/A</t>
        </is>
      </c>
      <c r="BE213" s="62" t="inlineStr">
        <is>
          <t>N/A</t>
        </is>
      </c>
      <c r="BF213" s="62" t="inlineStr">
        <is>
          <t>N/A</t>
        </is>
      </c>
      <c r="BG213" s="74" t="n"/>
      <c r="BH213" s="62" t="inlineStr">
        <is>
          <t>China International Capital Corporation Hong Kong Securities Limited; Morgan Stanley Asia Limited; China Securities (International) Corporate Finance Company Limited</t>
        </is>
      </c>
      <c r="BI213" s="62" t="inlineStr">
        <is>
          <t>Morgan Stanley Asia Limited; China International Capital Corporation Hong Kong Securities Limited; China Securities (International) Corporate Finance Company Limited</t>
        </is>
      </c>
      <c r="BJ213" s="62" t="inlineStr">
        <is>
          <t>China International Capital Corporation Hong Kong Securities Limited; China Securities (International) Corporate Finance Company Limited; Morgan Stanley Asia Limited; Tiger Brokers (HK) Global Limited</t>
        </is>
      </c>
      <c r="BK213" s="76">
        <f>HYPERLINK("https://www1.hkexnews.hk/listedco/listconews/sehk/2023/0928/2023092800446.pdf","prospectus")</f>
        <v/>
      </c>
      <c r="BL213" s="76">
        <f>HYPERLINK("https://www1.hkexnews.hk/listedco/listconews/sehk/2023/1011/2023101100010.htm","allotment")</f>
        <v/>
      </c>
      <c r="BM213" s="62" t="n"/>
      <c r="BN213" s="74" t="n"/>
      <c r="BO213" s="62" t="inlineStr">
        <is>
          <t>P/E: n/m — loss-making at IPO (use P/S) · greenshoe: no over-allotment option in the offer structure · A/H: no A-share listing · sponsor: English name not in the filing text; AAStocks 保薦人 shown · greenshoe size: no over-allotment option in the offer structure</t>
        </is>
      </c>
    </row>
    <row r="214" ht="15" customHeight="1">
      <c r="A214" s="61" t="inlineStr">
        <is>
          <t>2451</t>
        </is>
      </c>
      <c r="B214" s="62" t="inlineStr">
        <is>
          <t>LUYUAN GP HLDG</t>
        </is>
      </c>
      <c r="C214" s="62" t="inlineStr">
        <is>
          <t>綠源集團控股</t>
        </is>
      </c>
      <c r="D214" s="62" t="inlineStr">
        <is>
          <t>Consumer</t>
        </is>
      </c>
      <c r="E214" s="62" t="inlineStr">
        <is>
          <t>Autos (NEV OEM)</t>
        </is>
      </c>
      <c r="F214" s="62" t="inlineStr">
        <is>
          <t>Automobile Manufacturers</t>
        </is>
      </c>
      <c r="G214" s="62" t="inlineStr">
        <is>
          <t>Standard</t>
        </is>
      </c>
      <c r="H214" s="63" t="n">
        <v>45211</v>
      </c>
      <c r="I214" s="64" t="n">
        <v>786.1</v>
      </c>
      <c r="J214" s="62" t="inlineStr">
        <is>
          <t>gross (price x shares)</t>
        </is>
      </c>
      <c r="K214" s="65" t="n">
        <v>6</v>
      </c>
      <c r="L214" s="65" t="n">
        <v>8</v>
      </c>
      <c r="M214" s="65" t="n">
        <v>7.37</v>
      </c>
      <c r="N214" s="62" t="inlineStr">
        <is>
          <t>N</t>
        </is>
      </c>
      <c r="O214" s="66" t="n">
        <v>92.09999999999999</v>
      </c>
      <c r="P214" s="66" t="n">
        <v>68.5</v>
      </c>
      <c r="Q214" s="67" t="n">
        <v>2560</v>
      </c>
      <c r="R214" s="62" t="inlineStr">
        <is>
          <t>prospectus:stated market capitalisation</t>
        </is>
      </c>
      <c r="S214" s="68" t="n">
        <v>15</v>
      </c>
      <c r="T214" s="69" t="n">
        <v>1.13</v>
      </c>
      <c r="U214" s="70" t="n">
        <v>31.1</v>
      </c>
      <c r="V214" s="66" t="n">
        <v>21.16</v>
      </c>
      <c r="W214" s="62" t="inlineStr">
        <is>
          <t>Chongqing Dazuhuaiyuan Construction Investment Co., L; Hainan Dongfang Runze Private Equity Fund Management Co., Ltd; Jinhua Industrial Fund Co., Ltd; Jinhua Jinkai State Owned Capital Investments Co., Ltd; Phylion Battery Co., Ltd</t>
        </is>
      </c>
      <c r="X214" s="62" t="inlineStr">
        <is>
          <t>chongqing;hainan;jinhua;phylion</t>
        </is>
      </c>
      <c r="Y214" s="66" t="n"/>
      <c r="Z214" s="62" t="n"/>
      <c r="AA214" s="71" t="n">
        <v>0.95</v>
      </c>
      <c r="AB214" s="72" t="n">
        <v>-0.41</v>
      </c>
      <c r="AC214" s="72" t="n">
        <v>1.37</v>
      </c>
      <c r="AD214" s="72" t="n">
        <v>-1.63</v>
      </c>
      <c r="AE214" s="72" t="n">
        <v>0.54</v>
      </c>
      <c r="AF214" s="72" t="n">
        <v>-1.36</v>
      </c>
      <c r="AG214" s="72" t="n">
        <v>-2.56</v>
      </c>
      <c r="AH214" s="72" t="n">
        <v>-0.41</v>
      </c>
      <c r="AI214" s="72" t="n">
        <v>-2.29</v>
      </c>
      <c r="AJ214" s="72" t="n">
        <v>2.24</v>
      </c>
      <c r="AK214" s="72" t="n">
        <v>2.23</v>
      </c>
      <c r="AL214" s="72" t="n">
        <v>10.6</v>
      </c>
      <c r="AM214" s="72" t="n">
        <v>2.94</v>
      </c>
      <c r="AN214" s="72" t="n">
        <v>-1.69</v>
      </c>
      <c r="AO214" s="72" t="n">
        <v>-3.35</v>
      </c>
      <c r="AP214" s="62" t="inlineStr">
        <is>
          <t>Hang Seng Commerce &amp; Industry sub-index</t>
        </is>
      </c>
      <c r="AQ214" s="72" t="n">
        <v>77.61</v>
      </c>
      <c r="AR214" s="63" t="inlineStr">
        <is>
          <t>2026-08-20</t>
        </is>
      </c>
      <c r="AS214" s="64" t="n">
        <v>5261.3</v>
      </c>
      <c r="AT214" s="67" t="n">
        <v>129.8</v>
      </c>
      <c r="AU214" s="62" t="inlineStr">
        <is>
          <t>Y</t>
        </is>
      </c>
      <c r="AV214" s="73" t="n">
        <v>19.7</v>
      </c>
      <c r="AW214" s="73" t="n"/>
      <c r="AX214" s="73" t="n">
        <v>24.3</v>
      </c>
      <c r="AY214" s="73" t="n">
        <v>0.5</v>
      </c>
      <c r="AZ214" s="74" t="inlineStr">
        <is>
          <t>N</t>
        </is>
      </c>
      <c r="BA214" s="75">
        <f>IF('BBG Verify'!K214="","not filed — run on terminal",'BBG Verify'!K214)</f>
        <v/>
      </c>
      <c r="BB214" s="62" t="inlineStr">
        <is>
          <t>N/A</t>
        </is>
      </c>
      <c r="BC214" s="62" t="inlineStr">
        <is>
          <t>N/A</t>
        </is>
      </c>
      <c r="BD214" s="62" t="inlineStr">
        <is>
          <t>N/A</t>
        </is>
      </c>
      <c r="BE214" s="62" t="inlineStr">
        <is>
          <t>N/A</t>
        </is>
      </c>
      <c r="BF214" s="62" t="inlineStr">
        <is>
          <t>N/A</t>
        </is>
      </c>
      <c r="BG214" s="74" t="n"/>
      <c r="BH214" s="62" t="inlineStr">
        <is>
          <t>China Securities (International) Corporate Finance Company Limited</t>
        </is>
      </c>
      <c r="BI214" s="62" t="inlineStr">
        <is>
          <t>China Securities (International) Corporate Finance Company Limited; TFI Securities and Futures Limited; ABCI Capital Limited; Guotai Junan Securities (Hong Kong) Limited; CMB International Capital Limited; ICBC International Securities Limited; Daiwa Capital Markets Hong Kong Limited; Valuable Capital Limited; Livermore Holdings Limited; Futu Securities International (Hong Kong) Limited; SBI China Capital Financial Services Limited; China Galaxy International Securities (Hong Kong) Co., Limited</t>
        </is>
      </c>
      <c r="BJ214" s="62" t="inlineStr">
        <is>
          <t>ABCI Securities Company Limited; China Galaxy International Securities (Hong Kong) Company Limited; CMB International Capital Limited; China Securities (International) Corporate Finance Company Limited; Daiwa Capital Markets Hong Kong Limited; Futu Securities International (Hong Kong) Limited; Guotai Junan Securities (Hong Kong) Limited; ICBC International Securities Limited; Livermore Holdings Limited; SBI China Capital Financial Services Limited; SPDB International Capital Limited; TFI Securities and Futures Limited</t>
        </is>
      </c>
      <c r="BK214" s="76">
        <f>HYPERLINK("https://www1.hkexnews.hk/listedco/listconews/sehk/2023/0928/2023092800027.pdf","prospectus")</f>
        <v/>
      </c>
      <c r="BL214" s="76">
        <f>HYPERLINK("https://www1.hkexnews.hk/listedco/listconews/sehk/2023/1011/2023101100034.htm","allotment")</f>
        <v/>
      </c>
      <c r="BM214" s="62" t="n"/>
      <c r="BN214" s="74" t="n"/>
      <c r="BO214" s="62" t="inlineStr">
        <is>
          <t>greenshoe: no over-allotment option in the offer structure · A/H: no A-share listing · sponsor: English name not in the filing text; AAStocks 保薦人 shown · cornerstone: AAStocks institutional table includes non-cornerstone orders (superset) — cornerstone % is from the prospectus · greenshoe size: no over-allotment option in the offer structure · deal size: stated gross HK$31.5m rejected — below the deal's own net proceeds HK$706.4m, which cannot happen</t>
        </is>
      </c>
    </row>
    <row r="215" ht="15" customHeight="1">
      <c r="A215" s="61" t="inlineStr">
        <is>
          <t>1519</t>
        </is>
      </c>
      <c r="B215" s="62" t="inlineStr">
        <is>
          <t>J&amp;T EXPRESS-W</t>
        </is>
      </c>
      <c r="C215" s="62" t="inlineStr">
        <is>
          <t>極兔速遞－Ｗ</t>
        </is>
      </c>
      <c r="D215" s="62" t="inlineStr">
        <is>
          <t>Industrials</t>
        </is>
      </c>
      <c r="E215" s="62" t="inlineStr">
        <is>
          <t>Logistics</t>
        </is>
      </c>
      <c r="F215" s="62" t="inlineStr">
        <is>
          <t>Air Freight &amp; Logistics</t>
        </is>
      </c>
      <c r="G215" s="62" t="inlineStr">
        <is>
          <t>WVR</t>
        </is>
      </c>
      <c r="H215" s="63" t="n">
        <v>45226</v>
      </c>
      <c r="I215" s="64" t="n">
        <v>3918.6</v>
      </c>
      <c r="J215" s="62" t="inlineStr">
        <is>
          <t>gross (price x shares)</t>
        </is>
      </c>
      <c r="K215" s="65" t="n"/>
      <c r="L215" s="65" t="n">
        <v>12</v>
      </c>
      <c r="M215" s="65" t="n">
        <v>12</v>
      </c>
      <c r="N215" s="62" t="inlineStr">
        <is>
          <t>Y</t>
        </is>
      </c>
      <c r="O215" s="66" t="n">
        <v>100</v>
      </c>
      <c r="P215" s="66" t="n"/>
      <c r="Q215" s="67" t="n">
        <v>105750</v>
      </c>
      <c r="R215" s="62" t="inlineStr">
        <is>
          <t>prospectus:stated market capitalisation</t>
        </is>
      </c>
      <c r="S215" s="68" t="n">
        <v>1.36</v>
      </c>
      <c r="T215" s="69" t="n">
        <v>1.91</v>
      </c>
      <c r="U215" s="70" t="n">
        <v>39.88</v>
      </c>
      <c r="V215" s="66" t="n">
        <v>2.23</v>
      </c>
      <c r="W215" s="62" t="inlineStr">
        <is>
          <t>Aspex Master Fund; CELESTIAL OCEAN INVESTMENTS LIMITED; D1 SPV Jupiter (Hong Kong) Limited; D1 SPV Master Holdco I (Hong Kong) Limited; Dahlia Investments Pte. Ltd; Eternal Earn Holding Limited; Hidden Hill SPV VIII; Huang River Investment Limited; Jallion Global Limited; JNRY III HOLDINGS LIMITED; Joyous Tempinis Limited; Parallel Cluster Investment Limited; SC GGF III Holdco, Ltd</t>
        </is>
      </c>
      <c r="X215" s="62" t="inlineStr">
        <is>
          <t>aspex;celestial;d1;dahlia;eternal;hidden;huang-river;jallion;jnry;joyous;parallel;sc</t>
        </is>
      </c>
      <c r="Y215" s="66" t="n">
        <v>16.4</v>
      </c>
      <c r="Z215" s="62" t="inlineStr">
        <is>
          <t>lapsed</t>
        </is>
      </c>
      <c r="AA215" s="71" t="n">
        <v>0</v>
      </c>
      <c r="AB215" s="72" t="n">
        <v>0</v>
      </c>
      <c r="AC215" s="72" t="n">
        <v>0</v>
      </c>
      <c r="AD215" s="72" t="n">
        <v>3.33</v>
      </c>
      <c r="AE215" s="72" t="n">
        <v>-1.17</v>
      </c>
      <c r="AF215" s="72" t="n">
        <v>34</v>
      </c>
      <c r="AG215" s="72" t="n">
        <v>3.33</v>
      </c>
      <c r="AH215" s="72" t="n">
        <v>-1.17</v>
      </c>
      <c r="AI215" s="72" t="n">
        <v>34</v>
      </c>
      <c r="AJ215" s="72" t="n">
        <v>-0.78</v>
      </c>
      <c r="AK215" s="72" t="n">
        <v>-4.04</v>
      </c>
      <c r="AL215" s="72" t="n">
        <v>43.21</v>
      </c>
      <c r="AM215" s="72" t="n">
        <v>-1.55</v>
      </c>
      <c r="AN215" s="72" t="n">
        <v>2.87</v>
      </c>
      <c r="AO215" s="72" t="n">
        <v>0.38</v>
      </c>
      <c r="AP215" s="62" t="inlineStr">
        <is>
          <t>Hang Seng Commerce &amp; Industry sub-index</t>
        </is>
      </c>
      <c r="AQ215" s="72" t="n">
        <v>-16.33</v>
      </c>
      <c r="AR215" s="63" t="inlineStr">
        <is>
          <t>2026-08-20</t>
        </is>
      </c>
      <c r="AS215" s="64" t="n">
        <v>56685.9</v>
      </c>
      <c r="AT215" s="67" t="n">
        <v>12918.1</v>
      </c>
      <c r="AU215" s="62" t="inlineStr">
        <is>
          <t>Y</t>
        </is>
      </c>
      <c r="AV215" s="73" t="n">
        <v>8.199999999999999</v>
      </c>
      <c r="AW215" s="73" t="n"/>
      <c r="AX215" s="73" t="n">
        <v>54.9</v>
      </c>
      <c r="AY215" s="73" t="n">
        <v>1.9</v>
      </c>
      <c r="AZ215" s="74" t="inlineStr">
        <is>
          <t>N</t>
        </is>
      </c>
      <c r="BA215" s="75">
        <f>IF('BBG Verify'!K215="","not filed — run on terminal",'BBG Verify'!K215)</f>
        <v/>
      </c>
      <c r="BB215" s="62" t="inlineStr">
        <is>
          <t>N/A</t>
        </is>
      </c>
      <c r="BC215" s="62" t="inlineStr">
        <is>
          <t>N/A</t>
        </is>
      </c>
      <c r="BD215" s="62" t="inlineStr">
        <is>
          <t>N/A</t>
        </is>
      </c>
      <c r="BE215" s="62" t="inlineStr">
        <is>
          <t>N/A</t>
        </is>
      </c>
      <c r="BF215" s="62" t="inlineStr">
        <is>
          <t>N/A</t>
        </is>
      </c>
      <c r="BG215" s="74" t="inlineStr">
        <is>
          <t>Morgan Stanley Asia Limited; Merrill Lynch (Asia Pacific) Limited; Central, Hong Kong China International Capital Corporation Hong Kong Securities Limited</t>
        </is>
      </c>
      <c r="BH215" s="62" t="inlineStr">
        <is>
          <t>China International Capital Corporation Hong Kong Securities Limited; Morgan Stanley Asia Limited; Merrill Lynch (Asia Pacific) Limited</t>
        </is>
      </c>
      <c r="BI215" s="62" t="inlineStr">
        <is>
          <t>Morgan Stanley Asia Limited; Merrill Lynch (Asia Pacific) Limited; Central, Hong Kong China International Capital Corporation Hong Kong Securities Limited; Central, Hong Kong UBS AG Hong Kong Branch; CCB International Capital Limited; Central, Hong Kong CMB International Capital Limited; Huatai Financial Holdings (Hong Kong) Limited; BOCI Asia Limited; ABCI Capital Limited; ABCI Securities Company Limited</t>
        </is>
      </c>
      <c r="BJ215" s="62" t="inlineStr">
        <is>
          <t>ABCI Securities Company Limited; Beta International Securities Limited; BOCI Asia Limited; CCB International Capital Limited; China Galaxy International Securities (Hong Kong) Company Limited; China International Capital Corporation Hong Kong Securities Limited; CMB International Capital Limited; Deutsche Bank AG, Hong Kong Branch; DBS Asia Capital Limited; Daiwa Capital Markets Hong Kong Limited; Fosun International Securities Limited; Futu Securities International (Hong Kong) Limited</t>
        </is>
      </c>
      <c r="BK215" s="76">
        <f>HYPERLINK("https://www1.hkexnews.hk/listedco/listconews/sehk/2023/1016/2023101600009.pdf","prospectus")</f>
        <v/>
      </c>
      <c r="BL215" s="76">
        <f>HYPERLINK("https://www1.hkexnews.hk/listedco/listconews/sehk/2023/1026/2023102600028.htm","allotment")</f>
        <v/>
      </c>
      <c r="BM215" s="76">
        <f>HYPERLINK("https://www1.hkexnews.hk/listedco/listconews/sehk/2023/1119/2023111900085.pdf","stabilisation")</f>
        <v/>
      </c>
      <c r="BN215" s="74" t="n"/>
      <c r="BO215" s="62" t="inlineStr">
        <is>
          <t>range low: cap-only pricing — the filing publishes a Maximum Offer Price and no indicative floor · A/H: no A-share listing</t>
        </is>
      </c>
    </row>
    <row r="216" ht="15" customHeight="1">
      <c r="A216" s="61" t="inlineStr">
        <is>
          <t>2517</t>
        </is>
      </c>
      <c r="B216" s="62" t="inlineStr">
        <is>
          <t>GUOQUAN</t>
        </is>
      </c>
      <c r="C216" s="62" t="inlineStr">
        <is>
          <t>鍋圈</t>
        </is>
      </c>
      <c r="D216" s="62" t="inlineStr">
        <is>
          <t>Consumer</t>
        </is>
      </c>
      <c r="E216" s="62" t="inlineStr">
        <is>
          <t>Retail / distribution</t>
        </is>
      </c>
      <c r="F216" s="62" t="inlineStr">
        <is>
          <t>Packaged Foods</t>
        </is>
      </c>
      <c r="G216" s="62" t="inlineStr">
        <is>
          <t>Standard</t>
        </is>
      </c>
      <c r="H216" s="63" t="n">
        <v>45232</v>
      </c>
      <c r="I216" s="64" t="n">
        <v>411.4</v>
      </c>
      <c r="J216" s="62" t="inlineStr">
        <is>
          <t>gross (price x shares)</t>
        </is>
      </c>
      <c r="K216" s="65" t="n"/>
      <c r="L216" s="65" t="n">
        <v>5.98</v>
      </c>
      <c r="M216" s="65" t="n">
        <v>5.98</v>
      </c>
      <c r="N216" s="62" t="inlineStr">
        <is>
          <t>Y</t>
        </is>
      </c>
      <c r="O216" s="66" t="n">
        <v>100</v>
      </c>
      <c r="P216" s="66" t="n"/>
      <c r="Q216" s="67" t="n">
        <v>14186.2</v>
      </c>
      <c r="R216" s="62" t="inlineStr">
        <is>
          <t>derived:deal size / offer % of enlarged capital</t>
        </is>
      </c>
      <c r="S216" s="68" t="n">
        <v>4.34</v>
      </c>
      <c r="T216" s="69" t="n">
        <v>1.33</v>
      </c>
      <c r="U216" s="70" t="n">
        <v>53.6</v>
      </c>
      <c r="V216" s="66" t="n">
        <v>1.35</v>
      </c>
      <c r="W216" s="62" t="inlineStr">
        <is>
          <t>COFCO Capital Special Opportunity Fund 2 SP; Jiangsu Hengshun Vinegar Industry Co., Ltd; Jinding Capital Management (Shenzhen) Co., Ltd; Profit Joy (Hong Kong) Limited</t>
        </is>
      </c>
      <c r="X216" s="62" t="inlineStr">
        <is>
          <t>cofco;jiangsu;jinding;profit</t>
        </is>
      </c>
      <c r="Y216" s="66" t="n">
        <v>15</v>
      </c>
      <c r="Z216" s="62" t="inlineStr">
        <is>
          <t>partial</t>
        </is>
      </c>
      <c r="AA216" s="71" t="n">
        <v>0</v>
      </c>
      <c r="AB216" s="72" t="n">
        <v>0</v>
      </c>
      <c r="AC216" s="72" t="n">
        <v>0</v>
      </c>
      <c r="AD216" s="72" t="n">
        <v>6.52</v>
      </c>
      <c r="AE216" s="72" t="n">
        <v>22.91</v>
      </c>
      <c r="AF216" s="72" t="n">
        <v>42.14</v>
      </c>
      <c r="AG216" s="72" t="n">
        <v>6.52</v>
      </c>
      <c r="AH216" s="72" t="n">
        <v>22.91</v>
      </c>
      <c r="AI216" s="72" t="n">
        <v>42.14</v>
      </c>
      <c r="AJ216" s="72" t="n">
        <v>3.04</v>
      </c>
      <c r="AK216" s="72" t="n">
        <v>25.35</v>
      </c>
      <c r="AL216" s="72" t="n">
        <v>55.18</v>
      </c>
      <c r="AM216" s="72" t="n">
        <v>25.99</v>
      </c>
      <c r="AN216" s="72" t="n">
        <v>-2.44</v>
      </c>
      <c r="AO216" s="72" t="n">
        <v>-3.08</v>
      </c>
      <c r="AP216" s="62" t="inlineStr">
        <is>
          <t>Hang Seng Commerce &amp; Industry sub-index</t>
        </is>
      </c>
      <c r="AQ216" s="72" t="n">
        <v>-69.98</v>
      </c>
      <c r="AR216" s="63" t="inlineStr">
        <is>
          <t>2026-08-20</t>
        </is>
      </c>
      <c r="AS216" s="64" t="n">
        <v>7890.8</v>
      </c>
      <c r="AT216" s="67" t="n">
        <v>365.2</v>
      </c>
      <c r="AU216" s="62" t="inlineStr">
        <is>
          <t>Y</t>
        </is>
      </c>
      <c r="AV216" s="73" t="n">
        <v>38.8</v>
      </c>
      <c r="AW216" s="73" t="n"/>
      <c r="AX216" s="73" t="n">
        <v>9.6</v>
      </c>
      <c r="AY216" s="73" t="n">
        <v>1.8</v>
      </c>
      <c r="AZ216" s="74" t="inlineStr">
        <is>
          <t>N</t>
        </is>
      </c>
      <c r="BA216" s="75">
        <f>IF('BBG Verify'!K216="","not filed — run on terminal",'BBG Verify'!K216)</f>
        <v/>
      </c>
      <c r="BB216" s="62" t="inlineStr">
        <is>
          <t>N/A</t>
        </is>
      </c>
      <c r="BC216" s="62" t="inlineStr">
        <is>
          <t>N/A</t>
        </is>
      </c>
      <c r="BD216" s="62" t="inlineStr">
        <is>
          <t>N/A</t>
        </is>
      </c>
      <c r="BE216" s="62" t="inlineStr">
        <is>
          <t>N/A</t>
        </is>
      </c>
      <c r="BF216" s="62" t="inlineStr">
        <is>
          <t>N/A</t>
        </is>
      </c>
      <c r="BG216" s="74" t="inlineStr">
        <is>
          <t>Huatai Financial Holdings (Hong Kong) Limited; China International Capital Corporation Hong Kong Securities Limited</t>
        </is>
      </c>
      <c r="BH216" s="62" t="inlineStr">
        <is>
          <t>China International Capital Corporation Hong Kong Securities Limited; Huatai Financial Holdings (Hong Kong) Limited</t>
        </is>
      </c>
      <c r="BI216" s="62" t="inlineStr">
        <is>
          <t>Huatai Financial Holdings (Hong Kong) Limited; China International Capital Corporation Hong Kong Securities Limited; CMB International Capital Limited; Central China International Capital Limited</t>
        </is>
      </c>
      <c r="BJ216" s="62" t="inlineStr">
        <is>
          <t>Central China International Capital Limited; China International Capital Corporation Hong Kong Securities Limited; CMB International Capital Limited; Futu Securities International (Hong Kong) Limited; GF Securities (Hong Kong) Brokerage Limited; Huatai Financial Holdings (Hong Kong) Limited; Lighthouse Capital (HK) Financial Limited; Livermore Holdings Limited; Silverbricks Securities Company Limited; Tiger Brokers (HK) Global Limited; Victory Securities Company Limited</t>
        </is>
      </c>
      <c r="BK216" s="76">
        <f>HYPERLINK("https://www1.hkexnews.hk/listedco/listconews/sehk/2023/1020/2023102000007.pdf","prospectus")</f>
        <v/>
      </c>
      <c r="BL216" s="76">
        <f>HYPERLINK("https://www1.hkexnews.hk/listedco/listconews/sehk/2023/1101/2023110100018.htm","allotment")</f>
        <v/>
      </c>
      <c r="BM216" s="76">
        <f>HYPERLINK("https://www1.hkexnews.hk/listedco/listconews/sehk/2023/1127/2023112700202.pdf","stabilisation")</f>
        <v/>
      </c>
      <c r="BN216" s="74" t="n"/>
      <c r="BO216" s="62" t="inlineStr">
        <is>
          <t>range low: cap-only pricing — the filing publishes a Maximum Offer Price and no indicative floor · A/H: no A-share listing · cornerstone: table parse read 99% but the institutional total implies 54% — parse rejected, the AAStocks institutional total used (53.6%) · deal size: stated gross HK$16.5m rejected — below the deal's own net proceeds HK$356.5m, which cannot happen</t>
        </is>
      </c>
    </row>
    <row r="217" ht="15" customHeight="1">
      <c r="A217" s="61" t="inlineStr">
        <is>
          <t>2429</t>
        </is>
      </c>
      <c r="B217" s="62" t="inlineStr">
        <is>
          <t>UBOX ONLINE</t>
        </is>
      </c>
      <c r="C217" s="62" t="inlineStr">
        <is>
          <t>友寶在線</t>
        </is>
      </c>
      <c r="D217" s="62" t="inlineStr">
        <is>
          <t>Consumer</t>
        </is>
      </c>
      <c r="E217" s="62" t="inlineStr">
        <is>
          <t>Retail / distribution</t>
        </is>
      </c>
      <c r="F217" s="62" t="inlineStr">
        <is>
          <t>Hypermarkets, Supermarkets &amp; Convenience Stores</t>
        </is>
      </c>
      <c r="G217" s="62" t="inlineStr">
        <is>
          <t>Standard</t>
        </is>
      </c>
      <c r="H217" s="63" t="n">
        <v>45233</v>
      </c>
      <c r="I217" s="64" t="n">
        <v>233.7</v>
      </c>
      <c r="J217" s="62" t="inlineStr">
        <is>
          <t>gross (price x shares)</t>
        </is>
      </c>
      <c r="K217" s="65" t="n">
        <v>9.4</v>
      </c>
      <c r="L217" s="65" t="n">
        <v>11.4</v>
      </c>
      <c r="M217" s="65" t="n">
        <v>10.35</v>
      </c>
      <c r="N217" s="62" t="inlineStr">
        <is>
          <t>N</t>
        </is>
      </c>
      <c r="O217" s="66" t="n">
        <v>90.8</v>
      </c>
      <c r="P217" s="66" t="n">
        <v>47.5</v>
      </c>
      <c r="Q217" s="67" t="n">
        <v>7330.5</v>
      </c>
      <c r="R217" s="62" t="inlineStr">
        <is>
          <t>prospectus:stated market capitalisation</t>
        </is>
      </c>
      <c r="S217" s="68" t="n">
        <v>11.29</v>
      </c>
      <c r="T217" s="69" t="n">
        <v>1.41</v>
      </c>
      <c r="U217" s="70" t="n">
        <v>29.4</v>
      </c>
      <c r="V217" s="66" t="n">
        <v>2.25</v>
      </c>
      <c r="W217" s="62" t="inlineStr">
        <is>
          <t>Nayuki Holdings Limited; SensePower Management Limited; Shenzhen Maliujia Network Technology Co., Ltd; Wei Jinbing</t>
        </is>
      </c>
      <c r="X217" s="62" t="inlineStr">
        <is>
          <t>nayuki;sensepower;shenzhen-maliujia;wei-jinbing</t>
        </is>
      </c>
      <c r="Y217" s="66" t="n"/>
      <c r="Z217" s="62" t="n"/>
      <c r="AA217" s="71" t="n">
        <v>40.87</v>
      </c>
      <c r="AB217" s="72" t="n">
        <v>20.77</v>
      </c>
      <c r="AC217" s="72" t="n">
        <v>16.64</v>
      </c>
      <c r="AD217" s="72" t="n">
        <v>20.77</v>
      </c>
      <c r="AE217" s="72" t="n">
        <v>55.94</v>
      </c>
      <c r="AF217" s="72" t="n">
        <v>79.13</v>
      </c>
      <c r="AG217" s="72" t="n">
        <v>-14.27</v>
      </c>
      <c r="AH217" s="72" t="n">
        <v>10.7</v>
      </c>
      <c r="AI217" s="72" t="n">
        <v>27.16</v>
      </c>
      <c r="AJ217" s="72" t="n">
        <v>20.21</v>
      </c>
      <c r="AK217" s="72" t="n">
        <v>60.49</v>
      </c>
      <c r="AL217" s="72" t="n">
        <v>92.8</v>
      </c>
      <c r="AM217" s="72" t="n">
        <v>17.78</v>
      </c>
      <c r="AN217" s="72" t="n">
        <v>-4.55</v>
      </c>
      <c r="AO217" s="72" t="n">
        <v>-7.08</v>
      </c>
      <c r="AP217" s="62" t="inlineStr">
        <is>
          <t>Hang Seng Commerce &amp; Industry sub-index</t>
        </is>
      </c>
      <c r="AQ217" s="72" t="n">
        <v>-82.31999999999999</v>
      </c>
      <c r="AR217" s="63" t="inlineStr">
        <is>
          <t>2026-08-20</t>
        </is>
      </c>
      <c r="AS217" s="64" t="n">
        <v>2943.9</v>
      </c>
      <c r="AT217" s="67" t="n">
        <v>-203.1</v>
      </c>
      <c r="AU217" s="62" t="inlineStr">
        <is>
          <t>N</t>
        </is>
      </c>
      <c r="AV217" s="62" t="inlineStr">
        <is>
          <t>n/m</t>
        </is>
      </c>
      <c r="AW217" s="73" t="n"/>
      <c r="AX217" s="73" t="n"/>
      <c r="AY217" s="73" t="n">
        <v>2.5</v>
      </c>
      <c r="AZ217" s="74" t="inlineStr">
        <is>
          <t>N</t>
        </is>
      </c>
      <c r="BA217" s="75">
        <f>IF('BBG Verify'!K217="","not filed — run on terminal",'BBG Verify'!K217)</f>
        <v/>
      </c>
      <c r="BB217" s="62" t="inlineStr">
        <is>
          <t>N/A</t>
        </is>
      </c>
      <c r="BC217" s="62" t="inlineStr">
        <is>
          <t>N/A</t>
        </is>
      </c>
      <c r="BD217" s="62" t="inlineStr">
        <is>
          <t>N/A</t>
        </is>
      </c>
      <c r="BE217" s="62" t="inlineStr">
        <is>
          <t>N/A</t>
        </is>
      </c>
      <c r="BF217" s="62" t="inlineStr">
        <is>
          <t>N/A</t>
        </is>
      </c>
      <c r="BG217" s="74" t="inlineStr">
        <is>
          <t>China Securities (International) Corporate Finance Company Limited; Huatai Financial Holdings (Hong Kong) Limited</t>
        </is>
      </c>
      <c r="BH217" s="62" t="inlineStr">
        <is>
          <t>Huatai Financial Holdings (Hong Kong) Limited; China Securities (International) Corporate Finance Company Limited</t>
        </is>
      </c>
      <c r="BI217" s="62" t="inlineStr">
        <is>
          <t>Huatai Financial Holdings (Hong Kong) Limited; China Securities (International) Corporate Finance Company Limited</t>
        </is>
      </c>
      <c r="BJ217" s="62" t="inlineStr">
        <is>
          <t>ABCI Securities Company Limited; CCB International Capital Limited; China Galaxy International Securities (Hong Kong) Company Limited; CMB International Capital Limited; China Securities (International) Corporate Finance Company Limited; Huatai Financial Holdings (Hong Kong) Limited; ICBC International Securities Limited; Livermore Holdings Limited; Valuable Capital Limited</t>
        </is>
      </c>
      <c r="BK217" s="76">
        <f>HYPERLINK("https://www1.hkexnews.hk/listedco/listconews/sehk/2023/1024/2023102400007.pdf","prospectus")</f>
        <v/>
      </c>
      <c r="BL217" s="76">
        <f>HYPERLINK("https://www1.hkexnews.hk/listedco/listconews/sehk/2023/1102/2023110200032.htm","allotment")</f>
        <v/>
      </c>
      <c r="BM217" s="62" t="n"/>
      <c r="BN217" s="74" t="n"/>
      <c r="BO217" s="62" t="inlineStr">
        <is>
          <t>P/E: n/m — loss-making at IPO (use P/S) · greenshoe: no over-allotment option in the offer structure · A/H: no A-share listing · cornerstone: AAStocks institutional table includes non-cornerstone orders (superset) — cornerstone % is from the prospectus · greenshoe size: no over-allotment option in the offer structure</t>
        </is>
      </c>
    </row>
    <row r="218" ht="15" customHeight="1">
      <c r="A218" s="61" t="inlineStr">
        <is>
          <t>2473</t>
        </is>
      </c>
      <c r="B218" s="62" t="inlineStr">
        <is>
          <t>XXF</t>
        </is>
      </c>
      <c r="C218" s="62" t="inlineStr">
        <is>
          <t>喜相逢集團</t>
        </is>
      </c>
      <c r="D218" s="62" t="inlineStr">
        <is>
          <t>Consumer</t>
        </is>
      </c>
      <c r="E218" s="62" t="inlineStr">
        <is>
          <t>Retail / distribution</t>
        </is>
      </c>
      <c r="F218" s="62" t="inlineStr">
        <is>
          <t>Automotive Retail</t>
        </is>
      </c>
      <c r="G218" s="62" t="inlineStr">
        <is>
          <t>Standard</t>
        </is>
      </c>
      <c r="H218" s="63" t="n">
        <v>45239</v>
      </c>
      <c r="I218" s="64" t="n">
        <v>28.8</v>
      </c>
      <c r="J218" s="62" t="inlineStr">
        <is>
          <t>net proceeds</t>
        </is>
      </c>
      <c r="K218" s="65" t="n"/>
      <c r="L218" s="65" t="n">
        <v>1.36</v>
      </c>
      <c r="M218" s="65" t="n">
        <v>1.1</v>
      </c>
      <c r="N218" s="62" t="inlineStr">
        <is>
          <t>N</t>
        </is>
      </c>
      <c r="O218" s="66" t="n">
        <v>80.90000000000001</v>
      </c>
      <c r="P218" s="66" t="n"/>
      <c r="Q218" s="67" t="n">
        <v>670.7</v>
      </c>
      <c r="R218" s="62" t="inlineStr">
        <is>
          <t>aastocks:上市市值 at the struck price</t>
        </is>
      </c>
      <c r="S218" s="68" t="n">
        <v>14.71</v>
      </c>
      <c r="T218" s="69" t="n">
        <v>1.01</v>
      </c>
      <c r="U218" s="70" t="n">
        <v>0</v>
      </c>
      <c r="V218" s="66" t="n">
        <v>4.29</v>
      </c>
      <c r="W218" s="62" t="n"/>
      <c r="X218" s="62" t="n"/>
      <c r="Y218" s="66" t="n">
        <v>10</v>
      </c>
      <c r="Z218" s="62" t="n"/>
      <c r="AA218" s="71" t="n">
        <v>49.09</v>
      </c>
      <c r="AB218" s="72" t="n">
        <v>98.18000000000001</v>
      </c>
      <c r="AC218" s="72" t="n">
        <v>-24.77</v>
      </c>
      <c r="AD218" s="72" t="n">
        <v>46.36</v>
      </c>
      <c r="AE218" s="72" t="n">
        <v>121.82</v>
      </c>
      <c r="AF218" s="72" t="n">
        <v>166.36</v>
      </c>
      <c r="AG218" s="72" t="n">
        <v>-1.83</v>
      </c>
      <c r="AH218" s="72" t="n">
        <v>48.78</v>
      </c>
      <c r="AI218" s="72" t="n">
        <v>78.66</v>
      </c>
      <c r="AJ218" s="72" t="n">
        <v>45.68</v>
      </c>
      <c r="AK218" s="72" t="n">
        <v>131.01</v>
      </c>
      <c r="AL218" s="72" t="n">
        <v>181.38</v>
      </c>
      <c r="AM218" s="72" t="n">
        <v>57.69</v>
      </c>
      <c r="AN218" s="72" t="n">
        <v>-9.19</v>
      </c>
      <c r="AO218" s="72" t="n">
        <v>-8.91</v>
      </c>
      <c r="AP218" s="62" t="inlineStr">
        <is>
          <t>Hang Seng Commerce &amp; Industry sub-index</t>
        </is>
      </c>
      <c r="AQ218" s="72" t="n">
        <v>18.64</v>
      </c>
      <c r="AR218" s="63" t="inlineStr">
        <is>
          <t>2026-08-24</t>
        </is>
      </c>
      <c r="AS218" s="64" t="n">
        <v>1255.7</v>
      </c>
      <c r="AT218" s="67" t="n">
        <v>84.8</v>
      </c>
      <c r="AU218" s="62" t="inlineStr">
        <is>
          <t>Y</t>
        </is>
      </c>
      <c r="AV218" s="73" t="n">
        <v>7.9</v>
      </c>
      <c r="AW218" s="73" t="n">
        <v>5.1</v>
      </c>
      <c r="AX218" s="73" t="n">
        <v>13.6</v>
      </c>
      <c r="AY218" s="73" t="n">
        <v>0.5</v>
      </c>
      <c r="AZ218" s="74" t="inlineStr">
        <is>
          <t>N</t>
        </is>
      </c>
      <c r="BA218" s="75">
        <f>IF('BBG Verify'!K218="","not filed — run on terminal",'BBG Verify'!K218)</f>
        <v/>
      </c>
      <c r="BB218" s="62" t="inlineStr">
        <is>
          <t>N/A</t>
        </is>
      </c>
      <c r="BC218" s="62" t="inlineStr">
        <is>
          <t>N/A</t>
        </is>
      </c>
      <c r="BD218" s="62" t="inlineStr">
        <is>
          <t>N/A</t>
        </is>
      </c>
      <c r="BE218" s="62" t="inlineStr">
        <is>
          <t>N/A</t>
        </is>
      </c>
      <c r="BF218" s="62" t="inlineStr">
        <is>
          <t>N/A</t>
        </is>
      </c>
      <c r="BG218" s="74" t="inlineStr">
        <is>
          <t>Quam Capital Limited</t>
        </is>
      </c>
      <c r="BH218" s="62" t="inlineStr">
        <is>
          <t>Quam Capital Limited</t>
        </is>
      </c>
      <c r="BI218" s="62" t="inlineStr">
        <is>
          <t>Quam Securities Limited; CCB International Capital Limited; China Galaxy International Securities (Hong Kong) Co., Limited; CMB International Capital Limited; Eddid Securities and Futures Limited; Innovax Securities Limited; Livermore Holdings Limited; Shenwan Hongyuan Securities (H.K.) Limited; SPDB International Capital Limited; ZMF Asset Management Limited</t>
        </is>
      </c>
      <c r="BJ218" s="62" t="inlineStr">
        <is>
          <t>CCB International Capital Limited; China Galaxy International Securities (Hong Kong) Company Limited; CMB International Capital Limited; Eddid Securities and Futures Limited; Fortune (HK) Securities Limited; Innovax Securities Limited; Luk Fook Securities (HK) Limited; Livermore Holdings Limited; Quam Securities Limited; Shenwan Hongyuan Securities (H.K.) Limited; SPDB International Capital Limited; ZMF Asset Management Limited</t>
        </is>
      </c>
      <c r="BK218" s="76">
        <f>HYPERLINK("https://www1.hkexnews.hk/listedco/listconews/sehk/2023/1030/2023103000013.pdf","prospectus")</f>
        <v/>
      </c>
      <c r="BL218" s="76">
        <f>HYPERLINK("https://www1.hkexnews.hk/listedco/listconews/sehk/2023/1108/2023110800016.htm","allotment")</f>
        <v/>
      </c>
      <c r="BM218" s="62" t="n"/>
      <c r="BN218" s="74" t="n"/>
      <c r="BO218" s="62" t="inlineStr">
        <is>
          <t>greenshoe: end-of-stabilisation notice not located · 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t>
        </is>
      </c>
    </row>
    <row r="219" ht="15" customHeight="1">
      <c r="A219" s="61" t="inlineStr">
        <is>
          <t>1111</t>
        </is>
      </c>
      <c r="B219" s="62" t="inlineStr">
        <is>
          <t>HUASHI GROUP</t>
        </is>
      </c>
      <c r="C219" s="62" t="inlineStr">
        <is>
          <t>華視集團控股</t>
        </is>
      </c>
      <c r="D219" s="62" t="inlineStr">
        <is>
          <t>Industrials</t>
        </is>
      </c>
      <c r="E219" s="62" t="inlineStr">
        <is>
          <t>Construction / engineering</t>
        </is>
      </c>
      <c r="F219" s="62" t="inlineStr">
        <is>
          <t>Advertising</t>
        </is>
      </c>
      <c r="G219" s="62" t="inlineStr">
        <is>
          <t>Standard</t>
        </is>
      </c>
      <c r="H219" s="63" t="n">
        <v>45240</v>
      </c>
      <c r="I219" s="64" t="n">
        <v>130</v>
      </c>
      <c r="J219" s="62" t="inlineStr">
        <is>
          <t>gross (price x shares)</t>
        </is>
      </c>
      <c r="K219" s="65" t="n"/>
      <c r="L219" s="65" t="n">
        <v>1.04</v>
      </c>
      <c r="M219" s="65" t="n">
        <v>1.04</v>
      </c>
      <c r="N219" s="62" t="inlineStr">
        <is>
          <t>Y</t>
        </is>
      </c>
      <c r="O219" s="66" t="n">
        <v>100</v>
      </c>
      <c r="P219" s="66" t="n"/>
      <c r="Q219" s="67" t="n">
        <v>678.2</v>
      </c>
      <c r="R219" s="62" t="inlineStr">
        <is>
          <t>prospectus:stated market capitalisation</t>
        </is>
      </c>
      <c r="S219" s="68" t="n">
        <v>12.62</v>
      </c>
      <c r="T219" s="69" t="n">
        <v>1.09</v>
      </c>
      <c r="U219" s="70" t="n">
        <v>0</v>
      </c>
      <c r="V219" s="66" t="n">
        <v>19.17</v>
      </c>
      <c r="W219" s="62" t="n"/>
      <c r="X219" s="62" t="n"/>
      <c r="Y219" s="66" t="n"/>
      <c r="Z219" s="62" t="n"/>
      <c r="AA219" s="71" t="n">
        <v>55.77</v>
      </c>
      <c r="AB219" s="72" t="n">
        <v>58.65</v>
      </c>
      <c r="AC219" s="72" t="n">
        <v>-1.82</v>
      </c>
      <c r="AD219" s="72" t="n">
        <v>84.62</v>
      </c>
      <c r="AE219" s="72" t="n">
        <v>100</v>
      </c>
      <c r="AF219" s="72" t="n">
        <v>-60.1</v>
      </c>
      <c r="AG219" s="72" t="n">
        <v>18.52</v>
      </c>
      <c r="AH219" s="72" t="n">
        <v>28.39</v>
      </c>
      <c r="AI219" s="72" t="n">
        <v>-74.39</v>
      </c>
      <c r="AJ219" s="72" t="n">
        <v>86.56</v>
      </c>
      <c r="AK219" s="72" t="n">
        <v>110.02</v>
      </c>
      <c r="AL219" s="72" t="n">
        <v>-46.49</v>
      </c>
      <c r="AM219" s="72" t="n">
        <v>36.4</v>
      </c>
      <c r="AN219" s="72" t="n">
        <v>-10.02</v>
      </c>
      <c r="AO219" s="72" t="n">
        <v>-8.01</v>
      </c>
      <c r="AP219" s="62" t="inlineStr">
        <is>
          <t>Hang Seng Commerce &amp; Industry sub-index</t>
        </is>
      </c>
      <c r="AQ219" s="72" t="n">
        <v>-75.95999999999999</v>
      </c>
      <c r="AR219" s="63" t="inlineStr">
        <is>
          <t>2026-08-20</t>
        </is>
      </c>
      <c r="AS219" s="64" t="n">
        <v>227.9</v>
      </c>
      <c r="AT219" s="67" t="n">
        <v>50.2</v>
      </c>
      <c r="AU219" s="62" t="inlineStr">
        <is>
          <t>Y</t>
        </is>
      </c>
      <c r="AV219" s="73" t="n">
        <v>13.5</v>
      </c>
      <c r="AW219" s="73" t="n"/>
      <c r="AX219" s="73" t="n">
        <v>2.3</v>
      </c>
      <c r="AY219" s="73" t="n">
        <v>3</v>
      </c>
      <c r="AZ219" s="74" t="inlineStr">
        <is>
          <t>N</t>
        </is>
      </c>
      <c r="BA219" s="75">
        <f>IF('BBG Verify'!K219="","not filed — run on terminal",'BBG Verify'!K219)</f>
        <v/>
      </c>
      <c r="BB219" s="62" t="inlineStr">
        <is>
          <t>N/A</t>
        </is>
      </c>
      <c r="BC219" s="62" t="inlineStr">
        <is>
          <t>N/A</t>
        </is>
      </c>
      <c r="BD219" s="62" t="inlineStr">
        <is>
          <t>N/A</t>
        </is>
      </c>
      <c r="BE219" s="62" t="inlineStr">
        <is>
          <t>N/A</t>
        </is>
      </c>
      <c r="BF219" s="62" t="inlineStr">
        <is>
          <t>N/A</t>
        </is>
      </c>
      <c r="BG219" s="74" t="inlineStr">
        <is>
          <t>Rainbow Capital (HK) Limited</t>
        </is>
      </c>
      <c r="BH219" s="62" t="inlineStr">
        <is>
          <t>Rainbow Capital (HK) Limited</t>
        </is>
      </c>
      <c r="BI219" s="62" t="inlineStr">
        <is>
          <t>Rainbow Capital (HK) Limited; Sheung Wan, Hong Kong CCB International Capital Limited; Central, Hong Kong ABCI Capital Limited; Cinda International Capital Limited; Zhong Jia Securities Limited; Wan Chai, Hong Kong CMB International Capital Limited; SPDB International Capital Limited; Livermore Holdings Limited; Fosun International Securities Limited; Valuable Capital Limited; CEB International Capital Corporation Limited; Central, Hong Kong Goldlink Securities Limited</t>
        </is>
      </c>
      <c r="BJ219" s="62" t="inlineStr">
        <is>
          <t>ABCI Capital Limited; ABCI Securities Company Limited; CCB International Capital Limited; CEB International Capital Corporation Limited; Cinda International Capital Limited; CMB International Capital Limited; Fosun International Securities Limited; Goldlink Securities Limited; Livermore Holdings Limited; Rainbow Capital (HK) Limited; Silverbricks Securities Company Limited; Shenwan Hongyuan Securities (H.K.) Limited</t>
        </is>
      </c>
      <c r="BK219" s="76">
        <f>HYPERLINK("https://www1.hkexnews.hk/listedco/listconews/sehk/2023/1031/2023103100019.pdf","prospectus")</f>
        <v/>
      </c>
      <c r="BL219" s="76">
        <f>HYPERLINK("https://www1.hkexnews.hk/listedco/listconews/sehk/2023/1109/2023110900026.htm","allotment")</f>
        <v/>
      </c>
      <c r="BM219" s="62" t="n"/>
      <c r="BN219" s="74" t="n"/>
      <c r="BO219" s="62" t="inlineStr">
        <is>
          <t>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 · deal size: stated gross HK$7.8m rejected — below the deal's own net proceeds HK$72.1m, which cannot happen</t>
        </is>
      </c>
    </row>
    <row r="220" ht="15" customHeight="1">
      <c r="A220" s="61" t="inlineStr">
        <is>
          <t>2499</t>
        </is>
      </c>
      <c r="B220" s="62" t="inlineStr">
        <is>
          <t>FOLANGSI</t>
        </is>
      </c>
      <c r="C220" s="62" t="inlineStr">
        <is>
          <t>佛朗斯股份</t>
        </is>
      </c>
      <c r="D220" s="62" t="inlineStr">
        <is>
          <t>Industrials</t>
        </is>
      </c>
      <c r="E220" s="62" t="inlineStr">
        <is>
          <t>Capital goods / machinery</t>
        </is>
      </c>
      <c r="F220" s="62" t="inlineStr">
        <is>
          <t>Electrical Components &amp; Equipment</t>
        </is>
      </c>
      <c r="G220" s="62" t="inlineStr">
        <is>
          <t>Standard</t>
        </is>
      </c>
      <c r="H220" s="63" t="n">
        <v>45240</v>
      </c>
      <c r="I220" s="64" t="n">
        <v>173.3</v>
      </c>
      <c r="J220" s="62" t="inlineStr">
        <is>
          <t>gross (price x shares)</t>
        </is>
      </c>
      <c r="K220" s="65" t="n">
        <v>14.18</v>
      </c>
      <c r="L220" s="65" t="n">
        <v>16.18</v>
      </c>
      <c r="M220" s="65" t="n">
        <v>14.28</v>
      </c>
      <c r="N220" s="62" t="inlineStr">
        <is>
          <t>N</t>
        </is>
      </c>
      <c r="O220" s="66" t="n">
        <v>88.3</v>
      </c>
      <c r="P220" s="66" t="n">
        <v>5</v>
      </c>
      <c r="Q220" s="67" t="n">
        <v>4935</v>
      </c>
      <c r="R220" s="62" t="inlineStr">
        <is>
          <t>prospectus:stated market capitalisation</t>
        </is>
      </c>
      <c r="S220" s="68" t="n">
        <v>7.8</v>
      </c>
      <c r="T220" s="69" t="n">
        <v>1.37</v>
      </c>
      <c r="U220" s="70" t="n">
        <v>0.1</v>
      </c>
      <c r="V220" s="66" t="n">
        <v>3.51</v>
      </c>
      <c r="W220" s="62" t="inlineStr">
        <is>
          <t>Liugong Machinery Hongkong Co., Limited</t>
        </is>
      </c>
      <c r="X220" s="62" t="inlineStr">
        <is>
          <t>liugong</t>
        </is>
      </c>
      <c r="Y220" s="66" t="n">
        <v>15</v>
      </c>
      <c r="Z220" s="62" t="inlineStr">
        <is>
          <t>lapsed (no over-allocation)</t>
        </is>
      </c>
      <c r="AA220" s="71" t="n">
        <v>3.36</v>
      </c>
      <c r="AB220" s="72" t="n">
        <v>8.4</v>
      </c>
      <c r="AC220" s="72" t="n">
        <v>-4.65</v>
      </c>
      <c r="AD220" s="72" t="n">
        <v>3.78</v>
      </c>
      <c r="AE220" s="72" t="n">
        <v>2.66</v>
      </c>
      <c r="AF220" s="72" t="n">
        <v>0.14</v>
      </c>
      <c r="AG220" s="72" t="n">
        <v>0.41</v>
      </c>
      <c r="AH220" s="72" t="n">
        <v>-0.68</v>
      </c>
      <c r="AI220" s="72" t="n">
        <v>-3.12</v>
      </c>
      <c r="AJ220" s="72" t="n">
        <v>5.72</v>
      </c>
      <c r="AK220" s="72" t="n">
        <v>12.68</v>
      </c>
      <c r="AL220" s="72" t="n">
        <v>13.75</v>
      </c>
      <c r="AM220" s="72" t="n">
        <v>7.33</v>
      </c>
      <c r="AN220" s="72" t="n">
        <v>-10.02</v>
      </c>
      <c r="AO220" s="72" t="n">
        <v>-8.01</v>
      </c>
      <c r="AP220" s="62" t="inlineStr">
        <is>
          <t>Hang Seng Commerce &amp; Industry sub-index</t>
        </is>
      </c>
      <c r="AQ220" s="72" t="n">
        <v>-59.45</v>
      </c>
      <c r="AR220" s="63" t="inlineStr">
        <is>
          <t>2026-08-20</t>
        </is>
      </c>
      <c r="AS220" s="64" t="n">
        <v>1313.6</v>
      </c>
      <c r="AT220" s="67" t="n">
        <v>39</v>
      </c>
      <c r="AU220" s="62" t="inlineStr">
        <is>
          <t>Y</t>
        </is>
      </c>
      <c r="AV220" s="73" t="n">
        <v>126.5</v>
      </c>
      <c r="AW220" s="73" t="n"/>
      <c r="AX220" s="73" t="n">
        <v>21.8</v>
      </c>
      <c r="AY220" s="73" t="n">
        <v>3.8</v>
      </c>
      <c r="AZ220" s="74" t="inlineStr">
        <is>
          <t>N</t>
        </is>
      </c>
      <c r="BA220" s="75">
        <f>IF('BBG Verify'!K220="","not filed — run on terminal",'BBG Verify'!K220)</f>
        <v/>
      </c>
      <c r="BB220" s="62" t="inlineStr">
        <is>
          <t>N/A</t>
        </is>
      </c>
      <c r="BC220" s="62" t="inlineStr">
        <is>
          <t>N/A</t>
        </is>
      </c>
      <c r="BD220" s="62" t="inlineStr">
        <is>
          <t>N/A</t>
        </is>
      </c>
      <c r="BE220" s="62" t="inlineStr">
        <is>
          <t>N/A</t>
        </is>
      </c>
      <c r="BF220" s="62" t="inlineStr">
        <is>
          <t>N/A</t>
        </is>
      </c>
      <c r="BG220" s="74" t="inlineStr">
        <is>
          <t>Haitong International Capital Limited; Haitong International Securities Company Limited</t>
        </is>
      </c>
      <c r="BH220" s="62" t="inlineStr">
        <is>
          <t>Haitong International Capital Limited</t>
        </is>
      </c>
      <c r="BI220" s="62" t="inlineStr">
        <is>
          <t>Haitong International Securities Company Limited; GF Securities (Hong Kong) Brokerage Limited; Huatai Financial Holdings (Hong Kong) Limited</t>
        </is>
      </c>
      <c r="BJ220" s="62" t="inlineStr">
        <is>
          <t>GF Securities (Hong Kong) Brokerage Limited; Huatai Financial Holdings (Hong Kong) Limited; Haitong International Securities Company Limited</t>
        </is>
      </c>
      <c r="BK220" s="76">
        <f>HYPERLINK("https://www1.hkexnews.hk/listedco/listconews/sehk/2023/1031/2023103100017.pdf","prospectus")</f>
        <v/>
      </c>
      <c r="BL220" s="76">
        <f>HYPERLINK("https://www1.hkexnews.hk/listedco/listconews/sehk/2023/1109/2023110900052.htm","allotment")</f>
        <v/>
      </c>
      <c r="BM220" s="76">
        <f>HYPERLINK("https://www1.hkexnews.hk/listedco/listconews/sehk/2023/1204/2023120400033.pdf","stabilisation")</f>
        <v/>
      </c>
      <c r="BN220" s="74" t="n"/>
      <c r="BO220" s="62" t="inlineStr">
        <is>
          <t>A/H: no A-share listing · cornerstone: table parse read 70% but the institutional total implies 0% — parse rejected, the AAStocks institutional total used (0.1%)</t>
        </is>
      </c>
    </row>
    <row r="221" ht="15" customHeight="1">
      <c r="A221" s="61" t="inlineStr">
        <is>
          <t>2268</t>
        </is>
      </c>
      <c r="B221" s="62" t="inlineStr">
        <is>
          <t>WUXI XDC</t>
        </is>
      </c>
      <c r="C221" s="62" t="inlineStr">
        <is>
          <t>藥明合聯</t>
        </is>
      </c>
      <c r="D221" s="62" t="inlineStr">
        <is>
          <t>Healthcare</t>
        </is>
      </c>
      <c r="E221" s="62" t="inlineStr">
        <is>
          <t>CXO / pharma services</t>
        </is>
      </c>
      <c r="F221" s="62" t="inlineStr">
        <is>
          <t>Biotechnology - Pharmaceuticals</t>
        </is>
      </c>
      <c r="G221" s="62" t="inlineStr">
        <is>
          <t>Standard</t>
        </is>
      </c>
      <c r="H221" s="63" t="n">
        <v>45247</v>
      </c>
      <c r="I221" s="64" t="n">
        <v>3676</v>
      </c>
      <c r="J221" s="62" t="inlineStr">
        <is>
          <t>gross (price x shares)</t>
        </is>
      </c>
      <c r="K221" s="65" t="n">
        <v>19.9</v>
      </c>
      <c r="L221" s="65" t="n">
        <v>20.6</v>
      </c>
      <c r="M221" s="65" t="n">
        <v>20.6</v>
      </c>
      <c r="N221" s="62" t="inlineStr">
        <is>
          <t>Y</t>
        </is>
      </c>
      <c r="O221" s="66" t="n">
        <v>100</v>
      </c>
      <c r="P221" s="66" t="n">
        <v>100</v>
      </c>
      <c r="Q221" s="67" t="n">
        <v>24670.7</v>
      </c>
      <c r="R221" s="62" t="inlineStr">
        <is>
          <t>aastocks:上市市值 at the struck price</t>
        </is>
      </c>
      <c r="S221" s="68" t="n">
        <v>49.96</v>
      </c>
      <c r="T221" s="69" t="n">
        <v>19.6</v>
      </c>
      <c r="U221" s="70" t="n">
        <v>0.014</v>
      </c>
      <c r="V221" s="66" t="n">
        <v>14.9</v>
      </c>
      <c r="W221" s="62" t="inlineStr">
        <is>
          <t>Al-Rayyan Holding LLC; General Atlantic Singapore SPV 64 Pte. Ltd; HSG Growth VII Holdco, Ltd; Invesco Advisers, Inc; Lake Bleu Prime Healthcare Master Fund Limited; Novo Holdings A / S; UBS Asset Management (Singapore) Ltd</t>
        </is>
      </c>
      <c r="X221" s="62" t="inlineStr">
        <is>
          <t>al;general;hsg;invesco;lake;novo;ubs</t>
        </is>
      </c>
      <c r="Y221" s="66" t="n">
        <v>9.949999999999999</v>
      </c>
      <c r="Z221" s="62" t="n"/>
      <c r="AA221" s="71" t="n">
        <v>35.92</v>
      </c>
      <c r="AB221" s="72" t="n">
        <v>30.83</v>
      </c>
      <c r="AC221" s="72" t="n">
        <v>3.89</v>
      </c>
      <c r="AD221" s="72" t="n">
        <v>40.78</v>
      </c>
      <c r="AE221" s="72" t="n">
        <v>51.21</v>
      </c>
      <c r="AF221" s="72" t="n">
        <v>-10</v>
      </c>
      <c r="AG221" s="72" t="n">
        <v>3.58</v>
      </c>
      <c r="AH221" s="72" t="n">
        <v>11.25</v>
      </c>
      <c r="AI221" s="72" t="n">
        <v>-33.78</v>
      </c>
      <c r="AJ221" s="72" t="n">
        <v>40.26</v>
      </c>
      <c r="AK221" s="72" t="n">
        <v>58.49</v>
      </c>
      <c r="AL221" s="72" t="n">
        <v>11.86</v>
      </c>
      <c r="AM221" s="72" t="n">
        <v>19.23</v>
      </c>
      <c r="AN221" s="72" t="n">
        <v>-7.28</v>
      </c>
      <c r="AO221" s="72" t="n">
        <v>-7.98</v>
      </c>
      <c r="AP221" s="62" t="inlineStr">
        <is>
          <t>China Biotech ETF (HS biotech proxy)</t>
        </is>
      </c>
      <c r="AQ221" s="72" t="n">
        <v>240.78</v>
      </c>
      <c r="AR221" s="63" t="inlineStr">
        <is>
          <t>2026-08-20</t>
        </is>
      </c>
      <c r="AS221" s="64" t="n">
        <v>1089.5</v>
      </c>
      <c r="AT221" s="67" t="n">
        <v>171.3</v>
      </c>
      <c r="AU221" s="62" t="inlineStr">
        <is>
          <t>Y</t>
        </is>
      </c>
      <c r="AV221" s="73" t="n">
        <v>144</v>
      </c>
      <c r="AW221" s="73" t="n"/>
      <c r="AX221" s="73" t="n">
        <v>45.8</v>
      </c>
      <c r="AY221" s="73" t="n">
        <v>22.6</v>
      </c>
      <c r="AZ221" s="74" t="inlineStr">
        <is>
          <t>N</t>
        </is>
      </c>
      <c r="BA221" s="75">
        <f>IF('BBG Verify'!K221="","not filed — run on terminal",'BBG Verify'!K221)</f>
        <v/>
      </c>
      <c r="BB221" s="62" t="inlineStr">
        <is>
          <t>N/A</t>
        </is>
      </c>
      <c r="BC221" s="62" t="inlineStr">
        <is>
          <t>N/A</t>
        </is>
      </c>
      <c r="BD221" s="62" t="inlineStr">
        <is>
          <t>N/A</t>
        </is>
      </c>
      <c r="BE221" s="62" t="inlineStr">
        <is>
          <t>N/A</t>
        </is>
      </c>
      <c r="BF221" s="62" t="inlineStr">
        <is>
          <t>N/A</t>
        </is>
      </c>
      <c r="BG221" s="74" t="inlineStr">
        <is>
          <t>Morgan Stanley Asia Limited; Goldman Sachs (Asia) L.L.C; J.P. Morgan Securities (Far East) Limited</t>
        </is>
      </c>
      <c r="BH221" s="62" t="inlineStr">
        <is>
          <t>Morgan Stanley Asia Limited; J.P. Morgan Securities (Far East) Limited; Goldman Sachs (Asia) L.L.C.</t>
        </is>
      </c>
      <c r="BI221" s="62" t="inlineStr">
        <is>
          <t>Morgan Stanley Asia Limited; Goldman Sachs (Asia) L.L.C; J.P. Morgan Securities (Asia Pacific) Limited; Citigroup Global Markets Asia Limited; Huatai Financial Holdings (Hong Kong) Limited; J.P. Morgan Securities plc; China International Capital Corporation Hong Kong Securities Limited; Citigroup Global Markets Limited; Canary Wharf London E14 5LB United Kingdom Huatai Financial Holdings (Hong Kong) Limited</t>
        </is>
      </c>
      <c r="BJ221" s="62" t="inlineStr">
        <is>
          <t>Citigroup Global Markets Asia Limited; China International Capital Corporation Hong Kong Securities Limited; Goldman Sachs (Asia) L.L.C.; Huatai Financial Holdings (Hong Kong) Limited; J.P. Morgan Securities (Asia Pacific) Limited; Morgan Stanley Asia Limited</t>
        </is>
      </c>
      <c r="BK221" s="76">
        <f>HYPERLINK("https://www1.hkexnews.hk/listedco/listconews/sehk/2023/1107/2023110700021.pdf","prospectus")</f>
        <v/>
      </c>
      <c r="BL221" s="76">
        <f>HYPERLINK("https://www1.hkexnews.hk/listedco/listconews/sehk/2023/1116/2023111600008.htm","allotment")</f>
        <v/>
      </c>
      <c r="BM221" s="62" t="n"/>
      <c r="BN221" s="74" t="n"/>
      <c r="BO221" s="62" t="inlineStr">
        <is>
          <t>greenshoe: end-of-stabilisation notice not located · A/H: no A-share listing · market cap: estimate from deal size / offer % of enlarged capital disagreed with the published listing cap — published figure adopted · cornerstone: AAStocks institutional table includes non-cornerstone orders (superset) — cornerstone % is from the prospectus</t>
        </is>
      </c>
    </row>
    <row r="222" ht="15" customHeight="1">
      <c r="A222" s="61" t="inlineStr">
        <is>
          <t>2520</t>
        </is>
      </c>
      <c r="B222" s="62" t="inlineStr">
        <is>
          <t>SHANXI INSTALL</t>
        </is>
      </c>
      <c r="C222" s="62" t="inlineStr">
        <is>
          <t>山西安裝</t>
        </is>
      </c>
      <c r="D222" s="62" t="inlineStr">
        <is>
          <t>Industrials</t>
        </is>
      </c>
      <c r="E222" s="62" t="inlineStr">
        <is>
          <t>Construction / engineering</t>
        </is>
      </c>
      <c r="F222" s="62" t="inlineStr">
        <is>
          <t>Construction &amp; Engineering</t>
        </is>
      </c>
      <c r="G222" s="62" t="inlineStr">
        <is>
          <t>Standard</t>
        </is>
      </c>
      <c r="H222" s="63" t="n">
        <v>45252</v>
      </c>
      <c r="I222" s="64" t="n">
        <v>726.7</v>
      </c>
      <c r="J222" s="62" t="inlineStr">
        <is>
          <t>gross (price x shares)</t>
        </is>
      </c>
      <c r="K222" s="65" t="n">
        <v>2.1</v>
      </c>
      <c r="L222" s="65" t="n">
        <v>2.36</v>
      </c>
      <c r="M222" s="65" t="n">
        <v>2.18</v>
      </c>
      <c r="N222" s="62" t="inlineStr">
        <is>
          <t>N</t>
        </is>
      </c>
      <c r="O222" s="66" t="n">
        <v>92.40000000000001</v>
      </c>
      <c r="P222" s="66" t="n">
        <v>30.8</v>
      </c>
      <c r="Q222" s="67" t="n">
        <v>2520</v>
      </c>
      <c r="R222" s="62" t="inlineStr">
        <is>
          <t>prospectus:stated market capitalisation</t>
        </is>
      </c>
      <c r="S222" s="68" t="n">
        <v>0.6</v>
      </c>
      <c r="T222" s="69" t="n">
        <v>1.33</v>
      </c>
      <c r="U222" s="70" t="n">
        <v>23</v>
      </c>
      <c r="V222" s="66" t="n">
        <v>22.2</v>
      </c>
      <c r="W222" s="62" t="inlineStr">
        <is>
          <t>Mingyang Smart Energy Group Co., Ltd</t>
        </is>
      </c>
      <c r="X222" s="62" t="inlineStr">
        <is>
          <t>mingyang</t>
        </is>
      </c>
      <c r="Y222" s="66" t="n">
        <v>19.5</v>
      </c>
      <c r="Z222" s="62" t="inlineStr">
        <is>
          <t>partial</t>
        </is>
      </c>
      <c r="AA222" s="71" t="n">
        <v>0</v>
      </c>
      <c r="AB222" s="72" t="n">
        <v>0</v>
      </c>
      <c r="AC222" s="72" t="n">
        <v>0</v>
      </c>
      <c r="AD222" s="72" t="n">
        <v>-5.5</v>
      </c>
      <c r="AE222" s="72" t="n">
        <v>-17.43</v>
      </c>
      <c r="AF222" s="72" t="n">
        <v>-11.47</v>
      </c>
      <c r="AG222" s="72" t="n">
        <v>-5.5</v>
      </c>
      <c r="AH222" s="72" t="n">
        <v>-17.43</v>
      </c>
      <c r="AI222" s="72" t="n">
        <v>-11.47</v>
      </c>
      <c r="AJ222" s="72" t="n">
        <v>-0.71</v>
      </c>
      <c r="AK222" s="72" t="n">
        <v>-9.460000000000001</v>
      </c>
      <c r="AL222" s="72" t="n">
        <v>-2.85</v>
      </c>
      <c r="AM222" s="72" t="n">
        <v>-9.550000000000001</v>
      </c>
      <c r="AN222" s="72" t="n">
        <v>-7.97</v>
      </c>
      <c r="AO222" s="72" t="n">
        <v>-7.88</v>
      </c>
      <c r="AP222" s="62" t="inlineStr">
        <is>
          <t>Hang Seng Commerce &amp; Industry sub-index</t>
        </is>
      </c>
      <c r="AQ222" s="72" t="n">
        <v>2.29</v>
      </c>
      <c r="AR222" s="63" t="inlineStr">
        <is>
          <t>2026-08-20</t>
        </is>
      </c>
      <c r="AS222" s="64" t="n">
        <v>14129.3</v>
      </c>
      <c r="AT222" s="67" t="n">
        <v>220.5</v>
      </c>
      <c r="AU222" s="62" t="inlineStr">
        <is>
          <t>Y</t>
        </is>
      </c>
      <c r="AV222" s="73" t="n">
        <v>11.4</v>
      </c>
      <c r="AW222" s="73" t="n"/>
      <c r="AX222" s="73" t="n">
        <v>19</v>
      </c>
      <c r="AY222" s="73" t="n">
        <v>0.2</v>
      </c>
      <c r="AZ222" s="74" t="inlineStr">
        <is>
          <t>N</t>
        </is>
      </c>
      <c r="BA222" s="75">
        <f>IF('BBG Verify'!K222="","not filed — run on terminal",'BBG Verify'!K222)</f>
        <v/>
      </c>
      <c r="BB222" s="62" t="inlineStr">
        <is>
          <t>N/A</t>
        </is>
      </c>
      <c r="BC222" s="62" t="inlineStr">
        <is>
          <t>N/A</t>
        </is>
      </c>
      <c r="BD222" s="62" t="inlineStr">
        <is>
          <t>N/A</t>
        </is>
      </c>
      <c r="BE222" s="62" t="inlineStr">
        <is>
          <t>N/A</t>
        </is>
      </c>
      <c r="BF222" s="62" t="inlineStr">
        <is>
          <t>N/A</t>
        </is>
      </c>
      <c r="BG222" s="74" t="inlineStr">
        <is>
          <t>Huatai Financial Holdings (Hong Kong) Limited; Shanxi Securities International Capital Limited</t>
        </is>
      </c>
      <c r="BH222" s="62" t="inlineStr">
        <is>
          <t>Huatai Financial Holdings (Hong Kong) Limited; Shanxi Securities International Capital Limited</t>
        </is>
      </c>
      <c r="BI222" s="62" t="inlineStr">
        <is>
          <t>BOCOM International Securities Limited; China Everbright Securities (HK) Limited; CMB International Capital Limited; ICBC International Capital Limited; Zhongtai International Securities Limited</t>
        </is>
      </c>
      <c r="BJ222" s="62" t="inlineStr">
        <is>
          <t>Beta International Securities Limited; China Everbright Securities (HK) Limited; CMB International Capital Limited; Eddid Securities and Futures Limited; Futu Securities International (Hong Kong) Limited; Huatai Financial Holdings (Hong Kong) Limited; ICBC International Capital Limited; Patrons Securities Limited; Shanxi Securities International Limited; Victory Securities Company Limited; Zhongtai International Securities Limited; ZMF Asset Management Limited</t>
        </is>
      </c>
      <c r="BK222" s="76">
        <f>HYPERLINK("https://www1.hkexnews.hk/listedco/listconews/sehk/2023/1110/2023111000017.pdf","prospectus")</f>
        <v/>
      </c>
      <c r="BL222" s="76">
        <f>HYPERLINK("https://www1.hkexnews.hk/listedco/listconews/sehk/2023/1121/2023112100014.htm","allotment")</f>
        <v/>
      </c>
      <c r="BM222" s="76">
        <f>HYPERLINK("https://www1.hkexnews.hk/listedco/listconews/sehk/2023/1215/2023121501152.pdf","stabilisation")</f>
        <v/>
      </c>
      <c r="BN222" s="74" t="n"/>
      <c r="BO222" s="62" t="inlineStr">
        <is>
          <t>A/H: no A-share listing</t>
        </is>
      </c>
    </row>
    <row r="223" ht="15" customHeight="1">
      <c r="A223" s="61" t="inlineStr">
        <is>
          <t>2521</t>
        </is>
      </c>
      <c r="B223" s="62" t="inlineStr">
        <is>
          <t>SHENGHUI CLEAN</t>
        </is>
      </c>
      <c r="C223" s="62" t="inlineStr">
        <is>
          <t>升輝清潔</t>
        </is>
      </c>
      <c r="D223" s="62" t="inlineStr">
        <is>
          <t>Real Estate</t>
        </is>
      </c>
      <c r="E223" s="62" t="inlineStr">
        <is>
          <t>Property management</t>
        </is>
      </c>
      <c r="F223" s="62" t="inlineStr">
        <is>
          <t>Environmental &amp; Facilities Services</t>
        </is>
      </c>
      <c r="G223" s="62" t="inlineStr">
        <is>
          <t>Standard</t>
        </is>
      </c>
      <c r="H223" s="63" t="n">
        <v>45265</v>
      </c>
      <c r="I223" s="64" t="n">
        <v>119.6</v>
      </c>
      <c r="J223" s="62" t="inlineStr">
        <is>
          <t>gross (stated)</t>
        </is>
      </c>
      <c r="K223" s="65" t="n">
        <v>0.32</v>
      </c>
      <c r="L223" s="65" t="n">
        <v>0.4</v>
      </c>
      <c r="M223" s="65" t="n">
        <v>0.32</v>
      </c>
      <c r="N223" s="62" t="inlineStr">
        <is>
          <t>N</t>
        </is>
      </c>
      <c r="O223" s="66" t="n">
        <v>80</v>
      </c>
      <c r="P223" s="66" t="n">
        <v>0</v>
      </c>
      <c r="Q223" s="67" t="n">
        <v>520</v>
      </c>
      <c r="R223" s="62" t="inlineStr">
        <is>
          <t>derived:price x shares upon listing</t>
        </is>
      </c>
      <c r="S223" s="68" t="n">
        <v>33.35</v>
      </c>
      <c r="T223" s="69" t="n">
        <v>1.33</v>
      </c>
      <c r="U223" s="70" t="n"/>
      <c r="V223" s="66" t="n">
        <v>23</v>
      </c>
      <c r="W223" s="62" t="n"/>
      <c r="X223" s="62" t="n"/>
      <c r="Y223" s="66" t="n"/>
      <c r="Z223" s="62" t="n"/>
      <c r="AA223" s="71" t="n">
        <v>3.12</v>
      </c>
      <c r="AB223" s="72" t="n">
        <v>-6.25</v>
      </c>
      <c r="AC223" s="72" t="n">
        <v>9.99</v>
      </c>
      <c r="AD223" s="72" t="n">
        <v>15.63</v>
      </c>
      <c r="AE223" s="72" t="n">
        <v>10.94</v>
      </c>
      <c r="AF223" s="72" t="n">
        <v>-18.75</v>
      </c>
      <c r="AG223" s="72" t="n">
        <v>12.13</v>
      </c>
      <c r="AH223" s="72" t="n">
        <v>7.58</v>
      </c>
      <c r="AI223" s="72" t="n">
        <v>-21.21</v>
      </c>
      <c r="AJ223" s="72" t="n">
        <v>16.31</v>
      </c>
      <c r="AK223" s="72" t="n">
        <v>11.51</v>
      </c>
      <c r="AL223" s="72" t="n">
        <v>-9.6</v>
      </c>
      <c r="AM223" s="72" t="n">
        <v>6.19</v>
      </c>
      <c r="AN223" s="72" t="n">
        <v>-0.57</v>
      </c>
      <c r="AO223" s="72" t="n">
        <v>1.39</v>
      </c>
      <c r="AP223" s="62" t="inlineStr">
        <is>
          <t>Hang Seng Properties sub-index</t>
        </is>
      </c>
      <c r="AQ223" s="72" t="n">
        <v>198.44</v>
      </c>
      <c r="AR223" s="63" t="inlineStr">
        <is>
          <t>2026-08-20</t>
        </is>
      </c>
      <c r="AS223" s="64" t="n">
        <v>653.6</v>
      </c>
      <c r="AT223" s="67" t="n">
        <v>37.8</v>
      </c>
      <c r="AU223" s="62" t="inlineStr">
        <is>
          <t>Y</t>
        </is>
      </c>
      <c r="AV223" s="73" t="n">
        <v>13.8</v>
      </c>
      <c r="AW223" s="73" t="n"/>
      <c r="AX223" s="73" t="n">
        <v>61.3</v>
      </c>
      <c r="AY223" s="73" t="n">
        <v>0.8</v>
      </c>
      <c r="AZ223" s="74" t="inlineStr">
        <is>
          <t>N</t>
        </is>
      </c>
      <c r="BA223" s="75">
        <f>IF('BBG Verify'!K223="","not filed — run on terminal",'BBG Verify'!K223)</f>
        <v/>
      </c>
      <c r="BB223" s="62" t="inlineStr">
        <is>
          <t>N/A</t>
        </is>
      </c>
      <c r="BC223" s="62" t="inlineStr">
        <is>
          <t>N/A</t>
        </is>
      </c>
      <c r="BD223" s="62" t="inlineStr">
        <is>
          <t>N/A</t>
        </is>
      </c>
      <c r="BE223" s="62" t="inlineStr">
        <is>
          <t>N/A</t>
        </is>
      </c>
      <c r="BF223" s="62" t="inlineStr">
        <is>
          <t>N/A</t>
        </is>
      </c>
      <c r="BG223" s="74" t="n"/>
      <c r="BH223" s="62" t="inlineStr">
        <is>
          <t>Cinda International Capital Limited</t>
        </is>
      </c>
      <c r="BI223" s="62" t="inlineStr">
        <is>
          <t>Cinda International Capital Limited; ICBC International Securities Limited; CCB International Capital Limited; Central, Hong Kong Yuen Meta (International) Securities Limited</t>
        </is>
      </c>
      <c r="BJ223" s="62" t="inlineStr">
        <is>
          <t>ABCI Securities Company Limited; CCB International Capital Limited; CEB International Capital Corporation Limited; China Everbright Securities (HK) Limited; Cinda International Capital Limited; China Industrial Securities International Capital Limited; CMBC Securities Company Limited; CMB International Capital Limited; China Sunrise Securities (International) Limited; Eddid Securities and Futures Limited; Grand Moore Capital Limited; Gear Securities Investment Limited</t>
        </is>
      </c>
      <c r="BK223" s="76">
        <f>HYPERLINK("https://www1.hkexnews.hk/listedco/listconews/sehk/2023/1127/2023112700086.pdf","prospectus")</f>
        <v/>
      </c>
      <c r="BL223" s="76">
        <f>HYPERLINK("https://www1.hkexnews.hk/listedco/listconews/sehk/2023/1204/2023120402525.pdf","allotment")</f>
        <v/>
      </c>
      <c r="BM223" s="62" t="n"/>
      <c r="BN223" s="74" t="n"/>
      <c r="BO223" s="62" t="inlineStr">
        <is>
          <t>greenshoe: no over-allotment option in the offer structure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t>
        </is>
      </c>
    </row>
    <row r="224" ht="15" customHeight="1">
      <c r="A224" s="61" t="inlineStr">
        <is>
          <t>9663</t>
        </is>
      </c>
      <c r="B224" s="62" t="inlineStr">
        <is>
          <t>SINOSYNERGY</t>
        </is>
      </c>
      <c r="C224" s="62" t="inlineStr">
        <is>
          <t>國鴻氫能</t>
        </is>
      </c>
      <c r="D224" s="62" t="inlineStr">
        <is>
          <t>Industrials</t>
        </is>
      </c>
      <c r="E224" s="62" t="inlineStr">
        <is>
          <t>Batteries / energy storage</t>
        </is>
      </c>
      <c r="F224" s="62" t="inlineStr">
        <is>
          <t>Battery Products</t>
        </is>
      </c>
      <c r="G224" s="62" t="inlineStr">
        <is>
          <t>Standard</t>
        </is>
      </c>
      <c r="H224" s="63" t="n">
        <v>45265</v>
      </c>
      <c r="I224" s="64" t="n">
        <v>1563.4</v>
      </c>
      <c r="J224" s="62" t="inlineStr">
        <is>
          <t>gross (price x shares)</t>
        </is>
      </c>
      <c r="K224" s="65" t="n"/>
      <c r="L224" s="65" t="n">
        <v>21.35</v>
      </c>
      <c r="M224" s="65" t="n">
        <v>19.66</v>
      </c>
      <c r="N224" s="62" t="inlineStr">
        <is>
          <t>N</t>
        </is>
      </c>
      <c r="O224" s="66" t="n">
        <v>92.09999999999999</v>
      </c>
      <c r="P224" s="66" t="n"/>
      <c r="Q224" s="67" t="n">
        <v>10184.7</v>
      </c>
      <c r="R224" s="62" t="inlineStr">
        <is>
          <t>derived:price x shares upon listing</t>
        </is>
      </c>
      <c r="S224" s="68" t="n">
        <v>1.18</v>
      </c>
      <c r="T224" s="69" t="n">
        <v>1.13</v>
      </c>
      <c r="U224" s="70" t="n">
        <v>0</v>
      </c>
      <c r="V224" s="66" t="n">
        <v>15.35</v>
      </c>
      <c r="W224" s="62" t="n"/>
      <c r="X224" s="62" t="n"/>
      <c r="Y224" s="66" t="n"/>
      <c r="Z224" s="62" t="n"/>
      <c r="AA224" s="71" t="n">
        <v>0.71</v>
      </c>
      <c r="AB224" s="72" t="n">
        <v>-16.07</v>
      </c>
      <c r="AC224" s="72" t="n">
        <v>19.99</v>
      </c>
      <c r="AD224" s="72" t="n">
        <v>-22.38</v>
      </c>
      <c r="AE224" s="72" t="n">
        <v>-19.13</v>
      </c>
      <c r="AF224" s="72" t="n">
        <v>-5.9</v>
      </c>
      <c r="AG224" s="72" t="n">
        <v>-22.93</v>
      </c>
      <c r="AH224" s="72" t="n">
        <v>-19.7</v>
      </c>
      <c r="AI224" s="72" t="n">
        <v>-6.56</v>
      </c>
      <c r="AJ224" s="72" t="n">
        <v>-20.46</v>
      </c>
      <c r="AK224" s="72" t="n">
        <v>-14.97</v>
      </c>
      <c r="AL224" s="72" t="n">
        <v>-3.11</v>
      </c>
      <c r="AM224" s="72" t="n">
        <v>-17.28</v>
      </c>
      <c r="AN224" s="72" t="n">
        <v>-4.16</v>
      </c>
      <c r="AO224" s="72" t="n">
        <v>-2.42</v>
      </c>
      <c r="AP224" s="62" t="inlineStr">
        <is>
          <t>Hang Seng Commerce &amp; Industry sub-index</t>
        </is>
      </c>
      <c r="AQ224" s="72" t="n">
        <v>-87.26000000000001</v>
      </c>
      <c r="AR224" s="63" t="inlineStr">
        <is>
          <t>2026-08-20</t>
        </is>
      </c>
      <c r="AS224" s="64" t="n">
        <v>823.3</v>
      </c>
      <c r="AT224" s="67" t="n">
        <v>-308.2</v>
      </c>
      <c r="AU224" s="62" t="inlineStr">
        <is>
          <t>N</t>
        </is>
      </c>
      <c r="AV224" s="62" t="inlineStr">
        <is>
          <t>n/m</t>
        </is>
      </c>
      <c r="AW224" s="73" t="n"/>
      <c r="AX224" s="73" t="n"/>
      <c r="AY224" s="73" t="n">
        <v>12.4</v>
      </c>
      <c r="AZ224" s="74" t="inlineStr">
        <is>
          <t>N</t>
        </is>
      </c>
      <c r="BA224" s="75">
        <f>IF('BBG Verify'!K224="","not filed — run on terminal",'BBG Verify'!K224)</f>
        <v/>
      </c>
      <c r="BB224" s="62" t="inlineStr">
        <is>
          <t>N/A</t>
        </is>
      </c>
      <c r="BC224" s="62" t="inlineStr">
        <is>
          <t>N/A</t>
        </is>
      </c>
      <c r="BD224" s="62" t="inlineStr">
        <is>
          <t>N/A</t>
        </is>
      </c>
      <c r="BE224" s="62" t="inlineStr">
        <is>
          <t>N/A</t>
        </is>
      </c>
      <c r="BF224" s="62" t="inlineStr">
        <is>
          <t>N/A</t>
        </is>
      </c>
      <c r="BG224" s="74" t="inlineStr">
        <is>
          <t>Huatai Financial Holdings (Hong Kong) Limited</t>
        </is>
      </c>
      <c r="BH224" s="62" t="inlineStr">
        <is>
          <t>Huatai Financial Holdings (Hong Kong) Limited</t>
        </is>
      </c>
      <c r="BI224" s="62" t="inlineStr">
        <is>
          <t>Huatai Financial Holdings (Hong Kong) Limited; CMB International Capital Limited; GF Securities (Hong Kong) Brokerage Limited; Haitong International Securities Company Limited; Livermore Holdings Limited</t>
        </is>
      </c>
      <c r="BJ224" s="62" t="inlineStr">
        <is>
          <t>CMB International Capital Limited; GF Securities (Hong Kong) Brokerage Limited; Huatai Financial Holdings (Hong Kong) Limited; Haitong International Securities Company Limited; Livermore Holdings Limited</t>
        </is>
      </c>
      <c r="BK224" s="76">
        <f>HYPERLINK("https://www1.hkexnews.hk/listedco/listconews/sehk/2023/1127/2023112700007.pdf","prospectus")</f>
        <v/>
      </c>
      <c r="BL224" s="76">
        <f>HYPERLINK("https://www1.hkexnews.hk/listedco/listconews/sehk/2023/1204/2023120402568.htm","allotment")</f>
        <v/>
      </c>
      <c r="BM224" s="62" t="n"/>
      <c r="BN224" s="74" t="n"/>
      <c r="BO224" s="62" t="inlineStr">
        <is>
          <t>P/E: n/m — loss-making at IPO (use P/S) · 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t>
        </is>
      </c>
    </row>
    <row r="225" ht="15" customHeight="1">
      <c r="A225" s="61" t="inlineStr">
        <is>
          <t>2483</t>
        </is>
      </c>
      <c r="B225" s="62" t="inlineStr">
        <is>
          <t>K CASH</t>
        </is>
      </c>
      <c r="C225" s="62" t="inlineStr">
        <is>
          <t>Ｋ ＣＡＳＨ集團</t>
        </is>
      </c>
      <c r="D225" s="62" t="inlineStr">
        <is>
          <t>Tech/AI</t>
        </is>
      </c>
      <c r="E225" s="62" t="inlineStr">
        <is>
          <t>Fintech platform</t>
        </is>
      </c>
      <c r="F225" s="62" t="inlineStr">
        <is>
          <t>Consumer Finance &amp; Money Lending</t>
        </is>
      </c>
      <c r="G225" s="62" t="inlineStr">
        <is>
          <t>Standard</t>
        </is>
      </c>
      <c r="H225" s="63" t="n">
        <v>45265</v>
      </c>
      <c r="I225" s="64" t="n">
        <v>225</v>
      </c>
      <c r="J225" s="62" t="inlineStr">
        <is>
          <t>gross (price x shares)</t>
        </is>
      </c>
      <c r="K225" s="65" t="n"/>
      <c r="L225" s="65" t="n">
        <v>1.96</v>
      </c>
      <c r="M225" s="65" t="n">
        <v>1.8</v>
      </c>
      <c r="N225" s="62" t="inlineStr">
        <is>
          <t>N</t>
        </is>
      </c>
      <c r="O225" s="66" t="n">
        <v>91.8</v>
      </c>
      <c r="P225" s="66" t="n"/>
      <c r="Q225" s="67" t="n">
        <v>900</v>
      </c>
      <c r="R225" s="62" t="inlineStr">
        <is>
          <t>derived:price x shares upon listing</t>
        </is>
      </c>
      <c r="S225" s="68" t="n">
        <v>18.93</v>
      </c>
      <c r="T225" s="69" t="n">
        <v>1.24</v>
      </c>
      <c r="U225" s="70" t="n">
        <v>24.7</v>
      </c>
      <c r="V225" s="66" t="n">
        <v>18.82</v>
      </c>
      <c r="W225" s="62" t="n"/>
      <c r="X225" s="62" t="n"/>
      <c r="Y225" s="66" t="n">
        <v>5</v>
      </c>
      <c r="Z225" s="62" t="inlineStr">
        <is>
          <t>lapsed</t>
        </is>
      </c>
      <c r="AA225" s="71" t="n">
        <v>-0.5600000000000001</v>
      </c>
      <c r="AB225" s="72" t="n">
        <v>-10.56</v>
      </c>
      <c r="AC225" s="72" t="n">
        <v>11.18</v>
      </c>
      <c r="AD225" s="72" t="n">
        <v>-5</v>
      </c>
      <c r="AE225" s="72" t="n">
        <v>-5</v>
      </c>
      <c r="AF225" s="72" t="n">
        <v>-5</v>
      </c>
      <c r="AG225" s="72" t="n">
        <v>-4.47</v>
      </c>
      <c r="AH225" s="72" t="n">
        <v>-4.47</v>
      </c>
      <c r="AI225" s="72" t="n">
        <v>-4.47</v>
      </c>
      <c r="AJ225" s="72" t="n">
        <v>-3.28</v>
      </c>
      <c r="AK225" s="72" t="n">
        <v>-3.95</v>
      </c>
      <c r="AL225" s="72" t="n">
        <v>-4.87</v>
      </c>
      <c r="AM225" s="72" t="n">
        <v>-5.71</v>
      </c>
      <c r="AN225" s="72" t="n">
        <v>-1.05</v>
      </c>
      <c r="AO225" s="72" t="n">
        <v>1.24</v>
      </c>
      <c r="AP225" s="62" t="inlineStr">
        <is>
          <t>Hang Seng Finance sub-index</t>
        </is>
      </c>
      <c r="AQ225" s="72" t="n">
        <v>-1.11</v>
      </c>
      <c r="AR225" s="63" t="inlineStr">
        <is>
          <t>2026-08-19</t>
        </is>
      </c>
      <c r="AS225" s="64" t="n">
        <v>2022</v>
      </c>
      <c r="AT225" s="67" t="n">
        <v>67.90000000000001</v>
      </c>
      <c r="AU225" s="62" t="inlineStr">
        <is>
          <t>Y</t>
        </is>
      </c>
      <c r="AV225" s="73" t="n">
        <v>13.3</v>
      </c>
      <c r="AW225" s="73" t="n"/>
      <c r="AX225" s="73" t="n">
        <v>9.699999999999999</v>
      </c>
      <c r="AY225" s="73" t="n">
        <v>0.4</v>
      </c>
      <c r="AZ225" s="74" t="inlineStr">
        <is>
          <t>N</t>
        </is>
      </c>
      <c r="BA225" s="75">
        <f>IF('BBG Verify'!K225="","not filed — run on terminal",'BBG Verify'!K225)</f>
        <v/>
      </c>
      <c r="BB225" s="62" t="inlineStr">
        <is>
          <t>N/A</t>
        </is>
      </c>
      <c r="BC225" s="62" t="inlineStr">
        <is>
          <t>N/A</t>
        </is>
      </c>
      <c r="BD225" s="62" t="inlineStr">
        <is>
          <t>N/A</t>
        </is>
      </c>
      <c r="BE225" s="62" t="inlineStr">
        <is>
          <t>N/A</t>
        </is>
      </c>
      <c r="BF225" s="62" t="inlineStr">
        <is>
          <t>N/A</t>
        </is>
      </c>
      <c r="BG225" s="74" t="inlineStr">
        <is>
          <t>DBS Asia Capital Limited; Ping An of China Capital (Hong Kong) Company Limited</t>
        </is>
      </c>
      <c r="BH225" s="62" t="inlineStr">
        <is>
          <t>Ping An of China Capital (Hong Kong) Company Limited; DBS Asia Capital Limited</t>
        </is>
      </c>
      <c r="BI225" s="62" t="inlineStr">
        <is>
          <t>and CMIs CCB International Capital Limited; Elstone Securities Limited; Valuable Capital Limited</t>
        </is>
      </c>
      <c r="BJ225" s="62" t="inlineStr">
        <is>
          <t>CCB International Capital Limited; China PA Securities (Hong Kong) Company Limited; DBS Asia Capital Limited; Elstone Securities Limited; Eddid Securities and Futures Limited; Innovax Securities Limited; Valuable Capital Limited; Zhongtai International Securities Limited</t>
        </is>
      </c>
      <c r="BK225" s="76">
        <f>HYPERLINK("https://www1.hkexnews.hk/listedco/listconews/sehk/2023/1127/2023112700082.pdf","prospectus")</f>
        <v/>
      </c>
      <c r="BL225" s="76">
        <f>HYPERLINK("https://www1.hkexnews.hk/listedco/listconews/sehk/2023/1204/2023120402869.pdf","allotment")</f>
        <v/>
      </c>
      <c r="BM225" s="76">
        <f>HYPERLINK("https://www1.hkexnews.hk/listedco/listconews/sehk/2024/0102/2024010200039.pdf","stabilisation")</f>
        <v/>
      </c>
      <c r="BN225" s="74" t="n"/>
      <c r="BO225" s="62" t="inlineStr">
        <is>
          <t>range low: cap-only pricing — the filing publishes a Maximum Offer Price and no indicative floor · A/H: no A-share listing · cornerstone list: no cornerstone tranche in this deal</t>
        </is>
      </c>
    </row>
    <row r="226" ht="15" customHeight="1">
      <c r="A226" s="61" t="inlineStr">
        <is>
          <t>2419</t>
        </is>
      </c>
      <c r="B226" s="62" t="inlineStr">
        <is>
          <t>DEKON AGR</t>
        </is>
      </c>
      <c r="C226" s="62" t="inlineStr">
        <is>
          <t>德康農牧</t>
        </is>
      </c>
      <c r="D226" s="62" t="inlineStr">
        <is>
          <t>Consumer</t>
        </is>
      </c>
      <c r="E226" s="62" t="inlineStr">
        <is>
          <t>Beverages / packaged food</t>
        </is>
      </c>
      <c r="F226" s="62" t="inlineStr">
        <is>
          <t>Poultry, Meat and Seafood</t>
        </is>
      </c>
      <c r="G226" s="62" t="inlineStr">
        <is>
          <t>Standard</t>
        </is>
      </c>
      <c r="H226" s="63" t="n">
        <v>45266</v>
      </c>
      <c r="I226" s="64" t="n">
        <v>994.4</v>
      </c>
      <c r="J226" s="62" t="inlineStr">
        <is>
          <t>gross (price x shares)</t>
        </is>
      </c>
      <c r="K226" s="65" t="n">
        <v>30.35</v>
      </c>
      <c r="L226" s="65" t="n">
        <v>36.95</v>
      </c>
      <c r="M226" s="65" t="n">
        <v>36.95</v>
      </c>
      <c r="N226" s="62" t="inlineStr">
        <is>
          <t>Y</t>
        </is>
      </c>
      <c r="O226" s="66" t="n">
        <v>100</v>
      </c>
      <c r="P226" s="66" t="n">
        <v>100</v>
      </c>
      <c r="Q226" s="67" t="n">
        <v>14369</v>
      </c>
      <c r="R226" s="62" t="inlineStr">
        <is>
          <t>derived:price x shares upon listing</t>
        </is>
      </c>
      <c r="S226" s="68" t="n">
        <v>1.88</v>
      </c>
      <c r="T226" s="69" t="n">
        <v>1.13</v>
      </c>
      <c r="U226" s="70" t="n">
        <v>47.7</v>
      </c>
      <c r="V226" s="66" t="n">
        <v>3.62</v>
      </c>
      <c r="W226" s="62" t="inlineStr">
        <is>
          <t>Guiyang Agricultural Investment Development Co., Ltd; Quxian Huixing Industrial Investment Co., Ltd; Xiushan County Xinzhiyuan Market Management Co., Ltd</t>
        </is>
      </c>
      <c r="X226" s="62" t="inlineStr">
        <is>
          <t>guiyang;quxian;xiushan</t>
        </is>
      </c>
      <c r="Y226" s="66" t="n"/>
      <c r="Z226" s="62" t="n"/>
      <c r="AA226" s="71" t="n">
        <v>1.49</v>
      </c>
      <c r="AB226" s="72" t="n">
        <v>0</v>
      </c>
      <c r="AC226" s="72" t="n">
        <v>1.49</v>
      </c>
      <c r="AD226" s="72" t="n">
        <v>2.17</v>
      </c>
      <c r="AE226" s="72" t="n">
        <v>59.68</v>
      </c>
      <c r="AF226" s="72" t="n">
        <v>18.94</v>
      </c>
      <c r="AG226" s="72" t="n">
        <v>0.67</v>
      </c>
      <c r="AH226" s="72" t="n">
        <v>57.34</v>
      </c>
      <c r="AI226" s="72" t="n">
        <v>17.19</v>
      </c>
      <c r="AJ226" s="72" t="n">
        <v>3.43</v>
      </c>
      <c r="AK226" s="72" t="n">
        <v>62.72</v>
      </c>
      <c r="AL226" s="72" t="n">
        <v>17.97</v>
      </c>
      <c r="AM226" s="72" t="n">
        <v>61.35</v>
      </c>
      <c r="AN226" s="72" t="n">
        <v>-3.04</v>
      </c>
      <c r="AO226" s="72" t="n">
        <v>-4.01</v>
      </c>
      <c r="AP226" s="62" t="inlineStr">
        <is>
          <t>Hang Seng Commerce &amp; Industry sub-index</t>
        </is>
      </c>
      <c r="AQ226" s="72" t="n">
        <v>46.01</v>
      </c>
      <c r="AR226" s="63" t="inlineStr">
        <is>
          <t>2026-08-20</t>
        </is>
      </c>
      <c r="AS226" s="64" t="n">
        <v>16540.7</v>
      </c>
      <c r="AT226" s="67" t="n">
        <v>1092.2</v>
      </c>
      <c r="AU226" s="62" t="inlineStr">
        <is>
          <t>Y</t>
        </is>
      </c>
      <c r="AV226" s="73" t="n">
        <v>13.2</v>
      </c>
      <c r="AW226" s="73" t="n"/>
      <c r="AX226" s="73" t="n">
        <v>11.9</v>
      </c>
      <c r="AY226" s="73" t="n">
        <v>0.9</v>
      </c>
      <c r="AZ226" s="74" t="inlineStr">
        <is>
          <t>N</t>
        </is>
      </c>
      <c r="BA226" s="75">
        <f>IF('BBG Verify'!K226="","not filed — run on terminal",'BBG Verify'!K226)</f>
        <v/>
      </c>
      <c r="BB226" s="62" t="inlineStr">
        <is>
          <t>N/A</t>
        </is>
      </c>
      <c r="BC226" s="62" t="inlineStr">
        <is>
          <t>N/A</t>
        </is>
      </c>
      <c r="BD226" s="62" t="inlineStr">
        <is>
          <t>N/A</t>
        </is>
      </c>
      <c r="BE226" s="62" t="inlineStr">
        <is>
          <t>N/A</t>
        </is>
      </c>
      <c r="BF226" s="62" t="inlineStr">
        <is>
          <t>N/A</t>
        </is>
      </c>
      <c r="BG226" s="74" t="inlineStr">
        <is>
          <t>China International Capital Corporation Hong Kong Securities Limited; Citigroup Global Markets Asia Limited</t>
        </is>
      </c>
      <c r="BH226" s="62" t="inlineStr">
        <is>
          <t>China International Capital Corporation Hong Kong Securities Limited; Citigroup Global Markets Asia Limited</t>
        </is>
      </c>
      <c r="BI226" s="62" t="inlineStr">
        <is>
          <t>China International Capital Corporation Hong Kong Securities Limited; Citigroup Global Markets Asia Limited; Central Hong Kong Citigroup Global Markets Limited; Canary Wharf London E14 5LB United Kingdom China Everbright Securities (HK) Limited; BOCI Asia Limited; Central, Hong Kong ABCI Capital Limited; China Galaxy International Securities (Hong Kong) Co., Limited; ICBC International Securities Limited; CMB International Capital Limited; Citrus Securities Limited; Valuable Capital Limited</t>
        </is>
      </c>
      <c r="BJ226" s="62" t="inlineStr">
        <is>
          <t>ABCI Securities Company Limited; BOCI Asia Limited; China Everbright Securities (HK) Limited; China Galaxy International Securities (Hong Kong) Company Limited; Citigroup Global Markets Asia Limited; China International Capital Corporation Hong Kong Securities Limited; Citrus Securities Limited; CMBC Securities Company Limited; CMB International Capital Limited; ICBC International Securities Limited; Silverbricks Securities Company Limited; Valuable Capital Limited</t>
        </is>
      </c>
      <c r="BK226" s="76">
        <f>HYPERLINK("https://www1.hkexnews.hk/listedco/listconews/sehk/2023/1127/2023112700009.pdf","prospectus")</f>
        <v/>
      </c>
      <c r="BL226" s="76">
        <f>HYPERLINK("https://www1.hkexnews.hk/listedco/listconews/sehk/2023/1205/2023120502409.pdf","allotment")</f>
        <v/>
      </c>
      <c r="BM226" s="62" t="n"/>
      <c r="BN226" s="74" t="n"/>
      <c r="BO226" s="62" t="inlineStr">
        <is>
          <t>greenshoe: no over-allotment option in the offer structure · A/H: no A-share listing · greenshoe size: no over-allotment option in the offer structure</t>
        </is>
      </c>
    </row>
    <row r="227" ht="15" customHeight="1">
      <c r="A227" s="61" t="inlineStr">
        <is>
          <t>1497</t>
        </is>
      </c>
      <c r="B227" s="62" t="inlineStr">
        <is>
          <t>YAN PALACE</t>
        </is>
      </c>
      <c r="C227" s="62" t="inlineStr">
        <is>
          <t>燕之屋</t>
        </is>
      </c>
      <c r="D227" s="62" t="inlineStr">
        <is>
          <t>Consumer</t>
        </is>
      </c>
      <c r="E227" s="62" t="inlineStr">
        <is>
          <t>Beverages / packaged food</t>
        </is>
      </c>
      <c r="F227" s="62" t="inlineStr">
        <is>
          <t>Packaged Foods</t>
        </is>
      </c>
      <c r="G227" s="62" t="inlineStr">
        <is>
          <t>Standard</t>
        </is>
      </c>
      <c r="H227" s="63" t="n">
        <v>45272</v>
      </c>
      <c r="I227" s="64" t="n">
        <v>310.4</v>
      </c>
      <c r="J227" s="62" t="inlineStr">
        <is>
          <t>gross (price x shares)</t>
        </is>
      </c>
      <c r="K227" s="65" t="n">
        <v>8.800000000000001</v>
      </c>
      <c r="L227" s="65" t="n">
        <v>11</v>
      </c>
      <c r="M227" s="65" t="n">
        <v>9.699999999999999</v>
      </c>
      <c r="N227" s="62" t="inlineStr">
        <is>
          <t>N</t>
        </is>
      </c>
      <c r="O227" s="66" t="n">
        <v>88.2</v>
      </c>
      <c r="P227" s="66" t="n">
        <v>40.9</v>
      </c>
      <c r="Q227" s="67" t="n">
        <v>4515.4</v>
      </c>
      <c r="R227" s="62" t="inlineStr">
        <is>
          <t>derived:price x shares upon listing</t>
        </is>
      </c>
      <c r="S227" s="68" t="n">
        <v>83.63</v>
      </c>
      <c r="T227" s="69" t="n">
        <v>1.27</v>
      </c>
      <c r="U227" s="70" t="n">
        <v>40.16</v>
      </c>
      <c r="V227" s="66" t="n">
        <v>4.11</v>
      </c>
      <c r="W227" s="62" t="inlineStr">
        <is>
          <t>PT Esta Indonesia; PT Niaga Cakrawala Sukses; PT. Anugerah Citra Walet Indonesia; Value Partners Hong Kong Limited; WONG Sing Kwong Cyrus; WU Chen</t>
        </is>
      </c>
      <c r="X227" s="62" t="inlineStr">
        <is>
          <t>pt;value;wong;wu-chen</t>
        </is>
      </c>
      <c r="Y227" s="66" t="n">
        <v>15</v>
      </c>
      <c r="Z227" s="62" t="inlineStr">
        <is>
          <t>lapsed</t>
        </is>
      </c>
      <c r="AA227" s="71" t="n">
        <v>0</v>
      </c>
      <c r="AB227" s="72" t="n">
        <v>8.25</v>
      </c>
      <c r="AC227" s="72" t="n">
        <v>-7.62</v>
      </c>
      <c r="AD227" s="72" t="n">
        <v>-5.15</v>
      </c>
      <c r="AE227" s="72" t="n">
        <v>1.03</v>
      </c>
      <c r="AF227" s="72" t="n">
        <v>3.09</v>
      </c>
      <c r="AG227" s="72" t="n">
        <v>-5.15</v>
      </c>
      <c r="AH227" s="72" t="n">
        <v>1.03</v>
      </c>
      <c r="AI227" s="72" t="n">
        <v>3.09</v>
      </c>
      <c r="AJ227" s="72" t="n">
        <v>-6.71</v>
      </c>
      <c r="AK227" s="72" t="n">
        <v>2.22</v>
      </c>
      <c r="AL227" s="72" t="n">
        <v>-0.7</v>
      </c>
      <c r="AM227" s="72" t="n">
        <v>3.39</v>
      </c>
      <c r="AN227" s="72" t="n">
        <v>-1.19</v>
      </c>
      <c r="AO227" s="72" t="n">
        <v>-2.36</v>
      </c>
      <c r="AP227" s="62" t="inlineStr">
        <is>
          <t>Hang Seng Commerce &amp; Industry sub-index</t>
        </is>
      </c>
      <c r="AQ227" s="72" t="n">
        <v>-39.18</v>
      </c>
      <c r="AR227" s="63" t="inlineStr">
        <is>
          <t>2026-08-20</t>
        </is>
      </c>
      <c r="AS227" s="64" t="n">
        <v>1902.9</v>
      </c>
      <c r="AT227" s="67" t="n">
        <v>226.5</v>
      </c>
      <c r="AU227" s="62" t="inlineStr">
        <is>
          <t>Y</t>
        </is>
      </c>
      <c r="AV227" s="73" t="n">
        <v>19.9</v>
      </c>
      <c r="AW227" s="73" t="n"/>
      <c r="AX227" s="73" t="n">
        <v>9.300000000000001</v>
      </c>
      <c r="AY227" s="73" t="n">
        <v>2.4</v>
      </c>
      <c r="AZ227" s="74" t="inlineStr">
        <is>
          <t>N</t>
        </is>
      </c>
      <c r="BA227" s="75">
        <f>IF('BBG Verify'!K227="","not filed — run on terminal",'BBG Verify'!K227)</f>
        <v/>
      </c>
      <c r="BB227" s="62" t="inlineStr">
        <is>
          <t>N/A</t>
        </is>
      </c>
      <c r="BC227" s="62" t="inlineStr">
        <is>
          <t>N/A</t>
        </is>
      </c>
      <c r="BD227" s="62" t="inlineStr">
        <is>
          <t>N/A</t>
        </is>
      </c>
      <c r="BE227" s="62" t="inlineStr">
        <is>
          <t>N/A</t>
        </is>
      </c>
      <c r="BF227" s="62" t="inlineStr">
        <is>
          <t>N/A</t>
        </is>
      </c>
      <c r="BG227" s="74" t="inlineStr">
        <is>
          <t>China International Capital Corporation Hong Kong Securities Limited; GF Capital (Hong Kong) Limited</t>
        </is>
      </c>
      <c r="BH227" s="62" t="inlineStr">
        <is>
          <t>China International Capital Corporation Hong Kong Securities Limited; GF Capital (Hong Kong) Limited</t>
        </is>
      </c>
      <c r="BI227" s="62" t="inlineStr">
        <is>
          <t>China International Capital Corporation Hong Kong Securities Limited; GF Securities (Hong Kong) Brokerage Limited; Citigroup Global Markets Asia Limited; Citigroup Global Markets Limited; London E14 5LB United Kingdom Valuable Capital Limited</t>
        </is>
      </c>
      <c r="BJ227" s="62" t="inlineStr">
        <is>
          <t>Citigroup Global Markets Asia Limited; China International Capital Corporation Hong Kong Securities Limited; Futu Securities International (Hong Kong) Limited; GF Securities (Hong Kong) Brokerage Limited; Tiger Brokers (HK) Global Limited; Valuable Capital Limited</t>
        </is>
      </c>
      <c r="BK227" s="76">
        <f>HYPERLINK("https://www1.hkexnews.hk/listedco/listconews/sehk/2023/1130/2023113000061.pdf","prospectus")</f>
        <v/>
      </c>
      <c r="BL227" s="76">
        <f>HYPERLINK("https://www1.hkexnews.hk/listedco/listconews/sehk/2023/1211/2023121101204.pdf","allotment")</f>
        <v/>
      </c>
      <c r="BM227" s="76">
        <f>HYPERLINK("https://www1.hkexnews.hk/listedco/listconews/sehk/2024/0108/2024010800315.pdf","stabilisation")</f>
        <v/>
      </c>
      <c r="BN227" s="74" t="n"/>
      <c r="BO227" s="62" t="inlineStr">
        <is>
          <t>A/H: no A-share listing</t>
        </is>
      </c>
    </row>
    <row r="228" ht="15" customHeight="1">
      <c r="A228" s="61" t="inlineStr">
        <is>
          <t>0666</t>
        </is>
      </c>
      <c r="B228" s="62" t="inlineStr">
        <is>
          <t>REPT BATTERO</t>
        </is>
      </c>
      <c r="C228" s="62" t="inlineStr">
        <is>
          <t>瑞浦蘭鈞</t>
        </is>
      </c>
      <c r="D228" s="62" t="inlineStr">
        <is>
          <t>Industrials</t>
        </is>
      </c>
      <c r="E228" s="62" t="inlineStr">
        <is>
          <t>Batteries / energy storage</t>
        </is>
      </c>
      <c r="F228" s="62" t="inlineStr">
        <is>
          <t>Battery Products</t>
        </is>
      </c>
      <c r="G228" s="62" t="inlineStr">
        <is>
          <t>Standard</t>
        </is>
      </c>
      <c r="H228" s="63" t="n">
        <v>45278</v>
      </c>
      <c r="I228" s="64" t="n">
        <v>2124.1</v>
      </c>
      <c r="J228" s="62" t="inlineStr">
        <is>
          <t>gross (price x shares)</t>
        </is>
      </c>
      <c r="K228" s="65" t="n"/>
      <c r="L228" s="65" t="n">
        <v>20.6</v>
      </c>
      <c r="M228" s="65" t="n">
        <v>18.3</v>
      </c>
      <c r="N228" s="62" t="inlineStr">
        <is>
          <t>N</t>
        </is>
      </c>
      <c r="O228" s="66" t="n">
        <v>88.8</v>
      </c>
      <c r="P228" s="66" t="n"/>
      <c r="Q228" s="67" t="n">
        <v>41666.8</v>
      </c>
      <c r="R228" s="62" t="inlineStr">
        <is>
          <t>derived:price x shares upon listing</t>
        </is>
      </c>
      <c r="S228" s="68" t="n">
        <v>1.27</v>
      </c>
      <c r="T228" s="69" t="n">
        <v>1.21</v>
      </c>
      <c r="U228" s="70" t="n">
        <v>0</v>
      </c>
      <c r="V228" s="66" t="n">
        <v>5.1</v>
      </c>
      <c r="W228" s="62" t="n"/>
      <c r="X228" s="62" t="n"/>
      <c r="Y228" s="66" t="n"/>
      <c r="Z228" s="62" t="n"/>
      <c r="AA228" s="71" t="n">
        <v>2.62</v>
      </c>
      <c r="AB228" s="72" t="n">
        <v>1.64</v>
      </c>
      <c r="AC228" s="72" t="n">
        <v>0.96</v>
      </c>
      <c r="AD228" s="72" t="n">
        <v>0.77</v>
      </c>
      <c r="AE228" s="72" t="n">
        <v>3.39</v>
      </c>
      <c r="AF228" s="72" t="n">
        <v>-21.09</v>
      </c>
      <c r="AG228" s="72" t="n">
        <v>-1.8</v>
      </c>
      <c r="AH228" s="72" t="n">
        <v>0.75</v>
      </c>
      <c r="AI228" s="72" t="n">
        <v>-23.1</v>
      </c>
      <c r="AJ228" s="72" t="n">
        <v>2.48</v>
      </c>
      <c r="AK228" s="72" t="n">
        <v>13.42</v>
      </c>
      <c r="AL228" s="72" t="n">
        <v>-23.07</v>
      </c>
      <c r="AM228" s="72" t="n">
        <v>10.01</v>
      </c>
      <c r="AN228" s="72" t="n">
        <v>-10.03</v>
      </c>
      <c r="AO228" s="72" t="n">
        <v>-9.26</v>
      </c>
      <c r="AP228" s="62" t="inlineStr">
        <is>
          <t>Hang Seng Commerce &amp; Industry sub-index</t>
        </is>
      </c>
      <c r="AQ228" s="72" t="n">
        <v>-42.02</v>
      </c>
      <c r="AR228" s="63" t="inlineStr">
        <is>
          <t>2026-08-21</t>
        </is>
      </c>
      <c r="AS228" s="64" t="n">
        <v>16112.6</v>
      </c>
      <c r="AT228" s="67" t="n">
        <v>-495.9</v>
      </c>
      <c r="AU228" s="62" t="inlineStr">
        <is>
          <t>N</t>
        </is>
      </c>
      <c r="AV228" s="62" t="inlineStr">
        <is>
          <t>n/m</t>
        </is>
      </c>
      <c r="AW228" s="73" t="n"/>
      <c r="AX228" s="73" t="n"/>
      <c r="AY228" s="73" t="n">
        <v>2.6</v>
      </c>
      <c r="AZ228" s="74" t="inlineStr">
        <is>
          <t>N</t>
        </is>
      </c>
      <c r="BA228" s="75">
        <f>IF('BBG Verify'!K228="","not filed — run on terminal",'BBG Verify'!K228)</f>
        <v/>
      </c>
      <c r="BB228" s="62" t="inlineStr">
        <is>
          <t>N/A</t>
        </is>
      </c>
      <c r="BC228" s="62" t="inlineStr">
        <is>
          <t>N/A</t>
        </is>
      </c>
      <c r="BD228" s="62" t="inlineStr">
        <is>
          <t>N/A</t>
        </is>
      </c>
      <c r="BE228" s="62" t="inlineStr">
        <is>
          <t>N/A</t>
        </is>
      </c>
      <c r="BF228" s="62" t="inlineStr">
        <is>
          <t>N/A</t>
        </is>
      </c>
      <c r="BG228" s="74" t="inlineStr">
        <is>
          <t>Morgan Stanley Asia Limited; CITIC Securities (Hong Kong) Limited</t>
        </is>
      </c>
      <c r="BH228" s="62" t="inlineStr">
        <is>
          <t>Morgan Stanley Asia Limited; CITIC Securities (Hong Kong) Limited</t>
        </is>
      </c>
      <c r="BI228" s="62" t="inlineStr">
        <is>
          <t>Morgan Stanley Asia Limited; CLSA Limited; The Hongkong and Shanghai Banking Corporation Limited; China Galaxy International Securities (Hong Kong) Co., Limited; China International Capital Corporation Hong Kong Securities Limited; Guotai Junan Securities (Hong Kong) Limited; CMB International Capital Limited; Central, Hong Kong BOCI Asia Limited; Central, Hong Kong ABCI Capital Limited</t>
        </is>
      </c>
      <c r="BJ228" s="62" t="inlineStr">
        <is>
          <t>ABCI Securities Company Limited; BOCI Asia Limited; China Galaxy International Securities (Hong Kong) Company Limited; China International Capital Corporation Hong Kong Securities Limited; CLSA Limited; CMB International Capital Limited; DBS Asia Capital Limited; Futu Securities International (Hong Kong) Limited; Guotai Junan Securities (Hong Kong) Limited; The Hongkong and Shanghai Banking Corporation Limited; Morgan Stanley Asia Limited; Tiger Brokers (HK) Global Limited</t>
        </is>
      </c>
      <c r="BK228" s="76">
        <f>HYPERLINK("https://www1.hkexnews.hk/listedco/listconews/sehk/2023/1208/2023120800019.pdf","prospectus")</f>
        <v/>
      </c>
      <c r="BL228" s="76">
        <f>HYPERLINK("https://www1.hkexnews.hk/listedco/listconews/sehk/2023/1215/2023121501598.pdf","allotment")</f>
        <v/>
      </c>
      <c r="BM228" s="62" t="n"/>
      <c r="BN228" s="74" t="n"/>
      <c r="BO228" s="62" t="inlineStr">
        <is>
          <t>P/E: n/m — loss-making at IPO (use P/S) · 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t>
        </is>
      </c>
    </row>
    <row r="229" ht="15" customHeight="1">
      <c r="A229" s="61" t="inlineStr">
        <is>
          <t>2502</t>
        </is>
      </c>
      <c r="B229" s="62" t="inlineStr">
        <is>
          <t>JINYUAN HCHEM</t>
        </is>
      </c>
      <c r="C229" s="62" t="inlineStr">
        <is>
          <t>金源氫化</t>
        </is>
      </c>
      <c r="D229" s="62" t="inlineStr">
        <is>
          <t>Materials/Energy</t>
        </is>
      </c>
      <c r="E229" s="62" t="inlineStr">
        <is>
          <t>Chemicals</t>
        </is>
      </c>
      <c r="F229" s="62" t="inlineStr">
        <is>
          <t>Diversified Chemicals</t>
        </is>
      </c>
      <c r="G229" s="62" t="inlineStr">
        <is>
          <t>Standard</t>
        </is>
      </c>
      <c r="H229" s="63" t="n">
        <v>45280</v>
      </c>
      <c r="I229" s="64" t="n">
        <v>286.69</v>
      </c>
      <c r="J229" s="62" t="inlineStr">
        <is>
          <t>gross (stated)</t>
        </is>
      </c>
      <c r="K229" s="65" t="n">
        <v>1.1</v>
      </c>
      <c r="L229" s="65" t="n">
        <v>1.5</v>
      </c>
      <c r="M229" s="65" t="n">
        <v>1.2</v>
      </c>
      <c r="N229" s="62" t="inlineStr">
        <is>
          <t>N</t>
        </is>
      </c>
      <c r="O229" s="66" t="n">
        <v>80</v>
      </c>
      <c r="P229" s="66" t="n">
        <v>25</v>
      </c>
      <c r="Q229" s="67" t="n">
        <v>1146.8</v>
      </c>
      <c r="R229" s="62" t="inlineStr">
        <is>
          <t>derived:price x shares upon listing</t>
        </is>
      </c>
      <c r="S229" s="68" t="n">
        <v>42.82</v>
      </c>
      <c r="T229" s="69" t="n">
        <v>1.07</v>
      </c>
      <c r="U229" s="70" t="n">
        <v>57.1</v>
      </c>
      <c r="V229" s="66" t="n">
        <v>10.72</v>
      </c>
      <c r="W229" s="62" t="inlineStr">
        <is>
          <t>Genesis M Co., Limited; Max Success Group Holdings Limited; Prosperity Steel United Singapore Pte. Ltd; Zhongsheng Holdings Company Limited</t>
        </is>
      </c>
      <c r="X229" s="62" t="inlineStr">
        <is>
          <t>genesis;max;prosperity;zhongsheng</t>
        </is>
      </c>
      <c r="Y229" s="66" t="n">
        <v>5</v>
      </c>
      <c r="Z229" s="62" t="inlineStr">
        <is>
          <t>lapsed</t>
        </is>
      </c>
      <c r="AA229" s="71" t="n">
        <v>-27.5</v>
      </c>
      <c r="AB229" s="72" t="n">
        <v>-11.67</v>
      </c>
      <c r="AC229" s="72" t="n">
        <v>-17.92</v>
      </c>
      <c r="AD229" s="72" t="n">
        <v>-20.83</v>
      </c>
      <c r="AE229" s="72" t="n">
        <v>-28.33</v>
      </c>
      <c r="AF229" s="72" t="n">
        <v>-37.5</v>
      </c>
      <c r="AG229" s="72" t="n">
        <v>9.199999999999999</v>
      </c>
      <c r="AH229" s="72" t="n">
        <v>-1.14</v>
      </c>
      <c r="AI229" s="72" t="n">
        <v>-13.79</v>
      </c>
      <c r="AJ229" s="72" t="n">
        <v>-23.55</v>
      </c>
      <c r="AK229" s="72" t="n">
        <v>-19.91</v>
      </c>
      <c r="AL229" s="72" t="n">
        <v>-38.8</v>
      </c>
      <c r="AM229" s="72" t="n">
        <v>7.92</v>
      </c>
      <c r="AN229" s="72" t="n">
        <v>-8.42</v>
      </c>
      <c r="AO229" s="72" t="n">
        <v>-9.06</v>
      </c>
      <c r="AP229" s="62" t="inlineStr">
        <is>
          <t>Hang Seng Commerce &amp; Industry sub-index</t>
        </is>
      </c>
      <c r="AQ229" s="72" t="n">
        <v>-49.17</v>
      </c>
      <c r="AR229" s="63" t="inlineStr">
        <is>
          <t>2026-08-20</t>
        </is>
      </c>
      <c r="AS229" s="64" t="n">
        <v>2480</v>
      </c>
      <c r="AT229" s="67" t="n">
        <v>213.5</v>
      </c>
      <c r="AU229" s="62" t="inlineStr">
        <is>
          <t>Y</t>
        </is>
      </c>
      <c r="AV229" s="73" t="n">
        <v>5.4</v>
      </c>
      <c r="AW229" s="73" t="n"/>
      <c r="AX229" s="73" t="n"/>
      <c r="AY229" s="73" t="n">
        <v>0.5</v>
      </c>
      <c r="AZ229" s="74" t="inlineStr">
        <is>
          <t>N</t>
        </is>
      </c>
      <c r="BA229" s="75">
        <f>IF('BBG Verify'!K229="","not filed — run on terminal",'BBG Verify'!K229)</f>
        <v/>
      </c>
      <c r="BB229" s="62" t="inlineStr">
        <is>
          <t>N/A</t>
        </is>
      </c>
      <c r="BC229" s="62" t="inlineStr">
        <is>
          <t>N/A</t>
        </is>
      </c>
      <c r="BD229" s="62" t="inlineStr">
        <is>
          <t>N/A</t>
        </is>
      </c>
      <c r="BE229" s="62" t="inlineStr">
        <is>
          <t>N/A</t>
        </is>
      </c>
      <c r="BF229" s="62" t="inlineStr">
        <is>
          <t>N/A</t>
        </is>
      </c>
      <c r="BG229" s="74" t="inlineStr">
        <is>
          <t>Haitong International Capital Limited</t>
        </is>
      </c>
      <c r="BH229" s="62" t="inlineStr">
        <is>
          <t>Haitong International Capital Limited</t>
        </is>
      </c>
      <c r="BI229" s="62" t="inlineStr">
        <is>
          <t>ABCI Capital Limited; ABCI Securities Company Limited</t>
        </is>
      </c>
      <c r="BJ229" s="62" t="inlineStr">
        <is>
          <t>ABCI Securities Company Limited; CCB International Capital Limited; Central China International Capital Limited; China Everbright Securities (HK) Limited; China Galaxy International Securities (Hong Kong) Company Limited; CMB International Capital Limited; Haitong International Securities Company Limited; Huaan Securities (Hong Kong) Brokerage Limited; ICBC International Securities Limited; Livermore Holdings Limited; Maxa Capital Limited; Shenwan Hongyuan Securities (H.K.) Limited</t>
        </is>
      </c>
      <c r="BK229" s="76">
        <f>HYPERLINK("https://www1.hkexnews.hk/listedco/listconews/sehk/2023/1212/2023121200021.pdf","prospectus")</f>
        <v/>
      </c>
      <c r="BL229" s="76">
        <f>HYPERLINK("https://www1.hkexnews.hk/listedco/listconews/sehk/2023/1219/2023121901110.pdf","allotment")</f>
        <v/>
      </c>
      <c r="BM229" s="76">
        <f>HYPERLINK("https://www1.hkexnews.hk/listedco/listconews/sehk/2024/0115/2024011500035.pdf","stabilisation")</f>
        <v/>
      </c>
      <c r="BN229" s="74" t="n"/>
      <c r="BO229" s="62" t="inlineStr">
        <is>
          <t>A/H: no A-share listing</t>
        </is>
      </c>
    </row>
    <row r="230" ht="15" customHeight="1">
      <c r="A230" s="61" t="inlineStr">
        <is>
          <t>1274</t>
        </is>
      </c>
      <c r="B230" s="62" t="inlineStr">
        <is>
          <t>IMOTIONAUTOTECH</t>
        </is>
      </c>
      <c r="C230" s="62" t="inlineStr">
        <is>
          <t>知行科技</t>
        </is>
      </c>
      <c r="D230" s="62" t="inlineStr">
        <is>
          <t>Tech/AI</t>
        </is>
      </c>
      <c r="E230" s="62" t="inlineStr">
        <is>
          <t>Robotics &amp; autonomous driving</t>
        </is>
      </c>
      <c r="F230" s="62" t="inlineStr">
        <is>
          <t>Auto Parts &amp; Equipment</t>
        </is>
      </c>
      <c r="G230" s="62" t="inlineStr">
        <is>
          <t>Standard</t>
        </is>
      </c>
      <c r="H230" s="63" t="n">
        <v>45280</v>
      </c>
      <c r="I230" s="64" t="n">
        <v>655.7</v>
      </c>
      <c r="J230" s="62" t="inlineStr">
        <is>
          <t>gross (price x shares)</t>
        </is>
      </c>
      <c r="K230" s="65" t="n"/>
      <c r="L230" s="65" t="n">
        <v>29.65</v>
      </c>
      <c r="M230" s="65" t="n">
        <v>29.65</v>
      </c>
      <c r="N230" s="62" t="inlineStr">
        <is>
          <t>Y</t>
        </is>
      </c>
      <c r="O230" s="66" t="n">
        <v>100</v>
      </c>
      <c r="P230" s="66" t="n"/>
      <c r="Q230" s="67" t="n">
        <v>6710.7</v>
      </c>
      <c r="R230" s="62" t="inlineStr">
        <is>
          <t>derived:price x shares upon listing</t>
        </is>
      </c>
      <c r="S230" s="68" t="n">
        <v>6.46</v>
      </c>
      <c r="T230" s="69" t="n">
        <v>1.07</v>
      </c>
      <c r="U230" s="70" t="n">
        <v>79.09999999999999</v>
      </c>
      <c r="V230" s="66" t="n">
        <v>2.04</v>
      </c>
      <c r="W230" s="62" t="inlineStr">
        <is>
          <t>Harvest International Premium Value (Secondary Market) Fund SPC; SilkyWater Absolute Return LPF; Zhejiang Qixin Zhixing Information Technology Co., Ltd</t>
        </is>
      </c>
      <c r="X230" s="62" t="inlineStr">
        <is>
          <t>harvest;silkywater;zhejiang</t>
        </is>
      </c>
      <c r="Y230" s="66" t="n"/>
      <c r="Z230" s="62" t="n"/>
      <c r="AA230" s="71" t="n">
        <v>-12.82</v>
      </c>
      <c r="AB230" s="72" t="n">
        <v>-0.34</v>
      </c>
      <c r="AC230" s="72" t="n">
        <v>-12.52</v>
      </c>
      <c r="AD230" s="72" t="n">
        <v>13.66</v>
      </c>
      <c r="AE230" s="72" t="n">
        <v>59.36</v>
      </c>
      <c r="AF230" s="72" t="n">
        <v>171.5</v>
      </c>
      <c r="AG230" s="72" t="n">
        <v>30.37</v>
      </c>
      <c r="AH230" s="72" t="n">
        <v>82.79000000000001</v>
      </c>
      <c r="AI230" s="72" t="n">
        <v>211.42</v>
      </c>
      <c r="AJ230" s="72" t="n">
        <v>12.12</v>
      </c>
      <c r="AK230" s="72" t="n">
        <v>74.64</v>
      </c>
      <c r="AL230" s="72" t="n">
        <v>178.92</v>
      </c>
      <c r="AM230" s="72" t="n">
        <v>98.39</v>
      </c>
      <c r="AN230" s="72" t="n">
        <v>-15.28</v>
      </c>
      <c r="AO230" s="72" t="n">
        <v>-15.6</v>
      </c>
      <c r="AP230" s="62" t="inlineStr">
        <is>
          <t>HSTECH (Hang Seng TECH ETF)</t>
        </is>
      </c>
      <c r="AQ230" s="72" t="n">
        <v>-90.39</v>
      </c>
      <c r="AR230" s="63" t="inlineStr">
        <is>
          <t>2026-08-20</t>
        </is>
      </c>
      <c r="AS230" s="64" t="n">
        <v>1458.5</v>
      </c>
      <c r="AT230" s="67" t="n">
        <v>-376.6</v>
      </c>
      <c r="AU230" s="62" t="inlineStr">
        <is>
          <t>N</t>
        </is>
      </c>
      <c r="AV230" s="62" t="inlineStr">
        <is>
          <t>n/m</t>
        </is>
      </c>
      <c r="AW230" s="73" t="n"/>
      <c r="AX230" s="73" t="n"/>
      <c r="AY230" s="73" t="n">
        <v>4.6</v>
      </c>
      <c r="AZ230" s="74" t="inlineStr">
        <is>
          <t>N</t>
        </is>
      </c>
      <c r="BA230" s="75">
        <f>IF('BBG Verify'!K230="","not filed — run on terminal",'BBG Verify'!K230)</f>
        <v/>
      </c>
      <c r="BB230" s="62" t="inlineStr">
        <is>
          <t>N/A</t>
        </is>
      </c>
      <c r="BC230" s="62" t="inlineStr">
        <is>
          <t>N/A</t>
        </is>
      </c>
      <c r="BD230" s="62" t="inlineStr">
        <is>
          <t>N/A</t>
        </is>
      </c>
      <c r="BE230" s="62" t="inlineStr">
        <is>
          <t>N/A</t>
        </is>
      </c>
      <c r="BF230" s="62" t="inlineStr">
        <is>
          <t>N/A</t>
        </is>
      </c>
      <c r="BG230" s="74" t="inlineStr">
        <is>
          <t>Citigroup Global Markets Asia Limited; Huatai Financial Holdings (Hong Kong) Limited; CCB International Capital Limited</t>
        </is>
      </c>
      <c r="BH230" s="62" t="inlineStr">
        <is>
          <t>CCB International Capital Limited; Huatai Financial Holdings (Hong Kong) Limited; Citigroup Global Markets Asia Limited</t>
        </is>
      </c>
      <c r="BI230" s="62" t="inlineStr">
        <is>
          <t>Citigroup Global Markets Asia Limited; Huatai Financial Holdings (Hong Kong) Limited; CCB International Capital Limited; DBS Asia Capital Limited; Citigroup Global Markets Limited; London E14 5LB United Kingdom Huatai Financial Holdings (Hong Kong) Limited; CMB International Capital Limited; Goldlink Securities Limited; Soochow Securities International Brokerage Limited; Mouette Securities Company Limited</t>
        </is>
      </c>
      <c r="BJ230" s="62" t="inlineStr">
        <is>
          <t>CCB International Capital Limited; Citigroup Global Markets Asia Limited; CMB International Capital Limited; DBS Asia Capital Limited; Goldlink Securities Limited; Huatai Financial Holdings (Hong Kong) Limited; Livermore Holdings Limited; Mouette Securities Company Limited; Soochow Securities International Brokerage Limited</t>
        </is>
      </c>
      <c r="BK230" s="76">
        <f>HYPERLINK("https://www1.hkexnews.hk/listedco/listconews/sehk/2023/1212/2023121200019.pdf","prospectus")</f>
        <v/>
      </c>
      <c r="BL230" s="76">
        <f>HYPERLINK("https://www1.hkexnews.hk/listedco/listconews/sehk/2023/1219/2023121901176.pdf","allotment")</f>
        <v/>
      </c>
      <c r="BM230" s="62" t="n"/>
      <c r="BN230" s="74" t="n"/>
      <c r="BO230" s="62"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t>
        </is>
      </c>
    </row>
    <row r="231" ht="15" customHeight="1">
      <c r="A231" s="61" t="inlineStr">
        <is>
          <t>2516</t>
        </is>
      </c>
      <c r="B231" s="62" t="inlineStr">
        <is>
          <t>FAR INTL</t>
        </is>
      </c>
      <c r="C231" s="62" t="inlineStr">
        <is>
          <t>泛遠國際</t>
        </is>
      </c>
      <c r="D231" s="62" t="inlineStr">
        <is>
          <t>Industrials</t>
        </is>
      </c>
      <c r="E231" s="62" t="inlineStr">
        <is>
          <t>Logistics</t>
        </is>
      </c>
      <c r="F231" s="62" t="inlineStr">
        <is>
          <t>Air Freight &amp; Logistics</t>
        </is>
      </c>
      <c r="G231" s="62" t="inlineStr">
        <is>
          <t>Standard</t>
        </is>
      </c>
      <c r="H231" s="63" t="n">
        <v>45282</v>
      </c>
      <c r="I231" s="64" t="n">
        <v>126</v>
      </c>
      <c r="J231" s="62" t="inlineStr">
        <is>
          <t>gross (price x shares)</t>
        </is>
      </c>
      <c r="K231" s="65" t="n"/>
      <c r="L231" s="65" t="n">
        <v>0.9</v>
      </c>
      <c r="M231" s="65" t="n">
        <v>0.9</v>
      </c>
      <c r="N231" s="62" t="inlineStr">
        <is>
          <t>Y</t>
        </is>
      </c>
      <c r="O231" s="66" t="n">
        <v>100</v>
      </c>
      <c r="P231" s="66" t="n"/>
      <c r="Q231" s="67" t="n">
        <v>702</v>
      </c>
      <c r="R231" s="62" t="inlineStr">
        <is>
          <t>derived:price x shares upon listing</t>
        </is>
      </c>
      <c r="S231" s="68" t="n">
        <v>14.49</v>
      </c>
      <c r="T231" s="69" t="n">
        <v>1.04</v>
      </c>
      <c r="U231" s="70" t="n">
        <v>39.68</v>
      </c>
      <c r="V231" s="66" t="n">
        <v>10.83</v>
      </c>
      <c r="W231" s="62" t="inlineStr">
        <is>
          <t>Guo Shaojun; Liu Liyun; Yang Yingwu</t>
        </is>
      </c>
      <c r="X231" s="62" t="inlineStr">
        <is>
          <t>guo-shaojun;liu-liyun;yang-yingwu</t>
        </is>
      </c>
      <c r="Y231" s="66" t="n">
        <v>7.12</v>
      </c>
      <c r="Z231" s="62" t="inlineStr">
        <is>
          <t>lapsed (no over-allocation)</t>
        </is>
      </c>
      <c r="AA231" s="71" t="n">
        <v>11.11</v>
      </c>
      <c r="AB231" s="72" t="n">
        <v>44.44</v>
      </c>
      <c r="AC231" s="72" t="n">
        <v>-23.08</v>
      </c>
      <c r="AD231" s="72" t="n">
        <v>6.67</v>
      </c>
      <c r="AE231" s="72" t="n">
        <v>-7.78</v>
      </c>
      <c r="AF231" s="72" t="n">
        <v>-36.67</v>
      </c>
      <c r="AG231" s="72" t="n">
        <v>-4</v>
      </c>
      <c r="AH231" s="72" t="n">
        <v>-17</v>
      </c>
      <c r="AI231" s="72" t="n">
        <v>-43</v>
      </c>
      <c r="AJ231" s="72" t="n">
        <v>6.82</v>
      </c>
      <c r="AK231" s="72" t="n">
        <v>-4.31</v>
      </c>
      <c r="AL231" s="72" t="n">
        <v>-37.02</v>
      </c>
      <c r="AM231" s="72" t="n">
        <v>-16.52</v>
      </c>
      <c r="AN231" s="72" t="n">
        <v>-3.47</v>
      </c>
      <c r="AO231" s="72" t="n">
        <v>-0.48</v>
      </c>
      <c r="AP231" s="62" t="inlineStr">
        <is>
          <t>Hang Seng Commerce &amp; Industry sub-index</t>
        </is>
      </c>
      <c r="AQ231" s="72" t="n">
        <v>-15.56</v>
      </c>
      <c r="AR231" s="63" t="inlineStr">
        <is>
          <t>2026-08-20</t>
        </is>
      </c>
      <c r="AS231" s="64" t="n">
        <v>1377.2</v>
      </c>
      <c r="AT231" s="67" t="n">
        <v>28.4</v>
      </c>
      <c r="AU231" s="62" t="inlineStr">
        <is>
          <t>Y</t>
        </is>
      </c>
      <c r="AV231" s="73" t="n">
        <v>24.7</v>
      </c>
      <c r="AW231" s="73" t="n"/>
      <c r="AX231" s="73" t="n">
        <v>115.1</v>
      </c>
      <c r="AY231" s="73" t="n">
        <v>0.5</v>
      </c>
      <c r="AZ231" s="74" t="inlineStr">
        <is>
          <t>N</t>
        </is>
      </c>
      <c r="BA231" s="75">
        <f>IF('BBG Verify'!K231="","not filed — run on terminal",'BBG Verify'!K231)</f>
        <v/>
      </c>
      <c r="BB231" s="62" t="inlineStr">
        <is>
          <t>N/A</t>
        </is>
      </c>
      <c r="BC231" s="62" t="inlineStr">
        <is>
          <t>N/A</t>
        </is>
      </c>
      <c r="BD231" s="62" t="inlineStr">
        <is>
          <t>N/A</t>
        </is>
      </c>
      <c r="BE231" s="62" t="inlineStr">
        <is>
          <t>N/A</t>
        </is>
      </c>
      <c r="BF231" s="62" t="inlineStr">
        <is>
          <t>N/A</t>
        </is>
      </c>
      <c r="BG231" s="74" t="inlineStr">
        <is>
          <t>Grand Moore Capital Limited</t>
        </is>
      </c>
      <c r="BH231" s="62" t="inlineStr">
        <is>
          <t>Grand Moore Capital Limited</t>
        </is>
      </c>
      <c r="BI231" s="62" t="inlineStr">
        <is>
          <t>Grand Moore Capital Limited; Valuable Capital Limited</t>
        </is>
      </c>
      <c r="BJ231" s="62" t="inlineStr">
        <is>
          <t>CMBC Securities Company Limited; China PA Securities (Hong Kong) Company Limited; Grand Moore Capital Limited; ICBC International Securities Limited; Shenwan Hongyuan Securities (H.K.) Limited; Valuable Capital Limited</t>
        </is>
      </c>
      <c r="BK231" s="76">
        <f>HYPERLINK("https://www1.hkexnews.hk/listedco/listconews/sehk/2023/1212/2023121200092.htm","prospectus")</f>
        <v/>
      </c>
      <c r="BL231" s="76">
        <f>HYPERLINK("https://www1.hkexnews.hk/listedco/listconews/sehk/2023/1221/2023122101228.pdf","allotment")</f>
        <v/>
      </c>
      <c r="BM231" s="76">
        <f>HYPERLINK("https://www1.hkexnews.hk/listedco/listconews/sehk/2024/0118/2024011800257.pdf","stabilisation")</f>
        <v/>
      </c>
      <c r="BN231" s="74" t="n"/>
      <c r="BO231" s="62" t="inlineStr">
        <is>
          <t>price range: fixed-price offering (no indicative range) · range low: cap-only pricing — the filing publishes a Maximum Offer Price and no indicative floor · A/H: no A-share listing</t>
        </is>
      </c>
    </row>
    <row r="232" ht="15" customHeight="1">
      <c r="A232" s="61" t="inlineStr">
        <is>
          <t>2489</t>
        </is>
      </c>
      <c r="B232" s="62" t="inlineStr">
        <is>
          <t>PERSISTENCE RES</t>
        </is>
      </c>
      <c r="C232" s="62" t="inlineStr">
        <is>
          <t>集海黃金</t>
        </is>
      </c>
      <c r="D232" s="62" t="inlineStr">
        <is>
          <t>Materials/Energy</t>
        </is>
      </c>
      <c r="E232" s="62" t="inlineStr">
        <is>
          <t>Mining / metals</t>
        </is>
      </c>
      <c r="F232" s="62" t="inlineStr">
        <is>
          <t>Gold &amp; Precious Metals</t>
        </is>
      </c>
      <c r="G232" s="62" t="inlineStr">
        <is>
          <t>Standard</t>
        </is>
      </c>
      <c r="H232" s="63" t="n">
        <v>45282</v>
      </c>
      <c r="I232" s="64" t="n">
        <v>275</v>
      </c>
      <c r="J232" s="62" t="inlineStr">
        <is>
          <t>gross (price x shares)</t>
        </is>
      </c>
      <c r="K232" s="65" t="n">
        <v>0.55</v>
      </c>
      <c r="L232" s="65" t="n">
        <v>0.75</v>
      </c>
      <c r="M232" s="65" t="n">
        <v>0.55</v>
      </c>
      <c r="N232" s="62" t="inlineStr">
        <is>
          <t>N</t>
        </is>
      </c>
      <c r="O232" s="66" t="n">
        <v>73.3</v>
      </c>
      <c r="P232" s="66" t="n">
        <v>0</v>
      </c>
      <c r="Q232" s="67" t="n">
        <v>1100</v>
      </c>
      <c r="R232" s="62" t="inlineStr">
        <is>
          <t>derived:price x shares upon listing</t>
        </is>
      </c>
      <c r="S232" s="68" t="n">
        <v>8.76</v>
      </c>
      <c r="T232" s="69" t="n">
        <v>1.03</v>
      </c>
      <c r="U232" s="70" t="n">
        <v>39.6</v>
      </c>
      <c r="V232" s="66" t="n">
        <v>15.1</v>
      </c>
      <c r="W232" s="62" t="inlineStr">
        <is>
          <t>Dongfang Gold Industry (Hong Kong) Limited</t>
        </is>
      </c>
      <c r="X232" s="62" t="inlineStr">
        <is>
          <t>dongfang</t>
        </is>
      </c>
      <c r="Y232" s="66" t="n">
        <v>15</v>
      </c>
      <c r="Z232" s="62" t="inlineStr">
        <is>
          <t>lapsed</t>
        </is>
      </c>
      <c r="AA232" s="71" t="n">
        <v>1.82</v>
      </c>
      <c r="AB232" s="72" t="n">
        <v>-7.27</v>
      </c>
      <c r="AC232" s="72" t="n">
        <v>9.800000000000001</v>
      </c>
      <c r="AD232" s="72" t="n">
        <v>0</v>
      </c>
      <c r="AE232" s="72" t="n">
        <v>1.82</v>
      </c>
      <c r="AF232" s="72" t="n">
        <v>12.73</v>
      </c>
      <c r="AG232" s="72" t="n">
        <v>-1.79</v>
      </c>
      <c r="AH232" s="72" t="n">
        <v>0</v>
      </c>
      <c r="AI232" s="72" t="n">
        <v>10.71</v>
      </c>
      <c r="AJ232" s="72" t="n">
        <v>0.15</v>
      </c>
      <c r="AK232" s="72" t="n">
        <v>5.29</v>
      </c>
      <c r="AL232" s="72" t="n">
        <v>12.38</v>
      </c>
      <c r="AM232" s="72" t="n">
        <v>0.48</v>
      </c>
      <c r="AN232" s="72" t="n">
        <v>-3.47</v>
      </c>
      <c r="AO232" s="72" t="n">
        <v>-0.48</v>
      </c>
      <c r="AP232" s="62" t="inlineStr">
        <is>
          <t>Hang Seng Commerce &amp; Industry sub-index</t>
        </is>
      </c>
      <c r="AQ232" s="72" t="n">
        <v>65.45</v>
      </c>
      <c r="AR232" s="63" t="inlineStr">
        <is>
          <t>2026-08-20</t>
        </is>
      </c>
      <c r="AS232" s="64" t="n">
        <v>460.3</v>
      </c>
      <c r="AT232" s="67" t="n">
        <v>133.1</v>
      </c>
      <c r="AU232" s="62" t="inlineStr">
        <is>
          <t>Y</t>
        </is>
      </c>
      <c r="AV232" s="73" t="n">
        <v>8.300000000000001</v>
      </c>
      <c r="AW232" s="73" t="n"/>
      <c r="AX232" s="73" t="n">
        <v>14</v>
      </c>
      <c r="AY232" s="73" t="n">
        <v>2.4</v>
      </c>
      <c r="AZ232" s="74" t="inlineStr">
        <is>
          <t>N</t>
        </is>
      </c>
      <c r="BA232" s="75">
        <f>IF('BBG Verify'!K232="","not filed — run on terminal",'BBG Verify'!K232)</f>
        <v/>
      </c>
      <c r="BB232" s="62" t="inlineStr">
        <is>
          <t>N/A</t>
        </is>
      </c>
      <c r="BC232" s="62" t="inlineStr">
        <is>
          <t>N/A</t>
        </is>
      </c>
      <c r="BD232" s="62" t="inlineStr">
        <is>
          <t>N/A</t>
        </is>
      </c>
      <c r="BE232" s="62" t="inlineStr">
        <is>
          <t>N/A</t>
        </is>
      </c>
      <c r="BF232" s="62" t="inlineStr">
        <is>
          <t>N/A</t>
        </is>
      </c>
      <c r="BG232" s="74" t="inlineStr">
        <is>
          <t>Innovax Capital Limited</t>
        </is>
      </c>
      <c r="BH232" s="62" t="inlineStr">
        <is>
          <t>Innovax Capital Limited</t>
        </is>
      </c>
      <c r="BI232" s="62" t="inlineStr">
        <is>
          <t>and CMIs Innovax Securities Limited; CCB International Capital Limited; Central, Hong Kong BOCOM International Securities Limited; SPDB International Capital Limited; Citrus Securities Limited; Quam Securities Limited; Valuable Capital Limited; CMBC Securities Company Limited; First Shanghai Securities Limited; and CMI ABCI Capital Limited</t>
        </is>
      </c>
      <c r="BJ232" s="62" t="inlineStr">
        <is>
          <t>ABCI Securities Company Limited; Astrum Capital Management Limited; Beta International Securities Limited; CCB International Capital Limited; Citrus Securities Limited; CMBC Securities Company Limited; China Sunrise Securities (International) Limited; Elstone Securities Limited; Eddid Securities and Futures Limited; First Shanghai Securities Limited; Futu Securities International (Hong Kong) Limited; Innovax Securities Limited</t>
        </is>
      </c>
      <c r="BK232" s="76">
        <f>HYPERLINK("https://www1.hkexnews.hk/listedco/listconews/sehk/2023/1214/2023121400088.htm","prospectus")</f>
        <v/>
      </c>
      <c r="BL232" s="76">
        <f>HYPERLINK("https://www1.hkexnews.hk/listedco/listconews/sehk/2023/1221/2023122101236.pdf","allotment")</f>
        <v/>
      </c>
      <c r="BM232" s="76">
        <f>HYPERLINK("https://www1.hkexnews.hk/listedco/listconews/sehk/2024/0119/2024011900977.pdf","stabilisation")</f>
        <v/>
      </c>
      <c r="BN232" s="74" t="n"/>
      <c r="BO232" s="62" t="inlineStr">
        <is>
          <t>A/H: no A-share listing</t>
        </is>
      </c>
    </row>
    <row r="233" ht="15" customHeight="1">
      <c r="A233" s="61" t="inlineStr">
        <is>
          <t>2511</t>
        </is>
      </c>
      <c r="B233" s="62" t="inlineStr">
        <is>
          <t>HIGHTIDE-B</t>
        </is>
      </c>
      <c r="C233" s="62" t="inlineStr">
        <is>
          <t>君聖泰醫藥－Ｂ</t>
        </is>
      </c>
      <c r="D233" s="62" t="inlineStr">
        <is>
          <t>Healthcare</t>
        </is>
      </c>
      <c r="E233" s="62" t="inlineStr">
        <is>
          <t>Biotech pre-revenue (18A)</t>
        </is>
      </c>
      <c r="F233" s="62" t="inlineStr">
        <is>
          <t>Biotechnology - Pharmaceuticals</t>
        </is>
      </c>
      <c r="G233" s="62" t="inlineStr">
        <is>
          <t>18A</t>
        </is>
      </c>
      <c r="H233" s="63" t="n">
        <v>45282</v>
      </c>
      <c r="I233" s="64" t="n">
        <v>278.2</v>
      </c>
      <c r="J233" s="62" t="inlineStr">
        <is>
          <t>gross (price x shares)</t>
        </is>
      </c>
      <c r="K233" s="65" t="n"/>
      <c r="L233" s="65" t="n">
        <v>11.5</v>
      </c>
      <c r="M233" s="65" t="n">
        <v>11.5</v>
      </c>
      <c r="N233" s="62" t="inlineStr">
        <is>
          <t>Y</t>
        </is>
      </c>
      <c r="O233" s="66" t="n">
        <v>100</v>
      </c>
      <c r="P233" s="66" t="n"/>
      <c r="Q233" s="67" t="n">
        <v>5919.9</v>
      </c>
      <c r="R233" s="62" t="inlineStr">
        <is>
          <t>derived:price x shares upon listing</t>
        </is>
      </c>
      <c r="S233" s="68" t="n">
        <v>32.22</v>
      </c>
      <c r="T233" s="69" t="n">
        <v>1.25</v>
      </c>
      <c r="U233" s="70" t="n">
        <v>39.21</v>
      </c>
      <c r="V233" s="66" t="n">
        <v>2.86</v>
      </c>
      <c r="W233" s="62" t="inlineStr">
        <is>
          <t>Cangzhou Chuangrong Equity Investment Fund Co., Ltd</t>
        </is>
      </c>
      <c r="X233" s="62" t="inlineStr">
        <is>
          <t>cangzhou</t>
        </is>
      </c>
      <c r="Y233" s="66" t="n"/>
      <c r="Z233" s="62" t="n"/>
      <c r="AA233" s="71" t="n">
        <v>7.65</v>
      </c>
      <c r="AB233" s="72" t="n">
        <v>3.65</v>
      </c>
      <c r="AC233" s="72" t="n">
        <v>3.86</v>
      </c>
      <c r="AD233" s="72" t="n">
        <v>1.91</v>
      </c>
      <c r="AE233" s="72" t="n">
        <v>5.22</v>
      </c>
      <c r="AF233" s="72" t="n">
        <v>-50.61</v>
      </c>
      <c r="AG233" s="72" t="n">
        <v>-5.33</v>
      </c>
      <c r="AH233" s="72" t="n">
        <v>-2.26</v>
      </c>
      <c r="AI233" s="72" t="n">
        <v>-54.12</v>
      </c>
      <c r="AJ233" s="72" t="n">
        <v>0.98</v>
      </c>
      <c r="AK233" s="72" t="n">
        <v>13.58</v>
      </c>
      <c r="AL233" s="72" t="n">
        <v>-35.04</v>
      </c>
      <c r="AM233" s="72" t="n">
        <v>4.86</v>
      </c>
      <c r="AN233" s="72" t="n">
        <v>-8.359999999999999</v>
      </c>
      <c r="AO233" s="72" t="n">
        <v>-7.12</v>
      </c>
      <c r="AP233" s="62" t="inlineStr">
        <is>
          <t>China Biotech ETF (HS biotech proxy)</t>
        </is>
      </c>
      <c r="AQ233" s="72" t="n">
        <v>-70.65000000000001</v>
      </c>
      <c r="AR233" s="63" t="inlineStr">
        <is>
          <t>2026-08-20</t>
        </is>
      </c>
      <c r="AS233" s="64" t="n">
        <v>0</v>
      </c>
      <c r="AT233" s="67" t="n">
        <v>-209.2</v>
      </c>
      <c r="AU233" s="62" t="inlineStr">
        <is>
          <t>N</t>
        </is>
      </c>
      <c r="AV233" s="62" t="inlineStr">
        <is>
          <t>n/m</t>
        </is>
      </c>
      <c r="AW233" s="73" t="n"/>
      <c r="AX233" s="73" t="n"/>
      <c r="AY233" s="62" t="inlineStr">
        <is>
          <t>pre-rev</t>
        </is>
      </c>
      <c r="AZ233" s="74" t="inlineStr">
        <is>
          <t>N</t>
        </is>
      </c>
      <c r="BA233" s="75">
        <f>IF('BBG Verify'!K233="","not filed — run on terminal",'BBG Verify'!K233)</f>
        <v/>
      </c>
      <c r="BB233" s="62" t="inlineStr">
        <is>
          <t>N/A</t>
        </is>
      </c>
      <c r="BC233" s="62" t="inlineStr">
        <is>
          <t>N/A</t>
        </is>
      </c>
      <c r="BD233" s="62" t="inlineStr">
        <is>
          <t>N/A</t>
        </is>
      </c>
      <c r="BE233" s="62" t="inlineStr">
        <is>
          <t>N/A</t>
        </is>
      </c>
      <c r="BF233" s="62" t="inlineStr">
        <is>
          <t>N/A</t>
        </is>
      </c>
      <c r="BG233" s="74" t="n"/>
      <c r="BH233" s="62" t="inlineStr">
        <is>
          <t>UBS Securities Hong Kong Limited; Huatai Financial Holdings (Hong Kong) Limited</t>
        </is>
      </c>
      <c r="BI233" s="62" t="inlineStr">
        <is>
          <t>sa nd Joint Lead Managers UBS AG Hon g Kong Branch; CapitalM arket Interme diarie s UBS AG Hon g Kong Branch</t>
        </is>
      </c>
      <c r="BJ233" s="62" t="inlineStr">
        <is>
          <t>Beta International Securities Limited; CCB International Capital Limited; CLSA Limited; CMB International Capital Limited; Fosun International Securities Limited; Goldlink Securities Limited; Huatai Financial Holdings (Hong Kong) Limited; I Win Securities Limited; Shenwan Hongyuan Securities (H.K.) Limited; UBS AG Hong Kong Branch</t>
        </is>
      </c>
      <c r="BK233" s="76">
        <f>HYPERLINK("https://www1.hkexnews.hk/listedco/listconews/sehk/2023/1214/2023121400045.pdf","prospectus")</f>
        <v/>
      </c>
      <c r="BL233" s="76">
        <f>HYPERLINK("https://www1.hkexnews.hk/listedco/listconews/sehk/2023/1221/2023122101298.pdf","allotment")</f>
        <v/>
      </c>
      <c r="BM233" s="62" t="n"/>
      <c r="BN233" s="74" t="n"/>
      <c r="BO233" s="62" t="inlineStr">
        <is>
          <t>P/E: n/m — loss-making at IPO (use P/S) · greenshoe: no over-allotment option in the offer structure · range low: cap-only pricing — the filing publishes a Maximum Offer Price and no indicative floor · A/H: no A-share listing · sponsor: English name not in the filing text; AAStocks 保薦人 shown · greenshoe size: no over-allotment option in the offer structure · P/S: no revenue line in the filed P&amp;L (pre-revenue issuer) — no sales multiple can exist; the cell reads pre-rev, not blank</t>
        </is>
      </c>
    </row>
    <row r="234" ht="15" customHeight="1">
      <c r="A234" s="61" t="inlineStr">
        <is>
          <t>6911</t>
        </is>
      </c>
      <c r="B234" s="62" t="inlineStr">
        <is>
          <t>LANCANG TEA</t>
        </is>
      </c>
      <c r="C234" s="62" t="inlineStr">
        <is>
          <t>瀾滄古茶</t>
        </is>
      </c>
      <c r="D234" s="62" t="inlineStr">
        <is>
          <t>Consumer</t>
        </is>
      </c>
      <c r="E234" s="62" t="inlineStr">
        <is>
          <t>Beverages / packaged food</t>
        </is>
      </c>
      <c r="F234" s="62" t="inlineStr">
        <is>
          <t>Beverages (Non-alcoholic)</t>
        </is>
      </c>
      <c r="G234" s="62" t="inlineStr">
        <is>
          <t>Standard</t>
        </is>
      </c>
      <c r="H234" s="63" t="n">
        <v>45282</v>
      </c>
      <c r="I234" s="64" t="n">
        <v>224.7</v>
      </c>
      <c r="J234" s="62" t="inlineStr">
        <is>
          <t>gross (price x shares)</t>
        </is>
      </c>
      <c r="K234" s="65" t="n">
        <v>10.4</v>
      </c>
      <c r="L234" s="65" t="n">
        <v>14.16</v>
      </c>
      <c r="M234" s="65" t="n">
        <v>10.7</v>
      </c>
      <c r="N234" s="62" t="inlineStr">
        <is>
          <t>N</t>
        </is>
      </c>
      <c r="O234" s="66" t="n">
        <v>75.59999999999999</v>
      </c>
      <c r="P234" s="66" t="n">
        <v>8</v>
      </c>
      <c r="Q234" s="67" t="n">
        <v>898.8</v>
      </c>
      <c r="R234" s="62" t="inlineStr">
        <is>
          <t>derived:price x shares upon listing</t>
        </is>
      </c>
      <c r="S234" s="68" t="n">
        <v>13.23</v>
      </c>
      <c r="T234" s="69" t="n">
        <v>1.32</v>
      </c>
      <c r="U234" s="70" t="n">
        <v>50.31</v>
      </c>
      <c r="V234" s="66" t="n">
        <v>12.42</v>
      </c>
      <c r="W234" s="62" t="inlineStr">
        <is>
          <t>China Ocean View Group Limited; Harvest Global Capital Investments Limited; Lancang Green Resource Investment Co., Ltd; ROSY DAY INVESTMENTS LIMITED; Wang Chunyu</t>
        </is>
      </c>
      <c r="X234" s="62" t="inlineStr">
        <is>
          <t>ocean;harvest;lancang;rosy;wang-chunyu</t>
        </is>
      </c>
      <c r="Y234" s="66" t="n">
        <v>2.6</v>
      </c>
      <c r="Z234" s="62" t="inlineStr">
        <is>
          <t>lapsed</t>
        </is>
      </c>
      <c r="AA234" s="71" t="n">
        <v>-18.69</v>
      </c>
      <c r="AB234" s="72" t="n">
        <v>0</v>
      </c>
      <c r="AC234" s="72" t="n">
        <v>-18.69</v>
      </c>
      <c r="AD234" s="72" t="n">
        <v>0</v>
      </c>
      <c r="AE234" s="72" t="n">
        <v>-14.77</v>
      </c>
      <c r="AF234" s="72" t="n">
        <v>2.8</v>
      </c>
      <c r="AG234" s="72" t="n">
        <v>22.99</v>
      </c>
      <c r="AH234" s="72" t="n">
        <v>4.82</v>
      </c>
      <c r="AI234" s="72" t="n">
        <v>26.43</v>
      </c>
      <c r="AJ234" s="72" t="n">
        <v>0.15</v>
      </c>
      <c r="AK234" s="72" t="n">
        <v>-11.3</v>
      </c>
      <c r="AL234" s="72" t="n">
        <v>2.45</v>
      </c>
      <c r="AM234" s="72" t="n">
        <v>5.3</v>
      </c>
      <c r="AN234" s="72" t="n">
        <v>-3.47</v>
      </c>
      <c r="AO234" s="72" t="n">
        <v>-0.48</v>
      </c>
      <c r="AP234" s="62" t="inlineStr">
        <is>
          <t>Hang Seng Commerce &amp; Industry sub-index</t>
        </is>
      </c>
      <c r="AQ234" s="72" t="n">
        <v>-69.16</v>
      </c>
      <c r="AR234" s="63" t="inlineStr">
        <is>
          <t>2026-08-24</t>
        </is>
      </c>
      <c r="AS234" s="64" t="n">
        <v>509.2</v>
      </c>
      <c r="AT234" s="67" t="n">
        <v>77.5</v>
      </c>
      <c r="AU234" s="62" t="inlineStr">
        <is>
          <t>Y</t>
        </is>
      </c>
      <c r="AV234" s="73" t="n">
        <v>11.6</v>
      </c>
      <c r="AW234" s="73" t="n"/>
      <c r="AX234" s="73" t="n"/>
      <c r="AY234" s="73" t="n">
        <v>1.8</v>
      </c>
      <c r="AZ234" s="74" t="inlineStr">
        <is>
          <t>N</t>
        </is>
      </c>
      <c r="BA234" s="75">
        <f>IF('BBG Verify'!K234="","not filed — run on terminal",'BBG Verify'!K234)</f>
        <v/>
      </c>
      <c r="BB234" s="62" t="inlineStr">
        <is>
          <t>N/A</t>
        </is>
      </c>
      <c r="BC234" s="62" t="inlineStr">
        <is>
          <t>N/A</t>
        </is>
      </c>
      <c r="BD234" s="62" t="inlineStr">
        <is>
          <t>N/A</t>
        </is>
      </c>
      <c r="BE234" s="62" t="inlineStr">
        <is>
          <t>N/A</t>
        </is>
      </c>
      <c r="BF234" s="62" t="inlineStr">
        <is>
          <t>N/A</t>
        </is>
      </c>
      <c r="BG234" s="74" t="inlineStr">
        <is>
          <t>China Securities (International) Corporate Finance Company Limited; China Merchants Securities (HK) Co., Limited</t>
        </is>
      </c>
      <c r="BH234" s="62" t="inlineStr">
        <is>
          <t>China Securities (International) Corporate Finance Company Limited; China Merchants Securities (HK) Company Limited</t>
        </is>
      </c>
      <c r="BI234" s="62" t="inlineStr">
        <is>
          <t>China Securities (International) Corporate Finance Company Limited; China Merchants Securities (HK) Co., Limited; ABCI Capital Limited; CMB International Capital Limited; Haitong International Securities Company Limited; Zhongtai International Securities Limited; Eddid Securities and Futures Limited; ICBC International Securities Limited; Valuable Capital Limited; Futu Securities International (Hong Kong) Limited; Shenwan Hongyuan Securities (H.K.) Limited</t>
        </is>
      </c>
      <c r="BJ234" s="62" t="inlineStr">
        <is>
          <t>ABCI Securities Company Limited; CMB International Capital Limited; China Merchants Securities (HK) Company Limited; China Securities (International) Corporate Finance Company Limited; Eddid Securities and Futures Limited; Futu Securities International (Hong Kong) Limited; Haitong International Securities Company Limited; ICBC International Securities Limited; Livermore Holdings Limited; Shenwan Hongyuan Securities (H.K.) Limited; Valuable Capital Limited; Zhongtai International Securities Limited</t>
        </is>
      </c>
      <c r="BK234" s="76">
        <f>HYPERLINK("https://www1.hkexnews.hk/listedco/listconews/sehk/2023/1214/2023121400011.pdf","prospectus")</f>
        <v/>
      </c>
      <c r="BL234" s="76">
        <f>HYPERLINK("https://www1.hkexnews.hk/listedco/listconews/sehk/2023/1221/2023122101314.pdf","allotment")</f>
        <v/>
      </c>
      <c r="BM234" s="76">
        <f>HYPERLINK("https://www1.hkexnews.hk/listedco/listconews/sehk/2024/0118/2024011800501.pdf","stabilisation")</f>
        <v/>
      </c>
      <c r="BN234" s="74" t="n"/>
      <c r="BO234" s="62" t="inlineStr">
        <is>
          <t>A/H: no A-share listing</t>
        </is>
      </c>
    </row>
    <row r="235" ht="15" customHeight="1">
      <c r="A235" s="61" t="inlineStr">
        <is>
          <t>2149</t>
        </is>
      </c>
      <c r="B235" s="62" t="inlineStr">
        <is>
          <t>BATELAB</t>
        </is>
      </c>
      <c r="C235" s="62" t="inlineStr">
        <is>
          <t>貝克微</t>
        </is>
      </c>
      <c r="D235" s="62" t="inlineStr">
        <is>
          <t>Tech/AI</t>
        </is>
      </c>
      <c r="E235" s="62" t="inlineStr">
        <is>
          <t>AI chips &amp; semis</t>
        </is>
      </c>
      <c r="F235" s="62" t="inlineStr">
        <is>
          <t>Semiconductors &amp; Semiconductor Equipment</t>
        </is>
      </c>
      <c r="G235" s="62" t="inlineStr">
        <is>
          <t>Standard</t>
        </is>
      </c>
      <c r="H235" s="63" t="n">
        <v>45288</v>
      </c>
      <c r="I235" s="64" t="n">
        <v>412.1</v>
      </c>
      <c r="J235" s="62" t="inlineStr">
        <is>
          <t>gross (price x shares)</t>
        </is>
      </c>
      <c r="K235" s="65" t="n"/>
      <c r="L235" s="65" t="n">
        <v>38.45</v>
      </c>
      <c r="M235" s="65" t="n">
        <v>27.47</v>
      </c>
      <c r="N235" s="62" t="inlineStr">
        <is>
          <t>N</t>
        </is>
      </c>
      <c r="O235" s="66" t="n">
        <v>71.40000000000001</v>
      </c>
      <c r="P235" s="66" t="n"/>
      <c r="Q235" s="67" t="n">
        <v>1648.2</v>
      </c>
      <c r="R235" s="62" t="inlineStr">
        <is>
          <t>derived:price x shares upon listing</t>
        </is>
      </c>
      <c r="S235" s="68" t="n">
        <v>1.34</v>
      </c>
      <c r="T235" s="69" t="n">
        <v>1.36</v>
      </c>
      <c r="U235" s="70" t="n">
        <v>0</v>
      </c>
      <c r="V235" s="66" t="n">
        <v>25</v>
      </c>
      <c r="W235" s="62" t="n"/>
      <c r="X235" s="62" t="n"/>
      <c r="Y235" s="66" t="n">
        <v>13.2</v>
      </c>
      <c r="Z235" s="62" t="inlineStr">
        <is>
          <t>lapsed (no over-allocation)</t>
        </is>
      </c>
      <c r="AA235" s="71" t="n">
        <v>-17.36</v>
      </c>
      <c r="AB235" s="72" t="n">
        <v>-8.81</v>
      </c>
      <c r="AC235" s="72" t="n">
        <v>-9.380000000000001</v>
      </c>
      <c r="AD235" s="72" t="n">
        <v>-8.630000000000001</v>
      </c>
      <c r="AE235" s="72" t="n">
        <v>-25.74</v>
      </c>
      <c r="AF235" s="72" t="n">
        <v>-13.36</v>
      </c>
      <c r="AG235" s="72" t="n">
        <v>10.56</v>
      </c>
      <c r="AH235" s="72" t="n">
        <v>-10.14</v>
      </c>
      <c r="AI235" s="72" t="n">
        <v>4.84</v>
      </c>
      <c r="AJ235" s="72" t="n">
        <v>-7.51</v>
      </c>
      <c r="AK235" s="72" t="n">
        <v>-13.87</v>
      </c>
      <c r="AL235" s="72" t="n">
        <v>-10.39</v>
      </c>
      <c r="AM235" s="72" t="n">
        <v>4.5</v>
      </c>
      <c r="AN235" s="72" t="n">
        <v>-11.87</v>
      </c>
      <c r="AO235" s="72" t="n">
        <v>-14.64</v>
      </c>
      <c r="AP235" s="62" t="inlineStr">
        <is>
          <t>HSTECH (Hang Seng TECH ETF)</t>
        </is>
      </c>
      <c r="AQ235" s="72" t="n">
        <v>28.14</v>
      </c>
      <c r="AR235" s="63" t="inlineStr">
        <is>
          <t>2026-08-20</t>
        </is>
      </c>
      <c r="AS235" s="64" t="n">
        <v>387.8</v>
      </c>
      <c r="AT235" s="67" t="n">
        <v>104.8</v>
      </c>
      <c r="AU235" s="62" t="inlineStr">
        <is>
          <t>Y</t>
        </is>
      </c>
      <c r="AV235" s="73" t="n">
        <v>15.7</v>
      </c>
      <c r="AW235" s="73" t="n"/>
      <c r="AX235" s="73" t="n">
        <v>13.4</v>
      </c>
      <c r="AY235" s="73" t="n">
        <v>4.3</v>
      </c>
      <c r="AZ235" s="74" t="inlineStr">
        <is>
          <t>N</t>
        </is>
      </c>
      <c r="BA235" s="75">
        <f>IF('BBG Verify'!K235="","not filed — run on terminal",'BBG Verify'!K235)</f>
        <v/>
      </c>
      <c r="BB235" s="62" t="inlineStr">
        <is>
          <t>N/A</t>
        </is>
      </c>
      <c r="BC235" s="62" t="inlineStr">
        <is>
          <t>N/A</t>
        </is>
      </c>
      <c r="BD235" s="62" t="inlineStr">
        <is>
          <t>N/A</t>
        </is>
      </c>
      <c r="BE235" s="62" t="inlineStr">
        <is>
          <t>N/A</t>
        </is>
      </c>
      <c r="BF235" s="62" t="inlineStr">
        <is>
          <t>N/A</t>
        </is>
      </c>
      <c r="BG235" s="74" t="n"/>
      <c r="BH235" s="62" t="inlineStr">
        <is>
          <t>China International Capital Corporation Hong Kong Securities Limited</t>
        </is>
      </c>
      <c r="BI235" s="62" t="inlineStr">
        <is>
          <t>China International Capital Corporation Hong Kong Securities Limited; Central, Hong Kong China Galaxy International Securities (Hong Kong) Co., Limited; CMB International Capital Limited; Central, Hong Kong GF Securities (Hong Kong) Brokerage Limited; Guotai Junan Securities (Hong Kong) Limited; (Hong Kong) Co., Limited; ABCI Capital Limited; ICBC International Securities Limited; Soochow Securities International Brokerage Limited</t>
        </is>
      </c>
      <c r="BJ235" s="62" t="inlineStr">
        <is>
          <t>ABCI Securities Company Limited; China Galaxy International Securities (Hong Kong) Company Limited; China International Capital Corporation Hong Kong Securities Limited; CMB International Capital Limited; Futu Securities International (Hong Kong) Limited; GF Securities (Hong Kong) Brokerage Limited; Guotai Junan Securities (Hong Kong) Limited; ICBC International Securities Limited; Livermore Holdings Limited; Silverbricks Securities Company Limited; Soochow Securities International Brokerage Limited; Tiger Brokers (HK) Global Limited</t>
        </is>
      </c>
      <c r="BK235" s="76">
        <f>HYPERLINK("https://www1.hkexnews.hk/listedco/listconews/sehk/2023/1218/2023121800007.pdf","prospectus")</f>
        <v/>
      </c>
      <c r="BL235" s="76">
        <f>HYPERLINK("https://www1.hkexnews.hk/listedco/listconews/sehk/2023/1227/2023122701489.pdf","allotment")</f>
        <v/>
      </c>
      <c r="BM235" s="76">
        <f>HYPERLINK("https://www1.hkexnews.hk/listedco/listconews/sehk/2024/0122/2024012200299.pdf","stabilisation")</f>
        <v/>
      </c>
      <c r="BN235" s="74" t="n"/>
      <c r="BO235" s="62" t="inlineStr">
        <is>
          <t>range low: cap-only pricing — the filing publishes a Maximum Offer Price and no indicative floor · A/H: no A-share listing · sponsor: English name not in the filing text; AAStocks 保薦人 shown · cornerstone list: no cornerstone tranche in this deal</t>
        </is>
      </c>
    </row>
    <row r="236" ht="15" customHeight="1">
      <c r="A236" s="61" t="inlineStr">
        <is>
          <t>9880</t>
        </is>
      </c>
      <c r="B236" s="62" t="inlineStr">
        <is>
          <t>UBTECH ROBOTICS</t>
        </is>
      </c>
      <c r="C236" s="62" t="inlineStr">
        <is>
          <t>優必選</t>
        </is>
      </c>
      <c r="D236" s="62" t="inlineStr">
        <is>
          <t>Tech/AI</t>
        </is>
      </c>
      <c r="E236" s="62" t="inlineStr">
        <is>
          <t>Robotics &amp; autonomous driving</t>
        </is>
      </c>
      <c r="F236" s="62" t="inlineStr">
        <is>
          <t>Application Software</t>
        </is>
      </c>
      <c r="G236" s="62" t="inlineStr">
        <is>
          <t>Standard</t>
        </is>
      </c>
      <c r="H236" s="63" t="n">
        <v>45289</v>
      </c>
      <c r="I236" s="64" t="n">
        <v>1015.38</v>
      </c>
      <c r="J236" s="62" t="inlineStr">
        <is>
          <t>gross (stated)</t>
        </is>
      </c>
      <c r="K236" s="65" t="n"/>
      <c r="L236" s="65" t="n">
        <v>116</v>
      </c>
      <c r="M236" s="65" t="n">
        <v>90</v>
      </c>
      <c r="N236" s="62" t="inlineStr">
        <is>
          <t>N</t>
        </is>
      </c>
      <c r="O236" s="66" t="n">
        <v>77.59999999999999</v>
      </c>
      <c r="P236" s="66" t="n"/>
      <c r="Q236" s="67" t="n">
        <v>37606.6</v>
      </c>
      <c r="R236" s="62" t="inlineStr">
        <is>
          <t>derived:price x shares upon listing</t>
        </is>
      </c>
      <c r="S236" s="68" t="n">
        <v>5.16</v>
      </c>
      <c r="T236" s="69" t="n">
        <v>2.16</v>
      </c>
      <c r="U236" s="70" t="n">
        <v>54.2</v>
      </c>
      <c r="V236" s="66" t="n">
        <v>1.24</v>
      </c>
      <c r="W236" s="62" t="inlineStr">
        <is>
          <t>E-Town International Holding (Hong Kong) Co., Limited</t>
        </is>
      </c>
      <c r="X236" s="62" t="inlineStr">
        <is>
          <t>town</t>
        </is>
      </c>
      <c r="Y236" s="66" t="n">
        <v>15</v>
      </c>
      <c r="Z236" s="62" t="inlineStr">
        <is>
          <t>partial</t>
        </is>
      </c>
      <c r="AA236" s="71" t="n">
        <v>0.9399999999999999</v>
      </c>
      <c r="AB236" s="72" t="n">
        <v>-0.11</v>
      </c>
      <c r="AC236" s="72" t="n">
        <v>1.05</v>
      </c>
      <c r="AD236" s="72" t="n">
        <v>-2.22</v>
      </c>
      <c r="AE236" s="72" t="n">
        <v>0</v>
      </c>
      <c r="AF236" s="72" t="n">
        <v>143.78</v>
      </c>
      <c r="AG236" s="72" t="n">
        <v>-3.13</v>
      </c>
      <c r="AH236" s="72" t="n">
        <v>-0.93</v>
      </c>
      <c r="AI236" s="72" t="n">
        <v>141.51</v>
      </c>
      <c r="AJ236" s="72" t="n">
        <v>5.21</v>
      </c>
      <c r="AK236" s="72" t="n">
        <v>17.95</v>
      </c>
      <c r="AL236" s="72" t="n">
        <v>151.59</v>
      </c>
      <c r="AM236" s="72" t="n">
        <v>17.15</v>
      </c>
      <c r="AN236" s="72" t="n">
        <v>-17.95</v>
      </c>
      <c r="AO236" s="72" t="n">
        <v>-18.08</v>
      </c>
      <c r="AP236" s="62" t="inlineStr">
        <is>
          <t>HSTECH (Hang Seng TECH ETF)</t>
        </is>
      </c>
      <c r="AQ236" s="72" t="n">
        <v>-9.720000000000001</v>
      </c>
      <c r="AR236" s="63" t="inlineStr">
        <is>
          <t>2026-08-20</t>
        </is>
      </c>
      <c r="AS236" s="64" t="n">
        <v>1109.1</v>
      </c>
      <c r="AT236" s="67" t="n">
        <v>-1086.1</v>
      </c>
      <c r="AU236" s="62" t="inlineStr">
        <is>
          <t>N</t>
        </is>
      </c>
      <c r="AV236" s="62" t="inlineStr">
        <is>
          <t>n/m</t>
        </is>
      </c>
      <c r="AW236" s="73" t="n"/>
      <c r="AX236" s="73" t="n"/>
      <c r="AY236" s="73" t="n">
        <v>33.9</v>
      </c>
      <c r="AZ236" s="74" t="inlineStr">
        <is>
          <t>N</t>
        </is>
      </c>
      <c r="BA236" s="75">
        <f>IF('BBG Verify'!K236="","not filed — run on terminal",'BBG Verify'!K236)</f>
        <v/>
      </c>
      <c r="BB236" s="62" t="inlineStr">
        <is>
          <t>N/A</t>
        </is>
      </c>
      <c r="BC236" s="62" t="inlineStr">
        <is>
          <t>N/A</t>
        </is>
      </c>
      <c r="BD236" s="62" t="inlineStr">
        <is>
          <t>N/A</t>
        </is>
      </c>
      <c r="BE236" s="62" t="inlineStr">
        <is>
          <t>N/A</t>
        </is>
      </c>
      <c r="BF236" s="62" t="inlineStr">
        <is>
          <t>N/A</t>
        </is>
      </c>
      <c r="BG236" s="74" t="inlineStr">
        <is>
          <t>Guotai Junan Capital Limited</t>
        </is>
      </c>
      <c r="BH236" s="62" t="inlineStr">
        <is>
          <t>Guotai Junan Capital Limited</t>
        </is>
      </c>
      <c r="BI236" s="62" t="inlineStr">
        <is>
          <t>ABCI Securities Company Limited</t>
        </is>
      </c>
      <c r="BJ236" s="62" t="inlineStr">
        <is>
          <t>ABCI Securities Company Limited; BNP Paribas Securities (Asia) Limited; BOCI Asia Limited; CCB International Capital Limited; CLSA Limited; CMBC Securities Company Limited; CMB International Capital Limited; China Securities (International) Corporate Finance Company Limited; Futu Securities International (Hong Kong) Limited; GF Securities (Hong Kong) Brokerage Limited; Guotai Junan Securities (Hong Kong) Limited; Guosen Securities (HK) Capital Company Limited</t>
        </is>
      </c>
      <c r="BK236" s="76">
        <f>HYPERLINK("https://www1.hkexnews.hk/listedco/listconews/sehk/2023/1219/2023121900021.pdf","prospectus")</f>
        <v/>
      </c>
      <c r="BL236" s="76">
        <f>HYPERLINK("https://www1.hkexnews.hk/listedco/listconews/sehk/2023/1228/2023122801642.pdf","allotment")</f>
        <v/>
      </c>
      <c r="BM236" s="76">
        <f>HYPERLINK("https://www1.hkexnews.hk/listedco/listconews/sehk/2024/0122/2024012200015.pdf","stabilisation")</f>
        <v/>
      </c>
      <c r="BN236" s="74" t="n"/>
      <c r="BO236" s="62" t="inlineStr">
        <is>
          <t>P/E: n/m — loss-making at IPO (use P/S) · range low: cap-only pricing — the filing publishes a Maximum Offer Price and no indicative floor · A/H: no A-share listing · cornerstone %: AAStocks institutional-order total / deal size — an upper bound; the table can include non-cornerstone orders</t>
        </is>
      </c>
    </row>
    <row r="237" ht="15" customHeight="1">
      <c r="A237" s="61" t="inlineStr">
        <is>
          <t>2498</t>
        </is>
      </c>
      <c r="B237" s="62" t="inlineStr">
        <is>
          <t>ROBOSENSE</t>
        </is>
      </c>
      <c r="C237" s="62" t="inlineStr">
        <is>
          <t>速騰聚創</t>
        </is>
      </c>
      <c r="D237" s="62" t="inlineStr">
        <is>
          <t>Tech/AI</t>
        </is>
      </c>
      <c r="E237" s="62" t="inlineStr">
        <is>
          <t>Robotics &amp; autonomous driving</t>
        </is>
      </c>
      <c r="F237" s="62" t="inlineStr">
        <is>
          <t>IT Products Distributors</t>
        </is>
      </c>
      <c r="G237" s="62" t="inlineStr">
        <is>
          <t>Standard</t>
        </is>
      </c>
      <c r="H237" s="63" t="n">
        <v>45296</v>
      </c>
      <c r="I237" s="64" t="n">
        <v>985.1</v>
      </c>
      <c r="J237" s="62" t="inlineStr">
        <is>
          <t>gross (price x shares)</t>
        </is>
      </c>
      <c r="K237" s="65" t="n"/>
      <c r="L237" s="65" t="n">
        <v>43</v>
      </c>
      <c r="M237" s="65" t="n">
        <v>43</v>
      </c>
      <c r="N237" s="62" t="inlineStr">
        <is>
          <t>Y</t>
        </is>
      </c>
      <c r="O237" s="66" t="n">
        <v>100</v>
      </c>
      <c r="P237" s="66" t="n"/>
      <c r="Q237" s="67" t="n">
        <v>19300</v>
      </c>
      <c r="R237" s="62" t="inlineStr">
        <is>
          <t>press:qq/STCN 2024-01-05: IPO市值超193亿</t>
        </is>
      </c>
      <c r="S237" s="68" t="n">
        <v>0.58</v>
      </c>
      <c r="T237" s="69" t="n">
        <v>1.28</v>
      </c>
      <c r="U237" s="70" t="n">
        <v>88.3</v>
      </c>
      <c r="V237" s="66" t="n">
        <v>0.6</v>
      </c>
      <c r="W237" s="62" t="inlineStr">
        <is>
          <t>Shenzhen Nanshan Strategic Emerging Industries Investment Co., Ltd</t>
        </is>
      </c>
      <c r="X237" s="62" t="inlineStr">
        <is>
          <t>shenzhen-nanshan</t>
        </is>
      </c>
      <c r="Y237" s="66" t="n">
        <v>12.5</v>
      </c>
      <c r="Z237" s="62" t="inlineStr">
        <is>
          <t>partial</t>
        </is>
      </c>
      <c r="AA237" s="71" t="n">
        <v>0</v>
      </c>
      <c r="AB237" s="72" t="n">
        <v>0</v>
      </c>
      <c r="AC237" s="72" t="n">
        <v>0</v>
      </c>
      <c r="AD237" s="72" t="n">
        <v>0</v>
      </c>
      <c r="AE237" s="72" t="n">
        <v>-9.300000000000001</v>
      </c>
      <c r="AF237" s="72" t="n">
        <v>-1.16</v>
      </c>
      <c r="AG237" s="72" t="n">
        <v>0</v>
      </c>
      <c r="AH237" s="72" t="n">
        <v>-9.300000000000001</v>
      </c>
      <c r="AI237" s="72" t="n">
        <v>-1.16</v>
      </c>
      <c r="AJ237" s="72" t="n">
        <v>5.08</v>
      </c>
      <c r="AK237" s="72" t="n">
        <v>7.66</v>
      </c>
      <c r="AL237" s="72" t="n">
        <v>1.52</v>
      </c>
      <c r="AM237" s="72" t="n">
        <v>6.44</v>
      </c>
      <c r="AN237" s="72" t="n">
        <v>-16.96</v>
      </c>
      <c r="AO237" s="72" t="n">
        <v>-15.74</v>
      </c>
      <c r="AP237" s="62" t="inlineStr">
        <is>
          <t>HSTECH (Hang Seng TECH ETF)</t>
        </is>
      </c>
      <c r="AQ237" s="72" t="n">
        <v>-50.51</v>
      </c>
      <c r="AR237" s="63" t="inlineStr">
        <is>
          <t>2026-08-20</t>
        </is>
      </c>
      <c r="AS237" s="64" t="n">
        <v>583.4</v>
      </c>
      <c r="AT237" s="67" t="n">
        <v>-2294.7</v>
      </c>
      <c r="AU237" s="62" t="inlineStr">
        <is>
          <t>N</t>
        </is>
      </c>
      <c r="AV237" s="62" t="inlineStr">
        <is>
          <t>n/m</t>
        </is>
      </c>
      <c r="AW237" s="73" t="n"/>
      <c r="AX237" s="73" t="n"/>
      <c r="AY237" s="73" t="n">
        <v>33.1</v>
      </c>
      <c r="AZ237" s="74" t="inlineStr">
        <is>
          <t>N</t>
        </is>
      </c>
      <c r="BA237" s="75">
        <f>IF('BBG Verify'!K237="","not filed — run on terminal",'BBG Verify'!K237)</f>
        <v/>
      </c>
      <c r="BB237" s="62" t="inlineStr">
        <is>
          <t>N/A</t>
        </is>
      </c>
      <c r="BC237" s="62" t="inlineStr">
        <is>
          <t>N/A</t>
        </is>
      </c>
      <c r="BD237" s="62" t="inlineStr">
        <is>
          <t>N/A</t>
        </is>
      </c>
      <c r="BE237" s="62" t="inlineStr">
        <is>
          <t>N/A</t>
        </is>
      </c>
      <c r="BF237" s="62" t="inlineStr">
        <is>
          <t>N/A</t>
        </is>
      </c>
      <c r="BG237" s="74" t="inlineStr">
        <is>
          <t>J.P. Morgan Securities (Far East) Limited; China Renaissance Securities (Hong Kong) Limited</t>
        </is>
      </c>
      <c r="BH237" s="62" t="inlineStr">
        <is>
          <t>J.P. Morgan Securities (Far East) Limited; China Renaissance Securities (Hong Kong) Limited</t>
        </is>
      </c>
      <c r="BI237" s="62" t="inlineStr">
        <is>
          <t>J.P. Morgan Securities (Asia Pacific) Limited; J.P. Morgan Securities plc; China International Capital Corporation Hong Kong Securities Limited; Central, Hong Kong CCB International Capital Limited; Central, Hong Kong Essence International Securities (Hong Kong) Limited; Central, Hong Kong Fosun International Securities Limited; Central, Hong Kong CMB International Capital Limited; ABCI Capital Limited</t>
        </is>
      </c>
      <c r="BJ237" s="62" t="inlineStr">
        <is>
          <t>ABCI Securities Company Limited; CCB International Capital Limited; China International Capital Corporation Hong Kong Securities Limited; CMB International Capital Limited; China Renaissance Securities (Hong Kong) Limited; Essence International Securities (Hong Kong) Limited; Fosun International Securities Limited; J.P. Morgan Securities (Asia Pacific) Limited; Livermore Holdings Limited</t>
        </is>
      </c>
      <c r="BK237" s="76">
        <f>HYPERLINK("https://www1.hkexnews.hk/listedco/listconews/sehk/2023/1227/2023122700027.pdf","prospectus")</f>
        <v/>
      </c>
      <c r="BL237" s="76">
        <f>HYPERLINK("https://www1.hkexnews.hk/listedco/listconews/sehk/2024/0104/2024010401780.pdf","allotment")</f>
        <v/>
      </c>
      <c r="BM237" s="76">
        <f>HYPERLINK("https://www1.hkexnews.hk/listedco/listconews/sehk/2024/0201/2024020103564.pdf","stabilisation")</f>
        <v/>
      </c>
      <c r="BN237" s="74" t="n"/>
      <c r="BO237" s="62" t="inlineStr">
        <is>
          <t>P/E: n/m — loss-making at IPO (use P/S) · range low: cap-only pricing — the filing publishes a Maximum Offer Price and no indicative floor · A/H: no A-share listing</t>
        </is>
      </c>
    </row>
    <row r="238" ht="15" customHeight="1">
      <c r="A238" s="61" t="inlineStr">
        <is>
          <t>2453</t>
        </is>
      </c>
      <c r="B238" s="62" t="inlineStr">
        <is>
          <t>CONCORD HC GP</t>
        </is>
      </c>
      <c r="C238" s="62" t="inlineStr">
        <is>
          <t>美中嘉和</t>
        </is>
      </c>
      <c r="D238" s="62" t="inlineStr">
        <is>
          <t>Healthcare</t>
        </is>
      </c>
      <c r="E238" s="62" t="inlineStr">
        <is>
          <t>Hospitals / clinics</t>
        </is>
      </c>
      <c r="F238" s="62" t="inlineStr">
        <is>
          <t>Health Care Services</t>
        </is>
      </c>
      <c r="G238" s="62" t="inlineStr">
        <is>
          <t>Standard</t>
        </is>
      </c>
      <c r="H238" s="63" t="n">
        <v>45300</v>
      </c>
      <c r="I238" s="64" t="n">
        <v>562.9</v>
      </c>
      <c r="J238" s="62" t="inlineStr">
        <is>
          <t>gross (price x shares)</t>
        </is>
      </c>
      <c r="K238" s="65" t="n">
        <v>14.1</v>
      </c>
      <c r="L238" s="65" t="n">
        <v>16.4</v>
      </c>
      <c r="M238" s="65" t="n">
        <v>14.28</v>
      </c>
      <c r="N238" s="62" t="inlineStr">
        <is>
          <t>N</t>
        </is>
      </c>
      <c r="O238" s="66" t="n">
        <v>87.09999999999999</v>
      </c>
      <c r="P238" s="66" t="n">
        <v>7.8</v>
      </c>
      <c r="Q238" s="67" t="n">
        <v>10229.3</v>
      </c>
      <c r="R238" s="62" t="inlineStr">
        <is>
          <t>derived:price x shares upon listing</t>
        </is>
      </c>
      <c r="S238" s="68" t="n">
        <v>1.99</v>
      </c>
      <c r="T238" s="69" t="n">
        <v>1.02</v>
      </c>
      <c r="U238" s="70" t="n">
        <v>0</v>
      </c>
      <c r="V238" s="66" t="n">
        <v>5.5</v>
      </c>
      <c r="W238" s="62" t="n"/>
      <c r="X238" s="62" t="n"/>
      <c r="Y238" s="66" t="n"/>
      <c r="Z238" s="62" t="n"/>
      <c r="AA238" s="71" t="n">
        <v>-22.41</v>
      </c>
      <c r="AB238" s="72" t="n">
        <v>-31.37</v>
      </c>
      <c r="AC238" s="72" t="n">
        <v>13.06</v>
      </c>
      <c r="AD238" s="72" t="n">
        <v>-2.24</v>
      </c>
      <c r="AE238" s="72" t="n">
        <v>-9.1</v>
      </c>
      <c r="AF238" s="72" t="n">
        <v>61.06</v>
      </c>
      <c r="AG238" s="72" t="n">
        <v>26</v>
      </c>
      <c r="AH238" s="72" t="n">
        <v>17.15</v>
      </c>
      <c r="AI238" s="72" t="n">
        <v>107.58</v>
      </c>
      <c r="AJ238" s="72" t="n">
        <v>-3.22</v>
      </c>
      <c r="AK238" s="72" t="n">
        <v>1.68</v>
      </c>
      <c r="AL238" s="72" t="n">
        <v>74.7</v>
      </c>
      <c r="AM238" s="72" t="n">
        <v>28.67</v>
      </c>
      <c r="AN238" s="72" t="n">
        <v>-10.78</v>
      </c>
      <c r="AO238" s="72" t="n">
        <v>-11.52</v>
      </c>
      <c r="AP238" s="62" t="inlineStr">
        <is>
          <t>China Biotech ETF (HS biotech proxy)</t>
        </is>
      </c>
      <c r="AQ238" s="72" t="n">
        <v>-93.98</v>
      </c>
      <c r="AR238" s="63" t="inlineStr">
        <is>
          <t>2026-08-20</t>
        </is>
      </c>
      <c r="AS238" s="64" t="n">
        <v>519.4</v>
      </c>
      <c r="AT238" s="67" t="n">
        <v>-700.9</v>
      </c>
      <c r="AU238" s="62" t="inlineStr">
        <is>
          <t>N</t>
        </is>
      </c>
      <c r="AV238" s="62" t="inlineStr">
        <is>
          <t>n/m</t>
        </is>
      </c>
      <c r="AW238" s="73" t="n"/>
      <c r="AX238" s="73" t="n"/>
      <c r="AY238" s="73" t="n">
        <v>19.7</v>
      </c>
      <c r="AZ238" s="74" t="inlineStr">
        <is>
          <t>N</t>
        </is>
      </c>
      <c r="BA238" s="75">
        <f>IF('BBG Verify'!K238="","not filed — run on terminal",'BBG Verify'!K238)</f>
        <v/>
      </c>
      <c r="BB238" s="62" t="inlineStr">
        <is>
          <t>N/A</t>
        </is>
      </c>
      <c r="BC238" s="62" t="inlineStr">
        <is>
          <t>N/A</t>
        </is>
      </c>
      <c r="BD238" s="62" t="inlineStr">
        <is>
          <t>N/A</t>
        </is>
      </c>
      <c r="BE238" s="62" t="inlineStr">
        <is>
          <t>N/A</t>
        </is>
      </c>
      <c r="BF238" s="62" t="inlineStr">
        <is>
          <t>N/A</t>
        </is>
      </c>
      <c r="BG238" s="74" t="inlineStr">
        <is>
          <t>China International Capital Corporation Hong Kong Securities Limited; Haitong International Capital Limited</t>
        </is>
      </c>
      <c r="BH238" s="62" t="inlineStr">
        <is>
          <t>Haitong International Capital Limited; China International Capital Corporation (HK) Ltd</t>
        </is>
      </c>
      <c r="BI238" s="62" t="inlineStr">
        <is>
          <t>China International Capital Corporation Hong Kong Securities Limited; Haitong International Securities Company Limited; Central, Hong Kong CCB International Capital Limited; Central, Hong Kong China Everbright Securities (HK) Limited; Wan Chai, Hong Kong CMB International Capital Limited; Central, Hong Kong Fosun International Securities Limited; Central, Hong Kong Futu Securities International (Hong Kong) Limited; Livermore Holdings Limited; Mouette Securities Company Limited; Tiger Brokers (HK) Global Limited</t>
        </is>
      </c>
      <c r="BJ238" s="62" t="inlineStr">
        <is>
          <t>ABCI Securities Company Limited; CCB International Capital Limited; China Everbright Securities (HK) Limited; China International Capital Corporation Hong Kong Securities Limited; CLSA Limited; CMB International Capital Limited; Fosun International Securities Limited; Futu Securities International (Hong Kong) Limited; Haitong International Securities Company Limited; Livermore Holdings Limited; Mouette Securities Company Limited; SPDB International Capital Limited</t>
        </is>
      </c>
      <c r="BK238" s="76">
        <f>HYPERLINK("https://www1.hkexnews.hk/listedco/listconews/sehk/2023/1229/2023122900023.pdf","prospectus")</f>
        <v/>
      </c>
      <c r="BL238" s="76">
        <f>HYPERLINK("https://www1.hkexnews.hk/listedco/listconews/sehk/2024/0108/2024010801006.pdf","allotment")</f>
        <v/>
      </c>
      <c r="BM238" s="62" t="n"/>
      <c r="BN238" s="74" t="n"/>
      <c r="BO238" s="62" t="inlineStr">
        <is>
          <t>P/E: n/m — loss-making at IPO (use P/S) · greenshoe: no over-allotment option in the offer structure · A/H: no A-share listing · cornerstone list: no cornerstone tranche in this deal · greenshoe size: no over-allotment option in the offer structure</t>
        </is>
      </c>
    </row>
    <row r="239" ht="15" customHeight="1">
      <c r="A239" s="61" t="inlineStr">
        <is>
          <t>2503</t>
        </is>
      </c>
      <c r="B239" s="62" t="inlineStr">
        <is>
          <t>ZHONGSHENJIANYE</t>
        </is>
      </c>
      <c r="C239" s="62" t="inlineStr">
        <is>
          <t>中深建業</t>
        </is>
      </c>
      <c r="D239" s="62" t="inlineStr">
        <is>
          <t>Industrials</t>
        </is>
      </c>
      <c r="E239" s="62" t="inlineStr">
        <is>
          <t>Construction / engineering</t>
        </is>
      </c>
      <c r="F239" s="62" t="inlineStr">
        <is>
          <t>Building Construction</t>
        </is>
      </c>
      <c r="G239" s="62" t="inlineStr">
        <is>
          <t>Standard</t>
        </is>
      </c>
      <c r="H239" s="63" t="n">
        <v>45300</v>
      </c>
      <c r="I239" s="64" t="n">
        <v>128.7</v>
      </c>
      <c r="J239" s="62" t="inlineStr">
        <is>
          <t>gross (stated)</t>
        </is>
      </c>
      <c r="K239" s="65" t="n"/>
      <c r="L239" s="65" t="n">
        <v>1</v>
      </c>
      <c r="M239" s="65" t="n">
        <v>1</v>
      </c>
      <c r="N239" s="62" t="inlineStr">
        <is>
          <t>Y</t>
        </is>
      </c>
      <c r="O239" s="66" t="n">
        <v>100</v>
      </c>
      <c r="P239" s="66" t="n"/>
      <c r="Q239" s="67" t="n">
        <v>514.8</v>
      </c>
      <c r="R239" s="62" t="inlineStr">
        <is>
          <t>derived:price x shares upon listing</t>
        </is>
      </c>
      <c r="S239" s="68" t="n">
        <v>58.44</v>
      </c>
      <c r="T239" s="69" t="n">
        <v>1.09</v>
      </c>
      <c r="U239" s="70" t="n">
        <v>0</v>
      </c>
      <c r="V239" s="66" t="n">
        <v>25</v>
      </c>
      <c r="W239" s="62" t="n"/>
      <c r="X239" s="62" t="n"/>
      <c r="Y239" s="66" t="n"/>
      <c r="Z239" s="62" t="n"/>
      <c r="AA239" s="71" t="n">
        <v>-28</v>
      </c>
      <c r="AB239" s="72" t="n">
        <v>-19</v>
      </c>
      <c r="AC239" s="72" t="n">
        <v>-11.11</v>
      </c>
      <c r="AD239" s="72" t="n">
        <v>5</v>
      </c>
      <c r="AE239" s="72" t="n">
        <v>16</v>
      </c>
      <c r="AF239" s="72" t="n">
        <v>-24</v>
      </c>
      <c r="AG239" s="72" t="n">
        <v>45.83</v>
      </c>
      <c r="AH239" s="72" t="n">
        <v>61.11</v>
      </c>
      <c r="AI239" s="72" t="n">
        <v>5.56</v>
      </c>
      <c r="AJ239" s="72" t="n">
        <v>6.97</v>
      </c>
      <c r="AK239" s="72" t="n">
        <v>17.75</v>
      </c>
      <c r="AL239" s="72" t="n">
        <v>-31.44</v>
      </c>
      <c r="AM239" s="72" t="n">
        <v>62.24</v>
      </c>
      <c r="AN239" s="72" t="n">
        <v>-1.75</v>
      </c>
      <c r="AO239" s="72" t="n">
        <v>-1.13</v>
      </c>
      <c r="AP239" s="62" t="inlineStr">
        <is>
          <t>Hang Seng Commerce &amp; Industry sub-index</t>
        </is>
      </c>
      <c r="AQ239" s="72" t="n">
        <v>-74.5</v>
      </c>
      <c r="AR239" s="63" t="inlineStr">
        <is>
          <t>2026-08-20</t>
        </is>
      </c>
      <c r="AS239" s="64" t="n">
        <v>1515.9</v>
      </c>
      <c r="AT239" s="67" t="n">
        <v>42.1</v>
      </c>
      <c r="AU239" s="62" t="inlineStr">
        <is>
          <t>Y</t>
        </is>
      </c>
      <c r="AV239" s="73" t="n">
        <v>12.2</v>
      </c>
      <c r="AW239" s="73" t="n"/>
      <c r="AX239" s="73" t="n"/>
      <c r="AY239" s="73" t="n">
        <v>0.3</v>
      </c>
      <c r="AZ239" s="74" t="inlineStr">
        <is>
          <t>N</t>
        </is>
      </c>
      <c r="BA239" s="75">
        <f>IF('BBG Verify'!K239="","not filed — run on terminal",'BBG Verify'!K239)</f>
        <v/>
      </c>
      <c r="BB239" s="62" t="inlineStr">
        <is>
          <t>N/A</t>
        </is>
      </c>
      <c r="BC239" s="62" t="inlineStr">
        <is>
          <t>N/A</t>
        </is>
      </c>
      <c r="BD239" s="62" t="inlineStr">
        <is>
          <t>N/A</t>
        </is>
      </c>
      <c r="BE239" s="62" t="inlineStr">
        <is>
          <t>N/A</t>
        </is>
      </c>
      <c r="BF239" s="62" t="inlineStr">
        <is>
          <t>N/A</t>
        </is>
      </c>
      <c r="BG239" s="74" t="inlineStr">
        <is>
          <t>Kingsway Capital Limited</t>
        </is>
      </c>
      <c r="BH239" s="62" t="inlineStr">
        <is>
          <t>Kingsway Capital Limited</t>
        </is>
      </c>
      <c r="BI239" s="62" t="inlineStr">
        <is>
          <t>Kingsway Financial Services Group Limited; Beta International Securities Limited; Valuable Capital Limited</t>
        </is>
      </c>
      <c r="BJ239" s="62" t="inlineStr">
        <is>
          <t>Beta International Securities Limited; Valuable Capital Limited</t>
        </is>
      </c>
      <c r="BK239" s="76">
        <f>HYPERLINK("https://www1.hkexnews.hk/listedco/listconews/sehk/2023/1228/2023122800045.pdf","prospectus")</f>
        <v/>
      </c>
      <c r="BL239" s="76">
        <f>HYPERLINK("https://www1.hkexnews.hk/listedco/listconews/sehk/2024/0108/2024010801008.pdf","allotment")</f>
        <v/>
      </c>
      <c r="BM239" s="62" t="n"/>
      <c r="BN239" s="74" t="n"/>
      <c r="BO239" s="62" t="inlineStr">
        <is>
          <t>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t>
        </is>
      </c>
    </row>
    <row r="240" ht="15" customHeight="1">
      <c r="A240" s="61" t="inlineStr">
        <is>
          <t>6959</t>
        </is>
      </c>
      <c r="B240" s="62" t="inlineStr">
        <is>
          <t>CHANGJIU HLDGS</t>
        </is>
      </c>
      <c r="C240" s="62" t="inlineStr">
        <is>
          <t>長久股份</t>
        </is>
      </c>
      <c r="D240" s="62" t="inlineStr">
        <is>
          <t>Tech/AI</t>
        </is>
      </c>
      <c r="E240" s="62" t="inlineStr">
        <is>
          <t>SaaS / enterprise software</t>
        </is>
      </c>
      <c r="F240" s="62" t="inlineStr">
        <is>
          <t>Commercial &amp; Professional Services</t>
        </is>
      </c>
      <c r="G240" s="62" t="inlineStr">
        <is>
          <t>Standard</t>
        </is>
      </c>
      <c r="H240" s="63" t="n">
        <v>45300</v>
      </c>
      <c r="I240" s="64" t="n">
        <v>300.71</v>
      </c>
      <c r="J240" s="62" t="inlineStr">
        <is>
          <t>gross (stated)</t>
        </is>
      </c>
      <c r="K240" s="65" t="n"/>
      <c r="L240" s="65" t="n">
        <v>7.9</v>
      </c>
      <c r="M240" s="65" t="n">
        <v>5.95</v>
      </c>
      <c r="N240" s="62" t="inlineStr">
        <is>
          <t>N</t>
        </is>
      </c>
      <c r="O240" s="66" t="n">
        <v>75.3</v>
      </c>
      <c r="P240" s="66" t="n"/>
      <c r="Q240" s="67" t="n">
        <v>1202.9</v>
      </c>
      <c r="R240" s="62" t="inlineStr">
        <is>
          <t>derived:price x shares upon listing</t>
        </is>
      </c>
      <c r="S240" s="68" t="n">
        <v>11.67</v>
      </c>
      <c r="T240" s="69" t="n">
        <v>1.07</v>
      </c>
      <c r="U240" s="70" t="n">
        <v>0</v>
      </c>
      <c r="V240" s="66" t="n">
        <v>25</v>
      </c>
      <c r="W240" s="62" t="n"/>
      <c r="X240" s="62" t="n"/>
      <c r="Y240" s="66" t="n"/>
      <c r="Z240" s="62" t="n"/>
      <c r="AA240" s="71" t="n">
        <v>16.13</v>
      </c>
      <c r="AB240" s="72" t="n">
        <v>2.52</v>
      </c>
      <c r="AC240" s="72" t="n">
        <v>13.28</v>
      </c>
      <c r="AD240" s="72" t="n">
        <v>24.71</v>
      </c>
      <c r="AE240" s="72" t="n">
        <v>28.4</v>
      </c>
      <c r="AF240" s="72" t="n">
        <v>562.1799999999999</v>
      </c>
      <c r="AG240" s="72" t="n">
        <v>7.39</v>
      </c>
      <c r="AH240" s="72" t="n">
        <v>10.57</v>
      </c>
      <c r="AI240" s="72" t="n">
        <v>470.21</v>
      </c>
      <c r="AJ240" s="72" t="n">
        <v>29.28</v>
      </c>
      <c r="AK240" s="72" t="n">
        <v>36.95</v>
      </c>
      <c r="AL240" s="72" t="n">
        <v>562.12</v>
      </c>
      <c r="AM240" s="72" t="n">
        <v>18.53</v>
      </c>
      <c r="AN240" s="72" t="n">
        <v>-8.550000000000001</v>
      </c>
      <c r="AO240" s="72" t="n">
        <v>-7.96</v>
      </c>
      <c r="AP240" s="62" t="inlineStr">
        <is>
          <t>HSTECH (Hang Seng TECH ETF)</t>
        </is>
      </c>
      <c r="AQ240" s="72" t="n">
        <v>-40.84</v>
      </c>
      <c r="AR240" s="63" t="inlineStr">
        <is>
          <t>2026-08-20</t>
        </is>
      </c>
      <c r="AS240" s="64" t="n">
        <v>602.7</v>
      </c>
      <c r="AT240" s="67" t="n">
        <v>105.5</v>
      </c>
      <c r="AU240" s="62" t="inlineStr">
        <is>
          <t>Y</t>
        </is>
      </c>
      <c r="AV240" s="73" t="n">
        <v>11.4</v>
      </c>
      <c r="AW240" s="73" t="n"/>
      <c r="AX240" s="73" t="n">
        <v>4.3</v>
      </c>
      <c r="AY240" s="73" t="n">
        <v>2</v>
      </c>
      <c r="AZ240" s="74" t="inlineStr">
        <is>
          <t>N</t>
        </is>
      </c>
      <c r="BA240" s="75">
        <f>IF('BBG Verify'!K240="","not filed — run on terminal",'BBG Verify'!K240)</f>
        <v/>
      </c>
      <c r="BB240" s="62" t="inlineStr">
        <is>
          <t>N/A</t>
        </is>
      </c>
      <c r="BC240" s="62" t="inlineStr">
        <is>
          <t>N/A</t>
        </is>
      </c>
      <c r="BD240" s="62" t="inlineStr">
        <is>
          <t>N/A</t>
        </is>
      </c>
      <c r="BE240" s="62" t="inlineStr">
        <is>
          <t>N/A</t>
        </is>
      </c>
      <c r="BF240" s="62" t="inlineStr">
        <is>
          <t>N/A</t>
        </is>
      </c>
      <c r="BG240" s="74" t="inlineStr">
        <is>
          <t>CITIC Securities (Hong Kong) Limited; ICBC International Capital Limited</t>
        </is>
      </c>
      <c r="BH240" s="62" t="inlineStr">
        <is>
          <t>CITIC Securities (Hong Kong) Limited; ICBC International Capital Limited</t>
        </is>
      </c>
      <c r="BI240" s="62" t="inlineStr">
        <is>
          <t>CLSA Limited; ICBC International Securities Limited</t>
        </is>
      </c>
      <c r="BJ240" s="62" t="inlineStr">
        <is>
          <t>BOCOM International Securities Limited; CEB International Capital Corporation Limited; CLSA Limited; CMB International Capital Limited; ICBC International Securities Limited; Livermore Holdings Limited; Patrons Securities Limited; SPDB International Capital Limited; Tiger Brokers (HK) Global Limited; UOB Kay Hian (Hong Kong) Limited; Valuable Capital Limited; Zhongtai International Securities Limited</t>
        </is>
      </c>
      <c r="BK240" s="76">
        <f>HYPERLINK("https://www1.hkexnews.hk/listedco/listconews/sehk/2023/1229/2023122900027.pdf","prospectus")</f>
        <v/>
      </c>
      <c r="BL240" s="76">
        <f>HYPERLINK("https://www1.hkexnews.hk/listedco/listconews/sehk/2024/0108/2024010801108.pdf","allotment")</f>
        <v/>
      </c>
      <c r="BM240" s="62" t="n"/>
      <c r="BN240" s="74" t="n"/>
      <c r="BO240" s="62" t="inlineStr">
        <is>
          <t>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t>
        </is>
      </c>
    </row>
    <row r="241" ht="15" customHeight="1">
      <c r="A241" s="61" t="inlineStr">
        <is>
          <t>2477</t>
        </is>
      </c>
      <c r="B241" s="62" t="inlineStr">
        <is>
          <t>WELLCELL HOLD</t>
        </is>
      </c>
      <c r="C241" s="62" t="inlineStr">
        <is>
          <t>經緯天地</t>
        </is>
      </c>
      <c r="D241" s="62" t="inlineStr">
        <is>
          <t>Healthcare</t>
        </is>
      </c>
      <c r="E241" s="62" t="inlineStr">
        <is>
          <t>Biopharma commercial</t>
        </is>
      </c>
      <c r="F241" s="62" t="inlineStr">
        <is>
          <t>Telecommunication Services</t>
        </is>
      </c>
      <c r="G241" s="62" t="inlineStr">
        <is>
          <t>Standard</t>
        </is>
      </c>
      <c r="H241" s="63" t="n">
        <v>45303</v>
      </c>
      <c r="I241" s="64" t="n">
        <v>125</v>
      </c>
      <c r="J241" s="62" t="inlineStr">
        <is>
          <t>gross (price x shares)</t>
        </is>
      </c>
      <c r="K241" s="65" t="n">
        <v>1</v>
      </c>
      <c r="L241" s="65" t="n">
        <v>1.3</v>
      </c>
      <c r="M241" s="65" t="n">
        <v>1</v>
      </c>
      <c r="N241" s="62" t="inlineStr">
        <is>
          <t>N</t>
        </is>
      </c>
      <c r="O241" s="66" t="n">
        <v>76.90000000000001</v>
      </c>
      <c r="P241" s="66" t="n">
        <v>0</v>
      </c>
      <c r="Q241" s="67" t="n">
        <v>500</v>
      </c>
      <c r="R241" s="62" t="inlineStr">
        <is>
          <t>derived:price x shares upon listing</t>
        </is>
      </c>
      <c r="S241" s="68" t="n">
        <v>28.64</v>
      </c>
      <c r="T241" s="69" t="n">
        <v>0.97</v>
      </c>
      <c r="U241" s="70" t="n">
        <v>0</v>
      </c>
      <c r="V241" s="66" t="n">
        <v>25</v>
      </c>
      <c r="W241" s="62" t="n"/>
      <c r="X241" s="62" t="n"/>
      <c r="Y241" s="66" t="n">
        <v>20</v>
      </c>
      <c r="Z241" s="62" t="inlineStr">
        <is>
          <t>lapsed (no over-allocation)</t>
        </is>
      </c>
      <c r="AA241" s="71" t="n">
        <v>164</v>
      </c>
      <c r="AB241" s="72" t="n">
        <v>77</v>
      </c>
      <c r="AC241" s="72" t="n">
        <v>49.15</v>
      </c>
      <c r="AD241" s="72" t="n">
        <v>250</v>
      </c>
      <c r="AE241" s="72" t="n">
        <v>230</v>
      </c>
      <c r="AF241" s="72" t="n">
        <v>232</v>
      </c>
      <c r="AG241" s="72" t="n">
        <v>32.58</v>
      </c>
      <c r="AH241" s="72" t="n">
        <v>25</v>
      </c>
      <c r="AI241" s="72" t="n">
        <v>25.76</v>
      </c>
      <c r="AJ241" s="72" t="n">
        <v>256.27</v>
      </c>
      <c r="AK241" s="72" t="n">
        <v>244.15</v>
      </c>
      <c r="AL241" s="72" t="n">
        <v>249.56</v>
      </c>
      <c r="AM241" s="72" t="n">
        <v>37.92</v>
      </c>
      <c r="AN241" s="72" t="n">
        <v>-14.15</v>
      </c>
      <c r="AO241" s="72" t="n">
        <v>-12.92</v>
      </c>
      <c r="AP241" s="62" t="inlineStr">
        <is>
          <t>China Biotech ETF (HS biotech proxy)</t>
        </is>
      </c>
      <c r="AQ241" s="72" t="n">
        <v>-51.4</v>
      </c>
      <c r="AR241" s="63" t="inlineStr">
        <is>
          <t>2026-08-24</t>
        </is>
      </c>
      <c r="AS241" s="64" t="n">
        <v>249.2</v>
      </c>
      <c r="AT241" s="67" t="n">
        <v>26.7</v>
      </c>
      <c r="AU241" s="62" t="inlineStr">
        <is>
          <t>Y</t>
        </is>
      </c>
      <c r="AV241" s="73" t="n">
        <v>18.7</v>
      </c>
      <c r="AW241" s="73" t="n"/>
      <c r="AX241" s="73" t="n">
        <v>64</v>
      </c>
      <c r="AY241" s="73" t="n">
        <v>2</v>
      </c>
      <c r="AZ241" s="74" t="inlineStr">
        <is>
          <t>N</t>
        </is>
      </c>
      <c r="BA241" s="75">
        <f>IF('BBG Verify'!K241="","not filed — run on terminal",'BBG Verify'!K241)</f>
        <v/>
      </c>
      <c r="BB241" s="62" t="inlineStr">
        <is>
          <t>N/A</t>
        </is>
      </c>
      <c r="BC241" s="62" t="inlineStr">
        <is>
          <t>N/A</t>
        </is>
      </c>
      <c r="BD241" s="62" t="inlineStr">
        <is>
          <t>N/A</t>
        </is>
      </c>
      <c r="BE241" s="62" t="inlineStr">
        <is>
          <t>N/A</t>
        </is>
      </c>
      <c r="BF241" s="62" t="inlineStr">
        <is>
          <t>N/A</t>
        </is>
      </c>
      <c r="BG241" s="74" t="inlineStr">
        <is>
          <t>Halcyon Capital Limited; Central, Hong Kong Eddid Capital Limited</t>
        </is>
      </c>
      <c r="BH241" s="62" t="inlineStr">
        <is>
          <t>Halcyon Capital Limited; Eddid Capital Limited</t>
        </is>
      </c>
      <c r="BI241" s="62" t="inlineStr">
        <is>
          <t>Eddid Securities and Futures Limited; Central, Hong Kong Halcyon Securities Limited; Wan Chai, Hong Kong Beta International S ecurities Limited; Sheung Wan, Hong Kong CMBC Securities Company Limited; Central, Hong Kong China PA Securities (Hong Kong) Company Limited; Quam Securities Limited; Central, Hong Kong China Everbright Securities (HK) Limited</t>
        </is>
      </c>
      <c r="BJ241" s="62" t="inlineStr">
        <is>
          <t>Beta International Securities Limited; China Everbright Securities (HK) Limited; Cinda International Capital Limited; CMBC Securities Company Limited; China PA Securities (Hong Kong) Company Limited; Eddid Securities and Futures Limited; Goldlink Securities Limited; Halcyon Securities Limited; Innovax Securities Limited; Maxa Capital Limited; Patrons Securities Limited; Quam Securities Limited</t>
        </is>
      </c>
      <c r="BK241" s="76">
        <f>HYPERLINK("https://www1.hkexnews.hk/listedco/listconews/sehk/2023/1228/2023122800033.pdf","prospectus")</f>
        <v/>
      </c>
      <c r="BL241" s="76">
        <f>HYPERLINK("https://www1.hkexnews.hk/listedco/listconews/sehk/2024/0111/2024011101058.pdf","allotment")</f>
        <v/>
      </c>
      <c r="BM241" s="76">
        <f>HYPERLINK("https://www1.hkexnews.hk/listedco/listconews/sehk/2024/0208/2024020800426.pdf","stabilisation")</f>
        <v/>
      </c>
      <c r="BN241" s="74" t="n"/>
      <c r="BO241" s="62" t="inlineStr">
        <is>
          <t>A/H: no A-share listing · cornerstone list: no cornerstone tranche in this deal</t>
        </is>
      </c>
    </row>
    <row r="242" ht="15" customHeight="1">
      <c r="A242" s="61" t="inlineStr">
        <is>
          <t>2535</t>
        </is>
      </c>
      <c r="B242" s="62" t="inlineStr">
        <is>
          <t>WK GROUP</t>
        </is>
      </c>
      <c r="C242" s="62" t="inlineStr">
        <is>
          <t>泓基集團</t>
        </is>
      </c>
      <c r="D242" s="62" t="inlineStr">
        <is>
          <t>Industrials</t>
        </is>
      </c>
      <c r="E242" s="62" t="inlineStr">
        <is>
          <t>Construction / engineering</t>
        </is>
      </c>
      <c r="F242" s="62" t="inlineStr">
        <is>
          <t>Building Construction</t>
        </is>
      </c>
      <c r="G242" s="62" t="inlineStr">
        <is>
          <t>Standard</t>
        </is>
      </c>
      <c r="H242" s="63" t="n">
        <v>45359</v>
      </c>
      <c r="I242" s="64" t="n">
        <v>125</v>
      </c>
      <c r="J242" s="62" t="inlineStr">
        <is>
          <t>gross (stated)</t>
        </is>
      </c>
      <c r="K242" s="65" t="n"/>
      <c r="L242" s="65" t="n">
        <v>0.27</v>
      </c>
      <c r="M242" s="65" t="n">
        <v>0.25</v>
      </c>
      <c r="N242" s="62" t="inlineStr">
        <is>
          <t>N</t>
        </is>
      </c>
      <c r="O242" s="66" t="n">
        <v>92.59999999999999</v>
      </c>
      <c r="P242" s="66" t="n"/>
      <c r="Q242" s="67" t="n">
        <v>500</v>
      </c>
      <c r="R242" s="62" t="inlineStr">
        <is>
          <t>derived:price x shares upon listing</t>
        </is>
      </c>
      <c r="S242" s="68" t="n">
        <v>70.48</v>
      </c>
      <c r="T242" s="69" t="n">
        <v>0.98</v>
      </c>
      <c r="U242" s="70" t="n">
        <v>0</v>
      </c>
      <c r="V242" s="66" t="n">
        <v>25</v>
      </c>
      <c r="W242" s="62" t="n"/>
      <c r="X242" s="62" t="n"/>
      <c r="Y242" s="66" t="n">
        <v>15</v>
      </c>
      <c r="Z242" s="62" t="inlineStr">
        <is>
          <t>lapsed</t>
        </is>
      </c>
      <c r="AA242" s="71" t="n">
        <v>136</v>
      </c>
      <c r="AB242" s="72" t="n">
        <v>160</v>
      </c>
      <c r="AC242" s="72" t="n">
        <v>-9.23</v>
      </c>
      <c r="AD242" s="72" t="n">
        <v>156</v>
      </c>
      <c r="AE242" s="72" t="n">
        <v>156</v>
      </c>
      <c r="AF242" s="72" t="n">
        <v>132</v>
      </c>
      <c r="AG242" s="72" t="n">
        <v>8.470000000000001</v>
      </c>
      <c r="AH242" s="72" t="n">
        <v>8.470000000000001</v>
      </c>
      <c r="AI242" s="72" t="n">
        <v>-1.69</v>
      </c>
      <c r="AJ242" s="72" t="n">
        <v>151.85</v>
      </c>
      <c r="AK242" s="72" t="n">
        <v>147.36</v>
      </c>
      <c r="AL242" s="72" t="n">
        <v>117.92</v>
      </c>
      <c r="AM242" s="72" t="n">
        <v>0.53</v>
      </c>
      <c r="AN242" s="72" t="n">
        <v>8.640000000000001</v>
      </c>
      <c r="AO242" s="72" t="n">
        <v>7.94</v>
      </c>
      <c r="AP242" s="62" t="inlineStr">
        <is>
          <t>Hang Seng Commerce &amp; Industry sub-index</t>
        </is>
      </c>
      <c r="AQ242" s="72" t="n">
        <v>140</v>
      </c>
      <c r="AR242" s="63" t="inlineStr">
        <is>
          <t>2026-08-20</t>
        </is>
      </c>
      <c r="AS242" s="64" t="n">
        <v>336.4</v>
      </c>
      <c r="AT242" s="67" t="n">
        <v>39.3</v>
      </c>
      <c r="AU242" s="62" t="inlineStr">
        <is>
          <t>Y</t>
        </is>
      </c>
      <c r="AV242" s="73" t="n">
        <v>12.7</v>
      </c>
      <c r="AW242" s="73" t="n"/>
      <c r="AX242" s="73" t="n">
        <v>72.09999999999999</v>
      </c>
      <c r="AY242" s="73" t="n">
        <v>1.5</v>
      </c>
      <c r="AZ242" s="74" t="inlineStr">
        <is>
          <t>N</t>
        </is>
      </c>
      <c r="BA242" s="75">
        <f>IF('BBG Verify'!K242="","not filed — run on terminal",'BBG Verify'!K242)</f>
        <v/>
      </c>
      <c r="BB242" s="62" t="inlineStr">
        <is>
          <t>N/A</t>
        </is>
      </c>
      <c r="BC242" s="62" t="inlineStr">
        <is>
          <t>N/A</t>
        </is>
      </c>
      <c r="BD242" s="62" t="inlineStr">
        <is>
          <t>N/A</t>
        </is>
      </c>
      <c r="BE242" s="62" t="inlineStr">
        <is>
          <t>N/A</t>
        </is>
      </c>
      <c r="BF242" s="62" t="inlineStr">
        <is>
          <t>N/A</t>
        </is>
      </c>
      <c r="BG242" s="74" t="n"/>
      <c r="BH242" s="62" t="inlineStr">
        <is>
          <t>Grande Capital Limited</t>
        </is>
      </c>
      <c r="BI242" s="62" t="inlineStr">
        <is>
          <t>Eddid Securities and Futures Limited; Fortune Origin Securities Limited; Grand China Securities Limited; Grande Capital Limited; Lee Go Securities Limited; Livermore Holdings Limited</t>
        </is>
      </c>
      <c r="BJ242" s="62" t="inlineStr">
        <is>
          <t>Eddid Securities and Futures Limited; Fortune Origin Securities Limited; Grand China Securities Limited; Grande Capital Limited; Lee Go Securities Limited; Livermore Holdings Limited; Quam Securities Limited; SBI China Capital Financial Services Limited; Victory Securities Company Limited; Yuen Meta (International) Securities Limited</t>
        </is>
      </c>
      <c r="BK242" s="76">
        <f>HYPERLINK("https://www1.hkexnews.hk/listedco/listconews/sehk/2024/0229/2024022900018.htm","prospectus")</f>
        <v/>
      </c>
      <c r="BL242" s="76">
        <f>HYPERLINK("https://www1.hkexnews.hk/listedco/listconews/sehk/2024/0307/2024030700933.pdf","allotment")</f>
        <v/>
      </c>
      <c r="BM242" s="76">
        <f>HYPERLINK("https://www1.hkexnews.hk/listedco/listconews/sehk/2024/0405/2024040501467.pdf","stabilisation")</f>
        <v/>
      </c>
      <c r="BN242" s="74" t="n"/>
      <c r="BO242" s="62" t="inlineStr">
        <is>
          <t>range low: cap-only pricing — the filing publishes a Maximum Offer Price and no indicative floor · A/H: no A-share listing · sponsor: English name not in the filing text; AAStocks 保薦人 shown · cornerstone list: no cornerstone tranche in this deal</t>
        </is>
      </c>
    </row>
    <row r="243" ht="15" customHeight="1">
      <c r="A243" s="61" t="inlineStr">
        <is>
          <t>2540</t>
        </is>
      </c>
      <c r="B243" s="62" t="inlineStr">
        <is>
          <t>LESI GROUP</t>
        </is>
      </c>
      <c r="C243" s="62" t="inlineStr">
        <is>
          <t>樂思集團</t>
        </is>
      </c>
      <c r="D243" s="62" t="inlineStr">
        <is>
          <t>TMT-other</t>
        </is>
      </c>
      <c r="E243" s="62" t="inlineStr">
        <is>
          <t>Media / advertising</t>
        </is>
      </c>
      <c r="F243" s="62" t="inlineStr">
        <is>
          <t>Advertising</t>
        </is>
      </c>
      <c r="G243" s="62" t="inlineStr">
        <is>
          <t>Standard</t>
        </is>
      </c>
      <c r="H243" s="63" t="n">
        <v>45359</v>
      </c>
      <c r="I243" s="64" t="n">
        <v>137.5</v>
      </c>
      <c r="J243" s="62" t="inlineStr">
        <is>
          <t>gross (price x shares)</t>
        </is>
      </c>
      <c r="K243" s="65" t="n"/>
      <c r="L243" s="65" t="n">
        <v>1.1</v>
      </c>
      <c r="M243" s="65" t="n">
        <v>1.1</v>
      </c>
      <c r="N243" s="62" t="inlineStr">
        <is>
          <t>Y</t>
        </is>
      </c>
      <c r="O243" s="66" t="n">
        <v>100</v>
      </c>
      <c r="P243" s="66" t="n"/>
      <c r="Q243" s="67" t="n">
        <v>550</v>
      </c>
      <c r="R243" s="62" t="inlineStr">
        <is>
          <t>derived:price x shares upon listing</t>
        </is>
      </c>
      <c r="S243" s="68" t="n">
        <v>22.35</v>
      </c>
      <c r="T243" s="69" t="n">
        <v>1.46</v>
      </c>
      <c r="U243" s="70" t="n">
        <v>0</v>
      </c>
      <c r="V243" s="66" t="n">
        <v>25</v>
      </c>
      <c r="W243" s="62" t="n"/>
      <c r="X243" s="62" t="n"/>
      <c r="Y243" s="66" t="n">
        <v>20</v>
      </c>
      <c r="Z243" s="62" t="inlineStr">
        <is>
          <t>lapsed (no over-allocation)</t>
        </is>
      </c>
      <c r="AA243" s="71" t="n">
        <v>36.36</v>
      </c>
      <c r="AB243" s="72" t="n">
        <v>-18.18</v>
      </c>
      <c r="AC243" s="72" t="n">
        <v>66.66</v>
      </c>
      <c r="AD243" s="72" t="n">
        <v>166.36</v>
      </c>
      <c r="AE243" s="72" t="n">
        <v>219.09</v>
      </c>
      <c r="AF243" s="72" t="n">
        <v>90.91</v>
      </c>
      <c r="AG243" s="72" t="n">
        <v>95.34</v>
      </c>
      <c r="AH243" s="72" t="n">
        <v>134.01</v>
      </c>
      <c r="AI243" s="72" t="n">
        <v>40</v>
      </c>
      <c r="AJ243" s="72" t="n">
        <v>163.33</v>
      </c>
      <c r="AK243" s="72" t="n">
        <v>213.76</v>
      </c>
      <c r="AL243" s="72" t="n">
        <v>79.31</v>
      </c>
      <c r="AM243" s="72" t="n">
        <v>129.47</v>
      </c>
      <c r="AN243" s="72" t="n">
        <v>5.33</v>
      </c>
      <c r="AO243" s="72" t="n">
        <v>4.54</v>
      </c>
      <c r="AP243" s="62" t="inlineStr">
        <is>
          <t>Hang Seng Index</t>
        </is>
      </c>
      <c r="AQ243" s="72" t="n">
        <v>-30.91</v>
      </c>
      <c r="AR243" s="63" t="inlineStr">
        <is>
          <t>2026-08-19</t>
        </is>
      </c>
      <c r="AS243" s="64" t="n">
        <v>541.8</v>
      </c>
      <c r="AT243" s="67" t="n">
        <v>75.09999999999999</v>
      </c>
      <c r="AU243" s="62" t="inlineStr">
        <is>
          <t>Y</t>
        </is>
      </c>
      <c r="AV243" s="73" t="n">
        <v>7.3</v>
      </c>
      <c r="AW243" s="73" t="n"/>
      <c r="AX243" s="73" t="n">
        <v>8.300000000000001</v>
      </c>
      <c r="AY243" s="73" t="n">
        <v>1</v>
      </c>
      <c r="AZ243" s="74" t="inlineStr">
        <is>
          <t>N</t>
        </is>
      </c>
      <c r="BA243" s="75">
        <f>IF('BBG Verify'!K243="","not filed — run on terminal",'BBG Verify'!K243)</f>
        <v/>
      </c>
      <c r="BB243" s="62" t="inlineStr">
        <is>
          <t>N/A</t>
        </is>
      </c>
      <c r="BC243" s="62" t="inlineStr">
        <is>
          <t>N/A</t>
        </is>
      </c>
      <c r="BD243" s="62" t="inlineStr">
        <is>
          <t>N/A</t>
        </is>
      </c>
      <c r="BE243" s="62" t="inlineStr">
        <is>
          <t>N/A</t>
        </is>
      </c>
      <c r="BF243" s="62" t="inlineStr">
        <is>
          <t>N/A</t>
        </is>
      </c>
      <c r="BG243" s="74" t="inlineStr">
        <is>
          <t>China Sunrise Capital Limited</t>
        </is>
      </c>
      <c r="BH243" s="62" t="inlineStr">
        <is>
          <t>China Sunrise Capital Limited</t>
        </is>
      </c>
      <c r="BI243" s="62" t="inlineStr">
        <is>
          <t>China Sunrise Securities (International) Limited; ABCI Capital Limited; BOCI Asia Limited; BOCOM International S ecurities Limited; CEB International Capital Corporation Limited</t>
        </is>
      </c>
      <c r="BJ243" s="62" t="inlineStr">
        <is>
          <t>ABCI Securities Company Limited; BOCI Asia Limited; BOCOM International Securities Limited; CEB International Capital Corporation Limited; China Galaxy International Securities (Hong Kong) Company Limited; China Sunrise Securities (International) Limited; Long Bridge HK Limited; Orient Securities (Hong Kong) Limited; Soochow Securities International Brokerage Limited; Valuable Capital Limited</t>
        </is>
      </c>
      <c r="BK243" s="76">
        <f>HYPERLINK("https://www1.hkexnews.hk/listedco/listconews/sehk/2024/0229/2024022900168.pdf","prospectus")</f>
        <v/>
      </c>
      <c r="BL243" s="76">
        <f>HYPERLINK("https://www1.hkexnews.hk/listedco/listconews/sehk/2024/0307/2024030700935.pdf","allotment")</f>
        <v/>
      </c>
      <c r="BM243" s="76">
        <f>HYPERLINK("https://www1.hkexnews.hk/listedco/listconews/sehk/2024/0405/2024040500023.pdf","stabilisation")</f>
        <v/>
      </c>
      <c r="BN243" s="74" t="n"/>
      <c r="BO243" s="62" t="inlineStr">
        <is>
          <t>price range: fixed-price offering (no indicative range) · range low: cap-only pricing — the filing publishes a Maximum Offer Price and no indicative floor · A/H: no A-share listing · cornerstone list: no cornerstone tranche in this deal</t>
        </is>
      </c>
    </row>
    <row r="244" ht="15" customHeight="1">
      <c r="A244" s="61" t="inlineStr">
        <is>
          <t>2509</t>
        </is>
      </c>
      <c r="B244" s="62" t="inlineStr">
        <is>
          <t>QYUNS-B</t>
        </is>
      </c>
      <c r="C244" s="62" t="inlineStr">
        <is>
          <t>荃信生物－Ｂ</t>
        </is>
      </c>
      <c r="D244" s="62" t="inlineStr">
        <is>
          <t>Healthcare</t>
        </is>
      </c>
      <c r="E244" s="62" t="inlineStr">
        <is>
          <t>Biotech pre-revenue (18A)</t>
        </is>
      </c>
      <c r="F244" s="62" t="inlineStr">
        <is>
          <t>Biotechnology - Pharmaceuticals</t>
        </is>
      </c>
      <c r="G244" s="62" t="inlineStr">
        <is>
          <t>18A</t>
        </is>
      </c>
      <c r="H244" s="63" t="n">
        <v>45371</v>
      </c>
      <c r="I244" s="64" t="n">
        <v>238.5</v>
      </c>
      <c r="J244" s="62" t="inlineStr">
        <is>
          <t>gross (price x shares)</t>
        </is>
      </c>
      <c r="K244" s="65" t="n">
        <v>19.8</v>
      </c>
      <c r="L244" s="65" t="n">
        <v>20.2</v>
      </c>
      <c r="M244" s="65" t="n">
        <v>19.8</v>
      </c>
      <c r="N244" s="62" t="inlineStr">
        <is>
          <t>N</t>
        </is>
      </c>
      <c r="O244" s="66" t="n">
        <v>98</v>
      </c>
      <c r="P244" s="66" t="n">
        <v>0</v>
      </c>
      <c r="Q244" s="67" t="n">
        <v>4397</v>
      </c>
      <c r="R244" s="62" t="inlineStr">
        <is>
          <t>derived:price x shares upon listing</t>
        </is>
      </c>
      <c r="S244" s="68" t="n">
        <v>163.15</v>
      </c>
      <c r="T244" s="69" t="n">
        <v>1</v>
      </c>
      <c r="U244" s="70" t="n">
        <v>82.05</v>
      </c>
      <c r="V244" s="66" t="n">
        <v>0.97</v>
      </c>
      <c r="W244" s="62" t="inlineStr">
        <is>
          <t>Beevest Capital Limited; Huadong Medicine Investment Holding (Hong Kong) Limited; JianXin Medical Technology Limited</t>
        </is>
      </c>
      <c r="X244" s="62" t="inlineStr">
        <is>
          <t>beevest;huadong;jianxin</t>
        </is>
      </c>
      <c r="Y244" s="66" t="n"/>
      <c r="Z244" s="62" t="n"/>
      <c r="AA244" s="71" t="n">
        <v>23.74</v>
      </c>
      <c r="AB244" s="72" t="n">
        <v>38.38</v>
      </c>
      <c r="AC244" s="72" t="n">
        <v>-10.58</v>
      </c>
      <c r="AD244" s="72" t="n">
        <v>20.96</v>
      </c>
      <c r="AE244" s="72" t="n">
        <v>20.71</v>
      </c>
      <c r="AF244" s="72" t="n">
        <v>39.65</v>
      </c>
      <c r="AG244" s="72" t="n">
        <v>-2.25</v>
      </c>
      <c r="AH244" s="72" t="n">
        <v>-2.45</v>
      </c>
      <c r="AI244" s="72" t="n">
        <v>12.86</v>
      </c>
      <c r="AJ244" s="72" t="n">
        <v>24.95</v>
      </c>
      <c r="AK244" s="72" t="n">
        <v>27.75</v>
      </c>
      <c r="AL244" s="72" t="n">
        <v>50.34</v>
      </c>
      <c r="AM244" s="72" t="n">
        <v>4.74</v>
      </c>
      <c r="AN244" s="72" t="n">
        <v>-7.04</v>
      </c>
      <c r="AO244" s="72" t="n">
        <v>-7.19</v>
      </c>
      <c r="AP244" s="62" t="inlineStr">
        <is>
          <t>China Biotech ETF (HS biotech proxy)</t>
        </is>
      </c>
      <c r="AQ244" s="72" t="n">
        <v>-15.25</v>
      </c>
      <c r="AR244" s="63" t="inlineStr">
        <is>
          <t>2026-08-20</t>
        </is>
      </c>
      <c r="AS244" s="64" t="n">
        <v>81.2</v>
      </c>
      <c r="AT244" s="67" t="n">
        <v>-226.5</v>
      </c>
      <c r="AU244" s="62" t="inlineStr">
        <is>
          <t>N</t>
        </is>
      </c>
      <c r="AV244" s="62" t="inlineStr">
        <is>
          <t>n/m</t>
        </is>
      </c>
      <c r="AW244" s="73" t="n"/>
      <c r="AX244" s="73" t="n">
        <v>11.1</v>
      </c>
      <c r="AY244" s="73" t="n">
        <v>54.2</v>
      </c>
      <c r="AZ244" s="74" t="inlineStr">
        <is>
          <t>N</t>
        </is>
      </c>
      <c r="BA244" s="75">
        <f>IF('BBG Verify'!K244="","not filed — run on terminal",'BBG Verify'!K244)</f>
        <v/>
      </c>
      <c r="BB244" s="62" t="inlineStr">
        <is>
          <t>N/A</t>
        </is>
      </c>
      <c r="BC244" s="62" t="inlineStr">
        <is>
          <t>N/A</t>
        </is>
      </c>
      <c r="BD244" s="62" t="inlineStr">
        <is>
          <t>N/A</t>
        </is>
      </c>
      <c r="BE244" s="62" t="inlineStr">
        <is>
          <t>N/A</t>
        </is>
      </c>
      <c r="BF244" s="62" t="inlineStr">
        <is>
          <t>N/A</t>
        </is>
      </c>
      <c r="BG244" s="74" t="n"/>
      <c r="BH244" s="62" t="inlineStr">
        <is>
          <t>China International Capital Corporation Hong Kong Securities Limited</t>
        </is>
      </c>
      <c r="BI244" s="62" t="inlineStr">
        <is>
          <t>China International Capital Corporation Hong Kong Securities Limited; Essence International Securities (Hong Kong) Limited; Guotai Junan Securities (Hong Kong) Limited; Huatai Financial Holdings (Hong Kong) Limited; China Industrial Securities International Capital Limited; Livermore Holdings Limited; Tiger Brokers (HK) Global Limited</t>
        </is>
      </c>
      <c r="BJ244" s="62" t="inlineStr">
        <is>
          <t>China Galaxy International Securities (Hong Kong) Company Limited; China International Capital Corporation Hong Kong Securities Limited; China Industrial Securities International Capital Limited; Citrus Securities Limited; Essence International Securities (Hong Kong) Limited; Fosun International Securities Limited; Guotai Junan Securities (Hong Kong) Limited; Huatai Financial Holdings (Hong Kong) Limited; Hong Tai Securities Limited; Livermore Holdings Limited; SPDB International Capital Limited; Tiger Brokers (HK) Global Limited</t>
        </is>
      </c>
      <c r="BK244" s="76">
        <f>HYPERLINK("https://www1.hkexnews.hk/listedco/listconews/sehk/2024/0312/2024031200007.pdf","prospectus")</f>
        <v/>
      </c>
      <c r="BL244" s="76">
        <f>HYPERLINK("https://www1.hkexnews.hk/listedco/listconews/sehk/2024/0319/2024031901351.pdf","allotment")</f>
        <v/>
      </c>
      <c r="BM244" s="62" t="n"/>
      <c r="BN244" s="74" t="n"/>
      <c r="BO244" s="62" t="inlineStr">
        <is>
          <t>P/E: n/m — loss-making at IPO (use P/S) · greenshoe: no over-allotment option in the offer structure · A/H: no A-share listing · sponsor: English name not in the filing text; AAStocks 保薦人 shown · greenshoe size: no over-allotment option in the offer structure</t>
        </is>
      </c>
    </row>
    <row r="245" ht="15" customHeight="1">
      <c r="A245" s="61" t="inlineStr">
        <is>
          <t>9879</t>
        </is>
      </c>
      <c r="B245" s="62" t="inlineStr">
        <is>
          <t>MIGAO GROUP</t>
        </is>
      </c>
      <c r="C245" s="62" t="inlineStr">
        <is>
          <t>米高集團</t>
        </is>
      </c>
      <c r="D245" s="62" t="inlineStr">
        <is>
          <t>Materials/Energy</t>
        </is>
      </c>
      <c r="E245" s="62" t="inlineStr">
        <is>
          <t>Chemicals</t>
        </is>
      </c>
      <c r="F245" s="62" t="inlineStr">
        <is>
          <t>Fertilizers &amp; Agricultural Chemicals</t>
        </is>
      </c>
      <c r="G245" s="62" t="inlineStr">
        <is>
          <t>Standard</t>
        </is>
      </c>
      <c r="H245" s="63" t="n">
        <v>45372</v>
      </c>
      <c r="I245" s="64" t="n">
        <v>918</v>
      </c>
      <c r="J245" s="62" t="inlineStr">
        <is>
          <t>gross (price x shares)</t>
        </is>
      </c>
      <c r="K245" s="65" t="n"/>
      <c r="L245" s="65" t="n">
        <v>4.3</v>
      </c>
      <c r="M245" s="65" t="n">
        <v>4.08</v>
      </c>
      <c r="N245" s="62" t="inlineStr">
        <is>
          <t>N</t>
        </is>
      </c>
      <c r="O245" s="66" t="n">
        <v>94.90000000000001</v>
      </c>
      <c r="P245" s="66" t="n"/>
      <c r="Q245" s="67" t="n">
        <v>3672</v>
      </c>
      <c r="R245" s="62" t="inlineStr">
        <is>
          <t>derived:price x shares upon listing</t>
        </is>
      </c>
      <c r="S245" s="68" t="n">
        <v>9.789999999999999</v>
      </c>
      <c r="T245" s="69" t="n">
        <v>1.28</v>
      </c>
      <c r="U245" s="70" t="n">
        <v>45.58</v>
      </c>
      <c r="V245" s="66" t="n">
        <v>13.61</v>
      </c>
      <c r="W245" s="62" t="inlineStr">
        <is>
          <t>Harvest; Mega Dynamic Group Limited; Pioneer Top Holdings Limited; Shenyang Xinchang Grain Trade Co., Ltd</t>
        </is>
      </c>
      <c r="X245" s="62" t="inlineStr">
        <is>
          <t>harvest;mega;pioneer;shenyang</t>
        </is>
      </c>
      <c r="Y245" s="66" t="n">
        <v>10</v>
      </c>
      <c r="Z245" s="62" t="inlineStr">
        <is>
          <t>partial</t>
        </is>
      </c>
      <c r="AA245" s="71" t="n">
        <v>0.25</v>
      </c>
      <c r="AB245" s="72" t="n">
        <v>7.35</v>
      </c>
      <c r="AC245" s="72" t="n">
        <v>-6.61</v>
      </c>
      <c r="AD245" s="72" t="n">
        <v>-0</v>
      </c>
      <c r="AE245" s="72" t="n">
        <v>31.13</v>
      </c>
      <c r="AF245" s="72" t="n">
        <v>98.53</v>
      </c>
      <c r="AG245" s="72" t="n">
        <v>-0.25</v>
      </c>
      <c r="AH245" s="72" t="n">
        <v>30.8</v>
      </c>
      <c r="AI245" s="72" t="n">
        <v>98.03</v>
      </c>
      <c r="AJ245" s="72" t="n">
        <v>-0.77</v>
      </c>
      <c r="AK245" s="72" t="n">
        <v>25.83</v>
      </c>
      <c r="AL245" s="72" t="n">
        <v>89.27</v>
      </c>
      <c r="AM245" s="72" t="n">
        <v>27.29</v>
      </c>
      <c r="AN245" s="72" t="n">
        <v>5.3</v>
      </c>
      <c r="AO245" s="72" t="n">
        <v>3.51</v>
      </c>
      <c r="AP245" s="62" t="inlineStr">
        <is>
          <t>Hang Seng Commerce &amp; Industry sub-index</t>
        </is>
      </c>
      <c r="AQ245" s="72" t="n">
        <v>129.78</v>
      </c>
      <c r="AR245" s="63" t="inlineStr">
        <is>
          <t>2026-08-20</t>
        </is>
      </c>
      <c r="AS245" s="64" t="n">
        <v>5195</v>
      </c>
      <c r="AT245" s="67" t="n">
        <v>436.2</v>
      </c>
      <c r="AU245" s="62" t="inlineStr">
        <is>
          <t>Y</t>
        </is>
      </c>
      <c r="AV245" s="73" t="n">
        <v>8.4</v>
      </c>
      <c r="AW245" s="73" t="n"/>
      <c r="AX245" s="73" t="n">
        <v>19.8</v>
      </c>
      <c r="AY245" s="73" t="n">
        <v>0.7</v>
      </c>
      <c r="AZ245" s="74" t="inlineStr">
        <is>
          <t>N</t>
        </is>
      </c>
      <c r="BA245" s="75">
        <f>IF('BBG Verify'!K245="","not filed — run on terminal",'BBG Verify'!K245)</f>
        <v/>
      </c>
      <c r="BB245" s="62" t="inlineStr">
        <is>
          <t>N/A</t>
        </is>
      </c>
      <c r="BC245" s="62" t="inlineStr">
        <is>
          <t>N/A</t>
        </is>
      </c>
      <c r="BD245" s="62" t="inlineStr">
        <is>
          <t>N/A</t>
        </is>
      </c>
      <c r="BE245" s="62" t="inlineStr">
        <is>
          <t>N/A</t>
        </is>
      </c>
      <c r="BF245" s="62" t="inlineStr">
        <is>
          <t>N/A</t>
        </is>
      </c>
      <c r="BG245" s="74" t="inlineStr">
        <is>
          <t>GF Capital (Hong Kong) Limited</t>
        </is>
      </c>
      <c r="BH245" s="62" t="inlineStr">
        <is>
          <t>GF Capital (Hong Kong) Limited</t>
        </is>
      </c>
      <c r="BI245" s="62" t="inlineStr">
        <is>
          <t>GF Securities (Hong Kong) Brokerage Limited; CMB International Capital Limited; Essence International Securities (Hong Kong) Limited; China Merchants Securities (HK) Co., Limited; ABCI Capital Limited; China Everbright Securities (HK) Limited; Shenwan Hongyuan Securities (H.K.) Limited; Orient Securities (Hong Kong) Limited; Livermore Holdings Limited</t>
        </is>
      </c>
      <c r="BJ245" s="62" t="inlineStr">
        <is>
          <t>ABCI Securities Company Limited; China Everbright Securities (HK) Limited; CMB International Capital Limited; China Merchants Securities (HK) Company Limited; Essence International Securities (Hong Kong) Limited; GF Securities (Hong Kong) Brokerage Limited; Livermore Holdings Limited; Orient Securities (Hong Kong) Limited; Shenwan Hongyuan Securities (H.K.) Limited; Soochow Securities International Brokerage Limited</t>
        </is>
      </c>
      <c r="BK245" s="76">
        <f>HYPERLINK("https://www1.hkexnews.hk/listedco/listconews/sehk/2024/0313/2024031300019.pdf","prospectus")</f>
        <v/>
      </c>
      <c r="BL245" s="76">
        <f>HYPERLINK("https://www1.hkexnews.hk/listedco/listconews/sehk/2024/0320/2024032001597.pdf","allotment")</f>
        <v/>
      </c>
      <c r="BM245" s="76">
        <f>HYPERLINK("https://www1.hkexnews.hk/listedco/listconews/sehk/2024/0417/2024041701556.pdf","stabilisation")</f>
        <v/>
      </c>
      <c r="BN245" s="74" t="n"/>
      <c r="BO245" s="62" t="inlineStr">
        <is>
          <t>range low: cap-only pricing — the filing publishes a Maximum Offer Price and no indicative floor · A/H: no A-share listing</t>
        </is>
      </c>
    </row>
    <row r="246" ht="15" customHeight="1">
      <c r="A246" s="61" t="inlineStr">
        <is>
          <t>2536</t>
        </is>
      </c>
      <c r="B246" s="62" t="inlineStr">
        <is>
          <t>PALASINO</t>
        </is>
      </c>
      <c r="C246" s="62" t="inlineStr">
        <is>
          <t>百樂皇宮</t>
        </is>
      </c>
      <c r="D246" s="62" t="inlineStr">
        <is>
          <t>Consumer</t>
        </is>
      </c>
      <c r="E246" s="62" t="inlineStr">
        <is>
          <t>Consumer services / education</t>
        </is>
      </c>
      <c r="F246" s="62" t="inlineStr">
        <is>
          <t>Casinos &amp; Gaming</t>
        </is>
      </c>
      <c r="G246" s="62" t="inlineStr">
        <is>
          <t>Standard</t>
        </is>
      </c>
      <c r="H246" s="63" t="n">
        <v>45377</v>
      </c>
      <c r="I246" s="64" t="n"/>
      <c r="J246" s="62" t="n"/>
      <c r="K246" s="65" t="n"/>
      <c r="L246" s="65" t="n">
        <v>2.6</v>
      </c>
      <c r="M246" s="65" t="n">
        <v>2.6</v>
      </c>
      <c r="N246" s="62" t="inlineStr">
        <is>
          <t>Y</t>
        </is>
      </c>
      <c r="O246" s="66" t="n">
        <v>100</v>
      </c>
      <c r="P246" s="66" t="n"/>
      <c r="Q246" s="67" t="n">
        <v>2080</v>
      </c>
      <c r="R246" s="62" t="inlineStr">
        <is>
          <t>prospectus:stated market capitalisation</t>
        </is>
      </c>
      <c r="S246" s="68" t="n">
        <v>0.23</v>
      </c>
      <c r="T246" s="69" t="n">
        <v>1.29</v>
      </c>
      <c r="U246" s="70" t="n">
        <v>18.8</v>
      </c>
      <c r="V246" s="66" t="n"/>
      <c r="W246" s="62" t="inlineStr">
        <is>
          <t>XIANG SHANG GAMES CO., LTD</t>
        </is>
      </c>
      <c r="X246" s="62" t="inlineStr">
        <is>
          <t>xiang</t>
        </is>
      </c>
      <c r="Y246" s="66" t="n">
        <v>8.93</v>
      </c>
      <c r="Z246" s="62" t="inlineStr">
        <is>
          <t>partial</t>
        </is>
      </c>
      <c r="AA246" s="71" t="n">
        <v>15.38</v>
      </c>
      <c r="AB246" s="72" t="n">
        <v>5.77</v>
      </c>
      <c r="AC246" s="72" t="n">
        <v>9.09</v>
      </c>
      <c r="AD246" s="72" t="n">
        <v>111.54</v>
      </c>
      <c r="AE246" s="72" t="n">
        <v>111.92</v>
      </c>
      <c r="AF246" s="72" t="n">
        <v>129.62</v>
      </c>
      <c r="AG246" s="72" t="n">
        <v>83.34</v>
      </c>
      <c r="AH246" s="72" t="n">
        <v>83.67</v>
      </c>
      <c r="AI246" s="72" t="n">
        <v>99.01000000000001</v>
      </c>
      <c r="AJ246" s="72" t="n">
        <v>109.11</v>
      </c>
      <c r="AK246" s="72" t="n">
        <v>103.81</v>
      </c>
      <c r="AL246" s="72" t="n">
        <v>122.55</v>
      </c>
      <c r="AM246" s="72" t="n">
        <v>76.7</v>
      </c>
      <c r="AN246" s="72" t="n">
        <v>8.109999999999999</v>
      </c>
      <c r="AO246" s="72" t="n">
        <v>6.97</v>
      </c>
      <c r="AP246" s="62" t="inlineStr">
        <is>
          <t>Hang Seng Commerce &amp; Industry sub-index</t>
        </is>
      </c>
      <c r="AQ246" s="72" t="n">
        <v>-67.69</v>
      </c>
      <c r="AR246" s="63" t="inlineStr">
        <is>
          <t>2026-08-19</t>
        </is>
      </c>
      <c r="AS246" s="64" t="n">
        <v>529</v>
      </c>
      <c r="AT246" s="67" t="n">
        <v>44.2</v>
      </c>
      <c r="AU246" s="62" t="inlineStr">
        <is>
          <t>Y</t>
        </is>
      </c>
      <c r="AV246" s="73" t="n">
        <v>47.1</v>
      </c>
      <c r="AW246" s="73" t="n"/>
      <c r="AX246" s="73" t="n">
        <v>49</v>
      </c>
      <c r="AY246" s="73" t="n">
        <v>3.9</v>
      </c>
      <c r="AZ246" s="74" t="inlineStr">
        <is>
          <t>N</t>
        </is>
      </c>
      <c r="BA246" s="75">
        <f>IF('BBG Verify'!K246="","not filed — run on terminal",'BBG Verify'!K246)</f>
        <v/>
      </c>
      <c r="BB246" s="62" t="inlineStr">
        <is>
          <t>N/A</t>
        </is>
      </c>
      <c r="BC246" s="62" t="inlineStr">
        <is>
          <t>N/A</t>
        </is>
      </c>
      <c r="BD246" s="62" t="inlineStr">
        <is>
          <t>N/A</t>
        </is>
      </c>
      <c r="BE246" s="62" t="inlineStr">
        <is>
          <t>N/A</t>
        </is>
      </c>
      <c r="BF246" s="62" t="inlineStr">
        <is>
          <t>N/A</t>
        </is>
      </c>
      <c r="BG246" s="74" t="inlineStr">
        <is>
          <t>Guotai Junan Capital Limited</t>
        </is>
      </c>
      <c r="BH246" s="62" t="inlineStr">
        <is>
          <t>Guotai Junan Capital Limited</t>
        </is>
      </c>
      <c r="BI246" s="62" t="inlineStr">
        <is>
          <t>Guotai Junan Securities (Hong Kong) Limited; CMB International Capital Limited; Zhongtai International Securities Limited; UOB Kay Hian (Hong Kong) Limited; CCB International Capital Limited; Livermore Holdings Limited; Guosen Securities (HK) Capital Company Limited; Long Bridge HK Limited</t>
        </is>
      </c>
      <c r="BJ246" s="62" t="inlineStr">
        <is>
          <t>CCB International Capital Limited; CMB International Capital Limited; Guotai Junan Securities (Hong Kong) Limited; Guosen Securities (HK) Capital Company Limited; Long Bridge HK Limited; Livermore Holdings Limited; UOB Kay Hian (Hong Kong) Limited; Zhongtai International Securities Limited</t>
        </is>
      </c>
      <c r="BK246" s="76">
        <f>HYPERLINK("https://www1.hkexnews.hk/listedco/listconews/sehk/2024/0318/2024031800024.pdf","prospectus")</f>
        <v/>
      </c>
      <c r="BL246" s="76">
        <f>HYPERLINK("https://www1.hkexnews.hk/listedco/listconews/sehk/2024/0325/2024032501621.pdf","allotment")</f>
        <v/>
      </c>
      <c r="BM246" s="76">
        <f>HYPERLINK("https://www1.hkexnews.hk/listedco/listconews/sehk/2024/0422/2024042200005.pdf","stabilisation")</f>
        <v/>
      </c>
      <c r="BN246" s="74" t="n"/>
      <c r="BO246" s="62" t="inlineStr">
        <is>
          <t>range low: cap-only pricing — the filing publishes a Maximum Offer Price and no indicative floor · A/H: no A-share listing · deal size: no proceeds figure stated in any filing · size basis: no size, so no basis to describe</t>
        </is>
      </c>
    </row>
    <row r="247" ht="15" customHeight="1">
      <c r="A247" s="61" t="inlineStr">
        <is>
          <t>2497</t>
        </is>
      </c>
      <c r="B247" s="62" t="inlineStr">
        <is>
          <t>FUJING HOLDINGS</t>
        </is>
      </c>
      <c r="C247" s="62" t="inlineStr">
        <is>
          <t>富景中國控股</t>
        </is>
      </c>
      <c r="D247" s="62" t="inlineStr">
        <is>
          <t>Consumer</t>
        </is>
      </c>
      <c r="E247" s="62" t="inlineStr">
        <is>
          <t>Beverages / packaged food</t>
        </is>
      </c>
      <c r="F247" s="62" t="inlineStr">
        <is>
          <t>Agricultural Products</t>
        </is>
      </c>
      <c r="G247" s="62" t="inlineStr">
        <is>
          <t>Standard</t>
        </is>
      </c>
      <c r="H247" s="63" t="n">
        <v>45379</v>
      </c>
      <c r="I247" s="64" t="n">
        <v>108</v>
      </c>
      <c r="J247" s="62" t="inlineStr">
        <is>
          <t>gross (price x shares)</t>
        </is>
      </c>
      <c r="K247" s="65" t="n"/>
      <c r="L247" s="65" t="n">
        <v>1.28</v>
      </c>
      <c r="M247" s="65" t="n">
        <v>1.08</v>
      </c>
      <c r="N247" s="62" t="inlineStr">
        <is>
          <t>N</t>
        </is>
      </c>
      <c r="O247" s="66" t="n">
        <v>84.40000000000001</v>
      </c>
      <c r="P247" s="66" t="n"/>
      <c r="Q247" s="67" t="n">
        <v>540</v>
      </c>
      <c r="R247" s="62" t="inlineStr">
        <is>
          <t>derived:price x shares upon listing</t>
        </is>
      </c>
      <c r="S247" s="68" t="n">
        <v>294.13</v>
      </c>
      <c r="T247" s="69" t="n">
        <v>0.96</v>
      </c>
      <c r="U247" s="70" t="n">
        <v>0</v>
      </c>
      <c r="V247" s="66" t="n">
        <v>20</v>
      </c>
      <c r="W247" s="62" t="n"/>
      <c r="X247" s="62" t="n"/>
      <c r="Y247" s="66" t="n">
        <v>15</v>
      </c>
      <c r="Z247" s="62" t="inlineStr">
        <is>
          <t>lapsed (no over-allocation)</t>
        </is>
      </c>
      <c r="AA247" s="71" t="n">
        <v>37.04</v>
      </c>
      <c r="AB247" s="72" t="n">
        <v>97.22</v>
      </c>
      <c r="AC247" s="72" t="n">
        <v>-30.51</v>
      </c>
      <c r="AD247" s="72" t="n">
        <v>14.81</v>
      </c>
      <c r="AE247" s="72" t="n">
        <v>-3.7</v>
      </c>
      <c r="AF247" s="72" t="n">
        <v>-4.63</v>
      </c>
      <c r="AG247" s="72" t="n">
        <v>-16.22</v>
      </c>
      <c r="AH247" s="72" t="n">
        <v>-29.73</v>
      </c>
      <c r="AI247" s="72" t="n">
        <v>-30.41</v>
      </c>
      <c r="AJ247" s="72" t="n">
        <v>11.5</v>
      </c>
      <c r="AK247" s="72" t="n">
        <v>-15.03</v>
      </c>
      <c r="AL247" s="72" t="n">
        <v>-14.97</v>
      </c>
      <c r="AM247" s="72" t="n">
        <v>-39.21</v>
      </c>
      <c r="AN247" s="72" t="n">
        <v>11.33</v>
      </c>
      <c r="AO247" s="72" t="n">
        <v>9.48</v>
      </c>
      <c r="AP247" s="62" t="inlineStr">
        <is>
          <t>Hang Seng Commerce &amp; Industry sub-index</t>
        </is>
      </c>
      <c r="AQ247" s="72" t="n">
        <v>-40.74</v>
      </c>
      <c r="AR247" s="63" t="inlineStr">
        <is>
          <t>2026-08-20</t>
        </is>
      </c>
      <c r="AS247" s="64" t="n">
        <v>139.4</v>
      </c>
      <c r="AT247" s="67" t="n">
        <v>35</v>
      </c>
      <c r="AU247" s="62" t="inlineStr">
        <is>
          <t>Y</t>
        </is>
      </c>
      <c r="AV247" s="73" t="n">
        <v>15.4</v>
      </c>
      <c r="AW247" s="73" t="n"/>
      <c r="AX247" s="73" t="n">
        <v>4.2</v>
      </c>
      <c r="AY247" s="73" t="n">
        <v>3.9</v>
      </c>
      <c r="AZ247" s="74" t="inlineStr">
        <is>
          <t>N</t>
        </is>
      </c>
      <c r="BA247" s="75">
        <f>IF('BBG Verify'!K247="","not filed — run on terminal",'BBG Verify'!K247)</f>
        <v/>
      </c>
      <c r="BB247" s="62" t="inlineStr">
        <is>
          <t>N/A</t>
        </is>
      </c>
      <c r="BC247" s="62" t="inlineStr">
        <is>
          <t>N/A</t>
        </is>
      </c>
      <c r="BD247" s="62" t="inlineStr">
        <is>
          <t>N/A</t>
        </is>
      </c>
      <c r="BE247" s="62" t="inlineStr">
        <is>
          <t>N/A</t>
        </is>
      </c>
      <c r="BF247" s="62" t="inlineStr">
        <is>
          <t>N/A</t>
        </is>
      </c>
      <c r="BG247" s="74" t="inlineStr">
        <is>
          <t>Grande Capital Limited</t>
        </is>
      </c>
      <c r="BH247" s="62" t="inlineStr">
        <is>
          <t>Grande Capital Limited</t>
        </is>
      </c>
      <c r="BI247" s="62" t="inlineStr">
        <is>
          <t>CMBC Securities Company Limited; Grande Capital Limited; Cinda International Capital Limited; CCB International Capital Limited; Central, Hong Kong ICBC International Securities Limited; Central, Hong Kong Haitong International Securities Company Limited; China Galaxy International Securities (Hong Kong) Co., Limited; Central, Hong Kong Eddid Securities and Futures Limited; Central, Hong Kong Alliance Capital Partners Limited; Caitong International Securities Company Limited; Ruibang Securities Limited</t>
        </is>
      </c>
      <c r="BJ247" s="62" t="inlineStr">
        <is>
          <t>ABCI Securities Company Limited; Alliance Capital Partners Limited; BOCOM International Securities Limited; Caitong International Securities Company Limited; CCB International Capital Limited; China Galaxy International Securities (Hong Kong) Company Limited; Cinda International Capital Limited; CMBC Securities Company Limited; Eddid Securities and Futures Limited; Fosun International Securities Limited; Grande Capital Limited; Haitong International Securities Company Limited</t>
        </is>
      </c>
      <c r="BK247" s="76">
        <f>HYPERLINK("https://www1.hkexnews.hk/listedco/listconews/sehk/2024/0320/2024032000093.pdf","prospectus")</f>
        <v/>
      </c>
      <c r="BL247" s="76">
        <f>HYPERLINK("https://www1.hkexnews.hk/listedco/listconews/sehk/2024/0327/2024032702279.pdf","allotment")</f>
        <v/>
      </c>
      <c r="BM247" s="76">
        <f>HYPERLINK("https://www1.hkexnews.hk/listedco/listconews/sehk/2024/0424/2024042400463.pdf","stabilisation")</f>
        <v/>
      </c>
      <c r="BN247" s="74" t="n"/>
      <c r="BO247" s="62" t="inlineStr">
        <is>
          <t>range low: cap-only pricing — the filing publishes a Maximum Offer Price and no indicative floor · A/H: no A-share listing · cornerstone list: no cornerstone tranche in this deal</t>
        </is>
      </c>
    </row>
    <row r="248" ht="15" customHeight="1">
      <c r="A248" s="61" t="inlineStr">
        <is>
          <t>2598</t>
        </is>
      </c>
      <c r="B248" s="62" t="inlineStr">
        <is>
          <t>LIANLIAN</t>
        </is>
      </c>
      <c r="C248" s="62" t="inlineStr">
        <is>
          <t>連連數字</t>
        </is>
      </c>
      <c r="D248" s="62" t="inlineStr">
        <is>
          <t>Tech/AI</t>
        </is>
      </c>
      <c r="E248" s="62" t="inlineStr">
        <is>
          <t>Fintech platform</t>
        </is>
      </c>
      <c r="F248" s="62" t="inlineStr">
        <is>
          <t>e-Commerce &amp; Internet Services</t>
        </is>
      </c>
      <c r="G248" s="62" t="inlineStr">
        <is>
          <t>Standard</t>
        </is>
      </c>
      <c r="H248" s="63" t="n">
        <v>45379</v>
      </c>
      <c r="I248" s="64" t="n">
        <v>657.1</v>
      </c>
      <c r="J248" s="62" t="inlineStr">
        <is>
          <t>gross (price x shares)</t>
        </is>
      </c>
      <c r="K248" s="65" t="n">
        <v>10.21</v>
      </c>
      <c r="L248" s="65" t="n">
        <v>10.95</v>
      </c>
      <c r="M248" s="65" t="n">
        <v>10.22</v>
      </c>
      <c r="N248" s="62" t="inlineStr">
        <is>
          <t>N</t>
        </is>
      </c>
      <c r="O248" s="66" t="n">
        <v>93.3</v>
      </c>
      <c r="P248" s="66" t="n">
        <v>1.4</v>
      </c>
      <c r="Q248" s="67" t="n">
        <v>11028</v>
      </c>
      <c r="R248" s="62" t="inlineStr">
        <is>
          <t>derived:price x shares upon listing</t>
        </is>
      </c>
      <c r="S248" s="68" t="n">
        <v>16.94</v>
      </c>
      <c r="T248" s="69" t="n">
        <v>1.89</v>
      </c>
      <c r="U248" s="70" t="n">
        <v>63.89</v>
      </c>
      <c r="V248" s="66" t="n">
        <v>2.15</v>
      </c>
      <c r="W248" s="62" t="inlineStr">
        <is>
          <t>Hangzhou High-tech Venture Capital Co., Ltd</t>
        </is>
      </c>
      <c r="X248" s="62" t="inlineStr">
        <is>
          <t>hangzhou-high</t>
        </is>
      </c>
      <c r="Y248" s="66" t="n">
        <v>15</v>
      </c>
      <c r="Z248" s="62" t="inlineStr">
        <is>
          <t>lapsed</t>
        </is>
      </c>
      <c r="AA248" s="71" t="n">
        <v>-7.63</v>
      </c>
      <c r="AB248" s="72" t="n">
        <v>-4.11</v>
      </c>
      <c r="AC248" s="72" t="n">
        <v>-3.67</v>
      </c>
      <c r="AD248" s="72" t="n">
        <v>-4.79</v>
      </c>
      <c r="AE248" s="72" t="n">
        <v>-5.48</v>
      </c>
      <c r="AF248" s="72" t="n">
        <v>-7.05</v>
      </c>
      <c r="AG248" s="72" t="n">
        <v>3.07</v>
      </c>
      <c r="AH248" s="72" t="n">
        <v>2.33</v>
      </c>
      <c r="AI248" s="72" t="n">
        <v>0.63</v>
      </c>
      <c r="AJ248" s="72" t="n">
        <v>-7.49</v>
      </c>
      <c r="AK248" s="72" t="n">
        <v>-19.48</v>
      </c>
      <c r="AL248" s="72" t="n">
        <v>-14.86</v>
      </c>
      <c r="AM248" s="72" t="n">
        <v>-9.19</v>
      </c>
      <c r="AN248" s="72" t="n">
        <v>14</v>
      </c>
      <c r="AO248" s="72" t="n">
        <v>11.52</v>
      </c>
      <c r="AP248" s="62" t="inlineStr">
        <is>
          <t>HSTECH (Hang Seng TECH ETF)</t>
        </is>
      </c>
      <c r="AQ248" s="72" t="n">
        <v>-63.06</v>
      </c>
      <c r="AR248" s="63" t="inlineStr">
        <is>
          <t>2026-08-20</t>
        </is>
      </c>
      <c r="AS248" s="64" t="n">
        <v>817</v>
      </c>
      <c r="AT248" s="67" t="n">
        <v>-1008.6</v>
      </c>
      <c r="AU248" s="62" t="inlineStr">
        <is>
          <t>N</t>
        </is>
      </c>
      <c r="AV248" s="62" t="inlineStr">
        <is>
          <t>n/m</t>
        </is>
      </c>
      <c r="AW248" s="73" t="n"/>
      <c r="AX248" s="73" t="n">
        <v>2.2</v>
      </c>
      <c r="AY248" s="73" t="n">
        <v>13.5</v>
      </c>
      <c r="AZ248" s="74" t="inlineStr">
        <is>
          <t>N</t>
        </is>
      </c>
      <c r="BA248" s="75">
        <f>IF('BBG Verify'!K248="","not filed — run on terminal",'BBG Verify'!K248)</f>
        <v/>
      </c>
      <c r="BB248" s="62" t="inlineStr">
        <is>
          <t>N/A</t>
        </is>
      </c>
      <c r="BC248" s="62" t="inlineStr">
        <is>
          <t>N/A</t>
        </is>
      </c>
      <c r="BD248" s="62" t="inlineStr">
        <is>
          <t>N/A</t>
        </is>
      </c>
      <c r="BE248" s="62" t="inlineStr">
        <is>
          <t>N/A</t>
        </is>
      </c>
      <c r="BF248" s="62" t="inlineStr">
        <is>
          <t>N/A</t>
        </is>
      </c>
      <c r="BG248" s="74" t="inlineStr">
        <is>
          <t>China International Capital Corporation Hong Kong Securities Limited; J.P. Morgan Securities (Far East) Limited</t>
        </is>
      </c>
      <c r="BH248" s="62" t="inlineStr">
        <is>
          <t>China International Capital Corporation Hong Kong Securities Limited; J.P. Morgan Securities (Far East) Limited</t>
        </is>
      </c>
      <c r="BI248" s="62" t="inlineStr">
        <is>
          <t>China International Capital Corporation Hong Kong Securities Limited; J.P. Morgan Securities (Asia Pacific) Limited; BNP Paribas Securities (Asia) Limited; Deutsche Bank AG, Hong Kong Branch; ABCI Capital Limited; Caitong International Securities Company Limited; China Galaxy International Securities (Hong Kong) Co., Limited; Futu Securities International (Hong Kong) Limited; Guotai Junan Securities (Hong Kong) Limited; ICBC International Securities Limited; Tiger Brokers (HK) Global Limited; Zhongtai International Securities Limited</t>
        </is>
      </c>
      <c r="BJ248" s="62" t="inlineStr">
        <is>
          <t>ABCI Securities Company Limited; BNP Paribas Securities (Asia) Limited; Caitong International Securities Company Limited; China Galaxy International Securities (Hong Kong) Company Limited; China International Capital Corporation Hong Kong Securities Limited; Deutsche Bank AG, Hong Kong Branch; Futu Securities International (Hong Kong) Limited; GF Securities (Hong Kong) Brokerage Limited; Guotai Junan Securities (Hong Kong) Limited; ICBC International Securities Limited; J.P. Morgan Securities (Asia Pacific) Limited; Tiger Brokers (HK) Global Limited</t>
        </is>
      </c>
      <c r="BK248" s="76">
        <f>HYPERLINK("https://www1.hkexnews.hk/listedco/listconews/sehk/2024/0320/2024032000031.pdf","prospectus")</f>
        <v/>
      </c>
      <c r="BL248" s="76">
        <f>HYPERLINK("https://www1.hkexnews.hk/listedco/listconews/sehk/2024/0327/2024032703063.pdf","allotment")</f>
        <v/>
      </c>
      <c r="BM248" s="76">
        <f>HYPERLINK("https://www1.hkexnews.hk/listedco/listconews/sehk/2024/0424/2024042402304.pdf","stabilisation")</f>
        <v/>
      </c>
      <c r="BN248" s="74" t="n"/>
      <c r="BO248" s="62" t="inlineStr">
        <is>
          <t>P/E: n/m — loss-making at IPO (use P/S) · A/H: no A-share listing</t>
        </is>
      </c>
    </row>
    <row r="249" ht="15" customHeight="1">
      <c r="A249" s="61" t="inlineStr">
        <is>
          <t>2515</t>
        </is>
      </c>
      <c r="B249" s="62" t="inlineStr">
        <is>
          <t>TJCD</t>
        </is>
      </c>
      <c r="C249" s="62" t="inlineStr">
        <is>
          <t>天津建發</t>
        </is>
      </c>
      <c r="D249" s="62" t="inlineStr">
        <is>
          <t>Industrials</t>
        </is>
      </c>
      <c r="E249" s="62" t="inlineStr">
        <is>
          <t>Construction / engineering</t>
        </is>
      </c>
      <c r="F249" s="62" t="inlineStr">
        <is>
          <t>Construction &amp; Engineering</t>
        </is>
      </c>
      <c r="G249" s="62" t="inlineStr">
        <is>
          <t>Standard</t>
        </is>
      </c>
      <c r="H249" s="63" t="n">
        <v>45405</v>
      </c>
      <c r="I249" s="64" t="n">
        <v>134.88</v>
      </c>
      <c r="J249" s="62" t="inlineStr">
        <is>
          <t>gross (stated)</t>
        </is>
      </c>
      <c r="K249" s="65" t="n"/>
      <c r="L249" s="65" t="n">
        <v>2.9</v>
      </c>
      <c r="M249" s="65" t="n">
        <v>2.5</v>
      </c>
      <c r="N249" s="62" t="inlineStr">
        <is>
          <t>N</t>
        </is>
      </c>
      <c r="O249" s="66" t="n">
        <v>86.2</v>
      </c>
      <c r="P249" s="66" t="n"/>
      <c r="Q249" s="67" t="n">
        <v>539.5</v>
      </c>
      <c r="R249" s="62" t="inlineStr">
        <is>
          <t>derived:price x shares upon listing</t>
        </is>
      </c>
      <c r="S249" s="68" t="n">
        <v>433.06</v>
      </c>
      <c r="T249" s="69" t="n">
        <v>1.02</v>
      </c>
      <c r="U249" s="70" t="n"/>
      <c r="V249" s="66" t="n"/>
      <c r="W249" s="62" t="inlineStr">
        <is>
          <t>Ms. Dou</t>
        </is>
      </c>
      <c r="X249" s="62" t="inlineStr">
        <is>
          <t>ms-dou</t>
        </is>
      </c>
      <c r="Y249" s="66" t="n">
        <v>20</v>
      </c>
      <c r="Z249" s="62" t="inlineStr">
        <is>
          <t>lapsed (no over-allocation)</t>
        </is>
      </c>
      <c r="AA249" s="71" t="n">
        <v>-39.2</v>
      </c>
      <c r="AB249" s="72" t="n">
        <v>-24.8</v>
      </c>
      <c r="AC249" s="72" t="n">
        <v>-19.15</v>
      </c>
      <c r="AD249" s="72" t="n">
        <v>-39.2</v>
      </c>
      <c r="AE249" s="72" t="n">
        <v>-50</v>
      </c>
      <c r="AF249" s="72" t="n">
        <v>-52.4</v>
      </c>
      <c r="AG249" s="72" t="n">
        <v>0</v>
      </c>
      <c r="AH249" s="72" t="n">
        <v>-17.76</v>
      </c>
      <c r="AI249" s="72" t="n">
        <v>-21.71</v>
      </c>
      <c r="AJ249" s="72" t="n">
        <v>-46.29</v>
      </c>
      <c r="AK249" s="72" t="n">
        <v>-60.33</v>
      </c>
      <c r="AL249" s="72" t="n">
        <v>-54.33</v>
      </c>
      <c r="AM249" s="72" t="n">
        <v>-25.63</v>
      </c>
      <c r="AN249" s="72" t="n">
        <v>10.33</v>
      </c>
      <c r="AO249" s="72" t="n">
        <v>7.87</v>
      </c>
      <c r="AP249" s="62" t="inlineStr">
        <is>
          <t>Hang Seng Commerce &amp; Industry sub-index</t>
        </is>
      </c>
      <c r="AQ249" s="72" t="n">
        <v>-11.2</v>
      </c>
      <c r="AR249" s="63" t="inlineStr">
        <is>
          <t>2026-08-20</t>
        </is>
      </c>
      <c r="AS249" s="64" t="n">
        <v>351.4</v>
      </c>
      <c r="AT249" s="67" t="n">
        <v>45.6</v>
      </c>
      <c r="AU249" s="62" t="inlineStr">
        <is>
          <t>Y</t>
        </is>
      </c>
      <c r="AV249" s="73" t="n">
        <v>11.8</v>
      </c>
      <c r="AW249" s="73" t="n"/>
      <c r="AX249" s="73" t="n"/>
      <c r="AY249" s="73" t="n">
        <v>1.5</v>
      </c>
      <c r="AZ249" s="74" t="inlineStr">
        <is>
          <t>N</t>
        </is>
      </c>
      <c r="BA249" s="75">
        <f>IF('BBG Verify'!K249="","not filed — run on terminal",'BBG Verify'!K249)</f>
        <v/>
      </c>
      <c r="BB249" s="62" t="inlineStr">
        <is>
          <t>N/A</t>
        </is>
      </c>
      <c r="BC249" s="62" t="inlineStr">
        <is>
          <t>N/A</t>
        </is>
      </c>
      <c r="BD249" s="62" t="inlineStr">
        <is>
          <t>N/A</t>
        </is>
      </c>
      <c r="BE249" s="62" t="inlineStr">
        <is>
          <t>N/A</t>
        </is>
      </c>
      <c r="BF249" s="62" t="inlineStr">
        <is>
          <t>N/A</t>
        </is>
      </c>
      <c r="BG249" s="74" t="inlineStr">
        <is>
          <t>China Everbright Capital Limited</t>
        </is>
      </c>
      <c r="BH249" s="62" t="inlineStr">
        <is>
          <t>China Everbright Capital Limited</t>
        </is>
      </c>
      <c r="BI249" s="62" t="inlineStr">
        <is>
          <t>China Everbright Securities (HK) Limited; ABCI Capital Limited; Beta International Securities Limited; BOCOM International Securities Limited; CEB International Capital Corporation Limited; Citrus Securities Limited; CMBC Securities Company Limited; Fortune Origin Securities Limited; Grand China Securities Limited; Livermore Holdings Limited; Realord Asia Pacific Securities Limited; SPDB International Capital Limited</t>
        </is>
      </c>
      <c r="BJ249" s="62" t="inlineStr">
        <is>
          <t>ABCI Securities Company Limited; Beta International Securities Limited; BOCOM International Securities Limited; CCB International Capital Limited; CEB International Capital Corporation Limited; China Everbright Securities (HK) Limited; Citrus Securities Limited; CMBC Securities Company Limited; Fortune Origin Securities Limited; Grand China Securities Limited; Long Bridge HK Limited; Livermore Holdings Limited</t>
        </is>
      </c>
      <c r="BK249" s="76">
        <f>HYPERLINK("https://www1.hkexnews.hk/listedco/listconews/sehk/2024/0415/2024041500009.pdf","prospectus")</f>
        <v/>
      </c>
      <c r="BL249" s="76">
        <f>HYPERLINK("https://www1.hkexnews.hk/listedco/listconews/sehk/2024/0422/2024042201767.pdf","allotment")</f>
        <v/>
      </c>
      <c r="BM249" s="76">
        <f>HYPERLINK("https://www1.hkexnews.hk/listedco/listconews/sehk/2024/0520/2024052000007.pdf","stabilisation")</f>
        <v/>
      </c>
      <c r="BN249" s="74" t="n"/>
      <c r="BO249" s="62" t="inlineStr">
        <is>
          <t>range low: cap-only pricing — the filing publishes a Maximum Offer Price and no indicative floor · A/H: no A-share listing · cornerstone %: cornerstone aggregate not stated in the filing</t>
        </is>
      </c>
    </row>
    <row r="250" ht="15" customHeight="1">
      <c r="A250" s="61" t="inlineStr">
        <is>
          <t>2555</t>
        </is>
      </c>
      <c r="B250" s="62" t="inlineStr">
        <is>
          <t>CHABAIDAO</t>
        </is>
      </c>
      <c r="C250" s="62" t="inlineStr">
        <is>
          <t>茶百道</t>
        </is>
      </c>
      <c r="D250" s="62" t="inlineStr">
        <is>
          <t>Consumer</t>
        </is>
      </c>
      <c r="E250" s="62" t="inlineStr">
        <is>
          <t>F&amp;B chains / restaurants</t>
        </is>
      </c>
      <c r="F250" s="62" t="inlineStr">
        <is>
          <t>Beverages (Non-alcoholic)</t>
        </is>
      </c>
      <c r="G250" s="62" t="inlineStr">
        <is>
          <t>Standard</t>
        </is>
      </c>
      <c r="H250" s="63" t="n">
        <v>45405</v>
      </c>
      <c r="I250" s="64" t="n">
        <v>2585.86</v>
      </c>
      <c r="J250" s="62" t="inlineStr">
        <is>
          <t>gross (stated)</t>
        </is>
      </c>
      <c r="K250" s="65" t="n"/>
      <c r="L250" s="65" t="n">
        <v>17.5</v>
      </c>
      <c r="M250" s="65" t="n">
        <v>17.5</v>
      </c>
      <c r="N250" s="62" t="inlineStr">
        <is>
          <t>Y</t>
        </is>
      </c>
      <c r="O250" s="66" t="n">
        <v>100</v>
      </c>
      <c r="P250" s="66" t="n"/>
      <c r="Q250" s="67" t="n">
        <v>25860</v>
      </c>
      <c r="R250" s="62" t="inlineStr">
        <is>
          <t>prospectus:stated market capitalisation</t>
        </is>
      </c>
      <c r="S250" s="68" t="n">
        <v>0.5</v>
      </c>
      <c r="T250" s="69" t="n">
        <v>1.11</v>
      </c>
      <c r="U250" s="70" t="n">
        <v>0</v>
      </c>
      <c r="V250" s="66" t="n">
        <v>10</v>
      </c>
      <c r="W250" s="62" t="n"/>
      <c r="X250" s="62" t="n"/>
      <c r="Y250" s="66" t="n">
        <v>2.1</v>
      </c>
      <c r="Z250" s="62" t="inlineStr">
        <is>
          <t>lapsed</t>
        </is>
      </c>
      <c r="AA250" s="71" t="n">
        <v>-26.86</v>
      </c>
      <c r="AB250" s="72" t="n">
        <v>-10.06</v>
      </c>
      <c r="AC250" s="72" t="n">
        <v>-18.68</v>
      </c>
      <c r="AD250" s="72" t="n">
        <v>-34.63</v>
      </c>
      <c r="AE250" s="72" t="n">
        <v>-37.83</v>
      </c>
      <c r="AF250" s="72" t="n">
        <v>-48.06</v>
      </c>
      <c r="AG250" s="72" t="n">
        <v>-10.62</v>
      </c>
      <c r="AH250" s="72" t="n">
        <v>-15</v>
      </c>
      <c r="AI250" s="72" t="n">
        <v>-28.99</v>
      </c>
      <c r="AJ250" s="72" t="n">
        <v>-41.72</v>
      </c>
      <c r="AK250" s="72" t="n">
        <v>-48.16</v>
      </c>
      <c r="AL250" s="72" t="n">
        <v>-49.99</v>
      </c>
      <c r="AM250" s="72" t="n">
        <v>-22.87</v>
      </c>
      <c r="AN250" s="72" t="n">
        <v>10.33</v>
      </c>
      <c r="AO250" s="72" t="n">
        <v>7.87</v>
      </c>
      <c r="AP250" s="62" t="inlineStr">
        <is>
          <t>Hang Seng Commerce &amp; Industry sub-index</t>
        </is>
      </c>
      <c r="AQ250" s="72" t="n">
        <v>-72.83</v>
      </c>
      <c r="AR250" s="63" t="inlineStr">
        <is>
          <t>2026-08-20</t>
        </is>
      </c>
      <c r="AS250" s="64" t="n">
        <v>6274.7</v>
      </c>
      <c r="AT250" s="67" t="n">
        <v>1265.9</v>
      </c>
      <c r="AU250" s="62" t="inlineStr">
        <is>
          <t>Y</t>
        </is>
      </c>
      <c r="AV250" s="73" t="n">
        <v>20.4</v>
      </c>
      <c r="AW250" s="73" t="n"/>
      <c r="AX250" s="73" t="n">
        <v>7.5</v>
      </c>
      <c r="AY250" s="73" t="n">
        <v>4.1</v>
      </c>
      <c r="AZ250" s="74" t="inlineStr">
        <is>
          <t>N</t>
        </is>
      </c>
      <c r="BA250" s="75">
        <f>IF('BBG Verify'!K250="","not filed — run on terminal",'BBG Verify'!K250)</f>
        <v/>
      </c>
      <c r="BB250" s="62" t="inlineStr">
        <is>
          <t>N/A</t>
        </is>
      </c>
      <c r="BC250" s="62" t="inlineStr">
        <is>
          <t>N/A</t>
        </is>
      </c>
      <c r="BD250" s="62" t="inlineStr">
        <is>
          <t>N/A</t>
        </is>
      </c>
      <c r="BE250" s="62" t="inlineStr">
        <is>
          <t>N/A</t>
        </is>
      </c>
      <c r="BF250" s="62" t="inlineStr">
        <is>
          <t>N/A</t>
        </is>
      </c>
      <c r="BG250" s="74" t="n"/>
      <c r="BH250" s="62" t="inlineStr">
        <is>
          <t>China International Capital Corporation Hong Kong Securities Limited</t>
        </is>
      </c>
      <c r="BI250" s="62" t="inlineStr">
        <is>
          <t>China International Capital Corporation Hong Kong Securities Limited; Citigroup Global Markets Asia Limited; Citigroup Global Markets Limited; 9 2– CMB International Capital Limited; CCB International Capital Limited; Shenwan Hongyuan Securities (H.K.) Limited; China Merchants Securities (HK) Co., Limited; Futu Securities International (Hong Kong) Limited; Tiger Brokers (HK) Global Limited</t>
        </is>
      </c>
      <c r="BJ250" s="62" t="inlineStr">
        <is>
          <t>CCB International Capital Limited; Citigroup Global Markets Asia Limited; China International Capital Corporation Hong Kong Securities Limited; CMB International Capital Limited; China Merchants Securities (HK) Company Limited; Fosun International Securities Limited; Futu Securities International (Hong Kong) Limited; Maxa Capital Limited; Shenwan Hongyuan Securities (H.K.) Limited; Space Securities Limited; Tiger Brokers (HK) Global Limited</t>
        </is>
      </c>
      <c r="BK250" s="76">
        <f>HYPERLINK("https://www1.hkexnews.hk/listedco/listconews/sehk/2024/0415/2024041500022.pdf","prospectus")</f>
        <v/>
      </c>
      <c r="BL250" s="76">
        <f>HYPERLINK("https://www1.hkexnews.hk/listedco/listconews/sehk/2024/0422/2024042202135.pdf","allotment")</f>
        <v/>
      </c>
      <c r="BM250" s="76">
        <f>HYPERLINK("https://www1.hkexnews.hk/listedco/listconews/sehk/2024/0520/2024052000035.pdf","stabilisation")</f>
        <v/>
      </c>
      <c r="BN250" s="74" t="n"/>
      <c r="BO250" s="62" t="inlineStr">
        <is>
          <t>range low: cap-only pricing — the filing publishes a Maximum Offer Price and no indicative floor · A/H: no A-share listing · sponsor: English name not in the filing text; AAStocks 保薦人 shown · cornerstone list: no cornerstone tranche in this deal</t>
        </is>
      </c>
    </row>
    <row r="251" ht="15" customHeight="1">
      <c r="A251" s="61" t="inlineStr">
        <is>
          <t>2438</t>
        </is>
      </c>
      <c r="B251" s="62" t="inlineStr">
        <is>
          <t>MOBVOI</t>
        </is>
      </c>
      <c r="C251" s="62" t="inlineStr">
        <is>
          <t>出門問問</t>
        </is>
      </c>
      <c r="D251" s="62" t="inlineStr">
        <is>
          <t>Tech/AI</t>
        </is>
      </c>
      <c r="E251" s="62" t="inlineStr">
        <is>
          <t>AI application / agent software</t>
        </is>
      </c>
      <c r="F251" s="62" t="inlineStr">
        <is>
          <t>Application Software</t>
        </is>
      </c>
      <c r="G251" s="62" t="inlineStr">
        <is>
          <t>Standard</t>
        </is>
      </c>
      <c r="H251" s="63" t="n">
        <v>45406</v>
      </c>
      <c r="I251" s="64" t="n">
        <v>321.4</v>
      </c>
      <c r="J251" s="62" t="inlineStr">
        <is>
          <t>gross (price x shares)</t>
        </is>
      </c>
      <c r="K251" s="65" t="n">
        <v>3.7</v>
      </c>
      <c r="L251" s="65" t="n">
        <v>4.1</v>
      </c>
      <c r="M251" s="65" t="n">
        <v>3.8</v>
      </c>
      <c r="N251" s="62" t="inlineStr">
        <is>
          <t>N</t>
        </is>
      </c>
      <c r="O251" s="66" t="n">
        <v>92.7</v>
      </c>
      <c r="P251" s="66" t="n">
        <v>25</v>
      </c>
      <c r="Q251" s="67" t="n">
        <v>6113.9</v>
      </c>
      <c r="R251" s="62" t="inlineStr">
        <is>
          <t>aastocks:上市市值 at the struck price</t>
        </is>
      </c>
      <c r="S251" s="68" t="n">
        <v>117.39</v>
      </c>
      <c r="T251" s="69" t="n">
        <v>1.58</v>
      </c>
      <c r="U251" s="70" t="n">
        <v>40.6</v>
      </c>
      <c r="V251" s="66" t="n">
        <v>3.12</v>
      </c>
      <c r="W251" s="62" t="inlineStr">
        <is>
          <t>Nanjing Jingkai Juzhi Investment L.P; ZGC International Limited</t>
        </is>
      </c>
      <c r="X251" s="62" t="inlineStr">
        <is>
          <t>nanjing;zgc</t>
        </is>
      </c>
      <c r="Y251" s="66" t="n">
        <v>15</v>
      </c>
      <c r="Z251" s="62" t="inlineStr">
        <is>
          <t>partial</t>
        </is>
      </c>
      <c r="AA251" s="71" t="n">
        <v>-3.16</v>
      </c>
      <c r="AB251" s="72" t="n">
        <v>-21.58</v>
      </c>
      <c r="AC251" s="72" t="n">
        <v>23.49</v>
      </c>
      <c r="AD251" s="72" t="n">
        <v>1.32</v>
      </c>
      <c r="AE251" s="72" t="n">
        <v>-5.26</v>
      </c>
      <c r="AF251" s="72" t="n">
        <v>-69.73999999999999</v>
      </c>
      <c r="AG251" s="72" t="n">
        <v>4.63</v>
      </c>
      <c r="AH251" s="72" t="n">
        <v>-2.17</v>
      </c>
      <c r="AI251" s="72" t="n">
        <v>-68.75</v>
      </c>
      <c r="AJ251" s="72" t="n">
        <v>-10.99</v>
      </c>
      <c r="AK251" s="72" t="n">
        <v>-17.57</v>
      </c>
      <c r="AL251" s="72" t="n">
        <v>-69.92</v>
      </c>
      <c r="AM251" s="72" t="n">
        <v>-10.57</v>
      </c>
      <c r="AN251" s="72" t="n">
        <v>12.31</v>
      </c>
      <c r="AO251" s="72" t="n">
        <v>8.4</v>
      </c>
      <c r="AP251" s="62" t="inlineStr">
        <is>
          <t>HSTECH (Hang Seng TECH ETF)</t>
        </is>
      </c>
      <c r="AQ251" s="72" t="n">
        <v>-91.45</v>
      </c>
      <c r="AR251" s="63" t="inlineStr">
        <is>
          <t>2026-08-20</t>
        </is>
      </c>
      <c r="AS251" s="64" t="n">
        <v>557.8</v>
      </c>
      <c r="AT251" s="67" t="n">
        <v>-882.9</v>
      </c>
      <c r="AU251" s="62" t="inlineStr">
        <is>
          <t>N</t>
        </is>
      </c>
      <c r="AV251" s="62" t="inlineStr">
        <is>
          <t>n/m</t>
        </is>
      </c>
      <c r="AW251" s="73" t="n"/>
      <c r="AX251" s="73" t="n"/>
      <c r="AY251" s="73" t="n">
        <v>11</v>
      </c>
      <c r="AZ251" s="74" t="inlineStr">
        <is>
          <t>N</t>
        </is>
      </c>
      <c r="BA251" s="75">
        <f>IF('BBG Verify'!K251="","not filed — run on terminal",'BBG Verify'!K251)</f>
        <v/>
      </c>
      <c r="BB251" s="62" t="inlineStr">
        <is>
          <t>N/A</t>
        </is>
      </c>
      <c r="BC251" s="62" t="inlineStr">
        <is>
          <t>N/A</t>
        </is>
      </c>
      <c r="BD251" s="62" t="inlineStr">
        <is>
          <t>N/A</t>
        </is>
      </c>
      <c r="BE251" s="62" t="inlineStr">
        <is>
          <t>N/A</t>
        </is>
      </c>
      <c r="BF251" s="62" t="inlineStr">
        <is>
          <t>N/A</t>
        </is>
      </c>
      <c r="BG251" s="74" t="inlineStr">
        <is>
          <t>Central, Hong Kong CMB International Capital Limited</t>
        </is>
      </c>
      <c r="BH251" s="62" t="inlineStr">
        <is>
          <t>China International Capital Corporation Hong Kong Securities Limited; CMB International Capital Limited</t>
        </is>
      </c>
      <c r="BI251" s="62" t="inlineStr">
        <is>
          <t>China International Capital Corporation Hong Kong Securities Limited; Central, Hong Kong CMB International Capital Limited; Haitong International Securities Company Limited; Zhongtai International Securities Limited; ICBC International Securities Limited; Central, Hong Kong China Galaxy International Securities (Hong Kong) Co., Limited; CMBC Securities Company Limited; Central, Hong Kong SPDB International Capital Limited; BOCOM International Securities Limited; Tiger Brokers (HK) Global Limited; Sheung Wan, Hong Kong Livermore Holdings Limited</t>
        </is>
      </c>
      <c r="BJ251" s="62" t="inlineStr">
        <is>
          <t>BOCOM International Securities Limited; China Galaxy International Securities (Hong Kong) Company Limited; China International Capital Corporation Hong Kong Securities Limited; CMBC Securities Company Limited; CMB International Capital Limited; Futu Securities International (Hong Kong) Limited; Haitong International Securities Company Limited; ICBC International Securities Limited; Livermore Holdings Limited; Shenwan Hongyuan Securities (H.K.) Limited; SPDB International Capital Limited; Tiger Brokers (HK) Global Limited</t>
        </is>
      </c>
      <c r="BK251" s="76">
        <f>HYPERLINK("https://www1.hkexnews.hk/listedco/listconews/sehk/2024/0416/2024041600025.pdf","prospectus")</f>
        <v/>
      </c>
      <c r="BL251" s="76">
        <f>HYPERLINK("https://www1.hkexnews.hk/listedco/listconews/sehk/2024/0423/2024042301690.pdf","allotment")</f>
        <v/>
      </c>
      <c r="BM251" s="76">
        <f>HYPERLINK("https://www1.hkexnews.hk/listedco/listconews/sehk/2024/0519/2024051900005.pdf","stabilisation")</f>
        <v/>
      </c>
      <c r="BN251" s="74" t="n"/>
      <c r="BO251" s="62" t="inlineStr">
        <is>
          <t>P/E: n/m — loss-making at IPO (use P/S) · A/H: no A-share listing · market cap: estimate from deal size / offer % of enlarged capital disagreed with the published listing cap — published figure adopted</t>
        </is>
      </c>
    </row>
    <row r="252" ht="15" customHeight="1">
      <c r="A252" s="61" t="inlineStr">
        <is>
          <t>2556</t>
        </is>
      </c>
      <c r="B252" s="62" t="inlineStr">
        <is>
          <t>MARKETINGFORCE</t>
        </is>
      </c>
      <c r="C252" s="62" t="inlineStr">
        <is>
          <t>邁富時</t>
        </is>
      </c>
      <c r="D252" s="62" t="inlineStr">
        <is>
          <t>Tech/AI</t>
        </is>
      </c>
      <c r="E252" s="62" t="inlineStr">
        <is>
          <t>SaaS / enterprise software</t>
        </is>
      </c>
      <c r="F252" s="62" t="inlineStr">
        <is>
          <t>Application Software</t>
        </is>
      </c>
      <c r="G252" s="62" t="inlineStr">
        <is>
          <t>Standard</t>
        </is>
      </c>
      <c r="H252" s="63" t="n">
        <v>45428</v>
      </c>
      <c r="I252" s="64" t="n">
        <v>259.4</v>
      </c>
      <c r="J252" s="62" t="inlineStr">
        <is>
          <t>gross (price x shares)</t>
        </is>
      </c>
      <c r="K252" s="65" t="n">
        <v>42</v>
      </c>
      <c r="L252" s="65" t="n">
        <v>45</v>
      </c>
      <c r="M252" s="65" t="n">
        <v>43.6</v>
      </c>
      <c r="N252" s="62" t="inlineStr">
        <is>
          <t>N</t>
        </is>
      </c>
      <c r="O252" s="66" t="n">
        <v>96.90000000000001</v>
      </c>
      <c r="P252" s="66" t="n">
        <v>53.3</v>
      </c>
      <c r="Q252" s="67" t="n">
        <v>10253.2</v>
      </c>
      <c r="R252" s="62" t="inlineStr">
        <is>
          <t>derived:price x shares upon listing</t>
        </is>
      </c>
      <c r="S252" s="68" t="n">
        <v>5.95</v>
      </c>
      <c r="T252" s="69" t="n">
        <v>1.03</v>
      </c>
      <c r="U252" s="70" t="n">
        <v>17.3</v>
      </c>
      <c r="V252" s="66" t="n">
        <v>2.09</v>
      </c>
      <c r="W252" s="62" t="inlineStr">
        <is>
          <t>Barjai Trading Company Limited; VH Nanchang Donghu Asset Capital LPF</t>
        </is>
      </c>
      <c r="X252" s="62" t="inlineStr">
        <is>
          <t>barjai;vh</t>
        </is>
      </c>
      <c r="Y252" s="66" t="n"/>
      <c r="Z252" s="62" t="n"/>
      <c r="AA252" s="71" t="n">
        <v>18.46</v>
      </c>
      <c r="AB252" s="72" t="n">
        <v>3.21</v>
      </c>
      <c r="AC252" s="72" t="n">
        <v>14.78</v>
      </c>
      <c r="AD252" s="72" t="n">
        <v>40.02</v>
      </c>
      <c r="AE252" s="72" t="n">
        <v>90.25</v>
      </c>
      <c r="AF252" s="72" t="n">
        <v>125.34</v>
      </c>
      <c r="AG252" s="72" t="n">
        <v>18.2</v>
      </c>
      <c r="AH252" s="72" t="n">
        <v>60.6</v>
      </c>
      <c r="AI252" s="72" t="n">
        <v>90.22</v>
      </c>
      <c r="AJ252" s="72" t="n">
        <v>43.51</v>
      </c>
      <c r="AK252" s="72" t="n">
        <v>98.18000000000001</v>
      </c>
      <c r="AL252" s="72" t="n">
        <v>141.06</v>
      </c>
      <c r="AM252" s="72" t="n">
        <v>69.22</v>
      </c>
      <c r="AN252" s="72" t="n">
        <v>-7.93</v>
      </c>
      <c r="AO252" s="72" t="n">
        <v>-8.619999999999999</v>
      </c>
      <c r="AP252" s="62" t="inlineStr">
        <is>
          <t>HSTECH (Hang Seng TECH ETF)</t>
        </is>
      </c>
      <c r="AQ252" s="72" t="n">
        <v>16.63</v>
      </c>
      <c r="AR252" s="63" t="inlineStr">
        <is>
          <t>2026-08-21</t>
        </is>
      </c>
      <c r="AS252" s="64" t="n">
        <v>1355.3</v>
      </c>
      <c r="AT252" s="67" t="n">
        <v>-186.4</v>
      </c>
      <c r="AU252" s="62" t="inlineStr">
        <is>
          <t>N</t>
        </is>
      </c>
      <c r="AV252" s="62" t="inlineStr">
        <is>
          <t>n/m</t>
        </is>
      </c>
      <c r="AW252" s="73" t="n"/>
      <c r="AX252" s="73" t="n">
        <v>48.1</v>
      </c>
      <c r="AY252" s="73" t="n">
        <v>7.6</v>
      </c>
      <c r="AZ252" s="74" t="inlineStr">
        <is>
          <t>N</t>
        </is>
      </c>
      <c r="BA252" s="75">
        <f>IF('BBG Verify'!K252="","not filed — run on terminal",'BBG Verify'!K252)</f>
        <v/>
      </c>
      <c r="BB252" s="62" t="inlineStr">
        <is>
          <t>N/A</t>
        </is>
      </c>
      <c r="BC252" s="62" t="inlineStr">
        <is>
          <t>N/A</t>
        </is>
      </c>
      <c r="BD252" s="62" t="inlineStr">
        <is>
          <t>N/A</t>
        </is>
      </c>
      <c r="BE252" s="62" t="inlineStr">
        <is>
          <t>N/A</t>
        </is>
      </c>
      <c r="BF252" s="62" t="inlineStr">
        <is>
          <t>N/A</t>
        </is>
      </c>
      <c r="BG252" s="74" t="inlineStr">
        <is>
          <t>CCB International Capital Limited</t>
        </is>
      </c>
      <c r="BH252" s="62" t="inlineStr">
        <is>
          <t>CCB International Capital Limited; China International Capital Corporation (HK) Ltd</t>
        </is>
      </c>
      <c r="BI252" s="62" t="inlineStr">
        <is>
          <t>Beta International Securities Limited; CCB International Capital Limited; CEB International Capital Corporation Limited; China International Capital Corporation Hong Kong Securities Limited; Citrus Securities Limited; CMBC Securities Company Limited</t>
        </is>
      </c>
      <c r="BJ252" s="62" t="inlineStr">
        <is>
          <t>Beta International Securities Limited; CCB International Capital Limited; CEB International Capital Corporation Limited; China International Capital Corporation Hong Kong Securities Limited; Citrus Securities Limited; CMBC Securities Company Limited; CMB International Capital Limited; China Sunrise Securities (International) Limited; Futu Securities International (Hong Kong) Limited; Haitong International Securities Company Limited; ICBC International Securities Limited; Livermore Holdings Limited</t>
        </is>
      </c>
      <c r="BK252" s="76">
        <f>HYPERLINK("https://www1.hkexnews.hk/listedco/listconews/sehk/2024/0507/2024050700011.pdf","prospectus")</f>
        <v/>
      </c>
      <c r="BL252" s="76">
        <f>HYPERLINK("https://www1.hkexnews.hk/listedco/listconews/sehk/2024/0514/2024051401235.pdf","allotment")</f>
        <v/>
      </c>
      <c r="BM252" s="62" t="n"/>
      <c r="BN252" s="74" t="n"/>
      <c r="BO252" s="62" t="inlineStr">
        <is>
          <t>P/E: n/m — loss-making at IPO (use P/S) · greenshoe: no over-allotment option in the offer structure · A/H: no A-share listing · greenshoe size: no over-allotment option in the offer structure</t>
        </is>
      </c>
    </row>
    <row r="253" ht="15" customHeight="1">
      <c r="A253" s="61" t="inlineStr">
        <is>
          <t>2529</t>
        </is>
      </c>
      <c r="B253" s="62" t="inlineStr">
        <is>
          <t>HOLLWIN URBAN</t>
        </is>
      </c>
      <c r="C253" s="62" t="inlineStr">
        <is>
          <t>泓盈城市服務</t>
        </is>
      </c>
      <c r="D253" s="62" t="inlineStr">
        <is>
          <t>Real Estate</t>
        </is>
      </c>
      <c r="E253" s="62" t="inlineStr">
        <is>
          <t>Property management</t>
        </is>
      </c>
      <c r="F253" s="62" t="inlineStr">
        <is>
          <t>Property Service and Management</t>
        </is>
      </c>
      <c r="G253" s="62" t="inlineStr">
        <is>
          <t>Standard</t>
        </is>
      </c>
      <c r="H253" s="63" t="n">
        <v>45429</v>
      </c>
      <c r="I253" s="64" t="n">
        <v>128</v>
      </c>
      <c r="J253" s="62" t="inlineStr">
        <is>
          <t>gross (price x shares)</t>
        </is>
      </c>
      <c r="K253" s="65" t="n"/>
      <c r="L253" s="65" t="n">
        <v>3.6</v>
      </c>
      <c r="M253" s="65" t="n">
        <v>3.2</v>
      </c>
      <c r="N253" s="62" t="inlineStr">
        <is>
          <t>N</t>
        </is>
      </c>
      <c r="O253" s="66" t="n">
        <v>88.90000000000001</v>
      </c>
      <c r="P253" s="66" t="n"/>
      <c r="Q253" s="67" t="n">
        <v>512</v>
      </c>
      <c r="R253" s="62" t="inlineStr">
        <is>
          <t>derived:price x shares upon listing</t>
        </is>
      </c>
      <c r="S253" s="68" t="n">
        <v>47.59</v>
      </c>
      <c r="T253" s="69" t="n">
        <v>1.2</v>
      </c>
      <c r="U253" s="70" t="n">
        <v>52.34</v>
      </c>
      <c r="V253" s="66" t="n">
        <v>11.91</v>
      </c>
      <c r="W253" s="62" t="inlineStr">
        <is>
          <t>HONGKONG JIAGANG TRADING LIMITED; LENS TECHNOLOGY (HK) CO., LIMITED; Leyard (HongKong) Co., Limited; Sanan International Holding Co., Limited; Xiangzheng Capital Limited</t>
        </is>
      </c>
      <c r="X253" s="62" t="inlineStr">
        <is>
          <t>hongkong;lens;leyard;sanan;xiangzheng</t>
        </is>
      </c>
      <c r="Y253" s="66" t="n"/>
      <c r="Z253" s="62" t="n"/>
      <c r="AA253" s="71" t="n">
        <v>0.31</v>
      </c>
      <c r="AB253" s="72" t="n">
        <v>8.119999999999999</v>
      </c>
      <c r="AC253" s="72" t="n">
        <v>-7.22</v>
      </c>
      <c r="AD253" s="72" t="n">
        <v>-19.38</v>
      </c>
      <c r="AE253" s="72" t="n">
        <v>-7.81</v>
      </c>
      <c r="AF253" s="72" t="n">
        <v>-12.5</v>
      </c>
      <c r="AG253" s="72" t="n">
        <v>-19.63</v>
      </c>
      <c r="AH253" s="72" t="n">
        <v>-8.09</v>
      </c>
      <c r="AI253" s="72" t="n">
        <v>-12.77</v>
      </c>
      <c r="AJ253" s="72" t="n">
        <v>-15.31</v>
      </c>
      <c r="AK253" s="72" t="n">
        <v>6.84</v>
      </c>
      <c r="AL253" s="72" t="n">
        <v>5.33</v>
      </c>
      <c r="AM253" s="72" t="n">
        <v>8.66</v>
      </c>
      <c r="AN253" s="72" t="n">
        <v>-14.65</v>
      </c>
      <c r="AO253" s="72" t="n">
        <v>-16.75</v>
      </c>
      <c r="AP253" s="62" t="inlineStr">
        <is>
          <t>Hang Seng Properties sub-index</t>
        </is>
      </c>
      <c r="AQ253" s="72" t="n">
        <v>-12.5</v>
      </c>
      <c r="AR253" s="63" t="inlineStr">
        <is>
          <t>2026-08-19</t>
        </is>
      </c>
      <c r="AS253" s="64" t="n">
        <v>717.1</v>
      </c>
      <c r="AT253" s="67" t="n">
        <v>77.2</v>
      </c>
      <c r="AU253" s="62" t="inlineStr">
        <is>
          <t>Y</t>
        </is>
      </c>
      <c r="AV253" s="73" t="n">
        <v>6.6</v>
      </c>
      <c r="AW253" s="73" t="n"/>
      <c r="AX253" s="73" t="n">
        <v>5.2</v>
      </c>
      <c r="AY253" s="73" t="n">
        <v>0.7</v>
      </c>
      <c r="AZ253" s="74" t="inlineStr">
        <is>
          <t>N</t>
        </is>
      </c>
      <c r="BA253" s="75">
        <f>IF('BBG Verify'!K253="","not filed — run on terminal",'BBG Verify'!K253)</f>
        <v/>
      </c>
      <c r="BB253" s="62" t="inlineStr">
        <is>
          <t>N/A</t>
        </is>
      </c>
      <c r="BC253" s="62" t="inlineStr">
        <is>
          <t>N/A</t>
        </is>
      </c>
      <c r="BD253" s="62" t="inlineStr">
        <is>
          <t>N/A</t>
        </is>
      </c>
      <c r="BE253" s="62" t="inlineStr">
        <is>
          <t>N/A</t>
        </is>
      </c>
      <c r="BF253" s="62" t="inlineStr">
        <is>
          <t>N/A</t>
        </is>
      </c>
      <c r="BG253" s="74" t="n"/>
      <c r="BH253" s="62" t="inlineStr">
        <is>
          <t>China International Capital Corporation Hong Kong Securities Limited</t>
        </is>
      </c>
      <c r="BI253" s="62" t="inlineStr">
        <is>
          <t>China International Capital Corporation Hong Kong Securities Limited; ABCI Capital Limited; CEB International Capital Corporation Limited; China Sunrise Securities (International) Limited; CMBC Securities Company Limited; CMB International Capital Limited; ICBC International Securities Limited; Livermore Holdings Limited; UOB Kay Hian (Hong Kong) Limited; Zhongtai International Securities Limited</t>
        </is>
      </c>
      <c r="BJ253" s="62" t="inlineStr">
        <is>
          <t>ABCI Securities Company Limited; CEB International Capital Corporation Limited; China International Capital Corporation Hong Kong Securities Limited; Cinda International Capital Limited; CMBC Securities Company Limited; CMB International Capital Limited; China Sunrise Securities (International) Limited; ICBC International Securities Limited; Livermore Holdings Limited; UOB Kay Hian (Hong Kong) Limited; Zhongtai International Securities Limited</t>
        </is>
      </c>
      <c r="BK253" s="76">
        <f>HYPERLINK("https://www1.hkexnews.hk/listedco/listconews/sehk/2024/0508/2024050800029.pdf","prospectus")</f>
        <v/>
      </c>
      <c r="BL253" s="76">
        <f>HYPERLINK("https://www1.hkexnews.hk/listedco/listconews/sehk/2024/0516/2024051601339.pdf","allotment")</f>
        <v/>
      </c>
      <c r="BM253" s="62" t="n"/>
      <c r="BN253" s="74" t="n"/>
      <c r="BO253" s="62" t="inlineStr">
        <is>
          <t>greenshoe: no over-allotment option in the offer structure · range low: cap-only pricing — the filing publishes a Maximum Offer Price and no indicative floor · A/H: no A-share listing · sponsor: English name not in the filing text; AAStocks 保薦人 shown · greenshoe size: no over-allotment option in the offer structure</t>
        </is>
      </c>
    </row>
    <row r="254" ht="15" customHeight="1">
      <c r="A254" s="61" t="inlineStr">
        <is>
          <t>2898</t>
        </is>
      </c>
      <c r="B254" s="62" t="inlineStr">
        <is>
          <t>SUNHO BIO-B</t>
        </is>
      </c>
      <c r="C254" s="62" t="inlineStr">
        <is>
          <t>盛禾生物－Ｂ</t>
        </is>
      </c>
      <c r="D254" s="62" t="inlineStr">
        <is>
          <t>Healthcare</t>
        </is>
      </c>
      <c r="E254" s="62" t="inlineStr">
        <is>
          <t>Biotech pre-revenue (18A)</t>
        </is>
      </c>
      <c r="F254" s="62" t="inlineStr">
        <is>
          <t>Biotechnology - Pharmaceuticals</t>
        </is>
      </c>
      <c r="G254" s="62" t="inlineStr">
        <is>
          <t>18A</t>
        </is>
      </c>
      <c r="H254" s="63" t="n">
        <v>45436</v>
      </c>
      <c r="I254" s="64" t="n">
        <v>461</v>
      </c>
      <c r="J254" s="62" t="inlineStr">
        <is>
          <t>gross (price x shares)</t>
        </is>
      </c>
      <c r="K254" s="65" t="n"/>
      <c r="L254" s="65" t="n">
        <v>13.5</v>
      </c>
      <c r="M254" s="65" t="n">
        <v>13.5</v>
      </c>
      <c r="N254" s="62" t="inlineStr">
        <is>
          <t>Y</t>
        </is>
      </c>
      <c r="O254" s="66" t="n">
        <v>100</v>
      </c>
      <c r="P254" s="66" t="n"/>
      <c r="Q254" s="67" t="n">
        <v>2115</v>
      </c>
      <c r="R254" s="62" t="inlineStr">
        <is>
          <t>derived:price x shares upon listing</t>
        </is>
      </c>
      <c r="S254" s="68" t="n">
        <v>10.08</v>
      </c>
      <c r="T254" s="69" t="n">
        <v>1.27</v>
      </c>
      <c r="U254" s="70" t="n">
        <v>9.07</v>
      </c>
      <c r="V254" s="66" t="n">
        <v>19.82</v>
      </c>
      <c r="W254" s="62" t="inlineStr">
        <is>
          <t>No5XJR Limited</t>
        </is>
      </c>
      <c r="X254" s="62" t="inlineStr">
        <is>
          <t>no5xjr</t>
        </is>
      </c>
      <c r="Y254" s="66" t="n"/>
      <c r="Z254" s="62" t="n"/>
      <c r="AA254" s="71" t="n">
        <v>7.56</v>
      </c>
      <c r="AB254" s="72" t="n">
        <v>7.11</v>
      </c>
      <c r="AC254" s="72" t="n">
        <v>0.42</v>
      </c>
      <c r="AD254" s="72" t="n">
        <v>-47.41</v>
      </c>
      <c r="AE254" s="72" t="n">
        <v>-60</v>
      </c>
      <c r="AF254" s="72" t="n">
        <v>-49.63</v>
      </c>
      <c r="AG254" s="72" t="n">
        <v>-51.11</v>
      </c>
      <c r="AH254" s="72" t="n">
        <v>-62.81</v>
      </c>
      <c r="AI254" s="72" t="n">
        <v>-53.17</v>
      </c>
      <c r="AJ254" s="72" t="n">
        <v>-44.39</v>
      </c>
      <c r="AK254" s="72" t="n">
        <v>-53.58</v>
      </c>
      <c r="AL254" s="72" t="n">
        <v>-40.04</v>
      </c>
      <c r="AM254" s="72" t="n">
        <v>-58.92</v>
      </c>
      <c r="AN254" s="72" t="n">
        <v>-6.42</v>
      </c>
      <c r="AO254" s="72" t="n">
        <v>-3.89</v>
      </c>
      <c r="AP254" s="62" t="inlineStr">
        <is>
          <t>China Biotech ETF (HS biotech proxy)</t>
        </is>
      </c>
      <c r="AQ254" s="72" t="n">
        <v>-52.67</v>
      </c>
      <c r="AR254" s="63" t="inlineStr">
        <is>
          <t>2026-08-19</t>
        </is>
      </c>
      <c r="AS254" s="64" t="n">
        <v>0.5</v>
      </c>
      <c r="AT254" s="67" t="n">
        <v>0</v>
      </c>
      <c r="AU254" s="62" t="inlineStr">
        <is>
          <t>N</t>
        </is>
      </c>
      <c r="AV254" s="62" t="inlineStr">
        <is>
          <t>n/m</t>
        </is>
      </c>
      <c r="AW254" s="73" t="n"/>
      <c r="AX254" s="73" t="n"/>
      <c r="AY254" s="73" t="n">
        <v>4230</v>
      </c>
      <c r="AZ254" s="74" t="inlineStr">
        <is>
          <t>N</t>
        </is>
      </c>
      <c r="BA254" s="75">
        <f>IF('BBG Verify'!K254="","not filed — run on terminal",'BBG Verify'!K254)</f>
        <v/>
      </c>
      <c r="BB254" s="62" t="inlineStr">
        <is>
          <t>N/A</t>
        </is>
      </c>
      <c r="BC254" s="62" t="inlineStr">
        <is>
          <t>N/A</t>
        </is>
      </c>
      <c r="BD254" s="62" t="inlineStr">
        <is>
          <t>N/A</t>
        </is>
      </c>
      <c r="BE254" s="62" t="inlineStr">
        <is>
          <t>N/A</t>
        </is>
      </c>
      <c r="BF254" s="62" t="inlineStr">
        <is>
          <t>N/A</t>
        </is>
      </c>
      <c r="BG254" s="74" t="n"/>
      <c r="BH254" s="62" t="inlineStr">
        <is>
          <t>China International Capital Corporation Hong Kong Securities Limited</t>
        </is>
      </c>
      <c r="BI254" s="62" t="inlineStr">
        <is>
          <t>China International Capital Corporation Hong Kong Securities Limited; China Galaxy International Securities (Hong Kong) Co., Limited; CMB International Capital Limited; Zhongtai International Securities Limited</t>
        </is>
      </c>
      <c r="BJ254" s="62" t="inlineStr">
        <is>
          <t>ABCI Securities Company Limited; China Galaxy International Securities (Hong Kong) Company Limited; China International Capital Corporation Hong Kong Securities Limited; Citrus Securities Limited; CMB International Capital Corporation Limited; Futu Securities International (Hong Kong) Limited; Grand China Securities Limited; ICBC International Securities Limited; Tiger Brokers (HK) Global Limited; Victory Securities Company Limited; Zhongtai International Securities Limited</t>
        </is>
      </c>
      <c r="BK254" s="76">
        <f>HYPERLINK("https://www1.hkexnews.hk/listedco/listconews/sehk/2024/0516/2024051600013.pdf","prospectus")</f>
        <v/>
      </c>
      <c r="BL254" s="76">
        <f>HYPERLINK("https://www1.hkexnews.hk/listedco/listconews/sehk/2024/0523/2024052301621.pdf","allotment")</f>
        <v/>
      </c>
      <c r="BM254" s="62" t="n"/>
      <c r="BN254" s="74" t="n"/>
      <c r="BO254" s="62" t="inlineStr">
        <is>
          <t>P/E: n/m — loss-making at IPO (use P/S) · greenshoe: no over-allotment option in the offer structure · range low: cap-only pricing — the filing publishes a Maximum Offer Price and no indicative floor · A/H: no A-share listing · sponsor: English name not in the filing text; AAStocks 保薦人 shown · greenshoe size: no over-allotment option in the offer structure · P/S: 4,230x on HK$0.5m revenue — effectively pre-revenue; the multiple is shown for completeness, not comparability</t>
        </is>
      </c>
    </row>
    <row r="255" ht="15" customHeight="1">
      <c r="A255" s="61" t="inlineStr">
        <is>
          <t>0917</t>
        </is>
      </c>
      <c r="B255" s="62" t="inlineStr">
        <is>
          <t>QUNABOX GROUP</t>
        </is>
      </c>
      <c r="C255" s="62" t="inlineStr">
        <is>
          <t>趣致集團</t>
        </is>
      </c>
      <c r="D255" s="62" t="inlineStr">
        <is>
          <t>TMT-other</t>
        </is>
      </c>
      <c r="E255" s="62" t="inlineStr">
        <is>
          <t>Media / advertising</t>
        </is>
      </c>
      <c r="F255" s="62" t="inlineStr">
        <is>
          <t>Advertising</t>
        </is>
      </c>
      <c r="G255" s="62" t="inlineStr">
        <is>
          <t>Standard</t>
        </is>
      </c>
      <c r="H255" s="63" t="n">
        <v>45439</v>
      </c>
      <c r="I255" s="64" t="n">
        <v>492.6</v>
      </c>
      <c r="J255" s="62" t="inlineStr">
        <is>
          <t>gross (stated)</t>
        </is>
      </c>
      <c r="K255" s="65" t="n">
        <v>25</v>
      </c>
      <c r="L255" s="65" t="n">
        <v>29.7</v>
      </c>
      <c r="M255" s="65" t="n">
        <v>25</v>
      </c>
      <c r="N255" s="62" t="inlineStr">
        <is>
          <t>N</t>
        </is>
      </c>
      <c r="O255" s="66" t="n">
        <v>84.2</v>
      </c>
      <c r="P255" s="66" t="n">
        <v>0</v>
      </c>
      <c r="Q255" s="67" t="n">
        <v>6567.6</v>
      </c>
      <c r="R255" s="62" t="inlineStr">
        <is>
          <t>derived:price x shares upon listing</t>
        </is>
      </c>
      <c r="S255" s="68" t="n">
        <v>12.05</v>
      </c>
      <c r="T255" s="69" t="n">
        <v>1.11</v>
      </c>
      <c r="U255" s="70" t="n">
        <v>20</v>
      </c>
      <c r="V255" s="66" t="n">
        <v>6</v>
      </c>
      <c r="W255" s="62" t="inlineStr">
        <is>
          <t>Golden Future LPF</t>
        </is>
      </c>
      <c r="X255" s="62" t="inlineStr">
        <is>
          <t>golden-future</t>
        </is>
      </c>
      <c r="Y255" s="66" t="n"/>
      <c r="Z255" s="62" t="n"/>
      <c r="AA255" s="71" t="n">
        <v>40</v>
      </c>
      <c r="AB255" s="72" t="n">
        <v>32</v>
      </c>
      <c r="AC255" s="72" t="n">
        <v>6.06</v>
      </c>
      <c r="AD255" s="72" t="n">
        <v>58.8</v>
      </c>
      <c r="AE255" s="72" t="n">
        <v>110.6</v>
      </c>
      <c r="AF255" s="72" t="n">
        <v>105.8</v>
      </c>
      <c r="AG255" s="72" t="n">
        <v>13.43</v>
      </c>
      <c r="AH255" s="72" t="n">
        <v>50.43</v>
      </c>
      <c r="AI255" s="72" t="n">
        <v>47</v>
      </c>
      <c r="AJ255" s="72" t="n">
        <v>59.91</v>
      </c>
      <c r="AK255" s="72" t="n">
        <v>113.39</v>
      </c>
      <c r="AL255" s="72" t="n">
        <v>110.15</v>
      </c>
      <c r="AM255" s="72" t="n">
        <v>54.34</v>
      </c>
      <c r="AN255" s="72" t="n">
        <v>-2.79</v>
      </c>
      <c r="AO255" s="72" t="n">
        <v>-3.91</v>
      </c>
      <c r="AP255" s="62" t="inlineStr">
        <is>
          <t>Hang Seng Index</t>
        </is>
      </c>
      <c r="AQ255" s="72" t="n">
        <v>-62.36</v>
      </c>
      <c r="AR255" s="63" t="inlineStr">
        <is>
          <t>2026-08-24</t>
        </is>
      </c>
      <c r="AS255" s="64" t="n">
        <v>1107.4</v>
      </c>
      <c r="AT255" s="67" t="n">
        <v>150.4</v>
      </c>
      <c r="AU255" s="62" t="inlineStr">
        <is>
          <t>Y</t>
        </is>
      </c>
      <c r="AV255" s="73" t="n">
        <v>43.7</v>
      </c>
      <c r="AW255" s="73" t="n"/>
      <c r="AX255" s="73" t="n"/>
      <c r="AY255" s="73" t="n">
        <v>5.9</v>
      </c>
      <c r="AZ255" s="74" t="inlineStr">
        <is>
          <t>N</t>
        </is>
      </c>
      <c r="BA255" s="75">
        <f>IF('BBG Verify'!K255="","not filed — run on terminal",'BBG Verify'!K255)</f>
        <v/>
      </c>
      <c r="BB255" s="62" t="inlineStr">
        <is>
          <t>N/A</t>
        </is>
      </c>
      <c r="BC255" s="62" t="inlineStr">
        <is>
          <t>N/A</t>
        </is>
      </c>
      <c r="BD255" s="62" t="inlineStr">
        <is>
          <t>N/A</t>
        </is>
      </c>
      <c r="BE255" s="62" t="inlineStr">
        <is>
          <t>N/A</t>
        </is>
      </c>
      <c r="BF255" s="62" t="inlineStr">
        <is>
          <t>N/A</t>
        </is>
      </c>
      <c r="BG255" s="74" t="inlineStr">
        <is>
          <t>Haitong International Capital Limited</t>
        </is>
      </c>
      <c r="BH255" s="62" t="inlineStr">
        <is>
          <t>Haitong International Capital Limited</t>
        </is>
      </c>
      <c r="BI255" s="62" t="inlineStr">
        <is>
          <t>Haitong International Securities Company Limited; Zhongtai International Securities Limited; CCB International Capital Limited; ABCI Capital Limited; SPDB International Capital Limited; BOCOM International Securities Limited; Quam Securities Limited</t>
        </is>
      </c>
      <c r="BJ255" s="62" t="inlineStr">
        <is>
          <t>ABCI Securities Company Limited; BOCOM International Securities Limited; CCB International Capital Limited; Fosun International Securities Limited; Futu Securities International (Hong Kong) Limited; Haitong International Securities Company Limited; Livermore Holdings Limited; Quam Securities Limited; SPDB International Capital Limited; Zhongtai International Securities Limited</t>
        </is>
      </c>
      <c r="BK255" s="76">
        <f>HYPERLINK("https://www1.hkexnews.hk/listedco/listconews/sehk/2024/0517/2024051700009.pdf","prospectus")</f>
        <v/>
      </c>
      <c r="BL255" s="76">
        <f>HYPERLINK("https://www1.hkexnews.hk/listedco/listconews/sehk/2024/0524/2024052401848.pdf","allotment")</f>
        <v/>
      </c>
      <c r="BM255" s="62" t="n"/>
      <c r="BN255" s="74" t="n"/>
      <c r="BO255" s="62" t="inlineStr">
        <is>
          <t>greenshoe: no over-allotment option in the offer structure · A/H: no A-share listing · greenshoe size: no over-allotment option in the offer structure</t>
        </is>
      </c>
    </row>
    <row r="256" ht="15" customHeight="1">
      <c r="A256" s="61" t="inlineStr">
        <is>
          <t>2505</t>
        </is>
      </c>
      <c r="B256" s="62" t="inlineStr">
        <is>
          <t>EDA GROUP HLDGS</t>
        </is>
      </c>
      <c r="C256" s="62" t="inlineStr">
        <is>
          <t>ＥＤＡ集團控股</t>
        </is>
      </c>
      <c r="D256" s="62" t="inlineStr">
        <is>
          <t>Industrials</t>
        </is>
      </c>
      <c r="E256" s="62" t="inlineStr">
        <is>
          <t>Logistics</t>
        </is>
      </c>
      <c r="F256" s="62" t="inlineStr">
        <is>
          <t>Air Freight &amp; Logistics</t>
        </is>
      </c>
      <c r="G256" s="62" t="inlineStr">
        <is>
          <t>Standard</t>
        </is>
      </c>
      <c r="H256" s="63" t="n">
        <v>45440</v>
      </c>
      <c r="I256" s="64" t="n"/>
      <c r="J256" s="62" t="n"/>
      <c r="K256" s="65" t="n">
        <v>2.28</v>
      </c>
      <c r="L256" s="65" t="n">
        <v>3.06</v>
      </c>
      <c r="M256" s="65" t="n">
        <v>2.28</v>
      </c>
      <c r="N256" s="62" t="inlineStr">
        <is>
          <t>N</t>
        </is>
      </c>
      <c r="O256" s="66" t="n">
        <v>74.5</v>
      </c>
      <c r="P256" s="66" t="n">
        <v>0</v>
      </c>
      <c r="Q256" s="67" t="n">
        <v>1174.7</v>
      </c>
      <c r="R256" s="62" t="inlineStr">
        <is>
          <t>aastocks:上市市值 at the struck price</t>
        </is>
      </c>
      <c r="S256" s="68" t="n">
        <v>103.44</v>
      </c>
      <c r="T256" s="69" t="n">
        <v>0.98</v>
      </c>
      <c r="U256" s="70" t="n">
        <v>35.8</v>
      </c>
      <c r="V256" s="66" t="n"/>
      <c r="W256" s="62" t="inlineStr">
        <is>
          <t>CPIC Investment Management (H.K.) Company Limited; The Reynold Lemkins Group (Asia) Limited</t>
        </is>
      </c>
      <c r="X256" s="62" t="inlineStr">
        <is>
          <t>cpic;reynold</t>
        </is>
      </c>
      <c r="Y256" s="66" t="n"/>
      <c r="Z256" s="62" t="inlineStr">
        <is>
          <t>lapsed (no over-allocation)</t>
        </is>
      </c>
      <c r="AA256" s="71" t="n">
        <v>84.20999999999999</v>
      </c>
      <c r="AB256" s="72" t="n">
        <v>35.53</v>
      </c>
      <c r="AC256" s="72" t="n">
        <v>35.92</v>
      </c>
      <c r="AD256" s="72" t="n">
        <v>35.09</v>
      </c>
      <c r="AE256" s="72" t="n">
        <v>84.20999999999999</v>
      </c>
      <c r="AF256" s="72" t="n">
        <v>49.12</v>
      </c>
      <c r="AG256" s="72" t="n">
        <v>-26.67</v>
      </c>
      <c r="AH256" s="72" t="n">
        <v>0</v>
      </c>
      <c r="AI256" s="72" t="n">
        <v>-19.05</v>
      </c>
      <c r="AJ256" s="72" t="n">
        <v>36.4</v>
      </c>
      <c r="AK256" s="72" t="n">
        <v>89.48999999999999</v>
      </c>
      <c r="AL256" s="72" t="n">
        <v>53.89</v>
      </c>
      <c r="AM256" s="72" t="n">
        <v>5.4</v>
      </c>
      <c r="AN256" s="72" t="n">
        <v>-5.28</v>
      </c>
      <c r="AO256" s="72" t="n">
        <v>-5.4</v>
      </c>
      <c r="AP256" s="62" t="inlineStr">
        <is>
          <t>Hang Seng Commerce &amp; Industry sub-index</t>
        </is>
      </c>
      <c r="AQ256" s="72" t="n">
        <v>-71.27</v>
      </c>
      <c r="AR256" s="63" t="inlineStr">
        <is>
          <t>2026-08-20</t>
        </is>
      </c>
      <c r="AS256" s="64" t="n">
        <v>1330.2</v>
      </c>
      <c r="AT256" s="67" t="n">
        <v>76.3</v>
      </c>
      <c r="AU256" s="62" t="inlineStr">
        <is>
          <t>Y</t>
        </is>
      </c>
      <c r="AV256" s="73" t="n">
        <v>15.4</v>
      </c>
      <c r="AW256" s="73" t="n"/>
      <c r="AX256" s="73" t="n"/>
      <c r="AY256" s="73" t="n">
        <v>0.9</v>
      </c>
      <c r="AZ256" s="74" t="inlineStr">
        <is>
          <t>N</t>
        </is>
      </c>
      <c r="BA256" s="75">
        <f>IF('BBG Verify'!K256="","not filed — run on terminal",'BBG Verify'!K256)</f>
        <v/>
      </c>
      <c r="BB256" s="62" t="inlineStr">
        <is>
          <t>N/A</t>
        </is>
      </c>
      <c r="BC256" s="62" t="inlineStr">
        <is>
          <t>N/A</t>
        </is>
      </c>
      <c r="BD256" s="62" t="inlineStr">
        <is>
          <t>N/A</t>
        </is>
      </c>
      <c r="BE256" s="62" t="inlineStr">
        <is>
          <t>N/A</t>
        </is>
      </c>
      <c r="BF256" s="62" t="inlineStr">
        <is>
          <t>N/A</t>
        </is>
      </c>
      <c r="BG256" s="74" t="inlineStr">
        <is>
          <t>CMB International Capital Limited</t>
        </is>
      </c>
      <c r="BH256" s="62" t="inlineStr">
        <is>
          <t>CMB International Capital Corporation Limited</t>
        </is>
      </c>
      <c r="BI256" s="62" t="inlineStr">
        <is>
          <t>CMB International Capital Limited; ABCI Capital Limited; ABCI Securities Company Limited</t>
        </is>
      </c>
      <c r="BJ256" s="62" t="inlineStr">
        <is>
          <t>ABCI Securities Company Limited; BOCI Asia Limited; CEB International Capital Corporation Limited; China Galaxy International Securities (Hong Kong) Company Limited; CMB International Capital Limited; Eddid Securities and Futures Limited; Futu Securities International (Hong Kong) Limited; Patrons Securities Limited; Quam Securities Company Limited; Ruibang Securities Limited; Tiger Brokers (HK) Global Limited</t>
        </is>
      </c>
      <c r="BK256" s="76">
        <f>HYPERLINK("https://www1.hkexnews.hk/listedco/listconews/sehk/2024/0519/2024051900044.htm","prospectus")</f>
        <v/>
      </c>
      <c r="BL256" s="76">
        <f>HYPERLINK("https://www1.hkexnews.hk/listedco/listconews/sehk/2024/0527/2024052701491.pdf","allotment")</f>
        <v/>
      </c>
      <c r="BM256" s="76">
        <f>HYPERLINK("https://www1.hkexnews.hk/listedco/listconews/sehk/2024/0624/2024062401055.pdf","stabilisation")</f>
        <v/>
      </c>
      <c r="BN256" s="74" t="n"/>
      <c r="BO256" s="62" t="inlineStr">
        <is>
          <t>A/H: no A-share listing · greenshoe size: no over-allotment option in the offer structure · deal size: no proceeds figure stated in any filing · size basis: no size, so no basis to describe</t>
        </is>
      </c>
    </row>
    <row r="257" ht="15" customHeight="1">
      <c r="A257" s="61" t="inlineStr">
        <is>
          <t>2443</t>
        </is>
      </c>
      <c r="B257" s="62" t="inlineStr">
        <is>
          <t>AUTOSTREETS</t>
        </is>
      </c>
      <c r="C257" s="62" t="inlineStr">
        <is>
          <t>汽車街</t>
        </is>
      </c>
      <c r="D257" s="62" t="inlineStr">
        <is>
          <t>Consumer</t>
        </is>
      </c>
      <c r="E257" s="62" t="inlineStr">
        <is>
          <t>Retail / distribution</t>
        </is>
      </c>
      <c r="F257" s="62" t="inlineStr">
        <is>
          <t>Automotive Retail</t>
        </is>
      </c>
      <c r="G257" s="62" t="inlineStr">
        <is>
          <t>Standard</t>
        </is>
      </c>
      <c r="H257" s="63" t="n">
        <v>45443</v>
      </c>
      <c r="I257" s="64" t="n">
        <v>153</v>
      </c>
      <c r="J257" s="62" t="inlineStr">
        <is>
          <t>gross (stated)</t>
        </is>
      </c>
      <c r="K257" s="65" t="n"/>
      <c r="L257" s="65" t="n">
        <v>10.2</v>
      </c>
      <c r="M257" s="65" t="n">
        <v>10.2</v>
      </c>
      <c r="N257" s="62" t="inlineStr">
        <is>
          <t>Y</t>
        </is>
      </c>
      <c r="O257" s="66" t="n">
        <v>100</v>
      </c>
      <c r="P257" s="66" t="n"/>
      <c r="Q257" s="67" t="n">
        <v>8500</v>
      </c>
      <c r="R257" s="62" t="inlineStr">
        <is>
          <t>derived:deal size / offer % of enlarged capital</t>
        </is>
      </c>
      <c r="S257" s="68" t="n">
        <v>433.34</v>
      </c>
      <c r="T257" s="69" t="n">
        <v>0.98</v>
      </c>
      <c r="U257" s="70" t="n">
        <v>0</v>
      </c>
      <c r="V257" s="66" t="n">
        <v>1.8</v>
      </c>
      <c r="W257" s="62" t="n"/>
      <c r="X257" s="62" t="n"/>
      <c r="Y257" s="66" t="n"/>
      <c r="Z257" s="62" t="n"/>
      <c r="AA257" s="71" t="n">
        <v>26.86</v>
      </c>
      <c r="AB257" s="72" t="n">
        <v>42.16</v>
      </c>
      <c r="AC257" s="72" t="n">
        <v>-10.76</v>
      </c>
      <c r="AD257" s="72" t="n">
        <v>12.55</v>
      </c>
      <c r="AE257" s="72" t="n">
        <v>-20.59</v>
      </c>
      <c r="AF257" s="72" t="n">
        <v>-48.92</v>
      </c>
      <c r="AG257" s="72" t="n">
        <v>-11.28</v>
      </c>
      <c r="AH257" s="72" t="n">
        <v>-37.4</v>
      </c>
      <c r="AI257" s="72" t="n">
        <v>-59.74</v>
      </c>
      <c r="AJ257" s="72" t="n">
        <v>11.17</v>
      </c>
      <c r="AK257" s="72" t="n">
        <v>-20.17</v>
      </c>
      <c r="AL257" s="72" t="n">
        <v>-48.88</v>
      </c>
      <c r="AM257" s="72" t="n">
        <v>-38.1</v>
      </c>
      <c r="AN257" s="72" t="n">
        <v>-0.42</v>
      </c>
      <c r="AO257" s="72" t="n">
        <v>0.7</v>
      </c>
      <c r="AP257" s="62" t="inlineStr">
        <is>
          <t>Hang Seng Commerce &amp; Industry sub-index</t>
        </is>
      </c>
      <c r="AQ257" s="72" t="n">
        <v>-85.48999999999999</v>
      </c>
      <c r="AR257" s="63" t="inlineStr">
        <is>
          <t>2026-08-20</t>
        </is>
      </c>
      <c r="AS257" s="64" t="n">
        <v>541.2</v>
      </c>
      <c r="AT257" s="67" t="n"/>
      <c r="AU257" s="62" t="inlineStr">
        <is>
          <t>Y</t>
        </is>
      </c>
      <c r="AV257" s="77">
        <f>IF('BBG Verify'!O257="","not filed — run on terminal",'BBG Verify'!O257)</f>
        <v/>
      </c>
      <c r="AW257" s="73" t="n"/>
      <c r="AX257" s="73" t="n">
        <v>95.8</v>
      </c>
      <c r="AY257" s="73" t="n">
        <v>15.7</v>
      </c>
      <c r="AZ257" s="74" t="inlineStr">
        <is>
          <t>N</t>
        </is>
      </c>
      <c r="BA257" s="75">
        <f>IF('BBG Verify'!K257="","not filed — run on terminal",'BBG Verify'!K257)</f>
        <v/>
      </c>
      <c r="BB257" s="62" t="inlineStr">
        <is>
          <t>N/A</t>
        </is>
      </c>
      <c r="BC257" s="62" t="inlineStr">
        <is>
          <t>N/A</t>
        </is>
      </c>
      <c r="BD257" s="62" t="inlineStr">
        <is>
          <t>N/A</t>
        </is>
      </c>
      <c r="BE257" s="62" t="inlineStr">
        <is>
          <t>N/A</t>
        </is>
      </c>
      <c r="BF257" s="62" t="inlineStr">
        <is>
          <t>N/A</t>
        </is>
      </c>
      <c r="BG257" s="74" t="inlineStr">
        <is>
          <t>CITIC Securities (Hong Kong) Limited; Haitong International Capital Limited</t>
        </is>
      </c>
      <c r="BH257" s="62" t="inlineStr">
        <is>
          <t>Haitong International Capital Limited; CITIC Securities (Hong Kong) Limited</t>
        </is>
      </c>
      <c r="BI257" s="62" t="inlineStr">
        <is>
          <t>CLSA Limited; Haitong International S ecurities Company Limited; Fosun International Securities Limited; Central Hong Kong China Galaxy International Securities (Hong Kong) Co., Limited; Central Hong Kong CMB International Capital Limited; Central, Hong Kong ABCI Securities Company Limited; Central, Hong Kong BOCI Asia Limited; Central, Hong Kong Futu Securities Internat ional (Hong Kong) Limited; No. 95 Queensway Admiralty, Hong Kong Livermore Holdings Limited; Patrons Securities Limited; Sheung Wan, Hong Kong Ruibang Securities Limited; Central Hong Kong SPDB International Capital Limited</t>
        </is>
      </c>
      <c r="BJ257" s="62" t="inlineStr">
        <is>
          <t>ABCI Securities Company Limited; BOCI Asia Limited; China Galaxy International Securities (Hong Kong) Company Limited; CLSA Limited; CMB International Capital Limited; Fosun International Securities Limited; Futu Securities International (Hong Kong) Limited; Haitong International Securities Company Limited; Livermore Holdings Limited; Patrons Securities Limited; Ruibang Securities Limited; SPDB International Capital Limited</t>
        </is>
      </c>
      <c r="BK257" s="76">
        <f>HYPERLINK("https://www1.hkexnews.hk/listedco/listconews/sehk/2024/0523/2024052300042.htm","prospectus")</f>
        <v/>
      </c>
      <c r="BL257" s="76">
        <f>HYPERLINK("https://www1.hkexnews.hk/listedco/listconews/sehk/2024/0530/2024053001320.pdf","allotment")</f>
        <v/>
      </c>
      <c r="BM257" s="62" t="n"/>
      <c r="BN257" s="74" t="n"/>
      <c r="BO257" s="62" t="inlineStr">
        <is>
          <t>P/E: withheld — mktcap / net income gives 833x, which fails the 300x plausibility check; the extracted net income (HK$10.2m) is not trustworthy · greenshoe: no over-allotment option in the offer structure · price range: fixed-price offering (no indicative range) · range low: cap-only pricing — the filing publishes a Maximum Offer Price and no indicative floor · A/H: no A-share listing · cornerstone list: no cornerstone tranche in this deal · greenshoe size: no over-allotment option in the offer structure · financials: financial tables not machine-extractable and the pre-IPO year is outside AAStocks' 5-year window</t>
        </is>
      </c>
    </row>
    <row r="258" ht="15" customHeight="1">
      <c r="A258" s="61" t="inlineStr">
        <is>
          <t>2522</t>
        </is>
      </c>
      <c r="B258" s="62" t="inlineStr">
        <is>
          <t>RIMAG GROUP</t>
        </is>
      </c>
      <c r="C258" s="62" t="inlineStr">
        <is>
          <t>一脈陽光</t>
        </is>
      </c>
      <c r="D258" s="62" t="inlineStr">
        <is>
          <t>Healthcare</t>
        </is>
      </c>
      <c r="E258" s="62" t="inlineStr">
        <is>
          <t>Hospitals / clinics</t>
        </is>
      </c>
      <c r="F258" s="62" t="inlineStr">
        <is>
          <t>Health Care Services</t>
        </is>
      </c>
      <c r="G258" s="62" t="inlineStr">
        <is>
          <t>Standard</t>
        </is>
      </c>
      <c r="H258" s="63" t="n">
        <v>45450</v>
      </c>
      <c r="I258" s="64" t="n">
        <v>266.9</v>
      </c>
      <c r="J258" s="62" t="inlineStr">
        <is>
          <t>gross (price x shares)</t>
        </is>
      </c>
      <c r="K258" s="65" t="n">
        <v>14.6</v>
      </c>
      <c r="L258" s="65" t="n">
        <v>16.8</v>
      </c>
      <c r="M258" s="65" t="n">
        <v>14.98</v>
      </c>
      <c r="N258" s="62" t="inlineStr">
        <is>
          <t>N</t>
        </is>
      </c>
      <c r="O258" s="66" t="n">
        <v>89.2</v>
      </c>
      <c r="P258" s="66" t="n">
        <v>17.3</v>
      </c>
      <c r="Q258" s="67" t="n">
        <v>5337.6</v>
      </c>
      <c r="R258" s="62" t="inlineStr">
        <is>
          <t>derived:price x shares upon listing</t>
        </is>
      </c>
      <c r="S258" s="68" t="n">
        <v>336.33</v>
      </c>
      <c r="T258" s="69" t="n">
        <v>1.24</v>
      </c>
      <c r="U258" s="70" t="n">
        <v>44.97</v>
      </c>
      <c r="V258" s="66" t="n">
        <v>2.75</v>
      </c>
      <c r="W258" s="62" t="inlineStr">
        <is>
          <t>China New Rich Medicine Holding Co. Limited; Excellent Investment Enterprise Management (Hong Kong) Co., Limited; United Imaging Healthcare Hong Kong Limited</t>
        </is>
      </c>
      <c r="X258" s="62" t="inlineStr">
        <is>
          <t>new-rich;excellent;united</t>
        </is>
      </c>
      <c r="Y258" s="66" t="n"/>
      <c r="Z258" s="62" t="n"/>
      <c r="AA258" s="71" t="n">
        <v>0.13</v>
      </c>
      <c r="AB258" s="72" t="n">
        <v>0.13</v>
      </c>
      <c r="AC258" s="72" t="n">
        <v>0</v>
      </c>
      <c r="AD258" s="72" t="n">
        <v>28.3</v>
      </c>
      <c r="AE258" s="72" t="n">
        <v>15.09</v>
      </c>
      <c r="AF258" s="72" t="n">
        <v>34.18</v>
      </c>
      <c r="AG258" s="72" t="n">
        <v>28.13</v>
      </c>
      <c r="AH258" s="72" t="n">
        <v>14.94</v>
      </c>
      <c r="AI258" s="72" t="n">
        <v>34.01</v>
      </c>
      <c r="AJ258" s="72" t="n">
        <v>28.22</v>
      </c>
      <c r="AK258" s="72" t="n">
        <v>23.08</v>
      </c>
      <c r="AL258" s="72" t="n">
        <v>41.82</v>
      </c>
      <c r="AM258" s="72" t="n">
        <v>22.39</v>
      </c>
      <c r="AN258" s="72" t="n">
        <v>-7.99</v>
      </c>
      <c r="AO258" s="72" t="n">
        <v>-7.45</v>
      </c>
      <c r="AP258" s="62" t="inlineStr">
        <is>
          <t>China Biotech ETF (HS biotech proxy)</t>
        </is>
      </c>
      <c r="AQ258" s="72" t="n">
        <v>-69.33</v>
      </c>
      <c r="AR258" s="63" t="inlineStr">
        <is>
          <t>2026-08-20</t>
        </is>
      </c>
      <c r="AS258" s="64" t="n">
        <v>1021.8</v>
      </c>
      <c r="AT258" s="67" t="n">
        <v>40.2</v>
      </c>
      <c r="AU258" s="62" t="inlineStr">
        <is>
          <t>Y</t>
        </is>
      </c>
      <c r="AV258" s="73" t="n">
        <v>132.8</v>
      </c>
      <c r="AW258" s="73" t="n"/>
      <c r="AX258" s="73" t="n">
        <v>305.6</v>
      </c>
      <c r="AY258" s="73" t="n">
        <v>5.2</v>
      </c>
      <c r="AZ258" s="74" t="inlineStr">
        <is>
          <t>N</t>
        </is>
      </c>
      <c r="BA258" s="75">
        <f>IF('BBG Verify'!K258="","not filed — run on terminal",'BBG Verify'!K258)</f>
        <v/>
      </c>
      <c r="BB258" s="62" t="inlineStr">
        <is>
          <t>N/A</t>
        </is>
      </c>
      <c r="BC258" s="62" t="inlineStr">
        <is>
          <t>N/A</t>
        </is>
      </c>
      <c r="BD258" s="62" t="inlineStr">
        <is>
          <t>N/A</t>
        </is>
      </c>
      <c r="BE258" s="62" t="inlineStr">
        <is>
          <t>N/A</t>
        </is>
      </c>
      <c r="BF258" s="62" t="inlineStr">
        <is>
          <t>N/A</t>
        </is>
      </c>
      <c r="BG258" s="74" t="inlineStr">
        <is>
          <t>CITIC Securities (Hong Kong) Limited; CLSA Limited</t>
        </is>
      </c>
      <c r="BH258" s="62" t="inlineStr">
        <is>
          <t>CITIC Securities (Hong Kong) Limited</t>
        </is>
      </c>
      <c r="BI258" s="62" t="inlineStr">
        <is>
          <t>CLSA Limited; CMB International Capital Limited; Huatai Financial Holdings (Hong Kong) Limited; Fosun International Securities Limited; Central, Hong Kong ABCI Capital Limited; China Galaxy International Securities (Hong Kong) Co., Limited; Sheung Wan, Hong Kong Futu Securities International (Hong Kong) Limited; No. 95 Queensway Admiralty, Hong Kong ICBC International Securities Limited; Patrons Securities Limited; Sheung Wan, Hong Kong Quam Securities Limited; TradeGo Markets Limited</t>
        </is>
      </c>
      <c r="BJ258" s="62" t="inlineStr">
        <is>
          <t>ABCI Securities Company Limited; China Galaxy International Securities (Hong Kong) Company Limited; CLSA Limited; CMB International Capital Limited; Fosun International Securities Limited; Futu Securities International (Hong Kong) Limited; Huatai Financial Holdings (Hong Kong) Limited; ICBC International Securities Limited; Patrons Securities Limited; Quam Securities Limited; SPDB International Capital Limited; TradeGo Markets Limited</t>
        </is>
      </c>
      <c r="BK258" s="76">
        <f>HYPERLINK("https://www1.hkexnews.hk/listedco/listconews/sehk/2024/0530/2024053000044.pdf","prospectus")</f>
        <v/>
      </c>
      <c r="BL258" s="76">
        <f>HYPERLINK("https://www1.hkexnews.hk/listedco/listconews/sehk/2024/0606/2024060602117.pdf","allotment")</f>
        <v/>
      </c>
      <c r="BM258" s="62" t="n"/>
      <c r="BN258" s="74" t="n"/>
      <c r="BO258" s="62" t="inlineStr">
        <is>
          <t>greenshoe: no over-allotment option in the offer structure · A/H: no A-share listing · greenshoe size: no over-allotment option in the offer structure</t>
        </is>
      </c>
    </row>
    <row r="259" ht="15" customHeight="1">
      <c r="A259" s="61" t="inlineStr">
        <is>
          <t>2550</t>
        </is>
      </c>
      <c r="B259" s="62" t="inlineStr">
        <is>
          <t>EASOU TECH</t>
        </is>
      </c>
      <c r="C259" s="62" t="inlineStr">
        <is>
          <t>宜搜科技</t>
        </is>
      </c>
      <c r="D259" s="62" t="inlineStr">
        <is>
          <t>Tech/AI</t>
        </is>
      </c>
      <c r="E259" s="62" t="inlineStr">
        <is>
          <t>Internet platform / e-commerce</t>
        </is>
      </c>
      <c r="F259" s="62" t="inlineStr">
        <is>
          <t>Advertising</t>
        </is>
      </c>
      <c r="G259" s="62" t="inlineStr">
        <is>
          <t>Standard</t>
        </is>
      </c>
      <c r="H259" s="63" t="n">
        <v>45450</v>
      </c>
      <c r="I259" s="64" t="n">
        <v>85.90000000000001</v>
      </c>
      <c r="J259" s="62" t="inlineStr">
        <is>
          <t>gross (price x shares)</t>
        </is>
      </c>
      <c r="K259" s="65" t="n"/>
      <c r="L259" s="65" t="n">
        <v>8</v>
      </c>
      <c r="M259" s="65" t="n">
        <v>5.8</v>
      </c>
      <c r="N259" s="62" t="inlineStr">
        <is>
          <t>N</t>
        </is>
      </c>
      <c r="O259" s="66" t="n">
        <v>72.5</v>
      </c>
      <c r="P259" s="66" t="n"/>
      <c r="Q259" s="67" t="n">
        <v>1907.8</v>
      </c>
      <c r="R259" s="62" t="inlineStr">
        <is>
          <t>derived:price x shares upon listing</t>
        </is>
      </c>
      <c r="S259" s="68" t="n">
        <v>114.59</v>
      </c>
      <c r="T259" s="69" t="n">
        <v>0.98</v>
      </c>
      <c r="U259" s="70" t="n">
        <v>0</v>
      </c>
      <c r="V259" s="66" t="n">
        <v>4.5</v>
      </c>
      <c r="W259" s="62" t="n"/>
      <c r="X259" s="62" t="n"/>
      <c r="Y259" s="66" t="n">
        <v>15</v>
      </c>
      <c r="Z259" s="62" t="n"/>
      <c r="AA259" s="71" t="n">
        <v>91.72</v>
      </c>
      <c r="AB259" s="72" t="n">
        <v>46.55</v>
      </c>
      <c r="AC259" s="72" t="n">
        <v>30.82</v>
      </c>
      <c r="AD259" s="72" t="n">
        <v>191.03</v>
      </c>
      <c r="AE259" s="72" t="n">
        <v>200</v>
      </c>
      <c r="AF259" s="72" t="n">
        <v>223.79</v>
      </c>
      <c r="AG259" s="72" t="n">
        <v>51.8</v>
      </c>
      <c r="AH259" s="72" t="n">
        <v>56.48</v>
      </c>
      <c r="AI259" s="72" t="n">
        <v>68.89</v>
      </c>
      <c r="AJ259" s="72" t="n">
        <v>194.22</v>
      </c>
      <c r="AK259" s="72" t="n">
        <v>206.06</v>
      </c>
      <c r="AL259" s="72" t="n">
        <v>233.99</v>
      </c>
      <c r="AM259" s="72" t="n">
        <v>60.96</v>
      </c>
      <c r="AN259" s="72" t="n">
        <v>-6.06</v>
      </c>
      <c r="AO259" s="72" t="n">
        <v>-4.48</v>
      </c>
      <c r="AP259" s="62" t="inlineStr">
        <is>
          <t>HSTECH (Hang Seng TECH ETF)</t>
        </is>
      </c>
      <c r="AQ259" s="72" t="n">
        <v>-64.40000000000001</v>
      </c>
      <c r="AR259" s="63" t="inlineStr">
        <is>
          <t>2026-08-20</t>
        </is>
      </c>
      <c r="AS259" s="64" t="n">
        <v>614.9</v>
      </c>
      <c r="AT259" s="67" t="n">
        <v>27.5</v>
      </c>
      <c r="AU259" s="62" t="inlineStr">
        <is>
          <t>Y</t>
        </is>
      </c>
      <c r="AV259" s="73" t="n">
        <v>69.40000000000001</v>
      </c>
      <c r="AW259" s="73" t="n"/>
      <c r="AX259" s="73" t="n">
        <v>20.5</v>
      </c>
      <c r="AY259" s="73" t="n">
        <v>3.1</v>
      </c>
      <c r="AZ259" s="74" t="inlineStr">
        <is>
          <t>N</t>
        </is>
      </c>
      <c r="BA259" s="75">
        <f>IF('BBG Verify'!K259="","not filed — run on terminal",'BBG Verify'!K259)</f>
        <v/>
      </c>
      <c r="BB259" s="62" t="inlineStr">
        <is>
          <t>N/A</t>
        </is>
      </c>
      <c r="BC259" s="62" t="inlineStr">
        <is>
          <t>N/A</t>
        </is>
      </c>
      <c r="BD259" s="62" t="inlineStr">
        <is>
          <t>N/A</t>
        </is>
      </c>
      <c r="BE259" s="62" t="inlineStr">
        <is>
          <t>N/A</t>
        </is>
      </c>
      <c r="BF259" s="62" t="inlineStr">
        <is>
          <t>N/A</t>
        </is>
      </c>
      <c r="BG259" s="74" t="n"/>
      <c r="BH259" s="62" t="inlineStr">
        <is>
          <t>BOCI Asia Limited</t>
        </is>
      </c>
      <c r="BI259" s="62" t="inlineStr">
        <is>
          <t>BOCI Asia Limited; Central, Hong Kong Guotai Junan Securities (Hong Kong) Limited; BOCOM International Securities Limited; Wanchai, Hong Kong Citrus Securities Limited; Wanchai, Hong Kong Guosen Securities (HK) Capital Company Limited; ICBC International Securities Limited; Livermore Holdings Limited; Shenwan Hongyuan Securities (H.K.) Limited; SPDB International Capital Limited; Tiger Brokers (HK) Global Limited; Wanchai, Hong Kong Zhongtai International Securities Limited</t>
        </is>
      </c>
      <c r="BJ259" s="62" t="inlineStr">
        <is>
          <t>BOCI Asia Limited; BOCOM International Securities Limited; China Everbright Securities (HK) Limited; Citrus Securities Limited; Guotai Junan Securities (Hong Kong) Limited; Guosen Securities (HK) Capital Company Limited; ICBC International Securities Limited; Livermore Holdings Limited; Shenwan Hongyuan Securities (H.K.) Limited; SPDB International Capital Limited; Tiger Brokers (HK) Global Limited; Yue Xiu Securities Company Limited</t>
        </is>
      </c>
      <c r="BK259" s="76">
        <f>HYPERLINK("https://www1.hkexnews.hk/listedco/listconews/sehk/2024/0530/2024053000009.pdf","prospectus")</f>
        <v/>
      </c>
      <c r="BL259" s="76">
        <f>HYPERLINK("https://www1.hkexnews.hk/listedco/listconews/sehk/2024/0606/2024060602135.pdf","allotment")</f>
        <v/>
      </c>
      <c r="BM259" s="62" t="n"/>
      <c r="BN259" s="74" t="n"/>
      <c r="BO259" s="62" t="inlineStr">
        <is>
          <t>greenshoe: end-of-stabilisation notice not located · range low: cap-only pricing — the filing publishes a Maximum Offer Price and no indicative floor · A/H: no A-share listing · sponsor: English name not in the filing text; AAStocks 保薦人 shown · cornerstone list: no cornerstone tranche in this deal</t>
        </is>
      </c>
    </row>
    <row r="260" ht="15" customHeight="1">
      <c r="A260" s="61" t="inlineStr">
        <is>
          <t>2228</t>
        </is>
      </c>
      <c r="B260" s="62" t="inlineStr">
        <is>
          <t>QUANTUMPH-P</t>
        </is>
      </c>
      <c r="C260" s="62" t="inlineStr">
        <is>
          <t>晶泰控股</t>
        </is>
      </c>
      <c r="D260" s="62" t="inlineStr">
        <is>
          <t>Tech/AI</t>
        </is>
      </c>
      <c r="E260" s="62" t="inlineStr">
        <is>
          <t>AI application / agent software</t>
        </is>
      </c>
      <c r="F260" s="62" t="inlineStr">
        <is>
          <t>Next-generation information technology</t>
        </is>
      </c>
      <c r="G260" s="62" t="inlineStr">
        <is>
          <t>18C</t>
        </is>
      </c>
      <c r="H260" s="63" t="n">
        <v>45456</v>
      </c>
      <c r="I260" s="64" t="n">
        <v>989.3</v>
      </c>
      <c r="J260" s="62" t="inlineStr">
        <is>
          <t>gross (price x shares)</t>
        </is>
      </c>
      <c r="K260" s="65" t="n">
        <v>5.03</v>
      </c>
      <c r="L260" s="65" t="n">
        <v>6.03</v>
      </c>
      <c r="M260" s="65" t="n">
        <v>5.28</v>
      </c>
      <c r="N260" s="62" t="inlineStr">
        <is>
          <t>N</t>
        </is>
      </c>
      <c r="O260" s="66" t="n">
        <v>87.59999999999999</v>
      </c>
      <c r="P260" s="66" t="n">
        <v>25</v>
      </c>
      <c r="Q260" s="67" t="n">
        <v>19601.7</v>
      </c>
      <c r="R260" s="62" t="inlineStr">
        <is>
          <t>prospectus:stated market capitalisation</t>
        </is>
      </c>
      <c r="S260" s="68" t="n">
        <v>103.35</v>
      </c>
      <c r="T260" s="69" t="n">
        <v>2.13</v>
      </c>
      <c r="U260" s="70" t="n">
        <v>35.83</v>
      </c>
      <c r="V260" s="66" t="n">
        <v>3.24</v>
      </c>
      <c r="W260" s="62" t="inlineStr">
        <is>
          <t>Begonia No. 1 LPF; Biocytogen Pharmaceuticals (Beijing) Co., Ltd; Bradley Lether Pentelute; FaaS Capital Longevity Limited; Ginkgo Capital Global Fund SPC-Ginkgo Capital Global Fund I SP; IntelliMed One Investment Limited; Mammoth Medical Solutions; Successful Lotus Limited</t>
        </is>
      </c>
      <c r="X260" s="62" t="inlineStr">
        <is>
          <t>begonia;biocytogen;bradley;faas;ginkgo;intellimed;mammoth;successful</t>
        </is>
      </c>
      <c r="Y260" s="66" t="n">
        <v>15</v>
      </c>
      <c r="Z260" s="62" t="n"/>
      <c r="AA260" s="71" t="n">
        <v>9.85</v>
      </c>
      <c r="AB260" s="72" t="n">
        <v>2.08</v>
      </c>
      <c r="AC260" s="72" t="n">
        <v>7.61</v>
      </c>
      <c r="AD260" s="72" t="n">
        <v>0.38</v>
      </c>
      <c r="AE260" s="72" t="n">
        <v>9.85</v>
      </c>
      <c r="AF260" s="72" t="n">
        <v>165.91</v>
      </c>
      <c r="AG260" s="72" t="n">
        <v>-8.619999999999999</v>
      </c>
      <c r="AH260" s="72" t="n">
        <v>0</v>
      </c>
      <c r="AI260" s="72" t="n">
        <v>142.07</v>
      </c>
      <c r="AJ260" s="72" t="n">
        <v>-1.16</v>
      </c>
      <c r="AK260" s="72" t="n">
        <v>10.62</v>
      </c>
      <c r="AL260" s="72" t="n">
        <v>172.06</v>
      </c>
      <c r="AM260" s="72" t="n">
        <v>1.58</v>
      </c>
      <c r="AN260" s="72" t="n">
        <v>-0.77</v>
      </c>
      <c r="AO260" s="72" t="n">
        <v>-1.58</v>
      </c>
      <c r="AP260" s="62" t="inlineStr">
        <is>
          <t>HSTECH (Hang Seng TECH ETF)</t>
        </is>
      </c>
      <c r="AQ260" s="72" t="n">
        <v>52.37</v>
      </c>
      <c r="AR260" s="63" t="inlineStr">
        <is>
          <t>2026-08-20</t>
        </is>
      </c>
      <c r="AS260" s="64" t="n">
        <v>191.9</v>
      </c>
      <c r="AT260" s="67" t="n">
        <v>-1582.5</v>
      </c>
      <c r="AU260" s="62" t="inlineStr">
        <is>
          <t>N</t>
        </is>
      </c>
      <c r="AV260" s="62" t="inlineStr">
        <is>
          <t>n/m</t>
        </is>
      </c>
      <c r="AW260" s="73" t="n"/>
      <c r="AX260" s="73" t="n">
        <v>204.3</v>
      </c>
      <c r="AY260" s="73" t="n">
        <v>102.1</v>
      </c>
      <c r="AZ260" s="74" t="inlineStr">
        <is>
          <t>N</t>
        </is>
      </c>
      <c r="BA260" s="75">
        <f>IF('BBG Verify'!K260="","not filed — run on terminal",'BBG Verify'!K260)</f>
        <v/>
      </c>
      <c r="BB260" s="62" t="inlineStr">
        <is>
          <t>N/A</t>
        </is>
      </c>
      <c r="BC260" s="62" t="inlineStr">
        <is>
          <t>N/A</t>
        </is>
      </c>
      <c r="BD260" s="62" t="inlineStr">
        <is>
          <t>N/A</t>
        </is>
      </c>
      <c r="BE260" s="62" t="inlineStr">
        <is>
          <t>N/A</t>
        </is>
      </c>
      <c r="BF260" s="62" t="inlineStr">
        <is>
          <t>N/A</t>
        </is>
      </c>
      <c r="BG260" s="74" t="inlineStr">
        <is>
          <t>CITIC Securities (Hong Kong) Limited</t>
        </is>
      </c>
      <c r="BH260" s="62" t="inlineStr">
        <is>
          <t>CITIC Securities (Hong Kong) Limited</t>
        </is>
      </c>
      <c r="BI260" s="62" t="inlineStr">
        <is>
          <t>CLSA Limited; China International Capital Corporation Hong Kong Securities Limited; Jefferies Hong Kong Limited; CMB International Capital Limited; SPDB International Capital Limited; Guosen Securities (HK) Capital Company Limited; Deutsche Bank AG, Hong Kong Branch; Fosun International Securities Limited; ABCI Capital Limited; BOCI Asia Limited; CCB International Capital Limited; ICBC International Securities Limited</t>
        </is>
      </c>
      <c r="BJ260" s="62" t="inlineStr">
        <is>
          <t>ABCI Securities Company Limited; BOCI Asia Limited; CCB International Capital Limited; China International Capital Corporation Hong Kong Securities Limited; CLSA Limited; CMB International Capital Limited; Deutsche Bank AG, Hong Kong Branch; Fosun International Securities Limited; Futu Securities International (Hong Kong) Limited; Guosen Securities (HK) Capital Company Limited; ICBC International Securities Limited; Jefferies Hong Kong Limited</t>
        </is>
      </c>
      <c r="BK260" s="76">
        <f>HYPERLINK("https://www1.hkexnews.hk/listedco/listconews/sehk/2024/0604/2024060400065.pdf","prospectus")</f>
        <v/>
      </c>
      <c r="BL260" s="76">
        <f>HYPERLINK("https://www1.hkexnews.hk/listedco/listconews/sehk/2024/0612/2024061201745.pdf","allotment")</f>
        <v/>
      </c>
      <c r="BM260" s="62" t="n"/>
      <c r="BN260" s="74" t="n"/>
      <c r="BO260" s="62" t="inlineStr">
        <is>
          <t>P/E: n/m — loss-making at IPO (use P/S) · greenshoe: end-of-stabilisation notice not located · A/H: no A-share listing</t>
        </is>
      </c>
    </row>
    <row r="261" ht="15" customHeight="1">
      <c r="A261" s="61" t="inlineStr">
        <is>
          <t>2512</t>
        </is>
      </c>
      <c r="B261" s="62" t="inlineStr">
        <is>
          <t>CLOUD FACTORY</t>
        </is>
      </c>
      <c r="C261" s="62" t="inlineStr">
        <is>
          <t>雲工場</t>
        </is>
      </c>
      <c r="D261" s="62" t="inlineStr">
        <is>
          <t>Tech/AI</t>
        </is>
      </c>
      <c r="E261" s="62" t="inlineStr">
        <is>
          <t>Data center / cloud infra</t>
        </is>
      </c>
      <c r="F261" s="62" t="inlineStr">
        <is>
          <t>Telecommunication Services</t>
        </is>
      </c>
      <c r="G261" s="62" t="inlineStr">
        <is>
          <t>Standard</t>
        </is>
      </c>
      <c r="H261" s="63" t="n">
        <v>45457</v>
      </c>
      <c r="I261" s="64" t="n">
        <v>133.9</v>
      </c>
      <c r="J261" s="62" t="inlineStr">
        <is>
          <t>net proceeds</t>
        </is>
      </c>
      <c r="K261" s="65" t="n"/>
      <c r="L261" s="65" t="n">
        <v>4.6</v>
      </c>
      <c r="M261" s="65" t="n">
        <v>4.6</v>
      </c>
      <c r="N261" s="62" t="inlineStr">
        <is>
          <t>Y</t>
        </is>
      </c>
      <c r="O261" s="66" t="n">
        <v>100</v>
      </c>
      <c r="P261" s="66" t="n"/>
      <c r="Q261" s="67" t="n">
        <v>2116</v>
      </c>
      <c r="R261" s="62" t="inlineStr">
        <is>
          <t>derived:price x shares upon listing</t>
        </is>
      </c>
      <c r="S261" s="68" t="n">
        <v>25.79</v>
      </c>
      <c r="T261" s="69" t="n">
        <v>1.09</v>
      </c>
      <c r="U261" s="70" t="n">
        <v>0</v>
      </c>
      <c r="V261" s="66" t="n">
        <v>6.33</v>
      </c>
      <c r="W261" s="62" t="n"/>
      <c r="X261" s="62" t="n"/>
      <c r="Y261" s="66" t="n">
        <v>15</v>
      </c>
      <c r="Z261" s="62" t="inlineStr">
        <is>
          <t>lapsed</t>
        </is>
      </c>
      <c r="AA261" s="71" t="n">
        <v>-17.39</v>
      </c>
      <c r="AB261" s="72" t="n">
        <v>-5</v>
      </c>
      <c r="AC261" s="72" t="n">
        <v>-13.04</v>
      </c>
      <c r="AD261" s="72" t="n">
        <v>-17.39</v>
      </c>
      <c r="AE261" s="72" t="n">
        <v>-17.39</v>
      </c>
      <c r="AF261" s="72" t="n">
        <v>-21.96</v>
      </c>
      <c r="AG261" s="72" t="n">
        <v>0</v>
      </c>
      <c r="AH261" s="72" t="n">
        <v>0</v>
      </c>
      <c r="AI261" s="72" t="n">
        <v>-5.53</v>
      </c>
      <c r="AJ261" s="72" t="n">
        <v>-16.52</v>
      </c>
      <c r="AK261" s="72" t="n">
        <v>-14.45</v>
      </c>
      <c r="AL261" s="72" t="n">
        <v>-14.98</v>
      </c>
      <c r="AM261" s="72" t="n">
        <v>2.41</v>
      </c>
      <c r="AN261" s="72" t="n">
        <v>-2.94</v>
      </c>
      <c r="AO261" s="72" t="n">
        <v>-2.41</v>
      </c>
      <c r="AP261" s="62" t="inlineStr">
        <is>
          <t>HSTECH (Hang Seng TECH ETF)</t>
        </is>
      </c>
      <c r="AQ261" s="72" t="n">
        <v>-39.13</v>
      </c>
      <c r="AR261" s="63" t="inlineStr">
        <is>
          <t>2026-08-20</t>
        </is>
      </c>
      <c r="AS261" s="64" t="n">
        <v>765.5</v>
      </c>
      <c r="AT261" s="67" t="n">
        <v>15.6</v>
      </c>
      <c r="AU261" s="62" t="inlineStr">
        <is>
          <t>Y</t>
        </is>
      </c>
      <c r="AV261" s="73" t="n">
        <v>135.6</v>
      </c>
      <c r="AW261" s="73" t="n"/>
      <c r="AX261" s="73" t="n">
        <v>103.6</v>
      </c>
      <c r="AY261" s="73" t="n">
        <v>2.8</v>
      </c>
      <c r="AZ261" s="74" t="inlineStr">
        <is>
          <t>N</t>
        </is>
      </c>
      <c r="BA261" s="75">
        <f>IF('BBG Verify'!K261="","not filed — run on terminal",'BBG Verify'!K261)</f>
        <v/>
      </c>
      <c r="BB261" s="62" t="inlineStr">
        <is>
          <t>N/A</t>
        </is>
      </c>
      <c r="BC261" s="62" t="inlineStr">
        <is>
          <t>N/A</t>
        </is>
      </c>
      <c r="BD261" s="62" t="inlineStr">
        <is>
          <t>N/A</t>
        </is>
      </c>
      <c r="BE261" s="62" t="inlineStr">
        <is>
          <t>N/A</t>
        </is>
      </c>
      <c r="BF261" s="62" t="inlineStr">
        <is>
          <t>N/A</t>
        </is>
      </c>
      <c r="BG261" s="74" t="n"/>
      <c r="BH261" s="62" t="inlineStr">
        <is>
          <t>SPDB International Capital Limited</t>
        </is>
      </c>
      <c r="BI261" s="62" t="inlineStr">
        <is>
          <t>and CMIs SPDB International Capital Limited; CMB International Capital Limited; and CMIs CLSA Limited; and CMIs CEB International Capital Corporation Limited; Livermore Holdings Limited; Essence International Secu rities (Hong Kong) Limited; First Shanghai Securities Limited; CMBC Securities Company Limited; CCB International Capital Limited; Fosun International Securities Limited; Central, Hong Kong Futu Securities International (Hong Kong) Limited</t>
        </is>
      </c>
      <c r="BJ261" s="62" t="inlineStr">
        <is>
          <t>CCB International Capital Limited; CEB International Capital Corporation Limited; CLSA Limited; CMBC Securities Company Limited; CMB International Capital Limited; Essence International Securities (Hong Kong) Limited; Fosun International Securities Limited; First Shanghai Securities Limited; Futu Securities International (Hong Kong) Limited; Livermore Holdings Limited; SPDB International Capital Limited</t>
        </is>
      </c>
      <c r="BK261" s="76">
        <f>HYPERLINK("https://www1.hkexnews.hk/listedco/listconews/sehk/2024/0605/2024060500041.pdf","prospectus")</f>
        <v/>
      </c>
      <c r="BL261" s="76">
        <f>HYPERLINK("https://www1.hkexnews.hk/listedco/listconews/sehk/2024/0613/2024061301165.pdf","allotment")</f>
        <v/>
      </c>
      <c r="BM261" s="76">
        <f>HYPERLINK("https://www1.hkexnews.hk/listedco/listconews/sehk/2024/0711/2024071100781.pdf","stabilisation")</f>
        <v/>
      </c>
      <c r="BN261" s="74" t="n"/>
      <c r="BO261" s="62" t="inlineStr">
        <is>
          <t>range low: cap-only pricing — the filing publishes a Maximum Offer Price and no indicative floor · A/H: no A-share listing · sponsor: English name not in the filing text; AAStocks 保薦人 shown · cornerstone list: no cornerstone tranche in this deal</t>
        </is>
      </c>
    </row>
    <row r="262" ht="15" customHeight="1">
      <c r="A262" s="61" t="inlineStr">
        <is>
          <t>2881</t>
        </is>
      </c>
      <c r="B262" s="62" t="inlineStr">
        <is>
          <t>WUHAN YOUJI</t>
        </is>
      </c>
      <c r="C262" s="62" t="inlineStr">
        <is>
          <t>武漢有機</t>
        </is>
      </c>
      <c r="D262" s="62" t="inlineStr">
        <is>
          <t>Materials/Energy</t>
        </is>
      </c>
      <c r="E262" s="62" t="inlineStr">
        <is>
          <t>Chemicals</t>
        </is>
      </c>
      <c r="F262" s="62" t="inlineStr">
        <is>
          <t>Diversified Chemicals</t>
        </is>
      </c>
      <c r="G262" s="62" t="inlineStr">
        <is>
          <t>Standard</t>
        </is>
      </c>
      <c r="H262" s="63" t="n">
        <v>45461</v>
      </c>
      <c r="I262" s="64" t="n">
        <v>100.7</v>
      </c>
      <c r="J262" s="62" t="inlineStr">
        <is>
          <t>gross (price x shares)</t>
        </is>
      </c>
      <c r="K262" s="65" t="n"/>
      <c r="L262" s="65" t="n">
        <v>8.5</v>
      </c>
      <c r="M262" s="65" t="n">
        <v>5.5</v>
      </c>
      <c r="N262" s="62" t="inlineStr">
        <is>
          <t>N</t>
        </is>
      </c>
      <c r="O262" s="66" t="n">
        <v>64.7</v>
      </c>
      <c r="P262" s="66" t="n"/>
      <c r="Q262" s="67" t="n">
        <v>513.1</v>
      </c>
      <c r="R262" s="62" t="inlineStr">
        <is>
          <t>derived:price x shares upon listing</t>
        </is>
      </c>
      <c r="S262" s="68" t="n">
        <v>337.57</v>
      </c>
      <c r="T262" s="69" t="n">
        <v>0.92</v>
      </c>
      <c r="U262" s="70" t="n">
        <v>0</v>
      </c>
      <c r="V262" s="66" t="n">
        <v>19.63</v>
      </c>
      <c r="W262" s="62" t="n"/>
      <c r="X262" s="62" t="n"/>
      <c r="Y262" s="66" t="n">
        <v>17.7</v>
      </c>
      <c r="Z262" s="62" t="inlineStr">
        <is>
          <t>lapsed (no over-allocation)</t>
        </is>
      </c>
      <c r="AA262" s="71" t="n">
        <v>27.64</v>
      </c>
      <c r="AB262" s="72" t="n">
        <v>79.64</v>
      </c>
      <c r="AC262" s="72" t="n">
        <v>-28.95</v>
      </c>
      <c r="AD262" s="72" t="n">
        <v>12.73</v>
      </c>
      <c r="AE262" s="72" t="n">
        <v>-13.64</v>
      </c>
      <c r="AF262" s="72" t="n">
        <v>-23.64</v>
      </c>
      <c r="AG262" s="72" t="n">
        <v>-11.68</v>
      </c>
      <c r="AH262" s="72" t="n">
        <v>-32.34</v>
      </c>
      <c r="AI262" s="72" t="n">
        <v>-40.18</v>
      </c>
      <c r="AJ262" s="72" t="n">
        <v>12.27</v>
      </c>
      <c r="AK262" s="72" t="n">
        <v>-13.09</v>
      </c>
      <c r="AL262" s="72" t="n">
        <v>-22.15</v>
      </c>
      <c r="AM262" s="72" t="n">
        <v>-32.14</v>
      </c>
      <c r="AN262" s="72" t="n">
        <v>-0.55</v>
      </c>
      <c r="AO262" s="72" t="n">
        <v>-0.2</v>
      </c>
      <c r="AP262" s="62" t="inlineStr">
        <is>
          <t>Hang Seng Commerce &amp; Industry sub-index</t>
        </is>
      </c>
      <c r="AQ262" s="72" t="n">
        <v>80</v>
      </c>
      <c r="AR262" s="63" t="inlineStr">
        <is>
          <t>2026-08-20</t>
        </is>
      </c>
      <c r="AS262" s="64" t="n">
        <v>2944.8</v>
      </c>
      <c r="AT262" s="67" t="n">
        <v>80.2</v>
      </c>
      <c r="AU262" s="62" t="inlineStr">
        <is>
          <t>Y</t>
        </is>
      </c>
      <c r="AV262" s="73" t="n">
        <v>6.4</v>
      </c>
      <c r="AW262" s="73" t="n"/>
      <c r="AX262" s="73" t="n">
        <v>12.8</v>
      </c>
      <c r="AY262" s="73" t="n">
        <v>0.2</v>
      </c>
      <c r="AZ262" s="74" t="inlineStr">
        <is>
          <t>N</t>
        </is>
      </c>
      <c r="BA262" s="75">
        <f>IF('BBG Verify'!K262="","not filed — run on terminal",'BBG Verify'!K262)</f>
        <v/>
      </c>
      <c r="BB262" s="62" t="inlineStr">
        <is>
          <t>N/A</t>
        </is>
      </c>
      <c r="BC262" s="62" t="inlineStr">
        <is>
          <t>N/A</t>
        </is>
      </c>
      <c r="BD262" s="62" t="inlineStr">
        <is>
          <t>N/A</t>
        </is>
      </c>
      <c r="BE262" s="62" t="inlineStr">
        <is>
          <t>N/A</t>
        </is>
      </c>
      <c r="BF262" s="62" t="inlineStr">
        <is>
          <t>N/A</t>
        </is>
      </c>
      <c r="BG262" s="74" t="inlineStr">
        <is>
          <t>BOCOM International (Asia) Limited</t>
        </is>
      </c>
      <c r="BH262" s="62" t="inlineStr">
        <is>
          <t>BOCOM International (Asia) Limited</t>
        </is>
      </c>
      <c r="BI262" s="62" t="inlineStr">
        <is>
          <t>BOCOM International Securities Limited; ABCI Capital Limited; CCB International Capital Limited; CEB International Capital Corporation Limited; China Industrial Securities International Capital Limited; CMBC Securities Company Limited; Essence International Securities (Hong Kong) Limited; Fortune Origin Securities Limited; Futu Securities International (Hong Kong) Limited; ICBC International Securities Limited; Phillip Securities (Hong Kong) Limited; Quam Securities Limited</t>
        </is>
      </c>
      <c r="BJ262" s="62" t="inlineStr">
        <is>
          <t>ABCI Securities Company Limited; BOCOM International Securities Limited; CCB International Capital Limited; CEB International Capital Corporation Limited; China Everbright Securities (HK) Limited; China Industrial Securities International Capital Limited; CMBC Securities Company Limited; CNI Securities Group Limited; China Sunrise Securities (International) Limited; Essence International Securities (Hong Kong) Limited; Fortune Origin Securities Limited; Futu Securities International (Hong Kong) Limited</t>
        </is>
      </c>
      <c r="BK262" s="76">
        <f>HYPERLINK("https://www1.hkexnews.hk/listedco/listconews/sehk/2024/0607/2024060700013.pdf","prospectus")</f>
        <v/>
      </c>
      <c r="BL262" s="76">
        <f>HYPERLINK("https://www1.hkexnews.hk/listedco/listconews/sehk/2024/0617/2024061701156.pdf","allotment")</f>
        <v/>
      </c>
      <c r="BM262" s="76">
        <f>HYPERLINK("https://www1.hkexnews.hk/listedco/listconews/sehk/2024/0715/2024071500250.pdf","stabilisation")</f>
        <v/>
      </c>
      <c r="BN262" s="74" t="n"/>
      <c r="BO262" s="62" t="inlineStr">
        <is>
          <t>range low: cap-only pricing — the filing publishes a Maximum Offer Price and no indicative floor · A/H: no A-share listing · market cap: AAStocks lists HK$694m at listing vs HK$513m from price x filed share count — the filed count is kept · cornerstone list: no cornerstone tranche in this deal</t>
        </is>
      </c>
    </row>
    <row r="263" ht="15" customHeight="1">
      <c r="A263" s="61" t="inlineStr">
        <is>
          <t>2559</t>
        </is>
      </c>
      <c r="B263" s="62" t="inlineStr">
        <is>
          <t>DIDA INC</t>
        </is>
      </c>
      <c r="C263" s="62" t="inlineStr">
        <is>
          <t>嘀嗒出行</t>
        </is>
      </c>
      <c r="D263" s="62" t="inlineStr">
        <is>
          <t>Tech/AI</t>
        </is>
      </c>
      <c r="E263" s="62" t="inlineStr">
        <is>
          <t>Internet platform / e-commerce</t>
        </is>
      </c>
      <c r="F263" s="62" t="inlineStr">
        <is>
          <t>Trucking</t>
        </is>
      </c>
      <c r="G263" s="62" t="inlineStr">
        <is>
          <t>Standard</t>
        </is>
      </c>
      <c r="H263" s="63" t="n">
        <v>45471</v>
      </c>
      <c r="I263" s="64" t="n">
        <v>234.5</v>
      </c>
      <c r="J263" s="62" t="inlineStr">
        <is>
          <t>gross (price x shares)</t>
        </is>
      </c>
      <c r="K263" s="65" t="n"/>
      <c r="L263" s="65" t="n">
        <v>7</v>
      </c>
      <c r="M263" s="65" t="n">
        <v>6</v>
      </c>
      <c r="N263" s="62" t="inlineStr">
        <is>
          <t>N</t>
        </is>
      </c>
      <c r="O263" s="66" t="n">
        <v>85.7</v>
      </c>
      <c r="P263" s="66" t="n"/>
      <c r="Q263" s="67" t="n">
        <v>5963.9</v>
      </c>
      <c r="R263" s="62" t="inlineStr">
        <is>
          <t>derived:price x shares upon listing</t>
        </is>
      </c>
      <c r="S263" s="68" t="n">
        <v>112.9</v>
      </c>
      <c r="T263" s="69" t="n">
        <v>1.28</v>
      </c>
      <c r="U263" s="70" t="n">
        <v>0</v>
      </c>
      <c r="V263" s="66" t="n">
        <v>3.93</v>
      </c>
      <c r="W263" s="62" t="n"/>
      <c r="X263" s="62" t="n"/>
      <c r="Y263" s="66" t="n">
        <v>15</v>
      </c>
      <c r="Z263" s="62" t="inlineStr">
        <is>
          <t>lapsed</t>
        </is>
      </c>
      <c r="AA263" s="71" t="n">
        <v>-22.5</v>
      </c>
      <c r="AB263" s="72" t="n">
        <v>-12.83</v>
      </c>
      <c r="AC263" s="72" t="n">
        <v>-11.09</v>
      </c>
      <c r="AD263" s="72" t="n">
        <v>-51.33</v>
      </c>
      <c r="AE263" s="72" t="n">
        <v>-51.17</v>
      </c>
      <c r="AF263" s="72" t="n">
        <v>-54</v>
      </c>
      <c r="AG263" s="72" t="n">
        <v>-37.2</v>
      </c>
      <c r="AH263" s="72" t="n">
        <v>-36.99</v>
      </c>
      <c r="AI263" s="72" t="n">
        <v>-40.65</v>
      </c>
      <c r="AJ263" s="72" t="n">
        <v>-50.65</v>
      </c>
      <c r="AK263" s="72" t="n">
        <v>-46.58</v>
      </c>
      <c r="AL263" s="72" t="n">
        <v>-86.77</v>
      </c>
      <c r="AM263" s="72" t="n">
        <v>-33.22</v>
      </c>
      <c r="AN263" s="72" t="n">
        <v>-4.59</v>
      </c>
      <c r="AO263" s="72" t="n">
        <v>-3.77</v>
      </c>
      <c r="AP263" s="62" t="inlineStr">
        <is>
          <t>HSTECH (Hang Seng TECH ETF)</t>
        </is>
      </c>
      <c r="AQ263" s="72" t="n">
        <v>-80.33</v>
      </c>
      <c r="AR263" s="63" t="inlineStr">
        <is>
          <t>2026-08-20</t>
        </is>
      </c>
      <c r="AS263" s="64" t="n">
        <v>896.6</v>
      </c>
      <c r="AT263" s="67" t="n">
        <v>330.4</v>
      </c>
      <c r="AU263" s="62" t="inlineStr">
        <is>
          <t>Y</t>
        </is>
      </c>
      <c r="AV263" s="73" t="n">
        <v>18.1</v>
      </c>
      <c r="AW263" s="73" t="n"/>
      <c r="AX263" s="73" t="n">
        <v>8.800000000000001</v>
      </c>
      <c r="AY263" s="73" t="n">
        <v>6.7</v>
      </c>
      <c r="AZ263" s="74" t="inlineStr">
        <is>
          <t>N</t>
        </is>
      </c>
      <c r="BA263" s="75">
        <f>IF('BBG Verify'!K263="","not filed — run on terminal",'BBG Verify'!K263)</f>
        <v/>
      </c>
      <c r="BB263" s="62" t="inlineStr">
        <is>
          <t>N/A</t>
        </is>
      </c>
      <c r="BC263" s="62" t="inlineStr">
        <is>
          <t>N/A</t>
        </is>
      </c>
      <c r="BD263" s="62" t="inlineStr">
        <is>
          <t>N/A</t>
        </is>
      </c>
      <c r="BE263" s="62" t="inlineStr">
        <is>
          <t>N/A</t>
        </is>
      </c>
      <c r="BF263" s="62" t="inlineStr">
        <is>
          <t>N/A</t>
        </is>
      </c>
      <c r="BG263" s="74" t="inlineStr">
        <is>
          <t>China International Capital Corporation Hong Kong Securities Limited; Haitong International Capital Limited; Nomura International (Hong Kong) Limited</t>
        </is>
      </c>
      <c r="BH263" s="62" t="inlineStr">
        <is>
          <t>China International Capital Corporation Hong Kong Securities Limited; Haitong International Capital Limited; Nomura International (Hong Kong) Limited</t>
        </is>
      </c>
      <c r="BI263" s="62" t="inlineStr">
        <is>
          <t>China International Capital Corporation Hong Kong Securities Limited; Haitong International Securities Company Limited; Nomura International (Hong Kong) Limited; CMBC Securities Company Limited; ABCI Capital Limited; BOCI Asia Limited; CCB International Capital Limited; China Galaxy International Securities (Hong Kong) Co., Limited; CMB International Capital Limited; ICBC International Securities Limited; Tiger Brokers (HK) Global Limited; Livermore Holdings Limited</t>
        </is>
      </c>
      <c r="BJ263" s="62" t="inlineStr">
        <is>
          <t>ABCI Securities Company Limited; BOCI Asia Limited; CCB International Capital Limited; China Galaxy International Securities (Hong Kong) Company Limited; China International Capital Corporation Hong Kong Securities Limited; CMBC Securities Company Limited; CMB International Capital Limited; Futu Securities International (Hong Kong) Limited; Haitong International Securities Company Limited; ICBC International Securities Limited; Livermore Holdings Limited; Nomura International (Hong Kong) Limited</t>
        </is>
      </c>
      <c r="BK263" s="76">
        <f>HYPERLINK("https://www1.hkexnews.hk/listedco/listconews/sehk/2024/0620/2024062000015.pdf","prospectus")</f>
        <v/>
      </c>
      <c r="BL263" s="76">
        <f>HYPERLINK("https://www1.hkexnews.hk/listedco/listconews/sehk/2024/0627/2024062701882.pdf","allotment")</f>
        <v/>
      </c>
      <c r="BM263" s="76">
        <f>HYPERLINK("https://www1.hkexnews.hk/listedco/listconews/sehk/2024/0725/2024072501042.pdf","stabilisation")</f>
        <v/>
      </c>
      <c r="BN263" s="74" t="n"/>
      <c r="BO263" s="62" t="inlineStr">
        <is>
          <t>range low: cap-only pricing — the filing publishes a Maximum Offer Price and no indicative floor · A/H: no A-share listing · cornerstone list: no cornerstone tranche in this deal</t>
        </is>
      </c>
    </row>
    <row r="264" ht="15" customHeight="1">
      <c r="A264" s="61" t="inlineStr">
        <is>
          <t>2479</t>
        </is>
      </c>
      <c r="B264" s="62" t="inlineStr">
        <is>
          <t>TIANJUDIHE</t>
        </is>
      </c>
      <c r="C264" s="62" t="inlineStr">
        <is>
          <t>天聚地合</t>
        </is>
      </c>
      <c r="D264" s="62" t="inlineStr">
        <is>
          <t>Tech/AI</t>
        </is>
      </c>
      <c r="E264" s="62" t="inlineStr">
        <is>
          <t>SaaS / enterprise software</t>
        </is>
      </c>
      <c r="F264" s="62" t="inlineStr">
        <is>
          <t>Systems Software</t>
        </is>
      </c>
      <c r="G264" s="62" t="inlineStr">
        <is>
          <t>Standard</t>
        </is>
      </c>
      <c r="H264" s="63" t="n">
        <v>45471</v>
      </c>
      <c r="I264" s="64" t="n">
        <v>401.5</v>
      </c>
      <c r="J264" s="62" t="inlineStr">
        <is>
          <t>gross (price x shares)</t>
        </is>
      </c>
      <c r="K264" s="65" t="n"/>
      <c r="L264" s="65" t="n">
        <v>83.33</v>
      </c>
      <c r="M264" s="65" t="n">
        <v>83.33</v>
      </c>
      <c r="N264" s="62" t="inlineStr">
        <is>
          <t>Y</t>
        </is>
      </c>
      <c r="O264" s="66" t="n">
        <v>100</v>
      </c>
      <c r="P264" s="66" t="n"/>
      <c r="Q264" s="67" t="n">
        <v>4176.3</v>
      </c>
      <c r="R264" s="62" t="inlineStr">
        <is>
          <t>derived:price x shares upon listing</t>
        </is>
      </c>
      <c r="S264" s="68" t="n">
        <v>602.87</v>
      </c>
      <c r="T264" s="78">
        <f>IF('BBG Verify'!E264="","not filed — run on terminal",'BBG Verify'!E264)</f>
        <v/>
      </c>
      <c r="U264" s="70" t="n">
        <v>79.62</v>
      </c>
      <c r="V264" s="66" t="n">
        <v>1.96</v>
      </c>
      <c r="W264" s="62" t="inlineStr">
        <is>
          <t>Gold Wings Holdings Limited; Reynold Lemkins Group (Asia) Limited; Suzhou Harvest International Co., Limited</t>
        </is>
      </c>
      <c r="X264" s="62" t="inlineStr">
        <is>
          <t>gold;reynold;suzhou</t>
        </is>
      </c>
      <c r="Y264" s="66" t="n"/>
      <c r="Z264" s="62" t="n"/>
      <c r="AA264" s="71" t="n">
        <v>-27.82</v>
      </c>
      <c r="AB264" s="72" t="n">
        <v>35.61</v>
      </c>
      <c r="AC264" s="72" t="n">
        <v>-46.77</v>
      </c>
      <c r="AD264" s="72" t="n">
        <v>-22</v>
      </c>
      <c r="AE264" s="72" t="n">
        <v>-12.4</v>
      </c>
      <c r="AF264" s="72" t="n">
        <v>-23.14</v>
      </c>
      <c r="AG264" s="72" t="n">
        <v>8.06</v>
      </c>
      <c r="AH264" s="72" t="n">
        <v>21.36</v>
      </c>
      <c r="AI264" s="72" t="n">
        <v>6.48</v>
      </c>
      <c r="AJ264" s="72" t="n">
        <v>-21.32</v>
      </c>
      <c r="AK264" s="72" t="n">
        <v>-7.81</v>
      </c>
      <c r="AL264" s="72" t="n">
        <v>-55.91</v>
      </c>
      <c r="AM264" s="72" t="n">
        <v>25.13</v>
      </c>
      <c r="AN264" s="72" t="n">
        <v>-4.59</v>
      </c>
      <c r="AO264" s="72" t="n">
        <v>-3.77</v>
      </c>
      <c r="AP264" s="62" t="inlineStr">
        <is>
          <t>HSTECH (Hang Seng TECH ETF)</t>
        </is>
      </c>
      <c r="AQ264" s="72" t="n">
        <v>-22</v>
      </c>
      <c r="AR264" s="63" t="inlineStr">
        <is>
          <t>2026-08-19</t>
        </is>
      </c>
      <c r="AS264" s="64" t="n">
        <v>485.2</v>
      </c>
      <c r="AT264" s="67" t="n">
        <v>38.6</v>
      </c>
      <c r="AU264" s="62" t="inlineStr">
        <is>
          <t>Y</t>
        </is>
      </c>
      <c r="AV264" s="73" t="n">
        <v>108.2</v>
      </c>
      <c r="AW264" s="73" t="n">
        <v>72.7</v>
      </c>
      <c r="AX264" s="73" t="n">
        <v>72.5</v>
      </c>
      <c r="AY264" s="73" t="n">
        <v>8.6</v>
      </c>
      <c r="AZ264" s="74" t="inlineStr">
        <is>
          <t>N</t>
        </is>
      </c>
      <c r="BA264" s="75">
        <f>IF('BBG Verify'!K264="","not filed — run on terminal",'BBG Verify'!K264)</f>
        <v/>
      </c>
      <c r="BB264" s="62" t="inlineStr">
        <is>
          <t>N/A</t>
        </is>
      </c>
      <c r="BC264" s="62" t="inlineStr">
        <is>
          <t>N/A</t>
        </is>
      </c>
      <c r="BD264" s="62" t="inlineStr">
        <is>
          <t>N/A</t>
        </is>
      </c>
      <c r="BE264" s="62" t="inlineStr">
        <is>
          <t>N/A</t>
        </is>
      </c>
      <c r="BF264" s="62" t="inlineStr">
        <is>
          <t>N/A</t>
        </is>
      </c>
      <c r="BG264" s="74" t="inlineStr">
        <is>
          <t>CITIC Securities (Hong Kong) Limited</t>
        </is>
      </c>
      <c r="BH264" s="62" t="inlineStr">
        <is>
          <t>CITIC Securities (Hong Kong) Limited</t>
        </is>
      </c>
      <c r="BI264" s="62" t="inlineStr">
        <is>
          <t>CLSA Limited; CMB International Capital Limited; ABCI Capital Limited; Soochow Securities International Brokerage Limited; CCB International Capital Limited; SPDB International Capital Limited; Livermore Holdings Limited; Futu Securities International (Hong Kong) Limited; Tiger Brokers (HK) Global Limited</t>
        </is>
      </c>
      <c r="BJ264" s="62" t="inlineStr">
        <is>
          <t>ABCI Securities Company Limited; CCB International Capital Limited; CLSA Limited; CMB International Capital Limited; Futu Securities International (Hong Kong) Limited; ICBC International Securities Limited; Livermore Holdings Limited; SPDB International Capital Limited; Soochow Securities International Brokerage Limited; Tiger Brokers (HK) Global Limited</t>
        </is>
      </c>
      <c r="BK264" s="76">
        <f>HYPERLINK("https://www1.hkexnews.hk/listedco/listconews/sehk/2024/0620/2024062000191.pdf","prospectus")</f>
        <v/>
      </c>
      <c r="BL264" s="76">
        <f>HYPERLINK("https://www1.hkexnews.hk/listedco/listconews/sehk/2024/0627/2024062702312.pdf","allotment")</f>
        <v/>
      </c>
      <c r="BM264" s="62" t="n"/>
      <c r="BN264" s="74" t="n"/>
      <c r="BO264" s="62" t="inlineStr">
        <is>
          <t>intl sub: parsed 0.99x rejected — implausible for a deal struck at the cap with the public tranche 603x subscribed (a percentage read as a multiple); BBG Verify CP037 fills this on the terminal · greenshoe: no over-allotment option in the offer structure · range low: cap-only pricing — the filing publishes a Maximum Offer Price and no indicative floor · A/H: no A-share listing · greenshoe size: no over-allotment option in the offer structure</t>
        </is>
      </c>
    </row>
    <row r="265" ht="15" customHeight="1">
      <c r="A265" s="61" t="inlineStr">
        <is>
          <t>6181</t>
        </is>
      </c>
      <c r="B265" s="62" t="inlineStr">
        <is>
          <t>LAOPU GOLD</t>
        </is>
      </c>
      <c r="C265" s="62" t="inlineStr">
        <is>
          <t>老鋪黃金</t>
        </is>
      </c>
      <c r="D265" s="62" t="inlineStr">
        <is>
          <t>Consumer</t>
        </is>
      </c>
      <c r="E265" s="62" t="inlineStr">
        <is>
          <t>Apparel / luxury</t>
        </is>
      </c>
      <c r="F265" s="62" t="inlineStr">
        <is>
          <t>Watch &amp; Jewellery</t>
        </is>
      </c>
      <c r="G265" s="62" t="inlineStr">
        <is>
          <t>Standard</t>
        </is>
      </c>
      <c r="H265" s="63" t="n">
        <v>45471</v>
      </c>
      <c r="I265" s="64" t="n">
        <v>905.9</v>
      </c>
      <c r="J265" s="62" t="inlineStr">
        <is>
          <t>gross (price x shares)</t>
        </is>
      </c>
      <c r="K265" s="65" t="n"/>
      <c r="L265" s="65" t="n">
        <v>40.5</v>
      </c>
      <c r="M265" s="65" t="n">
        <v>40.5</v>
      </c>
      <c r="N265" s="62" t="inlineStr">
        <is>
          <t>Y</t>
        </is>
      </c>
      <c r="O265" s="66" t="n">
        <v>100</v>
      </c>
      <c r="P265" s="66" t="n"/>
      <c r="Q265" s="67" t="n">
        <v>6683</v>
      </c>
      <c r="R265" s="62" t="inlineStr">
        <is>
          <t>derived:price x shares upon listing</t>
        </is>
      </c>
      <c r="S265" s="68" t="n">
        <v>582.15</v>
      </c>
      <c r="T265" s="69" t="n">
        <v>11.9</v>
      </c>
      <c r="U265" s="70" t="n">
        <v>55.53</v>
      </c>
      <c r="V265" s="66" t="n">
        <v>6.03</v>
      </c>
      <c r="W265" s="62" t="inlineStr">
        <is>
          <t>China Southern Asset Management Co., Ltd; CPE Greater China Enterprises Growth Fund; Huang River Investment Limited</t>
        </is>
      </c>
      <c r="X265" s="62" t="inlineStr">
        <is>
          <t>southern;cpe;huang-river</t>
        </is>
      </c>
      <c r="Y265" s="66" t="n">
        <v>15</v>
      </c>
      <c r="Z265" s="62" t="inlineStr">
        <is>
          <t>full</t>
        </is>
      </c>
      <c r="AA265" s="71" t="n">
        <v>72.84</v>
      </c>
      <c r="AB265" s="72" t="n">
        <v>59.26</v>
      </c>
      <c r="AC265" s="72" t="n">
        <v>8.529999999999999</v>
      </c>
      <c r="AD265" s="72" t="n">
        <v>110.37</v>
      </c>
      <c r="AE265" s="72" t="n">
        <v>104.94</v>
      </c>
      <c r="AF265" s="72" t="n">
        <v>262.96</v>
      </c>
      <c r="AG265" s="72" t="n">
        <v>21.71</v>
      </c>
      <c r="AH265" s="72" t="n">
        <v>18.57</v>
      </c>
      <c r="AI265" s="72" t="n">
        <v>110</v>
      </c>
      <c r="AJ265" s="72" t="n">
        <v>109.67</v>
      </c>
      <c r="AK265" s="72" t="n">
        <v>109.15</v>
      </c>
      <c r="AL265" s="72" t="n">
        <v>239.17</v>
      </c>
      <c r="AM265" s="72" t="n">
        <v>22.62</v>
      </c>
      <c r="AN265" s="72" t="n">
        <v>-4.21</v>
      </c>
      <c r="AO265" s="72" t="n">
        <v>-4.05</v>
      </c>
      <c r="AP265" s="62" t="inlineStr">
        <is>
          <t>Hang Seng Commerce &amp; Industry sub-index</t>
        </is>
      </c>
      <c r="AQ265" s="72" t="n">
        <v>814.0700000000001</v>
      </c>
      <c r="AR265" s="63" t="inlineStr">
        <is>
          <t>2026-08-20</t>
        </is>
      </c>
      <c r="AS265" s="64" t="n">
        <v>3497.5</v>
      </c>
      <c r="AT265" s="67" t="n">
        <v>125.3</v>
      </c>
      <c r="AU265" s="62" t="inlineStr">
        <is>
          <t>Y</t>
        </is>
      </c>
      <c r="AV265" s="73" t="n">
        <v>53.3</v>
      </c>
      <c r="AW265" s="73" t="n"/>
      <c r="AX265" s="73" t="n">
        <v>10.6</v>
      </c>
      <c r="AY265" s="73" t="n">
        <v>1.9</v>
      </c>
      <c r="AZ265" s="74" t="inlineStr">
        <is>
          <t>N</t>
        </is>
      </c>
      <c r="BA265" s="75">
        <f>IF('BBG Verify'!K265="","not filed — run on terminal",'BBG Verify'!K265)</f>
        <v/>
      </c>
      <c r="BB265" s="62" t="inlineStr">
        <is>
          <t>N/A</t>
        </is>
      </c>
      <c r="BC265" s="62" t="inlineStr">
        <is>
          <t>N/A</t>
        </is>
      </c>
      <c r="BD265" s="62" t="inlineStr">
        <is>
          <t>N/A</t>
        </is>
      </c>
      <c r="BE265" s="62" t="inlineStr">
        <is>
          <t>N/A</t>
        </is>
      </c>
      <c r="BF265" s="62" t="inlineStr">
        <is>
          <t>N/A</t>
        </is>
      </c>
      <c r="BG265" s="74" t="inlineStr">
        <is>
          <t>China Securities (International) Corporate Finance Company Limited</t>
        </is>
      </c>
      <c r="BH265" s="62" t="inlineStr">
        <is>
          <t>China Securities (International) Corporate Finance Company Limited</t>
        </is>
      </c>
      <c r="BI265" s="62" t="inlineStr">
        <is>
          <t>China Securities (International) Corporate Finance Company Limited; CCB International Capital Limited; BOCOM International Securities Limited</t>
        </is>
      </c>
      <c r="BJ265" s="62" t="inlineStr">
        <is>
          <t>BOCOM International Securities Limited; CCB International Capital Limited; China Securities (International) Corporate Finance Company Limited; Tiger Brokers (HK) Global Limited</t>
        </is>
      </c>
      <c r="BK265" s="76">
        <f>HYPERLINK("https://www1.hkexnews.hk/listedco/listconews/sehk/2024/0620/2024062000017.pdf","prospectus")</f>
        <v/>
      </c>
      <c r="BL265" s="76">
        <f>HYPERLINK("https://www1.hkexnews.hk/listedco/listconews/sehk/2024/0627/2024062702334.pdf","allotment")</f>
        <v/>
      </c>
      <c r="BM265" s="76">
        <f>HYPERLINK("https://www1.hkexnews.hk/listedco/listconews/sehk/2024/0725/2024072501435.pdf","stabilisation")</f>
        <v/>
      </c>
      <c r="BN265" s="74" t="n"/>
      <c r="BO265" s="62" t="inlineStr">
        <is>
          <t>range low: cap-only pricing — the filing publishes a Maximum Offer Price and no indicative floor · A/H: no A line; closest listed proxy {'code': '002345.SZ', 'name': 'Chow Hong Ji (CHJ Jewellery)', 'rationale': "A-listed fashion/heritage gold jewellery brand with craftsmanship positioning — nearest to Laopu's ancient-gold premium retail model (large-cap alternative: Lao Feng Xiang 600612.SS)."}</t>
        </is>
      </c>
    </row>
    <row r="266" ht="15" customHeight="1">
      <c r="A266" s="61" t="inlineStr">
        <is>
          <t>2545</t>
        </is>
      </c>
      <c r="B266" s="62" t="inlineStr">
        <is>
          <t>ZHONGGAN COMM</t>
        </is>
      </c>
      <c r="C266" s="62" t="inlineStr">
        <is>
          <t>中贛通信</t>
        </is>
      </c>
      <c r="D266" s="62" t="inlineStr">
        <is>
          <t>TMT-other</t>
        </is>
      </c>
      <c r="E266" s="62" t="inlineStr">
        <is>
          <t>Telecom</t>
        </is>
      </c>
      <c r="F266" s="62" t="inlineStr">
        <is>
          <t>Telecommunications &amp; Networking Equipment</t>
        </is>
      </c>
      <c r="G266" s="62" t="inlineStr">
        <is>
          <t>Standard</t>
        </is>
      </c>
      <c r="H266" s="63" t="n">
        <v>45476</v>
      </c>
      <c r="I266" s="64" t="n">
        <v>200</v>
      </c>
      <c r="J266" s="62" t="inlineStr">
        <is>
          <t>gross (price x shares)</t>
        </is>
      </c>
      <c r="K266" s="65" t="n">
        <v>1.13</v>
      </c>
      <c r="L266" s="65" t="n">
        <v>1.25</v>
      </c>
      <c r="M266" s="65" t="n">
        <v>1.25</v>
      </c>
      <c r="N266" s="62" t="inlineStr">
        <is>
          <t>Y</t>
        </is>
      </c>
      <c r="O266" s="66" t="n">
        <v>100</v>
      </c>
      <c r="P266" s="66" t="n">
        <v>100</v>
      </c>
      <c r="Q266" s="67" t="n">
        <v>800</v>
      </c>
      <c r="R266" s="62" t="inlineStr">
        <is>
          <t>derived:price x shares upon listing</t>
        </is>
      </c>
      <c r="S266" s="68" t="n">
        <v>195.99</v>
      </c>
      <c r="T266" s="69" t="n">
        <v>1.5</v>
      </c>
      <c r="U266" s="70" t="n">
        <v>0</v>
      </c>
      <c r="V266" s="66" t="n">
        <v>25</v>
      </c>
      <c r="W266" s="62" t="n"/>
      <c r="X266" s="62" t="n"/>
      <c r="Y266" s="66" t="n">
        <v>15</v>
      </c>
      <c r="Z266" s="62" t="inlineStr">
        <is>
          <t>lapsed (no over-allocation)</t>
        </is>
      </c>
      <c r="AA266" s="71" t="n">
        <v>-46.4</v>
      </c>
      <c r="AB266" s="72" t="n">
        <v>-39.2</v>
      </c>
      <c r="AC266" s="72" t="n">
        <v>-11.84</v>
      </c>
      <c r="AD266" s="72" t="n">
        <v>-63.6</v>
      </c>
      <c r="AE266" s="72" t="n">
        <v>-65.59999999999999</v>
      </c>
      <c r="AF266" s="72" t="n">
        <v>-68.40000000000001</v>
      </c>
      <c r="AG266" s="72" t="n">
        <v>-32.09</v>
      </c>
      <c r="AH266" s="72" t="n">
        <v>-35.82</v>
      </c>
      <c r="AI266" s="72" t="n">
        <v>-41.04</v>
      </c>
      <c r="AJ266" s="72" t="n">
        <v>-61.93</v>
      </c>
      <c r="AK266" s="72" t="n">
        <v>-62.99</v>
      </c>
      <c r="AL266" s="72" t="n">
        <v>-92.84999999999999</v>
      </c>
      <c r="AM266" s="72" t="n">
        <v>-32.07</v>
      </c>
      <c r="AN266" s="72" t="n">
        <v>-2.61</v>
      </c>
      <c r="AO266" s="72" t="n">
        <v>-3.75</v>
      </c>
      <c r="AP266" s="62" t="inlineStr">
        <is>
          <t>Hang Seng Index</t>
        </is>
      </c>
      <c r="AQ266" s="72" t="n">
        <v>-64.8</v>
      </c>
      <c r="AR266" s="63" t="inlineStr">
        <is>
          <t>2026-08-20</t>
        </is>
      </c>
      <c r="AS266" s="64" t="n">
        <v>454.4</v>
      </c>
      <c r="AT266" s="67" t="n">
        <v>75.5</v>
      </c>
      <c r="AU266" s="62" t="inlineStr">
        <is>
          <t>Y</t>
        </is>
      </c>
      <c r="AV266" s="73" t="n">
        <v>10.6</v>
      </c>
      <c r="AW266" s="73" t="n"/>
      <c r="AX266" s="73" t="n">
        <v>23.7</v>
      </c>
      <c r="AY266" s="73" t="n">
        <v>1.8</v>
      </c>
      <c r="AZ266" s="74" t="inlineStr">
        <is>
          <t>N</t>
        </is>
      </c>
      <c r="BA266" s="75">
        <f>IF('BBG Verify'!K266="","not filed — run on terminal",'BBG Verify'!K266)</f>
        <v/>
      </c>
      <c r="BB266" s="62" t="inlineStr">
        <is>
          <t>N/A</t>
        </is>
      </c>
      <c r="BC266" s="62" t="inlineStr">
        <is>
          <t>N/A</t>
        </is>
      </c>
      <c r="BD266" s="62" t="inlineStr">
        <is>
          <t>N/A</t>
        </is>
      </c>
      <c r="BE266" s="62" t="inlineStr">
        <is>
          <t>N/A</t>
        </is>
      </c>
      <c r="BF266" s="62" t="inlineStr">
        <is>
          <t>N/A</t>
        </is>
      </c>
      <c r="BG266" s="74" t="inlineStr">
        <is>
          <t>Zhongtai International Capital Limited</t>
        </is>
      </c>
      <c r="BH266" s="62" t="inlineStr">
        <is>
          <t>Zhongtai International Capital Limited</t>
        </is>
      </c>
      <c r="BI266" s="62" t="inlineStr">
        <is>
          <t>Zhongtai International Securities Limited; CCB International Capital Limited; CMB International Capital Limited; ABCI Capital Limited; ICBC International Securities Limited; CMBC Securities Company Limited; China Sunrise Securities (International) Limited</t>
        </is>
      </c>
      <c r="BJ266" s="62" t="inlineStr">
        <is>
          <t>ABCI Securities Company Limited; BOCOM International Securities Limited; CCB International Capital Limited; CMBC Securities Company Limited; CMB International Capital Limited; China Sunrise Securities (International) Limited; First Shanghai Securities Limited; Futu Securities International (Hong Kong) Limited; ICBC International Securities Limited; Livermore Holdings Limited; Patrons Securities Limited; Tiger Brokers (HK) Global Limited</t>
        </is>
      </c>
      <c r="BK266" s="76">
        <f>HYPERLINK("https://www1.hkexnews.hk/listedco/listconews/sehk/2024/0621/2024062100099.pdf","prospectus")</f>
        <v/>
      </c>
      <c r="BL266" s="76">
        <f>HYPERLINK("https://www1.hkexnews.hk/listedco/listconews/sehk/2024/0702/2024070203581.pdf","allotment")</f>
        <v/>
      </c>
      <c r="BM266" s="76">
        <f>HYPERLINK("https://www1.hkexnews.hk/listedco/listconews/sehk/2024/0729/2024072900518.pdf","stabilisation")</f>
        <v/>
      </c>
      <c r="BN266" s="74" t="n"/>
      <c r="BO266" s="62" t="inlineStr">
        <is>
          <t>A/H: no A-share listing · cornerstone list: no cornerstone tranche in this deal</t>
        </is>
      </c>
    </row>
    <row r="267" ht="15" customHeight="1">
      <c r="A267" s="61" t="inlineStr">
        <is>
          <t>1354</t>
        </is>
      </c>
      <c r="B267" s="62" t="inlineStr">
        <is>
          <t>KINGFARPROPERTY</t>
        </is>
      </c>
      <c r="C267" s="62" t="inlineStr">
        <is>
          <t>經發物業</t>
        </is>
      </c>
      <c r="D267" s="62" t="inlineStr">
        <is>
          <t>Real Estate</t>
        </is>
      </c>
      <c r="E267" s="62" t="inlineStr">
        <is>
          <t>Property management</t>
        </is>
      </c>
      <c r="F267" s="62" t="inlineStr">
        <is>
          <t>Property Service and Management</t>
        </is>
      </c>
      <c r="G267" s="62" t="inlineStr">
        <is>
          <t>Standard</t>
        </is>
      </c>
      <c r="H267" s="63" t="n">
        <v>45476</v>
      </c>
      <c r="I267" s="64" t="n">
        <v>125</v>
      </c>
      <c r="J267" s="62" t="inlineStr">
        <is>
          <t>gross (price x shares)</t>
        </is>
      </c>
      <c r="K267" s="65" t="n">
        <v>7.5</v>
      </c>
      <c r="L267" s="65" t="n">
        <v>9.300000000000001</v>
      </c>
      <c r="M267" s="65" t="n">
        <v>7.5</v>
      </c>
      <c r="N267" s="62" t="inlineStr">
        <is>
          <t>N</t>
        </is>
      </c>
      <c r="O267" s="66" t="n">
        <v>80.59999999999999</v>
      </c>
      <c r="P267" s="66" t="n">
        <v>0</v>
      </c>
      <c r="Q267" s="67" t="n">
        <v>500</v>
      </c>
      <c r="R267" s="62" t="inlineStr">
        <is>
          <t>derived:price x shares upon listing</t>
        </is>
      </c>
      <c r="S267" s="68" t="n">
        <v>118.87</v>
      </c>
      <c r="T267" s="69" t="n">
        <v>0.98</v>
      </c>
      <c r="U267" s="70" t="n">
        <v>43.05</v>
      </c>
      <c r="V267" s="66" t="n">
        <v>14.24</v>
      </c>
      <c r="W267" s="62" t="inlineStr">
        <is>
          <t>Xian Dingzhun Education and Technology Co., Ltd; Xian Tianbo Diagnostics Co., Ltd</t>
        </is>
      </c>
      <c r="X267" s="62" t="inlineStr">
        <is>
          <t>xian</t>
        </is>
      </c>
      <c r="Y267" s="66" t="n">
        <v>10.8</v>
      </c>
      <c r="Z267" s="62" t="inlineStr">
        <is>
          <t>lapsed (no over-allocation)</t>
        </is>
      </c>
      <c r="AA267" s="71" t="n">
        <v>-11.47</v>
      </c>
      <c r="AB267" s="72" t="n">
        <v>2</v>
      </c>
      <c r="AC267" s="72" t="n">
        <v>-13.21</v>
      </c>
      <c r="AD267" s="72" t="n">
        <v>-24</v>
      </c>
      <c r="AE267" s="72" t="n">
        <v>26.13</v>
      </c>
      <c r="AF267" s="72" t="n">
        <v>168</v>
      </c>
      <c r="AG267" s="72" t="n">
        <v>-14.15</v>
      </c>
      <c r="AH267" s="72" t="n">
        <v>42.47</v>
      </c>
      <c r="AI267" s="72" t="n">
        <v>202.72</v>
      </c>
      <c r="AJ267" s="72" t="n">
        <v>-21.92</v>
      </c>
      <c r="AK267" s="72" t="n">
        <v>28.97</v>
      </c>
      <c r="AL267" s="72" t="n">
        <v>140.96</v>
      </c>
      <c r="AM267" s="72" t="n">
        <v>47.19</v>
      </c>
      <c r="AN267" s="72" t="n">
        <v>-2.84</v>
      </c>
      <c r="AO267" s="72" t="n">
        <v>-4.72</v>
      </c>
      <c r="AP267" s="62" t="inlineStr">
        <is>
          <t>Hang Seng Properties sub-index</t>
        </is>
      </c>
      <c r="AQ267" s="72" t="n">
        <v>-72.67</v>
      </c>
      <c r="AR267" s="63" t="inlineStr">
        <is>
          <t>2026-08-20</t>
        </is>
      </c>
      <c r="AS267" s="64" t="n">
        <v>948.5</v>
      </c>
      <c r="AT267" s="67" t="n">
        <v>56.1</v>
      </c>
      <c r="AU267" s="62" t="inlineStr">
        <is>
          <t>Y</t>
        </is>
      </c>
      <c r="AV267" s="73" t="n">
        <v>8.9</v>
      </c>
      <c r="AW267" s="73" t="n"/>
      <c r="AX267" s="73" t="n">
        <v>1.8</v>
      </c>
      <c r="AY267" s="73" t="n">
        <v>0.5</v>
      </c>
      <c r="AZ267" s="74" t="inlineStr">
        <is>
          <t>N</t>
        </is>
      </c>
      <c r="BA267" s="75">
        <f>IF('BBG Verify'!K267="","not filed — run on terminal",'BBG Verify'!K267)</f>
        <v/>
      </c>
      <c r="BB267" s="62" t="inlineStr">
        <is>
          <t>N/A</t>
        </is>
      </c>
      <c r="BC267" s="62" t="inlineStr">
        <is>
          <t>N/A</t>
        </is>
      </c>
      <c r="BD267" s="62" t="inlineStr">
        <is>
          <t>N/A</t>
        </is>
      </c>
      <c r="BE267" s="62" t="inlineStr">
        <is>
          <t>N/A</t>
        </is>
      </c>
      <c r="BF267" s="62" t="inlineStr">
        <is>
          <t>N/A</t>
        </is>
      </c>
      <c r="BG267" s="74" t="inlineStr">
        <is>
          <t>CEB International Capital Corporation Limited</t>
        </is>
      </c>
      <c r="BH267" s="62" t="inlineStr">
        <is>
          <t>CEB International Capital Corporation Limited</t>
        </is>
      </c>
      <c r="BI267" s="62" t="inlineStr">
        <is>
          <t>CEB International Capital Corporation Limited; CMB International Capital Limited; CCB International Capital Limited; ABCI Capital Limited; ICBC International Securities Limited; CMBC Securities Company Limited; China Everbright Securities (HK) Limited; Zhongtai International Securities Limited; China Galaxy International Securities (Hong Kong) Co., Limited; Cinda International Capital Limited; Tiger Brokers (HK) Global Limited; Futu Securities International (Hong Kong) Limited</t>
        </is>
      </c>
      <c r="BJ267" s="62" t="inlineStr">
        <is>
          <t>ABCI Securities Company Limited; Aristo Securities Limited; CCB International Capital Limited; CEB International Capital Corporation Limited; China Everbright Securities (HK) Limited; China Galaxy International Securities (Hong Kong) Company Limited; Cinda International Capital Limited; CMBC Securities Company Limited; CMB International Capital Limited; Futu Securities International (Hong Kong) Limited; ICBC International Securities Limited; Livermore Holdings Limited</t>
        </is>
      </c>
      <c r="BK267" s="76">
        <f>HYPERLINK("https://www1.hkexnews.hk/listedco/listconews/sehk/2024/0624/2024062400007.pdf","prospectus")</f>
        <v/>
      </c>
      <c r="BL267" s="76">
        <f>HYPERLINK("https://www1.hkexnews.hk/listedco/listconews/sehk/2024/0702/2024070203671.pdf","allotment")</f>
        <v/>
      </c>
      <c r="BM267" s="76">
        <f>HYPERLINK("https://www1.hkexnews.hk/listedco/listconews/sehk/2024/0729/2024072900434.pdf","stabilisation")</f>
        <v/>
      </c>
      <c r="BN267" s="74" t="n"/>
      <c r="BO267" s="62" t="inlineStr">
        <is>
          <t>A/H: no A-share listing</t>
        </is>
      </c>
    </row>
    <row r="268" ht="15" customHeight="1">
      <c r="A268" s="61" t="inlineStr">
        <is>
          <t>6657</t>
        </is>
      </c>
      <c r="B268" s="62" t="inlineStr">
        <is>
          <t>BAIWANG CO</t>
        </is>
      </c>
      <c r="C268" s="62" t="inlineStr">
        <is>
          <t>百望股份</t>
        </is>
      </c>
      <c r="D268" s="62" t="inlineStr">
        <is>
          <t>Tech/AI</t>
        </is>
      </c>
      <c r="E268" s="62" t="inlineStr">
        <is>
          <t>SaaS / enterprise software</t>
        </is>
      </c>
      <c r="F268" s="62" t="inlineStr">
        <is>
          <t>Systems Software</t>
        </is>
      </c>
      <c r="G268" s="62" t="inlineStr">
        <is>
          <t>Standard</t>
        </is>
      </c>
      <c r="H268" s="63" t="n">
        <v>45482</v>
      </c>
      <c r="I268" s="64" t="n">
        <v>333.4</v>
      </c>
      <c r="J268" s="62" t="inlineStr">
        <is>
          <t>gross (price x shares)</t>
        </is>
      </c>
      <c r="K268" s="65" t="n">
        <v>36</v>
      </c>
      <c r="L268" s="65" t="n">
        <v>40</v>
      </c>
      <c r="M268" s="65" t="n">
        <v>36</v>
      </c>
      <c r="N268" s="62" t="inlineStr">
        <is>
          <t>N</t>
        </is>
      </c>
      <c r="O268" s="66" t="n">
        <v>90</v>
      </c>
      <c r="P268" s="66" t="n">
        <v>0</v>
      </c>
      <c r="Q268" s="67" t="n">
        <v>8132.6</v>
      </c>
      <c r="R268" s="62" t="inlineStr">
        <is>
          <t>derived:price x shares upon listing</t>
        </is>
      </c>
      <c r="S268" s="68" t="n">
        <v>6.58</v>
      </c>
      <c r="T268" s="69" t="n">
        <v>1.04</v>
      </c>
      <c r="U268" s="70" t="n">
        <v>78</v>
      </c>
      <c r="V268" s="66" t="n">
        <v>0.9</v>
      </c>
      <c r="W268" s="62" t="inlineStr">
        <is>
          <t>Jiangsu Yuanli Industrial Investment Co., Ltd</t>
        </is>
      </c>
      <c r="X268" s="62" t="inlineStr">
        <is>
          <t>jiangsu</t>
        </is>
      </c>
      <c r="Y268" s="66" t="n">
        <v>6.61</v>
      </c>
      <c r="Z268" s="62" t="inlineStr">
        <is>
          <t>lapsed</t>
        </is>
      </c>
      <c r="AA268" s="71" t="n">
        <v>8.06</v>
      </c>
      <c r="AB268" s="72" t="n">
        <v>-11.11</v>
      </c>
      <c r="AC268" s="72" t="n">
        <v>21.57</v>
      </c>
      <c r="AD268" s="72" t="n">
        <v>-4.86</v>
      </c>
      <c r="AE268" s="72" t="n">
        <v>-5.56</v>
      </c>
      <c r="AF268" s="72" t="n">
        <v>-1.94</v>
      </c>
      <c r="AG268" s="72" t="n">
        <v>-11.96</v>
      </c>
      <c r="AH268" s="72" t="n">
        <v>-12.6</v>
      </c>
      <c r="AI268" s="72" t="n">
        <v>-9.25</v>
      </c>
      <c r="AJ268" s="72" t="n">
        <v>-6.52</v>
      </c>
      <c r="AK268" s="72" t="n">
        <v>-0.42</v>
      </c>
      <c r="AL268" s="72" t="n">
        <v>-31.51</v>
      </c>
      <c r="AM268" s="72" t="n">
        <v>-6.76</v>
      </c>
      <c r="AN268" s="72" t="n">
        <v>-5.14</v>
      </c>
      <c r="AO268" s="72" t="n">
        <v>-5.84</v>
      </c>
      <c r="AP268" s="62" t="inlineStr">
        <is>
          <t>HSTECH (Hang Seng TECH ETF)</t>
        </is>
      </c>
      <c r="AQ268" s="72" t="n">
        <v>-62.78</v>
      </c>
      <c r="AR268" s="63" t="inlineStr">
        <is>
          <t>2026-08-20</t>
        </is>
      </c>
      <c r="AS268" s="64" t="n">
        <v>784.3</v>
      </c>
      <c r="AT268" s="67" t="n">
        <v>-395.2</v>
      </c>
      <c r="AU268" s="62" t="inlineStr">
        <is>
          <t>N</t>
        </is>
      </c>
      <c r="AV268" s="62" t="inlineStr">
        <is>
          <t>n/m</t>
        </is>
      </c>
      <c r="AW268" s="73" t="n"/>
      <c r="AX268" s="73" t="n"/>
      <c r="AY268" s="73" t="n">
        <v>10.4</v>
      </c>
      <c r="AZ268" s="74" t="inlineStr">
        <is>
          <t>N</t>
        </is>
      </c>
      <c r="BA268" s="75">
        <f>IF('BBG Verify'!K268="","not filed — run on terminal",'BBG Verify'!K268)</f>
        <v/>
      </c>
      <c r="BB268" s="62" t="inlineStr">
        <is>
          <t>N/A</t>
        </is>
      </c>
      <c r="BC268" s="62" t="inlineStr">
        <is>
          <t>N/A</t>
        </is>
      </c>
      <c r="BD268" s="62" t="inlineStr">
        <is>
          <t>N/A</t>
        </is>
      </c>
      <c r="BE268" s="62" t="inlineStr">
        <is>
          <t>N/A</t>
        </is>
      </c>
      <c r="BF268" s="62" t="inlineStr">
        <is>
          <t>N/A</t>
        </is>
      </c>
      <c r="BG268" s="74" t="inlineStr">
        <is>
          <t>Haitong International Capital Limited; Sponsor-OC Haitong International Securities Company Limited</t>
        </is>
      </c>
      <c r="BH268" s="62" t="inlineStr">
        <is>
          <t>Haitong International Capital Limited</t>
        </is>
      </c>
      <c r="BI268" s="62" t="inlineStr">
        <is>
          <t>and Capital Markets Intermediaries Huatai Financial Holdings (Hong Kong) Limited; BOCI Asia Limited; Central, Hong Kong Shenwan Hongyuan Securities (H.K.) Limited</t>
        </is>
      </c>
      <c r="BJ268" s="62" t="inlineStr">
        <is>
          <t>BOCI Asia Limited; CMB International Capital Limited; Fosun International Securities Limited; Futu Securities International (Hong Kong) Limited; Huatai Financial Holdings (Hong Kong) Limited; Haitong International Securities Company Limited; Livermore Holdings Limited; Shenwan Hongyuan Securities (H.K.) Limited</t>
        </is>
      </c>
      <c r="BK268" s="76">
        <f>HYPERLINK("https://www1.hkexnews.hk/listedco/listconews/sehk/2024/0628/2024062800069.pdf","prospectus")</f>
        <v/>
      </c>
      <c r="BL268" s="76">
        <f>HYPERLINK("https://www1.hkexnews.hk/listedco/listconews/sehk/2024/0708/2024070801055.pdf","allotment")</f>
        <v/>
      </c>
      <c r="BM268" s="76">
        <f>HYPERLINK("https://www1.hkexnews.hk/listedco/listconews/sehk/2024/0804/2024080400007.pdf","stabilisation")</f>
        <v/>
      </c>
      <c r="BN268" s="74" t="n"/>
      <c r="BO268" s="62" t="inlineStr">
        <is>
          <t>P/E: n/m — loss-making at IPO (use P/S) · A/H: no A-share listing</t>
        </is>
      </c>
    </row>
    <row r="269" ht="15" customHeight="1">
      <c r="A269" s="61" t="inlineStr">
        <is>
          <t>6086</t>
        </is>
      </c>
      <c r="B269" s="62" t="inlineStr">
        <is>
          <t>FANGZHOU JIANKE</t>
        </is>
      </c>
      <c r="C269" s="62" t="inlineStr">
        <is>
          <t>方舟健客</t>
        </is>
      </c>
      <c r="D269" s="62" t="inlineStr">
        <is>
          <t>Healthcare</t>
        </is>
      </c>
      <c r="E269" s="62" t="inlineStr">
        <is>
          <t>Digital health</t>
        </is>
      </c>
      <c r="F269" s="62" t="inlineStr">
        <is>
          <t>Health Care Services</t>
        </is>
      </c>
      <c r="G269" s="62" t="inlineStr">
        <is>
          <t>Standard</t>
        </is>
      </c>
      <c r="H269" s="63" t="n">
        <v>45482</v>
      </c>
      <c r="I269" s="64" t="n">
        <v>194.68</v>
      </c>
      <c r="J269" s="62" t="inlineStr">
        <is>
          <t>gross (stated)</t>
        </is>
      </c>
      <c r="K269" s="65" t="n"/>
      <c r="L269" s="65" t="n">
        <v>8.359999999999999</v>
      </c>
      <c r="M269" s="65" t="n">
        <v>8.18</v>
      </c>
      <c r="N269" s="62" t="inlineStr">
        <is>
          <t>N</t>
        </is>
      </c>
      <c r="O269" s="66" t="n">
        <v>97.8</v>
      </c>
      <c r="P269" s="66" t="n"/>
      <c r="Q269" s="67" t="n">
        <v>10963.4</v>
      </c>
      <c r="R269" s="62" t="inlineStr">
        <is>
          <t>derived:price x shares upon listing</t>
        </is>
      </c>
      <c r="S269" s="68" t="n">
        <v>16.63</v>
      </c>
      <c r="T269" s="69" t="n">
        <v>1.66</v>
      </c>
      <c r="U269" s="70" t="n">
        <v>28.6</v>
      </c>
      <c r="V269" s="66" t="n">
        <v>1.27</v>
      </c>
      <c r="W269" s="62" t="n"/>
      <c r="X269" s="62" t="n"/>
      <c r="Y269" s="66" t="n">
        <v>8.720000000000001</v>
      </c>
      <c r="Z269" s="62" t="inlineStr">
        <is>
          <t>lapsed</t>
        </is>
      </c>
      <c r="AA269" s="71" t="n">
        <v>-44.62</v>
      </c>
      <c r="AB269" s="72" t="n">
        <v>-42.79</v>
      </c>
      <c r="AC269" s="72" t="n">
        <v>-3.2</v>
      </c>
      <c r="AD269" s="72" t="n">
        <v>-43.77</v>
      </c>
      <c r="AE269" s="72" t="n">
        <v>-47.8</v>
      </c>
      <c r="AF269" s="72" t="n">
        <v>-15.53</v>
      </c>
      <c r="AG269" s="72" t="n">
        <v>1.53</v>
      </c>
      <c r="AH269" s="72" t="n">
        <v>-5.74</v>
      </c>
      <c r="AI269" s="72" t="n">
        <v>52.53</v>
      </c>
      <c r="AJ269" s="72" t="n">
        <v>-47.83</v>
      </c>
      <c r="AK269" s="72" t="n">
        <v>-52.4</v>
      </c>
      <c r="AL269" s="72" t="n">
        <v>-40.95</v>
      </c>
      <c r="AM269" s="72" t="n">
        <v>-10.17</v>
      </c>
      <c r="AN269" s="72" t="n">
        <v>4.6</v>
      </c>
      <c r="AO269" s="72" t="n">
        <v>4.43</v>
      </c>
      <c r="AP269" s="62" t="inlineStr">
        <is>
          <t>China Biotech ETF (HS biotech proxy)</t>
        </is>
      </c>
      <c r="AQ269" s="72" t="n">
        <v>-91.81</v>
      </c>
      <c r="AR269" s="63" t="inlineStr">
        <is>
          <t>2026-08-20</t>
        </is>
      </c>
      <c r="AS269" s="64" t="n">
        <v>2677.7</v>
      </c>
      <c r="AT269" s="67" t="n">
        <v>-216.5</v>
      </c>
      <c r="AU269" s="62" t="inlineStr">
        <is>
          <t>N</t>
        </is>
      </c>
      <c r="AV269" s="62" t="inlineStr">
        <is>
          <t>n/m</t>
        </is>
      </c>
      <c r="AW269" s="73" t="n"/>
      <c r="AX269" s="73" t="n">
        <v>61.9</v>
      </c>
      <c r="AY269" s="73" t="n">
        <v>4.1</v>
      </c>
      <c r="AZ269" s="74" t="inlineStr">
        <is>
          <t>N</t>
        </is>
      </c>
      <c r="BA269" s="75">
        <f>IF('BBG Verify'!K269="","not filed — run on terminal",'BBG Verify'!K269)</f>
        <v/>
      </c>
      <c r="BB269" s="62" t="inlineStr">
        <is>
          <t>N/A</t>
        </is>
      </c>
      <c r="BC269" s="62" t="inlineStr">
        <is>
          <t>N/A</t>
        </is>
      </c>
      <c r="BD269" s="62" t="inlineStr">
        <is>
          <t>N/A</t>
        </is>
      </c>
      <c r="BE269" s="62" t="inlineStr">
        <is>
          <t>N/A</t>
        </is>
      </c>
      <c r="BF269" s="62" t="inlineStr">
        <is>
          <t>N/A</t>
        </is>
      </c>
      <c r="BG269" s="74" t="inlineStr">
        <is>
          <t>Citigroup Global Markets Asia Limited; ABCI Capital Limited</t>
        </is>
      </c>
      <c r="BH269" s="62" t="inlineStr">
        <is>
          <t>Citigroup Global Markets Asia Limited; ABCI Capital Limited</t>
        </is>
      </c>
      <c r="BI269" s="62" t="inlineStr">
        <is>
          <t>Citigroup Global Markets Asia Limited; ABCI Capital Limited; Essence International Securities (Hong Kong) Limited; ICBC International Securities Limited; China Galaxy International Securities (Hong Kong) Co., Limited; Citigroup Global Markets Limited; 122 – ABCI Capital Limited; China Everbright Securities (HK) Limited; China Merchants Securities (HK) Co., Limited; Citrus Securities Limited; Fosun International Securities Limited; Futu Securities International (Hong Kong) Limited</t>
        </is>
      </c>
      <c r="BJ269" s="62" t="inlineStr">
        <is>
          <t>ABCI Securities Company Limited; China Everbright Securities (HK) Limited; China Galaxy International Securities (Hong Kong) Company Limited; Citigroup Global Markets Asia Limited; Citrus Securities Limited; CMB International Capital Limited; China Merchants Securities (HK) Company Limited; Essence International Securities (Hong Kong) Limited; Fosun International Securities Limited; Futu Securities International (Hong Kong) Limited; GF Securities (Hong Kong) Brokerage Limited; Huatai Financial Holdings (Hong Kong) Limited</t>
        </is>
      </c>
      <c r="BK269" s="76">
        <f>HYPERLINK("https://www1.hkexnews.hk/listedco/listconews/sehk/2024/0628/2024062800041.pdf","prospectus")</f>
        <v/>
      </c>
      <c r="BL269" s="76">
        <f>HYPERLINK("https://www1.hkexnews.hk/listedco/listconews/sehk/2024/0708/2024070801101.pdf","allotment")</f>
        <v/>
      </c>
      <c r="BM269" s="76">
        <f>HYPERLINK("https://www1.hkexnews.hk/listedco/listconews/sehk/2024/0805/2024080500039.pdf","stabilisation")</f>
        <v/>
      </c>
      <c r="BN269" s="74" t="n"/>
      <c r="BO269" s="62" t="inlineStr">
        <is>
          <t>P/E: n/m — loss-making at IPO (use P/S) · range low: cap-only pricing — the filing publishes a Maximum Offer Price and no indicative floor · A/H: no A-share listing · cornerstone list: no cornerstone tranche in this deal</t>
        </is>
      </c>
    </row>
    <row r="270" ht="15" customHeight="1">
      <c r="A270" s="61" t="inlineStr">
        <is>
          <t>1334</t>
        </is>
      </c>
      <c r="B270" s="62" t="inlineStr">
        <is>
          <t>RUICHANG INTL</t>
        </is>
      </c>
      <c r="C270" s="62" t="inlineStr">
        <is>
          <t>瑞昌國際控股</t>
        </is>
      </c>
      <c r="D270" s="62" t="inlineStr">
        <is>
          <t>Consumer</t>
        </is>
      </c>
      <c r="E270" s="62" t="inlineStr">
        <is>
          <t>Auto parts / supply chain</t>
        </is>
      </c>
      <c r="F270" s="62" t="inlineStr">
        <is>
          <t>Oil &amp; Gas Refining and Marketing</t>
        </is>
      </c>
      <c r="G270" s="62" t="inlineStr">
        <is>
          <t>Standard</t>
        </is>
      </c>
      <c r="H270" s="63" t="n">
        <v>45483</v>
      </c>
      <c r="I270" s="64" t="n">
        <v>131.3</v>
      </c>
      <c r="J270" s="62" t="inlineStr">
        <is>
          <t>gross (stated)</t>
        </is>
      </c>
      <c r="K270" s="65" t="n"/>
      <c r="L270" s="65" t="n">
        <v>1.39</v>
      </c>
      <c r="M270" s="65" t="n">
        <v>1.05</v>
      </c>
      <c r="N270" s="62" t="inlineStr">
        <is>
          <t>N</t>
        </is>
      </c>
      <c r="O270" s="66" t="n">
        <v>75.5</v>
      </c>
      <c r="P270" s="66" t="n"/>
      <c r="Q270" s="67" t="n">
        <v>653.4</v>
      </c>
      <c r="R270" s="62" t="inlineStr">
        <is>
          <t>aastocks:上市市值 at the struck price</t>
        </is>
      </c>
      <c r="S270" s="68" t="n">
        <v>19.24</v>
      </c>
      <c r="T270" s="69" t="n">
        <v>0.97</v>
      </c>
      <c r="U270" s="70" t="n">
        <v>44</v>
      </c>
      <c r="V270" s="66" t="n">
        <v>11.25</v>
      </c>
      <c r="W270" s="62" t="inlineStr">
        <is>
          <t>Emsdom Limited; Huangshan City Investment Private Equity Fund Management Co., Ltd</t>
        </is>
      </c>
      <c r="X270" s="62" t="inlineStr">
        <is>
          <t>emsdom;huangshan</t>
        </is>
      </c>
      <c r="Y270" s="66" t="n">
        <v>11</v>
      </c>
      <c r="Z270" s="62" t="inlineStr">
        <is>
          <t>lapsed (no over-allocation)</t>
        </is>
      </c>
      <c r="AA270" s="71" t="n">
        <v>14.29</v>
      </c>
      <c r="AB270" s="72" t="n">
        <v>23.81</v>
      </c>
      <c r="AC270" s="72" t="n">
        <v>-7.69</v>
      </c>
      <c r="AD270" s="72" t="n">
        <v>9.52</v>
      </c>
      <c r="AE270" s="72" t="n">
        <v>-19.05</v>
      </c>
      <c r="AF270" s="72" t="n">
        <v>-15.24</v>
      </c>
      <c r="AG270" s="72" t="n">
        <v>-4.17</v>
      </c>
      <c r="AH270" s="72" t="n">
        <v>-29.17</v>
      </c>
      <c r="AI270" s="72" t="n">
        <v>-25.84</v>
      </c>
      <c r="AJ270" s="72" t="n">
        <v>8.960000000000001</v>
      </c>
      <c r="AK270" s="72" t="n">
        <v>-13.89</v>
      </c>
      <c r="AL270" s="72" t="n">
        <v>-39.95</v>
      </c>
      <c r="AM270" s="72" t="n">
        <v>-24.65</v>
      </c>
      <c r="AN270" s="72" t="n">
        <v>-5.16</v>
      </c>
      <c r="AO270" s="72" t="n">
        <v>-4.52</v>
      </c>
      <c r="AP270" s="62" t="inlineStr">
        <is>
          <t>Hang Seng Commerce &amp; Industry sub-index</t>
        </is>
      </c>
      <c r="AQ270" s="72" t="n">
        <v>10.95</v>
      </c>
      <c r="AR270" s="63" t="inlineStr">
        <is>
          <t>2026-08-20</t>
        </is>
      </c>
      <c r="AS270" s="64" t="n">
        <v>598.5</v>
      </c>
      <c r="AT270" s="67" t="n">
        <v>60.7</v>
      </c>
      <c r="AU270" s="62" t="inlineStr">
        <is>
          <t>Y</t>
        </is>
      </c>
      <c r="AV270" s="73" t="n">
        <v>10.8</v>
      </c>
      <c r="AW270" s="73" t="n"/>
      <c r="AX270" s="73" t="n">
        <v>99.3</v>
      </c>
      <c r="AY270" s="73" t="n">
        <v>1.1</v>
      </c>
      <c r="AZ270" s="74" t="inlineStr">
        <is>
          <t>N</t>
        </is>
      </c>
      <c r="BA270" s="75">
        <f>IF('BBG Verify'!K270="","not filed — run on terminal",'BBG Verify'!K270)</f>
        <v/>
      </c>
      <c r="BB270" s="62" t="inlineStr">
        <is>
          <t>N/A</t>
        </is>
      </c>
      <c r="BC270" s="62" t="inlineStr">
        <is>
          <t>N/A</t>
        </is>
      </c>
      <c r="BD270" s="62" t="inlineStr">
        <is>
          <t>N/A</t>
        </is>
      </c>
      <c r="BE270" s="62" t="inlineStr">
        <is>
          <t>N/A</t>
        </is>
      </c>
      <c r="BF270" s="62" t="inlineStr">
        <is>
          <t>N/A</t>
        </is>
      </c>
      <c r="BG270" s="74" t="inlineStr">
        <is>
          <t>First Shanghai Capital Limited</t>
        </is>
      </c>
      <c r="BH270" s="62" t="inlineStr">
        <is>
          <t>First Shanghai Capital Limited</t>
        </is>
      </c>
      <c r="BI270" s="62" t="inlineStr">
        <is>
          <t>First Shanghai Securities Limited; Victory Securities Company Limited; Sheung Wan, Hong Kong CLSA Limited; Central China International Capital Limited; China Merchants Securities (HK) Co., Limited; China Everbright Securities (HK) Limited; Shanxi Securities International Limited; Essence International Securities (Hong Kong) Limited; Livermore Holdings Limited; Tiger Brokers (HK) Global Limited; Fortune (HK) Securities Limited</t>
        </is>
      </c>
      <c r="BJ270" s="62" t="inlineStr">
        <is>
          <t>CCB International Capital Limited; Central China International Capital Limited; China Everbright Securities (HK) Limited; CLSA Limited; CMBC Securities Company Limited; China Merchants Securities (HK) Company Limited; Essence International Securities (Hong Kong) Limited; Fortune (HK) Securities Limited; Fosun International Securities Limited; First Shanghai Securities Limited; Futu Securities International (Hong Kong) Limited; Goldlink Securities Limited</t>
        </is>
      </c>
      <c r="BK270" s="76">
        <f>HYPERLINK("https://www1.hkexnews.hk/listedco/listconews/sehk/2024/0628/2024062800081.pdf","prospectus")</f>
        <v/>
      </c>
      <c r="BL270" s="76">
        <f>HYPERLINK("https://www1.hkexnews.hk/listedco/listconews/sehk/2024/0709/2024070901007.pdf","allotment")</f>
        <v/>
      </c>
      <c r="BM270" s="76">
        <f>HYPERLINK("https://www1.hkexnews.hk/listedco/listconews/sehk/2024/0805/2024080500823.pdf","stabilisation")</f>
        <v/>
      </c>
      <c r="BN270" s="74" t="n"/>
      <c r="BO270" s="62" t="inlineStr">
        <is>
          <t>range low: cap-only pricing — the filing publishes a Maximum Offer Price and no indicative floor · A/H: no A-share listing · market cap: estimate from deal size / offer % of enlarged capital disagreed with the published listing cap — published figure adopted</t>
        </is>
      </c>
    </row>
    <row r="271" ht="15" customHeight="1">
      <c r="A271" s="61" t="inlineStr">
        <is>
          <t>2495</t>
        </is>
      </c>
      <c r="B271" s="62" t="inlineStr">
        <is>
          <t>VOICECOMM</t>
        </is>
      </c>
      <c r="C271" s="62" t="inlineStr">
        <is>
          <t>聲通科技</t>
        </is>
      </c>
      <c r="D271" s="62" t="inlineStr">
        <is>
          <t>TMT-other</t>
        </is>
      </c>
      <c r="E271" s="62" t="inlineStr">
        <is>
          <t>Telecom</t>
        </is>
      </c>
      <c r="F271" s="62" t="inlineStr">
        <is>
          <t>IT Consulting &amp; Other Services</t>
        </is>
      </c>
      <c r="G271" s="62" t="inlineStr">
        <is>
          <t>Standard</t>
        </is>
      </c>
      <c r="H271" s="63" t="n">
        <v>45483</v>
      </c>
      <c r="I271" s="64" t="n">
        <v>664.02</v>
      </c>
      <c r="J271" s="62" t="inlineStr">
        <is>
          <t>gross (stated)</t>
        </is>
      </c>
      <c r="K271" s="65" t="n"/>
      <c r="L271" s="65" t="n">
        <v>152.1</v>
      </c>
      <c r="M271" s="65" t="n">
        <v>152.1</v>
      </c>
      <c r="N271" s="62" t="inlineStr">
        <is>
          <t>Y</t>
        </is>
      </c>
      <c r="O271" s="66" t="n">
        <v>100</v>
      </c>
      <c r="P271" s="66" t="n"/>
      <c r="Q271" s="67" t="n">
        <v>4777.1</v>
      </c>
      <c r="R271" s="62" t="inlineStr">
        <is>
          <t>derived:deal size / offer % of enlarged capital</t>
        </is>
      </c>
      <c r="S271" s="68" t="n">
        <v>3.51</v>
      </c>
      <c r="T271" s="69" t="n">
        <v>1.24</v>
      </c>
      <c r="U271" s="70" t="n">
        <v>41.2</v>
      </c>
      <c r="V271" s="66" t="n">
        <v>8.17</v>
      </c>
      <c r="W271" s="62" t="inlineStr">
        <is>
          <t>Jiangsu Jiangkong Investment Co., Ltd</t>
        </is>
      </c>
      <c r="X271" s="62" t="inlineStr">
        <is>
          <t>jiangsu</t>
        </is>
      </c>
      <c r="Y271" s="66" t="n">
        <v>4.4</v>
      </c>
      <c r="Z271" s="62" t="inlineStr">
        <is>
          <t>partial</t>
        </is>
      </c>
      <c r="AA271" s="71" t="n">
        <v>-11.24</v>
      </c>
      <c r="AB271" s="72" t="n">
        <v>-11.24</v>
      </c>
      <c r="AC271" s="72" t="n">
        <v>0</v>
      </c>
      <c r="AD271" s="72" t="n">
        <v>-6.71</v>
      </c>
      <c r="AE271" s="72" t="n">
        <v>19</v>
      </c>
      <c r="AF271" s="72" t="n">
        <v>22.35</v>
      </c>
      <c r="AG271" s="72" t="n">
        <v>5.1</v>
      </c>
      <c r="AH271" s="72" t="n">
        <v>34.07</v>
      </c>
      <c r="AI271" s="72" t="n">
        <v>37.84</v>
      </c>
      <c r="AJ271" s="72" t="n">
        <v>-7.94</v>
      </c>
      <c r="AK271" s="72" t="n">
        <v>22.6</v>
      </c>
      <c r="AL271" s="72" t="n">
        <v>1.07</v>
      </c>
      <c r="AM271" s="72" t="n">
        <v>37.39</v>
      </c>
      <c r="AN271" s="72" t="n">
        <v>-3.6</v>
      </c>
      <c r="AO271" s="72" t="n">
        <v>-3.32</v>
      </c>
      <c r="AP271" s="62" t="inlineStr">
        <is>
          <t>Hang Seng Index</t>
        </is>
      </c>
      <c r="AQ271" s="72" t="n">
        <v>-80.95</v>
      </c>
      <c r="AR271" s="63" t="inlineStr">
        <is>
          <t>2026-08-20</t>
        </is>
      </c>
      <c r="AS271" s="64" t="n">
        <v>566.5</v>
      </c>
      <c r="AT271" s="67" t="n">
        <v>-31.6</v>
      </c>
      <c r="AU271" s="62" t="inlineStr">
        <is>
          <t>N</t>
        </is>
      </c>
      <c r="AV271" s="62" t="inlineStr">
        <is>
          <t>n/m</t>
        </is>
      </c>
      <c r="AW271" s="73" t="n"/>
      <c r="AX271" s="73" t="n">
        <v>7.6</v>
      </c>
      <c r="AY271" s="73" t="n">
        <v>8.4</v>
      </c>
      <c r="AZ271" s="74" t="inlineStr">
        <is>
          <t>N</t>
        </is>
      </c>
      <c r="BA271" s="75">
        <f>IF('BBG Verify'!K271="","not filed — run on terminal",'BBG Verify'!K271)</f>
        <v/>
      </c>
      <c r="BB271" s="62" t="inlineStr">
        <is>
          <t>N/A</t>
        </is>
      </c>
      <c r="BC271" s="62" t="inlineStr">
        <is>
          <t>N/A</t>
        </is>
      </c>
      <c r="BD271" s="62" t="inlineStr">
        <is>
          <t>N/A</t>
        </is>
      </c>
      <c r="BE271" s="62" t="inlineStr">
        <is>
          <t>N/A</t>
        </is>
      </c>
      <c r="BF271" s="62" t="inlineStr">
        <is>
          <t>N/A</t>
        </is>
      </c>
      <c r="BG271" s="74" t="inlineStr">
        <is>
          <t>China International Capital Corporation Hong Kong Securities Limited</t>
        </is>
      </c>
      <c r="BH271" s="62" t="inlineStr">
        <is>
          <t>China International Capital Corporation Hong Kong Securities Limited</t>
        </is>
      </c>
      <c r="BI271" s="62" t="inlineStr">
        <is>
          <t>China International Capital Corporation Hong Kong Securities Limited; China Securities (International) Brokerage Company Limited; CMBC Securities Company Limited; Orient Securities (Hong Kong) Limited; ABCI Capital Limited; China Everbright Securities (HK) Limited; China Galaxy International Securities (Hong Kong) Co., Limited; China Merchants Securities (HK) Co., Limited; CMB International Capital Limited; DBS Asia Capital Limited; ICBC International Securities Limited; Shenwan Hongyuan Securities (H.K.) Limited</t>
        </is>
      </c>
      <c r="BJ271" s="62" t="inlineStr">
        <is>
          <t>ABCI Securities Company Limited; China Securities (International) Brokerage Company Limited; CCB International Capital Limited; China Everbright Securities (HK) Limited; China Galaxy International Securities (Hong Kong) Company Limited; China International Capital Corporation Hong Kong Securities Limited; CMBC Securities Company Limited; CMB International Capital Limited; China Merchants Securities (HK) Company Limited; DBS Asia Capital Limited; Fosun International Securities Limited; Futu Securities International (Hong Kong) Limited</t>
        </is>
      </c>
      <c r="BK271" s="76">
        <f>HYPERLINK("https://www1.hkexnews.hk/listedco/listconews/sehk/2024/0628/2024062800079.pdf","prospectus")</f>
        <v/>
      </c>
      <c r="BL271" s="76">
        <f>HYPERLINK("https://www1.hkexnews.hk/listedco/listconews/sehk/2024/0709/2024070901049.pdf","allotment")</f>
        <v/>
      </c>
      <c r="BM271" s="76">
        <f>HYPERLINK("https://www1.hkexnews.hk/listedco/listconews/sehk/2024/0804/2024080400003.pdf","stabilisation")</f>
        <v/>
      </c>
      <c r="BN271" s="74" t="n"/>
      <c r="BO271" s="62" t="inlineStr">
        <is>
          <t>P/E: n/m — loss-making at IPO (use P/S) · range low: cap-only pricing — the filing publishes a Maximum Offer Price and no indicative floor · A/H: no A-share listing</t>
        </is>
      </c>
    </row>
    <row r="272" ht="15" customHeight="1">
      <c r="A272" s="61" t="inlineStr">
        <is>
          <t>9680</t>
        </is>
      </c>
      <c r="B272" s="62" t="inlineStr">
        <is>
          <t>CHENQI TECH</t>
        </is>
      </c>
      <c r="C272" s="62" t="inlineStr">
        <is>
          <t>如祺出行</t>
        </is>
      </c>
      <c r="D272" s="62" t="inlineStr">
        <is>
          <t>Tech/AI</t>
        </is>
      </c>
      <c r="E272" s="62" t="inlineStr">
        <is>
          <t>Internet platform / e-commerce</t>
        </is>
      </c>
      <c r="F272" s="62" t="inlineStr">
        <is>
          <t>Trucking</t>
        </is>
      </c>
      <c r="G272" s="62" t="inlineStr">
        <is>
          <t>Standard</t>
        </is>
      </c>
      <c r="H272" s="63" t="n">
        <v>45483</v>
      </c>
      <c r="I272" s="64" t="n">
        <v>1050.2</v>
      </c>
      <c r="J272" s="62" t="inlineStr">
        <is>
          <t>gross (price x shares)</t>
        </is>
      </c>
      <c r="K272" s="65" t="n">
        <v>34</v>
      </c>
      <c r="L272" s="65" t="n">
        <v>45.4</v>
      </c>
      <c r="M272" s="65" t="n">
        <v>35</v>
      </c>
      <c r="N272" s="62" t="inlineStr">
        <is>
          <t>N</t>
        </is>
      </c>
      <c r="O272" s="66" t="n">
        <v>77.09999999999999</v>
      </c>
      <c r="P272" s="66" t="n">
        <v>8.800000000000001</v>
      </c>
      <c r="Q272" s="67" t="n">
        <v>7144</v>
      </c>
      <c r="R272" s="62" t="inlineStr">
        <is>
          <t>derived:price x shares upon listing</t>
        </is>
      </c>
      <c r="S272" s="68" t="n">
        <v>0.6</v>
      </c>
      <c r="T272" s="69" t="n">
        <v>1.18</v>
      </c>
      <c r="U272" s="70" t="n">
        <v>77.06</v>
      </c>
      <c r="V272" s="66" t="n">
        <v>3.37</v>
      </c>
      <c r="W272" s="62" t="inlineStr">
        <is>
          <t>Guangzhou Automobile Industry Group Co., Ltd; Hongkong Pony AI Limited; Voyager Group Inc; WeRide Inc</t>
        </is>
      </c>
      <c r="X272" s="62" t="inlineStr">
        <is>
          <t>guangzhou-automobile;hongkong;voyager;weride</t>
        </is>
      </c>
      <c r="Y272" s="66" t="n"/>
      <c r="Z272" s="62" t="n"/>
      <c r="AA272" s="71" t="n">
        <v>-3.14</v>
      </c>
      <c r="AB272" s="72" t="n">
        <v>-14.29</v>
      </c>
      <c r="AC272" s="72" t="n">
        <v>13.01</v>
      </c>
      <c r="AD272" s="72" t="n">
        <v>-20.57</v>
      </c>
      <c r="AE272" s="72" t="n">
        <v>-16.57</v>
      </c>
      <c r="AF272" s="72" t="n">
        <v>-34.57</v>
      </c>
      <c r="AG272" s="72" t="n">
        <v>-18</v>
      </c>
      <c r="AH272" s="72" t="n">
        <v>-13.87</v>
      </c>
      <c r="AI272" s="72" t="n">
        <v>-32.45</v>
      </c>
      <c r="AJ272" s="72" t="n">
        <v>-22.1</v>
      </c>
      <c r="AK272" s="72" t="n">
        <v>-10.28</v>
      </c>
      <c r="AL272" s="72" t="n">
        <v>-66.58</v>
      </c>
      <c r="AM272" s="72" t="n">
        <v>-7.42</v>
      </c>
      <c r="AN272" s="72" t="n">
        <v>-6.29</v>
      </c>
      <c r="AO272" s="72" t="n">
        <v>-6.45</v>
      </c>
      <c r="AP272" s="62" t="inlineStr">
        <is>
          <t>HSTECH (Hang Seng TECH ETF)</t>
        </is>
      </c>
      <c r="AQ272" s="72" t="n">
        <v>-77.2</v>
      </c>
      <c r="AR272" s="63" t="inlineStr">
        <is>
          <t>2026-08-19</t>
        </is>
      </c>
      <c r="AS272" s="64" t="n">
        <v>2377.2</v>
      </c>
      <c r="AT272" s="67" t="n">
        <v>-762.1</v>
      </c>
      <c r="AU272" s="62" t="inlineStr">
        <is>
          <t>N</t>
        </is>
      </c>
      <c r="AV272" s="62" t="inlineStr">
        <is>
          <t>n/m</t>
        </is>
      </c>
      <c r="AW272" s="73" t="n"/>
      <c r="AX272" s="73" t="n"/>
      <c r="AY272" s="73" t="n">
        <v>3</v>
      </c>
      <c r="AZ272" s="74" t="inlineStr">
        <is>
          <t>N</t>
        </is>
      </c>
      <c r="BA272" s="75">
        <f>IF('BBG Verify'!K272="","not filed — run on terminal",'BBG Verify'!K272)</f>
        <v/>
      </c>
      <c r="BB272" s="62" t="inlineStr">
        <is>
          <t>N/A</t>
        </is>
      </c>
      <c r="BC272" s="62" t="inlineStr">
        <is>
          <t>N/A</t>
        </is>
      </c>
      <c r="BD272" s="62" t="inlineStr">
        <is>
          <t>N/A</t>
        </is>
      </c>
      <c r="BE272" s="62" t="inlineStr">
        <is>
          <t>N/A</t>
        </is>
      </c>
      <c r="BF272" s="62" t="inlineStr">
        <is>
          <t>N/A</t>
        </is>
      </c>
      <c r="BG272" s="74" t="n"/>
      <c r="BH272" s="62" t="inlineStr">
        <is>
          <t>China International Capital Corporation Hong Kong Securities Limited; Huatai Financial Holdings (Hong Kong) Limited; ABCI Capital Limited</t>
        </is>
      </c>
      <c r="BI272" s="62" t="inlineStr">
        <is>
          <t>Huatai Financial Holdings (Hong Kong) Limited; ABCI Capital Limited; TradeGo Markets Limited; Livermore Holdings Limited</t>
        </is>
      </c>
      <c r="BJ272" s="62" t="inlineStr">
        <is>
          <t>ABCI Securities Company Limited; China International Capital Corporation Hong Kong Securities Limited; Huatai Financial Holdings (Hong Kong) Limited; Livermore Holdings Limited; TradeGo Markets Limited</t>
        </is>
      </c>
      <c r="BK272" s="76">
        <f>HYPERLINK("https://www1.hkexnews.hk/listedco/listconews/sehk/2024/0628/2024062800065.pdf","prospectus")</f>
        <v/>
      </c>
      <c r="BL272" s="76">
        <f>HYPERLINK("https://www1.hkexnews.hk/listedco/listconews/sehk/2024/0709/2024070901101.pdf","allotment")</f>
        <v/>
      </c>
      <c r="BM272" s="62" t="n"/>
      <c r="BN272" s="74" t="n"/>
      <c r="BO272" s="62" t="inlineStr">
        <is>
          <t>P/E: n/m — loss-making at IPO (use P/S) · greenshoe: no over-allotment option in the offer structure · A/H: no A-share listing · sponsor: English name not in the filing text; AAStocks 保薦人 shown · greenshoe size: no over-allotment option in the offer structure</t>
        </is>
      </c>
    </row>
    <row r="273" ht="15" customHeight="1">
      <c r="A273" s="61" t="inlineStr">
        <is>
          <t>2507</t>
        </is>
      </c>
      <c r="B273" s="62" t="inlineStr">
        <is>
          <t>CIRRUS</t>
        </is>
      </c>
      <c r="C273" s="62" t="inlineStr">
        <is>
          <t>西銳</t>
        </is>
      </c>
      <c r="D273" s="62" t="inlineStr">
        <is>
          <t>Industrials</t>
        </is>
      </c>
      <c r="E273" s="62" t="inlineStr">
        <is>
          <t>Capital goods / machinery</t>
        </is>
      </c>
      <c r="F273" s="62" t="inlineStr">
        <is>
          <t>Heavy Electrical Equipment</t>
        </is>
      </c>
      <c r="G273" s="62" t="inlineStr">
        <is>
          <t>Standard</t>
        </is>
      </c>
      <c r="H273" s="63" t="n">
        <v>45485</v>
      </c>
      <c r="I273" s="64" t="n">
        <v>1509.1</v>
      </c>
      <c r="J273" s="62" t="inlineStr">
        <is>
          <t>gross (price x shares)</t>
        </is>
      </c>
      <c r="K273" s="65" t="n">
        <v>27.34</v>
      </c>
      <c r="L273" s="65" t="n">
        <v>28</v>
      </c>
      <c r="M273" s="65" t="n">
        <v>27.5</v>
      </c>
      <c r="N273" s="62" t="inlineStr">
        <is>
          <t>N</t>
        </is>
      </c>
      <c r="O273" s="66" t="n">
        <v>98.2</v>
      </c>
      <c r="P273" s="66" t="n">
        <v>24.2</v>
      </c>
      <c r="Q273" s="67" t="n">
        <v>10060.6</v>
      </c>
      <c r="R273" s="62" t="inlineStr">
        <is>
          <t>derived:price x shares upon listing</t>
        </is>
      </c>
      <c r="S273" s="68" t="n">
        <v>1.56</v>
      </c>
      <c r="T273" s="69" t="n">
        <v>1.57</v>
      </c>
      <c r="U273" s="70" t="n">
        <v>25.7</v>
      </c>
      <c r="V273" s="66" t="n">
        <v>11.15</v>
      </c>
      <c r="W273" s="62" t="inlineStr">
        <is>
          <t>Changshu Southeast Industrial Investment Co., Ltd; China Structural Reform Fund II Corporation Limited; Taicang High Tech Science and Innovation Development Co</t>
        </is>
      </c>
      <c r="X273" s="62" t="inlineStr">
        <is>
          <t>changshu;structural;taicang</t>
        </is>
      </c>
      <c r="Y273" s="66" t="n">
        <v>10</v>
      </c>
      <c r="Z273" s="62" t="inlineStr">
        <is>
          <t>partial</t>
        </is>
      </c>
      <c r="AA273" s="71" t="n">
        <v>0</v>
      </c>
      <c r="AB273" s="72" t="n">
        <v>0</v>
      </c>
      <c r="AC273" s="72" t="n">
        <v>0</v>
      </c>
      <c r="AD273" s="72" t="n">
        <v>-10.36</v>
      </c>
      <c r="AE273" s="72" t="n">
        <v>-9.640000000000001</v>
      </c>
      <c r="AF273" s="72" t="n">
        <v>-30.18</v>
      </c>
      <c r="AG273" s="72" t="n">
        <v>-10.36</v>
      </c>
      <c r="AH273" s="72" t="n">
        <v>-9.640000000000001</v>
      </c>
      <c r="AI273" s="72" t="n">
        <v>-30.18</v>
      </c>
      <c r="AJ273" s="72" t="n">
        <v>-7.5</v>
      </c>
      <c r="AK273" s="72" t="n">
        <v>-4.28</v>
      </c>
      <c r="AL273" s="72" t="n">
        <v>-46.03</v>
      </c>
      <c r="AM273" s="72" t="n">
        <v>-1.87</v>
      </c>
      <c r="AN273" s="72" t="n">
        <v>-5.36</v>
      </c>
      <c r="AO273" s="72" t="n">
        <v>-7.77</v>
      </c>
      <c r="AP273" s="62" t="inlineStr">
        <is>
          <t>Hang Seng Commerce &amp; Industry sub-index</t>
        </is>
      </c>
      <c r="AQ273" s="72" t="n">
        <v>68.95</v>
      </c>
      <c r="AR273" s="63" t="inlineStr">
        <is>
          <t>2026-08-20</t>
        </is>
      </c>
      <c r="AS273" s="64" t="n">
        <v>6973.8</v>
      </c>
      <c r="AT273" s="67" t="n">
        <v>710.9</v>
      </c>
      <c r="AU273" s="62" t="inlineStr">
        <is>
          <t>Y</t>
        </is>
      </c>
      <c r="AV273" s="73" t="n">
        <v>14.2</v>
      </c>
      <c r="AW273" s="73" t="n"/>
      <c r="AX273" s="73" t="n">
        <v>15.9</v>
      </c>
      <c r="AY273" s="73" t="n">
        <v>1.4</v>
      </c>
      <c r="AZ273" s="74" t="inlineStr">
        <is>
          <t>N</t>
        </is>
      </c>
      <c r="BA273" s="75">
        <f>IF('BBG Verify'!K273="","not filed — run on terminal",'BBG Verify'!K273)</f>
        <v/>
      </c>
      <c r="BB273" s="62" t="inlineStr">
        <is>
          <t>N/A</t>
        </is>
      </c>
      <c r="BC273" s="62" t="inlineStr">
        <is>
          <t>N/A</t>
        </is>
      </c>
      <c r="BD273" s="62" t="inlineStr">
        <is>
          <t>N/A</t>
        </is>
      </c>
      <c r="BE273" s="62" t="inlineStr">
        <is>
          <t>N/A</t>
        </is>
      </c>
      <c r="BF273" s="62" t="inlineStr">
        <is>
          <t>N/A</t>
        </is>
      </c>
      <c r="BG273" s="74" t="n"/>
      <c r="BH273" s="62" t="inlineStr">
        <is>
          <t>China International Capital Corporation Hong Kong Securities Limited</t>
        </is>
      </c>
      <c r="BI273" s="62" t="inlineStr">
        <is>
          <t>China International Capital Corporation Hong Kong Securities Limited; ABCI Capital Limited; BOCI Asia Limited; Central, Hong Kong China Galaxy International Securities (Hong Kong) Co., Limited; China Merchants Securities (HK) Co., Limited; CMB International Capital Limited; Futu Securities International (Hong Kong) Limited; Huatai Financial Holdings (Hong Kong) Limited; ICBC International Securities Limited; Tiger Brokers (HK) Global Limited</t>
        </is>
      </c>
      <c r="BJ273" s="62" t="inlineStr">
        <is>
          <t>ABCI Securities Company Limited; AVICT Global Asset Management Limited; BOCI Asia Limited; China Galaxy International Securities (Hong Kong) Company Limited; China International Capital Corporation Hong Kong Securities Limited; CMB International Capital Limited; China Merchants Securities (HK) Company Limited; Futu Securities International (Hong Kong) Limited; Guosen Securities (HK) Capital Company Limited; Huatai Financial Holdings (Hong Kong) Limited; ICBC International Securities Limited; Tiger Brokers (HK) Global Limited</t>
        </is>
      </c>
      <c r="BK273" s="76">
        <f>HYPERLINK("https://www1.hkexnews.hk/listedco/listconews/sehk/2024/0628/2024062800343.htm","prospectus")</f>
        <v/>
      </c>
      <c r="BL273" s="76">
        <f>HYPERLINK("https://www1.hkexnews.hk/listedco/listconews/sehk/2024/0711/2024071101139.pdf","allotment")</f>
        <v/>
      </c>
      <c r="BM273" s="76">
        <f>HYPERLINK("https://www1.hkexnews.hk/listedco/listconews/sehk/2024/0808/2024080801148.pdf","stabilisation")</f>
        <v/>
      </c>
      <c r="BN273" s="74" t="n"/>
      <c r="BO273" s="62" t="inlineStr">
        <is>
          <t>A/H: no A-share listing · sponsor: English name not in the filing text; AAStocks 保薦人 shown · cornerstone: AAStocks institutional table includes non-cornerstone orders (superset) — cornerstone % is from the prospectus</t>
        </is>
      </c>
    </row>
    <row r="274" ht="15" customHeight="1">
      <c r="A274" s="61" t="inlineStr">
        <is>
          <t>2531</t>
        </is>
      </c>
      <c r="B274" s="62" t="inlineStr">
        <is>
          <t>CARLINK TECH</t>
        </is>
      </c>
      <c r="C274" s="62" t="inlineStr">
        <is>
          <t>廣聯科技控股</t>
        </is>
      </c>
      <c r="D274" s="62" t="inlineStr">
        <is>
          <t>Consumer</t>
        </is>
      </c>
      <c r="E274" s="62" t="inlineStr">
        <is>
          <t>Auto parts / supply chain</t>
        </is>
      </c>
      <c r="F274" s="62" t="inlineStr">
        <is>
          <t>Systems Software</t>
        </is>
      </c>
      <c r="G274" s="62" t="inlineStr">
        <is>
          <t>Standard</t>
        </is>
      </c>
      <c r="H274" s="63" t="n">
        <v>45488</v>
      </c>
      <c r="I274" s="64" t="n">
        <v>298.9</v>
      </c>
      <c r="J274" s="62" t="inlineStr">
        <is>
          <t>gross (price x shares)</t>
        </is>
      </c>
      <c r="K274" s="65" t="n">
        <v>4.7</v>
      </c>
      <c r="L274" s="65" t="n">
        <v>5.3</v>
      </c>
      <c r="M274" s="65" t="n">
        <v>4.7</v>
      </c>
      <c r="N274" s="62" t="inlineStr">
        <is>
          <t>N</t>
        </is>
      </c>
      <c r="O274" s="66" t="n">
        <v>88.7</v>
      </c>
      <c r="P274" s="66" t="n">
        <v>0</v>
      </c>
      <c r="Q274" s="67" t="n">
        <v>1723</v>
      </c>
      <c r="R274" s="62" t="inlineStr">
        <is>
          <t>derived:price x shares upon listing</t>
        </is>
      </c>
      <c r="S274" s="68" t="n">
        <v>2.49</v>
      </c>
      <c r="T274" s="69" t="n">
        <v>1.06</v>
      </c>
      <c r="U274" s="70" t="n">
        <v>29.44</v>
      </c>
      <c r="V274" s="66" t="n">
        <v>12.24</v>
      </c>
      <c r="W274" s="62" t="inlineStr">
        <is>
          <t>Huizhou Guohuilian Equity Investment Fund Partnership (LP)</t>
        </is>
      </c>
      <c r="X274" s="62" t="inlineStr">
        <is>
          <t>huizhou</t>
        </is>
      </c>
      <c r="Y274" s="66" t="n"/>
      <c r="Z274" s="62" t="n"/>
      <c r="AA274" s="71" t="n">
        <v>2.13</v>
      </c>
      <c r="AB274" s="72" t="n">
        <v>16.6</v>
      </c>
      <c r="AC274" s="72" t="n">
        <v>-12.41</v>
      </c>
      <c r="AD274" s="72" t="n">
        <v>55.96</v>
      </c>
      <c r="AE274" s="72" t="n">
        <v>48.94</v>
      </c>
      <c r="AF274" s="72" t="n">
        <v>228.51</v>
      </c>
      <c r="AG274" s="72" t="n">
        <v>52.71</v>
      </c>
      <c r="AH274" s="72" t="n">
        <v>45.83</v>
      </c>
      <c r="AI274" s="72" t="n">
        <v>221.66</v>
      </c>
      <c r="AJ274" s="72" t="n">
        <v>59.73</v>
      </c>
      <c r="AK274" s="72" t="n">
        <v>56.32</v>
      </c>
      <c r="AL274" s="72" t="n">
        <v>216.28</v>
      </c>
      <c r="AM274" s="72" t="n">
        <v>51.53</v>
      </c>
      <c r="AN274" s="72" t="n">
        <v>-7.38</v>
      </c>
      <c r="AO274" s="72" t="n">
        <v>-5.7</v>
      </c>
      <c r="AP274" s="62" t="inlineStr">
        <is>
          <t>Hang Seng Commerce &amp; Industry sub-index</t>
        </is>
      </c>
      <c r="AQ274" s="72" t="n">
        <v>5.32</v>
      </c>
      <c r="AR274" s="63" t="inlineStr">
        <is>
          <t>2026-08-21</t>
        </is>
      </c>
      <c r="AS274" s="64" t="n">
        <v>616.6</v>
      </c>
      <c r="AT274" s="67" t="n">
        <v>56.7</v>
      </c>
      <c r="AU274" s="62" t="inlineStr">
        <is>
          <t>Y</t>
        </is>
      </c>
      <c r="AV274" s="73" t="n">
        <v>30.4</v>
      </c>
      <c r="AW274" s="73" t="n"/>
      <c r="AX274" s="73" t="n">
        <v>73.90000000000001</v>
      </c>
      <c r="AY274" s="73" t="n">
        <v>2.8</v>
      </c>
      <c r="AZ274" s="74" t="inlineStr">
        <is>
          <t>N</t>
        </is>
      </c>
      <c r="BA274" s="75">
        <f>IF('BBG Verify'!K274="","not filed — run on terminal",'BBG Verify'!K274)</f>
        <v/>
      </c>
      <c r="BB274" s="62" t="inlineStr">
        <is>
          <t>N/A</t>
        </is>
      </c>
      <c r="BC274" s="62" t="inlineStr">
        <is>
          <t>N/A</t>
        </is>
      </c>
      <c r="BD274" s="62" t="inlineStr">
        <is>
          <t>N/A</t>
        </is>
      </c>
      <c r="BE274" s="62" t="inlineStr">
        <is>
          <t>N/A</t>
        </is>
      </c>
      <c r="BF274" s="62" t="inlineStr">
        <is>
          <t>N/A</t>
        </is>
      </c>
      <c r="BG274" s="74" t="inlineStr">
        <is>
          <t>CCB International Capital Limited</t>
        </is>
      </c>
      <c r="BH274" s="62" t="inlineStr">
        <is>
          <t>CCB International Capital Limited</t>
        </is>
      </c>
      <c r="BI274" s="62" t="inlineStr">
        <is>
          <t>CCB International Capital Limited; China Galaxy International Securities (Hong Kong) Co. Limited; Cinda International Capital Limited; CMBC Securities Company Limited; Donghai International Securities (Hong Kong) Limited; Livermore Holdings Limited; Quam Securities Limited; SPDB International Capital Limited; Victory Securities Company Limited; Yue Xiu Securities Company Limited; Zhongtai International Securities Limited; ZMF Asset Management Limited</t>
        </is>
      </c>
      <c r="BJ274" s="62" t="inlineStr">
        <is>
          <t>CCB International Capital Limited; China Galaxy International Securities (Hong Kong) Company Limited; Cinda International Capital Limited; CMBC Securities Company Limited; Donghai International Securities (Hong Kong) Limited; Fosun International Securities Limited; Gaoyu Securities Limited; Livermore Holdings Limited; Quam Securities Limited; Ruibang Securities Limited; SPDB International Capital Limited; Victory Securities Company Limited</t>
        </is>
      </c>
      <c r="BK274" s="76">
        <f>HYPERLINK("https://www1.hkexnews.hk/listedco/listconews/sehk/2024/0628/2024062800067.pdf","prospectus")</f>
        <v/>
      </c>
      <c r="BL274" s="76">
        <f>HYPERLINK("https://www1.hkexnews.hk/listedco/listconews/sehk/2024/0712/2024071201219.pdf","allotment")</f>
        <v/>
      </c>
      <c r="BM274" s="62" t="n"/>
      <c r="BN274" s="74" t="n"/>
      <c r="BO274" s="62" t="inlineStr">
        <is>
          <t>greenshoe: no over-allotment option in the offer structure · A/H: no A-share listing · greenshoe size: no over-allotment option in the offer structure</t>
        </is>
      </c>
    </row>
    <row r="275" ht="15" customHeight="1">
      <c r="A275" s="61" t="inlineStr">
        <is>
          <t>1471</t>
        </is>
      </c>
      <c r="B275" s="62" t="inlineStr">
        <is>
          <t>ZHONGMIAO</t>
        </is>
      </c>
      <c r="C275" s="62" t="inlineStr">
        <is>
          <t>眾淼控股</t>
        </is>
      </c>
      <c r="D275" s="62" t="inlineStr">
        <is>
          <t>Financials</t>
        </is>
      </c>
      <c r="E275" s="62" t="inlineStr">
        <is>
          <t>Insurance</t>
        </is>
      </c>
      <c r="F275" s="62" t="inlineStr">
        <is>
          <t>Other Diversified Financial Services</t>
        </is>
      </c>
      <c r="G275" s="62" t="inlineStr">
        <is>
          <t>Standard</t>
        </is>
      </c>
      <c r="H275" s="63" t="n">
        <v>45510</v>
      </c>
      <c r="I275" s="64" t="n">
        <v>247.1</v>
      </c>
      <c r="J275" s="62" t="inlineStr">
        <is>
          <t>gross (price x shares)</t>
        </is>
      </c>
      <c r="K275" s="65" t="n">
        <v>7</v>
      </c>
      <c r="L275" s="65" t="n">
        <v>10.2</v>
      </c>
      <c r="M275" s="65" t="n">
        <v>7</v>
      </c>
      <c r="N275" s="62" t="inlineStr">
        <is>
          <t>N</t>
        </is>
      </c>
      <c r="O275" s="66" t="n">
        <v>68.59999999999999</v>
      </c>
      <c r="P275" s="66" t="n">
        <v>0</v>
      </c>
      <c r="Q275" s="67" t="n">
        <v>988.4</v>
      </c>
      <c r="R275" s="62" t="inlineStr">
        <is>
          <t>derived:price x shares upon listing</t>
        </is>
      </c>
      <c r="S275" s="68" t="n">
        <v>16.07</v>
      </c>
      <c r="T275" s="69" t="n">
        <v>0.98</v>
      </c>
      <c r="U275" s="70" t="n">
        <v>18.71</v>
      </c>
      <c r="V275" s="66" t="n">
        <v>20.32</v>
      </c>
      <c r="W275" s="62" t="inlineStr">
        <is>
          <t>Hong Tai International III LPF; The Reynold Lemkins Group (Asia) Limited</t>
        </is>
      </c>
      <c r="X275" s="62" t="inlineStr">
        <is>
          <t>tai;reynold</t>
        </is>
      </c>
      <c r="Y275" s="66" t="n">
        <v>17</v>
      </c>
      <c r="Z275" s="62" t="n"/>
      <c r="AA275" s="71" t="n">
        <v>5</v>
      </c>
      <c r="AB275" s="72" t="n">
        <v>-1.71</v>
      </c>
      <c r="AC275" s="72" t="n">
        <v>6.83</v>
      </c>
      <c r="AD275" s="72" t="n">
        <v>-19.43</v>
      </c>
      <c r="AE275" s="72" t="n">
        <v>-17.14</v>
      </c>
      <c r="AF275" s="72" t="n">
        <v>-2.71</v>
      </c>
      <c r="AG275" s="72" t="n">
        <v>-23.27</v>
      </c>
      <c r="AH275" s="72" t="n">
        <v>-21.09</v>
      </c>
      <c r="AI275" s="72" t="n">
        <v>-7.34</v>
      </c>
      <c r="AJ275" s="72" t="n">
        <v>-22.39</v>
      </c>
      <c r="AK275" s="72" t="n">
        <v>-21.31</v>
      </c>
      <c r="AL275" s="72" t="n">
        <v>-25.98</v>
      </c>
      <c r="AM275" s="72" t="n">
        <v>-25.54</v>
      </c>
      <c r="AN275" s="72" t="n">
        <v>4.17</v>
      </c>
      <c r="AO275" s="72" t="n">
        <v>4.45</v>
      </c>
      <c r="AP275" s="62" t="inlineStr">
        <is>
          <t>Hang Seng Finance sub-index</t>
        </is>
      </c>
      <c r="AQ275" s="72" t="n">
        <v>26.93</v>
      </c>
      <c r="AR275" s="63" t="inlineStr">
        <is>
          <t>2026-08-20</t>
        </is>
      </c>
      <c r="AS275" s="64" t="n">
        <v>191.4</v>
      </c>
      <c r="AT275" s="67" t="n">
        <v>42.9</v>
      </c>
      <c r="AU275" s="62" t="inlineStr">
        <is>
          <t>Y</t>
        </is>
      </c>
      <c r="AV275" s="73" t="n">
        <v>23</v>
      </c>
      <c r="AW275" s="73" t="n"/>
      <c r="AX275" s="73" t="n">
        <v>17</v>
      </c>
      <c r="AY275" s="73" t="n">
        <v>5.2</v>
      </c>
      <c r="AZ275" s="74" t="inlineStr">
        <is>
          <t>N</t>
        </is>
      </c>
      <c r="BA275" s="75">
        <f>IF('BBG Verify'!K275="","not filed — run on terminal",'BBG Verify'!K275)</f>
        <v/>
      </c>
      <c r="BB275" s="62" t="inlineStr">
        <is>
          <t>N/A</t>
        </is>
      </c>
      <c r="BC275" s="62" t="inlineStr">
        <is>
          <t>N/A</t>
        </is>
      </c>
      <c r="BD275" s="62" t="inlineStr">
        <is>
          <t>N/A</t>
        </is>
      </c>
      <c r="BE275" s="62" t="inlineStr">
        <is>
          <t>N/A</t>
        </is>
      </c>
      <c r="BF275" s="62" t="inlineStr">
        <is>
          <t>N/A</t>
        </is>
      </c>
      <c r="BG275" s="74" t="inlineStr">
        <is>
          <t>CITIC Securities (Hong Kong) Limited; Ping An of China Capital (Hong Kong) Company Limited</t>
        </is>
      </c>
      <c r="BH275" s="62" t="inlineStr">
        <is>
          <t>CITIC Securities (Hong Kong) Limited; Ping An of China Capital (Hong Kong) Company Limited</t>
        </is>
      </c>
      <c r="BI275" s="62" t="inlineStr">
        <is>
          <t>China PA Securities (Hong Kong) Company Limited; CLSA Limited; CMB International Capital Limited; Fosun International Securities Limited; Hong Tai Securities Limited</t>
        </is>
      </c>
      <c r="BJ275" s="62" t="inlineStr">
        <is>
          <t>China Industrial Securities International Capital Limited; CLSA Limited; CMB International Capital Limited; China PA Securities (Hong Kong) Company Limited; Eddid Securities and Futures Limited; Fortune (HK) Securities Limited; Fosun International Securities Limited; Hong Tai Securities Limited; ICBC International Securities Limited; Patrons Securities Limited; Tiger Brokers (HK) Global Limited</t>
        </is>
      </c>
      <c r="BK275" s="76">
        <f>HYPERLINK("https://www1.hkexnews.hk/listedco/listconews/sehk/2024/0729/2024072900013.pdf","prospectus")</f>
        <v/>
      </c>
      <c r="BL275" s="76">
        <f>HYPERLINK("https://www1.hkexnews.hk/listedco/listconews/sehk/2024/0805/2024080502241.pdf","allotment")</f>
        <v/>
      </c>
      <c r="BM275" s="62" t="n"/>
      <c r="BN275" s="74" t="n"/>
      <c r="BO275" s="62" t="inlineStr">
        <is>
          <t>greenshoe: end-of-stabilisation notice not located · A/H: no A-share listing</t>
        </is>
      </c>
    </row>
    <row r="276" ht="15" customHeight="1">
      <c r="A276" s="61" t="inlineStr">
        <is>
          <t>2533</t>
        </is>
      </c>
      <c r="B276" s="62" t="inlineStr">
        <is>
          <t>BLACK SESAME</t>
        </is>
      </c>
      <c r="C276" s="62" t="inlineStr">
        <is>
          <t>黑芝麻智能</t>
        </is>
      </c>
      <c r="D276" s="62" t="inlineStr">
        <is>
          <t>Tech/AI</t>
        </is>
      </c>
      <c r="E276" s="62" t="inlineStr">
        <is>
          <t>AI chips &amp; semis</t>
        </is>
      </c>
      <c r="F276" s="62" t="inlineStr">
        <is>
          <t>Application Software</t>
        </is>
      </c>
      <c r="G276" s="62" t="inlineStr">
        <is>
          <t>Standard</t>
        </is>
      </c>
      <c r="H276" s="63" t="n">
        <v>45512</v>
      </c>
      <c r="I276" s="64" t="n">
        <v>1036</v>
      </c>
      <c r="J276" s="62" t="inlineStr">
        <is>
          <t>gross (price x shares)</t>
        </is>
      </c>
      <c r="K276" s="65" t="n">
        <v>28</v>
      </c>
      <c r="L276" s="65" t="n">
        <v>30.3</v>
      </c>
      <c r="M276" s="65" t="n">
        <v>28</v>
      </c>
      <c r="N276" s="62" t="inlineStr">
        <is>
          <t>N</t>
        </is>
      </c>
      <c r="O276" s="66" t="n">
        <v>92.40000000000001</v>
      </c>
      <c r="P276" s="66" t="n">
        <v>0</v>
      </c>
      <c r="Q276" s="67" t="n">
        <v>15936.7</v>
      </c>
      <c r="R276" s="62" t="inlineStr">
        <is>
          <t>derived:price x shares upon listing</t>
        </is>
      </c>
      <c r="S276" s="68" t="n">
        <v>2.52</v>
      </c>
      <c r="T276" s="69" t="n">
        <v>1.05</v>
      </c>
      <c r="U276" s="70" t="n">
        <v>7.38</v>
      </c>
      <c r="V276" s="66" t="n">
        <v>6.02</v>
      </c>
      <c r="W276" s="62" t="inlineStr">
        <is>
          <t>Gardex Development Limited; Joyson Electronic USA LLC</t>
        </is>
      </c>
      <c r="X276" s="62" t="inlineStr">
        <is>
          <t>gardex;joyson</t>
        </is>
      </c>
      <c r="Y276" s="66" t="n">
        <v>7.39</v>
      </c>
      <c r="Z276" s="62" t="inlineStr">
        <is>
          <t>lapsed (no over-allocation)</t>
        </is>
      </c>
      <c r="AA276" s="71" t="n">
        <v>-26.96</v>
      </c>
      <c r="AB276" s="72" t="n">
        <v>-32.86</v>
      </c>
      <c r="AC276" s="72" t="n">
        <v>8.789999999999999</v>
      </c>
      <c r="AD276" s="72" t="n">
        <v>-28.04</v>
      </c>
      <c r="AE276" s="72" t="n">
        <v>-23.57</v>
      </c>
      <c r="AF276" s="72" t="n">
        <v>-7.68</v>
      </c>
      <c r="AG276" s="72" t="n">
        <v>-1.48</v>
      </c>
      <c r="AH276" s="72" t="n">
        <v>4.64</v>
      </c>
      <c r="AI276" s="72" t="n">
        <v>26.4</v>
      </c>
      <c r="AJ276" s="72" t="n">
        <v>-28.4</v>
      </c>
      <c r="AK276" s="72" t="n">
        <v>-25.25</v>
      </c>
      <c r="AL276" s="72" t="n">
        <v>-44.98</v>
      </c>
      <c r="AM276" s="72" t="n">
        <v>2.47</v>
      </c>
      <c r="AN276" s="72" t="n">
        <v>1.68</v>
      </c>
      <c r="AO276" s="72" t="n">
        <v>2.17</v>
      </c>
      <c r="AP276" s="62" t="inlineStr">
        <is>
          <t>HSTECH (Hang Seng TECH ETF)</t>
        </is>
      </c>
      <c r="AQ276" s="72" t="n">
        <v>-60.68</v>
      </c>
      <c r="AR276" s="63" t="inlineStr">
        <is>
          <t>2026-08-20</t>
        </is>
      </c>
      <c r="AS276" s="64" t="n">
        <v>343.6</v>
      </c>
      <c r="AT276" s="67" t="n">
        <v>-5340.6</v>
      </c>
      <c r="AU276" s="62" t="inlineStr">
        <is>
          <t>N</t>
        </is>
      </c>
      <c r="AV276" s="62" t="inlineStr">
        <is>
          <t>n/m</t>
        </is>
      </c>
      <c r="AW276" s="73" t="n"/>
      <c r="AX276" s="73" t="n"/>
      <c r="AY276" s="73" t="n">
        <v>46.4</v>
      </c>
      <c r="AZ276" s="74" t="inlineStr">
        <is>
          <t>N</t>
        </is>
      </c>
      <c r="BA276" s="75">
        <f>IF('BBG Verify'!K276="","not filed — run on terminal",'BBG Verify'!K276)</f>
        <v/>
      </c>
      <c r="BB276" s="62" t="inlineStr">
        <is>
          <t>N/A</t>
        </is>
      </c>
      <c r="BC276" s="62" t="inlineStr">
        <is>
          <t>N/A</t>
        </is>
      </c>
      <c r="BD276" s="62" t="inlineStr">
        <is>
          <t>N/A</t>
        </is>
      </c>
      <c r="BE276" s="62" t="inlineStr">
        <is>
          <t>N/A</t>
        </is>
      </c>
      <c r="BF276" s="62" t="inlineStr">
        <is>
          <t>N/A</t>
        </is>
      </c>
      <c r="BG276" s="74" t="n"/>
      <c r="BH276" s="62" t="inlineStr">
        <is>
          <t>China International Capital Corporation Hong Kong Securities Limited; Huatai Financial Holdings (Hong Kong) Limited</t>
        </is>
      </c>
      <c r="BI276" s="62" t="inlineStr">
        <is>
          <t>CCB International Capital Limited; GF Securities (Hong Kong) Brokerage Limited; Futu Securities International (Hong Kong) Limited</t>
        </is>
      </c>
      <c r="BJ276" s="62" t="inlineStr">
        <is>
          <t>BOCI Asia Limited; CCB International Capital Limited; China International Capital Corporation Hong Kong Securities Limited; CLSA Limited; Futu Securities International (Hong Kong) Limited; GF Securities (Hong Kong) Brokerage Limited; Huatai Financial Holdings (Hong Kong) Limited; Tiger Brokers (HK) Global Limited</t>
        </is>
      </c>
      <c r="BK276" s="76">
        <f>HYPERLINK("https://www1.hkexnews.hk/listedco/listconews/sehk/2024/0731/2024073100015.pdf","prospectus")</f>
        <v/>
      </c>
      <c r="BL276" s="76">
        <f>HYPERLINK("https://www1.hkexnews.hk/listedco/listconews/sehk/2024/0807/2024080700994.pdf","allotment")</f>
        <v/>
      </c>
      <c r="BM276" s="76">
        <f>HYPERLINK("https://www1.hkexnews.hk/listedco/listconews/sehk/2024/0904/2024090402176.pdf","stabilisation")</f>
        <v/>
      </c>
      <c r="BN276" s="74" t="n"/>
      <c r="BO276" s="62" t="inlineStr">
        <is>
          <t>P/E: n/m — loss-making at IPO (use P/S) · A/H: no A-share listing · sponsor: English name not in the filing text; AAStocks 保薦人 shown</t>
        </is>
      </c>
    </row>
    <row r="277" ht="15" customHeight="1">
      <c r="A277" s="61" t="inlineStr">
        <is>
          <t>2410</t>
        </is>
      </c>
      <c r="B277" s="62" t="inlineStr">
        <is>
          <t>TYK MEDICINES-B</t>
        </is>
      </c>
      <c r="C277" s="62" t="inlineStr">
        <is>
          <t>同源康醫藥－Ｂ</t>
        </is>
      </c>
      <c r="D277" s="62" t="inlineStr">
        <is>
          <t>Healthcare</t>
        </is>
      </c>
      <c r="E277" s="62" t="inlineStr">
        <is>
          <t>Biotech pre-revenue (18A)</t>
        </is>
      </c>
      <c r="F277" s="62" t="inlineStr">
        <is>
          <t>Biotechnology - Pharmaceuticals</t>
        </is>
      </c>
      <c r="G277" s="62" t="inlineStr">
        <is>
          <t>18A</t>
        </is>
      </c>
      <c r="H277" s="63" t="n">
        <v>45524</v>
      </c>
      <c r="I277" s="64" t="n">
        <v>579.3</v>
      </c>
      <c r="J277" s="62" t="inlineStr">
        <is>
          <t>gross (price x shares)</t>
        </is>
      </c>
      <c r="K277" s="65" t="n"/>
      <c r="L277" s="65" t="n">
        <v>12.1</v>
      </c>
      <c r="M277" s="65" t="n">
        <v>12.1</v>
      </c>
      <c r="N277" s="62" t="inlineStr">
        <is>
          <t>Y</t>
        </is>
      </c>
      <c r="O277" s="66" t="n">
        <v>100</v>
      </c>
      <c r="P277" s="66" t="n"/>
      <c r="Q277" s="67" t="n">
        <v>4487.1</v>
      </c>
      <c r="R277" s="62" t="inlineStr">
        <is>
          <t>derived:price x shares upon listing</t>
        </is>
      </c>
      <c r="S277" s="68" t="n">
        <v>2.29</v>
      </c>
      <c r="T277" s="69" t="n">
        <v>1.01</v>
      </c>
      <c r="U277" s="70" t="n"/>
      <c r="V277" s="66" t="n">
        <v>12.91</v>
      </c>
      <c r="W277" s="62" t="n"/>
      <c r="X277" s="62" t="n"/>
      <c r="Y277" s="66" t="n"/>
      <c r="Z277" s="62" t="n"/>
      <c r="AA277" s="71" t="n">
        <v>13.22</v>
      </c>
      <c r="AB277" s="72" t="n">
        <v>19.67</v>
      </c>
      <c r="AC277" s="72" t="n">
        <v>-5.39</v>
      </c>
      <c r="AD277" s="72" t="n">
        <v>90.08</v>
      </c>
      <c r="AE277" s="72" t="n">
        <v>135.95</v>
      </c>
      <c r="AF277" s="72" t="n">
        <v>129.75</v>
      </c>
      <c r="AG277" s="72" t="n">
        <v>67.89</v>
      </c>
      <c r="AH277" s="72" t="n">
        <v>108.4</v>
      </c>
      <c r="AI277" s="72" t="n">
        <v>102.92</v>
      </c>
      <c r="AJ277" s="72" t="n">
        <v>92.59</v>
      </c>
      <c r="AK277" s="72" t="n">
        <v>137.89</v>
      </c>
      <c r="AL277" s="72" t="n">
        <v>117.04</v>
      </c>
      <c r="AM277" s="72" t="n">
        <v>109.55</v>
      </c>
      <c r="AN277" s="72" t="n">
        <v>-1.94</v>
      </c>
      <c r="AO277" s="72" t="n">
        <v>-1.15</v>
      </c>
      <c r="AP277" s="62" t="inlineStr">
        <is>
          <t>China Biotech ETF (HS biotech proxy)</t>
        </is>
      </c>
      <c r="AQ277" s="72" t="n">
        <v>-42.4</v>
      </c>
      <c r="AR277" s="63" t="inlineStr">
        <is>
          <t>2026-08-20</t>
        </is>
      </c>
      <c r="AS277" s="64" t="n">
        <v>48.7</v>
      </c>
      <c r="AT277" s="67" t="n">
        <v>-91.5</v>
      </c>
      <c r="AU277" s="62" t="inlineStr">
        <is>
          <t>N</t>
        </is>
      </c>
      <c r="AV277" s="62" t="inlineStr">
        <is>
          <t>n/m</t>
        </is>
      </c>
      <c r="AW277" s="73" t="n"/>
      <c r="AX277" s="73" t="n"/>
      <c r="AY277" s="73" t="n">
        <v>92.09999999999999</v>
      </c>
      <c r="AZ277" s="74" t="inlineStr">
        <is>
          <t>N</t>
        </is>
      </c>
      <c r="BA277" s="75">
        <f>IF('BBG Verify'!K277="","not filed — run on terminal",'BBG Verify'!K277)</f>
        <v/>
      </c>
      <c r="BB277" s="62" t="inlineStr">
        <is>
          <t>N/A</t>
        </is>
      </c>
      <c r="BC277" s="62" t="inlineStr">
        <is>
          <t>N/A</t>
        </is>
      </c>
      <c r="BD277" s="62" t="inlineStr">
        <is>
          <t>N/A</t>
        </is>
      </c>
      <c r="BE277" s="62" t="inlineStr">
        <is>
          <t>N/A</t>
        </is>
      </c>
      <c r="BF277" s="62" t="inlineStr">
        <is>
          <t>N/A</t>
        </is>
      </c>
      <c r="BG277" s="74" t="inlineStr">
        <is>
          <t>CITIC Securities (Hong Kong) Limited</t>
        </is>
      </c>
      <c r="BH277" s="62" t="inlineStr">
        <is>
          <t>CITIC Securities (Hong Kong) Limited</t>
        </is>
      </c>
      <c r="BI277" s="62" t="inlineStr">
        <is>
          <t>CLSA Limited; CMB International Capital Limited; Haitong International Securities Company Limited; Deutsche Bank AG, Hong Kong Branch; Livermore Holdings Limited; BOCI Asia Limited</t>
        </is>
      </c>
      <c r="BJ277" s="62" t="inlineStr">
        <is>
          <t>BOCI Asia Limited; CLSA Limited; CMB International Capital Limited; Deutsche Bank AG, Hong Kong Branch; Haitong International Securities Company Limited; Livermore Holdings Limited</t>
        </is>
      </c>
      <c r="BK277" s="76">
        <f>HYPERLINK("https://www1.hkexnews.hk/listedco/listconews/sehk/2024/0812/2024081200005.pdf","prospectus")</f>
        <v/>
      </c>
      <c r="BL277" s="76">
        <f>HYPERLINK("https://www1.hkexnews.hk/listedco/listconews/sehk/2024/0819/2024081901642.pdf","allotment")</f>
        <v/>
      </c>
      <c r="BM277" s="62" t="n"/>
      <c r="BN277" s="74" t="n"/>
      <c r="BO277" s="62" t="inlineStr">
        <is>
          <t>P/E: n/m — loss-making at IPO (use P/S) · greenshoe: no over-allotment option in the offer structure · range low: cap-only pricing — the filing publishes a Maximum Offer Price and no indicative floor · A/H: no A-share listing · cornerstone list: cornerstone section not machine-extractable — see the prospectus link · cornerstone %: cornerstone aggregate not stated in the filing · greenshoe size: no over-allotment option in the offer structure</t>
        </is>
      </c>
    </row>
    <row r="278" ht="15" customHeight="1">
      <c r="A278" s="61" t="inlineStr">
        <is>
          <t>0300</t>
        </is>
      </c>
      <c r="B278" s="62" t="inlineStr">
        <is>
          <t>MIDEA GROUP</t>
        </is>
      </c>
      <c r="C278" s="62" t="inlineStr">
        <is>
          <t>美的集團</t>
        </is>
      </c>
      <c r="D278" s="62" t="inlineStr">
        <is>
          <t>Tech/AI</t>
        </is>
      </c>
      <c r="E278" s="62" t="inlineStr">
        <is>
          <t>Smart hardware / consumer electronics</t>
        </is>
      </c>
      <c r="F278" s="62" t="inlineStr">
        <is>
          <t>Household Appliances</t>
        </is>
      </c>
      <c r="G278" s="62" t="inlineStr">
        <is>
          <t>Standard</t>
        </is>
      </c>
      <c r="H278" s="63" t="n">
        <v>45552</v>
      </c>
      <c r="I278" s="64" t="n">
        <v>31014</v>
      </c>
      <c r="J278" s="62" t="inlineStr">
        <is>
          <t>gross (stated)</t>
        </is>
      </c>
      <c r="K278" s="65" t="n"/>
      <c r="L278" s="65" t="n">
        <v>54.8</v>
      </c>
      <c r="M278" s="65" t="n">
        <v>54.8</v>
      </c>
      <c r="N278" s="62" t="inlineStr">
        <is>
          <t>Y</t>
        </is>
      </c>
      <c r="O278" s="66" t="n">
        <v>100</v>
      </c>
      <c r="P278" s="66" t="n"/>
      <c r="Q278" s="67" t="n">
        <v>413520</v>
      </c>
      <c r="R278" s="62" t="inlineStr">
        <is>
          <t>derived:deal size / offer % of enlarged capital</t>
        </is>
      </c>
      <c r="S278" s="68" t="n">
        <v>9</v>
      </c>
      <c r="T278" s="78">
        <f>IF('BBG Verify'!E278="","not filed — run on terminal",'BBG Verify'!E278)</f>
        <v/>
      </c>
      <c r="U278" s="70" t="n">
        <v>36.3</v>
      </c>
      <c r="V278" s="66" t="n">
        <v>4.78</v>
      </c>
      <c r="W278" s="62" t="inlineStr">
        <is>
          <t>Athos Capital Limited; China Structural Reform Fund II Corporation Limited; COSCO SHIPPING Holdings (Hong Kong) Limited; CPE Investment XVI Limited; Dajia Life Insurance Co., Ltd; Enreal Asset Management Limited; Foresight Funds; Golden Link Worldwide Limited; HCEP Master Fund; Jump Trading Pacific Pte. Ltd; Metazone Link (HK) Limited; MY Asian Opportunities Fund; Pamalican Fund Ltd; PSBC Wealth Management Co., Ltd; Splendor Achieve Limited; Supercluster Universe Limited; UBS Asset Management (Singapore) Ltd; Vanguard Focus Limited</t>
        </is>
      </c>
      <c r="X278" s="62" t="inlineStr">
        <is>
          <t>athos;structural;cosco;cpe;dajia;enreal;foresight;golden-link;hcep;jump;metazone;my;pamalican;psbc;splendor;supercluster;ubs;vanguard</t>
        </is>
      </c>
      <c r="Y278" s="66" t="n">
        <v>15</v>
      </c>
      <c r="Z278" s="62" t="n"/>
      <c r="AA278" s="71" t="n">
        <v>7.85</v>
      </c>
      <c r="AB278" s="72" t="n">
        <v>8.029999999999999</v>
      </c>
      <c r="AC278" s="72" t="n">
        <v>-0.17</v>
      </c>
      <c r="AD278" s="72" t="n">
        <v>29.01</v>
      </c>
      <c r="AE278" s="72" t="n">
        <v>36.68</v>
      </c>
      <c r="AF278" s="72" t="n">
        <v>38.96</v>
      </c>
      <c r="AG278" s="72" t="n">
        <v>19.62</v>
      </c>
      <c r="AH278" s="72" t="n">
        <v>26.73</v>
      </c>
      <c r="AI278" s="72" t="n">
        <v>28.85</v>
      </c>
      <c r="AJ278" s="72" t="n">
        <v>16.42</v>
      </c>
      <c r="AK278" s="72" t="n">
        <v>7.95</v>
      </c>
      <c r="AL278" s="72" t="n">
        <v>11.57</v>
      </c>
      <c r="AM278" s="72" t="n">
        <v>-0.3</v>
      </c>
      <c r="AN278" s="72" t="n">
        <v>28.73</v>
      </c>
      <c r="AO278" s="72" t="n">
        <v>27.03</v>
      </c>
      <c r="AP278" s="62" t="inlineStr">
        <is>
          <t>HSTECH (Hang Seng TECH ETF)</t>
        </is>
      </c>
      <c r="AQ278" s="72" t="n">
        <v>76.81999999999999</v>
      </c>
      <c r="AR278" s="63" t="inlineStr">
        <is>
          <t>2026-08-21</t>
        </is>
      </c>
      <c r="AS278" s="64" t="n">
        <v>411080.8</v>
      </c>
      <c r="AT278" s="67" t="n">
        <v>37121.6</v>
      </c>
      <c r="AU278" s="62" t="inlineStr">
        <is>
          <t>Y</t>
        </is>
      </c>
      <c r="AV278" s="73" t="n">
        <v>11.1</v>
      </c>
      <c r="AW278" s="73" t="n"/>
      <c r="AX278" s="73" t="n"/>
      <c r="AY278" s="73" t="n">
        <v>1</v>
      </c>
      <c r="AZ278" s="74" t="inlineStr">
        <is>
          <t>Y</t>
        </is>
      </c>
      <c r="BA278" s="62" t="inlineStr">
        <is>
          <t>000333.SZ</t>
        </is>
      </c>
      <c r="BB278" s="72" t="n">
        <v>27.39</v>
      </c>
      <c r="BC278" s="65" t="n">
        <v>69.807</v>
      </c>
      <c r="BD278" s="79" t="n">
        <v>0.0199</v>
      </c>
      <c r="BE278" s="77">
        <f>IF('BBG Verify'!Q278="","run on terminal",'BBG Verify'!Q278)</f>
        <v/>
      </c>
      <c r="BF278" s="77">
        <f>IF('BBG Verify'!R278="","run on terminal",'BBG Verify'!R278)</f>
        <v/>
      </c>
      <c r="BG278" s="74" t="inlineStr">
        <is>
          <t>CICC; BofA Securities</t>
        </is>
      </c>
      <c r="BH278" s="62" t="inlineStr">
        <is>
          <t>China International Capital Corporation Hong Kong Securities Limited; Merrill Lynch (Asia Pacific) Limited</t>
        </is>
      </c>
      <c r="BI278" s="62" t="inlineStr">
        <is>
          <t>China International Capital Corporation Hong Kong Securities Limited; Merrill Lynch (Asia Pacific) Limited; CLSA Limited; Goldman Sachs (Asia) L.L.C; UBS AG Hong Kong Branch; GF Securities (Hong Kong) Brokerage Limited; CMB International Capital Limited</t>
        </is>
      </c>
      <c r="BJ278" s="62" t="inlineStr">
        <is>
          <t>BNP Paribas Securities (Asia) Limited; China International Capital Corporation Hong Kong Securities Limited; CLSA Limited; CMB International Capital Limited; Futu Securities International (Hong Kong) Limited; GF Securities (Hong Kong) Brokerage Limited; Goldman Sachs (Asia) L.L.C.; Huatai Financial Holdings (Hong Kong) Limited; Merrill Lynch (Asia Pacific) Limited; UBS AG Hong Kong Branch</t>
        </is>
      </c>
      <c r="BK278" s="76">
        <f>HYPERLINK("https://www1.hkexnews.hk/listedco/listconews/sehk/2024/0909/2024090900012.htm","prospectus")</f>
        <v/>
      </c>
      <c r="BL278" s="76">
        <f>HYPERLINK("https://www1.hkexnews.hk/listedco/listconews/sehk/2024/0916/2024091600951.pdf","allotment")</f>
        <v/>
      </c>
      <c r="BM278" s="62" t="n"/>
      <c r="BN278" s="74" t="n"/>
      <c r="BO278" s="62" t="inlineStr">
        <is>
          <t>intl sub: parsed 0.11x rejected — implausible for a deal struck at the cap with the public tranche 9x subscribed (a percentage read as a multiple); BBG Verify CP037 fills this on the terminal · greenshoe: end-of-stabilisation notice not located · range low: cap-only pricing — the filing publishes a Maximum Offer Price and no indicative floor · A/H: Sep 2024, ~US$4.0bn+greenshoe — the deal that opened the A-to-H wave; H priced at a double-digit discount to A · public sub: HKEX allotment table reads 9x, AAStocks 超額倍數 reads 5.3x on its own basis — the filing table kept</t>
        </is>
      </c>
    </row>
    <row r="279" ht="15" customHeight="1">
      <c r="A279" s="61" t="inlineStr">
        <is>
          <t>2549</t>
        </is>
      </c>
      <c r="B279" s="62" t="inlineStr">
        <is>
          <t>CAROTE LTD</t>
        </is>
      </c>
      <c r="C279" s="62" t="inlineStr">
        <is>
          <t>卡羅特</t>
        </is>
      </c>
      <c r="D279" s="62" t="inlineStr">
        <is>
          <t>Consumer</t>
        </is>
      </c>
      <c r="E279" s="62" t="inlineStr">
        <is>
          <t>Retail / distribution</t>
        </is>
      </c>
      <c r="F279" s="62" t="inlineStr">
        <is>
          <t>Housewares &amp; Specialties</t>
        </is>
      </c>
      <c r="G279" s="62" t="inlineStr">
        <is>
          <t>Standard</t>
        </is>
      </c>
      <c r="H279" s="63" t="n">
        <v>45567</v>
      </c>
      <c r="I279" s="64" t="n">
        <v>750.6</v>
      </c>
      <c r="J279" s="62" t="inlineStr">
        <is>
          <t>gross (price x shares)</t>
        </is>
      </c>
      <c r="K279" s="65" t="n"/>
      <c r="L279" s="65" t="n">
        <v>5.78</v>
      </c>
      <c r="M279" s="65" t="n">
        <v>5.78</v>
      </c>
      <c r="N279" s="62" t="inlineStr">
        <is>
          <t>Y</t>
        </is>
      </c>
      <c r="O279" s="66" t="n">
        <v>100</v>
      </c>
      <c r="P279" s="66" t="n"/>
      <c r="Q279" s="67" t="n">
        <v>2789.3</v>
      </c>
      <c r="R279" s="62" t="inlineStr">
        <is>
          <t>derived:deal size / offer % of enlarged capital</t>
        </is>
      </c>
      <c r="S279" s="68" t="n">
        <v>1347.27</v>
      </c>
      <c r="T279" s="69" t="n">
        <v>7.91</v>
      </c>
      <c r="U279" s="70" t="n">
        <v>41.7</v>
      </c>
      <c r="V279" s="66" t="n">
        <v>15.69</v>
      </c>
      <c r="W279" s="62" t="inlineStr">
        <is>
          <t>MPC VII Pte. Ltd; YSC Go (BVI) Limited</t>
        </is>
      </c>
      <c r="X279" s="62" t="inlineStr">
        <is>
          <t>mpc;ysc</t>
        </is>
      </c>
      <c r="Y279" s="66" t="n">
        <v>15</v>
      </c>
      <c r="Z279" s="62" t="inlineStr">
        <is>
          <t>full</t>
        </is>
      </c>
      <c r="AA279" s="71" t="n">
        <v>58.3</v>
      </c>
      <c r="AB279" s="72" t="n">
        <v>64.36</v>
      </c>
      <c r="AC279" s="72" t="n">
        <v>-3.69</v>
      </c>
      <c r="AD279" s="72" t="n">
        <v>17.65</v>
      </c>
      <c r="AE279" s="72" t="n">
        <v>-11.07</v>
      </c>
      <c r="AF279" s="72" t="n">
        <v>-14.01</v>
      </c>
      <c r="AG279" s="72" t="n">
        <v>-25.68</v>
      </c>
      <c r="AH279" s="72" t="n">
        <v>-43.82</v>
      </c>
      <c r="AI279" s="72" t="n">
        <v>-45.68</v>
      </c>
      <c r="AJ279" s="72" t="n">
        <v>19.24</v>
      </c>
      <c r="AK279" s="72" t="n">
        <v>-7.4</v>
      </c>
      <c r="AL279" s="72" t="n">
        <v>-6.67</v>
      </c>
      <c r="AM279" s="72" t="n">
        <v>-33.97</v>
      </c>
      <c r="AN279" s="72" t="n">
        <v>-3.67</v>
      </c>
      <c r="AO279" s="72" t="n">
        <v>-9.85</v>
      </c>
      <c r="AP279" s="62" t="inlineStr">
        <is>
          <t>Hang Seng Commerce &amp; Industry sub-index</t>
        </is>
      </c>
      <c r="AQ279" s="72" t="n">
        <v>-33.48</v>
      </c>
      <c r="AR279" s="63" t="inlineStr">
        <is>
          <t>2026-08-21</t>
        </is>
      </c>
      <c r="AS279" s="64" t="n">
        <v>1741.4</v>
      </c>
      <c r="AT279" s="67" t="n"/>
      <c r="AU279" s="62" t="inlineStr">
        <is>
          <t>Y</t>
        </is>
      </c>
      <c r="AV279" s="77">
        <f>IF('BBG Verify'!O279="","not filed — run on terminal",'BBG Verify'!O279)</f>
        <v/>
      </c>
      <c r="AW279" s="73" t="n"/>
      <c r="AX279" s="73" t="n">
        <v>6.8</v>
      </c>
      <c r="AY279" s="73" t="n">
        <v>1.6</v>
      </c>
      <c r="AZ279" s="74" t="inlineStr">
        <is>
          <t>N</t>
        </is>
      </c>
      <c r="BA279" s="75">
        <f>IF('BBG Verify'!K279="","not filed — run on terminal",'BBG Verify'!K279)</f>
        <v/>
      </c>
      <c r="BB279" s="62" t="inlineStr">
        <is>
          <t>N/A</t>
        </is>
      </c>
      <c r="BC279" s="62" t="inlineStr">
        <is>
          <t>N/A</t>
        </is>
      </c>
      <c r="BD279" s="62" t="inlineStr">
        <is>
          <t>N/A</t>
        </is>
      </c>
      <c r="BE279" s="62" t="inlineStr">
        <is>
          <t>N/A</t>
        </is>
      </c>
      <c r="BF279" s="62" t="inlineStr">
        <is>
          <t>N/A</t>
        </is>
      </c>
      <c r="BG279" s="74" t="inlineStr">
        <is>
          <t>BNP Paribas Securities (Asia) Limited; CMB International Capital Limited</t>
        </is>
      </c>
      <c r="BH279" s="62" t="inlineStr">
        <is>
          <t>CMB International Capital Limited; BNP Paribas Securities (Asia) Limited</t>
        </is>
      </c>
      <c r="BI279" s="62" t="inlineStr">
        <is>
          <t>CMB International Capital Limited; BNP Paribas Securities (Asia) Limited</t>
        </is>
      </c>
      <c r="BJ279" s="62" t="inlineStr">
        <is>
          <t>BNP Paribas Securities (Asia) Limited; CMB International Capital Limited; Futu Securities International (Hong Kong) Limited; Livermore Holdings Limited; Tiger Brokers (HK) Global Limited; TradeGo Markets Limited</t>
        </is>
      </c>
      <c r="BK279" s="76">
        <f>HYPERLINK("https://www1.hkexnews.hk/listedco/listconews/sehk/2024/0923/2024092300003.pdf","prospectus")</f>
        <v/>
      </c>
      <c r="BL279" s="76">
        <f>HYPERLINK("https://www1.hkexnews.hk/listedco/listconews/sehk/2024/0930/2024093002464.pdf","allotment")</f>
        <v/>
      </c>
      <c r="BM279" s="76">
        <f>HYPERLINK("https://www1.hkexnews.hk/listedco/listconews/sehk/2024/1028/2024102801048.pdf","stabilisation")</f>
        <v/>
      </c>
      <c r="BN279" s="74" t="n"/>
      <c r="BO279" s="62" t="inlineStr">
        <is>
          <t>P/E: withheld — mktcap / net income gives 9,298x, which fails the 300x plausibility check; the extracted net income (HK$0.3m) is not trustworthy · range low: cap-only pricing — the filing publishes a Maximum Offer Price and no indicative floor · A/H: no A-share listing · cornerstone: table parse read 62% but the institutional total implies 42% — parse rejected, the filed aggregate-amount sentence used (41.7%) · financials: financial tables not machine-extractable and the pre-IPO year is outside AAStocks' 5-year window</t>
        </is>
      </c>
    </row>
    <row r="280" ht="15" customHeight="1">
      <c r="A280" s="61" t="inlineStr">
        <is>
          <t>2576</t>
        </is>
      </c>
      <c r="B280" s="62" t="inlineStr">
        <is>
          <t>TAIMEI TECH</t>
        </is>
      </c>
      <c r="C280" s="62" t="inlineStr">
        <is>
          <t>太美醫療科技</t>
        </is>
      </c>
      <c r="D280" s="62" t="inlineStr">
        <is>
          <t>Tech/AI</t>
        </is>
      </c>
      <c r="E280" s="62" t="inlineStr">
        <is>
          <t>SaaS / enterprise software</t>
        </is>
      </c>
      <c r="F280" s="62" t="inlineStr">
        <is>
          <t>Systems Software</t>
        </is>
      </c>
      <c r="G280" s="62" t="inlineStr">
        <is>
          <t>Standard</t>
        </is>
      </c>
      <c r="H280" s="63" t="n">
        <v>45573</v>
      </c>
      <c r="I280" s="64" t="n">
        <v>335.1</v>
      </c>
      <c r="J280" s="62" t="inlineStr">
        <is>
          <t>gross (stated)</t>
        </is>
      </c>
      <c r="K280" s="65" t="n"/>
      <c r="L280" s="65" t="n">
        <v>13</v>
      </c>
      <c r="M280" s="65" t="n">
        <v>13</v>
      </c>
      <c r="N280" s="62" t="inlineStr">
        <is>
          <t>Y</t>
        </is>
      </c>
      <c r="O280" s="66" t="n">
        <v>100</v>
      </c>
      <c r="P280" s="66" t="n"/>
      <c r="Q280" s="67" t="n">
        <v>6419.5</v>
      </c>
      <c r="R280" s="62" t="inlineStr">
        <is>
          <t>derived:deal size / offer % of enlarged capital</t>
        </is>
      </c>
      <c r="S280" s="68" t="n">
        <v>156.33</v>
      </c>
      <c r="T280" s="69" t="n">
        <v>2.58</v>
      </c>
      <c r="U280" s="70" t="n">
        <v>0</v>
      </c>
      <c r="V280" s="66" t="n">
        <v>5.22</v>
      </c>
      <c r="W280" s="62" t="n"/>
      <c r="X280" s="62" t="n"/>
      <c r="Y280" s="66" t="n">
        <v>5.22</v>
      </c>
      <c r="Z280" s="62" t="inlineStr">
        <is>
          <t>lapsed</t>
        </is>
      </c>
      <c r="AA280" s="71" t="n">
        <v>-29.23</v>
      </c>
      <c r="AB280" s="72" t="n">
        <v>-13.54</v>
      </c>
      <c r="AC280" s="72" t="n">
        <v>-18.15</v>
      </c>
      <c r="AD280" s="72" t="n">
        <v>-54.85</v>
      </c>
      <c r="AE280" s="72" t="n">
        <v>-54.62</v>
      </c>
      <c r="AF280" s="72" t="n">
        <v>-70.23</v>
      </c>
      <c r="AG280" s="72" t="n">
        <v>-36.2</v>
      </c>
      <c r="AH280" s="72" t="n">
        <v>-35.88</v>
      </c>
      <c r="AI280" s="72" t="n">
        <v>-57.93</v>
      </c>
      <c r="AJ280" s="72" t="n">
        <v>-36.24</v>
      </c>
      <c r="AK280" s="72" t="n">
        <v>-41.17</v>
      </c>
      <c r="AL280" s="72" t="n">
        <v>-49.7</v>
      </c>
      <c r="AM280" s="72" t="n">
        <v>-35.49</v>
      </c>
      <c r="AN280" s="72" t="n">
        <v>-13.45</v>
      </c>
      <c r="AO280" s="72" t="n">
        <v>-0.39</v>
      </c>
      <c r="AP280" s="62" t="inlineStr">
        <is>
          <t>HSTECH (Hang Seng TECH ETF)</t>
        </is>
      </c>
      <c r="AQ280" s="72" t="n">
        <v>-57.58</v>
      </c>
      <c r="AR280" s="63" t="inlineStr">
        <is>
          <t>2026-08-20</t>
        </is>
      </c>
      <c r="AS280" s="64" t="n">
        <v>630.5</v>
      </c>
      <c r="AT280" s="67" t="n">
        <v>-464.8</v>
      </c>
      <c r="AU280" s="62" t="inlineStr">
        <is>
          <t>N</t>
        </is>
      </c>
      <c r="AV280" s="62" t="inlineStr">
        <is>
          <t>n/m</t>
        </is>
      </c>
      <c r="AW280" s="73" t="n"/>
      <c r="AX280" s="73" t="n"/>
      <c r="AY280" s="73" t="n">
        <v>10.2</v>
      </c>
      <c r="AZ280" s="74" t="inlineStr">
        <is>
          <t>N</t>
        </is>
      </c>
      <c r="BA280" s="75">
        <f>IF('BBG Verify'!K280="","not filed — run on terminal",'BBG Verify'!K280)</f>
        <v/>
      </c>
      <c r="BB280" s="62" t="inlineStr">
        <is>
          <t>N/A</t>
        </is>
      </c>
      <c r="BC280" s="62" t="inlineStr">
        <is>
          <t>N/A</t>
        </is>
      </c>
      <c r="BD280" s="62" t="inlineStr">
        <is>
          <t>N/A</t>
        </is>
      </c>
      <c r="BE280" s="62" t="inlineStr">
        <is>
          <t>N/A</t>
        </is>
      </c>
      <c r="BF280" s="62" t="inlineStr">
        <is>
          <t>N/A</t>
        </is>
      </c>
      <c r="BG280" s="74" t="n"/>
      <c r="BH280" s="62" t="inlineStr">
        <is>
          <t>China International Capital Corporation Hong Kong Securities Limited; Morgan Stanley Asia Limited</t>
        </is>
      </c>
      <c r="BI280" s="62" t="inlineStr">
        <is>
          <t>Morgan Stanley Asia Limited; China International Capital Corporation Hong Kong Securities Limited; Huatai Financial Holdings (Hong Kong) Limited; CMB International Capital Limited; Futu Securities International (Hong Kong) Limited; Tiger Brokers (HK) Global Limited; Valuable Capital Limited</t>
        </is>
      </c>
      <c r="BJ280" s="62" t="inlineStr">
        <is>
          <t>CCB International Capital Limited; China International Capital Corporation Hong Kong Securities Limited; CMB International Capital Limited; Futu Securities International (Hong Kong) Limited; Huatai Financial Holdings (Hong Kong) Limited; Morgan Stanley Asia Limited; Tiger Brokers (HK) Global Limited; Valuable Capital Limited</t>
        </is>
      </c>
      <c r="BK280" s="76">
        <f>HYPERLINK("https://www1.hkexnews.hk/listedco/listconews/sehk/2024/0927/2024092700025.pdf","prospectus")</f>
        <v/>
      </c>
      <c r="BL280" s="76">
        <f>HYPERLINK("https://www1.hkexnews.hk/listedco/listconews/sehk/2024/1007/2024100701772.pdf","allotment")</f>
        <v/>
      </c>
      <c r="BM280" s="76">
        <f>HYPERLINK("https://www1.hkexnews.hk/listedco/listconews/sehk/2024/1103/2024110300003.pdf","stabilisation")</f>
        <v/>
      </c>
      <c r="BN280" s="74" t="n"/>
      <c r="BO280" s="62" t="inlineStr">
        <is>
          <t>P/E: n/m — loss-making at IPO (use P/S) · range low: cap-only pricing — the filing publishes a Maximum Offer Price and no indicative floor · A/H: no A-share listing · sponsor: English name not in the filing text; AAStocks 保薦人 shown · cornerstone list: no cornerstone tranche in this deal</t>
        </is>
      </c>
    </row>
    <row r="281" ht="15" customHeight="1">
      <c r="A281" s="61" t="inlineStr">
        <is>
          <t>9639</t>
        </is>
      </c>
      <c r="B281" s="62" t="inlineStr">
        <is>
          <t>WING LEE DEV</t>
        </is>
      </c>
      <c r="C281" s="62" t="inlineStr">
        <is>
          <t>榮利營造</t>
        </is>
      </c>
      <c r="D281" s="62" t="inlineStr">
        <is>
          <t>Industrials</t>
        </is>
      </c>
      <c r="E281" s="62" t="inlineStr">
        <is>
          <t>Construction / engineering</t>
        </is>
      </c>
      <c r="F281" s="62" t="inlineStr">
        <is>
          <t>Construction &amp; Engineering</t>
        </is>
      </c>
      <c r="G281" s="62" t="inlineStr">
        <is>
          <t>Standard</t>
        </is>
      </c>
      <c r="H281" s="63" t="n">
        <v>45574</v>
      </c>
      <c r="I281" s="64" t="n">
        <v>182.5</v>
      </c>
      <c r="J281" s="62" t="inlineStr">
        <is>
          <t>gross (stated)</t>
        </is>
      </c>
      <c r="K281" s="65" t="n">
        <v>0.57</v>
      </c>
      <c r="L281" s="65" t="n">
        <v>0.73</v>
      </c>
      <c r="M281" s="65" t="n">
        <v>0.73</v>
      </c>
      <c r="N281" s="62" t="inlineStr">
        <is>
          <t>Y</t>
        </is>
      </c>
      <c r="O281" s="66" t="n">
        <v>100</v>
      </c>
      <c r="P281" s="66" t="n">
        <v>100</v>
      </c>
      <c r="Q281" s="67" t="n">
        <v>730</v>
      </c>
      <c r="R281" s="62" t="inlineStr">
        <is>
          <t>derived:deal size / offer % of enlarged capital</t>
        </is>
      </c>
      <c r="S281" s="68" t="n">
        <v>120.6</v>
      </c>
      <c r="T281" s="69" t="n">
        <v>1.14</v>
      </c>
      <c r="U281" s="70" t="n">
        <v>21.2</v>
      </c>
      <c r="V281" s="66" t="n">
        <v>19.7</v>
      </c>
      <c r="W281" s="62" t="inlineStr">
        <is>
          <t>Accel Group Holdings Limited; Sany Hongkong Group Limited; The Triplex Holdings Limited</t>
        </is>
      </c>
      <c r="X281" s="62" t="inlineStr">
        <is>
          <t>accel;sany;triplex</t>
        </is>
      </c>
      <c r="Y281" s="66" t="n">
        <v>15</v>
      </c>
      <c r="Z281" s="62" t="n"/>
      <c r="AA281" s="71" t="n">
        <v>-15.07</v>
      </c>
      <c r="AB281" s="72" t="n">
        <v>-31.51</v>
      </c>
      <c r="AC281" s="72" t="n">
        <v>24</v>
      </c>
      <c r="AD281" s="72" t="n">
        <v>-39.73</v>
      </c>
      <c r="AE281" s="72" t="n">
        <v>-36.99</v>
      </c>
      <c r="AF281" s="72" t="n">
        <v>-44.52</v>
      </c>
      <c r="AG281" s="72" t="n">
        <v>-29.04</v>
      </c>
      <c r="AH281" s="72" t="n">
        <v>-25.81</v>
      </c>
      <c r="AI281" s="72" t="n">
        <v>-34.68</v>
      </c>
      <c r="AJ281" s="72" t="n">
        <v>-34.14</v>
      </c>
      <c r="AK281" s="72" t="n">
        <v>-34.57</v>
      </c>
      <c r="AL281" s="72" t="n">
        <v>-33.26</v>
      </c>
      <c r="AM281" s="72" t="n">
        <v>-24.6</v>
      </c>
      <c r="AN281" s="72" t="n">
        <v>-2.42</v>
      </c>
      <c r="AO281" s="72" t="n">
        <v>-1.21</v>
      </c>
      <c r="AP281" s="62" t="inlineStr">
        <is>
          <t>Hang Seng Commerce &amp; Industry sub-index</t>
        </is>
      </c>
      <c r="AQ281" s="72" t="n">
        <v>35.62</v>
      </c>
      <c r="AR281" s="63" t="inlineStr">
        <is>
          <t>2026-08-20</t>
        </is>
      </c>
      <c r="AS281" s="64" t="n">
        <v>526.1</v>
      </c>
      <c r="AT281" s="67" t="n">
        <v>76.90000000000001</v>
      </c>
      <c r="AU281" s="62" t="inlineStr">
        <is>
          <t>Y</t>
        </is>
      </c>
      <c r="AV281" s="73" t="n">
        <v>9.5</v>
      </c>
      <c r="AW281" s="73" t="n"/>
      <c r="AX281" s="73" t="n">
        <v>57.2</v>
      </c>
      <c r="AY281" s="73" t="n">
        <v>1.4</v>
      </c>
      <c r="AZ281" s="74" t="inlineStr">
        <is>
          <t>N</t>
        </is>
      </c>
      <c r="BA281" s="75">
        <f>IF('BBG Verify'!K281="","not filed — run on terminal",'BBG Verify'!K281)</f>
        <v/>
      </c>
      <c r="BB281" s="62" t="inlineStr">
        <is>
          <t>N/A</t>
        </is>
      </c>
      <c r="BC281" s="62" t="inlineStr">
        <is>
          <t>N/A</t>
        </is>
      </c>
      <c r="BD281" s="62" t="inlineStr">
        <is>
          <t>N/A</t>
        </is>
      </c>
      <c r="BE281" s="62" t="inlineStr">
        <is>
          <t>N/A</t>
        </is>
      </c>
      <c r="BF281" s="62" t="inlineStr">
        <is>
          <t>N/A</t>
        </is>
      </c>
      <c r="BG281" s="74" t="inlineStr">
        <is>
          <t>Alliance Capital Partners Limited</t>
        </is>
      </c>
      <c r="BH281" s="62" t="inlineStr">
        <is>
          <t>Alliance Capital Partners Limited</t>
        </is>
      </c>
      <c r="BI281" s="62" t="inlineStr">
        <is>
          <t>Alliance Capital Partners Limited; China Galaxy International Securities (Hong Kong) Co., Limited; CMBC Securities Company Limited; ABCI Capital Limited; China Industrial Securities International Capital Limited</t>
        </is>
      </c>
      <c r="BJ281" s="62" t="inlineStr">
        <is>
          <t>ABCI Securities Company Limited; Alliance Capital Partners Limited; China Galaxy International Securities (Hong Kong) Company Limited; Cinda International Capital Limited; China Industrial Securities International Capital Limited; CMBC Securities Company Limited; Futu Securities International (Hong Kong) Limited; Gaoyu Securities Limited; Haitong International Securities Company Limited; Livermore Holdings Limited; Phillip Securities (Hong Kong) Limited; ZMF Asset Management Limited</t>
        </is>
      </c>
      <c r="BK281" s="76">
        <f>HYPERLINK("https://www1.hkexnews.hk/listedco/listconews/sehk/2024/0927/2024092700039.pdf","prospectus")</f>
        <v/>
      </c>
      <c r="BL281" s="76">
        <f>HYPERLINK("https://www1.hkexnews.hk/listedco/listconews/sehk/2024/1008/2024100801016.pdf","allotment")</f>
        <v/>
      </c>
      <c r="BM281" s="62" t="n"/>
      <c r="BN281" s="74" t="n"/>
      <c r="BO281" s="62" t="inlineStr">
        <is>
          <t>greenshoe: end-of-stabilisation notice not located · A/H: no A-share listing</t>
        </is>
      </c>
    </row>
    <row r="282" ht="15" customHeight="1">
      <c r="A282" s="61" t="inlineStr">
        <is>
          <t>2567</t>
        </is>
      </c>
      <c r="B282" s="62" t="inlineStr">
        <is>
          <t>QINIU</t>
        </is>
      </c>
      <c r="C282" s="62" t="inlineStr">
        <is>
          <t>七牛智能</t>
        </is>
      </c>
      <c r="D282" s="62" t="inlineStr">
        <is>
          <t>Tech/AI</t>
        </is>
      </c>
      <c r="E282" s="62" t="inlineStr">
        <is>
          <t>Data center / cloud infra</t>
        </is>
      </c>
      <c r="F282" s="62" t="inlineStr">
        <is>
          <t>Systems Software</t>
        </is>
      </c>
      <c r="G282" s="62" t="inlineStr">
        <is>
          <t>Standard</t>
        </is>
      </c>
      <c r="H282" s="63" t="n">
        <v>45581</v>
      </c>
      <c r="I282" s="64" t="n">
        <v>439.3</v>
      </c>
      <c r="J282" s="62" t="inlineStr">
        <is>
          <t>gross (stated)</t>
        </is>
      </c>
      <c r="K282" s="65" t="n">
        <v>2.74</v>
      </c>
      <c r="L282" s="65" t="n">
        <v>2.86</v>
      </c>
      <c r="M282" s="65" t="n">
        <v>2.75</v>
      </c>
      <c r="N282" s="62" t="inlineStr">
        <is>
          <t>N</t>
        </is>
      </c>
      <c r="O282" s="66" t="n">
        <v>96.2</v>
      </c>
      <c r="P282" s="66" t="n">
        <v>8.300000000000001</v>
      </c>
      <c r="Q282" s="67" t="n">
        <v>5490.8</v>
      </c>
      <c r="R282" s="62" t="inlineStr">
        <is>
          <t>derived:price x shares upon listing</t>
        </is>
      </c>
      <c r="S282" s="68" t="n">
        <v>19.87</v>
      </c>
      <c r="T282" s="69" t="n">
        <v>1.02</v>
      </c>
      <c r="U282" s="70" t="n">
        <v>63.5</v>
      </c>
      <c r="V282" s="66" t="n">
        <v>2.92</v>
      </c>
      <c r="W282" s="62" t="inlineStr">
        <is>
          <t>Woseon Limited Partnership</t>
        </is>
      </c>
      <c r="X282" s="62" t="inlineStr">
        <is>
          <t>woseon</t>
        </is>
      </c>
      <c r="Y282" s="66" t="n">
        <v>9.1</v>
      </c>
      <c r="Z282" s="62" t="inlineStr">
        <is>
          <t>lapsed (no over-allocation)</t>
        </is>
      </c>
      <c r="AA282" s="71" t="n">
        <v>-56.73</v>
      </c>
      <c r="AB282" s="72" t="n">
        <v>-41.82</v>
      </c>
      <c r="AC282" s="72" t="n">
        <v>-25.63</v>
      </c>
      <c r="AD282" s="72" t="n">
        <v>-56.73</v>
      </c>
      <c r="AE282" s="72" t="n">
        <v>-62.55</v>
      </c>
      <c r="AF282" s="72" t="n">
        <v>-75.27</v>
      </c>
      <c r="AG282" s="72" t="n">
        <v>0</v>
      </c>
      <c r="AH282" s="72" t="n">
        <v>-13.45</v>
      </c>
      <c r="AI282" s="72" t="n">
        <v>-42.85</v>
      </c>
      <c r="AJ282" s="72" t="n">
        <v>-60.39</v>
      </c>
      <c r="AK282" s="72" t="n">
        <v>-59.44</v>
      </c>
      <c r="AL282" s="72" t="n">
        <v>-74.34999999999999</v>
      </c>
      <c r="AM282" s="72" t="n">
        <v>-11.42</v>
      </c>
      <c r="AN282" s="72" t="n">
        <v>-3.11</v>
      </c>
      <c r="AO282" s="72" t="n">
        <v>-2.03</v>
      </c>
      <c r="AP282" s="62" t="inlineStr">
        <is>
          <t>HSTECH (Hang Seng TECH ETF)</t>
        </is>
      </c>
      <c r="AQ282" s="72" t="n">
        <v>-87.09</v>
      </c>
      <c r="AR282" s="63" t="inlineStr">
        <is>
          <t>2026-08-20</t>
        </is>
      </c>
      <c r="AS282" s="64" t="n">
        <v>1467.4</v>
      </c>
      <c r="AT282" s="67" t="n">
        <v>-356.5</v>
      </c>
      <c r="AU282" s="62" t="inlineStr">
        <is>
          <t>N</t>
        </is>
      </c>
      <c r="AV282" s="62" t="inlineStr">
        <is>
          <t>n/m</t>
        </is>
      </c>
      <c r="AW282" s="73" t="n"/>
      <c r="AX282" s="73" t="n"/>
      <c r="AY282" s="73" t="n">
        <v>3.7</v>
      </c>
      <c r="AZ282" s="74" t="inlineStr">
        <is>
          <t>N</t>
        </is>
      </c>
      <c r="BA282" s="75">
        <f>IF('BBG Verify'!K282="","not filed — run on terminal",'BBG Verify'!K282)</f>
        <v/>
      </c>
      <c r="BB282" s="62" t="inlineStr">
        <is>
          <t>N/A</t>
        </is>
      </c>
      <c r="BC282" s="62" t="inlineStr">
        <is>
          <t>N/A</t>
        </is>
      </c>
      <c r="BD282" s="62" t="inlineStr">
        <is>
          <t>N/A</t>
        </is>
      </c>
      <c r="BE282" s="62" t="inlineStr">
        <is>
          <t>N/A</t>
        </is>
      </c>
      <c r="BF282" s="62" t="inlineStr">
        <is>
          <t>N/A</t>
        </is>
      </c>
      <c r="BG282" s="74" t="inlineStr">
        <is>
          <t>Shenwan Hongyuan Capital (H.K.) Limited; BOCOM International (Asia) Limited</t>
        </is>
      </c>
      <c r="BH282" s="62" t="inlineStr">
        <is>
          <t>Shenwan Hongyuan Capital (H.K.) Limited</t>
        </is>
      </c>
      <c r="BI282" s="62" t="inlineStr">
        <is>
          <t>Shenwan Hongyuan Securities (H.K.) Limited; BOCOM International Securities Limited; Huatai Financial Holdings (Hong Kong) Limited; GF Securities (Hong Kong) Brokerage Limited; CMB International Capital Limited; ABCI Capital Limited; Zheshang International Financial Holdings Co., Limited; China Merchants Securities (HK) Co., Limited; CMBC Securities Company Limited</t>
        </is>
      </c>
      <c r="BJ282" s="62" t="inlineStr">
        <is>
          <t>ABCI Securities Company Limited; BOCOM International Securities Limited; CMBC Securities Company Limited; CMB International Capital Limited; China Merchants Securities (HK) Company Limited; Futu Securities International (Hong Kong) Limited; GF Securities (Hong Kong) Brokerage Limited; Huatai Financial Holdings (Hong Kong) Limited; Livermore Holdings Limited; SDICS International Securities (Hong Kong) Limited; Shenwan Hongyuan Securities (H.K.) Limited; Tiger Brokers (HK) Global Limited</t>
        </is>
      </c>
      <c r="BK282" s="76">
        <f>HYPERLINK("https://www1.hkexnews.hk/listedco/listconews/sehk/2024/0930/2024093000011.pdf","prospectus")</f>
        <v/>
      </c>
      <c r="BL282" s="76">
        <f>HYPERLINK("https://www1.hkexnews.hk/listedco/listconews/sehk/2024/1015/2024101500998.pdf","allotment")</f>
        <v/>
      </c>
      <c r="BM282" s="76">
        <f>HYPERLINK("https://www1.hkexnews.hk/listedco/listconews/sehk/2024/1111/2024111100811.pdf","stabilisation")</f>
        <v/>
      </c>
      <c r="BN282" s="74" t="n"/>
      <c r="BO282" s="62" t="inlineStr">
        <is>
          <t>P/E: n/m — loss-making at IPO (use P/S) · A/H: no A-share listing</t>
        </is>
      </c>
    </row>
    <row r="283" ht="15" customHeight="1">
      <c r="A283" s="61" t="inlineStr">
        <is>
          <t>2460</t>
        </is>
      </c>
      <c r="B283" s="62" t="inlineStr">
        <is>
          <t>CR BEVERAGE</t>
        </is>
      </c>
      <c r="C283" s="62" t="inlineStr">
        <is>
          <t>華潤飲料</t>
        </is>
      </c>
      <c r="D283" s="62" t="inlineStr">
        <is>
          <t>Consumer</t>
        </is>
      </c>
      <c r="E283" s="62" t="inlineStr">
        <is>
          <t>Beverages / packaged food</t>
        </is>
      </c>
      <c r="F283" s="62" t="inlineStr">
        <is>
          <t>Beverages (Non-alcoholic)</t>
        </is>
      </c>
      <c r="G283" s="62" t="inlineStr">
        <is>
          <t>Standard</t>
        </is>
      </c>
      <c r="H283" s="63" t="n">
        <v>45588</v>
      </c>
      <c r="I283" s="64" t="n">
        <v>5043.5</v>
      </c>
      <c r="J283" s="62" t="inlineStr">
        <is>
          <t>gross (price x shares)</t>
        </is>
      </c>
      <c r="K283" s="65" t="n">
        <v>13.5</v>
      </c>
      <c r="L283" s="65" t="n">
        <v>14.5</v>
      </c>
      <c r="M283" s="65" t="n">
        <v>14.5</v>
      </c>
      <c r="N283" s="62" t="inlineStr">
        <is>
          <t>Y</t>
        </is>
      </c>
      <c r="O283" s="66" t="n">
        <v>100</v>
      </c>
      <c r="P283" s="66" t="n">
        <v>100</v>
      </c>
      <c r="Q283" s="67" t="n">
        <v>34077.7</v>
      </c>
      <c r="R283" s="62" t="inlineStr">
        <is>
          <t>derived:deal size / offer % of enlarged capital</t>
        </is>
      </c>
      <c r="S283" s="68" t="n">
        <v>234.49</v>
      </c>
      <c r="T283" s="69" t="n">
        <v>24.47</v>
      </c>
      <c r="U283" s="70" t="n">
        <v>47.72</v>
      </c>
      <c r="V283" s="66" t="n">
        <v>7.74</v>
      </c>
      <c r="W283" s="62" t="inlineStr">
        <is>
          <t>Athos Capital Limited; China Post Life Insurance Company Limited; China Travel Service (Holdings) Hong Kong Limited; Ghisallo Master Fund LP; Oaktree Capital Management, L.P; Pamalican Fund Ltd; PT Indadi Juver; UBS AM Singapore; Wildlife Willow Limited</t>
        </is>
      </c>
      <c r="X283" s="62" t="inlineStr">
        <is>
          <t>athos;post;travel;ghisallo;oaktree;pamalican;pt;ubs;wildlife</t>
        </is>
      </c>
      <c r="Y283" s="66" t="n">
        <v>15</v>
      </c>
      <c r="Z283" s="62" t="inlineStr">
        <is>
          <t>partial</t>
        </is>
      </c>
      <c r="AA283" s="71" t="n">
        <v>15.03</v>
      </c>
      <c r="AB283" s="72" t="n">
        <v>13.52</v>
      </c>
      <c r="AC283" s="72" t="n">
        <v>1.33</v>
      </c>
      <c r="AD283" s="72" t="n">
        <v>6.62</v>
      </c>
      <c r="AE283" s="72" t="n">
        <v>-15.03</v>
      </c>
      <c r="AF283" s="72" t="n">
        <v>-18.07</v>
      </c>
      <c r="AG283" s="72" t="n">
        <v>-7.31</v>
      </c>
      <c r="AH283" s="72" t="n">
        <v>-26.13</v>
      </c>
      <c r="AI283" s="72" t="n">
        <v>-28.78</v>
      </c>
      <c r="AJ283" s="72" t="n">
        <v>7.43</v>
      </c>
      <c r="AK283" s="72" t="n">
        <v>-9.75</v>
      </c>
      <c r="AL283" s="72" t="n">
        <v>-12.42</v>
      </c>
      <c r="AM283" s="72" t="n">
        <v>-19.27</v>
      </c>
      <c r="AN283" s="72" t="n">
        <v>-5.28</v>
      </c>
      <c r="AO283" s="72" t="n">
        <v>-6.86</v>
      </c>
      <c r="AP283" s="62" t="inlineStr">
        <is>
          <t>Hang Seng Commerce &amp; Industry sub-index</t>
        </is>
      </c>
      <c r="AQ283" s="72" t="n">
        <v>-48.21</v>
      </c>
      <c r="AR283" s="63" t="inlineStr">
        <is>
          <t>2026-08-20</t>
        </is>
      </c>
      <c r="AS283" s="64" t="n">
        <v>14866.2</v>
      </c>
      <c r="AT283" s="67" t="n">
        <v>1464.5</v>
      </c>
      <c r="AU283" s="62" t="inlineStr">
        <is>
          <t>Y</t>
        </is>
      </c>
      <c r="AV283" s="73" t="n">
        <v>23.3</v>
      </c>
      <c r="AW283" s="73" t="n">
        <v>23.2</v>
      </c>
      <c r="AX283" s="73" t="n">
        <v>16</v>
      </c>
      <c r="AY283" s="73" t="n">
        <v>2.3</v>
      </c>
      <c r="AZ283" s="74" t="inlineStr">
        <is>
          <t>N</t>
        </is>
      </c>
      <c r="BA283" s="75">
        <f>IF('BBG Verify'!K283="","not filed — run on terminal",'BBG Verify'!K283)</f>
        <v/>
      </c>
      <c r="BB283" s="62" t="inlineStr">
        <is>
          <t>N/A</t>
        </is>
      </c>
      <c r="BC283" s="62" t="inlineStr">
        <is>
          <t>N/A</t>
        </is>
      </c>
      <c r="BD283" s="62" t="inlineStr">
        <is>
          <t>N/A</t>
        </is>
      </c>
      <c r="BE283" s="62" t="inlineStr">
        <is>
          <t>N/A</t>
        </is>
      </c>
      <c r="BF283" s="62" t="inlineStr">
        <is>
          <t>N/A</t>
        </is>
      </c>
      <c r="BG283" s="74" t="inlineStr">
        <is>
          <t>UBS Securities Hong Kong Limited; BOCI Asia Limited; CITIC Securities (Hong Kong) Limited; Merrill Lynch (Asia Pacific) Limited</t>
        </is>
      </c>
      <c r="BH283" s="62" t="inlineStr">
        <is>
          <t>UBS Securities Hong Kong Limited; Merrill Lynch (Asia Pacific) Limited; CITIC Securities (Hong Kong) Limited; BOCI Asia Limited</t>
        </is>
      </c>
      <c r="BI283" s="62" t="inlineStr">
        <is>
          <t>UBS AG Hong Kong Branch; BOCI Asia Limited; CLSA Limited; Merrill Lynch (Asia Pacific) Limited; China International Capital Corporation Hong Kong Securities Limited; CMB International Capital Limited; The Hongkong and Shanghai Banking Corporation Limited; ABCI Capital Limited; CCB International Capital Limited</t>
        </is>
      </c>
      <c r="BJ283" s="62" t="inlineStr">
        <is>
          <t>ABCI Securities Company Limited; BOCI Asia Limited; CCB International Capital Limited; China International Capital Corporation Hong Kong Securities Limited; CLSA Limited; CMB International Capital Limited; Huatai Financial Holdings (Hong Kong) Limited; The Hongkong and Shanghai Banking Corporation Limited; Merrill Lynch (Asia Pacific) Limited; UBS AG Hong Kong Branch</t>
        </is>
      </c>
      <c r="BK283" s="76">
        <f>HYPERLINK("https://www1.hkexnews.hk/listedco/listconews/sehk/2024/1015/2024101500009.pdf","prospectus")</f>
        <v/>
      </c>
      <c r="BL283" s="76">
        <f>HYPERLINK("https://www1.hkexnews.hk/listedco/listconews/sehk/2024/1022/2024102201053.pdf","allotment")</f>
        <v/>
      </c>
      <c r="BM283" s="76">
        <f>HYPERLINK("https://www1.hkexnews.hk/listedco/listconews/sehk/2024/1118/2024111801006.pdf","stabilisation")</f>
        <v/>
      </c>
      <c r="BN283" s="74" t="n"/>
      <c r="BO283" s="62" t="inlineStr">
        <is>
          <t>A/H: no A-share listing</t>
        </is>
      </c>
    </row>
    <row r="284" ht="15" customHeight="1">
      <c r="A284" s="61" t="inlineStr">
        <is>
          <t>9660</t>
        </is>
      </c>
      <c r="B284" s="62" t="inlineStr">
        <is>
          <t>HORIZONROBOT-W</t>
        </is>
      </c>
      <c r="C284" s="62" t="inlineStr">
        <is>
          <t>地平線機器人－Ｗ</t>
        </is>
      </c>
      <c r="D284" s="62" t="inlineStr">
        <is>
          <t>Tech/AI</t>
        </is>
      </c>
      <c r="E284" s="62" t="inlineStr">
        <is>
          <t>AI chips &amp; semis</t>
        </is>
      </c>
      <c r="F284" s="62" t="inlineStr">
        <is>
          <t>Application Software</t>
        </is>
      </c>
      <c r="G284" s="62" t="inlineStr">
        <is>
          <t>WVR</t>
        </is>
      </c>
      <c r="H284" s="63" t="n">
        <v>45589</v>
      </c>
      <c r="I284" s="64" t="n">
        <v>5407</v>
      </c>
      <c r="J284" s="62" t="inlineStr">
        <is>
          <t>gross (stated)</t>
        </is>
      </c>
      <c r="K284" s="65" t="n">
        <v>3.73</v>
      </c>
      <c r="L284" s="65" t="n">
        <v>3.99</v>
      </c>
      <c r="M284" s="65" t="n">
        <v>3.99</v>
      </c>
      <c r="N284" s="62" t="inlineStr">
        <is>
          <t>Y</t>
        </is>
      </c>
      <c r="O284" s="66" t="n">
        <v>100</v>
      </c>
      <c r="P284" s="66" t="n">
        <v>100</v>
      </c>
      <c r="Q284" s="67" t="n">
        <v>51989.2</v>
      </c>
      <c r="R284" s="62" t="inlineStr">
        <is>
          <t>derived:price x shares upon listing</t>
        </is>
      </c>
      <c r="S284" s="68" t="n">
        <v>33.83</v>
      </c>
      <c r="T284" s="69" t="n">
        <v>13.81</v>
      </c>
      <c r="U284" s="70" t="n">
        <v>31.56</v>
      </c>
      <c r="V284" s="66" t="n">
        <v>7.12</v>
      </c>
      <c r="W284" s="62" t="inlineStr">
        <is>
          <t>Alisoft China Holding Limited; Baidu (Hong Kong) Limited; JSC International Investment Fund SPC; PARTICIPATIONS 1</t>
        </is>
      </c>
      <c r="X284" s="62" t="inlineStr">
        <is>
          <t>alisoft;baidu;jsc;participations</t>
        </is>
      </c>
      <c r="Y284" s="66" t="n">
        <v>15</v>
      </c>
      <c r="Z284" s="62" t="inlineStr">
        <is>
          <t>partial</t>
        </is>
      </c>
      <c r="AA284" s="71" t="n">
        <v>2.76</v>
      </c>
      <c r="AB284" s="72" t="n">
        <v>28.32</v>
      </c>
      <c r="AC284" s="72" t="n">
        <v>-19.92</v>
      </c>
      <c r="AD284" s="72" t="n">
        <v>19.55</v>
      </c>
      <c r="AE284" s="72" t="n">
        <v>-4.76</v>
      </c>
      <c r="AF284" s="72" t="n">
        <v>10.03</v>
      </c>
      <c r="AG284" s="72" t="n">
        <v>16.34</v>
      </c>
      <c r="AH284" s="72" t="n">
        <v>-7.32</v>
      </c>
      <c r="AI284" s="72" t="n">
        <v>7.07</v>
      </c>
      <c r="AJ284" s="72" t="n">
        <v>22.2</v>
      </c>
      <c r="AK284" s="72" t="n">
        <v>3.41</v>
      </c>
      <c r="AL284" s="72" t="n">
        <v>9.32</v>
      </c>
      <c r="AM284" s="72" t="n">
        <v>-1.74</v>
      </c>
      <c r="AN284" s="72" t="n">
        <v>-8.17</v>
      </c>
      <c r="AO284" s="72" t="n">
        <v>-5.58</v>
      </c>
      <c r="AP284" s="62" t="inlineStr">
        <is>
          <t>HSTECH (Hang Seng TECH ETF)</t>
        </is>
      </c>
      <c r="AQ284" s="72" t="n">
        <v>21.55</v>
      </c>
      <c r="AR284" s="63" t="inlineStr">
        <is>
          <t>2026-08-20</t>
        </is>
      </c>
      <c r="AS284" s="64" t="n">
        <v>1706.8</v>
      </c>
      <c r="AT284" s="67" t="n">
        <v>-7413</v>
      </c>
      <c r="AU284" s="62" t="inlineStr">
        <is>
          <t>N</t>
        </is>
      </c>
      <c r="AV284" s="62" t="inlineStr">
        <is>
          <t>n/m</t>
        </is>
      </c>
      <c r="AW284" s="73" t="n"/>
      <c r="AX284" s="73" t="n"/>
      <c r="AY284" s="73" t="n">
        <v>30.5</v>
      </c>
      <c r="AZ284" s="74" t="inlineStr">
        <is>
          <t>N</t>
        </is>
      </c>
      <c r="BA284" s="75">
        <f>IF('BBG Verify'!K284="","not filed — run on terminal",'BBG Verify'!K284)</f>
        <v/>
      </c>
      <c r="BB284" s="62" t="inlineStr">
        <is>
          <t>N/A</t>
        </is>
      </c>
      <c r="BC284" s="62" t="inlineStr">
        <is>
          <t>N/A</t>
        </is>
      </c>
      <c r="BD284" s="62" t="inlineStr">
        <is>
          <t>N/A</t>
        </is>
      </c>
      <c r="BE284" s="62" t="inlineStr">
        <is>
          <t>N/A</t>
        </is>
      </c>
      <c r="BF284" s="62" t="inlineStr">
        <is>
          <t>N/A</t>
        </is>
      </c>
      <c r="BG284" s="74" t="inlineStr">
        <is>
          <t>Goldman Sachs (Asia) L.L.C; Morgan Stanley Asia Limited; China Securities (International) Corporate Finance Company Limited</t>
        </is>
      </c>
      <c r="BH284" s="62" t="inlineStr">
        <is>
          <t>Morgan Stanley Asia Limited; Goldman Sachs (Asia) L.L.C.; China Securities (International) Corporate Finance Company Limited</t>
        </is>
      </c>
      <c r="BI284" s="62" t="inlineStr">
        <is>
          <t>Goldman Sachs (Asia) L.L.C; Morgan Stanley Asia Limited; Central, Hong Kong CLSA Limited; Deutsche Bank AG, Hong Kong Branch; The Hongkong and Shanghai Banking Corporation Limited; CMB International Capital Limited; China Galaxy International Securities (Hong Kong) Co., Limited; China Securities (International) Corporate Finance Company Limited; Central, Hong Kong BOCOM International Securities Limited</t>
        </is>
      </c>
      <c r="BJ284" s="62" t="inlineStr">
        <is>
          <t>ABCI Securities Company Limited; BOCI Asia Limited; BOCOM International Securities Limited; CCB International Capital Limited; CEB International Capital Corporation Limited; China Galaxy International Securities (Hong Kong) Company Limited; CLSA Limited; CMB International Capital Limited; China Securities (International) Corporate Finance Company Limited; Celestial Securities Limited; Deutsche Bank AG, Hong Kong Branch; DBS Asia Capital Limited</t>
        </is>
      </c>
      <c r="BK284" s="76">
        <f>HYPERLINK("https://www1.hkexnews.hk/listedco/listconews/sehk/2024/1016/2024101600024.htm","prospectus")</f>
        <v/>
      </c>
      <c r="BL284" s="76">
        <f>HYPERLINK("https://www1.hkexnews.hk/listedco/listconews/sehk/2024/1023/2024102300943.pdf","allotment")</f>
        <v/>
      </c>
      <c r="BM284" s="76">
        <f>HYPERLINK("https://www1.hkexnews.hk/listedco/listconews/sehk/2024/1120/2024112001092.pdf","stabilisation")</f>
        <v/>
      </c>
      <c r="BN284" s="74" t="n"/>
      <c r="BO284" s="62" t="inlineStr">
        <is>
          <t>P/E: n/m — loss-making at IPO (use P/S) · A/H: no A line; closest listed proxy {'code': '002920.SZ', 'name': 'Desay SV Automotive', 'rationale': "Leading A-share intelligent-driving domain-controller/ADAS tier-1 — the closest pure-A exposure to the China ADAS adoption curve that Horizon's Journey SoCs ride."}</t>
        </is>
      </c>
    </row>
    <row r="285" ht="15" customHeight="1">
      <c r="A285" s="61" t="inlineStr">
        <is>
          <t>2465</t>
        </is>
      </c>
      <c r="B285" s="62" t="inlineStr">
        <is>
          <t>LOPAL TECH</t>
        </is>
      </c>
      <c r="C285" s="62" t="inlineStr">
        <is>
          <t>龍蟠科技</t>
        </is>
      </c>
      <c r="D285" s="62" t="inlineStr">
        <is>
          <t>Industrials</t>
        </is>
      </c>
      <c r="E285" s="62" t="inlineStr">
        <is>
          <t>Batteries / energy storage</t>
        </is>
      </c>
      <c r="F285" s="62" t="inlineStr">
        <is>
          <t>Diversified Chemicals</t>
        </is>
      </c>
      <c r="G285" s="62" t="inlineStr">
        <is>
          <t>Standard</t>
        </is>
      </c>
      <c r="H285" s="63" t="n">
        <v>45595</v>
      </c>
      <c r="I285" s="64" t="n">
        <v>550</v>
      </c>
      <c r="J285" s="62" t="inlineStr">
        <is>
          <t>gross (price x shares)</t>
        </is>
      </c>
      <c r="K285" s="65" t="n"/>
      <c r="L285" s="65" t="n">
        <v>7</v>
      </c>
      <c r="M285" s="65" t="n">
        <v>5.5</v>
      </c>
      <c r="N285" s="62" t="inlineStr">
        <is>
          <t>N</t>
        </is>
      </c>
      <c r="O285" s="66" t="n">
        <v>78.59999999999999</v>
      </c>
      <c r="P285" s="66" t="n"/>
      <c r="Q285" s="67" t="n">
        <v>3666.7</v>
      </c>
      <c r="R285" s="62" t="inlineStr">
        <is>
          <t>derived:deal size / offer % of enlarged capital</t>
        </is>
      </c>
      <c r="S285" s="68" t="n">
        <v>3.99</v>
      </c>
      <c r="T285" s="69" t="n">
        <v>3.23</v>
      </c>
      <c r="U285" s="70" t="n">
        <v>20</v>
      </c>
      <c r="V285" s="66" t="n">
        <v>12</v>
      </c>
      <c r="W285" s="62" t="inlineStr">
        <is>
          <t>Harvest Oriental SP</t>
        </is>
      </c>
      <c r="X285" s="62" t="inlineStr">
        <is>
          <t>harvest</t>
        </is>
      </c>
      <c r="Y285" s="66" t="n">
        <v>15</v>
      </c>
      <c r="Z285" s="62" t="inlineStr">
        <is>
          <t>lapsed</t>
        </is>
      </c>
      <c r="AA285" s="71" t="n">
        <v>-13.64</v>
      </c>
      <c r="AB285" s="72" t="n">
        <v>-7.64</v>
      </c>
      <c r="AC285" s="72" t="n">
        <v>-6.5</v>
      </c>
      <c r="AD285" s="72" t="n">
        <v>-17.45</v>
      </c>
      <c r="AE285" s="72" t="n">
        <v>8.18</v>
      </c>
      <c r="AF285" s="72" t="n">
        <v>-17.45</v>
      </c>
      <c r="AG285" s="72" t="n">
        <v>-4.41</v>
      </c>
      <c r="AH285" s="72" t="n">
        <v>25.27</v>
      </c>
      <c r="AI285" s="72" t="n">
        <v>-4.41</v>
      </c>
      <c r="AJ285" s="72" t="n">
        <v>-16.12</v>
      </c>
      <c r="AK285" s="72" t="n">
        <v>15.56</v>
      </c>
      <c r="AL285" s="72" t="n">
        <v>-17.9</v>
      </c>
      <c r="AM285" s="72" t="n">
        <v>30.97</v>
      </c>
      <c r="AN285" s="72" t="n">
        <v>-7.38</v>
      </c>
      <c r="AO285" s="72" t="n">
        <v>-5.7</v>
      </c>
      <c r="AP285" s="62" t="inlineStr">
        <is>
          <t>Hang Seng Commerce &amp; Industry sub-index</t>
        </is>
      </c>
      <c r="AQ285" s="72" t="n">
        <v>69.64</v>
      </c>
      <c r="AR285" s="63" t="inlineStr">
        <is>
          <t>2026-08-20</t>
        </is>
      </c>
      <c r="AS285" s="64" t="n">
        <v>13466.1</v>
      </c>
      <c r="AT285" s="67" t="n">
        <v>-2013.6</v>
      </c>
      <c r="AU285" s="62" t="inlineStr">
        <is>
          <t>N</t>
        </is>
      </c>
      <c r="AV285" s="62" t="inlineStr">
        <is>
          <t>n/m</t>
        </is>
      </c>
      <c r="AW285" s="73" t="n"/>
      <c r="AX285" s="73" t="n">
        <v>94.3</v>
      </c>
      <c r="AY285" s="73" t="n">
        <v>0.3</v>
      </c>
      <c r="AZ285" s="74" t="inlineStr">
        <is>
          <t>Y</t>
        </is>
      </c>
      <c r="BA285" s="62" t="inlineStr">
        <is>
          <t>603906.SS</t>
        </is>
      </c>
      <c r="BB285" s="72" t="n">
        <v>103.17</v>
      </c>
      <c r="BC285" s="65" t="n">
        <v>11.1743</v>
      </c>
      <c r="BD285" s="79" t="n">
        <v>1.3202</v>
      </c>
      <c r="BE285" s="77">
        <f>IF('BBG Verify'!Q285="","run on terminal",'BBG Verify'!Q285)</f>
        <v/>
      </c>
      <c r="BF285" s="77">
        <f>IF('BBG Verify'!R285="","run on terminal",'BBG Verify'!R285)</f>
        <v/>
      </c>
      <c r="BG285" s="74" t="inlineStr">
        <is>
          <t>Guotai Junan Capital Limited; Halcyon Capital Limited</t>
        </is>
      </c>
      <c r="BH285" s="62" t="inlineStr">
        <is>
          <t>Guotai Junan Capital Limited; Halcyon Capital Limited</t>
        </is>
      </c>
      <c r="BI285" s="62" t="inlineStr">
        <is>
          <t>ABCI Securities Company Limited</t>
        </is>
      </c>
      <c r="BJ285" s="62" t="inlineStr">
        <is>
          <t>ABCI Securities Company Limited; BOCI Asia Limited; CCB International Capital Limited; CMB International Capital Limited; Guotai Junan Securities (Hong Kong) Limited; Halcyon Securities Limited; ICBC International Securities Limited; Livermore Holdings Limited; TradeGo Markets Limited</t>
        </is>
      </c>
      <c r="BK285" s="76">
        <f>HYPERLINK("https://www1.hkexnews.hk/listedco/listconews/sehk/2024/1022/2024102200007.pdf","prospectus")</f>
        <v/>
      </c>
      <c r="BL285" s="76">
        <f>HYPERLINK("https://www1.hkexnews.hk/listedco/listconews/sehk/2024/1029/2024102901308.pdf","allotment")</f>
        <v/>
      </c>
      <c r="BM285" s="76">
        <f>HYPERLINK("https://www1.hkexnews.hk/listedco/listconews/sehk/2024/1125/2024112500279.pdf","stabilisation")</f>
        <v/>
      </c>
      <c r="BN285" s="74" t="n"/>
      <c r="BO285" s="62" t="inlineStr">
        <is>
          <t>P/E: n/m — loss-making at IPO (use P/S) · range low: cap-only pricing — the filing publishes a Maximum Offer Price and no indicative floor · A/H: Oct 2024 H listing (LFP cathode/adblue)</t>
        </is>
      </c>
    </row>
    <row r="286" ht="15" customHeight="1">
      <c r="A286" s="61" t="inlineStr">
        <is>
          <t>2563</t>
        </is>
      </c>
      <c r="B286" s="62" t="inlineStr">
        <is>
          <t>BIOSTAR PHARM-B</t>
        </is>
      </c>
      <c r="C286" s="62" t="inlineStr">
        <is>
          <t>華昊中天醫藥－Ｂ</t>
        </is>
      </c>
      <c r="D286" s="62" t="inlineStr">
        <is>
          <t>Healthcare</t>
        </is>
      </c>
      <c r="E286" s="62" t="inlineStr">
        <is>
          <t>Biotech pre-revenue (18A)</t>
        </is>
      </c>
      <c r="F286" s="62" t="inlineStr">
        <is>
          <t>Biotechnology - Pharmaceuticals</t>
        </is>
      </c>
      <c r="G286" s="62" t="inlineStr">
        <is>
          <t>18A</t>
        </is>
      </c>
      <c r="H286" s="63" t="n">
        <v>45596</v>
      </c>
      <c r="I286" s="64" t="n">
        <v>233.4</v>
      </c>
      <c r="J286" s="62" t="inlineStr">
        <is>
          <t>gross (price x shares)</t>
        </is>
      </c>
      <c r="K286" s="65" t="n"/>
      <c r="L286" s="65" t="n">
        <v>22</v>
      </c>
      <c r="M286" s="65" t="n">
        <v>16</v>
      </c>
      <c r="N286" s="62" t="inlineStr">
        <is>
          <t>N</t>
        </is>
      </c>
      <c r="O286" s="66" t="n">
        <v>72.7</v>
      </c>
      <c r="P286" s="66" t="n"/>
      <c r="Q286" s="67" t="n">
        <v>5833.4</v>
      </c>
      <c r="R286" s="62" t="inlineStr">
        <is>
          <t>derived:price x shares upon listing</t>
        </is>
      </c>
      <c r="S286" s="68" t="n">
        <v>21.45</v>
      </c>
      <c r="T286" s="69" t="n">
        <v>0.994</v>
      </c>
      <c r="U286" s="70" t="n">
        <v>15.7</v>
      </c>
      <c r="V286" s="66" t="n">
        <v>3.37</v>
      </c>
      <c r="W286" s="62" t="inlineStr">
        <is>
          <t>Baheal Wellness Industry International Trading Limited; Novotech SG Holdings Pte. Ltd; SilkyWater Absolute Return LPF; Wealth Strategy Holding Limited</t>
        </is>
      </c>
      <c r="X286" s="62" t="inlineStr">
        <is>
          <t>baheal;novotech;silkywater;wealth</t>
        </is>
      </c>
      <c r="Y286" s="66" t="n"/>
      <c r="Z286" s="62" t="n"/>
      <c r="AA286" s="71" t="n">
        <v>30</v>
      </c>
      <c r="AB286" s="72" t="n">
        <v>34.38</v>
      </c>
      <c r="AC286" s="72" t="n">
        <v>-3.26</v>
      </c>
      <c r="AD286" s="72" t="n">
        <v>75</v>
      </c>
      <c r="AE286" s="72" t="n">
        <v>74.69</v>
      </c>
      <c r="AF286" s="72" t="n">
        <v>-2.88</v>
      </c>
      <c r="AG286" s="72" t="n">
        <v>34.62</v>
      </c>
      <c r="AH286" s="72" t="n">
        <v>34.38</v>
      </c>
      <c r="AI286" s="72" t="n">
        <v>-25.29</v>
      </c>
      <c r="AJ286" s="72" t="n">
        <v>70.58</v>
      </c>
      <c r="AK286" s="72" t="n">
        <v>73.83</v>
      </c>
      <c r="AL286" s="72" t="n">
        <v>0.74</v>
      </c>
      <c r="AM286" s="72" t="n">
        <v>32.32</v>
      </c>
      <c r="AN286" s="72" t="n">
        <v>0.86</v>
      </c>
      <c r="AO286" s="72" t="n">
        <v>2.06</v>
      </c>
      <c r="AP286" s="62" t="inlineStr">
        <is>
          <t>China Biotech ETF (HS biotech proxy)</t>
        </is>
      </c>
      <c r="AQ286" s="72" t="n">
        <v>-78.59</v>
      </c>
      <c r="AR286" s="63" t="inlineStr">
        <is>
          <t>2026-08-20</t>
        </is>
      </c>
      <c r="AS286" s="64" t="n">
        <v>73.3</v>
      </c>
      <c r="AT286" s="67" t="n">
        <v>-91.8</v>
      </c>
      <c r="AU286" s="62" t="inlineStr">
        <is>
          <t>N</t>
        </is>
      </c>
      <c r="AV286" s="62" t="inlineStr">
        <is>
          <t>n/m</t>
        </is>
      </c>
      <c r="AW286" s="73" t="n"/>
      <c r="AX286" s="73" t="n"/>
      <c r="AY286" s="73" t="n">
        <v>79.59999999999999</v>
      </c>
      <c r="AZ286" s="74" t="inlineStr">
        <is>
          <t>N</t>
        </is>
      </c>
      <c r="BA286" s="75">
        <f>IF('BBG Verify'!K286="","not filed — run on terminal",'BBG Verify'!K286)</f>
        <v/>
      </c>
      <c r="BB286" s="62" t="inlineStr">
        <is>
          <t>N/A</t>
        </is>
      </c>
      <c r="BC286" s="62" t="inlineStr">
        <is>
          <t>N/A</t>
        </is>
      </c>
      <c r="BD286" s="62" t="inlineStr">
        <is>
          <t>N/A</t>
        </is>
      </c>
      <c r="BE286" s="62" t="inlineStr">
        <is>
          <t>N/A</t>
        </is>
      </c>
      <c r="BF286" s="62" t="inlineStr">
        <is>
          <t>N/A</t>
        </is>
      </c>
      <c r="BG286" s="74" t="n"/>
      <c r="BH286" s="62" t="inlineStr">
        <is>
          <t>CCB International Capital Limited; China Securities (International) Corporate Finance Company Limited</t>
        </is>
      </c>
      <c r="BI286" s="62" t="inlineStr">
        <is>
          <t>CCB International Capital Limited; CGS International Securities Hong Kong Limited; Citrus Securities Limited; CMBC Securities Company Limited; China Securities (International) Corporate Finance Company Limited; Fosun International Securities Limited</t>
        </is>
      </c>
      <c r="BJ286" s="62" t="inlineStr">
        <is>
          <t>CCB International Capital Limited; CGS International Securities Hong Kong Limited; Citrus Securities Limited; CMBC Securities Company Limited; China Securities (International) Corporate Finance Company Limited; Fosun International Securities Limited; First Shanghai Securities Limited; Futu Securities International (Hong Kong) Limited; Guoyuan Securities Brokerage (Hong Kong) Limited; ICBC International Securities Limited; Mouette Securities Company Limited; Orient Securities (Hong Kong) Limited</t>
        </is>
      </c>
      <c r="BK286" s="76">
        <f>HYPERLINK("https://www1.hkexnews.hk/listedco/listconews/sehk/2024/1023/2024102300015.pdf","prospectus")</f>
        <v/>
      </c>
      <c r="BL286" s="76">
        <f>HYPERLINK("https://www1.hkexnews.hk/listedco/listconews/sehk/2024/1030/2024103002007.pdf","allotment")</f>
        <v/>
      </c>
      <c r="BM286" s="62" t="n"/>
      <c r="BN286" s="74" t="n"/>
      <c r="BO286" s="62" t="inlineStr">
        <is>
          <t>P/E: n/m — loss-making at IPO (use P/S) · greenshoe: no over-allotment option in the offer structure · range low: cap-only pricing — the filing publishes a Maximum Offer Price and no indicative floor · A/H: no A-share listing · sponsor: English name not in the filing text; AAStocks 保薦人 shown · cornerstone: AAStocks institutional table includes non-cornerstone orders (superset) — cornerstone % is from the prospectus · greenshoe size: no over-allotment option in the offer structure</t>
        </is>
      </c>
    </row>
    <row r="287" ht="15" customHeight="1">
      <c r="A287" s="61" t="inlineStr">
        <is>
          <t>2510</t>
        </is>
      </c>
      <c r="B287" s="62" t="inlineStr">
        <is>
          <t>TS LINES</t>
        </is>
      </c>
      <c r="C287" s="62" t="inlineStr">
        <is>
          <t>德翔海運</t>
        </is>
      </c>
      <c r="D287" s="62" t="inlineStr">
        <is>
          <t>Industrials</t>
        </is>
      </c>
      <c r="E287" s="62" t="inlineStr">
        <is>
          <t>Logistics</t>
        </is>
      </c>
      <c r="F287" s="62" t="inlineStr">
        <is>
          <t>Marine</t>
        </is>
      </c>
      <c r="G287" s="62" t="inlineStr">
        <is>
          <t>Standard</t>
        </is>
      </c>
      <c r="H287" s="63" t="n">
        <v>45597</v>
      </c>
      <c r="I287" s="64" t="n">
        <v>1048.9</v>
      </c>
      <c r="J287" s="62" t="inlineStr">
        <is>
          <t>gross (price x shares)</t>
        </is>
      </c>
      <c r="K287" s="65" t="n">
        <v>3.5</v>
      </c>
      <c r="L287" s="65" t="n">
        <v>4.5</v>
      </c>
      <c r="M287" s="65" t="n">
        <v>4.18</v>
      </c>
      <c r="N287" s="62" t="inlineStr">
        <is>
          <t>N</t>
        </is>
      </c>
      <c r="O287" s="66" t="n">
        <v>92.90000000000001</v>
      </c>
      <c r="P287" s="66" t="n">
        <v>68</v>
      </c>
      <c r="Q287" s="67" t="n">
        <v>6900.9</v>
      </c>
      <c r="R287" s="62" t="inlineStr">
        <is>
          <t>derived:price x shares upon listing</t>
        </is>
      </c>
      <c r="S287" s="68" t="n">
        <v>12.09</v>
      </c>
      <c r="T287" s="69" t="n">
        <v>2.22</v>
      </c>
      <c r="U287" s="70" t="n">
        <v>12.3</v>
      </c>
      <c r="V287" s="66" t="n">
        <v>13.33</v>
      </c>
      <c r="W287" s="62" t="inlineStr">
        <is>
          <t>Crane Movement; HUNG Chi-Li; Indigo Rainbow Limited; Metro Shine Group Limited; WANG Yi-Fen; Worldwide Logistics Holding HK Limited</t>
        </is>
      </c>
      <c r="X287" s="62" t="inlineStr">
        <is>
          <t>crane;hung;indigo;metro;wang-yi;logistics</t>
        </is>
      </c>
      <c r="Y287" s="66" t="n">
        <v>15</v>
      </c>
      <c r="Z287" s="62" t="inlineStr">
        <is>
          <t>partial</t>
        </is>
      </c>
      <c r="AA287" s="71" t="n">
        <v>-1.91</v>
      </c>
      <c r="AB287" s="72" t="n">
        <v>0</v>
      </c>
      <c r="AC287" s="72" t="n">
        <v>-1.91</v>
      </c>
      <c r="AD287" s="72" t="n">
        <v>-0</v>
      </c>
      <c r="AE287" s="72" t="n">
        <v>7.66</v>
      </c>
      <c r="AF287" s="72" t="n">
        <v>3.35</v>
      </c>
      <c r="AG287" s="72" t="n">
        <v>1.95</v>
      </c>
      <c r="AH287" s="72" t="n">
        <v>9.76</v>
      </c>
      <c r="AI287" s="72" t="n">
        <v>5.36</v>
      </c>
      <c r="AJ287" s="72" t="n">
        <v>-1.93</v>
      </c>
      <c r="AK287" s="72" t="n">
        <v>11.61</v>
      </c>
      <c r="AL287" s="72" t="n">
        <v>-0.68</v>
      </c>
      <c r="AM287" s="72" t="n">
        <v>14.67</v>
      </c>
      <c r="AN287" s="72" t="n">
        <v>-3.95</v>
      </c>
      <c r="AO287" s="72" t="n">
        <v>-4.91</v>
      </c>
      <c r="AP287" s="62" t="inlineStr">
        <is>
          <t>Hang Seng Commerce &amp; Industry sub-index</t>
        </is>
      </c>
      <c r="AQ287" s="72" t="n">
        <v>169.14</v>
      </c>
      <c r="AR287" s="63" t="inlineStr">
        <is>
          <t>2026-08-20</t>
        </is>
      </c>
      <c r="AS287" s="64" t="n">
        <v>6821.9</v>
      </c>
      <c r="AT287" s="67" t="n">
        <v>-245.9</v>
      </c>
      <c r="AU287" s="62" t="inlineStr">
        <is>
          <t>N</t>
        </is>
      </c>
      <c r="AV287" s="62" t="inlineStr">
        <is>
          <t>n/m</t>
        </is>
      </c>
      <c r="AW287" s="73" t="n"/>
      <c r="AX287" s="73" t="n">
        <v>6.7</v>
      </c>
      <c r="AY287" s="73" t="n">
        <v>1</v>
      </c>
      <c r="AZ287" s="74" t="inlineStr">
        <is>
          <t>N</t>
        </is>
      </c>
      <c r="BA287" s="75">
        <f>IF('BBG Verify'!K287="","not filed — run on terminal",'BBG Verify'!K287)</f>
        <v/>
      </c>
      <c r="BB287" s="62" t="inlineStr">
        <is>
          <t>N/A</t>
        </is>
      </c>
      <c r="BC287" s="62" t="inlineStr">
        <is>
          <t>N/A</t>
        </is>
      </c>
      <c r="BD287" s="62" t="inlineStr">
        <is>
          <t>N/A</t>
        </is>
      </c>
      <c r="BE287" s="62" t="inlineStr">
        <is>
          <t>N/A</t>
        </is>
      </c>
      <c r="BF287" s="62" t="inlineStr">
        <is>
          <t>N/A</t>
        </is>
      </c>
      <c r="BG287" s="74" t="inlineStr">
        <is>
          <t>J.P. Morgan Securities (Far East) Limited; China Merchants Securities (HK) Co., Limited</t>
        </is>
      </c>
      <c r="BH287" s="62" t="inlineStr">
        <is>
          <t>J.P. Morgan Securities (Far East) Limited; China Merchants Securities (HK) Company Limited</t>
        </is>
      </c>
      <c r="BI287" s="62" t="inlineStr">
        <is>
          <t>J.P. Morgan Securities (Asia Pacific) Limited; China Merchants Securities (HK) Co., Limited; Futu Securities International (Hong Kong) Limited; Yuanta Securities (Hong Kong) Company Limited; Admiralty, Hong Kong Livermore Holdings Limited</t>
        </is>
      </c>
      <c r="BJ287" s="62" t="inlineStr">
        <is>
          <t>China Merchants Securities (HK) Company Limited; Futu Securities International (Hong Kong) Limited; J.P. Morgan Securities (Asia Pacific) Limited; Livermore Holdings Limited; Yuanta Securities (Hong Kong) Company Limited</t>
        </is>
      </c>
      <c r="BK287" s="76">
        <f>HYPERLINK("https://www1.hkexnews.hk/listedco/listconews/sehk/2024/1024/2024102400036.pdf","prospectus")</f>
        <v/>
      </c>
      <c r="BL287" s="76">
        <f>HYPERLINK("https://www1.hkexnews.hk/listedco/listconews/sehk/2024/1031/2024103101844.pdf","allotment")</f>
        <v/>
      </c>
      <c r="BM287" s="76">
        <f>HYPERLINK("https://www1.hkexnews.hk/listedco/listconews/sehk/2024/1128/2024112802025.pdf","stabilisation")</f>
        <v/>
      </c>
      <c r="BN287" s="74" t="n"/>
      <c r="BO287" s="62" t="inlineStr">
        <is>
          <t>P/E: n/m — loss-making at IPO (use P/S) · A/H: no A-share listing · cornerstone: AAStocks institutional table includes non-cornerstone orders (superset) — cornerstone % is from the prospectus</t>
        </is>
      </c>
    </row>
    <row r="288" ht="15" customHeight="1">
      <c r="A288" s="61" t="inlineStr">
        <is>
          <t>2519</t>
        </is>
      </c>
      <c r="B288" s="62" t="inlineStr">
        <is>
          <t>AUGROUP</t>
        </is>
      </c>
      <c r="C288" s="62" t="inlineStr">
        <is>
          <t>傲基股份</t>
        </is>
      </c>
      <c r="D288" s="62" t="inlineStr">
        <is>
          <t>Consumer</t>
        </is>
      </c>
      <c r="E288" s="62" t="inlineStr">
        <is>
          <t>Retail / distribution</t>
        </is>
      </c>
      <c r="F288" s="62" t="inlineStr">
        <is>
          <t>Home Furnishings</t>
        </is>
      </c>
      <c r="G288" s="62" t="inlineStr">
        <is>
          <t>Standard</t>
        </is>
      </c>
      <c r="H288" s="63" t="n">
        <v>45604</v>
      </c>
      <c r="I288" s="64" t="n">
        <v>466.4</v>
      </c>
      <c r="J288" s="62" t="inlineStr">
        <is>
          <t>gross (price x shares)</t>
        </is>
      </c>
      <c r="K288" s="65" t="n">
        <v>14.56</v>
      </c>
      <c r="L288" s="65" t="n">
        <v>15.6</v>
      </c>
      <c r="M288" s="65" t="n">
        <v>15.6</v>
      </c>
      <c r="N288" s="62" t="inlineStr">
        <is>
          <t>Y</t>
        </is>
      </c>
      <c r="O288" s="66" t="n">
        <v>100</v>
      </c>
      <c r="P288" s="66" t="n">
        <v>100</v>
      </c>
      <c r="Q288" s="67" t="n">
        <v>6477.2</v>
      </c>
      <c r="R288" s="62" t="inlineStr">
        <is>
          <t>aastocks:上市市值 at the struck price</t>
        </is>
      </c>
      <c r="S288" s="68" t="n">
        <v>17.74</v>
      </c>
      <c r="T288" s="69" t="n">
        <v>2.45</v>
      </c>
      <c r="U288" s="70" t="n">
        <v>23.5</v>
      </c>
      <c r="V288" s="66" t="n">
        <v>5.51</v>
      </c>
      <c r="W288" s="62" t="inlineStr">
        <is>
          <t>Hongkong Valsun Technology Limited; LC Logistics, Inc; Wong, Ka Wai Vivian</t>
        </is>
      </c>
      <c r="X288" s="62" t="inlineStr">
        <is>
          <t>hongkong;lc;wong</t>
        </is>
      </c>
      <c r="Y288" s="66" t="n">
        <v>15</v>
      </c>
      <c r="Z288" s="62" t="inlineStr">
        <is>
          <t>lapsed</t>
        </is>
      </c>
      <c r="AA288" s="71" t="n">
        <v>-11.41</v>
      </c>
      <c r="AB288" s="72" t="n">
        <v>-11.03</v>
      </c>
      <c r="AC288" s="72" t="n">
        <v>-0.43</v>
      </c>
      <c r="AD288" s="72" t="n">
        <v>-22.82</v>
      </c>
      <c r="AE288" s="72" t="n">
        <v>-19.23</v>
      </c>
      <c r="AF288" s="72" t="n">
        <v>-23.97</v>
      </c>
      <c r="AG288" s="72" t="n">
        <v>-12.88</v>
      </c>
      <c r="AH288" s="72" t="n">
        <v>-8.83</v>
      </c>
      <c r="AI288" s="72" t="n">
        <v>-14.18</v>
      </c>
      <c r="AJ288" s="72" t="n">
        <v>-15.16</v>
      </c>
      <c r="AK288" s="72" t="n">
        <v>-16.55</v>
      </c>
      <c r="AL288" s="72" t="n">
        <v>-29.84</v>
      </c>
      <c r="AM288" s="72" t="n">
        <v>-7.44</v>
      </c>
      <c r="AN288" s="72" t="n">
        <v>-2.68</v>
      </c>
      <c r="AO288" s="72" t="n">
        <v>-1.39</v>
      </c>
      <c r="AP288" s="62" t="inlineStr">
        <is>
          <t>Hang Seng Commerce &amp; Industry sub-index</t>
        </is>
      </c>
      <c r="AQ288" s="72" t="n">
        <v>-76.73</v>
      </c>
      <c r="AR288" s="63" t="inlineStr">
        <is>
          <t>2026-08-20</t>
        </is>
      </c>
      <c r="AS288" s="64" t="n">
        <v>9551.299999999999</v>
      </c>
      <c r="AT288" s="67" t="n">
        <v>572.1</v>
      </c>
      <c r="AU288" s="62" t="inlineStr">
        <is>
          <t>Y</t>
        </is>
      </c>
      <c r="AV288" s="73" t="n">
        <v>11.3</v>
      </c>
      <c r="AW288" s="73" t="n">
        <v>9.300000000000001</v>
      </c>
      <c r="AX288" s="73" t="n">
        <v>8.300000000000001</v>
      </c>
      <c r="AY288" s="73" t="n">
        <v>0.7</v>
      </c>
      <c r="AZ288" s="74" t="inlineStr">
        <is>
          <t>N</t>
        </is>
      </c>
      <c r="BA288" s="75">
        <f>IF('BBG Verify'!K288="","not filed — run on terminal",'BBG Verify'!K288)</f>
        <v/>
      </c>
      <c r="BB288" s="62" t="inlineStr">
        <is>
          <t>N/A</t>
        </is>
      </c>
      <c r="BC288" s="62" t="inlineStr">
        <is>
          <t>N/A</t>
        </is>
      </c>
      <c r="BD288" s="62" t="inlineStr">
        <is>
          <t>N/A</t>
        </is>
      </c>
      <c r="BE288" s="62" t="inlineStr">
        <is>
          <t>N/A</t>
        </is>
      </c>
      <c r="BF288" s="62" t="inlineStr">
        <is>
          <t>N/A</t>
        </is>
      </c>
      <c r="BG288" s="74" t="inlineStr">
        <is>
          <t>Huatai Financial Holdings (Hong Kong) Limited</t>
        </is>
      </c>
      <c r="BH288" s="62" t="inlineStr">
        <is>
          <t>Huatai Financial Holdings (Hong Kong) Limited</t>
        </is>
      </c>
      <c r="BI288" s="62" t="inlineStr">
        <is>
          <t>Huatai Financial Holdings (Hong Kong) Limited; CLSA Limited; DBS Asia Capital Limited; Livermore Holdings Limited</t>
        </is>
      </c>
      <c r="BJ288" s="62" t="inlineStr">
        <is>
          <t>CLSA Limited; DBS Asia Capital Limited; Huatai Financial Holdings (Hong Kong) Limited; Livermore Holdings Limited</t>
        </is>
      </c>
      <c r="BK288" s="76">
        <f>HYPERLINK("https://www1.hkexnews.hk/listedco/listconews/sehk/2024/1031/2024103100187.pdf","prospectus")</f>
        <v/>
      </c>
      <c r="BL288" s="76">
        <f>HYPERLINK("https://www1.hkexnews.hk/listedco/listconews/sehk/2024/1107/2024110701104.pdf","allotment")</f>
        <v/>
      </c>
      <c r="BM288" s="76">
        <f>HYPERLINK("https://www1.hkexnews.hk/listedco/listconews/sehk/2024/1205/2024120500586.pdf","stabilisation")</f>
        <v/>
      </c>
      <c r="BN288" s="74" t="n"/>
      <c r="BO288" s="62" t="inlineStr">
        <is>
          <t>A/H: no A-share listing · cornerstone %: AAStocks institutional-order total / deal size — an upper bound; the table can include non-cornerstone orders</t>
        </is>
      </c>
    </row>
    <row r="289" ht="15" customHeight="1">
      <c r="A289" s="61" t="inlineStr">
        <is>
          <t>2551</t>
        </is>
      </c>
      <c r="B289" s="62" t="inlineStr">
        <is>
          <t>APT ELECTRONICS</t>
        </is>
      </c>
      <c r="C289" s="62" t="inlineStr">
        <is>
          <t>晶科電子股份</t>
        </is>
      </c>
      <c r="D289" s="62" t="inlineStr">
        <is>
          <t>Tech/AI</t>
        </is>
      </c>
      <c r="E289" s="62" t="inlineStr">
        <is>
          <t>AI chips &amp; semis</t>
        </is>
      </c>
      <c r="F289" s="62" t="inlineStr">
        <is>
          <t>Liquid Crystal Displays</t>
        </is>
      </c>
      <c r="G289" s="62" t="inlineStr">
        <is>
          <t>Standard</t>
        </is>
      </c>
      <c r="H289" s="63" t="n">
        <v>45604</v>
      </c>
      <c r="I289" s="64" t="n">
        <v>139.5</v>
      </c>
      <c r="J289" s="62" t="inlineStr">
        <is>
          <t>gross (price x shares)</t>
        </is>
      </c>
      <c r="K289" s="65" t="n"/>
      <c r="L289" s="65" t="n">
        <v>3.61</v>
      </c>
      <c r="M289" s="65" t="n">
        <v>3.61</v>
      </c>
      <c r="N289" s="62" t="inlineStr">
        <is>
          <t>Y</t>
        </is>
      </c>
      <c r="O289" s="66" t="n">
        <v>100</v>
      </c>
      <c r="P289" s="66" t="n"/>
      <c r="Q289" s="67" t="n">
        <v>1939.1</v>
      </c>
      <c r="R289" s="62" t="inlineStr">
        <is>
          <t>derived:price x shares upon listing</t>
        </is>
      </c>
      <c r="S289" s="68" t="n">
        <v>5677.83</v>
      </c>
      <c r="T289" s="69" t="n">
        <v>6.95</v>
      </c>
      <c r="U289" s="70" t="n">
        <v>0</v>
      </c>
      <c r="V289" s="66" t="n">
        <v>7.19</v>
      </c>
      <c r="W289" s="62" t="n"/>
      <c r="X289" s="62" t="n"/>
      <c r="Y289" s="66" t="n"/>
      <c r="Z289" s="62" t="n"/>
      <c r="AA289" s="71" t="n">
        <v>47.65</v>
      </c>
      <c r="AB289" s="72" t="n">
        <v>16.34</v>
      </c>
      <c r="AC289" s="72" t="n">
        <v>26.91</v>
      </c>
      <c r="AD289" s="72" t="n">
        <v>25.21</v>
      </c>
      <c r="AE289" s="72" t="n">
        <v>-1.94</v>
      </c>
      <c r="AF289" s="72" t="n">
        <v>16.9</v>
      </c>
      <c r="AG289" s="72" t="n">
        <v>-15.2</v>
      </c>
      <c r="AH289" s="72" t="n">
        <v>-33.59</v>
      </c>
      <c r="AI289" s="72" t="n">
        <v>-20.83</v>
      </c>
      <c r="AJ289" s="72" t="n">
        <v>32.91</v>
      </c>
      <c r="AK289" s="72" t="n">
        <v>-1.5</v>
      </c>
      <c r="AL289" s="72" t="n">
        <v>5.72</v>
      </c>
      <c r="AM289" s="72" t="n">
        <v>-33.37</v>
      </c>
      <c r="AN289" s="72" t="n">
        <v>-0.44</v>
      </c>
      <c r="AO289" s="72" t="n">
        <v>-0.22</v>
      </c>
      <c r="AP289" s="62" t="inlineStr">
        <is>
          <t>HSTECH (Hang Seng TECH ETF)</t>
        </is>
      </c>
      <c r="AQ289" s="72" t="n">
        <v>-56.23</v>
      </c>
      <c r="AR289" s="63" t="inlineStr">
        <is>
          <t>2026-08-20</t>
        </is>
      </c>
      <c r="AS289" s="64" t="n">
        <v>2043.8</v>
      </c>
      <c r="AT289" s="67" t="n">
        <v>79.2</v>
      </c>
      <c r="AU289" s="62" t="inlineStr">
        <is>
          <t>Y</t>
        </is>
      </c>
      <c r="AV289" s="73" t="n">
        <v>24.5</v>
      </c>
      <c r="AW289" s="73" t="n">
        <v>30.8</v>
      </c>
      <c r="AX289" s="73" t="n">
        <v>11.1</v>
      </c>
      <c r="AY289" s="73" t="n">
        <v>0.9</v>
      </c>
      <c r="AZ289" s="74" t="inlineStr">
        <is>
          <t>N</t>
        </is>
      </c>
      <c r="BA289" s="75">
        <f>IF('BBG Verify'!K289="","not filed — run on terminal",'BBG Verify'!K289)</f>
        <v/>
      </c>
      <c r="BB289" s="62" t="inlineStr">
        <is>
          <t>N/A</t>
        </is>
      </c>
      <c r="BC289" s="62" t="inlineStr">
        <is>
          <t>N/A</t>
        </is>
      </c>
      <c r="BD289" s="62" t="inlineStr">
        <is>
          <t>N/A</t>
        </is>
      </c>
      <c r="BE289" s="62" t="inlineStr">
        <is>
          <t>N/A</t>
        </is>
      </c>
      <c r="BF289" s="62" t="inlineStr">
        <is>
          <t>N/A</t>
        </is>
      </c>
      <c r="BG289" s="74" t="inlineStr">
        <is>
          <t>CITIC Securities (Hong Kong) Limited</t>
        </is>
      </c>
      <c r="BH289" s="62" t="inlineStr">
        <is>
          <t>CITIC Securities (Hong Kong) Limited</t>
        </is>
      </c>
      <c r="BI289" s="62" t="inlineStr">
        <is>
          <t>CLSA Limited; GF Securities (Hong Kong) Brokerage Limited; Sinolink Securities (Hong Kong) Company Limited; BOCI Asia Limited; ABCI Capital Limited; ICBC International Securities Limited; China Galaxy International Securities (Hong Kong) Co., Limited; China Sunrise Securities (International) Limited; Patrons Securities Limited; Tiger Brokers (HK) Global Limited</t>
        </is>
      </c>
      <c r="BJ289" s="62" t="inlineStr">
        <is>
          <t>ABCI Securities Company Limited; BOCI Asia Limited; China Galaxy International Securities (Hong Kong) Company Limited; CLSA Limited; China Sunrise Securities (International) Limited; Futu Securities International (Hong Kong) Limited; GF Securities (Hong Kong) Brokerage Limited; ICBC International Securities Limited; Patrons Securities Limited; Sinolink Securities (Hong Kong) Company Limited; Tiger Brokers (HK) Global Limited</t>
        </is>
      </c>
      <c r="BK289" s="76">
        <f>HYPERLINK("https://www1.hkexnews.hk/listedco/listconews/sehk/2024/1031/2024103100078.htm","prospectus")</f>
        <v/>
      </c>
      <c r="BL289" s="76">
        <f>HYPERLINK("https://www1.hkexnews.hk/listedco/listconews/sehk/2024/1107/2024110701242.pdf","allotment")</f>
        <v/>
      </c>
      <c r="BM289" s="62" t="n"/>
      <c r="BN289" s="74" t="n"/>
      <c r="BO289" s="62" t="inlineStr">
        <is>
          <t>greenshoe: no over-allotment option in the offer structure · price range: fixed-price offering (no indicative range) · range low: cap-only pricing — the filing publishes a Maximum Offer Price and no indicative floor · A/H: no A-share listing · cornerstone list: no cornerstone tranche in this deal · greenshoe size: no over-allotment option in the offer structure</t>
        </is>
      </c>
    </row>
    <row r="290" ht="15" customHeight="1">
      <c r="A290" s="61" t="inlineStr">
        <is>
          <t>2582</t>
        </is>
      </c>
      <c r="B290" s="62" t="inlineStr">
        <is>
          <t>GUOFUHEE</t>
        </is>
      </c>
      <c r="C290" s="62" t="inlineStr">
        <is>
          <t>國富氫能</t>
        </is>
      </c>
      <c r="D290" s="62" t="inlineStr">
        <is>
          <t>Industrials</t>
        </is>
      </c>
      <c r="E290" s="62" t="inlineStr">
        <is>
          <t>Batteries / energy storage</t>
        </is>
      </c>
      <c r="F290" s="62" t="inlineStr">
        <is>
          <t>Electrical Components &amp; Equipment</t>
        </is>
      </c>
      <c r="G290" s="62" t="inlineStr">
        <is>
          <t>Standard</t>
        </is>
      </c>
      <c r="H290" s="63" t="n">
        <v>45611</v>
      </c>
      <c r="I290" s="64" t="n">
        <v>390</v>
      </c>
      <c r="J290" s="62" t="inlineStr">
        <is>
          <t>gross (price x shares)</t>
        </is>
      </c>
      <c r="K290" s="65" t="n"/>
      <c r="L290" s="65" t="n">
        <v>73</v>
      </c>
      <c r="M290" s="65" t="n">
        <v>65</v>
      </c>
      <c r="N290" s="62" t="inlineStr">
        <is>
          <t>N</t>
        </is>
      </c>
      <c r="O290" s="66" t="n">
        <v>89</v>
      </c>
      <c r="P290" s="66" t="n"/>
      <c r="Q290" s="67" t="n">
        <v>6806.2</v>
      </c>
      <c r="R290" s="62" t="inlineStr">
        <is>
          <t>derived:price x shares upon listing</t>
        </is>
      </c>
      <c r="S290" s="68" t="n">
        <v>21.07</v>
      </c>
      <c r="T290" s="69" t="n">
        <v>0.99</v>
      </c>
      <c r="U290" s="70" t="n">
        <v>80.8</v>
      </c>
      <c r="V290" s="66" t="n">
        <v>1.1</v>
      </c>
      <c r="W290" s="62" t="inlineStr">
        <is>
          <t>HongKong Frontier Tanzhonghe Limited; Yue Chuang New Energy HK Limited</t>
        </is>
      </c>
      <c r="X290" s="62" t="inlineStr">
        <is>
          <t>hongkong;yue</t>
        </is>
      </c>
      <c r="Y290" s="66" t="n"/>
      <c r="Z290" s="62" t="n"/>
      <c r="AA290" s="71" t="n">
        <v>20</v>
      </c>
      <c r="AB290" s="72" t="n">
        <v>26.62</v>
      </c>
      <c r="AC290" s="72" t="n">
        <v>-5.23</v>
      </c>
      <c r="AD290" s="72" t="n">
        <v>48.54</v>
      </c>
      <c r="AE290" s="72" t="n">
        <v>69.84999999999999</v>
      </c>
      <c r="AF290" s="72" t="n">
        <v>132.15</v>
      </c>
      <c r="AG290" s="72" t="n">
        <v>23.78</v>
      </c>
      <c r="AH290" s="72" t="n">
        <v>41.54</v>
      </c>
      <c r="AI290" s="72" t="n">
        <v>93.45999999999999</v>
      </c>
      <c r="AJ290" s="72" t="n">
        <v>49.64</v>
      </c>
      <c r="AK290" s="72" t="n">
        <v>68.18000000000001</v>
      </c>
      <c r="AL290" s="72" t="n">
        <v>111.97</v>
      </c>
      <c r="AM290" s="72" t="n">
        <v>39.99</v>
      </c>
      <c r="AN290" s="72" t="n">
        <v>1.67</v>
      </c>
      <c r="AO290" s="72" t="n">
        <v>1.55</v>
      </c>
      <c r="AP290" s="62" t="inlineStr">
        <is>
          <t>Hang Seng Commerce &amp; Industry sub-index</t>
        </is>
      </c>
      <c r="AQ290" s="72" t="n">
        <v>-85.68000000000001</v>
      </c>
      <c r="AR290" s="63" t="inlineStr">
        <is>
          <t>2026-08-20</t>
        </is>
      </c>
      <c r="AS290" s="64" t="n">
        <v>574.7</v>
      </c>
      <c r="AT290" s="67" t="n">
        <v>-82.5</v>
      </c>
      <c r="AU290" s="62" t="inlineStr">
        <is>
          <t>N</t>
        </is>
      </c>
      <c r="AV290" s="62" t="inlineStr">
        <is>
          <t>n/m</t>
        </is>
      </c>
      <c r="AW290" s="73" t="n"/>
      <c r="AX290" s="73" t="n"/>
      <c r="AY290" s="73" t="n">
        <v>11.8</v>
      </c>
      <c r="AZ290" s="74" t="inlineStr">
        <is>
          <t>N</t>
        </is>
      </c>
      <c r="BA290" s="75">
        <f>IF('BBG Verify'!K290="","not filed — run on terminal",'BBG Verify'!K290)</f>
        <v/>
      </c>
      <c r="BB290" s="62" t="inlineStr">
        <is>
          <t>N/A</t>
        </is>
      </c>
      <c r="BC290" s="62" t="inlineStr">
        <is>
          <t>N/A</t>
        </is>
      </c>
      <c r="BD290" s="62" t="inlineStr">
        <is>
          <t>N/A</t>
        </is>
      </c>
      <c r="BE290" s="62" t="inlineStr">
        <is>
          <t>N/A</t>
        </is>
      </c>
      <c r="BF290" s="62" t="inlineStr">
        <is>
          <t>N/A</t>
        </is>
      </c>
      <c r="BG290" s="74" t="inlineStr">
        <is>
          <t>Haitong International Capital Limited; Central, Hong Kong CITIC Securities (Hong Kong) Limited</t>
        </is>
      </c>
      <c r="BH290" s="62" t="inlineStr">
        <is>
          <t>Haitong International Capital Limited; CITIC Securities (Hong Kong) Limited</t>
        </is>
      </c>
      <c r="BI290" s="62" t="inlineStr">
        <is>
          <t>and CMIs CCB International Capital Limited; Central, Hong Kong China Securities (International) Corporate Finance Company Limited; and CMIs Livermore Holdings Limited; Zhongtai International Securities Limited; Fortune Origin Securities Limited; Central, Hong Kong ICBC International Securities Limited; Quam Securities Limited; Soochow Securities International Brokerage Limited</t>
        </is>
      </c>
      <c r="BJ290" s="62" t="inlineStr">
        <is>
          <t>CCB International Capital Limited; CLSA Limited; China Securities (International) Corporate Finance Company Limited; Fortune Origin Securities Limited; Haitong International Securities Company Limited; ICBC International Securities Limited; Livermore Holdings Limited; Quam Securities Limited; Soochow Securities International Brokerage Limited; Zhongtai International Securities Limited</t>
        </is>
      </c>
      <c r="BK290" s="76">
        <f>HYPERLINK("https://www1.hkexnews.hk/listedco/listconews/sehk/2024/1107/2024110700009.pdf","prospectus")</f>
        <v/>
      </c>
      <c r="BL290" s="76">
        <f>HYPERLINK("https://www1.hkexnews.hk/listedco/listconews/sehk/2024/1114/2024111400951.pdf","allotment")</f>
        <v/>
      </c>
      <c r="BM290" s="62" t="n"/>
      <c r="BN290" s="74" t="n"/>
      <c r="BO290" s="62"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t>
        </is>
      </c>
    </row>
    <row r="291" ht="15" customHeight="1">
      <c r="A291" s="61" t="inlineStr">
        <is>
          <t>6936</t>
        </is>
      </c>
      <c r="B291" s="62" t="inlineStr">
        <is>
          <t>SF HOLDING</t>
        </is>
      </c>
      <c r="C291" s="62" t="inlineStr">
        <is>
          <t>順豐控股</t>
        </is>
      </c>
      <c r="D291" s="62" t="inlineStr">
        <is>
          <t>Industrials</t>
        </is>
      </c>
      <c r="E291" s="62" t="inlineStr">
        <is>
          <t>Logistics</t>
        </is>
      </c>
      <c r="F291" s="62" t="inlineStr">
        <is>
          <t>Air Freight &amp; Logistics</t>
        </is>
      </c>
      <c r="G291" s="62" t="inlineStr">
        <is>
          <t>Standard</t>
        </is>
      </c>
      <c r="H291" s="63" t="n">
        <v>45623</v>
      </c>
      <c r="I291" s="64" t="n">
        <v>5831</v>
      </c>
      <c r="J291" s="62" t="inlineStr">
        <is>
          <t>gross (stated)</t>
        </is>
      </c>
      <c r="K291" s="65" t="n"/>
      <c r="L291" s="65" t="n">
        <v>36.3</v>
      </c>
      <c r="M291" s="65" t="n">
        <v>34.3</v>
      </c>
      <c r="N291" s="62" t="inlineStr">
        <is>
          <t>N</t>
        </is>
      </c>
      <c r="O291" s="66" t="n">
        <v>94.5</v>
      </c>
      <c r="P291" s="66" t="n"/>
      <c r="Q291" s="67" t="n">
        <v>149512.8</v>
      </c>
      <c r="R291" s="62" t="inlineStr">
        <is>
          <t>derived:deal size / offer % of enlarged capital</t>
        </is>
      </c>
      <c r="S291" s="68" t="n">
        <v>79.06999999999999</v>
      </c>
      <c r="T291" s="69" t="n">
        <v>10.1</v>
      </c>
      <c r="U291" s="70" t="n">
        <v>27.4</v>
      </c>
      <c r="V291" s="66" t="n">
        <v>2.83</v>
      </c>
      <c r="W291" s="62" t="inlineStr">
        <is>
          <t>CPIC; Wisdomshire AM; Norges Bank</t>
        </is>
      </c>
      <c r="X291" s="62" t="inlineStr">
        <is>
          <t>cpic;wisdomshire;norges</t>
        </is>
      </c>
      <c r="Y291" s="66" t="n">
        <v>15</v>
      </c>
      <c r="Z291" s="62" t="inlineStr">
        <is>
          <t>lapsed</t>
        </is>
      </c>
      <c r="AA291" s="71" t="n">
        <v>0</v>
      </c>
      <c r="AB291" s="72" t="n">
        <v>0</v>
      </c>
      <c r="AC291" s="72" t="n">
        <v>0</v>
      </c>
      <c r="AD291" s="72" t="n">
        <v>-4.96</v>
      </c>
      <c r="AE291" s="72" t="n">
        <v>-1.31</v>
      </c>
      <c r="AF291" s="72" t="n">
        <v>10.93</v>
      </c>
      <c r="AG291" s="72" t="n">
        <v>-4.96</v>
      </c>
      <c r="AH291" s="72" t="n">
        <v>-1.31</v>
      </c>
      <c r="AI291" s="72" t="n">
        <v>10.93</v>
      </c>
      <c r="AJ291" s="72" t="n">
        <v>-8.140000000000001</v>
      </c>
      <c r="AK291" s="72" t="n">
        <v>-5.57</v>
      </c>
      <c r="AL291" s="72" t="n">
        <v>-12.2</v>
      </c>
      <c r="AM291" s="72" t="n">
        <v>-2.59</v>
      </c>
      <c r="AN291" s="72" t="n">
        <v>4.26</v>
      </c>
      <c r="AO291" s="72" t="n">
        <v>1.28</v>
      </c>
      <c r="AP291" s="62" t="inlineStr">
        <is>
          <t>Hang Seng Commerce &amp; Industry sub-index</t>
        </is>
      </c>
      <c r="AQ291" s="72" t="n">
        <v>-4.84</v>
      </c>
      <c r="AR291" s="63" t="inlineStr">
        <is>
          <t>2026-08-20</t>
        </is>
      </c>
      <c r="AS291" s="64" t="n">
        <v>284250.3</v>
      </c>
      <c r="AT291" s="67" t="n">
        <v>8702.799999999999</v>
      </c>
      <c r="AU291" s="62" t="inlineStr">
        <is>
          <t>Y</t>
        </is>
      </c>
      <c r="AV291" s="73" t="n">
        <v>17.2</v>
      </c>
      <c r="AW291" s="73" t="n">
        <v>16.1</v>
      </c>
      <c r="AX291" s="73" t="n">
        <v>12.1</v>
      </c>
      <c r="AY291" s="73" t="n">
        <v>0.5</v>
      </c>
      <c r="AZ291" s="74" t="inlineStr">
        <is>
          <t>Y</t>
        </is>
      </c>
      <c r="BA291" s="62" t="inlineStr">
        <is>
          <t>002352.SZ</t>
        </is>
      </c>
      <c r="BB291" s="72" t="n">
        <v>31.72</v>
      </c>
      <c r="BC291" s="65" t="n">
        <v>45.1814</v>
      </c>
      <c r="BD291" s="79" t="n">
        <v>0.1823</v>
      </c>
      <c r="BE291" s="77">
        <f>IF('BBG Verify'!Q291="","run on terminal",'BBG Verify'!Q291)</f>
        <v/>
      </c>
      <c r="BF291" s="77">
        <f>IF('BBG Verify'!R291="","run on terminal",'BBG Verify'!R291)</f>
        <v/>
      </c>
      <c r="BG291" s="74" t="inlineStr">
        <is>
          <t>Goldman Sachs (Asia) L.L.C; Huatai Financial Holdings (Hong Kong) Limited; J.P. Morgan Securities (Far East) Limited</t>
        </is>
      </c>
      <c r="BH291" s="62" t="inlineStr">
        <is>
          <t>J.P. Morgan Securities (Far East) Limited; Goldman Sachs (Asia) L.L.C.; Huatai Financial Holdings (Hong Kong) Limited</t>
        </is>
      </c>
      <c r="BI291" s="62" t="inlineStr">
        <is>
          <t>Goldman Sachs (Asia) L.L.C; Huatai Financial Holdings (Hong Kong) Limited; J.P. Morgan Securities (Asia Pacific) Limited; China International Capital Corporation Hong Kong Securities Limited; UBS AG Hong Kong Branch; ABCI Capital Limited; BOCI Asia Limited; DBS Asia Capital Limited; GF Securities (Hong Kong) Brokerage Limited; ICBC International Securities Limited</t>
        </is>
      </c>
      <c r="BJ291" s="62" t="inlineStr">
        <is>
          <t>ABCI Securities Company Limited; BOCI Asia Limited; China International Capital Corporation Hong Kong Securities Limited; CMB International Capital Limited; DBS Asia Capital Limited; GF Securities (Hong Kong) Brokerage Limited; Goldman Sachs (Asia) L.L.C.; Huatai Financial Holdings (Hong Kong) Limited; ICBC International Securities Limited; J.P. Morgan Securities (Asia Pacific) Limited; UBS AG Hong Kong Branch</t>
        </is>
      </c>
      <c r="BK291" s="76">
        <f>HYPERLINK("https://www1.hkexnews.hk/listedco/listconews/sehk/2024/1119/2024111900011.pdf","prospectus")</f>
        <v/>
      </c>
      <c r="BL291" s="76">
        <f>HYPERLINK("https://www1.hkexnews.hk/listedco/listconews/sehk/2024/1126/2024112601132.pdf","allotment")</f>
        <v/>
      </c>
      <c r="BM291" s="76">
        <f>HYPERLINK("https://www1.hkexnews.hk/listedco/listconews/sehk/2024/1223/2024122300065.pdf","stabilisation")</f>
        <v/>
      </c>
      <c r="BN291" s="74" t="n"/>
      <c r="BO291" s="62" t="inlineStr">
        <is>
          <t>range low: cap-only pricing — the filing publishes a Maximum Offer Price and no indicative floor · A/H: Nov 2024, ~US$750m; first A+H express logistics name</t>
        </is>
      </c>
    </row>
    <row r="292" ht="15" customHeight="1">
      <c r="A292" s="61" t="inlineStr">
        <is>
          <t>2566</t>
        </is>
      </c>
      <c r="B292" s="62" t="inlineStr">
        <is>
          <t>JIUYUAN GENE</t>
        </is>
      </c>
      <c r="C292" s="62" t="inlineStr">
        <is>
          <t>九源基因</t>
        </is>
      </c>
      <c r="D292" s="62" t="inlineStr">
        <is>
          <t>Healthcare</t>
        </is>
      </c>
      <c r="E292" s="62" t="inlineStr">
        <is>
          <t>Biopharma commercial</t>
        </is>
      </c>
      <c r="F292" s="62" t="inlineStr">
        <is>
          <t>Pharmaceuticals</t>
        </is>
      </c>
      <c r="G292" s="62" t="inlineStr">
        <is>
          <t>Standard</t>
        </is>
      </c>
      <c r="H292" s="63" t="n">
        <v>45624</v>
      </c>
      <c r="I292" s="64" t="n">
        <v>563.9</v>
      </c>
      <c r="J292" s="62" t="inlineStr">
        <is>
          <t>gross (price x shares)</t>
        </is>
      </c>
      <c r="K292" s="65" t="n">
        <v>11.48</v>
      </c>
      <c r="L292" s="65" t="n">
        <v>12.56</v>
      </c>
      <c r="M292" s="65" t="n">
        <v>12.42</v>
      </c>
      <c r="N292" s="62" t="inlineStr">
        <is>
          <t>N</t>
        </is>
      </c>
      <c r="O292" s="66" t="n">
        <v>98.90000000000001</v>
      </c>
      <c r="P292" s="66" t="n">
        <v>87</v>
      </c>
      <c r="Q292" s="67" t="n">
        <v>3047.9</v>
      </c>
      <c r="R292" s="62" t="inlineStr">
        <is>
          <t>derived:price x shares upon listing</t>
        </is>
      </c>
      <c r="S292" s="68" t="n">
        <v>675.83</v>
      </c>
      <c r="T292" s="69" t="n">
        <v>1.18</v>
      </c>
      <c r="U292" s="70" t="n">
        <v>49.66</v>
      </c>
      <c r="V292" s="66" t="n">
        <v>9.31</v>
      </c>
      <c r="W292" s="62" t="inlineStr">
        <is>
          <t>Heda Jinyuan (HK); Fosun Industrial; Hong Kong King-Friend Industrial; Alibaba Health (Hong Kong) Technology; Jointown International Group Company Limited; Mr. Wu Qiyuan; Delta Capital Hong Kong</t>
        </is>
      </c>
      <c r="X292" s="62" t="inlineStr">
        <is>
          <t>heda;fosun;king;alibaba;jointown;mr-wu;delta</t>
        </is>
      </c>
      <c r="Y292" s="66" t="n">
        <v>17.16</v>
      </c>
      <c r="Z292" s="62" t="n"/>
      <c r="AA292" s="71" t="n">
        <v>-38.41</v>
      </c>
      <c r="AB292" s="72" t="n">
        <v>-39.61</v>
      </c>
      <c r="AC292" s="72" t="n">
        <v>1.99</v>
      </c>
      <c r="AD292" s="72" t="n">
        <v>-35.35</v>
      </c>
      <c r="AE292" s="72" t="n">
        <v>-46.86</v>
      </c>
      <c r="AF292" s="72" t="n">
        <v>-47.42</v>
      </c>
      <c r="AG292" s="72" t="n">
        <v>4.97</v>
      </c>
      <c r="AH292" s="72" t="n">
        <v>-13.72</v>
      </c>
      <c r="AI292" s="72" t="n">
        <v>-14.63</v>
      </c>
      <c r="AJ292" s="72" t="n">
        <v>-34.84</v>
      </c>
      <c r="AK292" s="72" t="n">
        <v>-43.8</v>
      </c>
      <c r="AL292" s="72" t="n">
        <v>-54.93</v>
      </c>
      <c r="AM292" s="72" t="n">
        <v>-11.73</v>
      </c>
      <c r="AN292" s="72" t="n">
        <v>-3.06</v>
      </c>
      <c r="AO292" s="72" t="n">
        <v>-1.99</v>
      </c>
      <c r="AP292" s="62" t="inlineStr">
        <is>
          <t>China Biotech ETF (HS biotech proxy)</t>
        </is>
      </c>
      <c r="AQ292" s="72" t="n">
        <v>-59.02</v>
      </c>
      <c r="AR292" s="63" t="inlineStr">
        <is>
          <t>2026-08-20</t>
        </is>
      </c>
      <c r="AS292" s="64" t="n">
        <v>1416.1</v>
      </c>
      <c r="AT292" s="67" t="n">
        <v>131.8</v>
      </c>
      <c r="AU292" s="62" t="inlineStr">
        <is>
          <t>Y</t>
        </is>
      </c>
      <c r="AV292" s="73" t="n">
        <v>23.1</v>
      </c>
      <c r="AW292" s="73" t="n"/>
      <c r="AX292" s="73" t="n">
        <v>8.1</v>
      </c>
      <c r="AY292" s="73" t="n">
        <v>2.2</v>
      </c>
      <c r="AZ292" s="74" t="inlineStr">
        <is>
          <t>N</t>
        </is>
      </c>
      <c r="BA292" s="75">
        <f>IF('BBG Verify'!K292="","not filed — run on terminal",'BBG Verify'!K292)</f>
        <v/>
      </c>
      <c r="BB292" s="62" t="inlineStr">
        <is>
          <t>N/A</t>
        </is>
      </c>
      <c r="BC292" s="62" t="inlineStr">
        <is>
          <t>N/A</t>
        </is>
      </c>
      <c r="BD292" s="62" t="inlineStr">
        <is>
          <t>N/A</t>
        </is>
      </c>
      <c r="BE292" s="62" t="inlineStr">
        <is>
          <t>N/A</t>
        </is>
      </c>
      <c r="BF292" s="62" t="inlineStr">
        <is>
          <t>N/A</t>
        </is>
      </c>
      <c r="BG292" s="74" t="inlineStr">
        <is>
          <t>Huatai Financial Holdings (Hong Kong) Limited</t>
        </is>
      </c>
      <c r="BH292" s="62" t="inlineStr">
        <is>
          <t>Huatai Financial Holdings (Hong Kong) Limited</t>
        </is>
      </c>
      <c r="BI292" s="62" t="inlineStr">
        <is>
          <t>Huatai Financial Holdings (Hong Kong) Limited; Central, Hong Kong CLSA Limited</t>
        </is>
      </c>
      <c r="BJ292" s="62" t="inlineStr">
        <is>
          <t>CLSA Limited; CMB International Capital Limited; Huatai Financial Holdings (Hong Kong) Limited; Patrons Securities Limited; Ruibang Securities Limited</t>
        </is>
      </c>
      <c r="BK292" s="76">
        <f>HYPERLINK("https://www1.hkexnews.hk/listedco/listconews/sehk/2024/1120/2024112000019.pdf","prospectus")</f>
        <v/>
      </c>
      <c r="BL292" s="76">
        <f>HYPERLINK("https://www1.hkexnews.hk/listedco/listconews/sehk/2024/1127/2024112701177.pdf","allotment")</f>
        <v/>
      </c>
      <c r="BM292" s="62" t="n"/>
      <c r="BN292" s="74" t="n"/>
      <c r="BO292" s="62" t="inlineStr">
        <is>
          <t>greenshoe: end-of-stabilisation notice not located · A/H: no A-share listing</t>
        </is>
      </c>
    </row>
    <row r="293" ht="15" customHeight="1">
      <c r="A293" s="61" t="inlineStr">
        <is>
          <t>2585</t>
        </is>
      </c>
      <c r="B293" s="62" t="inlineStr">
        <is>
          <t>MOKINGRAN</t>
        </is>
      </c>
      <c r="C293" s="62" t="inlineStr">
        <is>
          <t>夢金園</t>
        </is>
      </c>
      <c r="D293" s="62" t="inlineStr">
        <is>
          <t>Consumer</t>
        </is>
      </c>
      <c r="E293" s="62" t="inlineStr">
        <is>
          <t>Apparel / luxury</t>
        </is>
      </c>
      <c r="F293" s="62" t="inlineStr">
        <is>
          <t>Watch &amp; Jewellery</t>
        </is>
      </c>
      <c r="G293" s="62" t="inlineStr">
        <is>
          <t>Standard</t>
        </is>
      </c>
      <c r="H293" s="63" t="n">
        <v>45625</v>
      </c>
      <c r="I293" s="64" t="n">
        <v>527.48</v>
      </c>
      <c r="J293" s="62" t="inlineStr">
        <is>
          <t>gross (stated)</t>
        </is>
      </c>
      <c r="K293" s="65" t="n">
        <v>12</v>
      </c>
      <c r="L293" s="65" t="n">
        <v>14.4</v>
      </c>
      <c r="M293" s="65" t="n">
        <v>12</v>
      </c>
      <c r="N293" s="62" t="inlineStr">
        <is>
          <t>N</t>
        </is>
      </c>
      <c r="O293" s="66" t="n">
        <v>83.3</v>
      </c>
      <c r="P293" s="66" t="n">
        <v>0</v>
      </c>
      <c r="Q293" s="67" t="n">
        <v>3276.3</v>
      </c>
      <c r="R293" s="62" t="inlineStr">
        <is>
          <t>derived:price x shares upon listing</t>
        </is>
      </c>
      <c r="S293" s="68" t="n">
        <v>20.58</v>
      </c>
      <c r="T293" s="69" t="n">
        <v>0.98</v>
      </c>
      <c r="U293" s="70" t="n">
        <v>39.77</v>
      </c>
      <c r="V293" s="66" t="n">
        <v>9.699999999999999</v>
      </c>
      <c r="W293" s="62" t="inlineStr">
        <is>
          <t>Swift Grace</t>
        </is>
      </c>
      <c r="X293" s="62" t="inlineStr">
        <is>
          <t>swift</t>
        </is>
      </c>
      <c r="Y293" s="66" t="n">
        <v>5.64</v>
      </c>
      <c r="Z293" s="62" t="n"/>
      <c r="AA293" s="71" t="n">
        <v>7.5</v>
      </c>
      <c r="AB293" s="72" t="n">
        <v>4.17</v>
      </c>
      <c r="AC293" s="72" t="n">
        <v>3.2</v>
      </c>
      <c r="AD293" s="72" t="n">
        <v>-3.33</v>
      </c>
      <c r="AE293" s="72" t="n">
        <v>13.5</v>
      </c>
      <c r="AF293" s="72" t="n">
        <v>48.67</v>
      </c>
      <c r="AG293" s="72" t="n">
        <v>-10.07</v>
      </c>
      <c r="AH293" s="72" t="n">
        <v>5.58</v>
      </c>
      <c r="AI293" s="72" t="n">
        <v>38.3</v>
      </c>
      <c r="AJ293" s="72" t="n">
        <v>-5.69</v>
      </c>
      <c r="AK293" s="72" t="n">
        <v>12.42</v>
      </c>
      <c r="AL293" s="72" t="n">
        <v>17.28</v>
      </c>
      <c r="AM293" s="72" t="n">
        <v>4.8</v>
      </c>
      <c r="AN293" s="72" t="n">
        <v>1.08</v>
      </c>
      <c r="AO293" s="72" t="n">
        <v>0.78</v>
      </c>
      <c r="AP293" s="62" t="inlineStr">
        <is>
          <t>Hang Seng Commerce &amp; Industry sub-index</t>
        </is>
      </c>
      <c r="AQ293" s="72" t="n">
        <v>148.17</v>
      </c>
      <c r="AR293" s="63" t="inlineStr">
        <is>
          <t>2026-08-20</t>
        </is>
      </c>
      <c r="AS293" s="64" t="n">
        <v>22229.5</v>
      </c>
      <c r="AT293" s="67" t="n">
        <v>256.8</v>
      </c>
      <c r="AU293" s="62" t="inlineStr">
        <is>
          <t>Y</t>
        </is>
      </c>
      <c r="AV293" s="73" t="n">
        <v>12.8</v>
      </c>
      <c r="AW293" s="73" t="n">
        <v>15.8</v>
      </c>
      <c r="AX293" s="73" t="n">
        <v>65.7</v>
      </c>
      <c r="AY293" s="73" t="n">
        <v>0.1</v>
      </c>
      <c r="AZ293" s="74" t="inlineStr">
        <is>
          <t>N</t>
        </is>
      </c>
      <c r="BA293" s="75">
        <f>IF('BBG Verify'!K293="","not filed — run on terminal",'BBG Verify'!K293)</f>
        <v/>
      </c>
      <c r="BB293" s="62" t="inlineStr">
        <is>
          <t>N/A</t>
        </is>
      </c>
      <c r="BC293" s="62" t="inlineStr">
        <is>
          <t>N/A</t>
        </is>
      </c>
      <c r="BD293" s="62" t="inlineStr">
        <is>
          <t>N/A</t>
        </is>
      </c>
      <c r="BE293" s="62" t="inlineStr">
        <is>
          <t>N/A</t>
        </is>
      </c>
      <c r="BF293" s="62" t="inlineStr">
        <is>
          <t>N/A</t>
        </is>
      </c>
      <c r="BG293" s="74" t="inlineStr">
        <is>
          <t>CITIC Securities (Hong Kong) Limited</t>
        </is>
      </c>
      <c r="BH293" s="62" t="inlineStr">
        <is>
          <t>CITIC Securities (Hong Kong) Limited</t>
        </is>
      </c>
      <c r="BI293" s="62" t="inlineStr">
        <is>
          <t>CLSA Limited; ABCI Capital Limited; China Everbright Securities (HK) Limited; Futu Securities International (Hong Kong) Limited; ICBC International Securities Limited; TradeGo Markets Limited</t>
        </is>
      </c>
      <c r="BJ293" s="62" t="inlineStr">
        <is>
          <t>ABCI Securities Company Limited; China Everbright Securities (HK) Limited; CLSA Limited; Futu Securities International (Hong Kong) Limited; ICBC International Securities Limited; TradeGo Markets Limited</t>
        </is>
      </c>
      <c r="BK293" s="76">
        <f>HYPERLINK("https://www1.hkexnews.hk/listedco/listconews/sehk/2024/1121/2024112100017.pdf","prospectus")</f>
        <v/>
      </c>
      <c r="BL293" s="76">
        <f>HYPERLINK("https://www1.hkexnews.hk/listedco/listconews/sehk/2024/1128/2024112801779.pdf","allotment")</f>
        <v/>
      </c>
      <c r="BM293" s="62" t="n"/>
      <c r="BN293" s="74" t="n"/>
      <c r="BO293" s="62" t="inlineStr">
        <is>
          <t>greenshoe: end-of-stabilisation notice not located · A/H: no A-share listing</t>
        </is>
      </c>
    </row>
    <row r="294" ht="15" customHeight="1">
      <c r="A294" s="61" t="inlineStr">
        <is>
          <t>2586</t>
        </is>
      </c>
      <c r="B294" s="62" t="inlineStr">
        <is>
          <t>DMALL</t>
        </is>
      </c>
      <c r="C294" s="62" t="inlineStr">
        <is>
          <t>多點數智</t>
        </is>
      </c>
      <c r="D294" s="62" t="inlineStr">
        <is>
          <t>Tech/AI</t>
        </is>
      </c>
      <c r="E294" s="62" t="inlineStr">
        <is>
          <t>SaaS / enterprise software</t>
        </is>
      </c>
      <c r="F294" s="62" t="inlineStr">
        <is>
          <t>Application Software</t>
        </is>
      </c>
      <c r="G294" s="62" t="inlineStr">
        <is>
          <t>Standard</t>
        </is>
      </c>
      <c r="H294" s="63" t="n">
        <v>45632</v>
      </c>
      <c r="I294" s="64" t="n">
        <v>778.6</v>
      </c>
      <c r="J294" s="62" t="inlineStr">
        <is>
          <t>gross (price x shares)</t>
        </is>
      </c>
      <c r="K294" s="65" t="n"/>
      <c r="L294" s="65" t="n">
        <v>30.21</v>
      </c>
      <c r="M294" s="65" t="n">
        <v>30.21</v>
      </c>
      <c r="N294" s="62" t="inlineStr">
        <is>
          <t>Y</t>
        </is>
      </c>
      <c r="O294" s="66" t="n">
        <v>100</v>
      </c>
      <c r="P294" s="66" t="n"/>
      <c r="Q294" s="67" t="n">
        <v>26786.9</v>
      </c>
      <c r="R294" s="62" t="inlineStr">
        <is>
          <t>derived:price x shares upon listing</t>
        </is>
      </c>
      <c r="S294" s="68" t="n">
        <v>1.94</v>
      </c>
      <c r="T294" s="69" t="n">
        <v>1.36</v>
      </c>
      <c r="U294" s="70" t="n">
        <v>39.05</v>
      </c>
      <c r="V294" s="66" t="n">
        <v>1.77</v>
      </c>
      <c r="W294" s="62" t="inlineStr">
        <is>
          <t>DFI Development Holdings Limited; CAPRET (SG) PTE. LTD; Celestial Limited; Odor Nice Limited</t>
        </is>
      </c>
      <c r="X294" s="62" t="inlineStr">
        <is>
          <t>dfi;capret;celestial;odor</t>
        </is>
      </c>
      <c r="Y294" s="66" t="n">
        <v>10</v>
      </c>
      <c r="Z294" s="62" t="inlineStr">
        <is>
          <t>lapsed (no over-allocation)</t>
        </is>
      </c>
      <c r="AA294" s="71" t="n">
        <v>-54.32</v>
      </c>
      <c r="AB294" s="72" t="n">
        <v>-28.17</v>
      </c>
      <c r="AC294" s="72" t="n">
        <v>-36.41</v>
      </c>
      <c r="AD294" s="72" t="n">
        <v>-79.18000000000001</v>
      </c>
      <c r="AE294" s="72" t="n">
        <v>-80.17</v>
      </c>
      <c r="AF294" s="72" t="n">
        <v>-56.97</v>
      </c>
      <c r="AG294" s="72" t="n">
        <v>-54.42</v>
      </c>
      <c r="AH294" s="72" t="n">
        <v>-56.59</v>
      </c>
      <c r="AI294" s="72" t="n">
        <v>-5.8</v>
      </c>
      <c r="AJ294" s="72" t="n">
        <v>-81.37</v>
      </c>
      <c r="AK294" s="72" t="n">
        <v>-78.68000000000001</v>
      </c>
      <c r="AL294" s="72" t="n">
        <v>-88.04000000000001</v>
      </c>
      <c r="AM294" s="72" t="n">
        <v>-52.99</v>
      </c>
      <c r="AN294" s="72" t="n">
        <v>-1.49</v>
      </c>
      <c r="AO294" s="72" t="n">
        <v>-3.6</v>
      </c>
      <c r="AP294" s="62" t="inlineStr">
        <is>
          <t>HSTECH (Hang Seng TECH ETF)</t>
        </is>
      </c>
      <c r="AQ294" s="72" t="n">
        <v>-84.64</v>
      </c>
      <c r="AR294" s="63" t="inlineStr">
        <is>
          <t>2026-08-20</t>
        </is>
      </c>
      <c r="AS294" s="64" t="n">
        <v>1743.9</v>
      </c>
      <c r="AT294" s="67" t="n">
        <v>-924.6</v>
      </c>
      <c r="AU294" s="62" t="inlineStr">
        <is>
          <t>N</t>
        </is>
      </c>
      <c r="AV294" s="62" t="inlineStr">
        <is>
          <t>n/m</t>
        </is>
      </c>
      <c r="AW294" s="73" t="n"/>
      <c r="AX294" s="73" t="n">
        <v>24.2</v>
      </c>
      <c r="AY294" s="73" t="n">
        <v>15.4</v>
      </c>
      <c r="AZ294" s="74" t="inlineStr">
        <is>
          <t>N</t>
        </is>
      </c>
      <c r="BA294" s="75">
        <f>IF('BBG Verify'!K294="","not filed — run on terminal",'BBG Verify'!K294)</f>
        <v/>
      </c>
      <c r="BB294" s="62" t="inlineStr">
        <is>
          <t>N/A</t>
        </is>
      </c>
      <c r="BC294" s="62" t="inlineStr">
        <is>
          <t>N/A</t>
        </is>
      </c>
      <c r="BD294" s="62" t="inlineStr">
        <is>
          <t>N/A</t>
        </is>
      </c>
      <c r="BE294" s="62" t="inlineStr">
        <is>
          <t>N/A</t>
        </is>
      </c>
      <c r="BF294" s="62" t="inlineStr">
        <is>
          <t>N/A</t>
        </is>
      </c>
      <c r="BG294" s="74" t="inlineStr">
        <is>
          <t>UBS Securities Hong Kong Limited; Central, Hong Kong CMB International Capital Limited; Central, Hong Kong China Merchants Securities (HK) Co., Limited</t>
        </is>
      </c>
      <c r="BH294" s="62" t="inlineStr">
        <is>
          <t>UBS Securities Hong Kong Limited; CMB International Capital Limited; China Merchants Securities (HK) Company Limited</t>
        </is>
      </c>
      <c r="BI294" s="62" t="inlineStr">
        <is>
          <t>UBS AG Hong Kong Branch; Central, Hong Kong CMB International Capital Limited; Central, Hong Kong China Merchants Securities (HK) Co., Limited; CLSA Limited; China International Capital Corporation Hong Kong Securities Limited; CCB International Capital Limited; CMBC Securities Company Limited; Haitong International Securities Company Limited; CMB International Capital Limited; ABCI Capital Limited; ABCI Securities Company Limited</t>
        </is>
      </c>
      <c r="BJ294" s="62" t="inlineStr">
        <is>
          <t>ABCI Securities Company Limited; BOCI Asia Limited; BOCOM International Securities Limited; CCB International Capital Limited; Central China International Securities Co., Limited; China Galaxy International Securities (Hong Kong) Company Limited; China International Capital Corporation Hong Kong Securities Limited; CLSA Limited; CMBC Securities Company Limited; CMB International Capital Limited; China Merchants Securities (HK) Company Limited; Futu Securities International (Hong Kong) Limited</t>
        </is>
      </c>
      <c r="BK294" s="76">
        <f>HYPERLINK("https://www1.hkexnews.hk/listedco/listconews/sehk/2024/1128/2024112800056.htm","prospectus")</f>
        <v/>
      </c>
      <c r="BL294" s="76">
        <f>HYPERLINK("https://www1.hkexnews.hk/listedco/listconews/sehk/2024/1205/2024120501922.pdf","allotment")</f>
        <v/>
      </c>
      <c r="BM294" s="76">
        <f>HYPERLINK("https://www1.hkexnews.hk/listedco/listconews/sehk/2025/0102/2025010202824.pdf","stabilisation")</f>
        <v/>
      </c>
      <c r="BN294" s="74" t="n"/>
      <c r="BO294" s="62" t="inlineStr">
        <is>
          <t>P/E: n/m — loss-making at IPO (use P/S) · price range: fixed-price offering (no indicative range) · range low: cap-only pricing — the filing publishes a Maximum Offer Price and no indicative floor · A/H: no A-share listing</t>
        </is>
      </c>
    </row>
    <row r="295" ht="15" customHeight="1">
      <c r="A295" s="61" t="inlineStr">
        <is>
          <t>2570</t>
        </is>
      </c>
      <c r="B295" s="62" t="inlineStr">
        <is>
          <t>REFIRE</t>
        </is>
      </c>
      <c r="C295" s="62" t="inlineStr">
        <is>
          <t>重塑能源</t>
        </is>
      </c>
      <c r="D295" s="62" t="inlineStr">
        <is>
          <t>Industrials</t>
        </is>
      </c>
      <c r="E295" s="62" t="inlineStr">
        <is>
          <t>Batteries / energy storage</t>
        </is>
      </c>
      <c r="F295" s="62" t="inlineStr">
        <is>
          <t>Electrical Components &amp; Equipment</t>
        </is>
      </c>
      <c r="G295" s="62" t="inlineStr">
        <is>
          <t>Standard</t>
        </is>
      </c>
      <c r="H295" s="63" t="n">
        <v>45632</v>
      </c>
      <c r="I295" s="64" t="n">
        <v>709.7</v>
      </c>
      <c r="J295" s="62" t="inlineStr">
        <is>
          <t>gross (stated)</t>
        </is>
      </c>
      <c r="K295" s="65" t="n">
        <v>145</v>
      </c>
      <c r="L295" s="65" t="n">
        <v>165</v>
      </c>
      <c r="M295" s="65" t="n">
        <v>147</v>
      </c>
      <c r="N295" s="62" t="inlineStr">
        <is>
          <t>N</t>
        </is>
      </c>
      <c r="O295" s="66" t="n">
        <v>89.09999999999999</v>
      </c>
      <c r="P295" s="66" t="n">
        <v>10</v>
      </c>
      <c r="Q295" s="67" t="n">
        <v>11106.4</v>
      </c>
      <c r="R295" s="62" t="inlineStr">
        <is>
          <t>derived:deal size / offer % of enlarged capital</t>
        </is>
      </c>
      <c r="S295" s="68" t="n">
        <v>1.55</v>
      </c>
      <c r="T295" s="69" t="n">
        <v>1.33</v>
      </c>
      <c r="U295" s="70" t="n"/>
      <c r="V295" s="66" t="n">
        <v>6.39</v>
      </c>
      <c r="W295" s="62" t="n"/>
      <c r="X295" s="62" t="n"/>
      <c r="Y295" s="66" t="n">
        <v>10</v>
      </c>
      <c r="Z295" s="62" t="inlineStr">
        <is>
          <t>partial</t>
        </is>
      </c>
      <c r="AA295" s="71" t="n">
        <v>0.07000000000000001</v>
      </c>
      <c r="AB295" s="72" t="n">
        <v>1.29</v>
      </c>
      <c r="AC295" s="72" t="n">
        <v>-1.2</v>
      </c>
      <c r="AD295" s="72" t="n">
        <v>11.02</v>
      </c>
      <c r="AE295" s="72" t="n">
        <v>30.82</v>
      </c>
      <c r="AF295" s="72" t="n">
        <v>68.98</v>
      </c>
      <c r="AG295" s="72" t="n">
        <v>10.94</v>
      </c>
      <c r="AH295" s="72" t="n">
        <v>30.73</v>
      </c>
      <c r="AI295" s="72" t="n">
        <v>68.86</v>
      </c>
      <c r="AJ295" s="72" t="n">
        <v>8.470000000000001</v>
      </c>
      <c r="AK295" s="72" t="n">
        <v>32.7</v>
      </c>
      <c r="AL295" s="72" t="n">
        <v>44.13</v>
      </c>
      <c r="AM295" s="72" t="n">
        <v>34.25</v>
      </c>
      <c r="AN295" s="72" t="n">
        <v>-1.88</v>
      </c>
      <c r="AO295" s="72" t="n">
        <v>-3.52</v>
      </c>
      <c r="AP295" s="62" t="inlineStr">
        <is>
          <t>Hang Seng Commerce &amp; Industry sub-index</t>
        </is>
      </c>
      <c r="AQ295" s="72" t="n">
        <v>-89.09999999999999</v>
      </c>
      <c r="AR295" s="63" t="inlineStr">
        <is>
          <t>2026-08-20</t>
        </is>
      </c>
      <c r="AS295" s="64" t="n">
        <v>984.8</v>
      </c>
      <c r="AT295" s="67" t="n">
        <v>-582.4</v>
      </c>
      <c r="AU295" s="62" t="inlineStr">
        <is>
          <t>N</t>
        </is>
      </c>
      <c r="AV295" s="62" t="inlineStr">
        <is>
          <t>n/m</t>
        </is>
      </c>
      <c r="AW295" s="73" t="n"/>
      <c r="AX295" s="73" t="n"/>
      <c r="AY295" s="73" t="n">
        <v>11.3</v>
      </c>
      <c r="AZ295" s="74" t="inlineStr">
        <is>
          <t>N</t>
        </is>
      </c>
      <c r="BA295" s="75">
        <f>IF('BBG Verify'!K295="","not filed — run on terminal",'BBG Verify'!K295)</f>
        <v/>
      </c>
      <c r="BB295" s="62" t="inlineStr">
        <is>
          <t>N/A</t>
        </is>
      </c>
      <c r="BC295" s="62" t="inlineStr">
        <is>
          <t>N/A</t>
        </is>
      </c>
      <c r="BD295" s="62" t="inlineStr">
        <is>
          <t>N/A</t>
        </is>
      </c>
      <c r="BE295" s="62" t="inlineStr">
        <is>
          <t>N/A</t>
        </is>
      </c>
      <c r="BF295" s="62" t="inlineStr">
        <is>
          <t>N/A</t>
        </is>
      </c>
      <c r="BG295" s="74" t="n"/>
      <c r="BH295" s="62" t="inlineStr">
        <is>
          <t>China International Capital Corporation Hong Kong Securities Limited</t>
        </is>
      </c>
      <c r="BI295" s="62" t="inlineStr">
        <is>
          <t>China International Capital Corporation Hong Kong Securities Limited; CMB International Capital Limited; BOCI Asia Limited; China Galaxy International Securities (Hong Kong) Co., Limited; ABCI Capital Limited; China Merchants Securities (HK) Co., Limited; Livermore Holdings Limited; Tiger Brokers (HK) Global Limited</t>
        </is>
      </c>
      <c r="BJ295" s="62" t="inlineStr">
        <is>
          <t>ABCI Securities Company Limited; BNP Paribas Securities (Asia) Limited; BOCI Asia Limited; China Galaxy International Securities (Hong Kong) Company Limited; China International Capital Corporation Hong Kong Securities Limited; CMB International Capital Limited; China Merchants Securities (HK) Company Limited; Livermore Holdings Limited; Soochow Securities International Brokerage Limited; Tiger Brokers (HK) Global Limited</t>
        </is>
      </c>
      <c r="BK295" s="76">
        <f>HYPERLINK("https://www1.hkexnews.hk/listedco/listconews/sehk/2024/1128/2024112800011.pdf","prospectus")</f>
        <v/>
      </c>
      <c r="BL295" s="76">
        <f>HYPERLINK("https://www1.hkexnews.hk/listedco/listconews/sehk/2024/1205/2024120501926.pdf","allotment")</f>
        <v/>
      </c>
      <c r="BM295" s="76">
        <f>HYPERLINK("https://www1.hkexnews.hk/listedco/listconews/sehk/2025/0102/2025010203561.pdf","stabilisation")</f>
        <v/>
      </c>
      <c r="BN295" s="74" t="n"/>
      <c r="BO295" s="62" t="inlineStr">
        <is>
          <t>P/E: n/m — loss-making at IPO (use P/S) · A/H: no A-share listing · sponsor: English name not in the filing text; AAStocks 保薦人 shown · cornerstone list: cornerstone section not machine-extractable — see the prospectus link · cornerstone %: cornerstone aggregate not stated in the filing</t>
        </is>
      </c>
    </row>
    <row r="296" ht="15" customHeight="1">
      <c r="A296" s="61" t="inlineStr">
        <is>
          <t>1318</t>
        </is>
      </c>
      <c r="B296" s="62" t="inlineStr">
        <is>
          <t>MAO GEPING</t>
        </is>
      </c>
      <c r="C296" s="62" t="inlineStr">
        <is>
          <t>毛戈平</t>
        </is>
      </c>
      <c r="D296" s="62" t="inlineStr">
        <is>
          <t>Consumer</t>
        </is>
      </c>
      <c r="E296" s="62" t="inlineStr">
        <is>
          <t>Beauty / personal care</t>
        </is>
      </c>
      <c r="F296" s="62" t="inlineStr">
        <is>
          <t>Beauty &amp; Toiletries Products and Services</t>
        </is>
      </c>
      <c r="G296" s="62" t="inlineStr">
        <is>
          <t>Standard</t>
        </is>
      </c>
      <c r="H296" s="63" t="n">
        <v>45636</v>
      </c>
      <c r="I296" s="64" t="n">
        <v>2337.02</v>
      </c>
      <c r="J296" s="62" t="inlineStr">
        <is>
          <t>gross (stated)</t>
        </is>
      </c>
      <c r="K296" s="65" t="n"/>
      <c r="L296" s="65" t="n">
        <v>29.8</v>
      </c>
      <c r="M296" s="65" t="n">
        <v>29.8</v>
      </c>
      <c r="N296" s="62" t="inlineStr">
        <is>
          <t>Y</t>
        </is>
      </c>
      <c r="O296" s="66" t="n">
        <v>100</v>
      </c>
      <c r="P296" s="66" t="n"/>
      <c r="Q296" s="67" t="n">
        <v>13853.1</v>
      </c>
      <c r="R296" s="62" t="inlineStr">
        <is>
          <t>derived:deal size / offer % of enlarged capital</t>
        </is>
      </c>
      <c r="S296" s="68" t="n">
        <v>919.1799999999999</v>
      </c>
      <c r="T296" s="69" t="n">
        <v>30.34</v>
      </c>
      <c r="U296" s="70" t="n">
        <v>33.3</v>
      </c>
      <c r="V296" s="66" t="n">
        <v>11.25</v>
      </c>
      <c r="W296" s="62" t="inlineStr">
        <is>
          <t>CPE Investment; Seraphim Advantage Inc; IvyRock; Fund LP and China Core Fund; Mega Prime</t>
        </is>
      </c>
      <c r="X296" s="62" t="inlineStr">
        <is>
          <t>cpe;seraphim;ivyrock;core;mega</t>
        </is>
      </c>
      <c r="Y296" s="66" t="n">
        <v>15</v>
      </c>
      <c r="Z296" s="62" t="n"/>
      <c r="AA296" s="71" t="n">
        <v>76.51000000000001</v>
      </c>
      <c r="AB296" s="72" t="n">
        <v>59.9</v>
      </c>
      <c r="AC296" s="72" t="n">
        <v>10.39</v>
      </c>
      <c r="AD296" s="72" t="n">
        <v>96.31</v>
      </c>
      <c r="AE296" s="72" t="n">
        <v>97.98999999999999</v>
      </c>
      <c r="AF296" s="72" t="n">
        <v>270.47</v>
      </c>
      <c r="AG296" s="72" t="n">
        <v>11.22</v>
      </c>
      <c r="AH296" s="72" t="n">
        <v>12.17</v>
      </c>
      <c r="AI296" s="72" t="n">
        <v>109.89</v>
      </c>
      <c r="AJ296" s="72" t="n">
        <v>100.54</v>
      </c>
      <c r="AK296" s="72" t="n">
        <v>106.68</v>
      </c>
      <c r="AL296" s="72" t="n">
        <v>247.76</v>
      </c>
      <c r="AM296" s="72" t="n">
        <v>20.14</v>
      </c>
      <c r="AN296" s="72" t="n">
        <v>-8.69</v>
      </c>
      <c r="AO296" s="72" t="n">
        <v>-7.97</v>
      </c>
      <c r="AP296" s="62" t="inlineStr">
        <is>
          <t>Hang Seng Commerce &amp; Industry sub-index</t>
        </is>
      </c>
      <c r="AQ296" s="72" t="n">
        <v>69.63</v>
      </c>
      <c r="AR296" s="63" t="inlineStr">
        <is>
          <t>2026-08-20</t>
        </is>
      </c>
      <c r="AS296" s="64" t="n">
        <v>3174.6</v>
      </c>
      <c r="AT296" s="67" t="n">
        <v>729.8</v>
      </c>
      <c r="AU296" s="62" t="inlineStr">
        <is>
          <t>Y</t>
        </is>
      </c>
      <c r="AV296" s="73" t="n">
        <v>19</v>
      </c>
      <c r="AW296" s="73" t="n">
        <v>12.2</v>
      </c>
      <c r="AX296" s="73" t="n">
        <v>17.7</v>
      </c>
      <c r="AY296" s="73" t="n">
        <v>4.4</v>
      </c>
      <c r="AZ296" s="74" t="inlineStr">
        <is>
          <t>N</t>
        </is>
      </c>
      <c r="BA296" s="75">
        <f>IF('BBG Verify'!K296="","not filed — run on terminal",'BBG Verify'!K296)</f>
        <v/>
      </c>
      <c r="BB296" s="62" t="inlineStr">
        <is>
          <t>N/A</t>
        </is>
      </c>
      <c r="BC296" s="62" t="inlineStr">
        <is>
          <t>N/A</t>
        </is>
      </c>
      <c r="BD296" s="62" t="inlineStr">
        <is>
          <t>N/A</t>
        </is>
      </c>
      <c r="BE296" s="62" t="inlineStr">
        <is>
          <t>N/A</t>
        </is>
      </c>
      <c r="BF296" s="62" t="inlineStr">
        <is>
          <t>N/A</t>
        </is>
      </c>
      <c r="BG296" s="74" t="inlineStr">
        <is>
          <t>China International Capital Corporation Hong Kong Securities Limited</t>
        </is>
      </c>
      <c r="BH296" s="62" t="inlineStr">
        <is>
          <t>China International Capital Corporation Hong Kong Securities Limited</t>
        </is>
      </c>
      <c r="BI296" s="62" t="inlineStr">
        <is>
          <t>China International Capital Corporation Hong Kong Securities Limited; China Galaxy International Securities (Hong Kong) Co., Limited; Huatai Financial Holdings (Hong Kong) Limited; Guotai Junan Securities (Hong Kong) Limited; CCB International Capital Limited; ABCI Capital Limited; CMBC Securities Company Limited</t>
        </is>
      </c>
      <c r="BJ296" s="62" t="inlineStr">
        <is>
          <t>ABCI Securities Company Limited; CCB International Capital Limited; China Galaxy International Securities (Hong Kong) Company Limited; China International Capital Corporation Hong Kong Securities Limited; CMBC Securities Company Limited; Futu Securities International (Hong Kong) Limited; Guotai Junan Securities (Hong Kong) Limited; Huatai Financial Holdings (Hong Kong) Limited; Livermore Holdings Limited; Tiger Brokers (HK) Global Limited</t>
        </is>
      </c>
      <c r="BK296" s="76">
        <f>HYPERLINK("https://www1.hkexnews.hk/listedco/listconews/sehk/2024/1202/2024120200011.pdf","prospectus")</f>
        <v/>
      </c>
      <c r="BL296" s="76">
        <f>HYPERLINK("https://www1.hkexnews.hk/listedco/listconews/sehk/2024/1209/2024120901607.pdf","allotment")</f>
        <v/>
      </c>
      <c r="BM296" s="62" t="n"/>
      <c r="BN296" s="74" t="n"/>
      <c r="BO296" s="62" t="inlineStr">
        <is>
          <t>greenshoe: end-of-stabilisation notice not located · range low: cap-only pricing — the filing publishes a Maximum Offer Price and no indicative floor · A/H: no A-share listing</t>
        </is>
      </c>
    </row>
    <row r="297" ht="15" customHeight="1">
      <c r="A297" s="61" t="inlineStr">
        <is>
          <t>2593</t>
        </is>
      </c>
      <c r="B297" s="62" t="inlineStr">
        <is>
          <t>HERBS GROUP</t>
        </is>
      </c>
      <c r="C297" s="62" t="inlineStr">
        <is>
          <t>草姬集團</t>
        </is>
      </c>
      <c r="D297" s="62" t="inlineStr">
        <is>
          <t>Healthcare</t>
        </is>
      </c>
      <c r="E297" s="62" t="inlineStr">
        <is>
          <t>TCM</t>
        </is>
      </c>
      <c r="F297" s="62" t="inlineStr">
        <is>
          <t>Health Care Supplies</t>
        </is>
      </c>
      <c r="G297" s="62" t="inlineStr">
        <is>
          <t>Standard</t>
        </is>
      </c>
      <c r="H297" s="63" t="n">
        <v>45645</v>
      </c>
      <c r="I297" s="64" t="n">
        <v>125</v>
      </c>
      <c r="J297" s="62" t="inlineStr">
        <is>
          <t>gross (stated)</t>
        </is>
      </c>
      <c r="K297" s="65" t="n">
        <v>3.75</v>
      </c>
      <c r="L297" s="65" t="n">
        <v>4.15</v>
      </c>
      <c r="M297" s="65" t="n">
        <v>3.75</v>
      </c>
      <c r="N297" s="62" t="inlineStr">
        <is>
          <t>N</t>
        </is>
      </c>
      <c r="O297" s="66" t="n">
        <v>90.40000000000001</v>
      </c>
      <c r="P297" s="66" t="n">
        <v>0</v>
      </c>
      <c r="Q297" s="67" t="n">
        <v>500</v>
      </c>
      <c r="R297" s="62" t="inlineStr">
        <is>
          <t>derived:price x shares upon listing</t>
        </is>
      </c>
      <c r="S297" s="68" t="n">
        <v>6083.63</v>
      </c>
      <c r="T297" s="69" t="n">
        <v>1.79</v>
      </c>
      <c r="U297" s="70" t="n">
        <v>22.4</v>
      </c>
      <c r="V297" s="66" t="n">
        <v>19.4</v>
      </c>
      <c r="W297" s="62" t="inlineStr">
        <is>
          <t>Vital Message</t>
        </is>
      </c>
      <c r="X297" s="62" t="inlineStr">
        <is>
          <t>vital</t>
        </is>
      </c>
      <c r="Y297" s="66" t="n"/>
      <c r="Z297" s="62" t="n"/>
      <c r="AA297" s="71" t="n">
        <v>10.4</v>
      </c>
      <c r="AB297" s="72" t="n">
        <v>25.07</v>
      </c>
      <c r="AC297" s="72" t="n">
        <v>-11.73</v>
      </c>
      <c r="AD297" s="72" t="n">
        <v>-24.27</v>
      </c>
      <c r="AE297" s="72" t="n">
        <v>-45.07</v>
      </c>
      <c r="AF297" s="72" t="n">
        <v>-54.93</v>
      </c>
      <c r="AG297" s="72" t="n">
        <v>-31.4</v>
      </c>
      <c r="AH297" s="72" t="n">
        <v>-50.24</v>
      </c>
      <c r="AI297" s="72" t="n">
        <v>-59.18</v>
      </c>
      <c r="AJ297" s="72" t="n">
        <v>-22.77</v>
      </c>
      <c r="AK297" s="72" t="n">
        <v>-39.32</v>
      </c>
      <c r="AL297" s="72" t="n">
        <v>-63.87</v>
      </c>
      <c r="AM297" s="72" t="n">
        <v>-44.97</v>
      </c>
      <c r="AN297" s="72" t="n">
        <v>-5.75</v>
      </c>
      <c r="AO297" s="72" t="n">
        <v>-5.27</v>
      </c>
      <c r="AP297" s="62" t="inlineStr">
        <is>
          <t>China Biotech ETF (HS biotech proxy)</t>
        </is>
      </c>
      <c r="AQ297" s="72" t="n">
        <v>-74.93000000000001</v>
      </c>
      <c r="AR297" s="63" t="inlineStr">
        <is>
          <t>2026-08-20</t>
        </is>
      </c>
      <c r="AS297" s="64" t="n">
        <v>251.2</v>
      </c>
      <c r="AT297" s="67" t="n">
        <v>39.5</v>
      </c>
      <c r="AU297" s="62" t="inlineStr">
        <is>
          <t>Y</t>
        </is>
      </c>
      <c r="AV297" s="73" t="n">
        <v>12.7</v>
      </c>
      <c r="AW297" s="73" t="n"/>
      <c r="AX297" s="73" t="n"/>
      <c r="AY297" s="73" t="n">
        <v>2</v>
      </c>
      <c r="AZ297" s="74" t="inlineStr">
        <is>
          <t>N</t>
        </is>
      </c>
      <c r="BA297" s="75">
        <f>IF('BBG Verify'!K297="","not filed — run on terminal",'BBG Verify'!K297)</f>
        <v/>
      </c>
      <c r="BB297" s="62" t="inlineStr">
        <is>
          <t>N/A</t>
        </is>
      </c>
      <c r="BC297" s="62" t="inlineStr">
        <is>
          <t>N/A</t>
        </is>
      </c>
      <c r="BD297" s="62" t="inlineStr">
        <is>
          <t>N/A</t>
        </is>
      </c>
      <c r="BE297" s="62" t="inlineStr">
        <is>
          <t>N/A</t>
        </is>
      </c>
      <c r="BF297" s="62" t="inlineStr">
        <is>
          <t>N/A</t>
        </is>
      </c>
      <c r="BG297" s="74" t="n"/>
      <c r="BH297" s="62" t="inlineStr">
        <is>
          <t>ABCI Capital Limited</t>
        </is>
      </c>
      <c r="BI297" s="62" t="inlineStr">
        <is>
          <t>ABCI Capital Limited</t>
        </is>
      </c>
      <c r="BJ297" s="62" t="inlineStr">
        <is>
          <t>ABCI Securities Company Limited; BOCOM International Securities Limited; Chiyu International Capital Limited; CMBC Securities Company Limited; China Sunrise Securities (International) Limited; Futu Securities International (Hong Kong) Limited; Get Nice Securities Limited; Livermore Holdings Limited; Phillip Securities (Hong Kong) Limited; Ruibang Securities Limited; Solomon JFZ (Asia) Holdings Limited; South China Securities Company Limited</t>
        </is>
      </c>
      <c r="BK297" s="76">
        <f>HYPERLINK("https://www1.hkexnews.hk/listedco/listconews/sehk/2024/1211/2024121100009.pdf","prospectus")</f>
        <v/>
      </c>
      <c r="BL297" s="76">
        <f>HYPERLINK("https://www1.hkexnews.hk/listedco/listconews/sehk/2024/1218/2024121801165.pdf","allotment")</f>
        <v/>
      </c>
      <c r="BM297" s="62" t="n"/>
      <c r="BN297" s="74" t="n"/>
      <c r="BO297" s="62" t="inlineStr">
        <is>
          <t>greenshoe: no over-allotment option in the offer structure · A/H: no A-share listing · sponsor: English name not in the filing text; AAStocks 保薦人 shown · greenshoe size: no over-allotment option in the offer structure</t>
        </is>
      </c>
    </row>
    <row r="298" ht="15" customHeight="1">
      <c r="A298" s="61" t="inlineStr">
        <is>
          <t>0999</t>
        </is>
      </c>
      <c r="B298" s="62" t="inlineStr">
        <is>
          <t>XIAOCAIYUAN</t>
        </is>
      </c>
      <c r="C298" s="62" t="inlineStr">
        <is>
          <t>小菜園</t>
        </is>
      </c>
      <c r="D298" s="62" t="inlineStr">
        <is>
          <t>Consumer</t>
        </is>
      </c>
      <c r="E298" s="62" t="inlineStr">
        <is>
          <t>F&amp;B chains / restaurants</t>
        </is>
      </c>
      <c r="F298" s="62" t="inlineStr">
        <is>
          <t>Restaurants</t>
        </is>
      </c>
      <c r="G298" s="62" t="inlineStr">
        <is>
          <t>Standard</t>
        </is>
      </c>
      <c r="H298" s="63" t="n">
        <v>45646</v>
      </c>
      <c r="I298" s="64" t="n">
        <v>860</v>
      </c>
      <c r="J298" s="62" t="inlineStr">
        <is>
          <t>gross (price x shares)</t>
        </is>
      </c>
      <c r="K298" s="65" t="n"/>
      <c r="L298" s="65" t="n">
        <v>8.5</v>
      </c>
      <c r="M298" s="65" t="n">
        <v>8.5</v>
      </c>
      <c r="N298" s="62" t="inlineStr">
        <is>
          <t>Y</t>
        </is>
      </c>
      <c r="O298" s="66" t="n">
        <v>100</v>
      </c>
      <c r="P298" s="66" t="n"/>
      <c r="Q298" s="67" t="n">
        <v>10000.4</v>
      </c>
      <c r="R298" s="62" t="inlineStr">
        <is>
          <t>derived:price x shares upon listing</t>
        </is>
      </c>
      <c r="S298" s="68" t="n">
        <v>1.44</v>
      </c>
      <c r="T298" s="69" t="n">
        <v>1.29</v>
      </c>
      <c r="U298" s="70" t="n">
        <v>0</v>
      </c>
      <c r="V298" s="66" t="n">
        <v>8.6</v>
      </c>
      <c r="W298" s="62" t="n"/>
      <c r="X298" s="62" t="n"/>
      <c r="Y298" s="66" t="n">
        <v>6.4</v>
      </c>
      <c r="Z298" s="62" t="n"/>
      <c r="AA298" s="71" t="n">
        <v>13.65</v>
      </c>
      <c r="AB298" s="72" t="n">
        <v>5.88</v>
      </c>
      <c r="AC298" s="72" t="n">
        <v>7.34</v>
      </c>
      <c r="AD298" s="72" t="n">
        <v>7.41</v>
      </c>
      <c r="AE298" s="72" t="n">
        <v>5.18</v>
      </c>
      <c r="AF298" s="72" t="n">
        <v>25.18</v>
      </c>
      <c r="AG298" s="72" t="n">
        <v>-5.49</v>
      </c>
      <c r="AH298" s="72" t="n">
        <v>-7.45</v>
      </c>
      <c r="AI298" s="72" t="n">
        <v>10.15</v>
      </c>
      <c r="AJ298" s="72" t="n">
        <v>6.62</v>
      </c>
      <c r="AK298" s="72" t="n">
        <v>6.36</v>
      </c>
      <c r="AL298" s="72" t="n">
        <v>1.54</v>
      </c>
      <c r="AM298" s="72" t="n">
        <v>-6.38</v>
      </c>
      <c r="AN298" s="72" t="n">
        <v>-1.18</v>
      </c>
      <c r="AO298" s="72" t="n">
        <v>-1.07</v>
      </c>
      <c r="AP298" s="62" t="inlineStr">
        <is>
          <t>Hang Seng Commerce &amp; Industry sub-index</t>
        </is>
      </c>
      <c r="AQ298" s="72" t="n">
        <v>-4.82</v>
      </c>
      <c r="AR298" s="63" t="inlineStr">
        <is>
          <t>2026-08-21</t>
        </is>
      </c>
      <c r="AS298" s="64" t="n">
        <v>5004.4</v>
      </c>
      <c r="AT298" s="67" t="n">
        <v>585.3</v>
      </c>
      <c r="AU298" s="62" t="inlineStr">
        <is>
          <t>Y</t>
        </is>
      </c>
      <c r="AV298" s="73" t="n">
        <v>17.1</v>
      </c>
      <c r="AW298" s="73" t="n"/>
      <c r="AX298" s="73" t="n"/>
      <c r="AY298" s="73" t="n">
        <v>2</v>
      </c>
      <c r="AZ298" s="74" t="inlineStr">
        <is>
          <t>N</t>
        </is>
      </c>
      <c r="BA298" s="75">
        <f>IF('BBG Verify'!K298="","not filed — run on terminal",'BBG Verify'!K298)</f>
        <v/>
      </c>
      <c r="BB298" s="62" t="inlineStr">
        <is>
          <t>N/A</t>
        </is>
      </c>
      <c r="BC298" s="62" t="inlineStr">
        <is>
          <t>N/A</t>
        </is>
      </c>
      <c r="BD298" s="62" t="inlineStr">
        <is>
          <t>N/A</t>
        </is>
      </c>
      <c r="BE298" s="62" t="inlineStr">
        <is>
          <t>N/A</t>
        </is>
      </c>
      <c r="BF298" s="62" t="inlineStr">
        <is>
          <t>N/A</t>
        </is>
      </c>
      <c r="BG298" s="74" t="inlineStr">
        <is>
          <t>Huatai Financial Holdings (Hong Kong) Limited; UBS Securities Hong Kong Limited</t>
        </is>
      </c>
      <c r="BH298" s="62" t="inlineStr">
        <is>
          <t>UBS Securities Hong Kong Limited; Huatai Financial Holdings (Hong Kong) Limited</t>
        </is>
      </c>
      <c r="BI298" s="62" t="inlineStr">
        <is>
          <t>Huatai Financial Holdings (Hong Kong) Limited; UBS AG Hong Kong Branch; Guoyuan Securities Brokerage (Hong Kong) Limited; CMB International Capital Limited; ABCI Capital Limited; ICBC International Securities Limited</t>
        </is>
      </c>
      <c r="BJ298" s="62" t="inlineStr">
        <is>
          <t>ABCI Securities Company Limited; CMB International Capital Corporation Limited; Futu Securities International (Hong Kong) Limited; Guoyuan Securities Brokerage (Hong Kong) Limited; Huatai Financial Holdings (Hong Kong) Limited; ICBC International Securities Limited; TradeGo Markets Limited; UBS AG Hong Kong Branch</t>
        </is>
      </c>
      <c r="BK298" s="76">
        <f>HYPERLINK("https://www1.hkexnews.hk/listedco/listconews/sehk/2024/1212/2024121200007.pdf","prospectus")</f>
        <v/>
      </c>
      <c r="BL298" s="76">
        <f>HYPERLINK("https://www1.hkexnews.hk/listedco/listconews/sehk/2024/1219/2024121901317.pdf","allotment")</f>
        <v/>
      </c>
      <c r="BM298" s="62" t="n"/>
      <c r="BN298" s="74" t="n"/>
      <c r="BO298" s="62" t="inlineStr">
        <is>
          <t>greenshoe: end-of-stabilisation notice not located · range low: cap-only pricing — the filing publishes a Maximum Offer Price and no indicative floor · A/H: no A-share listing · cornerstone list: no cornerstone tranche in this deal · public sub: AAStocks rounds the same figure — HKEX table kept</t>
        </is>
      </c>
    </row>
    <row r="299" ht="15" customHeight="1">
      <c r="A299" s="61" t="inlineStr">
        <is>
          <t>2432</t>
        </is>
      </c>
      <c r="B299" s="62" t="inlineStr">
        <is>
          <t>DOBOT</t>
        </is>
      </c>
      <c r="C299" s="62" t="inlineStr">
        <is>
          <t>越疆</t>
        </is>
      </c>
      <c r="D299" s="62" t="inlineStr">
        <is>
          <t>Tech/AI</t>
        </is>
      </c>
      <c r="E299" s="62" t="inlineStr">
        <is>
          <t>Robotics &amp; autonomous driving</t>
        </is>
      </c>
      <c r="F299" s="62" t="inlineStr">
        <is>
          <t>Application Software</t>
        </is>
      </c>
      <c r="G299" s="62" t="inlineStr">
        <is>
          <t>Standard</t>
        </is>
      </c>
      <c r="H299" s="63" t="n">
        <v>45649</v>
      </c>
      <c r="I299" s="64" t="n">
        <v>752</v>
      </c>
      <c r="J299" s="62" t="inlineStr">
        <is>
          <t>gross (stated)</t>
        </is>
      </c>
      <c r="K299" s="65" t="n"/>
      <c r="L299" s="65" t="n">
        <v>20.8</v>
      </c>
      <c r="M299" s="65" t="n">
        <v>18.8</v>
      </c>
      <c r="N299" s="62" t="inlineStr">
        <is>
          <t>N</t>
        </is>
      </c>
      <c r="O299" s="66" t="n">
        <v>90.40000000000001</v>
      </c>
      <c r="P299" s="66" t="n"/>
      <c r="Q299" s="67" t="n">
        <v>6654.9</v>
      </c>
      <c r="R299" s="62" t="inlineStr">
        <is>
          <t>derived:deal size / offer % of enlarged capital</t>
        </is>
      </c>
      <c r="S299" s="68" t="n">
        <v>9.25</v>
      </c>
      <c r="T299" s="69" t="n">
        <v>2.64</v>
      </c>
      <c r="U299" s="70" t="n">
        <v>0</v>
      </c>
      <c r="V299" s="66" t="n">
        <v>11.3</v>
      </c>
      <c r="W299" s="62" t="n"/>
      <c r="X299" s="62" t="n"/>
      <c r="Y299" s="66" t="n">
        <v>15</v>
      </c>
      <c r="Z299" s="62" t="inlineStr">
        <is>
          <t>partial</t>
        </is>
      </c>
      <c r="AA299" s="71" t="n">
        <v>0.74</v>
      </c>
      <c r="AB299" s="72" t="n">
        <v>4.79</v>
      </c>
      <c r="AC299" s="72" t="n">
        <v>-3.86</v>
      </c>
      <c r="AD299" s="72" t="n">
        <v>1.6</v>
      </c>
      <c r="AE299" s="72" t="n">
        <v>22.87</v>
      </c>
      <c r="AF299" s="72" t="n">
        <v>217.82</v>
      </c>
      <c r="AG299" s="72" t="n">
        <v>0.85</v>
      </c>
      <c r="AH299" s="72" t="n">
        <v>21.97</v>
      </c>
      <c r="AI299" s="72" t="n">
        <v>215.49</v>
      </c>
      <c r="AJ299" s="72" t="n">
        <v>3.67</v>
      </c>
      <c r="AK299" s="72" t="n">
        <v>18.14</v>
      </c>
      <c r="AL299" s="72" t="n">
        <v>193.85</v>
      </c>
      <c r="AM299" s="72" t="n">
        <v>17.63</v>
      </c>
      <c r="AN299" s="72" t="n">
        <v>4.73</v>
      </c>
      <c r="AO299" s="72" t="n">
        <v>4.34</v>
      </c>
      <c r="AP299" s="62" t="inlineStr">
        <is>
          <t>HSTECH (Hang Seng TECH ETF)</t>
        </is>
      </c>
      <c r="AQ299" s="72" t="n">
        <v>37.66</v>
      </c>
      <c r="AR299" s="63" t="inlineStr">
        <is>
          <t>2026-08-21</t>
        </is>
      </c>
      <c r="AS299" s="64" t="n">
        <v>315.4</v>
      </c>
      <c r="AT299" s="67" t="n">
        <v>-113.6</v>
      </c>
      <c r="AU299" s="62" t="inlineStr">
        <is>
          <t>N</t>
        </is>
      </c>
      <c r="AV299" s="62" t="inlineStr">
        <is>
          <t>n/m</t>
        </is>
      </c>
      <c r="AW299" s="73" t="n"/>
      <c r="AX299" s="73" t="n"/>
      <c r="AY299" s="73" t="n">
        <v>21.1</v>
      </c>
      <c r="AZ299" s="74" t="inlineStr">
        <is>
          <t>N</t>
        </is>
      </c>
      <c r="BA299" s="75">
        <f>IF('BBG Verify'!K299="","not filed — run on terminal",'BBG Verify'!K299)</f>
        <v/>
      </c>
      <c r="BB299" s="62" t="inlineStr">
        <is>
          <t>N/A</t>
        </is>
      </c>
      <c r="BC299" s="62" t="inlineStr">
        <is>
          <t>N/A</t>
        </is>
      </c>
      <c r="BD299" s="62" t="inlineStr">
        <is>
          <t>N/A</t>
        </is>
      </c>
      <c r="BE299" s="62" t="inlineStr">
        <is>
          <t>N/A</t>
        </is>
      </c>
      <c r="BF299" s="62" t="inlineStr">
        <is>
          <t>N/A</t>
        </is>
      </c>
      <c r="BG299" s="74" t="inlineStr">
        <is>
          <t>Guotai Junan Capital Limited; ABCI Capital Limited; OCs Guotai Junan Securities (Hong Kong) Limited</t>
        </is>
      </c>
      <c r="BH299" s="62" t="inlineStr">
        <is>
          <t>Guotai Junan Capital Limited; ABCI Capital Limited</t>
        </is>
      </c>
      <c r="BI299" s="62" t="inlineStr">
        <is>
          <t>Guotai Junan Securities (Hong Kong) Limited; ABCI Capital Limited; Shenwan Hongyuan Securities (H.K.) Limited; TradeGo Markets Limited</t>
        </is>
      </c>
      <c r="BJ299" s="62" t="inlineStr">
        <is>
          <t>ABCI Securities Company Limited; China PA Securities (Hong Kong) Company Limited; Guotai Junan Securities (Hong Kong) Limited; Shenwan Hongyuan Securities (H.K.) Limited; TradeGo Markets Limited</t>
        </is>
      </c>
      <c r="BK299" s="76">
        <f>HYPERLINK("https://www1.hkexnews.hk/listedco/listconews/sehk/2024/1213/2024121300029.pdf","prospectus")</f>
        <v/>
      </c>
      <c r="BL299" s="76">
        <f>HYPERLINK("https://www1.hkexnews.hk/listedco/listconews/sehk/2024/1220/2024122001962.pdf","allotment")</f>
        <v/>
      </c>
      <c r="BM299" s="76">
        <f>HYPERLINK("https://www1.hkexnews.hk/listedco/listconews/sehk/2025/0117/2025011701078.pdf","stabilisation")</f>
        <v/>
      </c>
      <c r="BN299" s="74" t="n"/>
      <c r="BO299" s="62" t="inlineStr">
        <is>
          <t>P/E: n/m — loss-making at IPO (use P/S) · range low: cap-only pricing — the filing publishes a Maximum Offer Price and no indicative floor · A/H: no A-share listing · cornerstone list: no cornerstone tranche in this deal</t>
        </is>
      </c>
    </row>
    <row r="300" ht="15" customHeight="1">
      <c r="A300" s="61" t="inlineStr">
        <is>
          <t>2431</t>
        </is>
      </c>
      <c r="B300" s="62" t="inlineStr">
        <is>
          <t>MINIEYE</t>
        </is>
      </c>
      <c r="C300" s="62" t="inlineStr">
        <is>
          <t>佑駕創新</t>
        </is>
      </c>
      <c r="D300" s="62" t="inlineStr">
        <is>
          <t>Tech/AI</t>
        </is>
      </c>
      <c r="E300" s="62" t="inlineStr">
        <is>
          <t>Robotics &amp; autonomous driving</t>
        </is>
      </c>
      <c r="F300" s="62" t="inlineStr">
        <is>
          <t>Application Software</t>
        </is>
      </c>
      <c r="G300" s="62" t="inlineStr">
        <is>
          <t>Standard</t>
        </is>
      </c>
      <c r="H300" s="63" t="n">
        <v>45653</v>
      </c>
      <c r="I300" s="64" t="n">
        <v>666.23</v>
      </c>
      <c r="J300" s="62" t="inlineStr">
        <is>
          <t>gross (stated)</t>
        </is>
      </c>
      <c r="K300" s="65" t="n">
        <v>17</v>
      </c>
      <c r="L300" s="65" t="n">
        <v>20.2</v>
      </c>
      <c r="M300" s="65" t="n">
        <v>17</v>
      </c>
      <c r="N300" s="62" t="inlineStr">
        <is>
          <t>N</t>
        </is>
      </c>
      <c r="O300" s="66" t="n">
        <v>84.2</v>
      </c>
      <c r="P300" s="66" t="n">
        <v>0</v>
      </c>
      <c r="Q300" s="67" t="n">
        <v>6002.1</v>
      </c>
      <c r="R300" s="62" t="inlineStr">
        <is>
          <t>derived:deal size / offer % of enlarged capital</t>
        </is>
      </c>
      <c r="S300" s="68" t="n">
        <v>14.04</v>
      </c>
      <c r="T300" s="69" t="n">
        <v>1.09</v>
      </c>
      <c r="U300" s="70" t="n">
        <v>81.09999999999999</v>
      </c>
      <c r="V300" s="66" t="n">
        <v>2.1</v>
      </c>
      <c r="W300" s="62" t="inlineStr">
        <is>
          <t>KCH International Investment Limited; Horizon Together Holding Ltd</t>
        </is>
      </c>
      <c r="X300" s="62" t="inlineStr">
        <is>
          <t>kch;horizon</t>
        </is>
      </c>
      <c r="Y300" s="66" t="n">
        <v>2</v>
      </c>
      <c r="Z300" s="62" t="inlineStr">
        <is>
          <t>partial</t>
        </is>
      </c>
      <c r="AA300" s="71" t="n">
        <v>14.12</v>
      </c>
      <c r="AB300" s="72" t="n">
        <v>9.41</v>
      </c>
      <c r="AC300" s="72" t="n">
        <v>4.3</v>
      </c>
      <c r="AD300" s="72" t="n">
        <v>2.94</v>
      </c>
      <c r="AE300" s="72" t="n">
        <v>22.94</v>
      </c>
      <c r="AF300" s="72" t="n">
        <v>88.53</v>
      </c>
      <c r="AG300" s="72" t="n">
        <v>-9.800000000000001</v>
      </c>
      <c r="AH300" s="72" t="n">
        <v>7.73</v>
      </c>
      <c r="AI300" s="72" t="n">
        <v>65.2</v>
      </c>
      <c r="AJ300" s="72" t="n">
        <v>5.52</v>
      </c>
      <c r="AK300" s="72" t="n">
        <v>18.33</v>
      </c>
      <c r="AL300" s="72" t="n">
        <v>69.06999999999999</v>
      </c>
      <c r="AM300" s="72" t="n">
        <v>3.83</v>
      </c>
      <c r="AN300" s="72" t="n">
        <v>4.61</v>
      </c>
      <c r="AO300" s="72" t="n">
        <v>3.9</v>
      </c>
      <c r="AP300" s="62" t="inlineStr">
        <is>
          <t>HSTECH (Hang Seng TECH ETF)</t>
        </is>
      </c>
      <c r="AQ300" s="72" t="n">
        <v>-78.44</v>
      </c>
      <c r="AR300" s="63" t="inlineStr">
        <is>
          <t>2026-08-21</t>
        </is>
      </c>
      <c r="AS300" s="64" t="n">
        <v>523.8</v>
      </c>
      <c r="AT300" s="67" t="n">
        <v>-227.9</v>
      </c>
      <c r="AU300" s="62" t="inlineStr">
        <is>
          <t>N</t>
        </is>
      </c>
      <c r="AV300" s="62" t="inlineStr">
        <is>
          <t>n/m</t>
        </is>
      </c>
      <c r="AW300" s="73" t="n"/>
      <c r="AX300" s="73" t="n"/>
      <c r="AY300" s="73" t="n">
        <v>11.5</v>
      </c>
      <c r="AZ300" s="74" t="inlineStr">
        <is>
          <t>N</t>
        </is>
      </c>
      <c r="BA300" s="75">
        <f>IF('BBG Verify'!K300="","not filed — run on terminal",'BBG Verify'!K300)</f>
        <v/>
      </c>
      <c r="BB300" s="62" t="inlineStr">
        <is>
          <t>N/A</t>
        </is>
      </c>
      <c r="BC300" s="62" t="inlineStr">
        <is>
          <t>N/A</t>
        </is>
      </c>
      <c r="BD300" s="62" t="inlineStr">
        <is>
          <t>N/A</t>
        </is>
      </c>
      <c r="BE300" s="62" t="inlineStr">
        <is>
          <t>N/A</t>
        </is>
      </c>
      <c r="BF300" s="62" t="inlineStr">
        <is>
          <t>N/A</t>
        </is>
      </c>
      <c r="BG300" s="74" t="inlineStr">
        <is>
          <t>CITIC Securities (Hong Kong) Limited; China International Capital Corporation Hong Kong Securities Limited</t>
        </is>
      </c>
      <c r="BH300" s="62" t="inlineStr">
        <is>
          <t>China International Capital Corporation Hong Kong Securities Limited; CITIC Securities (Hong Kong) Limited</t>
        </is>
      </c>
      <c r="BI300" s="62" t="inlineStr">
        <is>
          <t>BOCI Asia Limited; CMBC Securities Company Limited; Central, Hong Kong Futu Securities International (Hong Kong) Limited; No. 95 Queensway Admiralty, Hong Kong Phillip Securities (Hong Kong) Limited; Shenwan Hongyuan Securities (H.K.) Limited; SPDB International Capital Limited; Tiger Brokers (HK) Global Limited</t>
        </is>
      </c>
      <c r="BJ300" s="62" t="inlineStr">
        <is>
          <t>ABCI Securities Company Limited; BOCI Asia Limited; China International Capital Corporation Hong Kong Securities Limited; CLSA Limited; CMBC Securities Company Limited; Fosun International Securities Limited; Futu Securities International (Hong Kong) Limited; Long Bridge HK Limited; Patrons Securities Limited; Phillip Securities (Hong Kong) Limited; SBI China Capital Financial Services Limited; SDICS International Securities (Hong Kong) Limited</t>
        </is>
      </c>
      <c r="BK300" s="76">
        <f>HYPERLINK("https://www1.hkexnews.hk/listedco/listconews/sehk/2024/1217/2024121700015.pdf","prospectus")</f>
        <v/>
      </c>
      <c r="BL300" s="76">
        <f>HYPERLINK("https://www1.hkexnews.hk/listedco/listconews/sehk/2024/1224/2024122401190.pdf","allotment")</f>
        <v/>
      </c>
      <c r="BM300" s="76">
        <f>HYPERLINK("https://www1.hkexnews.hk/listedco/listconews/sehk/2025/0120/2025012000812.pdf","stabilisation")</f>
        <v/>
      </c>
      <c r="BN300" s="74" t="n"/>
      <c r="BO300" s="62" t="inlineStr">
        <is>
          <t>P/E: n/m — loss-making at IPO (use P/S) · A/H: no A-share listing</t>
        </is>
      </c>
    </row>
    <row r="301" ht="15" customHeight="1">
      <c r="A301" s="61" t="inlineStr">
        <is>
          <t>2587</t>
        </is>
      </c>
      <c r="B301" s="62" t="inlineStr">
        <is>
          <t>HEALTHYWAY INC</t>
        </is>
      </c>
      <c r="C301" s="62" t="inlineStr">
        <is>
          <t>健康之路</t>
        </is>
      </c>
      <c r="D301" s="62" t="inlineStr">
        <is>
          <t>Healthcare</t>
        </is>
      </c>
      <c r="E301" s="62" t="inlineStr">
        <is>
          <t>Digital health</t>
        </is>
      </c>
      <c r="F301" s="62" t="inlineStr">
        <is>
          <t>Health Care Services</t>
        </is>
      </c>
      <c r="G301" s="62" t="inlineStr">
        <is>
          <t>Standard</t>
        </is>
      </c>
      <c r="H301" s="63" t="n">
        <v>45656</v>
      </c>
      <c r="I301" s="64" t="n">
        <v>195</v>
      </c>
      <c r="J301" s="62" t="inlineStr">
        <is>
          <t>gross (stated)</t>
        </is>
      </c>
      <c r="K301" s="65" t="n">
        <v>7.8</v>
      </c>
      <c r="L301" s="65" t="n">
        <v>8.800000000000001</v>
      </c>
      <c r="M301" s="65" t="n">
        <v>7.8</v>
      </c>
      <c r="N301" s="62" t="inlineStr">
        <is>
          <t>N</t>
        </is>
      </c>
      <c r="O301" s="66" t="n">
        <v>88.59999999999999</v>
      </c>
      <c r="P301" s="66" t="n">
        <v>0</v>
      </c>
      <c r="Q301" s="67" t="n">
        <v>6846.1</v>
      </c>
      <c r="R301" s="62" t="inlineStr">
        <is>
          <t>derived:price x shares upon listing</t>
        </is>
      </c>
      <c r="S301" s="68" t="n">
        <v>34.42</v>
      </c>
      <c r="T301" s="69" t="n">
        <v>0.98</v>
      </c>
      <c r="U301" s="70" t="n">
        <v>51.23</v>
      </c>
      <c r="V301" s="66" t="n">
        <v>1.39</v>
      </c>
      <c r="W301" s="62" t="inlineStr">
        <is>
          <t>Affluent Base Limited; Baidu (Hong Kong) Limited; HW MedSpect Limited; Hongda Juankang Limited; Strait One Investment LTD; May Jyu Limited; Jyun Jing Limited; Bai Sheng Enterprises Limited; Star Flourish Ventures Limited; Xing Da Limited; May Syun Limited; May Xin Limited</t>
        </is>
      </c>
      <c r="X301" s="62" t="inlineStr">
        <is>
          <t>affluent;baidu;hw;hongda;strait;may;jyun;bai-sheng;star;xing</t>
        </is>
      </c>
      <c r="Y301" s="66" t="n"/>
      <c r="Z301" s="62" t="n"/>
      <c r="AA301" s="71" t="n">
        <v>36.67</v>
      </c>
      <c r="AB301" s="72" t="n">
        <v>27.56</v>
      </c>
      <c r="AC301" s="72" t="n">
        <v>7.14</v>
      </c>
      <c r="AD301" s="72" t="n">
        <v>97.95</v>
      </c>
      <c r="AE301" s="72" t="n">
        <v>71.79000000000001</v>
      </c>
      <c r="AF301" s="72" t="n">
        <v>303.21</v>
      </c>
      <c r="AG301" s="72" t="n">
        <v>44.84</v>
      </c>
      <c r="AH301" s="72" t="n">
        <v>25.7</v>
      </c>
      <c r="AI301" s="72" t="n">
        <v>195.02</v>
      </c>
      <c r="AJ301" s="72" t="n">
        <v>102.77</v>
      </c>
      <c r="AK301" s="72" t="n">
        <v>74.68000000000001</v>
      </c>
      <c r="AL301" s="72" t="n">
        <v>282.84</v>
      </c>
      <c r="AM301" s="72" t="n">
        <v>29.24</v>
      </c>
      <c r="AN301" s="72" t="n">
        <v>-2.89</v>
      </c>
      <c r="AO301" s="72" t="n">
        <v>-3.54</v>
      </c>
      <c r="AP301" s="62" t="inlineStr">
        <is>
          <t>China Biotech ETF (HS biotech proxy)</t>
        </is>
      </c>
      <c r="AQ301" s="72" t="n">
        <v>-76.59999999999999</v>
      </c>
      <c r="AR301" s="63" t="inlineStr">
        <is>
          <t>2026-08-21</t>
        </is>
      </c>
      <c r="AS301" s="64" t="n">
        <v>1320.9</v>
      </c>
      <c r="AT301" s="67" t="n">
        <v>-345.3</v>
      </c>
      <c r="AU301" s="62" t="inlineStr">
        <is>
          <t>N</t>
        </is>
      </c>
      <c r="AV301" s="62" t="inlineStr">
        <is>
          <t>n/m</t>
        </is>
      </c>
      <c r="AW301" s="73" t="n"/>
      <c r="AX301" s="73" t="n">
        <v>26.7</v>
      </c>
      <c r="AY301" s="73" t="n">
        <v>5.2</v>
      </c>
      <c r="AZ301" s="74" t="inlineStr">
        <is>
          <t>N</t>
        </is>
      </c>
      <c r="BA301" s="75">
        <f>IF('BBG Verify'!K301="","not filed — run on terminal",'BBG Verify'!K301)</f>
        <v/>
      </c>
      <c r="BB301" s="62" t="inlineStr">
        <is>
          <t>N/A</t>
        </is>
      </c>
      <c r="BC301" s="62" t="inlineStr">
        <is>
          <t>N/A</t>
        </is>
      </c>
      <c r="BD301" s="62" t="inlineStr">
        <is>
          <t>N/A</t>
        </is>
      </c>
      <c r="BE301" s="62" t="inlineStr">
        <is>
          <t>N/A</t>
        </is>
      </c>
      <c r="BF301" s="62" t="inlineStr">
        <is>
          <t>N/A</t>
        </is>
      </c>
      <c r="BG301" s="74" t="inlineStr">
        <is>
          <t>CCB Intern ational Capital Limited; Financial Advisor (Note) Bristol Capital Limited</t>
        </is>
      </c>
      <c r="BH301" s="62" t="inlineStr">
        <is>
          <t>CCB International Capital Limited</t>
        </is>
      </c>
      <c r="BI301" s="62" t="inlineStr">
        <is>
          <t>BOCI Asia Limited; Livermore Holdings Limited; Fosun International Securities Limited; Zhongtai International Securities Limited; China Everbright Securities (HK) Limited; Ruibang Securities Limited; Sinolink Securities (Hong Kong) Company Limited; Victory Securities Company Limited; Futu Securities International (Hong Kong) Limited</t>
        </is>
      </c>
      <c r="BJ301" s="62" t="inlineStr">
        <is>
          <t>BOCI Asia Limited; CCB International Capital Limited; China Everbright Securities (HK) Limited; Fosun International Securities Limited; Futu Securities International (Hong Kong) Limited; Livermore Holdings Limited; Patrons Securities Limited; Ruibang Securities Limited; Shenwan Hongyuan Securities (H.K.) Limited; Sinolink Securities (Hong Kong) Company Limited; Victory Securities Company Limited; Zhongtai International Securities Limited</t>
        </is>
      </c>
      <c r="BK301" s="76">
        <f>HYPERLINK("https://www1.hkexnews.hk/listedco/listconews/sehk/2024/1218/2024121800023.pdf","prospectus")</f>
        <v/>
      </c>
      <c r="BL301" s="76">
        <f>HYPERLINK("https://www1.hkexnews.hk/listedco/listconews/sehk/2024/1227/2024122701758.pdf","allotment")</f>
        <v/>
      </c>
      <c r="BM301" s="62" t="n"/>
      <c r="BN301" s="74" t="n"/>
      <c r="BO301" s="62" t="inlineStr">
        <is>
          <t>P/E: n/m — loss-making at IPO (use P/S) · greenshoe: no over-allotment option in the offer structure · A/H: no A-share listing · greenshoe size: no over-allotment option in the offer structure</t>
        </is>
      </c>
    </row>
    <row r="302" ht="15" customHeight="1">
      <c r="A302" s="61" t="inlineStr">
        <is>
          <t>2577</t>
        </is>
      </c>
      <c r="B302" s="62" t="inlineStr">
        <is>
          <t>INNOSCIENCE</t>
        </is>
      </c>
      <c r="C302" s="62" t="inlineStr">
        <is>
          <t>英諾賽科</t>
        </is>
      </c>
      <c r="D302" s="62" t="inlineStr">
        <is>
          <t>Tech/AI</t>
        </is>
      </c>
      <c r="E302" s="62" t="inlineStr">
        <is>
          <t>AI chips &amp; semis</t>
        </is>
      </c>
      <c r="F302" s="62" t="inlineStr">
        <is>
          <t>Semiconductors &amp; Semiconductor Equipment</t>
        </is>
      </c>
      <c r="G302" s="62" t="inlineStr">
        <is>
          <t>Standard</t>
        </is>
      </c>
      <c r="H302" s="63" t="n">
        <v>45656</v>
      </c>
      <c r="I302" s="64" t="n">
        <v>1399.9</v>
      </c>
      <c r="J302" s="62" t="inlineStr">
        <is>
          <t>gross (price x shares)</t>
        </is>
      </c>
      <c r="K302" s="65" t="n">
        <v>30.86</v>
      </c>
      <c r="L302" s="65" t="n">
        <v>33.66</v>
      </c>
      <c r="M302" s="65" t="n">
        <v>30.86</v>
      </c>
      <c r="N302" s="62" t="inlineStr">
        <is>
          <t>N</t>
        </is>
      </c>
      <c r="O302" s="66" t="n">
        <v>91.7</v>
      </c>
      <c r="P302" s="66" t="n">
        <v>0</v>
      </c>
      <c r="Q302" s="67" t="n">
        <v>27130.6</v>
      </c>
      <c r="R302" s="62" t="inlineStr">
        <is>
          <t>prospectus:stated market capitalisation</t>
        </is>
      </c>
      <c r="S302" s="68" t="n">
        <v>2.87</v>
      </c>
      <c r="T302" s="69" t="n">
        <v>1.41</v>
      </c>
      <c r="U302" s="70" t="n">
        <v>55.38</v>
      </c>
      <c r="V302" s="66" t="n">
        <v>2.3</v>
      </c>
      <c r="W302" s="62" t="inlineStr">
        <is>
          <t>Jiangsu Govtor; HK InnoSC; Inno CL</t>
        </is>
      </c>
      <c r="X302" s="62" t="inlineStr">
        <is>
          <t>jiangsu;innosc;inno</t>
        </is>
      </c>
      <c r="Y302" s="66" t="n">
        <v>5.3</v>
      </c>
      <c r="Z302" s="62" t="inlineStr">
        <is>
          <t>partial</t>
        </is>
      </c>
      <c r="AA302" s="71" t="n">
        <v>0.45</v>
      </c>
      <c r="AB302" s="72" t="n">
        <v>0.45</v>
      </c>
      <c r="AC302" s="72" t="n">
        <v>0</v>
      </c>
      <c r="AD302" s="72" t="n">
        <v>-0.03</v>
      </c>
      <c r="AE302" s="72" t="n">
        <v>32.7</v>
      </c>
      <c r="AF302" s="72" t="n">
        <v>44.2</v>
      </c>
      <c r="AG302" s="72" t="n">
        <v>-0.48</v>
      </c>
      <c r="AH302" s="72" t="n">
        <v>32.11</v>
      </c>
      <c r="AI302" s="72" t="n">
        <v>43.55</v>
      </c>
      <c r="AJ302" s="72" t="n">
        <v>4.01</v>
      </c>
      <c r="AK302" s="72" t="n">
        <v>28.3</v>
      </c>
      <c r="AL302" s="72" t="n">
        <v>24.98</v>
      </c>
      <c r="AM302" s="72" t="n">
        <v>26.81</v>
      </c>
      <c r="AN302" s="72" t="n">
        <v>4.4</v>
      </c>
      <c r="AO302" s="72" t="n">
        <v>5.3</v>
      </c>
      <c r="AP302" s="62" t="inlineStr">
        <is>
          <t>HSTECH (Hang Seng TECH ETF)</t>
        </is>
      </c>
      <c r="AQ302" s="72" t="n">
        <v>51.46</v>
      </c>
      <c r="AR302" s="63" t="inlineStr">
        <is>
          <t>2026-08-21</t>
        </is>
      </c>
      <c r="AS302" s="64" t="n">
        <v>652</v>
      </c>
      <c r="AT302" s="67" t="n">
        <v>-1212.1</v>
      </c>
      <c r="AU302" s="62" t="inlineStr">
        <is>
          <t>N</t>
        </is>
      </c>
      <c r="AV302" s="62" t="inlineStr">
        <is>
          <t>n/m</t>
        </is>
      </c>
      <c r="AW302" s="73" t="n"/>
      <c r="AX302" s="73" t="n"/>
      <c r="AY302" s="73" t="n">
        <v>41.6</v>
      </c>
      <c r="AZ302" s="74" t="inlineStr">
        <is>
          <t>N</t>
        </is>
      </c>
      <c r="BA302" s="75">
        <f>IF('BBG Verify'!K302="","not filed — run on terminal",'BBG Verify'!K302)</f>
        <v/>
      </c>
      <c r="BB302" s="62" t="inlineStr">
        <is>
          <t>N/A</t>
        </is>
      </c>
      <c r="BC302" s="62" t="inlineStr">
        <is>
          <t>N/A</t>
        </is>
      </c>
      <c r="BD302" s="62" t="inlineStr">
        <is>
          <t>N/A</t>
        </is>
      </c>
      <c r="BE302" s="62" t="inlineStr">
        <is>
          <t>N/A</t>
        </is>
      </c>
      <c r="BF302" s="62" t="inlineStr">
        <is>
          <t>N/A</t>
        </is>
      </c>
      <c r="BG302" s="74" t="inlineStr">
        <is>
          <t>CMB International Capital Limited</t>
        </is>
      </c>
      <c r="BH302" s="62" t="inlineStr">
        <is>
          <t>China International Capital Corporation Hong Kong Securities Limited; CMB International Capital Corporation Limited</t>
        </is>
      </c>
      <c r="BI302" s="62" t="inlineStr">
        <is>
          <t>CMB International Capital Limited; CLSA Limited; Huatai Financial Holdings (Hong Kong) Limited; Jefferies Hong Kong Limited; Hong Tai Securities Limited; ABCI Capital Limited; Patrons Securities Limited; Long Bridge HK Limited; Futu Securities International (Hong Kong) Limited; Tiger Brokers (HK) Global Limited; TradeGo Markets Limited</t>
        </is>
      </c>
      <c r="BJ302" s="62" t="inlineStr">
        <is>
          <t>ABCI Securities Company Limited; BOCI Asia Limited; China International Capital Corporation Hong Kong Securities Limited; CLSA Limited; CMB International Capital Limited; Futu Securities International (Hong Kong) Limited; Huatai Financial Holdings (Hong Kong) Limited; Hong Tai Securities Limited; Jefferies Hong Kong Limited; Long Bridge HK Limited; Patrons Securities Limited; Tiger Brokers (HK) Global Limited</t>
        </is>
      </c>
      <c r="BK302" s="76">
        <f>HYPERLINK("https://www1.hkexnews.hk/listedco/listconews/sehk/2024/1218/2024121800031.pdf","prospectus")</f>
        <v/>
      </c>
      <c r="BL302" s="76">
        <f>HYPERLINK("https://www1.hkexnews.hk/listedco/listconews/sehk/2024/1227/2024122701822.pdf","allotment")</f>
        <v/>
      </c>
      <c r="BM302" s="76">
        <f>HYPERLINK("https://www1.hkexnews.hk/listedco/listconews/sehk/2025/0122/2025012200846.pdf","stabilisation")</f>
        <v/>
      </c>
      <c r="BN302" s="74" t="n"/>
      <c r="BO302" s="62" t="inlineStr">
        <is>
          <t>P/E: n/m — loss-making at IPO (use P/S) · A/H: no A-share listing</t>
        </is>
      </c>
    </row>
    <row r="303" ht="15" customHeight="1">
      <c r="A303" s="61" t="inlineStr">
        <is>
          <t>2506</t>
        </is>
      </c>
      <c r="B303" s="62" t="inlineStr">
        <is>
          <t>XUNFEIHEALTH</t>
        </is>
      </c>
      <c r="C303" s="62" t="inlineStr">
        <is>
          <t>訊飛醫療科技</t>
        </is>
      </c>
      <c r="D303" s="62" t="inlineStr">
        <is>
          <t>Healthcare</t>
        </is>
      </c>
      <c r="E303" s="62" t="inlineStr">
        <is>
          <t>Digital health</t>
        </is>
      </c>
      <c r="F303" s="62" t="inlineStr">
        <is>
          <t>Health Care Services</t>
        </is>
      </c>
      <c r="G303" s="62" t="inlineStr">
        <is>
          <t>Standard</t>
        </is>
      </c>
      <c r="H303" s="63" t="n">
        <v>45656</v>
      </c>
      <c r="I303" s="64" t="n">
        <v>582.5</v>
      </c>
      <c r="J303" s="62" t="inlineStr">
        <is>
          <t>gross (price x shares)</t>
        </is>
      </c>
      <c r="K303" s="65" t="n"/>
      <c r="L303" s="65" t="n">
        <v>82.8</v>
      </c>
      <c r="M303" s="65" t="n">
        <v>82.8</v>
      </c>
      <c r="N303" s="62" t="inlineStr">
        <is>
          <t>Y</t>
        </is>
      </c>
      <c r="O303" s="66" t="n">
        <v>100</v>
      </c>
      <c r="P303" s="66" t="n"/>
      <c r="Q303" s="67" t="n">
        <v>10008.7</v>
      </c>
      <c r="R303" s="62" t="inlineStr">
        <is>
          <t>derived:price x shares upon listing</t>
        </is>
      </c>
      <c r="S303" s="68" t="n">
        <v>3.66</v>
      </c>
      <c r="T303" s="69" t="n">
        <v>1.1</v>
      </c>
      <c r="U303" s="70" t="n">
        <v>47.5</v>
      </c>
      <c r="V303" s="66" t="n">
        <v>3.06</v>
      </c>
      <c r="W303" s="62" t="inlineStr">
        <is>
          <t>Xunyi Limited; Star Group Limited</t>
        </is>
      </c>
      <c r="X303" s="62" t="inlineStr">
        <is>
          <t>xunyi;star</t>
        </is>
      </c>
      <c r="Y303" s="66" t="n">
        <v>10.51</v>
      </c>
      <c r="Z303" s="62" t="inlineStr">
        <is>
          <t>lapsed (no over-allocation)</t>
        </is>
      </c>
      <c r="AA303" s="71" t="n">
        <v>5.07</v>
      </c>
      <c r="AB303" s="72" t="n">
        <v>8.390000000000001</v>
      </c>
      <c r="AC303" s="72" t="n">
        <v>-3.06</v>
      </c>
      <c r="AD303" s="72" t="n">
        <v>2.17</v>
      </c>
      <c r="AE303" s="72" t="n">
        <v>5.43</v>
      </c>
      <c r="AF303" s="72" t="n">
        <v>60.75</v>
      </c>
      <c r="AG303" s="72" t="n">
        <v>-2.76</v>
      </c>
      <c r="AH303" s="72" t="n">
        <v>0.34</v>
      </c>
      <c r="AI303" s="72" t="n">
        <v>52.99</v>
      </c>
      <c r="AJ303" s="72" t="n">
        <v>6.99</v>
      </c>
      <c r="AK303" s="72" t="n">
        <v>8.32</v>
      </c>
      <c r="AL303" s="72" t="n">
        <v>40.38</v>
      </c>
      <c r="AM303" s="72" t="n">
        <v>3.88</v>
      </c>
      <c r="AN303" s="72" t="n">
        <v>-2.89</v>
      </c>
      <c r="AO303" s="72" t="n">
        <v>-3.54</v>
      </c>
      <c r="AP303" s="62" t="inlineStr">
        <is>
          <t>China Biotech ETF (HS biotech proxy)</t>
        </is>
      </c>
      <c r="AQ303" s="72" t="n">
        <v>-7.43</v>
      </c>
      <c r="AR303" s="63" t="inlineStr">
        <is>
          <t>2026-08-21</t>
        </is>
      </c>
      <c r="AS303" s="64" t="n">
        <v>611.6</v>
      </c>
      <c r="AT303" s="67" t="n">
        <v>-169.4</v>
      </c>
      <c r="AU303" s="62" t="inlineStr">
        <is>
          <t>N</t>
        </is>
      </c>
      <c r="AV303" s="62" t="inlineStr">
        <is>
          <t>n/m</t>
        </is>
      </c>
      <c r="AW303" s="73" t="n"/>
      <c r="AX303" s="73" t="n"/>
      <c r="AY303" s="73" t="n">
        <v>16.4</v>
      </c>
      <c r="AZ303" s="74" t="inlineStr">
        <is>
          <t>N</t>
        </is>
      </c>
      <c r="BA303" s="75">
        <f>IF('BBG Verify'!K303="","not filed — run on terminal",'BBG Verify'!K303)</f>
        <v/>
      </c>
      <c r="BB303" s="62" t="inlineStr">
        <is>
          <t>N/A</t>
        </is>
      </c>
      <c r="BC303" s="62" t="inlineStr">
        <is>
          <t>N/A</t>
        </is>
      </c>
      <c r="BD303" s="62" t="inlineStr">
        <is>
          <t>N/A</t>
        </is>
      </c>
      <c r="BE303" s="62" t="inlineStr">
        <is>
          <t>N/A</t>
        </is>
      </c>
      <c r="BF303" s="62" t="inlineStr">
        <is>
          <t>N/A</t>
        </is>
      </c>
      <c r="BG303" s="74" t="inlineStr">
        <is>
          <t>Huatai Financial Holdings (Hong Kong) Limited; GF Capital (Hong Kong) Limited; CCB International Capital Limited</t>
        </is>
      </c>
      <c r="BH303" s="62" t="inlineStr">
        <is>
          <t>CCB International Capital Limited; Huatai Financial Holdings (Hong Kong) Limited; GF Capital (Hong Kong) Limited</t>
        </is>
      </c>
      <c r="BI303" s="62" t="inlineStr">
        <is>
          <t>Huatai Financial Holdings (Hong Kong) Limited; CCB International Capital Limited; GF Securities (Hong Kong) Brokerage Limited; ICBC International Securities Limited; SPDB International Capital Limited; ABCI Capital Limited; China Galaxy International Securities (Hong Kong) Co., Limited; TradeGo Markets Limited</t>
        </is>
      </c>
      <c r="BJ303" s="62" t="inlineStr">
        <is>
          <t>ABCI Securities Company Limited; Advent Securities (Hong Kong) Limited; CCB International Capital Limited; China Galaxy International Securities (Hong Kong) Company Limited; CMBC Securities Company Limited; GF Securities (Hong Kong) Brokerage Limited; Huatai Financial Holdings (Hong Kong) Limited; ICBC International Securities Limited; SPDB International Capital Limited; TradeGo Markets Limited</t>
        </is>
      </c>
      <c r="BK303" s="76">
        <f>HYPERLINK("https://www1.hkexnews.hk/listedco/listconews/sehk/2024/1218/2024121800019.pdf","prospectus")</f>
        <v/>
      </c>
      <c r="BL303" s="76">
        <f>HYPERLINK("https://www1.hkexnews.hk/listedco/listconews/sehk/2024/1227/2024122701834.pdf","allotment")</f>
        <v/>
      </c>
      <c r="BM303" s="76">
        <f>HYPERLINK("https://www1.hkexnews.hk/listedco/listconews/sehk/2025/0122/2025012200840.pdf","stabilisation")</f>
        <v/>
      </c>
      <c r="BN303" s="74" t="n"/>
      <c r="BO303" s="62" t="inlineStr">
        <is>
          <t>P/E: n/m — loss-making at IPO (use P/S) · range low: cap-only pricing — the filing publishes a Maximum Offer Price and no indicative floor · A/H: no A-share listing</t>
        </is>
      </c>
    </row>
    <row r="304" ht="15" customHeight="1">
      <c r="A304" s="61" t="inlineStr">
        <is>
          <t>6681</t>
        </is>
      </c>
      <c r="B304" s="62" t="inlineStr">
        <is>
          <t>BRAINAURORA-B</t>
        </is>
      </c>
      <c r="C304" s="62" t="inlineStr">
        <is>
          <t>腦動極光－Ｂ</t>
        </is>
      </c>
      <c r="D304" s="62" t="inlineStr">
        <is>
          <t>Healthcare</t>
        </is>
      </c>
      <c r="E304" s="62" t="inlineStr">
        <is>
          <t>Medical devices</t>
        </is>
      </c>
      <c r="F304" s="62" t="inlineStr">
        <is>
          <t>Biotechnology - Supplies &amp; Services</t>
        </is>
      </c>
      <c r="G304" s="62" t="inlineStr">
        <is>
          <t>18A</t>
        </is>
      </c>
      <c r="H304" s="63" t="n">
        <v>45665</v>
      </c>
      <c r="I304" s="64" t="n">
        <v>583.1799999999999</v>
      </c>
      <c r="J304" s="62" t="inlineStr">
        <is>
          <t>gross (stated)</t>
        </is>
      </c>
      <c r="K304" s="65" t="n"/>
      <c r="L304" s="65" t="n">
        <v>3.22</v>
      </c>
      <c r="M304" s="65" t="n">
        <v>3.22</v>
      </c>
      <c r="N304" s="62" t="inlineStr">
        <is>
          <t>Y</t>
        </is>
      </c>
      <c r="O304" s="66" t="n">
        <v>100</v>
      </c>
      <c r="P304" s="66" t="n"/>
      <c r="Q304" s="67" t="n">
        <v>4077.4</v>
      </c>
      <c r="R304" s="62" t="inlineStr">
        <is>
          <t>derived:price x shares upon listing</t>
        </is>
      </c>
      <c r="S304" s="68" t="n">
        <v>11.39</v>
      </c>
      <c r="T304" s="69" t="n">
        <v>1.01</v>
      </c>
      <c r="U304" s="70" t="n">
        <v>64.27</v>
      </c>
      <c r="V304" s="66" t="n">
        <v>5.11</v>
      </c>
      <c r="W304" s="62" t="inlineStr">
        <is>
          <t>Huang Guangwei</t>
        </is>
      </c>
      <c r="X304" s="62" t="inlineStr">
        <is>
          <t>huang-guangwei</t>
        </is>
      </c>
      <c r="Y304" s="66" t="n">
        <v>14</v>
      </c>
      <c r="Z304" s="62" t="inlineStr">
        <is>
          <t>lapsed (no over-allocation)</t>
        </is>
      </c>
      <c r="AA304" s="71" t="n">
        <v>3.42</v>
      </c>
      <c r="AB304" s="72" t="n">
        <v>0</v>
      </c>
      <c r="AC304" s="72" t="n">
        <v>3.42</v>
      </c>
      <c r="AD304" s="72" t="n">
        <v>14.91</v>
      </c>
      <c r="AE304" s="72" t="n">
        <v>73.91</v>
      </c>
      <c r="AF304" s="72" t="n">
        <v>89.75</v>
      </c>
      <c r="AG304" s="72" t="n">
        <v>11.11</v>
      </c>
      <c r="AH304" s="72" t="n">
        <v>68.16</v>
      </c>
      <c r="AI304" s="72" t="n">
        <v>83.48</v>
      </c>
      <c r="AJ304" s="72" t="n">
        <v>15.58</v>
      </c>
      <c r="AK304" s="72" t="n">
        <v>66.81999999999999</v>
      </c>
      <c r="AL304" s="72" t="n">
        <v>74.26000000000001</v>
      </c>
      <c r="AM304" s="72" t="n">
        <v>60.09</v>
      </c>
      <c r="AN304" s="72" t="n">
        <v>7.09</v>
      </c>
      <c r="AO304" s="72" t="n">
        <v>8.07</v>
      </c>
      <c r="AP304" s="62" t="inlineStr">
        <is>
          <t>China Biotech ETF (HS biotech proxy)</t>
        </is>
      </c>
      <c r="AQ304" s="72" t="n">
        <v>-52.95</v>
      </c>
      <c r="AR304" s="63" t="inlineStr">
        <is>
          <t>2026-08-20</t>
        </is>
      </c>
      <c r="AS304" s="64" t="n">
        <v>73.90000000000001</v>
      </c>
      <c r="AT304" s="67" t="n">
        <v>-395</v>
      </c>
      <c r="AU304" s="62" t="inlineStr">
        <is>
          <t>N</t>
        </is>
      </c>
      <c r="AV304" s="62" t="inlineStr">
        <is>
          <t>n/m</t>
        </is>
      </c>
      <c r="AW304" s="73" t="n"/>
      <c r="AX304" s="73" t="n"/>
      <c r="AY304" s="73" t="n">
        <v>55.2</v>
      </c>
      <c r="AZ304" s="74" t="inlineStr">
        <is>
          <t>N</t>
        </is>
      </c>
      <c r="BA304" s="75">
        <f>IF('BBG Verify'!K304="","not filed — run on terminal",'BBG Verify'!K304)</f>
        <v/>
      </c>
      <c r="BB304" s="62" t="inlineStr">
        <is>
          <t>N/A</t>
        </is>
      </c>
      <c r="BC304" s="62" t="inlineStr">
        <is>
          <t>N/A</t>
        </is>
      </c>
      <c r="BD304" s="62" t="inlineStr">
        <is>
          <t>N/A</t>
        </is>
      </c>
      <c r="BE304" s="62" t="inlineStr">
        <is>
          <t>N/A</t>
        </is>
      </c>
      <c r="BF304" s="62" t="inlineStr">
        <is>
          <t>N/A</t>
        </is>
      </c>
      <c r="BG304" s="74" t="inlineStr">
        <is>
          <t>China International Capital Corporation Hong Kong Securities Limited; SPDB International Capital Limited</t>
        </is>
      </c>
      <c r="BH304" s="62" t="inlineStr">
        <is>
          <t>China International Capital Corporation Hong Kong Securities Limited; SPDB International Capital Limited</t>
        </is>
      </c>
      <c r="BI304" s="62" t="inlineStr">
        <is>
          <t>China International Capital Corporation Hong Kong Securities Limited; SPDB International Capital Limited; CMB International Capital Limited; Tiger Brokers (HK) Global Limited; GF Securities (Hong Kong) Brokerage Limited; CCB International Capital Limited; BOCI Asia Limited; China Everbright Securities (HK) Limited; ABCI Capital Limited; China Industrial Securities International Capital Limited; Haitong International Securities Company Limited</t>
        </is>
      </c>
      <c r="BJ304" s="62" t="inlineStr">
        <is>
          <t>ABCI Securities Company Limited; BOCI Asia Limited; CCB International Capital Limited; China Everbright Securities (HK) Limited; China International Capital Corporation Hong Kong Securities Limited; China Industrial Securities International Capital Limited; CMBC Securities Company Limited; CMB International Capital Corporation Limited; Fosun International Securities Limited; GF Securities (Hong Kong) Brokerage Limited; Haitong International Securities Company Limited; SPDB International Capital Limited</t>
        </is>
      </c>
      <c r="BK304" s="76">
        <f>HYPERLINK("https://www1.hkexnews.hk/listedco/listconews/sehk/2024/1230/2024123000045.pdf","prospectus")</f>
        <v/>
      </c>
      <c r="BL304" s="76">
        <f>HYPERLINK("https://www1.hkexnews.hk/listedco/listconews/sehk/2025/0107/2025010701660.pdf","allotment")</f>
        <v/>
      </c>
      <c r="BM304" s="76">
        <f>HYPERLINK("https://www1.hkexnews.hk/listedco/listconews/sehk/2025/0202/2025020200065.pdf","stabilisation")</f>
        <v/>
      </c>
      <c r="BN304" s="74" t="n"/>
      <c r="BO304" s="62" t="inlineStr">
        <is>
          <t>P/E: n/m — loss-making at IPO (use P/S) · range low: cap-only pricing — the filing publishes a Maximum Offer Price and no indicative floor · A/H: no A-share listing</t>
        </is>
      </c>
    </row>
    <row r="305" ht="15" customHeight="1">
      <c r="A305" s="61" t="inlineStr">
        <is>
          <t>2560</t>
        </is>
      </c>
      <c r="B305" s="62" t="inlineStr">
        <is>
          <t>CONCH MAT TECH</t>
        </is>
      </c>
      <c r="C305" s="62" t="inlineStr">
        <is>
          <t>海螺材料科技</t>
        </is>
      </c>
      <c r="D305" s="62" t="inlineStr">
        <is>
          <t>Materials/Energy</t>
        </is>
      </c>
      <c r="E305" s="62" t="inlineStr">
        <is>
          <t>Chemicals</t>
        </is>
      </c>
      <c r="F305" s="62" t="inlineStr">
        <is>
          <t>Construction Materials</t>
        </is>
      </c>
      <c r="G305" s="62" t="inlineStr">
        <is>
          <t>Standard</t>
        </is>
      </c>
      <c r="H305" s="63" t="n">
        <v>45666</v>
      </c>
      <c r="I305" s="64" t="n">
        <v>434.9</v>
      </c>
      <c r="J305" s="62" t="inlineStr">
        <is>
          <t>gross (stated)</t>
        </is>
      </c>
      <c r="K305" s="65" t="n"/>
      <c r="L305" s="65" t="n">
        <v>3.3</v>
      </c>
      <c r="M305" s="65" t="n">
        <v>3</v>
      </c>
      <c r="N305" s="62" t="inlineStr">
        <is>
          <t>N</t>
        </is>
      </c>
      <c r="O305" s="66" t="n">
        <v>90.90000000000001</v>
      </c>
      <c r="P305" s="66" t="n"/>
      <c r="Q305" s="67" t="n">
        <v>1897.9</v>
      </c>
      <c r="R305" s="62" t="inlineStr">
        <is>
          <t>aastocks:上市市值 at the struck price</t>
        </is>
      </c>
      <c r="S305" s="68" t="n">
        <v>25.83</v>
      </c>
      <c r="T305" s="69" t="n">
        <v>1.04</v>
      </c>
      <c r="U305" s="70" t="n">
        <v>66.79000000000001</v>
      </c>
      <c r="V305" s="66" t="n">
        <v>7.61</v>
      </c>
      <c r="W305" s="62" t="inlineStr">
        <is>
          <t>SCGC Capital Holding Company Limited; Gotion High-Tech (HK); Anhui Shengchang; Wuhu Artec; Guangdong Zongxing; Shenzhen Gaodeng</t>
        </is>
      </c>
      <c r="X305" s="62" t="inlineStr">
        <is>
          <t>scgc;gotion;anhui;wuhu;guangdong;shenzhen-gaodeng</t>
        </is>
      </c>
      <c r="Y305" s="66" t="n">
        <v>8.5</v>
      </c>
      <c r="Z305" s="62" t="n"/>
      <c r="AA305" s="71" t="n">
        <v>-47.67</v>
      </c>
      <c r="AB305" s="72" t="n">
        <v>-40</v>
      </c>
      <c r="AC305" s="72" t="n">
        <v>-12.78</v>
      </c>
      <c r="AD305" s="72" t="n">
        <v>-51.67</v>
      </c>
      <c r="AE305" s="72" t="n">
        <v>-54.67</v>
      </c>
      <c r="AF305" s="72" t="n">
        <v>-41.33</v>
      </c>
      <c r="AG305" s="72" t="n">
        <v>-7.64</v>
      </c>
      <c r="AH305" s="72" t="n">
        <v>-13.38</v>
      </c>
      <c r="AI305" s="72" t="n">
        <v>12.12</v>
      </c>
      <c r="AJ305" s="72" t="n">
        <v>-53.25</v>
      </c>
      <c r="AK305" s="72" t="n">
        <v>-71.84</v>
      </c>
      <c r="AL305" s="72" t="n">
        <v>-55.83</v>
      </c>
      <c r="AM305" s="72" t="n">
        <v>-30.32</v>
      </c>
      <c r="AN305" s="72" t="n">
        <v>17.17</v>
      </c>
      <c r="AO305" s="72" t="n">
        <v>16.94</v>
      </c>
      <c r="AP305" s="62" t="inlineStr">
        <is>
          <t>Hang Seng Commerce &amp; Industry sub-index</t>
        </is>
      </c>
      <c r="AQ305" s="72" t="n">
        <v>-52.17</v>
      </c>
      <c r="AR305" s="63" t="inlineStr">
        <is>
          <t>2026-08-20</t>
        </is>
      </c>
      <c r="AS305" s="64" t="n">
        <v>2635.1</v>
      </c>
      <c r="AT305" s="67" t="n"/>
      <c r="AU305" s="62" t="inlineStr">
        <is>
          <t>Y</t>
        </is>
      </c>
      <c r="AV305" s="73" t="n">
        <v>5.1</v>
      </c>
      <c r="AW305" s="73" t="n">
        <v>5.1</v>
      </c>
      <c r="AX305" s="73" t="n">
        <v>6.5</v>
      </c>
      <c r="AY305" s="73" t="n">
        <v>0.7</v>
      </c>
      <c r="AZ305" s="74" t="inlineStr">
        <is>
          <t>N</t>
        </is>
      </c>
      <c r="BA305" s="75">
        <f>IF('BBG Verify'!K305="","not filed — run on terminal",'BBG Verify'!K305)</f>
        <v/>
      </c>
      <c r="BB305" s="62" t="inlineStr">
        <is>
          <t>N/A</t>
        </is>
      </c>
      <c r="BC305" s="62" t="inlineStr">
        <is>
          <t>N/A</t>
        </is>
      </c>
      <c r="BD305" s="62" t="inlineStr">
        <is>
          <t>N/A</t>
        </is>
      </c>
      <c r="BE305" s="62" t="inlineStr">
        <is>
          <t>N/A</t>
        </is>
      </c>
      <c r="BF305" s="62" t="inlineStr">
        <is>
          <t>N/A</t>
        </is>
      </c>
      <c r="BG305" s="74" t="inlineStr">
        <is>
          <t>China Securities (International) Corporate Finance Company Limited</t>
        </is>
      </c>
      <c r="BH305" s="62" t="inlineStr">
        <is>
          <t>China Securities (International) Corporate Finance Company Limited</t>
        </is>
      </c>
      <c r="BI305" s="62" t="inlineStr">
        <is>
          <t>China Securities (International) Corporate Finance Company Limited; 9 5– China Galaxy International Securities (Hong Kong) Co., Limited; BOCI Asia Limited; ABCI Capital Limited; ICBC International Securities Limited; Victory Securities Company Limited; China Galaxy International Securities (Hong Kong) Co., Limited; Shenwan Hongyuan Securities (H.K.) Limited; CCB International Capital Limited; Haitong International Securities Company Limited; Guoyuan Securities Brokerage (Hong Kong) Limited; Orient Securities (Hong Kong) Limited</t>
        </is>
      </c>
      <c r="BJ305" s="62" t="inlineStr">
        <is>
          <t>ABCI Securities Company Limited; BOCI Asia Limited; BOCOM International Securities Limited; CCB International Capital Limited; China Galaxy International Securities (Hong Kong) Company Limited; China Industrial Securities International Capital Limited; China Securities (International) Corporate Finance Company Limited; China Sunrise Securities (International) Limited; Fosun International Securities Limited; Guoyuan Securities Brokerage (Hong Kong) Limited; Haitong International Securities Company Limited; Hong Tai Securities Limited</t>
        </is>
      </c>
      <c r="BK305" s="76">
        <f>HYPERLINK("https://www1.hkexnews.hk/listedco/listconews/sehk/2024/1231/2024123100162.pdf","prospectus")</f>
        <v/>
      </c>
      <c r="BL305" s="76">
        <f>HYPERLINK("https://www1.hkexnews.hk/listedco/listconews/sehk/2025/0108/2025010801080.pdf","allotment")</f>
        <v/>
      </c>
      <c r="BM305" s="62" t="n"/>
      <c r="BN305" s="74" t="n"/>
      <c r="BO305" s="62" t="inlineStr">
        <is>
          <t>P/E: from Bloomberg (trailing-12m EPS at listing) — the prospectus-FY multiple was not derivable · greenshoe: end-of-stabilisation notice not located · range low: cap-only pricing — the filing publishes a Maximum Offer Price and no indicative floor · A/H: no A-share listing · financials: financial tables not machine-extractable and the pre-IPO year is outside AAStocks' 5-year window</t>
        </is>
      </c>
    </row>
    <row r="306" ht="15" customHeight="1">
      <c r="A306" s="61" t="inlineStr">
        <is>
          <t>2613</t>
        </is>
      </c>
      <c r="B306" s="62" t="inlineStr">
        <is>
          <t>CONTIOCEAN</t>
        </is>
      </c>
      <c r="C306" s="62" t="inlineStr">
        <is>
          <t>匯舸環保</t>
        </is>
      </c>
      <c r="D306" s="62" t="inlineStr">
        <is>
          <t>Industrials</t>
        </is>
      </c>
      <c r="E306" s="62" t="inlineStr">
        <is>
          <t>Capital goods / machinery</t>
        </is>
      </c>
      <c r="F306" s="62" t="inlineStr">
        <is>
          <t>Marine Ports &amp; Services</t>
        </is>
      </c>
      <c r="G306" s="62" t="inlineStr">
        <is>
          <t>Standard</t>
        </is>
      </c>
      <c r="H306" s="63" t="n">
        <v>45666</v>
      </c>
      <c r="I306" s="64" t="n">
        <v>318</v>
      </c>
      <c r="J306" s="62" t="inlineStr">
        <is>
          <t>gross (stated)</t>
        </is>
      </c>
      <c r="K306" s="65" t="n">
        <v>31.8</v>
      </c>
      <c r="L306" s="65" t="n">
        <v>39.8</v>
      </c>
      <c r="M306" s="65" t="n">
        <v>31.8</v>
      </c>
      <c r="N306" s="62" t="inlineStr">
        <is>
          <t>N</t>
        </is>
      </c>
      <c r="O306" s="66" t="n">
        <v>79.90000000000001</v>
      </c>
      <c r="P306" s="66" t="n">
        <v>0</v>
      </c>
      <c r="Q306" s="67" t="n">
        <v>1272</v>
      </c>
      <c r="R306" s="62" t="inlineStr">
        <is>
          <t>derived:price x shares upon listing</t>
        </is>
      </c>
      <c r="S306" s="68" t="n">
        <v>55.33</v>
      </c>
      <c r="T306" s="69" t="n">
        <v>0.95</v>
      </c>
      <c r="U306" s="70" t="n">
        <v>84.7</v>
      </c>
      <c r="V306" s="66" t="n">
        <v>3.83</v>
      </c>
      <c r="W306" s="62" t="inlineStr">
        <is>
          <t>Mr. Tiago Braz; Fund SPC; Harvest International</t>
        </is>
      </c>
      <c r="X306" s="62" t="inlineStr">
        <is>
          <t>mr-tiago;fund-spc;harvest</t>
        </is>
      </c>
      <c r="Y306" s="66" t="n"/>
      <c r="Z306" s="62" t="n"/>
      <c r="AA306" s="71" t="n">
        <v>6.29</v>
      </c>
      <c r="AB306" s="72" t="n">
        <v>6.76</v>
      </c>
      <c r="AC306" s="72" t="n">
        <v>-0.44</v>
      </c>
      <c r="AD306" s="72" t="n">
        <v>-5.66</v>
      </c>
      <c r="AE306" s="72" t="n">
        <v>-4.09</v>
      </c>
      <c r="AF306" s="72" t="n">
        <v>-8.65</v>
      </c>
      <c r="AG306" s="72" t="n">
        <v>-11.24</v>
      </c>
      <c r="AH306" s="72" t="n">
        <v>-9.77</v>
      </c>
      <c r="AI306" s="72" t="n">
        <v>-14.06</v>
      </c>
      <c r="AJ306" s="72" t="n">
        <v>-7.24</v>
      </c>
      <c r="AK306" s="72" t="n">
        <v>-21.26</v>
      </c>
      <c r="AL306" s="72" t="n">
        <v>-23.15</v>
      </c>
      <c r="AM306" s="72" t="n">
        <v>-26.71</v>
      </c>
      <c r="AN306" s="72" t="n">
        <v>17.17</v>
      </c>
      <c r="AO306" s="72" t="n">
        <v>16.94</v>
      </c>
      <c r="AP306" s="62" t="inlineStr">
        <is>
          <t>Hang Seng Commerce &amp; Industry sub-index</t>
        </is>
      </c>
      <c r="AQ306" s="72" t="n">
        <v>0.63</v>
      </c>
      <c r="AR306" s="63" t="inlineStr">
        <is>
          <t>2026-08-20</t>
        </is>
      </c>
      <c r="AS306" s="64" t="n">
        <v>561.3</v>
      </c>
      <c r="AT306" s="67" t="n">
        <v>132.6</v>
      </c>
      <c r="AU306" s="62" t="inlineStr">
        <is>
          <t>Y</t>
        </is>
      </c>
      <c r="AV306" s="73" t="n">
        <v>9.6</v>
      </c>
      <c r="AW306" s="73" t="n"/>
      <c r="AX306" s="73" t="n">
        <v>186.7</v>
      </c>
      <c r="AY306" s="73" t="n">
        <v>2.3</v>
      </c>
      <c r="AZ306" s="74" t="inlineStr">
        <is>
          <t>N</t>
        </is>
      </c>
      <c r="BA306" s="75">
        <f>IF('BBG Verify'!K306="","not filed — run on terminal",'BBG Verify'!K306)</f>
        <v/>
      </c>
      <c r="BB306" s="62" t="inlineStr">
        <is>
          <t>N/A</t>
        </is>
      </c>
      <c r="BC306" s="62" t="inlineStr">
        <is>
          <t>N/A</t>
        </is>
      </c>
      <c r="BD306" s="62" t="inlineStr">
        <is>
          <t>N/A</t>
        </is>
      </c>
      <c r="BE306" s="62" t="inlineStr">
        <is>
          <t>N/A</t>
        </is>
      </c>
      <c r="BF306" s="62" t="inlineStr">
        <is>
          <t>N/A</t>
        </is>
      </c>
      <c r="BG306" s="74" t="inlineStr">
        <is>
          <t>CITIC Securities (Hong Kong) Limited; China Galaxy International Securities (Hong Kong) Co., Limited</t>
        </is>
      </c>
      <c r="BH306" s="62" t="inlineStr">
        <is>
          <t>CITIC Securities (Hong Kong) Limited; China Galaxy International Securities (Hong Kong) Company Limited</t>
        </is>
      </c>
      <c r="BI306" s="62" t="inlineStr">
        <is>
          <t>CLSA Limited; China Galaxy International Securities (Hong Kong) Co., Limited; BNP Paribas Securities (Asia) Limited; CCB International Capital Limited; CEB International Capit al Corporation Limited; China Everbright Securities (HK) Limited; China Sunrise Securities (International) Limited; Fortune Origin Securities Limited; ICBC International Securities Limited; Quam Securities Limited; SPDB International Capital Limited</t>
        </is>
      </c>
      <c r="BJ306" s="62" t="inlineStr">
        <is>
          <t>BNP Paribas Securities (Asia) Limited; BOCI Asia Limited; CCB International Capital Limited; CEB International Capital Corporation Limited; China Everbright Securities (HK) Limited; China Galaxy International Securities (Hong Kong) Company Limited; CLSA Limited; China Sunrise Securities (International) Limited; Fortune Origin Securities Limited; Futu Securities International (Hong Kong) Limited; ICBC International Securities Limited; Lego Securities Limited</t>
        </is>
      </c>
      <c r="BK306" s="76">
        <f>HYPERLINK("https://www1.hkexnews.hk/listedco/listconews/sehk/2024/1231/2024123100011.pdf","prospectus")</f>
        <v/>
      </c>
      <c r="BL306" s="76">
        <f>HYPERLINK("https://www1.hkexnews.hk/listedco/listconews/sehk/2025/0108/2025010801098.pdf","allotment")</f>
        <v/>
      </c>
      <c r="BM306" s="62" t="n"/>
      <c r="BN306" s="74" t="n"/>
      <c r="BO306" s="62" t="inlineStr">
        <is>
          <t>greenshoe: no over-allotment option in the offer structure · A/H: no A-share listing · greenshoe size: no over-allotment option in the offer structure</t>
        </is>
      </c>
    </row>
    <row r="307" ht="15" customHeight="1">
      <c r="A307" s="61" t="inlineStr">
        <is>
          <t>0325</t>
        </is>
      </c>
      <c r="B307" s="62" t="inlineStr">
        <is>
          <t>BLOKS</t>
        </is>
      </c>
      <c r="C307" s="62" t="inlineStr">
        <is>
          <t>布魯可</t>
        </is>
      </c>
      <c r="D307" s="62" t="inlineStr">
        <is>
          <t>Consumer</t>
        </is>
      </c>
      <c r="E307" s="62" t="inlineStr">
        <is>
          <t>Retail / distribution</t>
        </is>
      </c>
      <c r="F307" s="62" t="inlineStr">
        <is>
          <t>Toys</t>
        </is>
      </c>
      <c r="G307" s="62" t="inlineStr">
        <is>
          <t>Standard</t>
        </is>
      </c>
      <c r="H307" s="63" t="n">
        <v>45667</v>
      </c>
      <c r="I307" s="64" t="n">
        <v>1674</v>
      </c>
      <c r="J307" s="62" t="inlineStr">
        <is>
          <t>gross (stated)</t>
        </is>
      </c>
      <c r="K307" s="65" t="n"/>
      <c r="L307" s="65" t="n">
        <v>60.35</v>
      </c>
      <c r="M307" s="65" t="n">
        <v>60.35</v>
      </c>
      <c r="N307" s="62" t="inlineStr">
        <is>
          <t>Y</t>
        </is>
      </c>
      <c r="O307" s="66" t="n">
        <v>100</v>
      </c>
      <c r="P307" s="66" t="n"/>
      <c r="Q307" s="67" t="n">
        <v>13437.9</v>
      </c>
      <c r="R307" s="62" t="inlineStr">
        <is>
          <t>prospectus:stated market capitalisation</t>
        </is>
      </c>
      <c r="S307" s="68" t="n">
        <v>5999.96</v>
      </c>
      <c r="T307" s="69" t="n">
        <v>38.6</v>
      </c>
      <c r="U307" s="70" t="n">
        <v>23.1</v>
      </c>
      <c r="V307" s="66" t="n">
        <v>9.58</v>
      </c>
      <c r="W307" s="62" t="inlineStr">
        <is>
          <t>UBS Asset Management; Greenwoods Asset Management Hong Kong Limited; Gaintex Investment Limited; Plus Force Enterprise Limited; Merron Ventures Limited; Huatai Capital Investment Limited; JYCP Holding Limited; JYMB Holding Limited; Beihai Kmind Management Consulting Limited; BlueCo Investment L.P; Yunfeng Blocks Management Limited; Hongshan Limited; Lenient Investment L.P</t>
        </is>
      </c>
      <c r="X307" s="62" t="inlineStr">
        <is>
          <t>ubs;greenwoods;gaintex;plus;merron;huatai;jycp;jymb;beihai;blueco;yunfeng;hongshan;lenient</t>
        </is>
      </c>
      <c r="Y307" s="66" t="n">
        <v>15</v>
      </c>
      <c r="Z307" s="62" t="n"/>
      <c r="AA307" s="71" t="n">
        <v>40.85</v>
      </c>
      <c r="AB307" s="72" t="n">
        <v>81.61</v>
      </c>
      <c r="AC307" s="72" t="n">
        <v>-22.44</v>
      </c>
      <c r="AD307" s="72" t="n">
        <v>49.63</v>
      </c>
      <c r="AE307" s="72" t="n">
        <v>40.18</v>
      </c>
      <c r="AF307" s="72" t="n">
        <v>101.66</v>
      </c>
      <c r="AG307" s="72" t="n">
        <v>6.23</v>
      </c>
      <c r="AH307" s="72" t="n">
        <v>-0.48</v>
      </c>
      <c r="AI307" s="72" t="n">
        <v>43.17</v>
      </c>
      <c r="AJ307" s="72" t="n">
        <v>47.69</v>
      </c>
      <c r="AK307" s="72" t="n">
        <v>23.64</v>
      </c>
      <c r="AL307" s="72" t="n">
        <v>87.13</v>
      </c>
      <c r="AM307" s="72" t="n">
        <v>-18.44</v>
      </c>
      <c r="AN307" s="72" t="n">
        <v>16.54</v>
      </c>
      <c r="AO307" s="72" t="n">
        <v>17.96</v>
      </c>
      <c r="AP307" s="62" t="inlineStr">
        <is>
          <t>Hang Seng Commerce &amp; Industry sub-index</t>
        </is>
      </c>
      <c r="AQ307" s="72" t="n">
        <v>27.84</v>
      </c>
      <c r="AR307" s="63" t="inlineStr">
        <is>
          <t>2026-08-20</t>
        </is>
      </c>
      <c r="AS307" s="64" t="n">
        <v>964.4</v>
      </c>
      <c r="AT307" s="67" t="n">
        <v>-441.2</v>
      </c>
      <c r="AU307" s="62" t="inlineStr">
        <is>
          <t>N</t>
        </is>
      </c>
      <c r="AV307" s="62" t="inlineStr">
        <is>
          <t>n/m</t>
        </is>
      </c>
      <c r="AW307" s="73" t="n"/>
      <c r="AX307" s="73" t="n"/>
      <c r="AY307" s="73" t="n">
        <v>13.9</v>
      </c>
      <c r="AZ307" s="74" t="inlineStr">
        <is>
          <t>N</t>
        </is>
      </c>
      <c r="BA307" s="75">
        <f>IF('BBG Verify'!K307="","not filed — run on terminal",'BBG Verify'!K307)</f>
        <v/>
      </c>
      <c r="BB307" s="62" t="inlineStr">
        <is>
          <t>N/A</t>
        </is>
      </c>
      <c r="BC307" s="62" t="inlineStr">
        <is>
          <t>N/A</t>
        </is>
      </c>
      <c r="BD307" s="62" t="inlineStr">
        <is>
          <t>N/A</t>
        </is>
      </c>
      <c r="BE307" s="62" t="inlineStr">
        <is>
          <t>N/A</t>
        </is>
      </c>
      <c r="BF307" s="62" t="inlineStr">
        <is>
          <t>N/A</t>
        </is>
      </c>
      <c r="BG307" s="74" t="inlineStr">
        <is>
          <t>and Sponsor-OC Goldman Sachs (Asia) L.L.C; Huatai Financial Holdings (Hong Kong) Limited</t>
        </is>
      </c>
      <c r="BH307" s="62" t="inlineStr">
        <is>
          <t>Goldman Sachs (Asia) L.L.C.; Huatai Financial Holdings (Hong Kong) Limited</t>
        </is>
      </c>
      <c r="BI307" s="62" t="inlineStr">
        <is>
          <t>Goldman Sachs (Asia) L.L.C; Huatai Financial Holdings (Hong Kong) Limited</t>
        </is>
      </c>
      <c r="BJ307" s="62" t="inlineStr">
        <is>
          <t>Futu Securities International (Hong Kong) Limited; Goldman Sachs (Asia) L.L.C.; Huatai Financial Holdings (Hong Kong) Limited</t>
        </is>
      </c>
      <c r="BK307" s="76">
        <f>HYPERLINK("https://www1.hkexnews.hk/listedco/listconews/sehk/2024/1231/2024123100152.pdf","prospectus")</f>
        <v/>
      </c>
      <c r="BL307" s="76">
        <f>HYPERLINK("https://www1.hkexnews.hk/listedco/listconews/sehk/2025/0109/2025010900829.pdf","allotment")</f>
        <v/>
      </c>
      <c r="BM307" s="62" t="n"/>
      <c r="BN307" s="74" t="n"/>
      <c r="BO307" s="62" t="inlineStr">
        <is>
          <t>P/E: n/m — loss-making at IPO (use P/S) · greenshoe: end-of-stabilisation notice not located · range low: cap-only pricing — the filing publishes a Maximum Offer Price and no indicative floor · A/H: no A line; closest listed proxy {'code': '002292.SZ', 'name': 'Alpha Group', 'rationale': 'Pop Mart/Bloks-style IP toys have no A pure-play; Alpha is the A-share IP toy and animation-merchandise name.'}</t>
        </is>
      </c>
    </row>
    <row r="308" ht="15" customHeight="1">
      <c r="A308" s="61" t="inlineStr">
        <is>
          <t>2530</t>
        </is>
      </c>
      <c r="B308" s="62" t="inlineStr">
        <is>
          <t>NUMANS</t>
        </is>
      </c>
      <c r="C308" s="62" t="inlineStr">
        <is>
          <t>紐曼思</t>
        </is>
      </c>
      <c r="D308" s="62" t="inlineStr">
        <is>
          <t>Consumer</t>
        </is>
      </c>
      <c r="E308" s="62" t="inlineStr">
        <is>
          <t>Beverages / packaged food</t>
        </is>
      </c>
      <c r="F308" s="62" t="inlineStr">
        <is>
          <t>Health Care Supplies</t>
        </is>
      </c>
      <c r="G308" s="62" t="inlineStr">
        <is>
          <t>Standard</t>
        </is>
      </c>
      <c r="H308" s="63" t="n">
        <v>45667</v>
      </c>
      <c r="I308" s="64" t="n">
        <v>200</v>
      </c>
      <c r="J308" s="62" t="inlineStr">
        <is>
          <t>gross (stated)</t>
        </is>
      </c>
      <c r="K308" s="65" t="n">
        <v>0.8</v>
      </c>
      <c r="L308" s="65" t="n">
        <v>1.09</v>
      </c>
      <c r="M308" s="65" t="n">
        <v>0.8</v>
      </c>
      <c r="N308" s="62" t="inlineStr">
        <is>
          <t>N</t>
        </is>
      </c>
      <c r="O308" s="66" t="n">
        <v>73.40000000000001</v>
      </c>
      <c r="P308" s="66" t="n">
        <v>0</v>
      </c>
      <c r="Q308" s="67" t="n">
        <v>800</v>
      </c>
      <c r="R308" s="62" t="inlineStr">
        <is>
          <t>derived:price x shares upon listing</t>
        </is>
      </c>
      <c r="S308" s="68" t="n">
        <v>65.17</v>
      </c>
      <c r="T308" s="69" t="n">
        <v>1.03</v>
      </c>
      <c r="U308" s="70" t="n">
        <v>0</v>
      </c>
      <c r="V308" s="66" t="n">
        <v>25</v>
      </c>
      <c r="W308" s="62" t="n"/>
      <c r="X308" s="62" t="n"/>
      <c r="Y308" s="66" t="n">
        <v>20</v>
      </c>
      <c r="Z308" s="62" t="n"/>
      <c r="AA308" s="71" t="n">
        <v>-13.75</v>
      </c>
      <c r="AB308" s="72" t="n">
        <v>-1.25</v>
      </c>
      <c r="AC308" s="72" t="n">
        <v>-12.66</v>
      </c>
      <c r="AD308" s="72" t="n">
        <v>-15</v>
      </c>
      <c r="AE308" s="72" t="n">
        <v>-13.75</v>
      </c>
      <c r="AF308" s="72" t="n">
        <v>-16.25</v>
      </c>
      <c r="AG308" s="72" t="n">
        <v>-1.45</v>
      </c>
      <c r="AH308" s="72" t="n">
        <v>0</v>
      </c>
      <c r="AI308" s="72" t="n">
        <v>-2.9</v>
      </c>
      <c r="AJ308" s="72" t="n">
        <v>-16.94</v>
      </c>
      <c r="AK308" s="72" t="n">
        <v>-30.29</v>
      </c>
      <c r="AL308" s="72" t="n">
        <v>-30.78</v>
      </c>
      <c r="AM308" s="72" t="n">
        <v>-17.96</v>
      </c>
      <c r="AN308" s="72" t="n">
        <v>16.54</v>
      </c>
      <c r="AO308" s="72" t="n">
        <v>17.96</v>
      </c>
      <c r="AP308" s="62" t="inlineStr">
        <is>
          <t>Hang Seng Commerce &amp; Industry sub-index</t>
        </is>
      </c>
      <c r="AQ308" s="72" t="n">
        <v>-8.130000000000001</v>
      </c>
      <c r="AR308" s="63" t="inlineStr">
        <is>
          <t>2026-08-20</t>
        </is>
      </c>
      <c r="AS308" s="64" t="n">
        <v>469.2</v>
      </c>
      <c r="AT308" s="67" t="n">
        <v>175.3</v>
      </c>
      <c r="AU308" s="62" t="inlineStr">
        <is>
          <t>Y</t>
        </is>
      </c>
      <c r="AV308" s="73" t="n">
        <v>4.6</v>
      </c>
      <c r="AW308" s="73" t="n"/>
      <c r="AX308" s="73" t="n">
        <v>115.6</v>
      </c>
      <c r="AY308" s="73" t="n">
        <v>1.7</v>
      </c>
      <c r="AZ308" s="74" t="inlineStr">
        <is>
          <t>N</t>
        </is>
      </c>
      <c r="BA308" s="75">
        <f>IF('BBG Verify'!K308="","not filed — run on terminal",'BBG Verify'!K308)</f>
        <v/>
      </c>
      <c r="BB308" s="62" t="inlineStr">
        <is>
          <t>N/A</t>
        </is>
      </c>
      <c r="BC308" s="62" t="inlineStr">
        <is>
          <t>N/A</t>
        </is>
      </c>
      <c r="BD308" s="62" t="inlineStr">
        <is>
          <t>N/A</t>
        </is>
      </c>
      <c r="BE308" s="62" t="inlineStr">
        <is>
          <t>N/A</t>
        </is>
      </c>
      <c r="BF308" s="62" t="inlineStr">
        <is>
          <t>N/A</t>
        </is>
      </c>
      <c r="BG308" s="74" t="inlineStr">
        <is>
          <t>Caitong International Capital Co., Limited</t>
        </is>
      </c>
      <c r="BH308" s="62" t="inlineStr">
        <is>
          <t>Caitong International Capital Co.</t>
        </is>
      </c>
      <c r="BI308" s="62" t="inlineStr">
        <is>
          <t>Caitong International Securities Co., Limited; Quam Securities Limited; China Everbright Securities (HK) Limited; Wanchai, Hong Kong First Fidelity Capital (International) Limited; No. 95 Queensway Admiralty, Hong Kong Phillip Securities (Hong Kong) Limited; Soochow Securities International Brokerage Limited; UZen Securities Limited</t>
        </is>
      </c>
      <c r="BJ308" s="62" t="inlineStr">
        <is>
          <t>Caitong International Securities Company Limited; China Everbright Securities (HK) Limited; First Fidelity Capital (International) Limited; Futu Securities International (Hong Kong) Limited; Phillip Securities (Hong Kong) Limited; Quam Securities Company Limited; Soochow Securities International Brokerage Limited; UZen Securities Limited</t>
        </is>
      </c>
      <c r="BK308" s="76">
        <f>HYPERLINK("https://www1.hkexnews.hk/listedco/listconews/sehk/2024/1230/2024123000005.pdf","prospectus")</f>
        <v/>
      </c>
      <c r="BL308" s="76">
        <f>HYPERLINK("https://www1.hkexnews.hk/listedco/listconews/sehk/2025/0109/2025010901059.pdf","allotment")</f>
        <v/>
      </c>
      <c r="BM308" s="62" t="n"/>
      <c r="BN308" s="74" t="n"/>
      <c r="BO308" s="62" t="inlineStr">
        <is>
          <t>greenshoe: end-of-stabilisation notice not located · A/H: no A-share listing · cornerstone list: no cornerstone tranche in this deal</t>
        </is>
      </c>
    </row>
    <row r="309" ht="15" customHeight="1">
      <c r="A309" s="61" t="inlineStr">
        <is>
          <t>2596</t>
        </is>
      </c>
      <c r="B309" s="62" t="inlineStr">
        <is>
          <t>YIBIN BANK</t>
        </is>
      </c>
      <c r="C309" s="62" t="inlineStr">
        <is>
          <t>宜賓銀行</t>
        </is>
      </c>
      <c r="D309" s="62" t="inlineStr">
        <is>
          <t>Financials</t>
        </is>
      </c>
      <c r="E309" s="62" t="inlineStr">
        <is>
          <t>Banks</t>
        </is>
      </c>
      <c r="F309" s="62" t="inlineStr">
        <is>
          <t>Diversified Banks</t>
        </is>
      </c>
      <c r="G309" s="62" t="inlineStr">
        <is>
          <t>Standard</t>
        </is>
      </c>
      <c r="H309" s="63" t="n">
        <v>45670</v>
      </c>
      <c r="I309" s="64" t="n">
        <v>1782.96</v>
      </c>
      <c r="J309" s="62" t="inlineStr">
        <is>
          <t>gross (stated)</t>
        </is>
      </c>
      <c r="K309" s="65" t="n"/>
      <c r="L309" s="65" t="n">
        <v>2.72</v>
      </c>
      <c r="M309" s="65" t="n">
        <v>2.59</v>
      </c>
      <c r="N309" s="62" t="inlineStr">
        <is>
          <t>N</t>
        </is>
      </c>
      <c r="O309" s="66" t="n">
        <v>95.2</v>
      </c>
      <c r="P309" s="66" t="n"/>
      <c r="Q309" s="67" t="n">
        <v>10568.8</v>
      </c>
      <c r="R309" s="62" t="inlineStr">
        <is>
          <t>derived:deal size / offer % of enlarged capital</t>
        </is>
      </c>
      <c r="S309" s="68" t="n">
        <v>0.21</v>
      </c>
      <c r="T309" s="69" t="n">
        <v>1.14</v>
      </c>
      <c r="U309" s="70" t="n">
        <v>0</v>
      </c>
      <c r="V309" s="66" t="n">
        <v>16.87</v>
      </c>
      <c r="W309" s="62" t="n"/>
      <c r="X309" s="62" t="n"/>
      <c r="Y309" s="66" t="n">
        <v>3.2</v>
      </c>
      <c r="Z309" s="62" t="inlineStr">
        <is>
          <t>lapsed</t>
        </is>
      </c>
      <c r="AA309" s="71" t="n">
        <v>0.77</v>
      </c>
      <c r="AB309" s="72" t="n">
        <v>0</v>
      </c>
      <c r="AC309" s="72" t="n">
        <v>0.77</v>
      </c>
      <c r="AD309" s="72" t="n">
        <v>0.39</v>
      </c>
      <c r="AE309" s="72" t="n">
        <v>0.39</v>
      </c>
      <c r="AF309" s="72" t="n">
        <v>1.16</v>
      </c>
      <c r="AG309" s="72" t="n">
        <v>-0.38</v>
      </c>
      <c r="AH309" s="72" t="n">
        <v>-0.38</v>
      </c>
      <c r="AI309" s="72" t="n">
        <v>0.39</v>
      </c>
      <c r="AJ309" s="72" t="n">
        <v>-2.89</v>
      </c>
      <c r="AK309" s="72" t="n">
        <v>-12.01</v>
      </c>
      <c r="AL309" s="72" t="n">
        <v>-6.6</v>
      </c>
      <c r="AM309" s="72" t="n">
        <v>-13.97</v>
      </c>
      <c r="AN309" s="72" t="n">
        <v>12.4</v>
      </c>
      <c r="AO309" s="72" t="n">
        <v>13.59</v>
      </c>
      <c r="AP309" s="62" t="inlineStr">
        <is>
          <t>Hang Seng Finance sub-index</t>
        </is>
      </c>
      <c r="AQ309" s="72" t="n">
        <v>1.16</v>
      </c>
      <c r="AR309" s="63" t="inlineStr">
        <is>
          <t>2026-08-21</t>
        </is>
      </c>
      <c r="AS309" s="64" t="n">
        <v>2387</v>
      </c>
      <c r="AT309" s="67" t="n">
        <v>524.7</v>
      </c>
      <c r="AU309" s="62" t="inlineStr">
        <is>
          <t>Y</t>
        </is>
      </c>
      <c r="AV309" s="73" t="n">
        <v>20.1</v>
      </c>
      <c r="AW309" s="73" t="n"/>
      <c r="AX309" s="73" t="n"/>
      <c r="AY309" s="73" t="n">
        <v>4.4</v>
      </c>
      <c r="AZ309" s="74" t="inlineStr">
        <is>
          <t>N</t>
        </is>
      </c>
      <c r="BA309" s="75">
        <f>IF('BBG Verify'!K309="","not filed — run on terminal",'BBG Verify'!K309)</f>
        <v/>
      </c>
      <c r="BB309" s="62" t="inlineStr">
        <is>
          <t>N/A</t>
        </is>
      </c>
      <c r="BC309" s="62" t="inlineStr">
        <is>
          <t>N/A</t>
        </is>
      </c>
      <c r="BD309" s="62" t="inlineStr">
        <is>
          <t>N/A</t>
        </is>
      </c>
      <c r="BE309" s="62" t="inlineStr">
        <is>
          <t>N/A</t>
        </is>
      </c>
      <c r="BF309" s="62" t="inlineStr">
        <is>
          <t>N/A</t>
        </is>
      </c>
      <c r="BG309" s="74" t="inlineStr">
        <is>
          <t>CCB International Capital Limited; ICBC International Capital Limited</t>
        </is>
      </c>
      <c r="BH309" s="62" t="inlineStr">
        <is>
          <t>CCB International Capital Limited; ICBC International Capital Limited</t>
        </is>
      </c>
      <c r="BI309" s="62" t="inlineStr">
        <is>
          <t>BOCI Asia Limited; CLSA Limited; Zhongtai International Securities Limited</t>
        </is>
      </c>
      <c r="BJ309" s="62" t="inlineStr">
        <is>
          <t>BOCI Asia Limited; CCB International Capital Limited; CLSA Limited; CMBC Securities Company Limited; CNI Securities Group Limited; Futu Securities International (Hong Kong) Limited; ICBC International Securities Limited; Maxa Capital Limited; Shenwan Hongyuan Securities (H.K.) Limited; Zhongtai International Securities Limited</t>
        </is>
      </c>
      <c r="BK309" s="76">
        <f>HYPERLINK("https://www1.hkexnews.hk/listedco/listconews/sehk/2024/1230/2024123000047.pdf","prospectus")</f>
        <v/>
      </c>
      <c r="BL309" s="76">
        <f>HYPERLINK("https://www1.hkexnews.hk/listedco/listconews/sehk/2025/0110/2025011001363.pdf","allotment")</f>
        <v/>
      </c>
      <c r="BM309" s="76">
        <f>HYPERLINK("https://www1.hkexnews.hk/listedco/listconews/sehk/2025/0207/2025020700893.pdf","stabilisation")</f>
        <v/>
      </c>
      <c r="BN309" s="74" t="n"/>
      <c r="BO309" s="62" t="inlineStr">
        <is>
          <t>range low: cap-only pricing — the filing publishes a Maximum Offer Price and no indicative floor · A/H: no A-share listing · cornerstone list: no cornerstone tranche in this deal</t>
        </is>
      </c>
    </row>
    <row r="310" ht="15" customHeight="1">
      <c r="A310" s="61" t="inlineStr">
        <is>
          <t>2571</t>
        </is>
      </c>
      <c r="B310" s="62" t="inlineStr">
        <is>
          <t>SAIMO</t>
        </is>
      </c>
      <c r="C310" s="62" t="inlineStr">
        <is>
          <t>賽目科技</t>
        </is>
      </c>
      <c r="D310" s="62" t="inlineStr">
        <is>
          <t>Industrials</t>
        </is>
      </c>
      <c r="E310" s="62" t="inlineStr">
        <is>
          <t>Capital goods / machinery</t>
        </is>
      </c>
      <c r="F310" s="62" t="inlineStr">
        <is>
          <t>Application Software</t>
        </is>
      </c>
      <c r="G310" s="62" t="inlineStr">
        <is>
          <t>Standard</t>
        </is>
      </c>
      <c r="H310" s="63" t="n">
        <v>45672</v>
      </c>
      <c r="I310" s="64" t="n">
        <v>433</v>
      </c>
      <c r="J310" s="62" t="inlineStr">
        <is>
          <t>gross (stated)</t>
        </is>
      </c>
      <c r="K310" s="65" t="n">
        <v>12</v>
      </c>
      <c r="L310" s="65" t="n">
        <v>12.99</v>
      </c>
      <c r="M310" s="65" t="n">
        <v>12.99</v>
      </c>
      <c r="N310" s="62" t="inlineStr">
        <is>
          <t>Y</t>
        </is>
      </c>
      <c r="O310" s="66" t="n">
        <v>100</v>
      </c>
      <c r="P310" s="66" t="n">
        <v>100</v>
      </c>
      <c r="Q310" s="67" t="n">
        <v>1732</v>
      </c>
      <c r="R310" s="62" t="inlineStr">
        <is>
          <t>derived:price x shares upon listing</t>
        </is>
      </c>
      <c r="S310" s="68" t="n">
        <v>2.66</v>
      </c>
      <c r="T310" s="69" t="n">
        <v>1.06</v>
      </c>
      <c r="U310" s="70" t="n">
        <v>34.3</v>
      </c>
      <c r="V310" s="66" t="n">
        <v>16.43</v>
      </c>
      <c r="W310" s="62" t="n"/>
      <c r="X310" s="62" t="n"/>
      <c r="Y310" s="66" t="n">
        <v>9.300000000000001</v>
      </c>
      <c r="Z310" s="62" t="inlineStr">
        <is>
          <t>lapsed (no over-allocation)</t>
        </is>
      </c>
      <c r="AA310" s="71" t="n">
        <v>1.46</v>
      </c>
      <c r="AB310" s="72" t="n">
        <v>2.39</v>
      </c>
      <c r="AC310" s="72" t="n">
        <v>-0.91</v>
      </c>
      <c r="AD310" s="72" t="n">
        <v>0.38</v>
      </c>
      <c r="AE310" s="72" t="n">
        <v>17.17</v>
      </c>
      <c r="AF310" s="72" t="n">
        <v>-4.54</v>
      </c>
      <c r="AG310" s="72" t="n">
        <v>-1.06</v>
      </c>
      <c r="AH310" s="72" t="n">
        <v>15.48</v>
      </c>
      <c r="AI310" s="72" t="n">
        <v>-5.91</v>
      </c>
      <c r="AJ310" s="72" t="n">
        <v>-2.59</v>
      </c>
      <c r="AK310" s="72" t="n">
        <v>-7.53</v>
      </c>
      <c r="AL310" s="72" t="n">
        <v>-18.23</v>
      </c>
      <c r="AM310" s="72" t="n">
        <v>-9</v>
      </c>
      <c r="AN310" s="72" t="n">
        <v>24.7</v>
      </c>
      <c r="AO310" s="72" t="n">
        <v>24.48</v>
      </c>
      <c r="AP310" s="62" t="inlineStr">
        <is>
          <t>Hang Seng Commerce &amp; Industry sub-index</t>
        </is>
      </c>
      <c r="AQ310" s="72" t="n">
        <v>16.01</v>
      </c>
      <c r="AR310" s="63" t="inlineStr">
        <is>
          <t>2026-08-20</t>
        </is>
      </c>
      <c r="AS310" s="64" t="n">
        <v>193.3</v>
      </c>
      <c r="AT310" s="67" t="n">
        <v>55.8</v>
      </c>
      <c r="AU310" s="62" t="inlineStr">
        <is>
          <t>Y</t>
        </is>
      </c>
      <c r="AV310" s="73" t="n">
        <v>31</v>
      </c>
      <c r="AW310" s="73" t="n"/>
      <c r="AX310" s="73" t="n">
        <v>33.9</v>
      </c>
      <c r="AY310" s="73" t="n">
        <v>9</v>
      </c>
      <c r="AZ310" s="74" t="inlineStr">
        <is>
          <t>N</t>
        </is>
      </c>
      <c r="BA310" s="75">
        <f>IF('BBG Verify'!K310="","not filed — run on terminal",'BBG Verify'!K310)</f>
        <v/>
      </c>
      <c r="BB310" s="62" t="inlineStr">
        <is>
          <t>N/A</t>
        </is>
      </c>
      <c r="BC310" s="62" t="inlineStr">
        <is>
          <t>N/A</t>
        </is>
      </c>
      <c r="BD310" s="62" t="inlineStr">
        <is>
          <t>N/A</t>
        </is>
      </c>
      <c r="BE310" s="62" t="inlineStr">
        <is>
          <t>N/A</t>
        </is>
      </c>
      <c r="BF310" s="62" t="inlineStr">
        <is>
          <t>N/A</t>
        </is>
      </c>
      <c r="BG310" s="74" t="n"/>
      <c r="BH310" s="62" t="inlineStr">
        <is>
          <t>CEB International Capital Corporation Limited</t>
        </is>
      </c>
      <c r="BI310" s="62" t="inlineStr">
        <is>
          <t>CEB International Capital Corporation Limited; CLSA Limited; (Hong Kong) Co., Limited; CMB International Capital Limited; CCB International Capital Limited; BOCOM International Securities Limited; SPDB International Capital Limited; Livermore Holdings Limited; China Sunrise Securities (International) Limited; Citrus Securities Limited</t>
        </is>
      </c>
      <c r="BJ310" s="62" t="inlineStr">
        <is>
          <t>Aristo Securities Limited; BOCOM International Securities Limited; CCB International Capital Limited; CEB International Capital Corporation Limited; China Galaxy International Securities (Hong Kong) Company Limited; Citrus Securities Limited; CLSA Limited; CMB International Capital Corporation Limited; China Sunrise Securities (International) Limited; ICBC International Securities Limited; Livermore Holdings Limited; SBI China Capital Financial Services Limited</t>
        </is>
      </c>
      <c r="BK310" s="76">
        <f>HYPERLINK("https://www1.hkexnews.hk/listedco/listconews/sehk/2024/1231/2024123100154.pdf","prospectus")</f>
        <v/>
      </c>
      <c r="BL310" s="76">
        <f>HYPERLINK("https://www1.hkexnews.hk/listedco/listconews/sehk/2025/0114/2025011400898.pdf","allotment")</f>
        <v/>
      </c>
      <c r="BM310" s="76">
        <f>HYPERLINK("https://www1.hkexnews.hk/listedco/listconews/sehk/2025/0210/2025021000368.pdf","stabilisation")</f>
        <v/>
      </c>
      <c r="BN310" s="74" t="n"/>
      <c r="BO310" s="62" t="inlineStr">
        <is>
          <t>price range: fixed-price offering (no indicative range) · A/H: no A-share listing · sponsor: English name not in the filing text; AAStocks 保薦人 shown · market cap: AAStocks lists HK$2,400m at listing vs HK$1,732m from price x filed share count — the filed count is kept · cornerstone list: tranche parsed (34.3% locked) but the per-investor table did not machine-parse — names are in the prospectus Cornerstone section (link on this row)</t>
        </is>
      </c>
    </row>
    <row r="311" ht="15" customHeight="1">
      <c r="A311" s="61" t="inlineStr">
        <is>
          <t>1364</t>
        </is>
      </c>
      <c r="B311" s="62" t="inlineStr">
        <is>
          <t>GUMING</t>
        </is>
      </c>
      <c r="C311" s="62" t="inlineStr">
        <is>
          <t>古茗</t>
        </is>
      </c>
      <c r="D311" s="62" t="inlineStr">
        <is>
          <t>Consumer</t>
        </is>
      </c>
      <c r="E311" s="62" t="inlineStr">
        <is>
          <t>F&amp;B chains / restaurants</t>
        </is>
      </c>
      <c r="F311" s="62" t="inlineStr">
        <is>
          <t>Beverages (Non-alcoholic)</t>
        </is>
      </c>
      <c r="G311" s="62" t="inlineStr">
        <is>
          <t>Standard</t>
        </is>
      </c>
      <c r="H311" s="63" t="n">
        <v>45700</v>
      </c>
      <c r="I311" s="64" t="n">
        <v>1813</v>
      </c>
      <c r="J311" s="62" t="inlineStr">
        <is>
          <t>gross (stated)</t>
        </is>
      </c>
      <c r="K311" s="65" t="n"/>
      <c r="L311" s="65" t="n">
        <v>9.94</v>
      </c>
      <c r="M311" s="65" t="n">
        <v>9.94</v>
      </c>
      <c r="N311" s="62" t="inlineStr">
        <is>
          <t>Y</t>
        </is>
      </c>
      <c r="O311" s="66" t="n">
        <v>100</v>
      </c>
      <c r="P311" s="66" t="n"/>
      <c r="Q311" s="67" t="n">
        <v>23421.8</v>
      </c>
      <c r="R311" s="62" t="inlineStr">
        <is>
          <t>derived:price x shares upon listing</t>
        </is>
      </c>
      <c r="S311" s="68" t="n">
        <v>194.87</v>
      </c>
      <c r="T311" s="69" t="n">
        <v>15.03</v>
      </c>
      <c r="U311" s="70" t="n">
        <v>30.51</v>
      </c>
      <c r="V311" s="66" t="n">
        <v>5.38</v>
      </c>
      <c r="W311" s="62" t="inlineStr">
        <is>
          <t>Huang River Investment Limited; Global Company Limited; Long-Z Fund I, LP; Duckling Fund, L.P; Mr. Qi; Mr. Ruan; Ms. Pan</t>
        </is>
      </c>
      <c r="X311" s="62" t="inlineStr">
        <is>
          <t>huang-river;global-company;long;duckling;mr-qi;mr-ruan;ms-pan</t>
        </is>
      </c>
      <c r="Y311" s="66" t="n">
        <v>15</v>
      </c>
      <c r="Z311" s="62" t="inlineStr">
        <is>
          <t>partial</t>
        </is>
      </c>
      <c r="AA311" s="71" t="n">
        <v>-6.44</v>
      </c>
      <c r="AB311" s="72" t="n">
        <v>0.6</v>
      </c>
      <c r="AC311" s="72" t="n">
        <v>-7</v>
      </c>
      <c r="AD311" s="72" t="n">
        <v>-2.11</v>
      </c>
      <c r="AE311" s="72" t="n">
        <v>45.07</v>
      </c>
      <c r="AF311" s="72" t="n">
        <v>157.04</v>
      </c>
      <c r="AG311" s="72" t="n">
        <v>4.63</v>
      </c>
      <c r="AH311" s="72" t="n">
        <v>55.06</v>
      </c>
      <c r="AI311" s="72" t="n">
        <v>174.73</v>
      </c>
      <c r="AJ311" s="72" t="n">
        <v>-11.51</v>
      </c>
      <c r="AK311" s="72" t="n">
        <v>33.21</v>
      </c>
      <c r="AL311" s="72" t="n">
        <v>148.82</v>
      </c>
      <c r="AM311" s="72" t="n">
        <v>46.26</v>
      </c>
      <c r="AN311" s="72" t="n">
        <v>11.86</v>
      </c>
      <c r="AO311" s="72" t="n">
        <v>8.800000000000001</v>
      </c>
      <c r="AP311" s="62" t="inlineStr">
        <is>
          <t>Hang Seng Commerce &amp; Industry sub-index</t>
        </is>
      </c>
      <c r="AQ311" s="72" t="n">
        <v>149.9</v>
      </c>
      <c r="AR311" s="63" t="inlineStr">
        <is>
          <t>2026-08-20</t>
        </is>
      </c>
      <c r="AS311" s="64" t="n">
        <v>8443.200000000001</v>
      </c>
      <c r="AT311" s="67" t="n">
        <v>1206</v>
      </c>
      <c r="AU311" s="62" t="inlineStr">
        <is>
          <t>Y</t>
        </is>
      </c>
      <c r="AV311" s="73" t="n">
        <v>19.4</v>
      </c>
      <c r="AW311" s="73" t="n">
        <v>12.3</v>
      </c>
      <c r="AX311" s="73" t="n">
        <v>15.4</v>
      </c>
      <c r="AY311" s="73" t="n">
        <v>2.8</v>
      </c>
      <c r="AZ311" s="74" t="inlineStr">
        <is>
          <t>N</t>
        </is>
      </c>
      <c r="BA311" s="75">
        <f>IF('BBG Verify'!K311="","not filed — run on terminal",'BBG Verify'!K311)</f>
        <v/>
      </c>
      <c r="BB311" s="62" t="inlineStr">
        <is>
          <t>N/A</t>
        </is>
      </c>
      <c r="BC311" s="62" t="inlineStr">
        <is>
          <t>N/A</t>
        </is>
      </c>
      <c r="BD311" s="62" t="inlineStr">
        <is>
          <t>N/A</t>
        </is>
      </c>
      <c r="BE311" s="62" t="inlineStr">
        <is>
          <t>N/A</t>
        </is>
      </c>
      <c r="BF311" s="62" t="inlineStr">
        <is>
          <t>N/A</t>
        </is>
      </c>
      <c r="BG311" s="74" t="inlineStr">
        <is>
          <t>Goldman Sachs (Asia) L.L.C; UBS Securities Hong Kong Limited; UBS AG Hong Kong Branch</t>
        </is>
      </c>
      <c r="BH311" s="62" t="inlineStr">
        <is>
          <t>UBS Securities Hong Kong Limited; Goldman Sachs (Asia) L.L.C.</t>
        </is>
      </c>
      <c r="BI311" s="62" t="inlineStr">
        <is>
          <t>Goldman Sachs (Asia) L.L.C; UBS AG Hong Kong Branch; Central, Hong Kong China International Capital Corporation Hong Kong Securities Limited; Central, Hong Kong The Hongkong and Shanghai Banking Corporation Limited; ABCI Capital Limited; BOCI Asia Limited; Central, Hong Kong CMB International Capital Limited</t>
        </is>
      </c>
      <c r="BJ311" s="62" t="inlineStr">
        <is>
          <t>ABCI Securities Company Limited; BOCI Asia Limited; China International Capital Corporation Hong Kong Securities Limited; CMB International Capital Limited; Futu Securities International (Hong Kong) Limited; Goldman Sachs (Asia) L.L.C.; The Hongkong and Shanghai Banking Corporation Limited; UBS AG Hong Kong Branch</t>
        </is>
      </c>
      <c r="BK311" s="76">
        <f>HYPERLINK("https://www1.hkexnews.hk/listedco/listconews/sehk/2025/0204/2025020400011.pdf","prospectus")</f>
        <v/>
      </c>
      <c r="BL311" s="76">
        <f>HYPERLINK("https://www1.hkexnews.hk/listedco/listconews/sehk/2025/0211/2025021100944.pdf","allotment")</f>
        <v/>
      </c>
      <c r="BM311" s="76">
        <f>HYPERLINK("https://www1.hkexnews.hk/listedco/listconews/sehk/2025/0309/2025030900015.pdf","stabilisation")</f>
        <v/>
      </c>
      <c r="BN311" s="74" t="n"/>
      <c r="BO311" s="62" t="inlineStr">
        <is>
          <t>range low: cap-only pricing — the filing publishes a Maximum Offer Price and no indicative floor · A/H: no A-share listing</t>
        </is>
      </c>
    </row>
    <row r="312" ht="15" customHeight="1">
      <c r="A312" s="61" t="inlineStr">
        <is>
          <t>2097</t>
        </is>
      </c>
      <c r="B312" s="62" t="inlineStr">
        <is>
          <t>MIXUE GROUP</t>
        </is>
      </c>
      <c r="C312" s="62" t="inlineStr">
        <is>
          <t>蜜雪集團</t>
        </is>
      </c>
      <c r="D312" s="62" t="inlineStr">
        <is>
          <t>Consumer</t>
        </is>
      </c>
      <c r="E312" s="62" t="inlineStr">
        <is>
          <t>F&amp;B chains / restaurants</t>
        </is>
      </c>
      <c r="F312" s="62" t="inlineStr">
        <is>
          <t>Beverages (Non-alcoholic)</t>
        </is>
      </c>
      <c r="G312" s="62" t="inlineStr">
        <is>
          <t>Standard</t>
        </is>
      </c>
      <c r="H312" s="63" t="n">
        <v>45719</v>
      </c>
      <c r="I312" s="64" t="n">
        <v>3455</v>
      </c>
      <c r="J312" s="62" t="inlineStr">
        <is>
          <t>gross (stated)</t>
        </is>
      </c>
      <c r="K312" s="65" t="n"/>
      <c r="L312" s="65" t="n">
        <v>202.5</v>
      </c>
      <c r="M312" s="65" t="n">
        <v>202.5</v>
      </c>
      <c r="N312" s="62" t="inlineStr">
        <is>
          <t>Y</t>
        </is>
      </c>
      <c r="O312" s="66" t="n">
        <v>100</v>
      </c>
      <c r="P312" s="66" t="n"/>
      <c r="Q312" s="67" t="n">
        <v>66827.89999999999</v>
      </c>
      <c r="R312" s="62" t="inlineStr">
        <is>
          <t>derived:deal size / offer % of enlarged capital</t>
        </is>
      </c>
      <c r="S312" s="68" t="n">
        <v>5258.21</v>
      </c>
      <c r="T312" s="69" t="n">
        <v>35.23</v>
      </c>
      <c r="U312" s="70" t="n">
        <v>45.09</v>
      </c>
      <c r="V312" s="66" t="n">
        <v>2.84</v>
      </c>
      <c r="W312" s="62" t="inlineStr">
        <is>
          <t>M&amp;G Investments; HongShan Growth; Persistence Growth Limited; HHLR Fund, L.P.; Long-Z Fund I, LP</t>
        </is>
      </c>
      <c r="X312" s="62" t="inlineStr">
        <is>
          <t>investments;hongshan;persistence;hhlr;long</t>
        </is>
      </c>
      <c r="Y312" s="66" t="n">
        <v>15</v>
      </c>
      <c r="Z312" s="62" t="inlineStr">
        <is>
          <t>full</t>
        </is>
      </c>
      <c r="AA312" s="71" t="n">
        <v>43.21</v>
      </c>
      <c r="AB312" s="72" t="n">
        <v>29.38</v>
      </c>
      <c r="AC312" s="72" t="n">
        <v>10.69</v>
      </c>
      <c r="AD312" s="72" t="n">
        <v>94.27</v>
      </c>
      <c r="AE312" s="72" t="n">
        <v>107.41</v>
      </c>
      <c r="AF312" s="72" t="n">
        <v>180.49</v>
      </c>
      <c r="AG312" s="72" t="n">
        <v>35.65</v>
      </c>
      <c r="AH312" s="72" t="n">
        <v>44.83</v>
      </c>
      <c r="AI312" s="72" t="n">
        <v>95.86</v>
      </c>
      <c r="AJ312" s="72" t="n">
        <v>89.55</v>
      </c>
      <c r="AK312" s="72" t="n">
        <v>106.47</v>
      </c>
      <c r="AL312" s="72" t="n">
        <v>178.85</v>
      </c>
      <c r="AM312" s="72" t="n">
        <v>44.15</v>
      </c>
      <c r="AN312" s="72" t="n">
        <v>0.9399999999999999</v>
      </c>
      <c r="AO312" s="72" t="n">
        <v>0.68</v>
      </c>
      <c r="AP312" s="62" t="inlineStr">
        <is>
          <t>Hang Seng Commerce &amp; Industry sub-index</t>
        </is>
      </c>
      <c r="AQ312" s="72" t="n">
        <v>14.86</v>
      </c>
      <c r="AR312" s="63" t="inlineStr">
        <is>
          <t>2026-08-21</t>
        </is>
      </c>
      <c r="AS312" s="64" t="n">
        <v>22332.7</v>
      </c>
      <c r="AT312" s="67" t="n">
        <v>3505.3</v>
      </c>
      <c r="AU312" s="62" t="inlineStr">
        <is>
          <t>Y</t>
        </is>
      </c>
      <c r="AV312" s="73" t="n">
        <v>19.1</v>
      </c>
      <c r="AW312" s="73" t="n"/>
      <c r="AX312" s="73" t="n">
        <v>12.5</v>
      </c>
      <c r="AY312" s="73" t="n">
        <v>3</v>
      </c>
      <c r="AZ312" s="74" t="inlineStr">
        <is>
          <t>N</t>
        </is>
      </c>
      <c r="BA312" s="75">
        <f>IF('BBG Verify'!K312="","not filed — run on terminal",'BBG Verify'!K312)</f>
        <v/>
      </c>
      <c r="BB312" s="62" t="inlineStr">
        <is>
          <t>N/A</t>
        </is>
      </c>
      <c r="BC312" s="62" t="inlineStr">
        <is>
          <t>N/A</t>
        </is>
      </c>
      <c r="BD312" s="62" t="inlineStr">
        <is>
          <t>N/A</t>
        </is>
      </c>
      <c r="BE312" s="62" t="inlineStr">
        <is>
          <t>N/A</t>
        </is>
      </c>
      <c r="BF312" s="62" t="inlineStr">
        <is>
          <t>N/A</t>
        </is>
      </c>
      <c r="BG312" s="74" t="inlineStr">
        <is>
          <t>Merrill Lynch (Asia Pacific) Limited; Goldman Sachs (Asia) L.L.C; UBS Securities Hong Kong Limited</t>
        </is>
      </c>
      <c r="BH312" s="62" t="inlineStr">
        <is>
          <t>UBS Securities Hong Kong Limited; Merrill Lynch (Asia Pacific) Limited; Goldman Sachs (Asia) L.L.C.</t>
        </is>
      </c>
      <c r="BI312" s="62" t="inlineStr">
        <is>
          <t>Merrill Lynch (Asia Pacific) Limited; Goldman Sachs (Asia) L.L.C; UBS AG Hong Kong Branch; Huatai Financial Holdings (Hong Kong) Limited; ICBC International Securities Limited; GF Securities (Hong Kong) Brokerage Limited; CMB International Capital Limited</t>
        </is>
      </c>
      <c r="BJ312" s="62" t="inlineStr">
        <is>
          <t>China International Capital Corporation Hong Kong Securities Limited; CMB International Capital Corporation Limited; GF Securities (Hong Kong) Brokerage Limited; Goldman Sachs (Asia) L.L.C.; Huatai Financial Holdings (Hong Kong) Limited; ICBC International Securities Limited; Merrill Lynch (Asia Pacific) Limited; UBS AG Hong Kong Branch</t>
        </is>
      </c>
      <c r="BK312" s="76">
        <f>HYPERLINK("https://www1.hkexnews.hk/listedco/listconews/sehk/2025/0221/2025022100016.htm","prospectus")</f>
        <v/>
      </c>
      <c r="BL312" s="76">
        <f>HYPERLINK("https://www1.hkexnews.hk/listedco/listconews/sehk/2025/0228/2025022801727.pdf","allotment")</f>
        <v/>
      </c>
      <c r="BM312" s="76">
        <f>HYPERLINK("https://www1.hkexnews.hk/listedco/listconews/sehk/2025/0328/2025032802276.pdf","stabilisation")</f>
        <v/>
      </c>
      <c r="BN312" s="74" t="n"/>
      <c r="BO312" s="62" t="inlineStr">
        <is>
          <t>price range: fixed-price offering (no indicative range) · range low: cap-only pricing — the filing publishes a Maximum Offer Price and no indicative floor · A/H: no A line; closest listed proxy {'code': '603711.SS', 'name': 'Xiangpiaopiao Food', 'rationale': "No A-listed freshly-made-drinks chain exists; Xiangpiaopiao is the A-share mass-market tea-drink franchise/brand play closest to Mixue's price point."}</t>
        </is>
      </c>
    </row>
    <row r="313" ht="15" customHeight="1">
      <c r="A313" s="61" t="inlineStr">
        <is>
          <t>6693</t>
        </is>
      </c>
      <c r="B313" s="62" t="inlineStr">
        <is>
          <t>CHIFENG GOLD</t>
        </is>
      </c>
      <c r="C313" s="62" t="inlineStr">
        <is>
          <t>赤峰黃金</t>
        </is>
      </c>
      <c r="D313" s="62" t="inlineStr">
        <is>
          <t>Materials/Energy</t>
        </is>
      </c>
      <c r="E313" s="62" t="inlineStr">
        <is>
          <t>Mining / metals</t>
        </is>
      </c>
      <c r="F313" s="62" t="inlineStr">
        <is>
          <t>Gold &amp; Precious Metals</t>
        </is>
      </c>
      <c r="G313" s="62" t="inlineStr">
        <is>
          <t>Standard</t>
        </is>
      </c>
      <c r="H313" s="63" t="n">
        <v>45726</v>
      </c>
      <c r="I313" s="64" t="n">
        <v>2821.5</v>
      </c>
      <c r="J313" s="62" t="inlineStr">
        <is>
          <t>gross (price x shares)</t>
        </is>
      </c>
      <c r="K313" s="65" t="n"/>
      <c r="L313" s="65" t="n">
        <v>15.83</v>
      </c>
      <c r="M313" s="65" t="n">
        <v>13.72</v>
      </c>
      <c r="N313" s="62" t="inlineStr">
        <is>
          <t>N</t>
        </is>
      </c>
      <c r="O313" s="66" t="n">
        <v>86.7</v>
      </c>
      <c r="P313" s="66" t="n"/>
      <c r="Q313" s="67" t="n">
        <v>25650.4</v>
      </c>
      <c r="R313" s="62" t="inlineStr">
        <is>
          <t>derived:price x shares upon listing</t>
        </is>
      </c>
      <c r="S313" s="68" t="n">
        <v>9.529999999999999</v>
      </c>
      <c r="T313" s="69" t="n">
        <v>3.67</v>
      </c>
      <c r="U313" s="70" t="n">
        <v>26.4</v>
      </c>
      <c r="V313" s="66" t="n">
        <v>8.1</v>
      </c>
      <c r="W313" s="62" t="inlineStr">
        <is>
          <t>International Mining Company Limited; Sparky International Company Limited</t>
        </is>
      </c>
      <c r="X313" s="62" t="inlineStr">
        <is>
          <t>mining;sparky</t>
        </is>
      </c>
      <c r="Y313" s="66" t="n">
        <v>15</v>
      </c>
      <c r="Z313" s="62" t="inlineStr">
        <is>
          <t>full</t>
        </is>
      </c>
      <c r="AA313" s="71" t="n">
        <v>0</v>
      </c>
      <c r="AB313" s="72" t="n">
        <v>0</v>
      </c>
      <c r="AC313" s="72" t="n">
        <v>0</v>
      </c>
      <c r="AD313" s="72" t="n">
        <v>2.04</v>
      </c>
      <c r="AE313" s="72" t="n">
        <v>25.51</v>
      </c>
      <c r="AF313" s="72" t="n">
        <v>110.64</v>
      </c>
      <c r="AG313" s="72" t="n">
        <v>2.04</v>
      </c>
      <c r="AH313" s="72" t="n">
        <v>25.51</v>
      </c>
      <c r="AI313" s="72" t="n">
        <v>110.64</v>
      </c>
      <c r="AJ313" s="72" t="n">
        <v>2.89</v>
      </c>
      <c r="AK313" s="72" t="n">
        <v>43.51</v>
      </c>
      <c r="AL313" s="72" t="n">
        <v>116.43</v>
      </c>
      <c r="AM313" s="72" t="n">
        <v>41.41</v>
      </c>
      <c r="AN313" s="72" t="n">
        <v>-18</v>
      </c>
      <c r="AO313" s="72" t="n">
        <v>-15.9</v>
      </c>
      <c r="AP313" s="62" t="inlineStr">
        <is>
          <t>Hang Seng Commerce &amp; Industry sub-index</t>
        </is>
      </c>
      <c r="AQ313" s="72" t="n">
        <v>234.26</v>
      </c>
      <c r="AR313" s="63" t="inlineStr">
        <is>
          <t>2026-08-21</t>
        </is>
      </c>
      <c r="AS313" s="64" t="n">
        <v>7943</v>
      </c>
      <c r="AT313" s="67" t="n">
        <v>958.7</v>
      </c>
      <c r="AU313" s="62" t="inlineStr">
        <is>
          <t>Y</t>
        </is>
      </c>
      <c r="AV313" s="73" t="n">
        <v>26.8</v>
      </c>
      <c r="AW313" s="73" t="n">
        <v>12</v>
      </c>
      <c r="AX313" s="73" t="n">
        <v>17.2</v>
      </c>
      <c r="AY313" s="73" t="n">
        <v>3.2</v>
      </c>
      <c r="AZ313" s="74" t="inlineStr">
        <is>
          <t>Y</t>
        </is>
      </c>
      <c r="BA313" s="62" t="inlineStr">
        <is>
          <t>600988.SS</t>
        </is>
      </c>
      <c r="BB313" s="72" t="n">
        <v>50.61</v>
      </c>
      <c r="BC313" s="65" t="n">
        <v>20.6635</v>
      </c>
      <c r="BD313" s="79" t="n">
        <v>0.3091</v>
      </c>
      <c r="BE313" s="77">
        <f>IF('BBG Verify'!Q313="","run on terminal",'BBG Verify'!Q313)</f>
        <v/>
      </c>
      <c r="BF313" s="77">
        <f>IF('BBG Verify'!R313="","run on terminal",'BBG Verify'!R313)</f>
        <v/>
      </c>
      <c r="BG313" s="74" t="inlineStr">
        <is>
          <t>CITIC Securities (Hong Kong) Limited</t>
        </is>
      </c>
      <c r="BH313" s="62" t="inlineStr">
        <is>
          <t>CITIC Securities (Hong Kong) Limited</t>
        </is>
      </c>
      <c r="BI313" s="62" t="inlineStr">
        <is>
          <t>Kong Securities Limited; ABCI Capital Limited; Central, Hong Kong ABCI Securities Company Limited</t>
        </is>
      </c>
      <c r="BJ313" s="62" t="inlineStr">
        <is>
          <t>ABCI Securities Company Limited; BOCI Asia Limited; CCB International Capital Limited; China International Capital Corporation Hong Kong Securities Limited; CLSA Limited; First Shanghai Securities Limited; Futu Securities International (Hong Kong) Limited; Huatai Financial Holdings (Hong Kong) Limited; ICBC International Securities Limited; Livermore Holdings Limited; Macquarie Capital Limited; Shenwan Hongyuan Securities (H.K.) Limited</t>
        </is>
      </c>
      <c r="BK313" s="76">
        <f>HYPERLINK("https://www1.hkexnews.hk/listedco/listconews/sehk/2025/0228/2025022800056.pdf","prospectus")</f>
        <v/>
      </c>
      <c r="BL313" s="76">
        <f>HYPERLINK("https://www1.hkexnews.hk/listedco/listconews/sehk/2025/0307/2025030701501.pdf","allotment")</f>
        <v/>
      </c>
      <c r="BM313" s="76">
        <f>HYPERLINK("https://www1.hkexnews.hk/listedco/listconews/sehk/2025/0406/2025040600051.pdf","stabilisation")</f>
        <v/>
      </c>
      <c r="BN313" s="74" t="n"/>
      <c r="BO313" s="62" t="inlineStr">
        <is>
          <t>range low: cap-only pricing — the filing publishes a Maximum Offer Price and no indicative floor · A/H: Mar 2025 H listing (gold miner)</t>
        </is>
      </c>
    </row>
    <row r="314" ht="15" customHeight="1">
      <c r="A314" s="61" t="inlineStr">
        <is>
          <t>2561</t>
        </is>
      </c>
      <c r="B314" s="62" t="inlineStr">
        <is>
          <t>VISEN PHARMA-B</t>
        </is>
      </c>
      <c r="C314" s="62" t="inlineStr">
        <is>
          <t>維昇藥業－Ｂ</t>
        </is>
      </c>
      <c r="D314" s="62" t="inlineStr">
        <is>
          <t>Healthcare</t>
        </is>
      </c>
      <c r="E314" s="62" t="inlineStr">
        <is>
          <t>Biotech pre-revenue (18A)</t>
        </is>
      </c>
      <c r="F314" s="62" t="inlineStr">
        <is>
          <t>Biotechnology - Pharmaceuticals</t>
        </is>
      </c>
      <c r="G314" s="62" t="inlineStr">
        <is>
          <t>18A</t>
        </is>
      </c>
      <c r="H314" s="63" t="n">
        <v>45737</v>
      </c>
      <c r="I314" s="64" t="n">
        <v>783.3</v>
      </c>
      <c r="J314" s="62" t="inlineStr">
        <is>
          <t>gross (stated)</t>
        </is>
      </c>
      <c r="K314" s="65" t="n">
        <v>68.44</v>
      </c>
      <c r="L314" s="65" t="n">
        <v>75.28</v>
      </c>
      <c r="M314" s="65" t="n">
        <v>68.8</v>
      </c>
      <c r="N314" s="62" t="inlineStr">
        <is>
          <t>N</t>
        </is>
      </c>
      <c r="O314" s="66" t="n">
        <v>91.40000000000001</v>
      </c>
      <c r="P314" s="66" t="n">
        <v>5.3</v>
      </c>
      <c r="Q314" s="67" t="n">
        <v>8509.299999999999</v>
      </c>
      <c r="R314" s="62" t="inlineStr">
        <is>
          <t>aastocks:上市市值 at the struck price</t>
        </is>
      </c>
      <c r="S314" s="68" t="n">
        <v>72.64</v>
      </c>
      <c r="T314" s="69" t="n">
        <v>1.65</v>
      </c>
      <c r="U314" s="70" t="n">
        <v>65</v>
      </c>
      <c r="V314" s="66" t="n">
        <v>3.22</v>
      </c>
      <c r="W314" s="62" t="inlineStr">
        <is>
          <t>Limited, Morgan Stanley Asia Limited; Vivo Plenilune IX Limited, Morgan Stanley Asia Limited; Suzhou Harvest International Co., Limited; Jefferies Hong Kong Limited; Cosmic Clover Limited; Logos Opportunities Fund II LP; CRF Investment Holdings Company Limited</t>
        </is>
      </c>
      <c r="X314" s="62" t="inlineStr">
        <is>
          <t>morgan;vivo;suzhou;jefferies;cosmic;logos;crf</t>
        </is>
      </c>
      <c r="Y314" s="66" t="n">
        <v>15</v>
      </c>
      <c r="Z314" s="62" t="inlineStr">
        <is>
          <t>lapsed</t>
        </is>
      </c>
      <c r="AA314" s="71" t="n">
        <v>0</v>
      </c>
      <c r="AB314" s="72" t="n">
        <v>0</v>
      </c>
      <c r="AC314" s="72" t="n">
        <v>0</v>
      </c>
      <c r="AD314" s="72" t="n">
        <v>-16.79</v>
      </c>
      <c r="AE314" s="72" t="n">
        <v>-30.81</v>
      </c>
      <c r="AF314" s="72" t="n">
        <v>-30.96</v>
      </c>
      <c r="AG314" s="72" t="n">
        <v>-16.79</v>
      </c>
      <c r="AH314" s="72" t="n">
        <v>-30.81</v>
      </c>
      <c r="AI314" s="72" t="n">
        <v>-30.96</v>
      </c>
      <c r="AJ314" s="72" t="n">
        <v>-17.6</v>
      </c>
      <c r="AK314" s="72" t="n">
        <v>-31.78</v>
      </c>
      <c r="AL314" s="72" t="n">
        <v>-44.95</v>
      </c>
      <c r="AM314" s="72" t="n">
        <v>-35.57</v>
      </c>
      <c r="AN314" s="72" t="n">
        <v>0.97</v>
      </c>
      <c r="AO314" s="72" t="n">
        <v>4.76</v>
      </c>
      <c r="AP314" s="62" t="inlineStr">
        <is>
          <t>China Biotech ETF (HS biotech proxy)</t>
        </is>
      </c>
      <c r="AQ314" s="72" t="n">
        <v>-71.40000000000001</v>
      </c>
      <c r="AR314" s="63" t="inlineStr">
        <is>
          <t>2026-08-20</t>
        </is>
      </c>
      <c r="AS314" s="64" t="n">
        <v>2.2</v>
      </c>
      <c r="AT314" s="67" t="n">
        <v>-229.2</v>
      </c>
      <c r="AU314" s="62" t="inlineStr">
        <is>
          <t>N</t>
        </is>
      </c>
      <c r="AV314" s="62" t="inlineStr">
        <is>
          <t>n/m</t>
        </is>
      </c>
      <c r="AW314" s="73" t="n"/>
      <c r="AX314" s="73" t="n"/>
      <c r="AY314" s="73" t="n">
        <v>3867.9</v>
      </c>
      <c r="AZ314" s="74" t="inlineStr">
        <is>
          <t>N</t>
        </is>
      </c>
      <c r="BA314" s="75">
        <f>IF('BBG Verify'!K314="","not filed — run on terminal",'BBG Verify'!K314)</f>
        <v/>
      </c>
      <c r="BB314" s="62" t="inlineStr">
        <is>
          <t>N/A</t>
        </is>
      </c>
      <c r="BC314" s="62" t="inlineStr">
        <is>
          <t>N/A</t>
        </is>
      </c>
      <c r="BD314" s="62" t="inlineStr">
        <is>
          <t>N/A</t>
        </is>
      </c>
      <c r="BE314" s="62" t="inlineStr">
        <is>
          <t>N/A</t>
        </is>
      </c>
      <c r="BF314" s="62" t="inlineStr">
        <is>
          <t>N/A</t>
        </is>
      </c>
      <c r="BG314" s="74" t="inlineStr">
        <is>
          <t>Morgan Stanley Asia Limited; Jefferies Hong Kong Limited</t>
        </is>
      </c>
      <c r="BH314" s="62" t="inlineStr">
        <is>
          <t>Jefferies Hong Kong Limited; Morgan Stanley Asia Limited</t>
        </is>
      </c>
      <c r="BI314" s="62" t="inlineStr">
        <is>
          <t>CLSA Limited; Futu Securities International (Hong Kong) Limited; Guoyuan Securities Brokerage (Hong Kong) Limited; Jefferies Hong Kong Limited; Morgan Stanley Asia Limited; Patrons Securities Limited</t>
        </is>
      </c>
      <c r="BJ314" s="62" t="inlineStr">
        <is>
          <t>CLSA Limited; Futu Securities International (Hong Kong) Limited; Guoyuan Securities Brokerage (Hong Kong) Limited; Jefferies Hong Kong Limited; Morgan Stanley Asia Limited; Patrons Securities Limited; Ruibang Securities Limited; Soochow Securities International Brokerage Limited</t>
        </is>
      </c>
      <c r="BK314" s="76">
        <f>HYPERLINK("https://www1.hkexnews.hk/listedco/listconews/sehk/2025/0313/2025031300017.pdf","prospectus")</f>
        <v/>
      </c>
      <c r="BL314" s="76">
        <f>HYPERLINK("https://www1.hkexnews.hk/listedco/listconews/sehk/2025/0320/2025032001490.pdf","allotment")</f>
        <v/>
      </c>
      <c r="BM314" s="76">
        <f>HYPERLINK("https://www1.hkexnews.hk/listedco/listconews/sehk/2025/0417/2025041701661.pdf","stabilisation")</f>
        <v/>
      </c>
      <c r="BN314" s="74" t="n"/>
      <c r="BO314" s="62" t="inlineStr">
        <is>
          <t>P/E: n/m — loss-making at IPO (use P/S) · A/H: no A-share listing · market cap: estimate from deal size / offer % of enlarged capital disagreed with the published listing cap — published figure adopted · P/S: 3,868x on HK$2.2m revenue — effectively pre-revenue; the multiple is shown for completeness, not comparability</t>
        </is>
      </c>
    </row>
    <row r="315" ht="15" customHeight="1">
      <c r="A315" s="61" t="inlineStr">
        <is>
          <t>2610</t>
        </is>
      </c>
      <c r="B315" s="62" t="inlineStr">
        <is>
          <t>NANSHAN AL INTL</t>
        </is>
      </c>
      <c r="C315" s="62" t="inlineStr">
        <is>
          <t>南山鋁業國際</t>
        </is>
      </c>
      <c r="D315" s="62" t="inlineStr">
        <is>
          <t>Materials/Energy</t>
        </is>
      </c>
      <c r="E315" s="62" t="inlineStr">
        <is>
          <t>Mining / metals</t>
        </is>
      </c>
      <c r="F315" s="62" t="inlineStr">
        <is>
          <t>Aluminum</t>
        </is>
      </c>
      <c r="G315" s="62" t="inlineStr">
        <is>
          <t>Standard</t>
        </is>
      </c>
      <c r="H315" s="63" t="n">
        <v>45741</v>
      </c>
      <c r="I315" s="64" t="n">
        <v>2347.1</v>
      </c>
      <c r="J315" s="62" t="inlineStr">
        <is>
          <t>gross (stated)</t>
        </is>
      </c>
      <c r="K315" s="65" t="n">
        <v>26.6</v>
      </c>
      <c r="L315" s="65" t="n">
        <v>26.6</v>
      </c>
      <c r="M315" s="65" t="n">
        <v>26.6</v>
      </c>
      <c r="N315" s="62" t="inlineStr">
        <is>
          <t>Y</t>
        </is>
      </c>
      <c r="O315" s="66" t="n">
        <v>100</v>
      </c>
      <c r="P315" s="66" t="n"/>
      <c r="Q315" s="67" t="n">
        <v>15647.1</v>
      </c>
      <c r="R315" s="62" t="inlineStr">
        <is>
          <t>derived:price x shares upon listing</t>
        </is>
      </c>
      <c r="S315" s="68" t="n">
        <v>3.89</v>
      </c>
      <c r="T315" s="69" t="n">
        <v>1.67</v>
      </c>
      <c r="U315" s="70" t="n">
        <v>39.82</v>
      </c>
      <c r="V315" s="66" t="n">
        <v>9.029999999999999</v>
      </c>
      <c r="W315" s="62" t="inlineStr">
        <is>
          <t>Glencore International AG; PT Indika Energy Tbk</t>
        </is>
      </c>
      <c r="X315" s="62" t="inlineStr">
        <is>
          <t>glencore;pt</t>
        </is>
      </c>
      <c r="Y315" s="66" t="n">
        <v>15</v>
      </c>
      <c r="Z315" s="62" t="inlineStr">
        <is>
          <t>partial</t>
        </is>
      </c>
      <c r="AA315" s="71" t="n">
        <v>-5.08</v>
      </c>
      <c r="AB315" s="72" t="n">
        <v>0</v>
      </c>
      <c r="AC315" s="72" t="n">
        <v>-5.08</v>
      </c>
      <c r="AD315" s="72" t="n">
        <v>-8.83</v>
      </c>
      <c r="AE315" s="72" t="n">
        <v>-8.65</v>
      </c>
      <c r="AF315" s="72" t="n">
        <v>16.54</v>
      </c>
      <c r="AG315" s="72" t="n">
        <v>-3.95</v>
      </c>
      <c r="AH315" s="72" t="n">
        <v>-3.76</v>
      </c>
      <c r="AI315" s="72" t="n">
        <v>22.78</v>
      </c>
      <c r="AJ315" s="72" t="n">
        <v>-4.83</v>
      </c>
      <c r="AK315" s="72" t="n">
        <v>2.12</v>
      </c>
      <c r="AL315" s="72" t="n">
        <v>20.59</v>
      </c>
      <c r="AM315" s="72" t="n">
        <v>4.35</v>
      </c>
      <c r="AN315" s="72" t="n">
        <v>-10.77</v>
      </c>
      <c r="AO315" s="72" t="n">
        <v>-8.109999999999999</v>
      </c>
      <c r="AP315" s="62" t="inlineStr">
        <is>
          <t>Hang Seng Commerce &amp; Industry sub-index</t>
        </is>
      </c>
      <c r="AQ315" s="72" t="n">
        <v>0.08</v>
      </c>
      <c r="AR315" s="63" t="inlineStr">
        <is>
          <t>2026-08-20</t>
        </is>
      </c>
      <c r="AS315" s="64" t="n">
        <v>5286.7</v>
      </c>
      <c r="AT315" s="67" t="n">
        <v>956.8</v>
      </c>
      <c r="AU315" s="62" t="inlineStr">
        <is>
          <t>Y</t>
        </is>
      </c>
      <c r="AV315" s="73" t="n">
        <v>16.4</v>
      </c>
      <c r="AW315" s="73" t="n">
        <v>3.5</v>
      </c>
      <c r="AX315" s="73" t="n">
        <v>4.7</v>
      </c>
      <c r="AY315" s="73" t="n">
        <v>3</v>
      </c>
      <c r="AZ315" s="74" t="inlineStr">
        <is>
          <t>N</t>
        </is>
      </c>
      <c r="BA315" s="75">
        <f>IF('BBG Verify'!K315="","not filed — run on terminal",'BBG Verify'!K315)</f>
        <v/>
      </c>
      <c r="BB315" s="62" t="inlineStr">
        <is>
          <t>N/A</t>
        </is>
      </c>
      <c r="BC315" s="62" t="inlineStr">
        <is>
          <t>N/A</t>
        </is>
      </c>
      <c r="BD315" s="62" t="inlineStr">
        <is>
          <t>N/A</t>
        </is>
      </c>
      <c r="BE315" s="62" t="inlineStr">
        <is>
          <t>N/A</t>
        </is>
      </c>
      <c r="BF315" s="62" t="inlineStr">
        <is>
          <t>N/A</t>
        </is>
      </c>
      <c r="BG315" s="74" t="n"/>
      <c r="BH315" s="62" t="inlineStr">
        <is>
          <t>Huatai Financial Holdings (Hong Kong) Limited</t>
        </is>
      </c>
      <c r="BI315" s="62" t="inlineStr">
        <is>
          <t>Huatai Financial Holdings (Hong Kong) Limited; CMB International Capital Limited; China International Capital Corporation Hong Kong Securities Limited; CLSA Limited; Daiwa Capital Markets Hong Kong Limited; DBS Asia Capital Limited; ICBC International Securities Limited; UOB Kay Hian (Hong Kong) Limited; China Galaxy International Securities (Hong Kong) Co., Limited; A VICT Global Asset Management Limited; BOCI Asia Limited; Futu Securities International (Hong Kong) Limited</t>
        </is>
      </c>
      <c r="BJ315" s="62" t="inlineStr">
        <is>
          <t>AVICT Global Asset Management Limited; BOCI Asia Limited; China Galaxy International Securities (Hong Kong) Company Limited; China International Capital Corporation Hong Kong Securities Limited; CLSA Limited; CMB International Capital Limited; DBS Asia Capital Limited; Daiwa Capital Markets Hong Kong Limited; Futu Securities International (Hong Kong) Limited; Huatai Financial Holdings (Hong Kong) Limited; ICBC International Securities Limited; Phillip Securities (Hong Kong) Limited</t>
        </is>
      </c>
      <c r="BK315" s="76">
        <f>HYPERLINK("https://www1.hkexnews.hk/listedco/listconews/sehk/2025/0317/2025031700019.pdf","prospectus")</f>
        <v/>
      </c>
      <c r="BL315" s="76">
        <f>HYPERLINK("https://www1.hkexnews.hk/listedco/listconews/sehk/2025/0324/2025032401216.pdf","allotment")</f>
        <v/>
      </c>
      <c r="BM315" s="76">
        <f>HYPERLINK("https://www1.hkexnews.hk/listedco/listconews/sehk/2025/0422/2025042201921.pdf","stabilisation")</f>
        <v/>
      </c>
      <c r="BN315" s="74" t="n"/>
      <c r="BO315" s="62" t="inlineStr">
        <is>
          <t>price range: no usable lo&lt;hi range to position the final price in · A/H: no A-share listing · sponsor: English name not in the filing text; AAStocks 保薦人 shown</t>
        </is>
      </c>
    </row>
    <row r="316" ht="15" customHeight="1">
      <c r="A316" s="61" t="inlineStr">
        <is>
          <t>2569</t>
        </is>
      </c>
      <c r="B316" s="62" t="inlineStr">
        <is>
          <t>SOFT INTL</t>
        </is>
      </c>
      <c r="C316" s="62" t="inlineStr">
        <is>
          <t>舒寶國際</t>
        </is>
      </c>
      <c r="D316" s="62" t="inlineStr">
        <is>
          <t>Materials/Energy</t>
        </is>
      </c>
      <c r="E316" s="62" t="inlineStr">
        <is>
          <t>Chemicals</t>
        </is>
      </c>
      <c r="F316" s="62" t="inlineStr">
        <is>
          <t>Personal Products</t>
        </is>
      </c>
      <c r="G316" s="62" t="inlineStr">
        <is>
          <t>Standard</t>
        </is>
      </c>
      <c r="H316" s="63" t="n">
        <v>45743</v>
      </c>
      <c r="I316" s="64" t="n">
        <v>127.5</v>
      </c>
      <c r="J316" s="62" t="inlineStr">
        <is>
          <t>gross (stated)</t>
        </is>
      </c>
      <c r="K316" s="65" t="n">
        <v>0.5</v>
      </c>
      <c r="L316" s="65" t="n">
        <v>0.6</v>
      </c>
      <c r="M316" s="65" t="n">
        <v>0.51</v>
      </c>
      <c r="N316" s="62" t="inlineStr">
        <is>
          <t>N</t>
        </is>
      </c>
      <c r="O316" s="66" t="n">
        <v>85</v>
      </c>
      <c r="P316" s="66" t="n">
        <v>10</v>
      </c>
      <c r="Q316" s="67" t="n">
        <v>510</v>
      </c>
      <c r="R316" s="62" t="inlineStr">
        <is>
          <t>derived:price x shares upon listing</t>
        </is>
      </c>
      <c r="S316" s="68" t="n">
        <v>167.09</v>
      </c>
      <c r="T316" s="69" t="n">
        <v>1.02</v>
      </c>
      <c r="U316" s="70" t="n">
        <v>0</v>
      </c>
      <c r="V316" s="66" t="n">
        <v>25</v>
      </c>
      <c r="W316" s="62" t="n"/>
      <c r="X316" s="62" t="n"/>
      <c r="Y316" s="66" t="n">
        <v>7.5</v>
      </c>
      <c r="Z316" s="62" t="n"/>
      <c r="AA316" s="71" t="n">
        <v>31.37</v>
      </c>
      <c r="AB316" s="72" t="n">
        <v>-3.92</v>
      </c>
      <c r="AC316" s="72" t="n">
        <v>36.73</v>
      </c>
      <c r="AD316" s="72" t="n">
        <v>-1.96</v>
      </c>
      <c r="AE316" s="72" t="n">
        <v>23.53</v>
      </c>
      <c r="AF316" s="72" t="n">
        <v>162.75</v>
      </c>
      <c r="AG316" s="72" t="n">
        <v>-25.37</v>
      </c>
      <c r="AH316" s="72" t="n">
        <v>-5.97</v>
      </c>
      <c r="AI316" s="72" t="n">
        <v>100.01</v>
      </c>
      <c r="AJ316" s="72" t="n">
        <v>1.99</v>
      </c>
      <c r="AK316" s="72" t="n">
        <v>31.31</v>
      </c>
      <c r="AL316" s="72" t="n">
        <v>165.32</v>
      </c>
      <c r="AM316" s="72" t="n">
        <v>2.28</v>
      </c>
      <c r="AN316" s="72" t="n">
        <v>-7.78</v>
      </c>
      <c r="AO316" s="72" t="n">
        <v>-8.25</v>
      </c>
      <c r="AP316" s="62" t="inlineStr">
        <is>
          <t>Hang Seng Commerce &amp; Industry sub-index</t>
        </is>
      </c>
      <c r="AQ316" s="72" t="n">
        <v>142.16</v>
      </c>
      <c r="AR316" s="63" t="inlineStr">
        <is>
          <t>2026-08-20</t>
        </is>
      </c>
      <c r="AS316" s="64" t="n">
        <v>720</v>
      </c>
      <c r="AT316" s="67" t="n">
        <v>64.8</v>
      </c>
      <c r="AU316" s="62" t="inlineStr">
        <is>
          <t>Y</t>
        </is>
      </c>
      <c r="AV316" s="73" t="n">
        <v>7.9</v>
      </c>
      <c r="AW316" s="73" t="n"/>
      <c r="AX316" s="73" t="n">
        <v>17.6</v>
      </c>
      <c r="AY316" s="73" t="n">
        <v>0.7</v>
      </c>
      <c r="AZ316" s="74" t="inlineStr">
        <is>
          <t>N</t>
        </is>
      </c>
      <c r="BA316" s="75">
        <f>IF('BBG Verify'!K316="","not filed — run on terminal",'BBG Verify'!K316)</f>
        <v/>
      </c>
      <c r="BB316" s="62" t="inlineStr">
        <is>
          <t>N/A</t>
        </is>
      </c>
      <c r="BC316" s="62" t="inlineStr">
        <is>
          <t>N/A</t>
        </is>
      </c>
      <c r="BD316" s="62" t="inlineStr">
        <is>
          <t>N/A</t>
        </is>
      </c>
      <c r="BE316" s="62" t="inlineStr">
        <is>
          <t>N/A</t>
        </is>
      </c>
      <c r="BF316" s="62" t="inlineStr">
        <is>
          <t>N/A</t>
        </is>
      </c>
      <c r="BG316" s="74" t="n"/>
      <c r="BH316" s="62" t="inlineStr">
        <is>
          <t>Sunny Fortune Capital Limited</t>
        </is>
      </c>
      <c r="BI316" s="62" t="inlineStr">
        <is>
          <t>CMBC Securities Company Limited; Central, Hong Kong Hung Sing Securities Limited; Yuet Sheung International Securities Limited; Central, Hong Kong Zhongtai International Securities Limited; Central, Hong Kong ZMF Asset Management Limited</t>
        </is>
      </c>
      <c r="BJ316" s="62" t="inlineStr">
        <is>
          <t>CMBC Securities Company Limited; China Sunrise Securities (International) Limited; Hung Sing Securities Limited; Sunny Fortune Capital Limited; Yuet Sheung International Securities Limited; Yue Xiu Securities Company Limited; Zhongtai International Securities Limited; ZMF Asset Management Limited</t>
        </is>
      </c>
      <c r="BK316" s="76">
        <f>HYPERLINK("https://www1.hkexnews.hk/listedco/listconews/sehk/2025/0319/2025031900013.pdf","prospectus")</f>
        <v/>
      </c>
      <c r="BL316" s="76">
        <f>HYPERLINK("https://www1.hkexnews.hk/listedco/listconews/sehk/2025/0326/2025032601370.pdf","allotment")</f>
        <v/>
      </c>
      <c r="BM316" s="62" t="n"/>
      <c r="BN316" s="74" t="n"/>
      <c r="BO316" s="62" t="inlineStr">
        <is>
          <t>greenshoe: end-of-stabilisation notice not located · A/H: no A-share listing · sponsor: English name not in the filing text; AAStocks 保薦人 shown · cornerstone list: no cornerstone tranche in this deal</t>
        </is>
      </c>
    </row>
    <row r="317" ht="15" customHeight="1">
      <c r="A317" s="61" t="inlineStr">
        <is>
          <t>2625</t>
        </is>
      </c>
      <c r="B317" s="62" t="inlineStr">
        <is>
          <t>JIANGSU HORIZON</t>
        </is>
      </c>
      <c r="C317" s="62" t="inlineStr">
        <is>
          <t>江蘇宏信</t>
        </is>
      </c>
      <c r="D317" s="62" t="inlineStr">
        <is>
          <t>Consumer</t>
        </is>
      </c>
      <c r="E317" s="62" t="inlineStr">
        <is>
          <t>Retail / distribution</t>
        </is>
      </c>
      <c r="F317" s="62" t="inlineStr">
        <is>
          <t>Hypermarkets, Supermarkets &amp; Convenience Stores</t>
        </is>
      </c>
      <c r="G317" s="62" t="inlineStr">
        <is>
          <t>Standard</t>
        </is>
      </c>
      <c r="H317" s="63" t="n">
        <v>45747</v>
      </c>
      <c r="I317" s="64" t="n">
        <v>133.91</v>
      </c>
      <c r="J317" s="62" t="inlineStr">
        <is>
          <t>gross (stated)</t>
        </is>
      </c>
      <c r="K317" s="65" t="n">
        <v>2.5</v>
      </c>
      <c r="L317" s="65" t="n">
        <v>3</v>
      </c>
      <c r="M317" s="65" t="n">
        <v>2.5</v>
      </c>
      <c r="N317" s="62" t="inlineStr">
        <is>
          <t>N</t>
        </is>
      </c>
      <c r="O317" s="66" t="n">
        <v>83.3</v>
      </c>
      <c r="P317" s="66" t="n">
        <v>0</v>
      </c>
      <c r="Q317" s="67" t="n">
        <v>535.6</v>
      </c>
      <c r="R317" s="62" t="inlineStr">
        <is>
          <t>derived:price x shares upon listing</t>
        </is>
      </c>
      <c r="S317" s="68" t="n">
        <v>46.96</v>
      </c>
      <c r="T317" s="69" t="n">
        <v>0.93</v>
      </c>
      <c r="U317" s="70" t="n">
        <v>28.83</v>
      </c>
      <c r="V317" s="66" t="n">
        <v>17.79</v>
      </c>
      <c r="W317" s="62" t="inlineStr">
        <is>
          <t>Xu Shihe (許世和); Yin Qin (印勤); Hu Qinghua (胡慶華); Zhu Zheng (朱政); Zhan Mingyu (詹明玉); Jiang Xianyue (江顯月); Yao Xinhua (姚新華); Guo Xia (郭霞); Lu Shouping (陸壽萍); Kan Chuanling (闞傳玲); Huang Haiyan (黃海燕); Zhen Yizuo (殷義左); Shen Zhigen (沈志艮); Xia Zhonglin (夏忠林)</t>
        </is>
      </c>
      <c r="X317" s="62" t="inlineStr">
        <is>
          <t>xu-shihe;yin;hu-qinghua;zhu-zheng;zhan;jiang-xianyue;yao-xinhua;guo-xia;lu-shouping;kan;huang-haiyan;zhen;shen-zhigen;xia-zhonglin</t>
        </is>
      </c>
      <c r="Y317" s="66" t="n">
        <v>7.65</v>
      </c>
      <c r="Z317" s="62" t="n"/>
      <c r="AA317" s="71" t="n">
        <v>0</v>
      </c>
      <c r="AB317" s="72" t="n">
        <v>37.6</v>
      </c>
      <c r="AC317" s="72" t="n">
        <v>-27.33</v>
      </c>
      <c r="AD317" s="72" t="n">
        <v>-14.4</v>
      </c>
      <c r="AE317" s="72" t="n">
        <v>33.6</v>
      </c>
      <c r="AF317" s="72" t="n">
        <v>11.2</v>
      </c>
      <c r="AG317" s="72" t="n">
        <v>-14.4</v>
      </c>
      <c r="AH317" s="72" t="n">
        <v>33.6</v>
      </c>
      <c r="AI317" s="72" t="n">
        <v>11.2</v>
      </c>
      <c r="AJ317" s="72" t="n">
        <v>1.44</v>
      </c>
      <c r="AK317" s="72" t="n">
        <v>38.29</v>
      </c>
      <c r="AL317" s="72" t="n">
        <v>14.93</v>
      </c>
      <c r="AM317" s="72" t="n">
        <v>36.36</v>
      </c>
      <c r="AN317" s="72" t="n">
        <v>-4.69</v>
      </c>
      <c r="AO317" s="72" t="n">
        <v>-2.76</v>
      </c>
      <c r="AP317" s="62" t="inlineStr">
        <is>
          <t>Hang Seng Commerce &amp; Industry sub-index</t>
        </is>
      </c>
      <c r="AQ317" s="72" t="n">
        <v>-20.4</v>
      </c>
      <c r="AR317" s="63" t="inlineStr">
        <is>
          <t>2026-08-21</t>
        </is>
      </c>
      <c r="AS317" s="64" t="n">
        <v>1542.2</v>
      </c>
      <c r="AT317" s="67" t="n">
        <v>56.8</v>
      </c>
      <c r="AU317" s="62" t="inlineStr">
        <is>
          <t>Y</t>
        </is>
      </c>
      <c r="AV317" s="73" t="n">
        <v>9.4</v>
      </c>
      <c r="AW317" s="73" t="n">
        <v>8.6</v>
      </c>
      <c r="AX317" s="73" t="n">
        <v>9.9</v>
      </c>
      <c r="AY317" s="73" t="n">
        <v>0.3</v>
      </c>
      <c r="AZ317" s="74" t="inlineStr">
        <is>
          <t>N</t>
        </is>
      </c>
      <c r="BA317" s="75">
        <f>IF('BBG Verify'!K317="","not filed — run on terminal",'BBG Verify'!K317)</f>
        <v/>
      </c>
      <c r="BB317" s="62" t="inlineStr">
        <is>
          <t>N/A</t>
        </is>
      </c>
      <c r="BC317" s="62" t="inlineStr">
        <is>
          <t>N/A</t>
        </is>
      </c>
      <c r="BD317" s="62" t="inlineStr">
        <is>
          <t>N/A</t>
        </is>
      </c>
      <c r="BE317" s="62" t="inlineStr">
        <is>
          <t>N/A</t>
        </is>
      </c>
      <c r="BF317" s="62" t="inlineStr">
        <is>
          <t>N/A</t>
        </is>
      </c>
      <c r="BG317" s="74" t="inlineStr">
        <is>
          <t>Red Solar Capital Limited</t>
        </is>
      </c>
      <c r="BH317" s="62" t="inlineStr">
        <is>
          <t>Red Solar Capital Limited</t>
        </is>
      </c>
      <c r="BI317" s="62" t="inlineStr">
        <is>
          <t>Red Solar Capital Limited; CCB International Capital Limited</t>
        </is>
      </c>
      <c r="BJ317" s="62" t="inlineStr">
        <is>
          <t>CCB International Capital Limited; CMBC Securities Company Limited; CMB International Capital Limited; Eddid Securities and Futures Limited; Innovax Securities Limited; Long Bridge HK Limited; Red Solar Capital Limited; Star River Securities Limited</t>
        </is>
      </c>
      <c r="BK317" s="76">
        <f>HYPERLINK("https://www1.hkexnews.hk/listedco/listconews/sehk/2025/0321/2025032100009.pdf","prospectus")</f>
        <v/>
      </c>
      <c r="BL317" s="76">
        <f>HYPERLINK("https://www1.hkexnews.hk/listedco/listconews/sehk/2025/0328/2025032802386.pdf","allotment")</f>
        <v/>
      </c>
      <c r="BM317" s="62" t="n"/>
      <c r="BN317" s="74" t="n"/>
      <c r="BO317" s="62" t="inlineStr">
        <is>
          <t>greenshoe: end-of-stabilisation notice not located · A/H: no A-share listing</t>
        </is>
      </c>
    </row>
    <row r="318" ht="15" customHeight="1">
      <c r="A318" s="61" t="inlineStr">
        <is>
          <t>3677</t>
        </is>
      </c>
      <c r="B318" s="62" t="inlineStr">
        <is>
          <t>ZENERGY</t>
        </is>
      </c>
      <c r="C318" s="62" t="inlineStr">
        <is>
          <t>正力新能</t>
        </is>
      </c>
      <c r="D318" s="62" t="inlineStr">
        <is>
          <t>Industrials</t>
        </is>
      </c>
      <c r="E318" s="62" t="inlineStr">
        <is>
          <t>Batteries / energy storage</t>
        </is>
      </c>
      <c r="F318" s="62" t="inlineStr">
        <is>
          <t>Battery Products</t>
        </is>
      </c>
      <c r="G318" s="62" t="inlineStr">
        <is>
          <t>Standard</t>
        </is>
      </c>
      <c r="H318" s="63" t="n">
        <v>45761</v>
      </c>
      <c r="I318" s="64" t="n">
        <v>1005.1</v>
      </c>
      <c r="J318" s="62" t="inlineStr">
        <is>
          <t>gross (stated)</t>
        </is>
      </c>
      <c r="K318" s="65" t="n"/>
      <c r="L318" s="65" t="n">
        <v>8.27</v>
      </c>
      <c r="M318" s="65" t="n">
        <v>8.27</v>
      </c>
      <c r="N318" s="62" t="inlineStr">
        <is>
          <t>Y</t>
        </is>
      </c>
      <c r="O318" s="66" t="n">
        <v>100</v>
      </c>
      <c r="P318" s="66" t="n"/>
      <c r="Q318" s="67" t="n">
        <v>20745.3</v>
      </c>
      <c r="R318" s="62" t="inlineStr">
        <is>
          <t>derived:price x shares upon listing</t>
        </is>
      </c>
      <c r="S318" s="68" t="n">
        <v>3.51</v>
      </c>
      <c r="T318" s="69" t="n">
        <v>1.13</v>
      </c>
      <c r="U318" s="70" t="n">
        <v>62</v>
      </c>
      <c r="V318" s="66" t="n">
        <v>1.84</v>
      </c>
      <c r="W318" s="62" t="n"/>
      <c r="X318" s="62" t="n"/>
      <c r="Y318" s="66" t="n">
        <v>15</v>
      </c>
      <c r="Z318" s="62" t="inlineStr">
        <is>
          <t>lapsed (no over-allocation)</t>
        </is>
      </c>
      <c r="AA318" s="71" t="n">
        <v>1.45</v>
      </c>
      <c r="AB318" s="72" t="n">
        <v>2.3</v>
      </c>
      <c r="AC318" s="72" t="n">
        <v>-0.83</v>
      </c>
      <c r="AD318" s="72" t="n">
        <v>0.73</v>
      </c>
      <c r="AE318" s="72" t="n">
        <v>13.78</v>
      </c>
      <c r="AF318" s="72" t="n">
        <v>26.72</v>
      </c>
      <c r="AG318" s="72" t="n">
        <v>-0.71</v>
      </c>
      <c r="AH318" s="72" t="n">
        <v>12.15</v>
      </c>
      <c r="AI318" s="72" t="n">
        <v>24.91</v>
      </c>
      <c r="AJ318" s="72" t="n">
        <v>-3.66</v>
      </c>
      <c r="AK318" s="72" t="n">
        <v>3.8</v>
      </c>
      <c r="AL318" s="72" t="n">
        <v>13.94</v>
      </c>
      <c r="AM318" s="72" t="n">
        <v>4.43</v>
      </c>
      <c r="AN318" s="72" t="n">
        <v>9.98</v>
      </c>
      <c r="AO318" s="72" t="n">
        <v>7.72</v>
      </c>
      <c r="AP318" s="62" t="inlineStr">
        <is>
          <t>Hang Seng Commerce &amp; Industry sub-index</t>
        </is>
      </c>
      <c r="AQ318" s="72" t="n">
        <v>-35.61</v>
      </c>
      <c r="AR318" s="63" t="inlineStr">
        <is>
          <t>2026-08-21</t>
        </is>
      </c>
      <c r="AS318" s="64" t="n">
        <v>4577.8</v>
      </c>
      <c r="AT318" s="67" t="n">
        <v>-648.9</v>
      </c>
      <c r="AU318" s="62" t="inlineStr">
        <is>
          <t>N</t>
        </is>
      </c>
      <c r="AV318" s="62" t="inlineStr">
        <is>
          <t>n/m</t>
        </is>
      </c>
      <c r="AW318" s="73" t="n">
        <v>197.7</v>
      </c>
      <c r="AX318" s="73" t="n">
        <v>14.3</v>
      </c>
      <c r="AY318" s="73" t="n">
        <v>4.5</v>
      </c>
      <c r="AZ318" s="74" t="inlineStr">
        <is>
          <t>N</t>
        </is>
      </c>
      <c r="BA318" s="75">
        <f>IF('BBG Verify'!K318="","not filed — run on terminal",'BBG Verify'!K318)</f>
        <v/>
      </c>
      <c r="BB318" s="62" t="inlineStr">
        <is>
          <t>N/A</t>
        </is>
      </c>
      <c r="BC318" s="62" t="inlineStr">
        <is>
          <t>N/A</t>
        </is>
      </c>
      <c r="BD318" s="62" t="inlineStr">
        <is>
          <t>N/A</t>
        </is>
      </c>
      <c r="BE318" s="62" t="inlineStr">
        <is>
          <t>N/A</t>
        </is>
      </c>
      <c r="BF318" s="62" t="inlineStr">
        <is>
          <t>N/A</t>
        </is>
      </c>
      <c r="BG318" s="74" t="n"/>
      <c r="BH318" s="62" t="inlineStr">
        <is>
          <t>China International Capital Corporation Hong Kong Securities Limited; CMB International Capital Limited</t>
        </is>
      </c>
      <c r="BI318" s="62" t="inlineStr">
        <is>
          <t>China International Capital Corporation Hong Kong Securities Limited; CMB International Capital Limited; CCB International Capital Limited; China Industrial Securities International Capital Limited; Huafu International Securities Limited; ICBC International Securities Limited; CEB International Capital Corporation Limited; ABCI Capital Limited; Patrons Securities Limited</t>
        </is>
      </c>
      <c r="BJ318" s="62" t="inlineStr">
        <is>
          <t>ABCI Securities Company Limited; BOCI Asia Limited; CCB International Capital Limited; CEB International Capital Corporation Limited; China International Capital Corporation Hong Kong Securities Limited; China Industrial Securities International Capital Limited; CMB International Capital Limited; Futu Securities International (Hong Kong) Limited; Huafu International Securities Limited; ICBC International Securities Limited; Livermore Holdings Limited; Patrons Securities Limited</t>
        </is>
      </c>
      <c r="BK318" s="76">
        <f>HYPERLINK("https://www1.hkexnews.hk/listedco/listconews/sehk/2025/0403/2025040300013.pdf","prospectus")</f>
        <v/>
      </c>
      <c r="BL318" s="76">
        <f>HYPERLINK("https://www1.hkexnews.hk/listedco/listconews/sehk/2025/0411/2025041101645.pdf","allotment")</f>
        <v/>
      </c>
      <c r="BM318" s="76">
        <f>HYPERLINK("https://www1.hkexnews.hk/listedco/listconews/sehk/2025/0509/2025050900261.pdf","stabilisation")</f>
        <v/>
      </c>
      <c r="BN318" s="74" t="n"/>
      <c r="BO318" s="62" t="inlineStr">
        <is>
          <t>P/E: n/m — loss-making at IPO (use P/S) · range low: cap-only pricing — the filing publishes a Maximum Offer Price and no indicative floor · A/H: no A-share listing · sponsor: English name not in the filing text; AAStocks 保薦人 shown · cornerstone list: tranche parsed (62.0% locked) but the per-investor table did not machine-parse — names are in the prospectus Cornerstone section (link on this row)</t>
        </is>
      </c>
    </row>
    <row r="319" ht="15" customHeight="1">
      <c r="A319" s="61" t="inlineStr">
        <is>
          <t>9606</t>
        </is>
      </c>
      <c r="B319" s="62" t="inlineStr">
        <is>
          <t>DUALITYBIO-B</t>
        </is>
      </c>
      <c r="C319" s="62" t="inlineStr">
        <is>
          <t>映恩生物－Ｂ</t>
        </is>
      </c>
      <c r="D319" s="62" t="inlineStr">
        <is>
          <t>Healthcare</t>
        </is>
      </c>
      <c r="E319" s="62" t="inlineStr">
        <is>
          <t>Biotech pre-revenue (18A)</t>
        </is>
      </c>
      <c r="F319" s="62" t="inlineStr">
        <is>
          <t>Biotechnology - Pharmaceuticals</t>
        </is>
      </c>
      <c r="G319" s="62" t="inlineStr">
        <is>
          <t>18A</t>
        </is>
      </c>
      <c r="H319" s="63" t="n">
        <v>45762</v>
      </c>
      <c r="I319" s="64" t="n">
        <v>1639.64</v>
      </c>
      <c r="J319" s="62" t="inlineStr">
        <is>
          <t>gross (stated)</t>
        </is>
      </c>
      <c r="K319" s="65" t="n">
        <v>94.59999999999999</v>
      </c>
      <c r="L319" s="65" t="n">
        <v>103.2</v>
      </c>
      <c r="M319" s="65" t="n">
        <v>94.59999999999999</v>
      </c>
      <c r="N319" s="62" t="inlineStr">
        <is>
          <t>N</t>
        </is>
      </c>
      <c r="O319" s="66" t="n">
        <v>91.7</v>
      </c>
      <c r="P319" s="66" t="n">
        <v>0</v>
      </c>
      <c r="Q319" s="67" t="n">
        <v>7868.4</v>
      </c>
      <c r="R319" s="62" t="inlineStr">
        <is>
          <t>prospectus:stated market capitalisation</t>
        </is>
      </c>
      <c r="S319" s="68" t="n">
        <v>115.14</v>
      </c>
      <c r="T319" s="69" t="n">
        <v>13.52</v>
      </c>
      <c r="U319" s="70" t="n">
        <v>30.82</v>
      </c>
      <c r="V319" s="66" t="n">
        <v>14.42</v>
      </c>
      <c r="W319" s="62" t="inlineStr">
        <is>
          <t>LAV Star Limited; Suzhou Suchuang; E Fund Mangement; BioNTech SE; TruMed; E Fund Management Co., Ltd; DualityBio Ltd; LAV Fund VI, L.P; King Star Med LP</t>
        </is>
      </c>
      <c r="X319" s="62" t="inlineStr">
        <is>
          <t>lav;suzhou;mangement;biontech;trumed;fund-management;dualitybio;king</t>
        </is>
      </c>
      <c r="Y319" s="66" t="n">
        <v>15</v>
      </c>
      <c r="Z319" s="62" t="inlineStr">
        <is>
          <t>full</t>
        </is>
      </c>
      <c r="AA319" s="71" t="n">
        <v>116.7</v>
      </c>
      <c r="AB319" s="72" t="n">
        <v>91.33</v>
      </c>
      <c r="AC319" s="72" t="n">
        <v>13.26</v>
      </c>
      <c r="AD319" s="72" t="n">
        <v>137.84</v>
      </c>
      <c r="AE319" s="72" t="n">
        <v>111.42</v>
      </c>
      <c r="AF319" s="72" t="n">
        <v>255.18</v>
      </c>
      <c r="AG319" s="72" t="n">
        <v>9.76</v>
      </c>
      <c r="AH319" s="72" t="n">
        <v>-2.44</v>
      </c>
      <c r="AI319" s="72" t="n">
        <v>63.9</v>
      </c>
      <c r="AJ319" s="72" t="n">
        <v>133.61</v>
      </c>
      <c r="AK319" s="72" t="n">
        <v>107.06</v>
      </c>
      <c r="AL319" s="72" t="n">
        <v>221.6</v>
      </c>
      <c r="AM319" s="72" t="n">
        <v>-7.44</v>
      </c>
      <c r="AN319" s="72" t="n">
        <v>4.36</v>
      </c>
      <c r="AO319" s="72" t="n">
        <v>5</v>
      </c>
      <c r="AP319" s="62" t="inlineStr">
        <is>
          <t>China Biotech ETF (HS biotech proxy)</t>
        </is>
      </c>
      <c r="AQ319" s="72" t="n">
        <v>98.41</v>
      </c>
      <c r="AR319" s="63" t="inlineStr">
        <is>
          <t>2026-08-20</t>
        </is>
      </c>
      <c r="AS319" s="64" t="n">
        <v>2135.4</v>
      </c>
      <c r="AT319" s="67" t="n">
        <v>-1155.5</v>
      </c>
      <c r="AU319" s="62" t="inlineStr">
        <is>
          <t>N</t>
        </is>
      </c>
      <c r="AV319" s="62" t="inlineStr">
        <is>
          <t>n/m</t>
        </is>
      </c>
      <c r="AW319" s="73" t="n"/>
      <c r="AX319" s="73" t="n"/>
      <c r="AY319" s="73" t="n">
        <v>3.7</v>
      </c>
      <c r="AZ319" s="74" t="inlineStr">
        <is>
          <t>N</t>
        </is>
      </c>
      <c r="BA319" s="75">
        <f>IF('BBG Verify'!K319="","not filed — run on terminal",'BBG Verify'!K319)</f>
        <v/>
      </c>
      <c r="BB319" s="62" t="inlineStr">
        <is>
          <t>N/A</t>
        </is>
      </c>
      <c r="BC319" s="62" t="inlineStr">
        <is>
          <t>N/A</t>
        </is>
      </c>
      <c r="BD319" s="62" t="inlineStr">
        <is>
          <t>N/A</t>
        </is>
      </c>
      <c r="BE319" s="62" t="inlineStr">
        <is>
          <t>N/A</t>
        </is>
      </c>
      <c r="BF319" s="62" t="inlineStr">
        <is>
          <t>N/A</t>
        </is>
      </c>
      <c r="BG319" s="74" t="inlineStr">
        <is>
          <t>Morgan Stanley Asia Limited</t>
        </is>
      </c>
      <c r="BH319" s="62" t="inlineStr">
        <is>
          <t>Jefferies Hong Kong Limited; Morgan Stanley Asia Limited; CITIC Securities (Hong Kong) Limited</t>
        </is>
      </c>
      <c r="BI319" s="62" t="inlineStr">
        <is>
          <t>Morgan Stanley Asia Limited; China International Capital Corporation Hong Kong Securities Limited; CMB International Capital Limited; ICBC International Securities Limited; BOCI Asia Limited; GF Securities (Hong Kong) Brokerage Limited; ABCI Capital Limited</t>
        </is>
      </c>
      <c r="BJ319" s="62" t="inlineStr">
        <is>
          <t>ABCI Securities Company Limited; BOCI Asia Limited; China International Capital Corporation Hong Kong Securities Limited; CLSA Limited; CMB International Capital Corporation Limited; GF Securities (Hong Kong) Brokerage Limited; ICBC International Securities Limited; Jefferies Hong Kong Limited; Morgan Stanley Asia Limited</t>
        </is>
      </c>
      <c r="BK319" s="76">
        <f>HYPERLINK("https://www1.hkexnews.hk/listedco/listconews/sehk/2025/0407/2025040700009.pdf","prospectus")</f>
        <v/>
      </c>
      <c r="BL319" s="76">
        <f>HYPERLINK("https://www1.hkexnews.hk/listedco/listconews/sehk/2025/0414/2025041401384.pdf","allotment")</f>
        <v/>
      </c>
      <c r="BM319" s="76">
        <f>HYPERLINK("https://www1.hkexnews.hk/listedco/listconews/sehk/2025/0512/2025051200137.pdf","stabilisation")</f>
        <v/>
      </c>
      <c r="BN319" s="74" t="n"/>
      <c r="BO319" s="62" t="inlineStr">
        <is>
          <t>P/E: n/m — loss-making at IPO (use P/S) · A/H: no A-share listing</t>
        </is>
      </c>
    </row>
    <row r="320" ht="15" customHeight="1">
      <c r="A320" s="61" t="inlineStr">
        <is>
          <t>1333</t>
        </is>
      </c>
      <c r="B320" s="62" t="inlineStr">
        <is>
          <t>BRETON</t>
        </is>
      </c>
      <c r="C320" s="62" t="inlineStr">
        <is>
          <t>博雷頓</t>
        </is>
      </c>
      <c r="D320" s="62" t="inlineStr">
        <is>
          <t>Industrials</t>
        </is>
      </c>
      <c r="E320" s="62" t="inlineStr">
        <is>
          <t>Capital goods / machinery</t>
        </is>
      </c>
      <c r="F320" s="62" t="inlineStr">
        <is>
          <t>Industrial Machinery</t>
        </is>
      </c>
      <c r="G320" s="62" t="inlineStr">
        <is>
          <t>Standard</t>
        </is>
      </c>
      <c r="H320" s="63" t="n">
        <v>45784</v>
      </c>
      <c r="I320" s="64" t="n">
        <v>234</v>
      </c>
      <c r="J320" s="62" t="inlineStr">
        <is>
          <t>gross (stated)</t>
        </is>
      </c>
      <c r="K320" s="65" t="n"/>
      <c r="L320" s="65" t="n">
        <v>18</v>
      </c>
      <c r="M320" s="65" t="n">
        <v>18</v>
      </c>
      <c r="N320" s="62" t="inlineStr">
        <is>
          <t>Y</t>
        </is>
      </c>
      <c r="O320" s="66" t="n">
        <v>100</v>
      </c>
      <c r="P320" s="66" t="n"/>
      <c r="Q320" s="67" t="n">
        <v>6833.7</v>
      </c>
      <c r="R320" s="62" t="inlineStr">
        <is>
          <t>derived:price x shares upon listing</t>
        </is>
      </c>
      <c r="S320" s="68" t="n">
        <v>198.72</v>
      </c>
      <c r="T320" s="78">
        <f>IF('BBG Verify'!E320="","not filed — run on terminal",'BBG Verify'!E320)</f>
        <v/>
      </c>
      <c r="U320" s="70" t="n">
        <v>22.7</v>
      </c>
      <c r="V320" s="66" t="n">
        <v>2.65</v>
      </c>
      <c r="W320" s="62" t="inlineStr">
        <is>
          <t>Changfeng Growth Equity Fund</t>
        </is>
      </c>
      <c r="X320" s="62" t="inlineStr">
        <is>
          <t>changfeng</t>
        </is>
      </c>
      <c r="Y320" s="66" t="n">
        <v>14.23</v>
      </c>
      <c r="Z320" s="62" t="n"/>
      <c r="AA320" s="71" t="n">
        <v>38.33</v>
      </c>
      <c r="AB320" s="72" t="n">
        <v>61.11</v>
      </c>
      <c r="AC320" s="72" t="n">
        <v>-14.14</v>
      </c>
      <c r="AD320" s="72" t="n">
        <v>31.11</v>
      </c>
      <c r="AE320" s="72" t="n">
        <v>79.44</v>
      </c>
      <c r="AF320" s="72" t="n">
        <v>53.33</v>
      </c>
      <c r="AG320" s="72" t="n">
        <v>-5.22</v>
      </c>
      <c r="AH320" s="72" t="n">
        <v>29.72</v>
      </c>
      <c r="AI320" s="72" t="n">
        <v>10.84</v>
      </c>
      <c r="AJ320" s="72" t="n">
        <v>27.73</v>
      </c>
      <c r="AK320" s="72" t="n">
        <v>75.65000000000001</v>
      </c>
      <c r="AL320" s="72" t="n">
        <v>46.9</v>
      </c>
      <c r="AM320" s="72" t="n">
        <v>25.23</v>
      </c>
      <c r="AN320" s="72" t="n">
        <v>3.79</v>
      </c>
      <c r="AO320" s="72" t="n">
        <v>4.49</v>
      </c>
      <c r="AP320" s="62" t="inlineStr">
        <is>
          <t>Hang Seng Commerce &amp; Industry sub-index</t>
        </is>
      </c>
      <c r="AQ320" s="72" t="n">
        <v>-40.39</v>
      </c>
      <c r="AR320" s="63" t="inlineStr">
        <is>
          <t>2026-08-20</t>
        </is>
      </c>
      <c r="AS320" s="64" t="n">
        <v>401</v>
      </c>
      <c r="AT320" s="67" t="n">
        <v>-302</v>
      </c>
      <c r="AU320" s="62" t="inlineStr">
        <is>
          <t>N</t>
        </is>
      </c>
      <c r="AV320" s="62" t="inlineStr">
        <is>
          <t>n/m</t>
        </is>
      </c>
      <c r="AW320" s="73" t="n"/>
      <c r="AX320" s="73" t="n"/>
      <c r="AY320" s="73" t="n">
        <v>17</v>
      </c>
      <c r="AZ320" s="74" t="inlineStr">
        <is>
          <t>N</t>
        </is>
      </c>
      <c r="BA320" s="75">
        <f>IF('BBG Verify'!K320="","not filed — run on terminal",'BBG Verify'!K320)</f>
        <v/>
      </c>
      <c r="BB320" s="62" t="inlineStr">
        <is>
          <t>N/A</t>
        </is>
      </c>
      <c r="BC320" s="62" t="inlineStr">
        <is>
          <t>N/A</t>
        </is>
      </c>
      <c r="BD320" s="62" t="inlineStr">
        <is>
          <t>N/A</t>
        </is>
      </c>
      <c r="BE320" s="62" t="inlineStr">
        <is>
          <t>N/A</t>
        </is>
      </c>
      <c r="BF320" s="62" t="inlineStr">
        <is>
          <t>N/A</t>
        </is>
      </c>
      <c r="BG320" s="74" t="inlineStr">
        <is>
          <t>CMB International Capital Limited</t>
        </is>
      </c>
      <c r="BH320" s="62" t="inlineStr">
        <is>
          <t>China International Capital Corporation Hong Kong Securities Limited; CMB International Capital Corporation Limited</t>
        </is>
      </c>
      <c r="BI320" s="62" t="inlineStr">
        <is>
          <t>CCB International Capital Limited; China Galaxy International Securities (Hong Kong) Company Limited; China International Capital Corporation Hong Kong Securities Limited; Citrus Securities Limited; CMB International Capital Corporation Limited; SPDB International Capital Limited</t>
        </is>
      </c>
      <c r="BJ320" s="62" t="inlineStr">
        <is>
          <t>CCB International Capital Limited; China Galaxy International Securities (Hong Kong) Company Limited; China International Capital Corporation Hong Kong Securities Limited; Citrus Securities Limited; CMB International Capital Corporation Limited; SPDB International Capital Limited; TradeGo Markets Limited</t>
        </is>
      </c>
      <c r="BK320" s="76">
        <f>HYPERLINK("https://www1.hkexnews.hk/listedco/listconews/sehk/2025/0425/2025042500055.pdf","prospectus")</f>
        <v/>
      </c>
      <c r="BL320" s="76">
        <f>HYPERLINK("https://www1.hkexnews.hk/listedco/listconews/sehk/2025/0506/2025050602875.pdf","allotment")</f>
        <v/>
      </c>
      <c r="BM320" s="62" t="n"/>
      <c r="BN320" s="74" t="n"/>
      <c r="BO320" s="62" t="inlineStr">
        <is>
          <t>intl sub: parsed 0.92x rejected — implausible for a deal struck at the cap with the public tranche 199x subscribed (a percentage read as a multiple); BBG Verify CP037 fills this on the terminal · P/E: n/m — loss-making at IPO (use P/S) · greenshoe: end-of-stabilisation notice not located · range low: cap-only pricing — the filing publishes a Maximum Offer Price and no indicative floor · A/H: no A-share listing</t>
        </is>
      </c>
    </row>
    <row r="321" ht="15" customHeight="1">
      <c r="A321" s="61" t="inlineStr">
        <is>
          <t>2865</t>
        </is>
      </c>
      <c r="B321" s="62" t="inlineStr">
        <is>
          <t>DRINDA</t>
        </is>
      </c>
      <c r="C321" s="62" t="inlineStr">
        <is>
          <t>鈞達股份</t>
        </is>
      </c>
      <c r="D321" s="62" t="inlineStr">
        <is>
          <t>Industrials</t>
        </is>
      </c>
      <c r="E321" s="62" t="inlineStr">
        <is>
          <t>Solar / wind supply chain</t>
        </is>
      </c>
      <c r="F321" s="62" t="inlineStr">
        <is>
          <t>Battery Products</t>
        </is>
      </c>
      <c r="G321" s="62" t="inlineStr">
        <is>
          <t>Standard</t>
        </is>
      </c>
      <c r="H321" s="63" t="n">
        <v>45785</v>
      </c>
      <c r="I321" s="64" t="n">
        <v>1405</v>
      </c>
      <c r="J321" s="62" t="inlineStr">
        <is>
          <t>gross (price x shares)</t>
        </is>
      </c>
      <c r="K321" s="65" t="n">
        <v>20.4</v>
      </c>
      <c r="L321" s="65" t="n">
        <v>28.6</v>
      </c>
      <c r="M321" s="65" t="n">
        <v>22.15</v>
      </c>
      <c r="N321" s="62" t="inlineStr">
        <is>
          <t>N</t>
        </is>
      </c>
      <c r="O321" s="66" t="n">
        <v>77.40000000000001</v>
      </c>
      <c r="P321" s="66" t="n">
        <v>21.3</v>
      </c>
      <c r="Q321" s="67" t="n">
        <v>6480.7</v>
      </c>
      <c r="R321" s="62" t="inlineStr">
        <is>
          <t>derived:price x shares upon listing</t>
        </is>
      </c>
      <c r="S321" s="68" t="n">
        <v>3.5</v>
      </c>
      <c r="T321" s="69" t="n">
        <v>1.08</v>
      </c>
      <c r="U321" s="70" t="n">
        <v>37.8</v>
      </c>
      <c r="V321" s="66" t="n">
        <v>13.48</v>
      </c>
      <c r="W321" s="62" t="inlineStr">
        <is>
          <t>Zhuhai Gokin New Energy Investment Co., Ltd; Modern Direct Investment New Energy Technology Co., Limited; GF Securities</t>
        </is>
      </c>
      <c r="X321" s="62" t="inlineStr">
        <is>
          <t>zhuhai;modern;gf</t>
        </is>
      </c>
      <c r="Y321" s="66" t="n">
        <v>7.6</v>
      </c>
      <c r="Z321" s="62" t="inlineStr">
        <is>
          <t>lapsed (no over-allocation)</t>
        </is>
      </c>
      <c r="AA321" s="71" t="n">
        <v>20.09</v>
      </c>
      <c r="AB321" s="72" t="n">
        <v>0.23</v>
      </c>
      <c r="AC321" s="72" t="n">
        <v>19.81</v>
      </c>
      <c r="AD321" s="72" t="n">
        <v>3.61</v>
      </c>
      <c r="AE321" s="72" t="n">
        <v>8.130000000000001</v>
      </c>
      <c r="AF321" s="72" t="n">
        <v>-2.48</v>
      </c>
      <c r="AG321" s="72" t="n">
        <v>-13.72</v>
      </c>
      <c r="AH321" s="72" t="n">
        <v>-9.960000000000001</v>
      </c>
      <c r="AI321" s="72" t="n">
        <v>-18.79</v>
      </c>
      <c r="AJ321" s="72" t="n">
        <v>0.51</v>
      </c>
      <c r="AK321" s="72" t="n">
        <v>4.34</v>
      </c>
      <c r="AL321" s="72" t="n">
        <v>-9.83</v>
      </c>
      <c r="AM321" s="72" t="n">
        <v>-13.02</v>
      </c>
      <c r="AN321" s="72" t="n">
        <v>3.79</v>
      </c>
      <c r="AO321" s="72" t="n">
        <v>3.06</v>
      </c>
      <c r="AP321" s="62" t="inlineStr">
        <is>
          <t>Hang Seng Commerce &amp; Industry sub-index</t>
        </is>
      </c>
      <c r="AQ321" s="72" t="n">
        <v>-24.6</v>
      </c>
      <c r="AR321" s="63" t="inlineStr">
        <is>
          <t>2026-08-20</t>
        </is>
      </c>
      <c r="AS321" s="64" t="n">
        <v>2006.3</v>
      </c>
      <c r="AT321" s="67" t="n">
        <v>-275.6</v>
      </c>
      <c r="AU321" s="62" t="inlineStr">
        <is>
          <t>N</t>
        </is>
      </c>
      <c r="AV321" s="62" t="inlineStr">
        <is>
          <t>n/m</t>
        </is>
      </c>
      <c r="AW321" s="73" t="n"/>
      <c r="AX321" s="73" t="n"/>
      <c r="AY321" s="73" t="n">
        <v>3.2</v>
      </c>
      <c r="AZ321" s="74" t="inlineStr">
        <is>
          <t>Y</t>
        </is>
      </c>
      <c r="BA321" s="62" t="inlineStr">
        <is>
          <t>002865.SZ</t>
        </is>
      </c>
      <c r="BB321" s="72" t="n">
        <v>99.26000000000001</v>
      </c>
      <c r="BC321" s="65" t="n">
        <v>44.1352</v>
      </c>
      <c r="BD321" s="79" t="n">
        <v>1.9481</v>
      </c>
      <c r="BE321" s="77">
        <f>IF('BBG Verify'!Q321="","run on terminal",'BBG Verify'!Q321)</f>
        <v/>
      </c>
      <c r="BF321" s="77">
        <f>IF('BBG Verify'!R321="","run on terminal",'BBG Verify'!R321)</f>
        <v/>
      </c>
      <c r="BG321" s="74" t="inlineStr">
        <is>
          <t>Huatai Financial Holdings (Hong Kong) Limited; CMB International Capital Limited; Deutsche Securities Asia Limited</t>
        </is>
      </c>
      <c r="BH321" s="62" t="inlineStr">
        <is>
          <t>Huatai Financial Holdings (Hong Kong) Limited; Deutsche Securities Asia Limited; CMB International Capital Corporation Limited</t>
        </is>
      </c>
      <c r="BI321" s="62" t="inlineStr">
        <is>
          <t>Huatai Financial Holdings (Hong Kong) Limited; CMB International Capital Limited; Deutsche Bank AG, Hong Kong Branch; CLSA Limited; China International Capital Corporation Hong Kong Securities Limited; SDICS International Securities (Hong Kong) Limited; Patrons Securities Limited; Futu Securities International (Hong Kong) Limited; Fosun International Securities Limited; BOCI Asia Limited; CCB International Capital Limited; ICBC International Securities Limited</t>
        </is>
      </c>
      <c r="BJ321" s="62" t="inlineStr">
        <is>
          <t>BOCI Asia Limited; CCB International Capital Limited; China International Capital Corporation Hong Kong Securities Limited; CLSA Limited; CMB International Capital Corporation Limited; Deutsche Bank AG, Hong Kong Branch; Fortune (HK) Securities Limited; Fosun International Securities Limited; GF Securities (Hong Kong) Brokerage Limited; Huatai Financial Holdings (Hong Kong) Limited; ICBC International Securities Limited; Patrons Securities Limited</t>
        </is>
      </c>
      <c r="BK321" s="76">
        <f>HYPERLINK("https://www1.hkexnews.hk/listedco/listconews/sehk/2025/0428/2025042800051.pdf","prospectus")</f>
        <v/>
      </c>
      <c r="BL321" s="76">
        <f>HYPERLINK("https://www1.hkexnews.hk/listedco/listconews/sehk/2025/0507/2025050702202.pdf","allotment")</f>
        <v/>
      </c>
      <c r="BM321" s="76">
        <f>HYPERLINK("https://www1.hkexnews.hk/listedco/listconews/sehk/2025/0602/2025060200082.pdf","stabilisation")</f>
        <v/>
      </c>
      <c r="BN321" s="74" t="n"/>
      <c r="BO321" s="62" t="inlineStr">
        <is>
          <t>P/E: n/m — loss-making at IPO (use P/S) · A/H: May 2025 H listing (TOPCon solar cells)</t>
        </is>
      </c>
    </row>
    <row r="322" ht="15" customHeight="1">
      <c r="A322" s="61" t="inlineStr">
        <is>
          <t>2589</t>
        </is>
      </c>
      <c r="B322" s="62" t="inlineStr">
        <is>
          <t>AUNTEA JENNY</t>
        </is>
      </c>
      <c r="C322" s="62" t="inlineStr">
        <is>
          <t>滬上阿姨</t>
        </is>
      </c>
      <c r="D322" s="62" t="inlineStr">
        <is>
          <t>Consumer</t>
        </is>
      </c>
      <c r="E322" s="62" t="inlineStr">
        <is>
          <t>F&amp;B chains / restaurants</t>
        </is>
      </c>
      <c r="F322" s="62" t="inlineStr">
        <is>
          <t>Beverages (Non-alcoholic)</t>
        </is>
      </c>
      <c r="G322" s="62" t="inlineStr">
        <is>
          <t>Standard</t>
        </is>
      </c>
      <c r="H322" s="63" t="n">
        <v>45785</v>
      </c>
      <c r="I322" s="64" t="n">
        <v>272.8</v>
      </c>
      <c r="J322" s="62" t="inlineStr">
        <is>
          <t>gross (price x shares)</t>
        </is>
      </c>
      <c r="K322" s="65" t="n"/>
      <c r="L322" s="65" t="n">
        <v>113.12</v>
      </c>
      <c r="M322" s="65" t="n">
        <v>113.12</v>
      </c>
      <c r="N322" s="62" t="inlineStr">
        <is>
          <t>Y</t>
        </is>
      </c>
      <c r="O322" s="66" t="n">
        <v>100</v>
      </c>
      <c r="P322" s="66" t="n"/>
      <c r="Q322" s="67" t="n">
        <v>10492.3</v>
      </c>
      <c r="R322" s="62" t="inlineStr">
        <is>
          <t>derived:deal size / offer % of enlarged capital</t>
        </is>
      </c>
      <c r="S322" s="68" t="n">
        <v>3616.83</v>
      </c>
      <c r="T322" s="69" t="n">
        <v>2.57</v>
      </c>
      <c r="U322" s="70" t="n">
        <v>30.73</v>
      </c>
      <c r="V322" s="66" t="n">
        <v>1.8</v>
      </c>
      <c r="W322" s="62" t="inlineStr">
        <is>
          <t>Infore Holding</t>
        </is>
      </c>
      <c r="X322" s="62" t="inlineStr">
        <is>
          <t>infore</t>
        </is>
      </c>
      <c r="Y322" s="66" t="n">
        <v>15</v>
      </c>
      <c r="Z322" s="62" t="inlineStr">
        <is>
          <t>full</t>
        </is>
      </c>
      <c r="AA322" s="71" t="n">
        <v>40.03</v>
      </c>
      <c r="AB322" s="72" t="n">
        <v>68.48999999999999</v>
      </c>
      <c r="AC322" s="72" t="n">
        <v>-16.89</v>
      </c>
      <c r="AD322" s="72" t="n">
        <v>12.89</v>
      </c>
      <c r="AE322" s="72" t="n">
        <v>9.619999999999999</v>
      </c>
      <c r="AF322" s="72" t="n">
        <v>21.38</v>
      </c>
      <c r="AG322" s="72" t="n">
        <v>-19.38</v>
      </c>
      <c r="AH322" s="72" t="n">
        <v>-21.72</v>
      </c>
      <c r="AI322" s="72" t="n">
        <v>-13.32</v>
      </c>
      <c r="AJ322" s="72" t="n">
        <v>9.789999999999999</v>
      </c>
      <c r="AK322" s="72" t="n">
        <v>5.83</v>
      </c>
      <c r="AL322" s="72" t="n">
        <v>14.03</v>
      </c>
      <c r="AM322" s="72" t="n">
        <v>-24.78</v>
      </c>
      <c r="AN322" s="72" t="n">
        <v>3.79</v>
      </c>
      <c r="AO322" s="72" t="n">
        <v>3.06</v>
      </c>
      <c r="AP322" s="62" t="inlineStr">
        <is>
          <t>Hang Seng Commerce &amp; Industry sub-index</t>
        </is>
      </c>
      <c r="AQ322" s="72" t="n">
        <v>-27.51</v>
      </c>
      <c r="AR322" s="63" t="inlineStr">
        <is>
          <t>2026-08-20</t>
        </is>
      </c>
      <c r="AS322" s="64" t="n">
        <v>3613</v>
      </c>
      <c r="AT322" s="67" t="n">
        <v>361.8</v>
      </c>
      <c r="AU322" s="62" t="inlineStr">
        <is>
          <t>Y</t>
        </is>
      </c>
      <c r="AV322" s="73" t="n">
        <v>29</v>
      </c>
      <c r="AW322" s="73" t="n">
        <v>45.8</v>
      </c>
      <c r="AX322" s="73" t="n">
        <v>15.2</v>
      </c>
      <c r="AY322" s="73" t="n">
        <v>2.9</v>
      </c>
      <c r="AZ322" s="74" t="inlineStr">
        <is>
          <t>N</t>
        </is>
      </c>
      <c r="BA322" s="75">
        <f>IF('BBG Verify'!K322="","not filed — run on terminal",'BBG Verify'!K322)</f>
        <v/>
      </c>
      <c r="BB322" s="62" t="inlineStr">
        <is>
          <t>N/A</t>
        </is>
      </c>
      <c r="BC322" s="62" t="inlineStr">
        <is>
          <t>N/A</t>
        </is>
      </c>
      <c r="BD322" s="62" t="inlineStr">
        <is>
          <t>N/A</t>
        </is>
      </c>
      <c r="BE322" s="62" t="inlineStr">
        <is>
          <t>N/A</t>
        </is>
      </c>
      <c r="BF322" s="62" t="inlineStr">
        <is>
          <t>N/A</t>
        </is>
      </c>
      <c r="BG322" s="74" t="inlineStr">
        <is>
          <t>CITIC Securities (Hong Kong) Limited; Haitong International Capital Limited; Central, Hong Kong Orient Capital (Hong Kong) Limited</t>
        </is>
      </c>
      <c r="BH322" s="62" t="inlineStr">
        <is>
          <t>Haitong International Capital Limited; CITIC Securities (Hong Kong) Limited; Orient Capital (Hong Kong) Limited</t>
        </is>
      </c>
      <c r="BI322" s="62" t="inlineStr">
        <is>
          <t>CLSA Limited; Orient Securities (Hong Kong) Limited; ICBC International Securities Limited; China Merchants Securities (HK) Co., Limited; Central, Hong Kong CMBC Securities Company Limited; Central, Hong Kong Morton Securities Limited; Wanchai, Hong Kong Soochow Securities International Brokerage Limited; Tiger Brokers (HK) Global Limited</t>
        </is>
      </c>
      <c r="BJ322" s="62" t="inlineStr">
        <is>
          <t>CLSA Limited; CMBC Securities Company Limited; China Merchants Securities (HK) Company Limited; Haitong International Securities Company Limited; ICBC International Securities Limited; Morton Securities Limited; Orient Securities (Hong Kong) Limited; Soochow Securities International Brokerage Limited; Tiger Brokers (HK) Global Limited</t>
        </is>
      </c>
      <c r="BK322" s="76">
        <f>HYPERLINK("https://www1.hkexnews.hk/listedco/listconews/sehk/2025/0428/2025042800055.pdf","prospectus")</f>
        <v/>
      </c>
      <c r="BL322" s="76">
        <f>HYPERLINK("https://www1.hkexnews.hk/listedco/listconews/sehk/2025/0507/2025050702204.pdf","allotment")</f>
        <v/>
      </c>
      <c r="BM322" s="76">
        <f>HYPERLINK("https://www1.hkexnews.hk/listedco/listconews/sehk/2025/0601/2025060100017.pdf","stabilisation")</f>
        <v/>
      </c>
      <c r="BN322" s="74" t="n"/>
      <c r="BO322" s="62" t="inlineStr">
        <is>
          <t>range low: cap-only pricing — the filing publishes a Maximum Offer Price and no indicative floor · A/H: no A-share listing</t>
        </is>
      </c>
    </row>
    <row r="323" ht="15" customHeight="1">
      <c r="A323" s="61" t="inlineStr">
        <is>
          <t>6831</t>
        </is>
      </c>
      <c r="B323" s="62" t="inlineStr">
        <is>
          <t>GREEN TEA GROUP</t>
        </is>
      </c>
      <c r="C323" s="62" t="inlineStr">
        <is>
          <t>綠茶集團</t>
        </is>
      </c>
      <c r="D323" s="62" t="inlineStr">
        <is>
          <t>Consumer</t>
        </is>
      </c>
      <c r="E323" s="62" t="inlineStr">
        <is>
          <t>F&amp;B chains / restaurants</t>
        </is>
      </c>
      <c r="F323" s="62" t="inlineStr">
        <is>
          <t>Restaurants</t>
        </is>
      </c>
      <c r="G323" s="62" t="inlineStr">
        <is>
          <t>Standard</t>
        </is>
      </c>
      <c r="H323" s="63" t="n">
        <v>45793</v>
      </c>
      <c r="I323" s="64" t="n">
        <v>847.38</v>
      </c>
      <c r="J323" s="62" t="inlineStr">
        <is>
          <t>gross (stated)</t>
        </is>
      </c>
      <c r="K323" s="65" t="n"/>
      <c r="L323" s="65" t="n">
        <v>7.19</v>
      </c>
      <c r="M323" s="65" t="n">
        <v>7.19</v>
      </c>
      <c r="N323" s="62" t="inlineStr">
        <is>
          <t>Y</t>
        </is>
      </c>
      <c r="O323" s="66" t="n">
        <v>100</v>
      </c>
      <c r="P323" s="66" t="n"/>
      <c r="Q323" s="67" t="n">
        <v>3013.4</v>
      </c>
      <c r="R323" s="62" t="inlineStr">
        <is>
          <t>derived:deal size / offer % of enlarged capital</t>
        </is>
      </c>
      <c r="S323" s="68" t="n">
        <v>317.54</v>
      </c>
      <c r="T323" s="69" t="n">
        <v>7.2</v>
      </c>
      <c r="U323" s="70" t="n">
        <v>5.71</v>
      </c>
      <c r="V323" s="66" t="n">
        <v>26.51</v>
      </c>
      <c r="W323" s="62" t="inlineStr">
        <is>
          <t>Relationship* Wuxi Lvlian; Wuxi Hexiang; Anji Liangshan; Action Chain; Chia Tai</t>
        </is>
      </c>
      <c r="X323" s="62" t="inlineStr">
        <is>
          <t>relationship;wuxi;anji;action;chia</t>
        </is>
      </c>
      <c r="Y323" s="66" t="n">
        <v>15.76</v>
      </c>
      <c r="Z323" s="62" t="inlineStr">
        <is>
          <t>lapsed</t>
        </is>
      </c>
      <c r="AA323" s="71" t="n">
        <v>-12.52</v>
      </c>
      <c r="AB323" s="72" t="n">
        <v>0</v>
      </c>
      <c r="AC323" s="72" t="n">
        <v>-12.52</v>
      </c>
      <c r="AD323" s="72" t="n">
        <v>-19.61</v>
      </c>
      <c r="AE323" s="72" t="n">
        <v>-11.27</v>
      </c>
      <c r="AF323" s="72" t="n">
        <v>3.2</v>
      </c>
      <c r="AG323" s="72" t="n">
        <v>-8.1</v>
      </c>
      <c r="AH323" s="72" t="n">
        <v>1.43</v>
      </c>
      <c r="AI323" s="72" t="n">
        <v>17.97</v>
      </c>
      <c r="AJ323" s="72" t="n">
        <v>-20.16</v>
      </c>
      <c r="AK323" s="72" t="n">
        <v>-11.85</v>
      </c>
      <c r="AL323" s="72" t="n">
        <v>-3.31</v>
      </c>
      <c r="AM323" s="72" t="n">
        <v>0.16</v>
      </c>
      <c r="AN323" s="72" t="n">
        <v>0.58</v>
      </c>
      <c r="AO323" s="72" t="n">
        <v>1.27</v>
      </c>
      <c r="AP323" s="62" t="inlineStr">
        <is>
          <t>Hang Seng Commerce &amp; Industry sub-index</t>
        </is>
      </c>
      <c r="AQ323" s="72" t="n">
        <v>-4.73</v>
      </c>
      <c r="AR323" s="63" t="inlineStr">
        <is>
          <t>2026-08-20</t>
        </is>
      </c>
      <c r="AS323" s="64" t="n">
        <v>4222</v>
      </c>
      <c r="AT323" s="67" t="n">
        <v>385.2</v>
      </c>
      <c r="AU323" s="62" t="inlineStr">
        <is>
          <t>Y</t>
        </is>
      </c>
      <c r="AV323" s="73" t="n">
        <v>7.8</v>
      </c>
      <c r="AW323" s="73" t="n"/>
      <c r="AX323" s="73" t="n">
        <v>7.4</v>
      </c>
      <c r="AY323" s="73" t="n">
        <v>0.7</v>
      </c>
      <c r="AZ323" s="74" t="inlineStr">
        <is>
          <t>N</t>
        </is>
      </c>
      <c r="BA323" s="75">
        <f>IF('BBG Verify'!K323="","not filed — run on terminal",'BBG Verify'!K323)</f>
        <v/>
      </c>
      <c r="BB323" s="62" t="inlineStr">
        <is>
          <t>N/A</t>
        </is>
      </c>
      <c r="BC323" s="62" t="inlineStr">
        <is>
          <t>N/A</t>
        </is>
      </c>
      <c r="BD323" s="62" t="inlineStr">
        <is>
          <t>N/A</t>
        </is>
      </c>
      <c r="BE323" s="62" t="inlineStr">
        <is>
          <t>N/A</t>
        </is>
      </c>
      <c r="BF323" s="62" t="inlineStr">
        <is>
          <t>N/A</t>
        </is>
      </c>
      <c r="BG323" s="74" t="inlineStr">
        <is>
          <t>Citigroup Global Markets Asia Limited; Hong Kong SAR CMB International Capital Limited</t>
        </is>
      </c>
      <c r="BH323" s="62" t="inlineStr">
        <is>
          <t>Citigroup Global Markets Asia Limited; CMB International Capital Corporation Limited</t>
        </is>
      </c>
      <c r="BI323" s="62" t="inlineStr">
        <is>
          <t>Citigroup Global Markets Asia Limited; Hong Kong SAR Citigroup Global Markets Limited; 8 7– CMB International Capital Limited; GF Securities (Hong Kong) Brokerage Limited; Wan Chai Hong Kong SAR Guoyuan Securities Brokerage (Hong Kong) Limited; ABCI CAPITAL LIMITED; Hong Kong SAR ABCI SECURITIES COMPANY LIMITED; Hong Kong SAR Celestial Securities Limited; (Hong Kong) Co., Ltd; Hong Kong SAR CMBC Securities Company Limited; Hong Kong SAR First Shanghai Securities Limited; Hong Kong SAR Futu Securities International (Hong Kong) Limited</t>
        </is>
      </c>
      <c r="BJ323" s="62" t="inlineStr">
        <is>
          <t>ABCI Securities Company Limited; China Galaxy International Securities (Hong Kong) Company Limited; Citigroup Global Markets Asia Limited; CMBC Securities Company Limited; CMB International Capital Corporation Limited; Celestial Securities Limited; First Shanghai Securities Limited; Futu Securities International (Hong Kong) Limited; GF Securities (Hong Kong) Brokerage Limited; Guoyuan Securities Brokerage (Hong Kong) Limited; Long Bridge HK Limited; Morton Securities Limited</t>
        </is>
      </c>
      <c r="BK323" s="76">
        <f>HYPERLINK("https://www1.hkexnews.hk/listedco/listconews/sehk/2025/0508/2025050800013.pdf","prospectus")</f>
        <v/>
      </c>
      <c r="BL323" s="76">
        <f>HYPERLINK("https://www1.hkexnews.hk/listedco/listconews/sehk/2025/0515/2025051501489.pdf","allotment")</f>
        <v/>
      </c>
      <c r="BM323" s="76">
        <f>HYPERLINK("https://www1.hkexnews.hk/listedco/listconews/sehk/2025/0612/2025061201064.pdf","stabilisation")</f>
        <v/>
      </c>
      <c r="BN323" s="74" t="n"/>
      <c r="BO323" s="62" t="inlineStr">
        <is>
          <t>range low: cap-only pricing — the filing publishes a Maximum Offer Price and no indicative floor · A/H: no A-share listing</t>
        </is>
      </c>
    </row>
    <row r="324" ht="15" customHeight="1">
      <c r="A324" s="61" t="inlineStr">
        <is>
          <t>3750</t>
        </is>
      </c>
      <c r="B324" s="62" t="inlineStr">
        <is>
          <t>CATL</t>
        </is>
      </c>
      <c r="C324" s="62" t="inlineStr">
        <is>
          <t>寧德時代</t>
        </is>
      </c>
      <c r="D324" s="62" t="inlineStr">
        <is>
          <t>Industrials</t>
        </is>
      </c>
      <c r="E324" s="62" t="inlineStr">
        <is>
          <t>Batteries / energy storage</t>
        </is>
      </c>
      <c r="F324" s="62" t="inlineStr">
        <is>
          <t>Battery Products</t>
        </is>
      </c>
      <c r="G324" s="62" t="inlineStr">
        <is>
          <t>Standard</t>
        </is>
      </c>
      <c r="H324" s="63" t="n">
        <v>45797</v>
      </c>
      <c r="I324" s="64" t="n">
        <v>35657.2</v>
      </c>
      <c r="J324" s="62" t="inlineStr">
        <is>
          <t>gross (stated)</t>
        </is>
      </c>
      <c r="K324" s="65" t="n"/>
      <c r="L324" s="65" t="n">
        <v>263</v>
      </c>
      <c r="M324" s="65" t="n">
        <v>263</v>
      </c>
      <c r="N324" s="62" t="inlineStr">
        <is>
          <t>Y</t>
        </is>
      </c>
      <c r="O324" s="66" t="n">
        <v>100</v>
      </c>
      <c r="P324" s="66" t="n"/>
      <c r="Q324" s="67" t="n">
        <v>1192548.5</v>
      </c>
      <c r="R324" s="62" t="inlineStr">
        <is>
          <t>derived:deal size / offer % of enlarged capital</t>
        </is>
      </c>
      <c r="S324" s="68" t="n">
        <v>151.15</v>
      </c>
      <c r="T324" s="69" t="n">
        <v>15.17</v>
      </c>
      <c r="U324" s="70" t="n">
        <v>57.5</v>
      </c>
      <c r="V324" s="66" t="n">
        <v>1.27</v>
      </c>
      <c r="W324" s="62" t="inlineStr">
        <is>
          <t>Kuwait Investment; CICC Financial Trading Limited; Zenith Hop International Limited; Abstract Enigma Limited; WT Asset Management Limited; CPE Redwood Investment Limited; Oaktree Capital Management, L.P; Mirae Asset Securities (HK) Limited; Mirae Asset Global Investments Co., Ltd; Pacific Asset Management Co., Limited; LMR Multi-Strategy Master Fund Limited; PSBC Wealth Management Co., Ltd; Taikang Life Insurance Co., Ltd; China International Capital Corporation Hong Kong Securities Limited; HHLR CF, L.P</t>
        </is>
      </c>
      <c r="X324" s="62" t="inlineStr">
        <is>
          <t>kuwait;china-international;zenith;abstract;wt;cpe;oaktree;mirae;pacific-asset;lmr;psbc;taikang;hhlr</t>
        </is>
      </c>
      <c r="Y324" s="66" t="n">
        <v>15</v>
      </c>
      <c r="Z324" s="62" t="inlineStr">
        <is>
          <t>full</t>
        </is>
      </c>
      <c r="AA324" s="71" t="n">
        <v>16.43</v>
      </c>
      <c r="AB324" s="72" t="n">
        <v>12.55</v>
      </c>
      <c r="AC324" s="72" t="n">
        <v>3.45</v>
      </c>
      <c r="AD324" s="72" t="n">
        <v>17.49</v>
      </c>
      <c r="AE324" s="72" t="n">
        <v>16.5</v>
      </c>
      <c r="AF324" s="72" t="n">
        <v>57.41</v>
      </c>
      <c r="AG324" s="72" t="n">
        <v>0.91</v>
      </c>
      <c r="AH324" s="72" t="n">
        <v>0.06</v>
      </c>
      <c r="AI324" s="72" t="n">
        <v>35.2</v>
      </c>
      <c r="AJ324" s="72" t="n">
        <v>17.98</v>
      </c>
      <c r="AK324" s="72" t="n">
        <v>16.86</v>
      </c>
      <c r="AL324" s="72" t="n">
        <v>51.09</v>
      </c>
      <c r="AM324" s="72" t="n">
        <v>2.11</v>
      </c>
      <c r="AN324" s="72" t="n">
        <v>-0.36</v>
      </c>
      <c r="AO324" s="72" t="n">
        <v>-2.05</v>
      </c>
      <c r="AP324" s="62" t="inlineStr">
        <is>
          <t>Hang Seng Commerce &amp; Industry sub-index</t>
        </is>
      </c>
      <c r="AQ324" s="72" t="n">
        <v>139.16</v>
      </c>
      <c r="AR324" s="63" t="inlineStr">
        <is>
          <t>2026-08-20</t>
        </is>
      </c>
      <c r="AS324" s="64" t="n">
        <v>398213.8</v>
      </c>
      <c r="AT324" s="67" t="n">
        <v>60824.5</v>
      </c>
      <c r="AU324" s="62" t="inlineStr">
        <is>
          <t>Y</t>
        </is>
      </c>
      <c r="AV324" s="73" t="n">
        <v>19.6</v>
      </c>
      <c r="AW324" s="73" t="n">
        <v>22.9</v>
      </c>
      <c r="AX324" s="73" t="n">
        <v>30.1</v>
      </c>
      <c r="AY324" s="73" t="n">
        <v>3</v>
      </c>
      <c r="AZ324" s="74" t="inlineStr">
        <is>
          <t>Y</t>
        </is>
      </c>
      <c r="BA324" s="62" t="inlineStr">
        <is>
          <t>300750.SZ</t>
        </is>
      </c>
      <c r="BB324" s="72" t="n">
        <v>7.15</v>
      </c>
      <c r="BC324" s="65" t="n">
        <v>281.7992</v>
      </c>
      <c r="BD324" s="79" t="n">
        <v>-0.2914</v>
      </c>
      <c r="BE324" s="77">
        <f>IF('BBG Verify'!Q324="","run on terminal",'BBG Verify'!Q324)</f>
        <v/>
      </c>
      <c r="BF324" s="77">
        <f>IF('BBG Verify'!R324="","run on terminal",'BBG Verify'!R324)</f>
        <v/>
      </c>
      <c r="BG324" s="74" t="inlineStr">
        <is>
          <t>China International Capital Corporation Hong Kong Securities Limited; China Securities (International) Corporate Finance Company Limited; J.P. Morgan Securities (Far East) Limited; Merrill Lynch (Asia Pacific) Limited</t>
        </is>
      </c>
      <c r="BH324" s="62" t="inlineStr">
        <is>
          <t>China International Capital Corporation Hong Kong Securities Limited; J.P. Morgan Securities (Far East) Limited; Merrill Lynch (Asia Pacific) Limited; China Securities (International) Corporate Finance Company Limited</t>
        </is>
      </c>
      <c r="BI324" s="62" t="inlineStr">
        <is>
          <t>BNP Paribas Securities (Asia) Limited; China International Capital Corporation Hong Kong Securities Limited; China Securities (International) Corporate Finance Company Limited; Guotai Junan Securities (Hong Kong) Limited; Goldman Sachs (Asia) L.L.C.; J.P. Morgan Securities (Asia Pacific) Limited</t>
        </is>
      </c>
      <c r="BJ324" s="62" t="inlineStr">
        <is>
          <t>BNP Paribas Securities (Asia) Limited; China International Capital Corporation Hong Kong Securities Limited; China Securities (International) Corporate Finance Company Limited; Guotai Junan Securities (Hong Kong) Limited; Goldman Sachs (Asia) L.L.C.; J.P. Morgan Securities (Asia Pacific) Limited; Merrill Lynch (Asia Pacific) Limited; Morgan Stanley Asia Limited; UBS AG Hong Kong Branch</t>
        </is>
      </c>
      <c r="BK324" s="76">
        <f>HYPERLINK("https://www1.hkexnews.hk/listedco/listconews/sehk/2025/0512/2025051200005.pdf","prospectus")</f>
        <v/>
      </c>
      <c r="BL324" s="76">
        <f>HYPERLINK("https://www1.hkexnews.hk/listedco/listconews/sehk/2025/0519/2025051901257.pdf","allotment")</f>
        <v/>
      </c>
      <c r="BM324" s="76">
        <f>HYPERLINK("https://www1.hkexnews.hk/listedco/listconews/sehk/2025/0616/2025061600487.pdf","stabilisation")</f>
        <v/>
      </c>
      <c r="BN324" s="74" t="n"/>
      <c r="BO324" s="62" t="inlineStr">
        <is>
          <t>range low: cap-only pricing — the filing publishes a Maximum Offer Price and no indicative floor · A/H: May 2025, ~US$4.6bn (US$5.3bn w/ shoe) — world's largest listing of 2025; H priced at a slim discount to A and surged on debut</t>
        </is>
      </c>
    </row>
    <row r="325" ht="15" customHeight="1">
      <c r="A325" s="61" t="inlineStr">
        <is>
          <t>2629</t>
        </is>
      </c>
      <c r="B325" s="62" t="inlineStr">
        <is>
          <t>MIRXES-B</t>
        </is>
      </c>
      <c r="C325" s="62" t="inlineStr">
        <is>
          <t>MIRXES-B</t>
        </is>
      </c>
      <c r="D325" s="62" t="inlineStr">
        <is>
          <t>Healthcare</t>
        </is>
      </c>
      <c r="E325" s="62" t="inlineStr">
        <is>
          <t>Biotech pre-revenue (18A)</t>
        </is>
      </c>
      <c r="F325" s="62" t="inlineStr">
        <is>
          <t>Biotechnology - Pharmaceuticals</t>
        </is>
      </c>
      <c r="G325" s="62" t="inlineStr">
        <is>
          <t>18A</t>
        </is>
      </c>
      <c r="H325" s="63" t="n">
        <v>45800</v>
      </c>
      <c r="I325" s="64" t="n">
        <v>1086.2</v>
      </c>
      <c r="J325" s="62" t="inlineStr">
        <is>
          <t>gross (stated)</t>
        </is>
      </c>
      <c r="K325" s="65" t="n"/>
      <c r="L325" s="65" t="n">
        <v>23.3</v>
      </c>
      <c r="M325" s="65" t="n">
        <v>23.3</v>
      </c>
      <c r="N325" s="62" t="inlineStr">
        <is>
          <t>Y</t>
        </is>
      </c>
      <c r="O325" s="66" t="n">
        <v>100</v>
      </c>
      <c r="P325" s="66" t="n"/>
      <c r="Q325" s="67" t="n">
        <v>6438.8</v>
      </c>
      <c r="R325" s="62" t="inlineStr">
        <is>
          <t>derived:price x shares upon listing</t>
        </is>
      </c>
      <c r="S325" s="68" t="n">
        <v>25.51</v>
      </c>
      <c r="T325" s="78">
        <f>IF('BBG Verify'!E325="","not filed — run on terminal",'BBG Verify'!E325)</f>
        <v/>
      </c>
      <c r="U325" s="70" t="n">
        <v>41.37</v>
      </c>
      <c r="V325" s="66" t="n">
        <v>9.890000000000001</v>
      </c>
      <c r="W325" s="62" t="inlineStr">
        <is>
          <t>Fund SPC; EDB Investments Pte Ltd; III, L.P.; Creation Pte. Ltd.; NHH Venture Fund, L.P; 源九號有限合夥基金; SDG Alpha Win PE LPF; Holdings Company Limited; Blue Spark Hub Pte. Ltd; BPC SPV MRX LIMITED; Accurate Gene Limited; Technologies Pte. Ltd.</t>
        </is>
      </c>
      <c r="X325" s="62" t="inlineStr">
        <is>
          <t>fund-spc;edb;iii;creation;nhh;源九號有限合夥基金;sdg;holdings-company;blue;bpc;accurate;technologies</t>
        </is>
      </c>
      <c r="Y325" s="66" t="n"/>
      <c r="Z325" s="62" t="n"/>
      <c r="AA325" s="71" t="n">
        <v>28.76</v>
      </c>
      <c r="AB325" s="72" t="n">
        <v>28.33</v>
      </c>
      <c r="AC325" s="72" t="n">
        <v>0.34</v>
      </c>
      <c r="AD325" s="72" t="n">
        <v>25.32</v>
      </c>
      <c r="AE325" s="72" t="n">
        <v>44.42</v>
      </c>
      <c r="AF325" s="72" t="n">
        <v>87.55</v>
      </c>
      <c r="AG325" s="72" t="n">
        <v>-2.67</v>
      </c>
      <c r="AH325" s="72" t="n">
        <v>12.16</v>
      </c>
      <c r="AI325" s="72" t="n">
        <v>45.66</v>
      </c>
      <c r="AJ325" s="72" t="n">
        <v>22.29</v>
      </c>
      <c r="AK325" s="72" t="n">
        <v>35.69</v>
      </c>
      <c r="AL325" s="72" t="n">
        <v>50.43</v>
      </c>
      <c r="AM325" s="72" t="n">
        <v>3.28</v>
      </c>
      <c r="AN325" s="72" t="n">
        <v>8.73</v>
      </c>
      <c r="AO325" s="72" t="n">
        <v>8.880000000000001</v>
      </c>
      <c r="AP325" s="62" t="inlineStr">
        <is>
          <t>China Biotech ETF (HS biotech proxy)</t>
        </is>
      </c>
      <c r="AQ325" s="72" t="n">
        <v>-46.74</v>
      </c>
      <c r="AR325" s="63" t="inlineStr">
        <is>
          <t>2026-08-19</t>
        </is>
      </c>
      <c r="AS325" s="64" t="n">
        <v>158.2</v>
      </c>
      <c r="AT325" s="67" t="n">
        <v>-720.2</v>
      </c>
      <c r="AU325" s="62" t="inlineStr">
        <is>
          <t>N</t>
        </is>
      </c>
      <c r="AV325" s="62" t="inlineStr">
        <is>
          <t>n/m</t>
        </is>
      </c>
      <c r="AW325" s="73" t="n"/>
      <c r="AX325" s="73" t="n"/>
      <c r="AY325" s="73" t="n">
        <v>40.7</v>
      </c>
      <c r="AZ325" s="74" t="inlineStr">
        <is>
          <t>N</t>
        </is>
      </c>
      <c r="BA325" s="75">
        <f>IF('BBG Verify'!K325="","not filed — run on terminal",'BBG Verify'!K325)</f>
        <v/>
      </c>
      <c r="BB325" s="62" t="inlineStr">
        <is>
          <t>N/A</t>
        </is>
      </c>
      <c r="BC325" s="62" t="inlineStr">
        <is>
          <t>N/A</t>
        </is>
      </c>
      <c r="BD325" s="62" t="inlineStr">
        <is>
          <t>N/A</t>
        </is>
      </c>
      <c r="BE325" s="62" t="inlineStr">
        <is>
          <t>N/A</t>
        </is>
      </c>
      <c r="BF325" s="62" t="inlineStr">
        <is>
          <t>N/A</t>
        </is>
      </c>
      <c r="BG325" s="74" t="inlineStr">
        <is>
          <t>China International Capital Corporation Hong Kong Securities Limited; CCB International Capital Limited</t>
        </is>
      </c>
      <c r="BH325" s="62" t="inlineStr">
        <is>
          <t>China International Capital Corporation Hong Kong Securities Limited; CCB International Capital Limited</t>
        </is>
      </c>
      <c r="BI325" s="62" t="inlineStr">
        <is>
          <t>CMB International Capital Limited; Livermore Holdings Limited; BOCOM International Securities Limited; Platinum Broking Company Limited</t>
        </is>
      </c>
      <c r="BJ325" s="62" t="inlineStr">
        <is>
          <t>Alpha Win Capital Limited; BOCOM International Securities Limited; CCB International Capital Limited; China International Capital Corporation Hong Kong Securities Limited; CMBC Securities Company Limited; CMB International Capital Corporation Limited; Imperium International Securities Limited; Kingkey Securities Group Limited; Livermore Holdings Limited; Platinum Broking Company Limited; Soochow Securities International Brokerage Limited; Waton Securities International Limited</t>
        </is>
      </c>
      <c r="BK325" s="76">
        <f>HYPERLINK("https://www1.hkexnews.hk/listedco/listconews/sehk/2025/0515/2025051500021.pdf","prospectus")</f>
        <v/>
      </c>
      <c r="BL325" s="76">
        <f>HYPERLINK("https://www1.hkexnews.hk/listedco/listconews/sehk/2025/0522/2025052201535.pdf","allotment")</f>
        <v/>
      </c>
      <c r="BM325" s="62" t="n"/>
      <c r="BN325" s="74" t="n"/>
      <c r="BO325" s="62" t="inlineStr">
        <is>
          <t>intl sub: parsed 0.98x rejected — implausible for a deal struck at the cap with the public tranche 26x subscribed (a percentage read as a multiple); BBG Verify CP037 fills this on the terminal · P/E: n/m — loss-making at IPO (use P/S) · greenshoe: no over-allotment option in the offer structure · range low: cap-only pricing — the filing publishes a Maximum Offer Price and no indicative floor · A/H: no A-share listing · greenshoe size: no over-allotment option in the offer structure · day-1 open: sources disagree on the day-1 OPENING print by &gt;2% (auction vs first trade); all close-based figures agree exactly</t>
        </is>
      </c>
    </row>
    <row r="326" ht="15" customHeight="1">
      <c r="A326" s="61" t="inlineStr">
        <is>
          <t>1276</t>
        </is>
      </c>
      <c r="B326" s="62" t="inlineStr">
        <is>
          <t>HENGRUI PHARMA</t>
        </is>
      </c>
      <c r="C326" s="62" t="inlineStr">
        <is>
          <t>恒瑞醫藥</t>
        </is>
      </c>
      <c r="D326" s="62" t="inlineStr">
        <is>
          <t>Healthcare</t>
        </is>
      </c>
      <c r="E326" s="62" t="inlineStr">
        <is>
          <t>Biopharma commercial</t>
        </is>
      </c>
      <c r="F326" s="62" t="inlineStr">
        <is>
          <t>Pharmaceuticals</t>
        </is>
      </c>
      <c r="G326" s="62" t="inlineStr">
        <is>
          <t>Standard</t>
        </is>
      </c>
      <c r="H326" s="63" t="n">
        <v>45800</v>
      </c>
      <c r="I326" s="64" t="n">
        <v>9890.1</v>
      </c>
      <c r="J326" s="62" t="inlineStr">
        <is>
          <t>gross (stated)</t>
        </is>
      </c>
      <c r="K326" s="65" t="n"/>
      <c r="L326" s="65" t="n">
        <v>44.05</v>
      </c>
      <c r="M326" s="65" t="n">
        <v>44.05</v>
      </c>
      <c r="N326" s="62" t="inlineStr">
        <is>
          <t>Y</t>
        </is>
      </c>
      <c r="O326" s="66" t="n">
        <v>100</v>
      </c>
      <c r="P326" s="66" t="n"/>
      <c r="Q326" s="67" t="n">
        <v>351900</v>
      </c>
      <c r="R326" s="62" t="inlineStr">
        <is>
          <t>prospectus:stated market capitalisation</t>
        </is>
      </c>
      <c r="S326" s="68" t="n">
        <v>454.85</v>
      </c>
      <c r="T326" s="69" t="n">
        <v>17.09</v>
      </c>
      <c r="U326" s="70" t="n">
        <v>42</v>
      </c>
      <c r="V326" s="66" t="n">
        <v>1.63</v>
      </c>
      <c r="W326" s="62" t="inlineStr">
        <is>
          <t>GIC Private Limited; Invesco Advisers, Inc; HHLR CF, L.P; Strategies (Asia) Pte. Ltd; Oaktree Capital Management, L.P; Cordial Solar; UBS AM Singapore</t>
        </is>
      </c>
      <c r="X326" s="62" t="inlineStr">
        <is>
          <t>gic;invesco;hhlr;strategies;oaktree;cordial;ubs</t>
        </is>
      </c>
      <c r="Y326" s="66" t="n">
        <v>15</v>
      </c>
      <c r="Z326" s="62" t="inlineStr">
        <is>
          <t>full</t>
        </is>
      </c>
      <c r="AA326" s="71" t="n">
        <v>25.2</v>
      </c>
      <c r="AB326" s="72" t="n">
        <v>30.76</v>
      </c>
      <c r="AC326" s="72" t="n">
        <v>-4.25</v>
      </c>
      <c r="AD326" s="72" t="n">
        <v>31.67</v>
      </c>
      <c r="AE326" s="72" t="n">
        <v>26.79</v>
      </c>
      <c r="AF326" s="72" t="n">
        <v>76.5</v>
      </c>
      <c r="AG326" s="72" t="n">
        <v>5.17</v>
      </c>
      <c r="AH326" s="72" t="n">
        <v>1.27</v>
      </c>
      <c r="AI326" s="72" t="n">
        <v>40.97</v>
      </c>
      <c r="AJ326" s="72" t="n">
        <v>28.64</v>
      </c>
      <c r="AK326" s="72" t="n">
        <v>18.06</v>
      </c>
      <c r="AL326" s="72" t="n">
        <v>39.38</v>
      </c>
      <c r="AM326" s="72" t="n">
        <v>-7.61</v>
      </c>
      <c r="AN326" s="72" t="n">
        <v>8.73</v>
      </c>
      <c r="AO326" s="72" t="n">
        <v>8.880000000000001</v>
      </c>
      <c r="AP326" s="62" t="inlineStr">
        <is>
          <t>China Biotech ETF (HS biotech proxy)</t>
        </is>
      </c>
      <c r="AQ326" s="72" t="n">
        <v>12.74</v>
      </c>
      <c r="AR326" s="63" t="inlineStr">
        <is>
          <t>2026-08-20</t>
        </is>
      </c>
      <c r="AS326" s="64" t="n">
        <v>30783.1</v>
      </c>
      <c r="AT326" s="67" t="n">
        <v>6970.7</v>
      </c>
      <c r="AU326" s="62" t="inlineStr">
        <is>
          <t>Y</t>
        </is>
      </c>
      <c r="AV326" s="73" t="n">
        <v>50.5</v>
      </c>
      <c r="AW326" s="73" t="n">
        <v>46.8</v>
      </c>
      <c r="AX326" s="73" t="n">
        <v>37.5</v>
      </c>
      <c r="AY326" s="73" t="n">
        <v>11.4</v>
      </c>
      <c r="AZ326" s="74" t="inlineStr">
        <is>
          <t>Y</t>
        </is>
      </c>
      <c r="BA326" s="62" t="inlineStr">
        <is>
          <t>600276.SS</t>
        </is>
      </c>
      <c r="BB326" s="72" t="n">
        <v>37.18</v>
      </c>
      <c r="BC326" s="65" t="n">
        <v>60.4275</v>
      </c>
      <c r="BD326" s="79" t="n">
        <v>0.174</v>
      </c>
      <c r="BE326" s="77">
        <f>IF('BBG Verify'!Q326="","run on terminal",'BBG Verify'!Q326)</f>
        <v/>
      </c>
      <c r="BF326" s="77">
        <f>IF('BBG Verify'!R326="","run on terminal",'BBG Verify'!R326)</f>
        <v/>
      </c>
      <c r="BG326" s="74" t="inlineStr">
        <is>
          <t>Morgan Stanley Asia Limited; Citigroup Global Markets Asia Limited; Huatai Financial Holdings (Hong Kong) Limited</t>
        </is>
      </c>
      <c r="BH326" s="62" t="inlineStr">
        <is>
          <t>Morgan Stanley Asia Limited; Huatai Financial Holdings (Hong Kong) Limited; Citigroup Global Markets Asia Limited</t>
        </is>
      </c>
      <c r="BI326" s="62" t="inlineStr">
        <is>
          <t>Morgan Stanley Asia Limited; Citigroup Global Markets Asia Limited; Huatai Financial Holdings (Hong Kong) Limited; UBS AG Hong Kong Branch; Citigroup Global Markets Limited; 132 – Huatai Financial Holdings (Hong Kong) Limited; (Below in alphabetical order) BOCI Asia Limited; CLSA Limited; GF Securities (Hong Kong) Brokerage Limited</t>
        </is>
      </c>
      <c r="BJ326" s="62" t="inlineStr">
        <is>
          <t>BOCI Asia Limited; Citigroup Global Markets Asia Limited; CLSA Limited; GF Securities (Hong Kong) Brokerage Limited; Huatai Financial Holdings (Hong Kong) Limited; Morgan Stanley Asia Limited; UBS AG Hong Kong Branch</t>
        </is>
      </c>
      <c r="BK326" s="76">
        <f>HYPERLINK("https://www1.hkexnews.hk/listedco/listconews/sehk/2025/0515/2025051500019.pdf","prospectus")</f>
        <v/>
      </c>
      <c r="BL326" s="76">
        <f>HYPERLINK("https://www1.hkexnews.hk/listedco/listconews/sehk/2025/0522/2025052201651.pdf","allotment")</f>
        <v/>
      </c>
      <c r="BM326" s="76">
        <f>HYPERLINK("https://www1.hkexnews.hk/listedco/listconews/sehk/2025/0619/2025061900409.pdf","stabilisation")</f>
        <v/>
      </c>
      <c r="BN326" s="74" t="n"/>
      <c r="BO326" s="62" t="inlineStr">
        <is>
          <t>range low: cap-only pricing — the filing publishes a Maximum Offer Price and no indicative floor · A/H: May 2025, raised ~HK$9.9bn (~US$1.3bn)</t>
        </is>
      </c>
    </row>
    <row r="327" ht="15" customHeight="1">
      <c r="A327" s="61" t="inlineStr">
        <is>
          <t>2565</t>
        </is>
      </c>
      <c r="B327" s="62" t="inlineStr">
        <is>
          <t>PEGBIO CO-B</t>
        </is>
      </c>
      <c r="C327" s="62" t="inlineStr">
        <is>
          <t>派格生物醫藥－Ｂ</t>
        </is>
      </c>
      <c r="D327" s="62" t="inlineStr">
        <is>
          <t>Healthcare</t>
        </is>
      </c>
      <c r="E327" s="62" t="inlineStr">
        <is>
          <t>Biotech pre-revenue (18A)</t>
        </is>
      </c>
      <c r="F327" s="62" t="inlineStr">
        <is>
          <t>Biotechnology - Pharmaceuticals</t>
        </is>
      </c>
      <c r="G327" s="62" t="inlineStr">
        <is>
          <t>18A</t>
        </is>
      </c>
      <c r="H327" s="63" t="n">
        <v>45804</v>
      </c>
      <c r="I327" s="64" t="n">
        <v>300.8</v>
      </c>
      <c r="J327" s="62" t="inlineStr">
        <is>
          <t>gross (stated)</t>
        </is>
      </c>
      <c r="K327" s="65" t="n"/>
      <c r="L327" s="65" t="n">
        <v>15.6</v>
      </c>
      <c r="M327" s="65" t="n">
        <v>15.6</v>
      </c>
      <c r="N327" s="62" t="inlineStr">
        <is>
          <t>Y</t>
        </is>
      </c>
      <c r="O327" s="66" t="n">
        <v>100</v>
      </c>
      <c r="P327" s="66" t="n"/>
      <c r="Q327" s="67" t="n">
        <v>6020.9</v>
      </c>
      <c r="R327" s="62" t="inlineStr">
        <is>
          <t>derived:price x shares upon listing</t>
        </is>
      </c>
      <c r="S327" s="68" t="n">
        <v>743.78</v>
      </c>
      <c r="T327" s="69" t="n">
        <v>1.13</v>
      </c>
      <c r="U327" s="70" t="n">
        <v>100</v>
      </c>
      <c r="V327" s="66" t="n">
        <v>0</v>
      </c>
      <c r="W327" s="62" t="inlineStr">
        <is>
          <t>Yizekangrui; Unlisted Shares in issue; H Share to be converted from Unlisted Shares; H Shares to be issued under the Global Offering</t>
        </is>
      </c>
      <c r="X327" s="62" t="inlineStr">
        <is>
          <t>yizekangrui;unlisted;share;shares</t>
        </is>
      </c>
      <c r="Y327" s="66" t="n"/>
      <c r="Z327" s="62" t="n"/>
      <c r="AA327" s="71" t="n">
        <v>-25.9</v>
      </c>
      <c r="AB327" s="72" t="n">
        <v>-16.67</v>
      </c>
      <c r="AC327" s="72" t="n">
        <v>-11.08</v>
      </c>
      <c r="AD327" s="72" t="n">
        <v>-37.82</v>
      </c>
      <c r="AE327" s="72" t="n">
        <v>-42.31</v>
      </c>
      <c r="AF327" s="72" t="n">
        <v>117.95</v>
      </c>
      <c r="AG327" s="72" t="n">
        <v>-16.09</v>
      </c>
      <c r="AH327" s="72" t="n">
        <v>-22.15</v>
      </c>
      <c r="AI327" s="72" t="n">
        <v>194.13</v>
      </c>
      <c r="AJ327" s="72" t="n">
        <v>-43.89</v>
      </c>
      <c r="AK327" s="72" t="n">
        <v>-55.86</v>
      </c>
      <c r="AL327" s="72" t="n">
        <v>74.34</v>
      </c>
      <c r="AM327" s="72" t="n">
        <v>-33.19</v>
      </c>
      <c r="AN327" s="72" t="n">
        <v>13.55</v>
      </c>
      <c r="AO327" s="72" t="n">
        <v>11.04</v>
      </c>
      <c r="AP327" s="62" t="inlineStr">
        <is>
          <t>China Biotech ETF (HS biotech proxy)</t>
        </is>
      </c>
      <c r="AQ327" s="72" t="n">
        <v>-61.7</v>
      </c>
      <c r="AR327" s="63" t="inlineStr">
        <is>
          <t>2026-08-20</t>
        </is>
      </c>
      <c r="AS327" s="64" t="n">
        <v>0</v>
      </c>
      <c r="AT327" s="67" t="n">
        <v>-311.7</v>
      </c>
      <c r="AU327" s="62" t="inlineStr">
        <is>
          <t>N</t>
        </is>
      </c>
      <c r="AV327" s="62" t="inlineStr">
        <is>
          <t>n/m</t>
        </is>
      </c>
      <c r="AW327" s="73" t="n"/>
      <c r="AX327" s="73" t="n"/>
      <c r="AY327" s="62" t="inlineStr">
        <is>
          <t>pre-rev</t>
        </is>
      </c>
      <c r="AZ327" s="74" t="inlineStr">
        <is>
          <t>N</t>
        </is>
      </c>
      <c r="BA327" s="75">
        <f>IF('BBG Verify'!K327="","not filed — run on terminal",'BBG Verify'!K327)</f>
        <v/>
      </c>
      <c r="BB327" s="62" t="inlineStr">
        <is>
          <t>N/A</t>
        </is>
      </c>
      <c r="BC327" s="62" t="inlineStr">
        <is>
          <t>N/A</t>
        </is>
      </c>
      <c r="BD327" s="62" t="inlineStr">
        <is>
          <t>N/A</t>
        </is>
      </c>
      <c r="BE327" s="62" t="inlineStr">
        <is>
          <t>N/A</t>
        </is>
      </c>
      <c r="BF327" s="62" t="inlineStr">
        <is>
          <t>N/A</t>
        </is>
      </c>
      <c r="BG327" s="74" t="inlineStr">
        <is>
          <t>China International Capital Corporation Hong Kong Securities Limited</t>
        </is>
      </c>
      <c r="BH327" s="62" t="inlineStr">
        <is>
          <t>China International Capital Corporation Hong Kong Securities Limited</t>
        </is>
      </c>
      <c r="BI327" s="62" t="inlineStr">
        <is>
          <t>China International Capital Corporation Hong Kong Securities Limited; CMBC Securities Company Limited; ABCI Capital Limited; CCB International Capital Limited; BOCI Asia Limited; Zhongtai International Securities Limited; SPDB International Capital Limited; Eddid Securities and Futures Limited; Sinolink Securities (Hong Kong) Company Limited; China Everbright Securities (HK) Limited; GF Securities (Hong Kong) Brokerage Limited; CEB International Capital Corporation Limited</t>
        </is>
      </c>
      <c r="BJ327" s="62" t="inlineStr">
        <is>
          <t>ABCI Securities Company Limited; BOCI Asia Limited; CCB International Capital Limited; CEB International Capital Corporation Limited; China Everbright Securities (HK) Limited; China Galaxy International Securities (Hong Kong) Company Limited; China International Capital Corporation Hong Kong Securities Limited; CMBC Securities Company Limited; Eddid Securities and Futures Limited; GF Securities (Hong Kong) Brokerage Limited; Livermore Holdings Limited; Sinolink Securities (Hong Kong) Company Limited</t>
        </is>
      </c>
      <c r="BK327" s="76">
        <f>HYPERLINK("https://www1.hkexnews.hk/listedco/listconews/sehk/2025/0519/2025051900013.pdf","prospectus")</f>
        <v/>
      </c>
      <c r="BL327" s="76">
        <f>HYPERLINK("https://www1.hkexnews.hk/listedco/listconews/sehk/2025/0526/2025052601319.pdf","allotment")</f>
        <v/>
      </c>
      <c r="BM327" s="62" t="n"/>
      <c r="BN327" s="74" t="n"/>
      <c r="BO327" s="62"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 · P/S: no revenue line in the filed P&amp;L (pre-revenue issuer) — no sales multiple can exist; the cell reads pre-rev, not blank</t>
        </is>
      </c>
    </row>
    <row r="328" ht="15" customHeight="1">
      <c r="A328" s="61" t="inlineStr">
        <is>
          <t>2603</t>
        </is>
      </c>
      <c r="B328" s="62" t="inlineStr">
        <is>
          <t>JIHONG CO</t>
        </is>
      </c>
      <c r="C328" s="62" t="inlineStr">
        <is>
          <t>吉宏股份</t>
        </is>
      </c>
      <c r="D328" s="62" t="inlineStr">
        <is>
          <t>Tech/AI</t>
        </is>
      </c>
      <c r="E328" s="62" t="inlineStr">
        <is>
          <t>Internet platform / e-commerce</t>
        </is>
      </c>
      <c r="F328" s="62" t="inlineStr">
        <is>
          <t>Paper Packaging</t>
        </is>
      </c>
      <c r="G328" s="62" t="inlineStr">
        <is>
          <t>Standard</t>
        </is>
      </c>
      <c r="H328" s="63" t="n">
        <v>45804</v>
      </c>
      <c r="I328" s="64" t="n">
        <v>521.5</v>
      </c>
      <c r="J328" s="62" t="inlineStr">
        <is>
          <t>gross (stated)</t>
        </is>
      </c>
      <c r="K328" s="65" t="n">
        <v>7.48</v>
      </c>
      <c r="L328" s="65" t="n">
        <v>10.68</v>
      </c>
      <c r="M328" s="65" t="n">
        <v>7.68</v>
      </c>
      <c r="N328" s="62" t="inlineStr">
        <is>
          <t>N</t>
        </is>
      </c>
      <c r="O328" s="66" t="n">
        <v>71.90000000000001</v>
      </c>
      <c r="P328" s="66" t="n">
        <v>6.2</v>
      </c>
      <c r="Q328" s="67" t="n">
        <v>3476.6</v>
      </c>
      <c r="R328" s="62" t="inlineStr">
        <is>
          <t>derived:price x shares upon listing</t>
        </is>
      </c>
      <c r="S328" s="68" t="n">
        <v>49.39</v>
      </c>
      <c r="T328" s="69" t="n">
        <v>1.62</v>
      </c>
      <c r="U328" s="70" t="n">
        <v>30.6</v>
      </c>
      <c r="V328" s="66" t="n">
        <v>10.41</v>
      </c>
      <c r="W328" s="62" t="n"/>
      <c r="X328" s="62" t="n"/>
      <c r="Y328" s="66" t="n"/>
      <c r="Z328" s="62" t="n"/>
      <c r="AA328" s="71" t="n">
        <v>39.06</v>
      </c>
      <c r="AB328" s="72" t="n">
        <v>43.23</v>
      </c>
      <c r="AC328" s="72" t="n">
        <v>-2.91</v>
      </c>
      <c r="AD328" s="72" t="n">
        <v>30.21</v>
      </c>
      <c r="AE328" s="72" t="n">
        <v>45.31</v>
      </c>
      <c r="AF328" s="72" t="n">
        <v>138.67</v>
      </c>
      <c r="AG328" s="72" t="n">
        <v>-6.36</v>
      </c>
      <c r="AH328" s="72" t="n">
        <v>4.49</v>
      </c>
      <c r="AI328" s="72" t="n">
        <v>71.63</v>
      </c>
      <c r="AJ328" s="72" t="n">
        <v>29.32</v>
      </c>
      <c r="AK328" s="72" t="n">
        <v>41.25</v>
      </c>
      <c r="AL328" s="72" t="n">
        <v>125.6</v>
      </c>
      <c r="AM328" s="72" t="n">
        <v>1.35</v>
      </c>
      <c r="AN328" s="72" t="n">
        <v>4.06</v>
      </c>
      <c r="AO328" s="72" t="n">
        <v>3.14</v>
      </c>
      <c r="AP328" s="62" t="inlineStr">
        <is>
          <t>HSTECH (Hang Seng TECH ETF)</t>
        </is>
      </c>
      <c r="AQ328" s="72" t="n">
        <v>56.25</v>
      </c>
      <c r="AR328" s="63" t="inlineStr">
        <is>
          <t>2026-08-20</t>
        </is>
      </c>
      <c r="AS328" s="64" t="n">
        <v>5913.5</v>
      </c>
      <c r="AT328" s="67" t="n">
        <v>202.9</v>
      </c>
      <c r="AU328" s="62" t="inlineStr">
        <is>
          <t>Y</t>
        </is>
      </c>
      <c r="AV328" s="73" t="n">
        <v>17.1</v>
      </c>
      <c r="AW328" s="73" t="n">
        <v>18.6</v>
      </c>
      <c r="AX328" s="73" t="n">
        <v>15.1</v>
      </c>
      <c r="AY328" s="73" t="n">
        <v>0.6</v>
      </c>
      <c r="AZ328" s="74" t="inlineStr">
        <is>
          <t>Y</t>
        </is>
      </c>
      <c r="BA328" s="62" t="inlineStr">
        <is>
          <t>002803.SZ</t>
        </is>
      </c>
      <c r="BB328" s="72" t="n">
        <v>105.18</v>
      </c>
      <c r="BC328" s="65" t="n">
        <v>15.7576</v>
      </c>
      <c r="BD328" s="79" t="n">
        <v>0.773</v>
      </c>
      <c r="BE328" s="77">
        <f>IF('BBG Verify'!Q328="","run on terminal",'BBG Verify'!Q328)</f>
        <v/>
      </c>
      <c r="BF328" s="77">
        <f>IF('BBG Verify'!R328="","run on terminal",'BBG Verify'!R328)</f>
        <v/>
      </c>
      <c r="BG328" s="74" t="inlineStr">
        <is>
          <t>Hong Kong SAR CMB International Capital Limited</t>
        </is>
      </c>
      <c r="BH328" s="62" t="inlineStr">
        <is>
          <t>China International Capital Corporation Hong Kong Securities Limited; CMB International Capital Limited</t>
        </is>
      </c>
      <c r="BI328" s="62" t="inlineStr">
        <is>
          <t>China International Capital Corporation Hong Kong Securities Limited; Hong Kong SAR CMB International Capital Limited; BOCI Asia Limited; Hong Kong SAR China Galaxy International Securities (Hong Kong) Co., Limited; Hong Kong SAR ICBC International Securities Limited; Hong Kong SAR CCB International Capital Limited; Hong Kong SAR Quam Securities Limited; Hong Kong SAR SDHG International Securities Limited; Hong Kong SAR Fosun International Securities Limited; Hong Kong SAR Long Bridge HK Limited; Hong Kong SAR Sinolink Securities (Hong Kong) Company Limited; Sheung Wan Hong Kong SAR Huafu International Securities Limited</t>
        </is>
      </c>
      <c r="BJ328" s="62" t="inlineStr">
        <is>
          <t>BOCI Asia Limited; CCB International Capital Limited; China Galaxy International Securities (Hong Kong) Company Limited; Fosun International Securities Limited; Huafu International Securities Limited; ICBC International Securities Limited; Long Bridge HK Limited; Livermore Holdings Limited; Quam Securities Company Limited; SDHG International Securities Limited; Sinolink Securities (Hong Kong) Company Limited</t>
        </is>
      </c>
      <c r="BK328" s="76">
        <f>HYPERLINK("https://www1.hkexnews.hk/listedco/listconews/sehk/2025/0519/2025051900011.pdf","prospectus")</f>
        <v/>
      </c>
      <c r="BL328" s="76">
        <f>HYPERLINK("https://www1.hkexnews.hk/listedco/listconews/sehk/2025/0526/2025052601653.pdf","allotment")</f>
        <v/>
      </c>
      <c r="BM328" s="62" t="n"/>
      <c r="BN328" s="74" t="n"/>
      <c r="BO328" s="62" t="inlineStr">
        <is>
          <t>greenshoe: no over-allotment option in the offer structure · A/H: May 2025 H listing (packaging + cross-border e-commerce) · cornerstone list: tranche parsed (30.6% locked) but the per-investor table did not machine-parse — names are in the prospectus Cornerstone section (link on this row) · greenshoe size: no over-allotment option in the offer structure</t>
        </is>
      </c>
    </row>
    <row r="329" ht="15" customHeight="1">
      <c r="A329" s="61" t="inlineStr">
        <is>
          <t>2621</t>
        </is>
      </c>
      <c r="B329" s="62" t="inlineStr">
        <is>
          <t>SHOUHUI GROUP</t>
        </is>
      </c>
      <c r="C329" s="62" t="inlineStr">
        <is>
          <t>手回集團</t>
        </is>
      </c>
      <c r="D329" s="62" t="inlineStr">
        <is>
          <t>Financials</t>
        </is>
      </c>
      <c r="E329" s="62" t="inlineStr">
        <is>
          <t>Insurance</t>
        </is>
      </c>
      <c r="F329" s="62" t="inlineStr">
        <is>
          <t>Multi-line Insurance</t>
        </is>
      </c>
      <c r="G329" s="62" t="inlineStr">
        <is>
          <t>Standard</t>
        </is>
      </c>
      <c r="H329" s="63" t="n">
        <v>45807</v>
      </c>
      <c r="I329" s="64" t="n">
        <v>196.82</v>
      </c>
      <c r="J329" s="62" t="inlineStr">
        <is>
          <t>gross (stated)</t>
        </is>
      </c>
      <c r="K329" s="65" t="n">
        <v>6.48</v>
      </c>
      <c r="L329" s="65" t="n">
        <v>8.08</v>
      </c>
      <c r="M329" s="65" t="n">
        <v>8.08</v>
      </c>
      <c r="N329" s="62" t="inlineStr">
        <is>
          <t>Y</t>
        </is>
      </c>
      <c r="O329" s="66" t="n">
        <v>100</v>
      </c>
      <c r="P329" s="66" t="n">
        <v>100</v>
      </c>
      <c r="Q329" s="67" t="n">
        <v>1615.9</v>
      </c>
      <c r="R329" s="62" t="inlineStr">
        <is>
          <t>derived:deal size / offer % of enlarged capital</t>
        </is>
      </c>
      <c r="S329" s="68" t="n">
        <v>990</v>
      </c>
      <c r="T329" s="69" t="n">
        <v>1.13</v>
      </c>
      <c r="U329" s="70" t="n">
        <v>31.08</v>
      </c>
      <c r="V329" s="66" t="n">
        <v>8.390000000000001</v>
      </c>
      <c r="W329" s="62" t="inlineStr">
        <is>
          <t>HiTai</t>
        </is>
      </c>
      <c r="X329" s="62" t="inlineStr">
        <is>
          <t>hitai</t>
        </is>
      </c>
      <c r="Y329" s="66" t="n">
        <v>10</v>
      </c>
      <c r="Z329" s="62" t="inlineStr">
        <is>
          <t>lapsed</t>
        </is>
      </c>
      <c r="AA329" s="71" t="n">
        <v>-18.19</v>
      </c>
      <c r="AB329" s="72" t="n">
        <v>-7.18</v>
      </c>
      <c r="AC329" s="72" t="n">
        <v>-11.86</v>
      </c>
      <c r="AD329" s="72" t="n">
        <v>-33.04</v>
      </c>
      <c r="AE329" s="72" t="n">
        <v>-39.48</v>
      </c>
      <c r="AF329" s="72" t="n">
        <v>-41.83</v>
      </c>
      <c r="AG329" s="72" t="n">
        <v>-18.15</v>
      </c>
      <c r="AH329" s="72" t="n">
        <v>-26.02</v>
      </c>
      <c r="AI329" s="72" t="n">
        <v>-28.9</v>
      </c>
      <c r="AJ329" s="72" t="n">
        <v>-34.76</v>
      </c>
      <c r="AK329" s="72" t="n">
        <v>-46.16</v>
      </c>
      <c r="AL329" s="72" t="n">
        <v>-50.43</v>
      </c>
      <c r="AM329" s="72" t="n">
        <v>-32.84</v>
      </c>
      <c r="AN329" s="72" t="n">
        <v>6.68</v>
      </c>
      <c r="AO329" s="72" t="n">
        <v>6.82</v>
      </c>
      <c r="AP329" s="62" t="inlineStr">
        <is>
          <t>Hang Seng Finance sub-index</t>
        </is>
      </c>
      <c r="AQ329" s="72" t="n">
        <v>-65.28</v>
      </c>
      <c r="AR329" s="63" t="inlineStr">
        <is>
          <t>2026-08-20</t>
        </is>
      </c>
      <c r="AS329" s="64" t="n">
        <v>1525.8</v>
      </c>
      <c r="AT329" s="67" t="n">
        <v>-99.2</v>
      </c>
      <c r="AU329" s="62" t="inlineStr">
        <is>
          <t>N</t>
        </is>
      </c>
      <c r="AV329" s="62" t="inlineStr">
        <is>
          <t>n/m</t>
        </is>
      </c>
      <c r="AW329" s="73" t="n"/>
      <c r="AX329" s="73" t="n">
        <v>0.5</v>
      </c>
      <c r="AY329" s="73" t="n">
        <v>1.1</v>
      </c>
      <c r="AZ329" s="74" t="inlineStr">
        <is>
          <t>N</t>
        </is>
      </c>
      <c r="BA329" s="75">
        <f>IF('BBG Verify'!K329="","not filed — run on terminal",'BBG Verify'!K329)</f>
        <v/>
      </c>
      <c r="BB329" s="62" t="inlineStr">
        <is>
          <t>N/A</t>
        </is>
      </c>
      <c r="BC329" s="62" t="inlineStr">
        <is>
          <t>N/A</t>
        </is>
      </c>
      <c r="BD329" s="62" t="inlineStr">
        <is>
          <t>N/A</t>
        </is>
      </c>
      <c r="BE329" s="62" t="inlineStr">
        <is>
          <t>N/A</t>
        </is>
      </c>
      <c r="BF329" s="62" t="inlineStr">
        <is>
          <t>N/A</t>
        </is>
      </c>
      <c r="BG329" s="74" t="inlineStr">
        <is>
          <t>Huatai Financial Holdings (Hong Kong) Limited</t>
        </is>
      </c>
      <c r="BH329" s="62" t="inlineStr">
        <is>
          <t>China International Capital Corporation Hong Kong Securities Limited; Huatai Financial Holdings (Hong Kong) Limited</t>
        </is>
      </c>
      <c r="BI329" s="62" t="inlineStr">
        <is>
          <t>China International Capital Corporation Hong Kong Securities Limited; Huatai Financial Holdings (Hong Kong) Limited; CCB International Capital Limited; CLSA Limited; CMB International Capital Limited; Futu Securities International (Hong Kong) Limited; Patrons Securities Limited; TradeGo Markets Limited; Tiger Brokers (HK) Global Limited; Maxa Capital Limited</t>
        </is>
      </c>
      <c r="BJ329" s="62" t="inlineStr">
        <is>
          <t>CCB International Capital Limited; China International Capital Corporation Hong Kong Securities Limited; CLSA Limited; CMB International Capital Corporation Limited; Futu Securities International (Hong Kong) Limited; Huatai Financial Holdings (Hong Kong) Limited; Maxa Capital Limited; Patrons Securities Limited; Tiger Brokers (HK) Global Limited; TradeGo Markets Limited</t>
        </is>
      </c>
      <c r="BK329" s="76">
        <f>HYPERLINK("https://www1.hkexnews.hk/listedco/listconews/sehk/2025/0522/2025052200031.pdf","prospectus")</f>
        <v/>
      </c>
      <c r="BL329" s="76">
        <f>HYPERLINK("https://www1.hkexnews.hk/listedco/listconews/sehk/2025/0529/2025052902298.pdf","allotment")</f>
        <v/>
      </c>
      <c r="BM329" s="76">
        <f>HYPERLINK("https://www1.hkexnews.hk/listedco/listconews/sehk/2025/0626/2025062601818.pdf","stabilisation")</f>
        <v/>
      </c>
      <c r="BN329" s="74" t="n"/>
      <c r="BO329" s="62" t="inlineStr">
        <is>
          <t>P/E: n/m — loss-making at IPO (use P/S) · A/H: no A-share listing</t>
        </is>
      </c>
    </row>
    <row r="330" ht="15" customHeight="1">
      <c r="A330" s="61" t="inlineStr">
        <is>
          <t>9881</t>
        </is>
      </c>
      <c r="B330" s="62" t="inlineStr">
        <is>
          <t>RONGTA TECH</t>
        </is>
      </c>
      <c r="C330" s="62" t="inlineStr">
        <is>
          <t>容大科技</t>
        </is>
      </c>
      <c r="D330" s="62" t="inlineStr">
        <is>
          <t>Tech/AI</t>
        </is>
      </c>
      <c r="E330" s="62" t="inlineStr">
        <is>
          <t>Smart hardware / consumer electronics</t>
        </is>
      </c>
      <c r="F330" s="62" t="inlineStr">
        <is>
          <t>Computer Storage &amp; Peripherals</t>
        </is>
      </c>
      <c r="G330" s="62" t="inlineStr">
        <is>
          <t>Standard</t>
        </is>
      </c>
      <c r="H330" s="63" t="n">
        <v>45818</v>
      </c>
      <c r="I330" s="64" t="n">
        <v>184</v>
      </c>
      <c r="J330" s="62" t="inlineStr">
        <is>
          <t>gross (stated)</t>
        </is>
      </c>
      <c r="K330" s="65" t="n"/>
      <c r="L330" s="65" t="n">
        <v>12</v>
      </c>
      <c r="M330" s="65" t="n">
        <v>10</v>
      </c>
      <c r="N330" s="62" t="inlineStr">
        <is>
          <t>N</t>
        </is>
      </c>
      <c r="O330" s="66" t="n">
        <v>83.3</v>
      </c>
      <c r="P330" s="66" t="n"/>
      <c r="Q330" s="67" t="n">
        <v>947.3</v>
      </c>
      <c r="R330" s="62" t="inlineStr">
        <is>
          <t>derived:price x shares upon listing</t>
        </is>
      </c>
      <c r="S330" s="68" t="n">
        <v>275.96</v>
      </c>
      <c r="T330" s="69" t="n">
        <v>0.96</v>
      </c>
      <c r="U330" s="70" t="n">
        <v>43.64</v>
      </c>
      <c r="V330" s="66" t="n">
        <v>10.95</v>
      </c>
      <c r="W330" s="62" t="inlineStr">
        <is>
          <t>Lin Xiaojian; Sinos Group Limited; Li Shuhan; Main Achieve Holdings Limited; Ng Chi Fat; Xu Kaiming; Xu Kaihe; Lin Huanan; Yang Litie</t>
        </is>
      </c>
      <c r="X330" s="62" t="inlineStr">
        <is>
          <t>lin-xiaojian;sinos;li-shuhan;main;ng;xu-kaiming;xu-kaihe;lin-huanan;yang-litie</t>
        </is>
      </c>
      <c r="Y330" s="66" t="n">
        <v>7.06</v>
      </c>
      <c r="Z330" s="62" t="inlineStr">
        <is>
          <t>lapsed</t>
        </is>
      </c>
      <c r="AA330" s="71" t="n">
        <v>42</v>
      </c>
      <c r="AB330" s="72" t="n">
        <v>66</v>
      </c>
      <c r="AC330" s="72" t="n">
        <v>-14.46</v>
      </c>
      <c r="AD330" s="72" t="n">
        <v>30</v>
      </c>
      <c r="AE330" s="72" t="n">
        <v>3</v>
      </c>
      <c r="AF330" s="72" t="n">
        <v>9.5</v>
      </c>
      <c r="AG330" s="72" t="n">
        <v>-8.449999999999999</v>
      </c>
      <c r="AH330" s="72" t="n">
        <v>-27.46</v>
      </c>
      <c r="AI330" s="72" t="n">
        <v>-22.89</v>
      </c>
      <c r="AJ330" s="72" t="n">
        <v>32.53</v>
      </c>
      <c r="AK330" s="72" t="n">
        <v>6.85</v>
      </c>
      <c r="AL330" s="72" t="n">
        <v>3.68</v>
      </c>
      <c r="AM330" s="72" t="n">
        <v>-24.34</v>
      </c>
      <c r="AN330" s="72" t="n">
        <v>-3.85</v>
      </c>
      <c r="AO330" s="72" t="n">
        <v>-3.12</v>
      </c>
      <c r="AP330" s="62" t="inlineStr">
        <is>
          <t>HSTECH (Hang Seng TECH ETF)</t>
        </is>
      </c>
      <c r="AQ330" s="72" t="n">
        <v>77</v>
      </c>
      <c r="AR330" s="63" t="inlineStr">
        <is>
          <t>2026-08-19</t>
        </is>
      </c>
      <c r="AS330" s="64" t="n">
        <v>385.1</v>
      </c>
      <c r="AT330" s="67" t="n">
        <v>45.5</v>
      </c>
      <c r="AU330" s="62" t="inlineStr">
        <is>
          <t>Y</t>
        </is>
      </c>
      <c r="AV330" s="73" t="n">
        <v>20.8</v>
      </c>
      <c r="AW330" s="73" t="n">
        <v>24.1</v>
      </c>
      <c r="AX330" s="73" t="n">
        <v>28.2</v>
      </c>
      <c r="AY330" s="73" t="n">
        <v>2.5</v>
      </c>
      <c r="AZ330" s="74" t="inlineStr">
        <is>
          <t>N</t>
        </is>
      </c>
      <c r="BA330" s="75">
        <f>IF('BBG Verify'!K330="","not filed — run on terminal",'BBG Verify'!K330)</f>
        <v/>
      </c>
      <c r="BB330" s="62" t="inlineStr">
        <is>
          <t>N/A</t>
        </is>
      </c>
      <c r="BC330" s="62" t="inlineStr">
        <is>
          <t>N/A</t>
        </is>
      </c>
      <c r="BD330" s="62" t="inlineStr">
        <is>
          <t>N/A</t>
        </is>
      </c>
      <c r="BE330" s="62" t="inlineStr">
        <is>
          <t>N/A</t>
        </is>
      </c>
      <c r="BF330" s="62" t="inlineStr">
        <is>
          <t>N/A</t>
        </is>
      </c>
      <c r="BG330" s="74" t="inlineStr">
        <is>
          <t>Yue Xiu Capital Limited</t>
        </is>
      </c>
      <c r="BH330" s="62" t="inlineStr">
        <is>
          <t>Yue Xiu Capital Limited</t>
        </is>
      </c>
      <c r="BI330" s="62" t="inlineStr">
        <is>
          <t>Yue Xiu Securities Company Limited; ABCI CAPITAL LIMITED; ABCI SECURITIES COMPANY LIMITED</t>
        </is>
      </c>
      <c r="BJ330" s="62" t="inlineStr">
        <is>
          <t>ABCI Securities Company Limited; BOCI Asia Limited; CCB International Capital Limited; CMBC Securities Company Limited; CMB International Capital Corporation Limited; Huafu International Securities Limited; Livermore Holdings Limited; Patrons Securities Limited; Yue Xiu Securities Company Limited; Zhongtai International Securities Limited</t>
        </is>
      </c>
      <c r="BK330" s="76">
        <f>HYPERLINK("https://www1.hkexnews.hk/listedco/listconews/sehk/2025/0530/2025053000009.pdf","prospectus")</f>
        <v/>
      </c>
      <c r="BL330" s="76">
        <f>HYPERLINK("https://www1.hkexnews.hk/listedco/listconews/sehk/2025/0609/2025060900996.pdf","allotment")</f>
        <v/>
      </c>
      <c r="BM330" s="76">
        <f>HYPERLINK("https://www1.hkexnews.hk/listedco/listconews/sehk/2025/0707/2025070700712.pdf","stabilisation")</f>
        <v/>
      </c>
      <c r="BN330" s="74" t="n"/>
      <c r="BO330" s="62" t="inlineStr">
        <is>
          <t>range low: cap-only pricing — the filing publishes a Maximum Offer Price and no indicative floor · A/H: no A-share listing</t>
        </is>
      </c>
    </row>
    <row r="331" ht="15" customHeight="1">
      <c r="A331" s="61" t="inlineStr">
        <is>
          <t>2573</t>
        </is>
      </c>
      <c r="B331" s="62" t="inlineStr">
        <is>
          <t>NEWTREND GROUP</t>
        </is>
      </c>
      <c r="C331" s="62" t="inlineStr">
        <is>
          <t>新琪安</t>
        </is>
      </c>
      <c r="D331" s="62" t="inlineStr">
        <is>
          <t>Consumer</t>
        </is>
      </c>
      <c r="E331" s="62" t="inlineStr">
        <is>
          <t>Beverages / packaged food</t>
        </is>
      </c>
      <c r="F331" s="62" t="inlineStr">
        <is>
          <t>Food Additives</t>
        </is>
      </c>
      <c r="G331" s="62" t="inlineStr">
        <is>
          <t>Standard</t>
        </is>
      </c>
      <c r="H331" s="63" t="n">
        <v>45818</v>
      </c>
      <c r="I331" s="64" t="n">
        <v>200.1</v>
      </c>
      <c r="J331" s="62" t="inlineStr">
        <is>
          <t>gross (price x shares)</t>
        </is>
      </c>
      <c r="K331" s="65" t="n"/>
      <c r="L331" s="65" t="n">
        <v>20.9</v>
      </c>
      <c r="M331" s="65" t="n">
        <v>18.9</v>
      </c>
      <c r="N331" s="62" t="inlineStr">
        <is>
          <t>N</t>
        </is>
      </c>
      <c r="O331" s="66" t="n">
        <v>90.40000000000001</v>
      </c>
      <c r="P331" s="66" t="n"/>
      <c r="Q331" s="67" t="n">
        <v>1818.8</v>
      </c>
      <c r="R331" s="62" t="inlineStr">
        <is>
          <t>derived:price x shares upon listing</t>
        </is>
      </c>
      <c r="S331" s="68" t="n">
        <v>149.37</v>
      </c>
      <c r="T331" s="69" t="n">
        <v>0.93</v>
      </c>
      <c r="U331" s="70" t="n">
        <v>29.7</v>
      </c>
      <c r="V331" s="66" t="n">
        <v>7.73</v>
      </c>
      <c r="W331" s="62" t="inlineStr">
        <is>
          <t>Pingtan Xinghang Investment; Ms. Huang; Ms. He; Ms. Chen; He Win Hong Kong Holdings</t>
        </is>
      </c>
      <c r="X331" s="62" t="inlineStr">
        <is>
          <t>pingtan;ms-huang;ms-he;ms-chen;he-win</t>
        </is>
      </c>
      <c r="Y331" s="66" t="n">
        <v>10.2</v>
      </c>
      <c r="Z331" s="62" t="n"/>
      <c r="AA331" s="71" t="n">
        <v>21.43</v>
      </c>
      <c r="AB331" s="72" t="n">
        <v>60.05</v>
      </c>
      <c r="AC331" s="72" t="n">
        <v>-24.13</v>
      </c>
      <c r="AD331" s="72" t="n">
        <v>-16.83</v>
      </c>
      <c r="AE331" s="72" t="n">
        <v>-34.6</v>
      </c>
      <c r="AF331" s="72" t="n">
        <v>-34.92</v>
      </c>
      <c r="AG331" s="72" t="n">
        <v>-31.51</v>
      </c>
      <c r="AH331" s="72" t="n">
        <v>-46.14</v>
      </c>
      <c r="AI331" s="72" t="n">
        <v>-46.41</v>
      </c>
      <c r="AJ331" s="72" t="n">
        <v>-14.92</v>
      </c>
      <c r="AK331" s="72" t="n">
        <v>-30.78</v>
      </c>
      <c r="AL331" s="72" t="n">
        <v>-41.55</v>
      </c>
      <c r="AM331" s="72" t="n">
        <v>-42.72</v>
      </c>
      <c r="AN331" s="72" t="n">
        <v>-3.82</v>
      </c>
      <c r="AO331" s="72" t="n">
        <v>-3.42</v>
      </c>
      <c r="AP331" s="62" t="inlineStr">
        <is>
          <t>Hang Seng Commerce &amp; Industry sub-index</t>
        </is>
      </c>
      <c r="AQ331" s="72" t="n">
        <v>-67.45999999999999</v>
      </c>
      <c r="AR331" s="63" t="inlineStr">
        <is>
          <t>2026-08-20</t>
        </is>
      </c>
      <c r="AS331" s="64" t="n">
        <v>625.8</v>
      </c>
      <c r="AT331" s="67" t="n">
        <v>47.7</v>
      </c>
      <c r="AU331" s="62" t="inlineStr">
        <is>
          <t>Y</t>
        </is>
      </c>
      <c r="AV331" s="73" t="n">
        <v>38.1</v>
      </c>
      <c r="AW331" s="73" t="n">
        <v>41.2</v>
      </c>
      <c r="AX331" s="73" t="n">
        <v>35</v>
      </c>
      <c r="AY331" s="73" t="n">
        <v>2.9</v>
      </c>
      <c r="AZ331" s="74" t="inlineStr">
        <is>
          <t>N</t>
        </is>
      </c>
      <c r="BA331" s="75">
        <f>IF('BBG Verify'!K331="","not filed — run on terminal",'BBG Verify'!K331)</f>
        <v/>
      </c>
      <c r="BB331" s="62" t="inlineStr">
        <is>
          <t>N/A</t>
        </is>
      </c>
      <c r="BC331" s="62" t="inlineStr">
        <is>
          <t>N/A</t>
        </is>
      </c>
      <c r="BD331" s="62" t="inlineStr">
        <is>
          <t>N/A</t>
        </is>
      </c>
      <c r="BE331" s="62" t="inlineStr">
        <is>
          <t>N/A</t>
        </is>
      </c>
      <c r="BF331" s="62" t="inlineStr">
        <is>
          <t>N/A</t>
        </is>
      </c>
      <c r="BG331" s="74" t="inlineStr">
        <is>
          <t>CMBC International Capital Limited</t>
        </is>
      </c>
      <c r="BH331" s="62" t="inlineStr">
        <is>
          <t>CMBC International Capital Limited</t>
        </is>
      </c>
      <c r="BI331" s="62" t="inlineStr">
        <is>
          <t>China Industrial Securities International Capital Limited; Guosen Securities (HK) Capital Company Limited; ABCI Capital Limited</t>
        </is>
      </c>
      <c r="BJ331" s="62" t="inlineStr">
        <is>
          <t>ABCI Securities Company Limited; CCB International Capital Limited; China Industrial Securities International Capital Limited; CMBC Securities Company Limited; CMB International Capital Corporation Limited; Dragon Legend Capital Limited; Guosen Securities (HK) Capital Company Limited; Huafu International Securities Limited; ICBC International Securities Limited; Patrons Securities Limited; Ruibang Securities Limited; SPDB International Capital Limited</t>
        </is>
      </c>
      <c r="BK331" s="76">
        <f>HYPERLINK("https://www1.hkexnews.hk/listedco/listconews/sehk/2025/0530/2025053000073.pdf","prospectus")</f>
        <v/>
      </c>
      <c r="BL331" s="76">
        <f>HYPERLINK("https://www1.hkexnews.hk/listedco/listconews/sehk/2025/0609/2025060901156.pdf","allotment")</f>
        <v/>
      </c>
      <c r="BM331" s="62" t="n"/>
      <c r="BN331" s="74" t="n"/>
      <c r="BO331" s="62" t="inlineStr">
        <is>
          <t>greenshoe: end-of-stabilisation notice not located · range low: cap-only pricing — the filing publishes a Maximum Offer Price and no indicative floor · A/H: no A-share listing</t>
        </is>
      </c>
    </row>
    <row r="332" ht="15" customHeight="1">
      <c r="A332" s="61" t="inlineStr">
        <is>
          <t>2605</t>
        </is>
      </c>
      <c r="B332" s="62" t="inlineStr">
        <is>
          <t>METALIGHT</t>
        </is>
      </c>
      <c r="C332" s="62" t="inlineStr">
        <is>
          <t>METALIGHT</t>
        </is>
      </c>
      <c r="D332" s="62" t="inlineStr">
        <is>
          <t>Tech/AI</t>
        </is>
      </c>
      <c r="E332" s="62" t="inlineStr">
        <is>
          <t>Internet platform / e-commerce</t>
        </is>
      </c>
      <c r="F332" s="62" t="inlineStr">
        <is>
          <t>Advertising</t>
        </is>
      </c>
      <c r="G332" s="62" t="inlineStr">
        <is>
          <t>Standard</t>
        </is>
      </c>
      <c r="H332" s="63" t="n">
        <v>45818</v>
      </c>
      <c r="I332" s="64" t="n">
        <v>242.35</v>
      </c>
      <c r="J332" s="62" t="inlineStr">
        <is>
          <t>gross (stated)</t>
        </is>
      </c>
      <c r="K332" s="65" t="n"/>
      <c r="L332" s="65" t="n">
        <v>9.75</v>
      </c>
      <c r="M332" s="65" t="n">
        <v>9.75</v>
      </c>
      <c r="N332" s="62" t="inlineStr">
        <is>
          <t>Y</t>
        </is>
      </c>
      <c r="O332" s="66" t="n">
        <v>100</v>
      </c>
      <c r="P332" s="66" t="n"/>
      <c r="Q332" s="67" t="n">
        <v>1504.2</v>
      </c>
      <c r="R332" s="62" t="inlineStr">
        <is>
          <t>derived:price x shares upon listing</t>
        </is>
      </c>
      <c r="S332" s="68" t="n">
        <v>274.44</v>
      </c>
      <c r="T332" s="69" t="n">
        <v>2.49</v>
      </c>
      <c r="U332" s="70" t="n">
        <v>0</v>
      </c>
      <c r="V332" s="66" t="n">
        <v>16.11</v>
      </c>
      <c r="W332" s="62" t="n"/>
      <c r="X332" s="62" t="n"/>
      <c r="Y332" s="66" t="n"/>
      <c r="Z332" s="62" t="n"/>
      <c r="AA332" s="71" t="n">
        <v>-30.26</v>
      </c>
      <c r="AB332" s="72" t="n">
        <v>-22.05</v>
      </c>
      <c r="AC332" s="72" t="n">
        <v>-10.53</v>
      </c>
      <c r="AD332" s="72" t="n">
        <v>-29.95</v>
      </c>
      <c r="AE332" s="72" t="n">
        <v>-37.85</v>
      </c>
      <c r="AF332" s="72" t="n">
        <v>-49.64</v>
      </c>
      <c r="AG332" s="72" t="n">
        <v>0.44</v>
      </c>
      <c r="AH332" s="72" t="n">
        <v>-10.88</v>
      </c>
      <c r="AI332" s="72" t="n">
        <v>-27.79</v>
      </c>
      <c r="AJ332" s="72" t="n">
        <v>-27.42</v>
      </c>
      <c r="AK332" s="72" t="n">
        <v>-34</v>
      </c>
      <c r="AL332" s="72" t="n">
        <v>-55.46</v>
      </c>
      <c r="AM332" s="72" t="n">
        <v>-7.76</v>
      </c>
      <c r="AN332" s="72" t="n">
        <v>-3.85</v>
      </c>
      <c r="AO332" s="72" t="n">
        <v>-3.12</v>
      </c>
      <c r="AP332" s="62" t="inlineStr">
        <is>
          <t>HSTECH (Hang Seng TECH ETF)</t>
        </is>
      </c>
      <c r="AQ332" s="72" t="n">
        <v>-87.38</v>
      </c>
      <c r="AR332" s="63" t="inlineStr">
        <is>
          <t>2026-08-20</t>
        </is>
      </c>
      <c r="AS332" s="64" t="n">
        <v>226.8</v>
      </c>
      <c r="AT332" s="67" t="n">
        <v>-28.8</v>
      </c>
      <c r="AU332" s="62" t="inlineStr">
        <is>
          <t>N</t>
        </is>
      </c>
      <c r="AV332" s="62" t="inlineStr">
        <is>
          <t>n/m</t>
        </is>
      </c>
      <c r="AW332" s="73" t="n"/>
      <c r="AX332" s="73" t="n"/>
      <c r="AY332" s="73" t="n">
        <v>6.6</v>
      </c>
      <c r="AZ332" s="74" t="inlineStr">
        <is>
          <t>N</t>
        </is>
      </c>
      <c r="BA332" s="75">
        <f>IF('BBG Verify'!K332="","not filed — run on terminal",'BBG Verify'!K332)</f>
        <v/>
      </c>
      <c r="BB332" s="62" t="inlineStr">
        <is>
          <t>N/A</t>
        </is>
      </c>
      <c r="BC332" s="62" t="inlineStr">
        <is>
          <t>N/A</t>
        </is>
      </c>
      <c r="BD332" s="62" t="inlineStr">
        <is>
          <t>N/A</t>
        </is>
      </c>
      <c r="BE332" s="62" t="inlineStr">
        <is>
          <t>N/A</t>
        </is>
      </c>
      <c r="BF332" s="62" t="inlineStr">
        <is>
          <t>N/A</t>
        </is>
      </c>
      <c r="BG332" s="74" t="inlineStr">
        <is>
          <t>China International Capital Corporation Hong Kong Securities Limited</t>
        </is>
      </c>
      <c r="BH332" s="62" t="inlineStr">
        <is>
          <t>China International Capital Corporation Hong Kong Securities Limited</t>
        </is>
      </c>
      <c r="BI332" s="62" t="inlineStr">
        <is>
          <t>China International Capital Corporation Hong Kong Securities Limited; CMBC Securities Company Limited; ABCI Capital Limited; CCB International Capital Limited; Patrons Securities Limited; SBI China Capital Financial Services Limited; Fosun International Securities Limited; BOCI Asia Limited; Futu Securities International (Hong Kong) Limited; Tiger Brokers (HK) Global Limited; Long Bridge HK Limited</t>
        </is>
      </c>
      <c r="BJ332" s="62" t="inlineStr">
        <is>
          <t>ABCI Securities Company Limited; BOCI Asia Limited; CCB International Capital Limited; China International Capital Corporation Hong Kong Securities Limited; CMBC Securities Company Limited; Fosun International Securities Limited; Futu Securities International (Hong Kong) Limited; Long Bridge HK Limited; Patrons Securities Limited; SBI China Capital Financial Services Limited; Tiger Brokers (HK) Global Limited; Tiger Faith Securities Limited</t>
        </is>
      </c>
      <c r="BK332" s="76">
        <f>HYPERLINK("https://www1.hkexnews.hk/listedco/listconews/sehk/2025/0602/2025060200008.pdf","prospectus")</f>
        <v/>
      </c>
      <c r="BL332" s="76">
        <f>HYPERLINK("https://www1.hkexnews.hk/listedco/listconews/sehk/2025/0609/2025060901376.pdf","allotment")</f>
        <v/>
      </c>
      <c r="BM332" s="62" t="n"/>
      <c r="BN332" s="74" t="n"/>
      <c r="BO332" s="62" t="inlineStr">
        <is>
          <t>P/E: n/m — loss-making at IPO (use P/S) · 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t>
        </is>
      </c>
    </row>
    <row r="333" ht="15" customHeight="1">
      <c r="A333" s="61" t="inlineStr">
        <is>
          <t>3288</t>
        </is>
      </c>
      <c r="B333" s="62" t="inlineStr">
        <is>
          <t>HAITIAN FLAV</t>
        </is>
      </c>
      <c r="C333" s="62" t="inlineStr">
        <is>
          <t>海天味業</t>
        </is>
      </c>
      <c r="D333" s="62" t="inlineStr">
        <is>
          <t>Consumer</t>
        </is>
      </c>
      <c r="E333" s="62" t="inlineStr">
        <is>
          <t>Beverages / packaged food</t>
        </is>
      </c>
      <c r="F333" s="62" t="inlineStr">
        <is>
          <t>Food Additives</t>
        </is>
      </c>
      <c r="G333" s="62" t="inlineStr">
        <is>
          <t>Standard</t>
        </is>
      </c>
      <c r="H333" s="63" t="n">
        <v>45827</v>
      </c>
      <c r="I333" s="64" t="n">
        <v>10128.9</v>
      </c>
      <c r="J333" s="62" t="inlineStr">
        <is>
          <t>gross (stated)</t>
        </is>
      </c>
      <c r="K333" s="65" t="n">
        <v>35</v>
      </c>
      <c r="L333" s="65" t="n">
        <v>36.3</v>
      </c>
      <c r="M333" s="65" t="n">
        <v>36.3</v>
      </c>
      <c r="N333" s="62" t="inlineStr">
        <is>
          <t>Y</t>
        </is>
      </c>
      <c r="O333" s="66" t="n">
        <v>100</v>
      </c>
      <c r="P333" s="66" t="n">
        <v>100</v>
      </c>
      <c r="Q333" s="67" t="n">
        <v>185511</v>
      </c>
      <c r="R333" s="62" t="inlineStr">
        <is>
          <t>derived:deal size / offer % of enlarged capital</t>
        </is>
      </c>
      <c r="S333" s="68" t="n">
        <v>918.15</v>
      </c>
      <c r="T333" s="69" t="n">
        <v>22.93</v>
      </c>
      <c r="U333" s="70" t="n">
        <v>45.8</v>
      </c>
      <c r="V333" s="66" t="n">
        <v>2.96</v>
      </c>
      <c r="W333" s="62" t="inlineStr">
        <is>
          <t>GIC Private Limited; China Pinnacle Equity Management Limited; Supercluster Universe Limited; Boyu Capital Management (Singapore) Pte. Ltd; CICC Financial Trading Limited; GF Global Capital Limited; CITIC Securities International Capital Management Limited; Value Partners Hong Kong Limited; Huatai Capital Investment Limited; Shenzhen Victory Investment Fund Management Company Limited</t>
        </is>
      </c>
      <c r="X333" s="62" t="inlineStr">
        <is>
          <t>gic;pinnacle;supercluster;boyu;china-international;gf;citic;value;huatai;shenzhen-victory</t>
        </is>
      </c>
      <c r="Y333" s="66" t="n">
        <v>15</v>
      </c>
      <c r="Z333" s="62" t="inlineStr">
        <is>
          <t>partial</t>
        </is>
      </c>
      <c r="AA333" s="71" t="n">
        <v>0.55</v>
      </c>
      <c r="AB333" s="72" t="n">
        <v>3.31</v>
      </c>
      <c r="AC333" s="72" t="n">
        <v>-2.67</v>
      </c>
      <c r="AD333" s="72" t="n">
        <v>-3.44</v>
      </c>
      <c r="AE333" s="72" t="n">
        <v>-1.65</v>
      </c>
      <c r="AF333" s="72" t="n">
        <v>-6.5</v>
      </c>
      <c r="AG333" s="72" t="n">
        <v>-3.97</v>
      </c>
      <c r="AH333" s="72" t="n">
        <v>-2.19</v>
      </c>
      <c r="AI333" s="72" t="n">
        <v>-7.01</v>
      </c>
      <c r="AJ333" s="72" t="n">
        <v>-4.73</v>
      </c>
      <c r="AK333" s="72" t="n">
        <v>-7.14</v>
      </c>
      <c r="AL333" s="72" t="n">
        <v>-23.57</v>
      </c>
      <c r="AM333" s="72" t="n">
        <v>-10.05</v>
      </c>
      <c r="AN333" s="72" t="n">
        <v>5.49</v>
      </c>
      <c r="AO333" s="72" t="n">
        <v>7.86</v>
      </c>
      <c r="AP333" s="62" t="inlineStr">
        <is>
          <t>Hang Seng Commerce &amp; Industry sub-index</t>
        </is>
      </c>
      <c r="AQ333" s="72" t="n">
        <v>-11.29</v>
      </c>
      <c r="AR333" s="63" t="inlineStr">
        <is>
          <t>2026-08-20</t>
        </is>
      </c>
      <c r="AS333" s="64" t="n">
        <v>29591.1</v>
      </c>
      <c r="AT333" s="67" t="n">
        <v>6991.4</v>
      </c>
      <c r="AU333" s="62" t="inlineStr">
        <is>
          <t>Y</t>
        </is>
      </c>
      <c r="AV333" s="73" t="n">
        <v>26.5</v>
      </c>
      <c r="AW333" s="73" t="n">
        <v>29.3</v>
      </c>
      <c r="AX333" s="73" t="n">
        <v>22.3</v>
      </c>
      <c r="AY333" s="73" t="n">
        <v>6.3</v>
      </c>
      <c r="AZ333" s="74" t="inlineStr">
        <is>
          <t>Y</t>
        </is>
      </c>
      <c r="BA333" s="62" t="inlineStr">
        <is>
          <t>603288.SS</t>
        </is>
      </c>
      <c r="BB333" s="72" t="n">
        <v>21.07</v>
      </c>
      <c r="BC333" s="65" t="n">
        <v>43.9481</v>
      </c>
      <c r="BD333" s="79" t="n">
        <v>0.297</v>
      </c>
      <c r="BE333" s="77">
        <f>IF('BBG Verify'!Q333="","run on terminal",'BBG Verify'!Q333)</f>
        <v/>
      </c>
      <c r="BF333" s="77">
        <f>IF('BBG Verify'!R333="","run on terminal",'BBG Verify'!R333)</f>
        <v/>
      </c>
      <c r="BG333" s="74" t="inlineStr">
        <is>
          <t>China International Capital Corporation Hong Kong Securities Limited; Goldman Sachs (Asia) L.L.C; Morgan Stanley Asia Limited</t>
        </is>
      </c>
      <c r="BH333" s="62" t="inlineStr">
        <is>
          <t>China International Capital Corporation Hong Kong Securities Limited; Morgan Stanley Asia Limited; Goldman Sachs (Asia) L.L.C.</t>
        </is>
      </c>
      <c r="BI333" s="62" t="inlineStr">
        <is>
          <t>ABCI Securities Company Limited</t>
        </is>
      </c>
      <c r="BJ333" s="62" t="inlineStr">
        <is>
          <t>ABCI Securities Company Limited; BOCI Asia Limited; BOCOM International Securities Limited; CCB International Capital Limited; China Galaxy International Securities (Hong Kong) Company Limited; China International Capital Corporation Hong Kong Securities Limited; CLSA Limited; CMB International Capital Corporation Limited; Futu Securities International (Hong Kong) Limited; GF Securities (Hong Kong) Brokerage Limited; Goldman Sachs (Asia) L.L.C.; Huatai Financial Holdings (Hong Kong) Limited</t>
        </is>
      </c>
      <c r="BK333" s="76">
        <f>HYPERLINK("https://www1.hkexnews.hk/listedco/listconews/sehk/2025/0611/2025061100017.pdf","prospectus")</f>
        <v/>
      </c>
      <c r="BL333" s="76">
        <f>HYPERLINK("https://www1.hkexnews.hk/listedco/listconews/sehk/2025/0618/2025061801931.pdf","allotment")</f>
        <v/>
      </c>
      <c r="BM333" s="76">
        <f>HYPERLINK("https://www1.hkexnews.hk/listedco/listconews/sehk/2025/0717/2025071700201.pdf","stabilisation")</f>
        <v/>
      </c>
      <c r="BN333" s="74" t="n"/>
      <c r="BO333" s="62" t="inlineStr">
        <is>
          <t>A/H: Jun 2025, ~US$1.3bn; condiments leader</t>
        </is>
      </c>
    </row>
    <row r="334" ht="15" customHeight="1">
      <c r="A334" s="61" t="inlineStr">
        <is>
          <t>2609</t>
        </is>
      </c>
      <c r="B334" s="62" t="inlineStr">
        <is>
          <t>BAYZED HEALTH</t>
        </is>
      </c>
      <c r="C334" s="62" t="inlineStr">
        <is>
          <t>佰澤醫療</t>
        </is>
      </c>
      <c r="D334" s="62" t="inlineStr">
        <is>
          <t>Healthcare</t>
        </is>
      </c>
      <c r="E334" s="62" t="inlineStr">
        <is>
          <t>Digital health</t>
        </is>
      </c>
      <c r="F334" s="62" t="inlineStr">
        <is>
          <t>Health Care Services</t>
        </is>
      </c>
      <c r="G334" s="62" t="inlineStr">
        <is>
          <t>Standard</t>
        </is>
      </c>
      <c r="H334" s="63" t="n">
        <v>45831</v>
      </c>
      <c r="I334" s="64" t="n">
        <v>561.7</v>
      </c>
      <c r="J334" s="62" t="inlineStr">
        <is>
          <t>gross (stated)</t>
        </is>
      </c>
      <c r="K334" s="65" t="n">
        <v>4.22</v>
      </c>
      <c r="L334" s="65" t="n">
        <v>6.75</v>
      </c>
      <c r="M334" s="65" t="n">
        <v>4.22</v>
      </c>
      <c r="N334" s="62" t="inlineStr">
        <is>
          <t>N</t>
        </is>
      </c>
      <c r="O334" s="66" t="n">
        <v>62.5</v>
      </c>
      <c r="P334" s="66" t="n">
        <v>0</v>
      </c>
      <c r="Q334" s="67" t="n">
        <v>5563.9</v>
      </c>
      <c r="R334" s="62" t="inlineStr">
        <is>
          <t>derived:price x shares upon listing</t>
        </is>
      </c>
      <c r="S334" s="68" t="n">
        <v>25.92</v>
      </c>
      <c r="T334" s="69" t="n">
        <v>0.98</v>
      </c>
      <c r="U334" s="70" t="n">
        <v>26.5</v>
      </c>
      <c r="V334" s="66" t="n">
        <v>7.42</v>
      </c>
      <c r="W334" s="62" t="inlineStr">
        <is>
          <t>Harvest Oriental SP</t>
        </is>
      </c>
      <c r="X334" s="62" t="inlineStr">
        <is>
          <t>harvest</t>
        </is>
      </c>
      <c r="Y334" s="66" t="n"/>
      <c r="Z334" s="62" t="n"/>
      <c r="AA334" s="71" t="n">
        <v>42.18</v>
      </c>
      <c r="AB334" s="72" t="n">
        <v>24.41</v>
      </c>
      <c r="AC334" s="72" t="n">
        <v>14.28</v>
      </c>
      <c r="AD334" s="72" t="n">
        <v>46.21</v>
      </c>
      <c r="AE334" s="72" t="n">
        <v>57.11</v>
      </c>
      <c r="AF334" s="72" t="n">
        <v>91.94</v>
      </c>
      <c r="AG334" s="72" t="n">
        <v>2.83</v>
      </c>
      <c r="AH334" s="72" t="n">
        <v>10.5</v>
      </c>
      <c r="AI334" s="72" t="n">
        <v>35</v>
      </c>
      <c r="AJ334" s="72" t="n">
        <v>43.69</v>
      </c>
      <c r="AK334" s="72" t="n">
        <v>39.85</v>
      </c>
      <c r="AL334" s="72" t="n">
        <v>59.77</v>
      </c>
      <c r="AM334" s="72" t="n">
        <v>-4.99</v>
      </c>
      <c r="AN334" s="72" t="n">
        <v>17.26</v>
      </c>
      <c r="AO334" s="72" t="n">
        <v>15.49</v>
      </c>
      <c r="AP334" s="62" t="inlineStr">
        <is>
          <t>China Biotech ETF (HS biotech proxy)</t>
        </is>
      </c>
      <c r="AQ334" s="72" t="n">
        <v>-29.27</v>
      </c>
      <c r="AR334" s="63" t="inlineStr">
        <is>
          <t>2026-08-21</t>
        </is>
      </c>
      <c r="AS334" s="64" t="n">
        <v>1307.7</v>
      </c>
      <c r="AT334" s="67" t="n">
        <v>-3.9</v>
      </c>
      <c r="AU334" s="62" t="inlineStr">
        <is>
          <t>N</t>
        </is>
      </c>
      <c r="AV334" s="62" t="inlineStr">
        <is>
          <t>n/m</t>
        </is>
      </c>
      <c r="AW334" s="73" t="n"/>
      <c r="AX334" s="73" t="n"/>
      <c r="AY334" s="73" t="n">
        <v>4.3</v>
      </c>
      <c r="AZ334" s="74" t="inlineStr">
        <is>
          <t>N</t>
        </is>
      </c>
      <c r="BA334" s="75">
        <f>IF('BBG Verify'!K334="","not filed — run on terminal",'BBG Verify'!K334)</f>
        <v/>
      </c>
      <c r="BB334" s="62" t="inlineStr">
        <is>
          <t>N/A</t>
        </is>
      </c>
      <c r="BC334" s="62" t="inlineStr">
        <is>
          <t>N/A</t>
        </is>
      </c>
      <c r="BD334" s="62" t="inlineStr">
        <is>
          <t>N/A</t>
        </is>
      </c>
      <c r="BE334" s="62" t="inlineStr">
        <is>
          <t>N/A</t>
        </is>
      </c>
      <c r="BF334" s="62" t="inlineStr">
        <is>
          <t>N/A</t>
        </is>
      </c>
      <c r="BG334" s="74" t="inlineStr">
        <is>
          <t>CMB Wing Lung Bank Limited; CMB Wing Lung (Nominees) Limited; Principal Share Registrar and Transfer Office Maples Fund Services (Cayman) Limited; Cayman Islands Hong Kong Share Registrar Tricor Investor Services Limited; Caitong International Capital Co., Limited; CORPORATE INFORMATION Principal Banks Bank of China Tianjin Dagang Branch</t>
        </is>
      </c>
      <c r="BH334" s="62" t="inlineStr">
        <is>
          <t>CMB International Capital Limited</t>
        </is>
      </c>
      <c r="BI334" s="62" t="inlineStr">
        <is>
          <t>CMB International Capital Limited; Futu Securities International (Hong Kong) Limited</t>
        </is>
      </c>
      <c r="BJ334" s="62" t="inlineStr">
        <is>
          <t>CMB International Capital Limited; Futu Securities International (Hong Kong) Limited</t>
        </is>
      </c>
      <c r="BK334" s="76">
        <f>HYPERLINK("https://www1.hkexnews.hk/listedco/listconews/sehk/2025/0613/2025061300019.pdf","prospectus")</f>
        <v/>
      </c>
      <c r="BL334" s="76">
        <f>HYPERLINK("https://www1.hkexnews.hk/listedco/listconews/sehk/2025/0620/2025062001890.pdf","allotment")</f>
        <v/>
      </c>
      <c r="BM334" s="62" t="n"/>
      <c r="BN334" s="74" t="n"/>
      <c r="BO334" s="62" t="inlineStr">
        <is>
          <t>P/E: n/m — loss-making at IPO (use P/S) · greenshoe: no over-allotment option in the offer structure · A/H: no A-share listing · market cap: AAStocks lists HK$7,649m at listing vs HK$5,564m from price x filed share count — the filed count is kept · greenshoe size: no over-allotment option in the offer structure</t>
        </is>
      </c>
    </row>
    <row r="335" ht="15" customHeight="1">
      <c r="A335" s="61" t="inlineStr">
        <is>
          <t>2050</t>
        </is>
      </c>
      <c r="B335" s="62" t="inlineStr">
        <is>
          <t>SANHUA</t>
        </is>
      </c>
      <c r="C335" s="62" t="inlineStr">
        <is>
          <t>三花智控</t>
        </is>
      </c>
      <c r="D335" s="62" t="inlineStr">
        <is>
          <t>Consumer</t>
        </is>
      </c>
      <c r="E335" s="62" t="inlineStr">
        <is>
          <t>Auto parts / supply chain</t>
        </is>
      </c>
      <c r="F335" s="62" t="inlineStr">
        <is>
          <t>Electrical Components &amp; Equipment</t>
        </is>
      </c>
      <c r="G335" s="62" t="inlineStr">
        <is>
          <t>Standard</t>
        </is>
      </c>
      <c r="H335" s="63" t="n">
        <v>45831</v>
      </c>
      <c r="I335" s="64" t="n">
        <v>9336</v>
      </c>
      <c r="J335" s="62" t="inlineStr">
        <is>
          <t>gross (stated)</t>
        </is>
      </c>
      <c r="K335" s="65" t="n"/>
      <c r="L335" s="65" t="n">
        <v>22.53</v>
      </c>
      <c r="M335" s="65" t="n">
        <v>22.53</v>
      </c>
      <c r="N335" s="62" t="inlineStr">
        <is>
          <t>Y</t>
        </is>
      </c>
      <c r="O335" s="66" t="n">
        <v>100</v>
      </c>
      <c r="P335" s="66" t="n"/>
      <c r="Q335" s="67" t="n">
        <v>93360</v>
      </c>
      <c r="R335" s="62" t="inlineStr">
        <is>
          <t>derived:deal size / offer % of enlarged capital</t>
        </is>
      </c>
      <c r="S335" s="68" t="n">
        <v>747.92</v>
      </c>
      <c r="T335" s="69" t="n">
        <v>23.57</v>
      </c>
      <c r="U335" s="70" t="n">
        <v>47</v>
      </c>
      <c r="V335" s="66" t="n">
        <v>5.3</v>
      </c>
      <c r="W335" s="62" t="inlineStr">
        <is>
          <t>Schroders; HK Greenwoods; Green Better; Verition; Capital VIII; Mirae Securities; ICBC Wealth; PSBC Wealth; Taikang Life; Mega Prime; Wind Sabre; Martis Fund, L.P; MSIP; Jane Street</t>
        </is>
      </c>
      <c r="X335" s="62" t="inlineStr">
        <is>
          <t>schroders;greenwoods;green;verition;viii;mirae;icbc;psbc;taikang;mega;wind;martis;morgan;jane</t>
        </is>
      </c>
      <c r="Y335" s="66" t="n">
        <v>15</v>
      </c>
      <c r="Z335" s="62" t="inlineStr">
        <is>
          <t>full</t>
        </is>
      </c>
      <c r="AA335" s="71" t="n">
        <v>-0.13</v>
      </c>
      <c r="AB335" s="72" t="n">
        <v>-7.01</v>
      </c>
      <c r="AC335" s="72" t="n">
        <v>7.4</v>
      </c>
      <c r="AD335" s="72" t="n">
        <v>11.63</v>
      </c>
      <c r="AE335" s="72" t="n">
        <v>26.5</v>
      </c>
      <c r="AF335" s="72" t="n">
        <v>70.34999999999999</v>
      </c>
      <c r="AG335" s="72" t="n">
        <v>11.78</v>
      </c>
      <c r="AH335" s="72" t="n">
        <v>26.66</v>
      </c>
      <c r="AI335" s="72" t="n">
        <v>70.56999999999999</v>
      </c>
      <c r="AJ335" s="72" t="n">
        <v>9.550000000000001</v>
      </c>
      <c r="AK335" s="72" t="n">
        <v>16.87</v>
      </c>
      <c r="AL335" s="72" t="n">
        <v>52.99</v>
      </c>
      <c r="AM335" s="72" t="n">
        <v>17.67</v>
      </c>
      <c r="AN335" s="72" t="n">
        <v>9.630000000000001</v>
      </c>
      <c r="AO335" s="72" t="n">
        <v>8.99</v>
      </c>
      <c r="AP335" s="62" t="inlineStr">
        <is>
          <t>Hang Seng Commerce &amp; Industry sub-index</t>
        </is>
      </c>
      <c r="AQ335" s="72" t="n">
        <v>22.15</v>
      </c>
      <c r="AR335" s="63" t="inlineStr">
        <is>
          <t>2026-08-21</t>
        </is>
      </c>
      <c r="AS335" s="64" t="n">
        <v>30741.9</v>
      </c>
      <c r="AT335" s="67" t="n">
        <v>3422.9</v>
      </c>
      <c r="AU335" s="62" t="inlineStr">
        <is>
          <t>Y</t>
        </is>
      </c>
      <c r="AV335" s="73" t="n">
        <v>27.3</v>
      </c>
      <c r="AW335" s="73" t="n">
        <v>24.5</v>
      </c>
      <c r="AX335" s="73" t="n">
        <v>22.5</v>
      </c>
      <c r="AY335" s="73" t="n">
        <v>3</v>
      </c>
      <c r="AZ335" s="74" t="inlineStr">
        <is>
          <t>Y</t>
        </is>
      </c>
      <c r="BA335" s="62" t="inlineStr">
        <is>
          <t>002050.SZ</t>
        </is>
      </c>
      <c r="BB335" s="72" t="n">
        <v>20.9</v>
      </c>
      <c r="BC335" s="65" t="n">
        <v>27.2396</v>
      </c>
      <c r="BD335" s="79" t="n">
        <v>0.5778</v>
      </c>
      <c r="BE335" s="77">
        <f>IF('BBG Verify'!Q335="","run on terminal",'BBG Verify'!Q335)</f>
        <v/>
      </c>
      <c r="BF335" s="77">
        <f>IF('BBG Verify'!R335="","run on terminal",'BBG Verify'!R335)</f>
        <v/>
      </c>
      <c r="BG335" s="74" t="inlineStr">
        <is>
          <t>China International Capital Corporation Hong Kong Securities Limited; Huatai Financial Holdings (Hong Kong) Limited</t>
        </is>
      </c>
      <c r="BH335" s="62" t="inlineStr">
        <is>
          <t>China International Capital Corporation Hong Kong Securities Limited; Huatai Financial Holdings (Hong Kong) Limited</t>
        </is>
      </c>
      <c r="BI335" s="62" t="inlineStr">
        <is>
          <t>China International Capital Corporation Hong Kong Securities Limited; Huatai Financial Holdings (Hong Kong) Limited; ABCI Capital Limited; Caitong International Securities Co., Limited; GF Securities (Hong Kong) Brokerage Limited; Zheshang International Financial Holdings Co., Limited</t>
        </is>
      </c>
      <c r="BJ335" s="62" t="inlineStr">
        <is>
          <t>ABCI Securities Company Limited; BOCI Asia Limited; Caitong International Securities Company Limited; China International Capital Corporation Hong Kong Securities Limited; GF Securities (Hong Kong) Brokerage Limited; Huatai Financial Holdings (Hong Kong) Limited; Zheshang International Financial Holdings Co., Limited</t>
        </is>
      </c>
      <c r="BK335" s="76">
        <f>HYPERLINK("https://www1.hkexnews.hk/listedco/listconews/sehk/2025/0613/2025061300017.pdf","prospectus")</f>
        <v/>
      </c>
      <c r="BL335" s="76">
        <f>HYPERLINK("https://www1.hkexnews.hk/listedco/listconews/sehk/2025/0620/2025062002236.pdf","allotment")</f>
        <v/>
      </c>
      <c r="BM335" s="76">
        <f>HYPERLINK("https://www1.hkexnews.hk/listedco/listconews/sehk/2025/0718/2025071801258.pdf","stabilisation")</f>
        <v/>
      </c>
      <c r="BN335" s="74" t="n"/>
      <c r="BO335" s="62" t="inlineStr">
        <is>
          <t>range low: cap-only pricing — the filing publishes a Maximum Offer Price and no indicative floor · A/H: Jun 2025 H listing (thermal management/humanoid actuators)</t>
        </is>
      </c>
    </row>
    <row r="336" ht="15" customHeight="1">
      <c r="A336" s="61" t="inlineStr">
        <is>
          <t>2617</t>
        </is>
      </c>
      <c r="B336" s="62" t="inlineStr">
        <is>
          <t>TRANSTHERA-B</t>
        </is>
      </c>
      <c r="C336" s="62" t="inlineStr">
        <is>
          <t>藥捷安康－Ｂ</t>
        </is>
      </c>
      <c r="D336" s="62" t="inlineStr">
        <is>
          <t>Healthcare</t>
        </is>
      </c>
      <c r="E336" s="62" t="inlineStr">
        <is>
          <t>Biotech pre-revenue (18A)</t>
        </is>
      </c>
      <c r="F336" s="62" t="inlineStr">
        <is>
          <t>Pharmaceuticals</t>
        </is>
      </c>
      <c r="G336" s="62" t="inlineStr">
        <is>
          <t>18A</t>
        </is>
      </c>
      <c r="H336" s="63" t="n">
        <v>45831</v>
      </c>
      <c r="I336" s="64" t="n">
        <v>200.9</v>
      </c>
      <c r="J336" s="62" t="inlineStr">
        <is>
          <t>gross (price x shares)</t>
        </is>
      </c>
      <c r="K336" s="65" t="n"/>
      <c r="L336" s="65" t="n">
        <v>13.15</v>
      </c>
      <c r="M336" s="65" t="n">
        <v>13.15</v>
      </c>
      <c r="N336" s="62" t="inlineStr">
        <is>
          <t>Y</t>
        </is>
      </c>
      <c r="O336" s="66" t="n">
        <v>100</v>
      </c>
      <c r="P336" s="66" t="n"/>
      <c r="Q336" s="67" t="n">
        <v>5219.2</v>
      </c>
      <c r="R336" s="62" t="inlineStr">
        <is>
          <t>derived:price x shares upon listing</t>
        </is>
      </c>
      <c r="S336" s="68" t="n">
        <v>3419.87</v>
      </c>
      <c r="T336" s="78">
        <f>IF('BBG Verify'!E336="","not filed — run on terminal",'BBG Verify'!E336)</f>
        <v/>
      </c>
      <c r="U336" s="70" t="n">
        <v>64.06</v>
      </c>
      <c r="V336" s="66" t="n">
        <v>1.38</v>
      </c>
      <c r="W336" s="62" t="inlineStr">
        <is>
          <t>Akeso, Inc; BOCOM International Securities Limited; Huatai Capital Investment Limited</t>
        </is>
      </c>
      <c r="X336" s="62" t="inlineStr">
        <is>
          <t>akeso;bank-communications;huatai</t>
        </is>
      </c>
      <c r="Y336" s="66" t="n">
        <v>8.390000000000001</v>
      </c>
      <c r="Z336" s="62" t="n"/>
      <c r="AA336" s="71" t="n">
        <v>78.70999999999999</v>
      </c>
      <c r="AB336" s="72" t="n">
        <v>64.64</v>
      </c>
      <c r="AC336" s="72" t="n">
        <v>8.550000000000001</v>
      </c>
      <c r="AD336" s="72" t="n">
        <v>129.28</v>
      </c>
      <c r="AE336" s="72" t="n">
        <v>138.78</v>
      </c>
      <c r="AF336" s="72" t="n">
        <v>1039.92</v>
      </c>
      <c r="AG336" s="72" t="n">
        <v>28.3</v>
      </c>
      <c r="AH336" s="72" t="n">
        <v>33.61</v>
      </c>
      <c r="AI336" s="72" t="n">
        <v>537.86</v>
      </c>
      <c r="AJ336" s="72" t="n">
        <v>126.76</v>
      </c>
      <c r="AK336" s="72" t="n">
        <v>121.52</v>
      </c>
      <c r="AL336" s="72" t="n">
        <v>1007.75</v>
      </c>
      <c r="AM336" s="72" t="n">
        <v>18.12</v>
      </c>
      <c r="AN336" s="72" t="n">
        <v>17.26</v>
      </c>
      <c r="AO336" s="72" t="n">
        <v>15.49</v>
      </c>
      <c r="AP336" s="62" t="inlineStr">
        <is>
          <t>China Biotech ETF (HS biotech proxy)</t>
        </is>
      </c>
      <c r="AQ336" s="72" t="n">
        <v>-21.6</v>
      </c>
      <c r="AR336" s="63" t="inlineStr">
        <is>
          <t>2026-08-21</t>
        </is>
      </c>
      <c r="AS336" s="64" t="n">
        <v>1.3</v>
      </c>
      <c r="AT336" s="67" t="n">
        <v>-377.7</v>
      </c>
      <c r="AU336" s="62" t="inlineStr">
        <is>
          <t>N</t>
        </is>
      </c>
      <c r="AV336" s="62" t="inlineStr">
        <is>
          <t>n/m</t>
        </is>
      </c>
      <c r="AW336" s="73" t="n"/>
      <c r="AX336" s="73" t="n"/>
      <c r="AY336" s="73" t="n">
        <v>4014.8</v>
      </c>
      <c r="AZ336" s="74" t="inlineStr">
        <is>
          <t>N</t>
        </is>
      </c>
      <c r="BA336" s="75">
        <f>IF('BBG Verify'!K336="","not filed — run on terminal",'BBG Verify'!K336)</f>
        <v/>
      </c>
      <c r="BB336" s="62" t="inlineStr">
        <is>
          <t>N/A</t>
        </is>
      </c>
      <c r="BC336" s="62" t="inlineStr">
        <is>
          <t>N/A</t>
        </is>
      </c>
      <c r="BD336" s="62" t="inlineStr">
        <is>
          <t>N/A</t>
        </is>
      </c>
      <c r="BE336" s="62" t="inlineStr">
        <is>
          <t>N/A</t>
        </is>
      </c>
      <c r="BF336" s="62" t="inlineStr">
        <is>
          <t>N/A</t>
        </is>
      </c>
      <c r="BG336" s="74" t="inlineStr">
        <is>
          <t>(In no particular order) CITIC Securities (Hong Kong) Limited; Huatai Financial Holdings (Hong Kong) Limited</t>
        </is>
      </c>
      <c r="BH336" s="62" t="inlineStr">
        <is>
          <t>Huatai Financial Holdings (Hong Kong) Limited; CITIC Securities (Hong Kong) Limited</t>
        </is>
      </c>
      <c r="BI336" s="62" t="inlineStr">
        <is>
          <t>CLSA Limited; Huatai Financial Holdings (Hong Kong) Limited; BOCI Asia Limited; CMB International Capital Limited; SPDB International Capital Limited; TradeGo Markets Limited</t>
        </is>
      </c>
      <c r="BJ336" s="62" t="inlineStr">
        <is>
          <t>BOCI Asia Limited; BOCOM International Securities Limited; CLSA Limited; CMB International Capital Limited; Huatai Financial Holdings (Hong Kong) Limited; SPDB International Capital Limited; TradeGo Markets Limited</t>
        </is>
      </c>
      <c r="BK336" s="76">
        <f>HYPERLINK("https://www1.hkexnews.hk/listedco/listconews/sehk/2025/0613/2025061300035.pdf","prospectus")</f>
        <v/>
      </c>
      <c r="BL336" s="76">
        <f>HYPERLINK("https://www1.hkexnews.hk/listedco/listconews/sehk/2025/0620/2025062002274.pdf","allotment")</f>
        <v/>
      </c>
      <c r="BM336" s="62" t="n"/>
      <c r="BN336" s="74" t="n"/>
      <c r="BO336" s="62" t="inlineStr">
        <is>
          <t>intl sub: parsed 0.97x rejected — implausible for a deal struck at the cap with the public tranche 3,420x subscribed (a percentage read as a multiple); BBG Verify CP037 fills this on the terminal · P/E: n/m — loss-making at IPO (use P/S) · greenshoe: end-of-stabilisation notice not located · range low: cap-only pricing — the filing publishes a Maximum Offer Price and no indicative floor · A/H: no A-share listing · P/S: 4,015x on HK$1.3m revenue — effectively pre-revenue; the multiple is shown for completeness, not comparability</t>
        </is>
      </c>
    </row>
    <row r="337" ht="15" customHeight="1">
      <c r="A337" s="61" t="inlineStr">
        <is>
          <t>2619</t>
        </is>
      </c>
      <c r="B337" s="62" t="inlineStr">
        <is>
          <t>XJ ELECTRICS</t>
        </is>
      </c>
      <c r="C337" s="62" t="inlineStr">
        <is>
          <t>香江電器</t>
        </is>
      </c>
      <c r="D337" s="62" t="inlineStr">
        <is>
          <t>Tech/AI</t>
        </is>
      </c>
      <c r="E337" s="62" t="inlineStr">
        <is>
          <t>Smart hardware / consumer electronics</t>
        </is>
      </c>
      <c r="F337" s="62" t="inlineStr">
        <is>
          <t>Household Appliances</t>
        </is>
      </c>
      <c r="G337" s="62" t="inlineStr">
        <is>
          <t>Standard</t>
        </is>
      </c>
      <c r="H337" s="63" t="n">
        <v>45833</v>
      </c>
      <c r="I337" s="64" t="n">
        <v>195.11</v>
      </c>
      <c r="J337" s="62" t="inlineStr">
        <is>
          <t>gross (stated)</t>
        </is>
      </c>
      <c r="K337" s="65" t="n"/>
      <c r="L337" s="65" t="n">
        <v>3.35</v>
      </c>
      <c r="M337" s="65" t="n">
        <v>2.86</v>
      </c>
      <c r="N337" s="62" t="inlineStr">
        <is>
          <t>N</t>
        </is>
      </c>
      <c r="O337" s="66" t="n">
        <v>85.40000000000001</v>
      </c>
      <c r="P337" s="66" t="n"/>
      <c r="Q337" s="67" t="n">
        <v>780.4</v>
      </c>
      <c r="R337" s="62" t="inlineStr">
        <is>
          <t>derived:price x shares upon listing</t>
        </is>
      </c>
      <c r="S337" s="68" t="n">
        <v>852.38</v>
      </c>
      <c r="T337" s="69" t="n">
        <v>1.08</v>
      </c>
      <c r="U337" s="70" t="n">
        <v>44</v>
      </c>
      <c r="V337" s="66" t="n">
        <v>14</v>
      </c>
      <c r="W337" s="62" t="inlineStr">
        <is>
          <t>Shunjie Investment; Xinghuang Holdings; Yunxing Technology</t>
        </is>
      </c>
      <c r="X337" s="62" t="inlineStr">
        <is>
          <t>shunjie;xinghuang;yunxing</t>
        </is>
      </c>
      <c r="Y337" s="66" t="n">
        <v>19</v>
      </c>
      <c r="Z337" s="62" t="n"/>
      <c r="AA337" s="71" t="n">
        <v>-11.89</v>
      </c>
      <c r="AB337" s="72" t="n">
        <v>-7.34</v>
      </c>
      <c r="AC337" s="72" t="n">
        <v>-4.91</v>
      </c>
      <c r="AD337" s="72" t="n">
        <v>-18.53</v>
      </c>
      <c r="AE337" s="72" t="n">
        <v>-16.08</v>
      </c>
      <c r="AF337" s="72" t="n">
        <v>-31.82</v>
      </c>
      <c r="AG337" s="72" t="n">
        <v>-7.54</v>
      </c>
      <c r="AH337" s="72" t="n">
        <v>-4.76</v>
      </c>
      <c r="AI337" s="72" t="n">
        <v>-22.62</v>
      </c>
      <c r="AJ337" s="72" t="n">
        <v>-17.47</v>
      </c>
      <c r="AK337" s="72" t="n">
        <v>-23.2</v>
      </c>
      <c r="AL337" s="72" t="n">
        <v>-48.07</v>
      </c>
      <c r="AM337" s="72" t="n">
        <v>-10.76</v>
      </c>
      <c r="AN337" s="72" t="n">
        <v>7.12</v>
      </c>
      <c r="AO337" s="72" t="n">
        <v>6</v>
      </c>
      <c r="AP337" s="62" t="inlineStr">
        <is>
          <t>HSTECH (Hang Seng TECH ETF)</t>
        </is>
      </c>
      <c r="AQ337" s="72" t="n">
        <v>-54.9</v>
      </c>
      <c r="AR337" s="63" t="inlineStr">
        <is>
          <t>2026-08-21</t>
        </is>
      </c>
      <c r="AS337" s="64" t="n">
        <v>1651.7</v>
      </c>
      <c r="AT337" s="67" t="n">
        <v>154.5</v>
      </c>
      <c r="AU337" s="62" t="inlineStr">
        <is>
          <t>Y</t>
        </is>
      </c>
      <c r="AV337" s="73" t="n">
        <v>5.1</v>
      </c>
      <c r="AW337" s="73" t="n">
        <v>3.3</v>
      </c>
      <c r="AX337" s="73" t="n">
        <v>5.3</v>
      </c>
      <c r="AY337" s="73" t="n">
        <v>0.5</v>
      </c>
      <c r="AZ337" s="74" t="inlineStr">
        <is>
          <t>N</t>
        </is>
      </c>
      <c r="BA337" s="75">
        <f>IF('BBG Verify'!K337="","not filed — run on terminal",'BBG Verify'!K337)</f>
        <v/>
      </c>
      <c r="BB337" s="62" t="inlineStr">
        <is>
          <t>N/A</t>
        </is>
      </c>
      <c r="BC337" s="62" t="inlineStr">
        <is>
          <t>N/A</t>
        </is>
      </c>
      <c r="BD337" s="62" t="inlineStr">
        <is>
          <t>N/A</t>
        </is>
      </c>
      <c r="BE337" s="62" t="inlineStr">
        <is>
          <t>N/A</t>
        </is>
      </c>
      <c r="BF337" s="62" t="inlineStr">
        <is>
          <t>N/A</t>
        </is>
      </c>
      <c r="BG337" s="74" t="n"/>
      <c r="BH337" s="62" t="inlineStr">
        <is>
          <t>Sinolink Securities (Hong Kong) Company Limited</t>
        </is>
      </c>
      <c r="BI337" s="62" t="inlineStr">
        <is>
          <t>ABCI Securities Company Limited; CCB International Capital Limited; CMBC Securities Company Limited; CMB International Capital Limited; First Fidelity Capital (International) Limited; Sinolink Securities (Hong Kong) Company Limited</t>
        </is>
      </c>
      <c r="BJ337" s="62" t="inlineStr">
        <is>
          <t>ABCI Securities Company Limited; CCB International Capital Limited; CMBC Securities Company Limited; CMB International Capital Limited; First Fidelity Capital (International) Limited; Sinolink Securities (Hong Kong) Company Limited; UZen Securities Limited; Valuable Capital Limited</t>
        </is>
      </c>
      <c r="BK337" s="76">
        <f>HYPERLINK("https://www1.hkexnews.hk/listedco/listconews/sehk/2025/0617/2025061700043.pdf","prospectus")</f>
        <v/>
      </c>
      <c r="BL337" s="76">
        <f>HYPERLINK("https://www1.hkexnews.hk/listedco/listconews/sehk/2025/0624/2025062401168.pdf","allotment")</f>
        <v/>
      </c>
      <c r="BM337" s="62" t="n"/>
      <c r="BN337" s="74" t="n"/>
      <c r="BO337" s="62" t="inlineStr">
        <is>
          <t>greenshoe: end-of-stabilisation notice not located · range low: cap-only pricing — the filing publishes a Maximum Offer Price and no indicative floor · A/H: no A-share listing · sponsor: English name not in the filing text; AAStocks 保薦人 shown</t>
        </is>
      </c>
    </row>
    <row r="338" ht="15" customHeight="1">
      <c r="A338" s="61" t="inlineStr">
        <is>
          <t>2643</t>
        </is>
      </c>
      <c r="B338" s="62" t="inlineStr">
        <is>
          <t>CAOCAO INC</t>
        </is>
      </c>
      <c r="C338" s="62" t="inlineStr">
        <is>
          <t>曹操出行</t>
        </is>
      </c>
      <c r="D338" s="62" t="inlineStr">
        <is>
          <t>Tech/AI</t>
        </is>
      </c>
      <c r="E338" s="62" t="inlineStr">
        <is>
          <t>Internet platform / e-commerce</t>
        </is>
      </c>
      <c r="F338" s="62" t="inlineStr">
        <is>
          <t>Trucking</t>
        </is>
      </c>
      <c r="G338" s="62" t="inlineStr">
        <is>
          <t>Standard</t>
        </is>
      </c>
      <c r="H338" s="63" t="n">
        <v>45833</v>
      </c>
      <c r="I338" s="64" t="n">
        <v>1852.85</v>
      </c>
      <c r="J338" s="62" t="inlineStr">
        <is>
          <t>gross (stated)</t>
        </is>
      </c>
      <c r="K338" s="65" t="n"/>
      <c r="L338" s="65" t="n">
        <v>41.94</v>
      </c>
      <c r="M338" s="65" t="n">
        <v>41.94</v>
      </c>
      <c r="N338" s="62" t="inlineStr">
        <is>
          <t>Y</t>
        </is>
      </c>
      <c r="O338" s="66" t="n">
        <v>100</v>
      </c>
      <c r="P338" s="66" t="n"/>
      <c r="Q338" s="67" t="n">
        <v>22822.9</v>
      </c>
      <c r="R338" s="62" t="inlineStr">
        <is>
          <t>derived:price x shares upon listing</t>
        </is>
      </c>
      <c r="S338" s="68" t="n">
        <v>21.14</v>
      </c>
      <c r="T338" s="69" t="n">
        <v>2.78</v>
      </c>
      <c r="U338" s="70" t="n">
        <v>51.3</v>
      </c>
      <c r="V338" s="66" t="n">
        <v>3.95</v>
      </c>
      <c r="W338" s="62" t="inlineStr">
        <is>
          <t>Mercedes-Benz Mobility Services; Mirae Asset Securities (HK) Limited; Infini Global Master Fund; Gotion High-Tech (HK); EVE Asia; RoboSense Hong Kong</t>
        </is>
      </c>
      <c r="X338" s="62" t="inlineStr">
        <is>
          <t>mercedes;mirae;infini;gotion;eve;robosense</t>
        </is>
      </c>
      <c r="Y338" s="66" t="n">
        <v>15</v>
      </c>
      <c r="Z338" s="62" t="inlineStr">
        <is>
          <t>partial</t>
        </is>
      </c>
      <c r="AA338" s="71" t="n">
        <v>-14.16</v>
      </c>
      <c r="AB338" s="72" t="n">
        <v>-19.41</v>
      </c>
      <c r="AC338" s="72" t="n">
        <v>6.51</v>
      </c>
      <c r="AD338" s="72" t="n">
        <v>-16.19</v>
      </c>
      <c r="AE338" s="72" t="n">
        <v>-3.55</v>
      </c>
      <c r="AF338" s="72" t="n">
        <v>25.18</v>
      </c>
      <c r="AG338" s="72" t="n">
        <v>-2.36</v>
      </c>
      <c r="AH338" s="72" t="n">
        <v>12.36</v>
      </c>
      <c r="AI338" s="72" t="n">
        <v>45.83</v>
      </c>
      <c r="AJ338" s="72" t="n">
        <v>-15.13</v>
      </c>
      <c r="AK338" s="72" t="n">
        <v>-10.67</v>
      </c>
      <c r="AL338" s="72" t="n">
        <v>8.93</v>
      </c>
      <c r="AM338" s="72" t="n">
        <v>6.36</v>
      </c>
      <c r="AN338" s="72" t="n">
        <v>7.12</v>
      </c>
      <c r="AO338" s="72" t="n">
        <v>6</v>
      </c>
      <c r="AP338" s="62" t="inlineStr">
        <is>
          <t>HSTECH (Hang Seng TECH ETF)</t>
        </is>
      </c>
      <c r="AQ338" s="72" t="n">
        <v>-67.45</v>
      </c>
      <c r="AR338" s="63" t="inlineStr">
        <is>
          <t>2026-08-20</t>
        </is>
      </c>
      <c r="AS338" s="64" t="n">
        <v>16123.2</v>
      </c>
      <c r="AT338" s="67" t="n">
        <v>-1371</v>
      </c>
      <c r="AU338" s="62" t="inlineStr">
        <is>
          <t>N</t>
        </is>
      </c>
      <c r="AV338" s="62" t="inlineStr">
        <is>
          <t>n/m</t>
        </is>
      </c>
      <c r="AW338" s="73" t="n"/>
      <c r="AX338" s="73" t="n"/>
      <c r="AY338" s="73" t="n">
        <v>1.4</v>
      </c>
      <c r="AZ338" s="74" t="inlineStr">
        <is>
          <t>N</t>
        </is>
      </c>
      <c r="BA338" s="75">
        <f>IF('BBG Verify'!K338="","not filed — run on terminal",'BBG Verify'!K338)</f>
        <v/>
      </c>
      <c r="BB338" s="62" t="inlineStr">
        <is>
          <t>N/A</t>
        </is>
      </c>
      <c r="BC338" s="62" t="inlineStr">
        <is>
          <t>N/A</t>
        </is>
      </c>
      <c r="BD338" s="62" t="inlineStr">
        <is>
          <t>N/A</t>
        </is>
      </c>
      <c r="BE338" s="62" t="inlineStr">
        <is>
          <t>N/A</t>
        </is>
      </c>
      <c r="BF338" s="62" t="inlineStr">
        <is>
          <t>N/A</t>
        </is>
      </c>
      <c r="BG338" s="74" t="inlineStr">
        <is>
          <t>Huatai Financial Holdings (Hong Kong) Limited; ABCI Capital Limited; GF Capital (Hong Kong) Limited</t>
        </is>
      </c>
      <c r="BH338" s="62" t="inlineStr">
        <is>
          <t>Huatai Financial Holdings (Hong Kong) Limited; GF Capital (Hong Kong) Limited; ABCI Capital Limited</t>
        </is>
      </c>
      <c r="BI338" s="62" t="inlineStr">
        <is>
          <t>Huatai Financial Holdings (Hong Kong) Limited; ABCI Capital Limited; GF Securities (Hong Kong) Brokerage Limited; China International Capital Corporation Hong Kong Securities Limited; China Galaxy International Securities (Hong Kong) Co., Limited; CEB International Capital Corporation Limited; BOCI Asia Limited; Soochow Securities International Brokerage Limited</t>
        </is>
      </c>
      <c r="BJ338" s="62" t="inlineStr">
        <is>
          <t>ABCI Securities Company Limited; BOCI Asia Limited; CEB International Capital Corporation Limited; China Galaxy International Securities (Hong Kong) Company Limited; China International Capital Corporation Hong Kong Securities Limited; Futu Securities International (Hong Kong) Limited; GF Securities (Hong Kong) Brokerage Limited; Huatai Financial Holdings (Hong Kong) Limited; ICBC International Securities Limited; Neutral Financial Holding Company Limited; Soochow Securities International Brokerage Limited; Star River Securities Limited</t>
        </is>
      </c>
      <c r="BK338" s="76">
        <f>HYPERLINK("https://www1.hkexnews.hk/listedco/listconews/sehk/2025/0617/2025061700008.pdf","prospectus")</f>
        <v/>
      </c>
      <c r="BL338" s="76">
        <f>HYPERLINK("https://www1.hkexnews.hk/listedco/listconews/sehk/2025/0624/2025062401322.pdf","allotment")</f>
        <v/>
      </c>
      <c r="BM338" s="76">
        <f>HYPERLINK("https://www1.hkexnews.hk/listedco/listconews/sehk/2025/0721/2025072100017.pdf","stabilisation")</f>
        <v/>
      </c>
      <c r="BN338" s="74" t="n"/>
      <c r="BO338" s="62" t="inlineStr">
        <is>
          <t>P/E: n/m — loss-making at IPO (use P/S) · range low: cap-only pricing — the filing publishes a Maximum Offer Price and no indicative floor · A/H: no A-share listing</t>
        </is>
      </c>
    </row>
    <row r="339" ht="15" customHeight="1">
      <c r="A339" s="61" t="inlineStr">
        <is>
          <t>6168</t>
        </is>
      </c>
      <c r="B339" s="62" t="inlineStr">
        <is>
          <t>ZHOU LIU FU</t>
        </is>
      </c>
      <c r="C339" s="62" t="inlineStr">
        <is>
          <t>周六福</t>
        </is>
      </c>
      <c r="D339" s="62" t="inlineStr">
        <is>
          <t>Consumer</t>
        </is>
      </c>
      <c r="E339" s="62" t="inlineStr">
        <is>
          <t>Apparel / luxury</t>
        </is>
      </c>
      <c r="F339" s="62" t="inlineStr">
        <is>
          <t>Watch &amp; Jewellery</t>
        </is>
      </c>
      <c r="G339" s="62" t="inlineStr">
        <is>
          <t>Standard</t>
        </is>
      </c>
      <c r="H339" s="63" t="n">
        <v>45834</v>
      </c>
      <c r="I339" s="64" t="n">
        <v>1291.9</v>
      </c>
      <c r="J339" s="62" t="inlineStr">
        <is>
          <t>gross (stated)</t>
        </is>
      </c>
      <c r="K339" s="65" t="n"/>
      <c r="L339" s="65" t="n">
        <v>24</v>
      </c>
      <c r="M339" s="65" t="n">
        <v>24</v>
      </c>
      <c r="N339" s="62" t="inlineStr">
        <is>
          <t>Y</t>
        </is>
      </c>
      <c r="O339" s="66" t="n">
        <v>100</v>
      </c>
      <c r="P339" s="66" t="n"/>
      <c r="Q339" s="67" t="n">
        <v>10381</v>
      </c>
      <c r="R339" s="62" t="inlineStr">
        <is>
          <t>derived:price x shares upon listing</t>
        </is>
      </c>
      <c r="S339" s="68" t="n">
        <v>711.11</v>
      </c>
      <c r="T339" s="69" t="n">
        <v>13.55</v>
      </c>
      <c r="U339" s="70" t="n">
        <v>44.4</v>
      </c>
      <c r="V339" s="66" t="n">
        <v>6.92</v>
      </c>
      <c r="W339" s="62" t="inlineStr">
        <is>
          <t>CICC Financial Trading Limited; Jump Trading Pacific Pte. Ltd; Seraphim Advantage Inc; GF International Investment Management Limited; GF Global Capital Limited; CITIC Securities International Capital Management Limited; Trading Pacific Pte. Ltd</t>
        </is>
      </c>
      <c r="X339" s="62" t="inlineStr">
        <is>
          <t>china-international;jump;seraphim;gf;citic;trading</t>
        </is>
      </c>
      <c r="Y339" s="66" t="n">
        <v>15</v>
      </c>
      <c r="Z339" s="62" t="n"/>
      <c r="AA339" s="71" t="n">
        <v>25</v>
      </c>
      <c r="AB339" s="72" t="n">
        <v>11.25</v>
      </c>
      <c r="AC339" s="72" t="n">
        <v>12.36</v>
      </c>
      <c r="AD339" s="72" t="n">
        <v>55.42</v>
      </c>
      <c r="AE339" s="72" t="n">
        <v>61.46</v>
      </c>
      <c r="AF339" s="72" t="n">
        <v>81.25</v>
      </c>
      <c r="AG339" s="72" t="n">
        <v>24.34</v>
      </c>
      <c r="AH339" s="72" t="n">
        <v>29.17</v>
      </c>
      <c r="AI339" s="72" t="n">
        <v>45</v>
      </c>
      <c r="AJ339" s="72" t="n">
        <v>57.84</v>
      </c>
      <c r="AK339" s="72" t="n">
        <v>56.14</v>
      </c>
      <c r="AL339" s="72" t="n">
        <v>67.05</v>
      </c>
      <c r="AM339" s="72" t="n">
        <v>23.09</v>
      </c>
      <c r="AN339" s="72" t="n">
        <v>5.32</v>
      </c>
      <c r="AO339" s="72" t="n">
        <v>6.08</v>
      </c>
      <c r="AP339" s="62" t="inlineStr">
        <is>
          <t>Hang Seng Commerce &amp; Industry sub-index</t>
        </is>
      </c>
      <c r="AQ339" s="72" t="n">
        <v>-42.29</v>
      </c>
      <c r="AR339" s="63" t="inlineStr">
        <is>
          <t>2026-08-20</t>
        </is>
      </c>
      <c r="AS339" s="64" t="n"/>
      <c r="AT339" s="67" t="n"/>
      <c r="AU339" s="62" t="inlineStr">
        <is>
          <t>Y</t>
        </is>
      </c>
      <c r="AV339" s="73" t="n">
        <v>14.5</v>
      </c>
      <c r="AW339" s="73" t="n">
        <v>14.5</v>
      </c>
      <c r="AX339" s="73" t="n">
        <v>6.3</v>
      </c>
      <c r="AY339" s="73" t="n"/>
      <c r="AZ339" s="74" t="inlineStr">
        <is>
          <t>N</t>
        </is>
      </c>
      <c r="BA339" s="75">
        <f>IF('BBG Verify'!K339="","not filed — run on terminal",'BBG Verify'!K339)</f>
        <v/>
      </c>
      <c r="BB339" s="62" t="inlineStr">
        <is>
          <t>N/A</t>
        </is>
      </c>
      <c r="BC339" s="62" t="inlineStr">
        <is>
          <t>N/A</t>
        </is>
      </c>
      <c r="BD339" s="62" t="inlineStr">
        <is>
          <t>N/A</t>
        </is>
      </c>
      <c r="BE339" s="62" t="inlineStr">
        <is>
          <t>N/A</t>
        </is>
      </c>
      <c r="BF339" s="62" t="inlineStr">
        <is>
          <t>N/A</t>
        </is>
      </c>
      <c r="BG339" s="74" t="inlineStr">
        <is>
          <t>China International Capital Corporation Hong Kong Securities Limited; China Securities (International) Corporate Finance Company Limited</t>
        </is>
      </c>
      <c r="BH339" s="62" t="inlineStr">
        <is>
          <t>China International Capital Corporation Hong Kong Securities Limited; China Securities (International) Corporate Finance Company Limited</t>
        </is>
      </c>
      <c r="BI339" s="62" t="inlineStr">
        <is>
          <t>China International Capital Corporation Hong Kong Securities Limited; China Securities (International) Corporate Finance Company Limited; CMB International Capital Limited; ABCI Capital Limited; BOCOM International Securities Limited; China Galaxy International Securities (Hong Kong) Co., Limited; China Industrial Securities International Capital Limited; Futu Securities International (Hong Kong) Limited; Tiger Brokers (HK) Global Limited</t>
        </is>
      </c>
      <c r="BJ339" s="62" t="inlineStr">
        <is>
          <t>ABCI Securities Company Limited; BOCOM International Securities Limited; China Galaxy International Securities (Hong Kong) Company Limited; China International Capital Corporation Hong Kong Securities Limited; China Industrial Securities International Capital Limited; CMB International Capital Limited; China Securities (International) Corporate Finance Company Limited; Fosun International Securities Limited; Futu Securities International (Hong Kong) Limited; Tiger Brokers (HK) Global Limited</t>
        </is>
      </c>
      <c r="BK339" s="76">
        <f>HYPERLINK("https://www1.hkexnews.hk/listedco/listconews/sehk/2025/0618/2025061800023.pdf","prospectus")</f>
        <v/>
      </c>
      <c r="BL339" s="76">
        <f>HYPERLINK("https://www1.hkexnews.hk/listedco/listconews/sehk/2025/0625/2025062502268.pdf","allotment")</f>
        <v/>
      </c>
      <c r="BM339" s="62" t="n"/>
      <c r="BN339" s="74" t="n"/>
      <c r="BO339" s="62" t="inlineStr">
        <is>
          <t>P/E: from Bloomberg (trailing-12m EPS at listing) — the prospectus-FY multiple was not derivable · greenshoe: end-of-stabilisation notice not located · range low: cap-only pricing — the filing publishes a Maximum Offer Price and no indicative floor · A/H: no A-share listing · P/S: revenue not extractable · financials rejected: latest-FY net income (HK$632.8m) exceeds revenue (HK$535.7m) — the extracted pair is inconsistent, so both figures and the multiples derived from them are withheld</t>
        </is>
      </c>
    </row>
    <row r="340" ht="15" customHeight="1">
      <c r="A340" s="61" t="inlineStr">
        <is>
          <t>2508</t>
        </is>
      </c>
      <c r="B340" s="62" t="inlineStr">
        <is>
          <t>SAINT BELLA</t>
        </is>
      </c>
      <c r="C340" s="62" t="inlineStr">
        <is>
          <t>聖貝拉集團</t>
        </is>
      </c>
      <c r="D340" s="62" t="inlineStr">
        <is>
          <t>Healthcare</t>
        </is>
      </c>
      <c r="E340" s="62" t="inlineStr">
        <is>
          <t>Hospitals / clinics</t>
        </is>
      </c>
      <c r="F340" s="62" t="inlineStr">
        <is>
          <t>Health Care Services</t>
        </is>
      </c>
      <c r="G340" s="62" t="inlineStr">
        <is>
          <t>Standard</t>
        </is>
      </c>
      <c r="H340" s="63" t="n">
        <v>45834</v>
      </c>
      <c r="I340" s="64" t="n">
        <v>722</v>
      </c>
      <c r="J340" s="62" t="inlineStr">
        <is>
          <t>gross (price x shares)</t>
        </is>
      </c>
      <c r="K340" s="65" t="n"/>
      <c r="L340" s="65" t="n">
        <v>6.58</v>
      </c>
      <c r="M340" s="65" t="n">
        <v>6.58</v>
      </c>
      <c r="N340" s="62" t="inlineStr">
        <is>
          <t>Y</t>
        </is>
      </c>
      <c r="O340" s="66" t="n">
        <v>100</v>
      </c>
      <c r="P340" s="66" t="n"/>
      <c r="Q340" s="67" t="n">
        <v>4012</v>
      </c>
      <c r="R340" s="62" t="inlineStr">
        <is>
          <t>derived:price x shares upon listing</t>
        </is>
      </c>
      <c r="S340" s="68" t="n">
        <v>193</v>
      </c>
      <c r="T340" s="69" t="n">
        <v>15.59</v>
      </c>
      <c r="U340" s="70" t="n">
        <v>10.8</v>
      </c>
      <c r="V340" s="66" t="n">
        <v>16.05</v>
      </c>
      <c r="W340" s="62" t="inlineStr">
        <is>
          <t>JKKB Limited; Carl Wu / 吳啟楠</t>
        </is>
      </c>
      <c r="X340" s="62" t="inlineStr">
        <is>
          <t>jkkb;carl</t>
        </is>
      </c>
      <c r="Y340" s="66" t="n">
        <v>15</v>
      </c>
      <c r="Z340" s="62" t="inlineStr">
        <is>
          <t>partial</t>
        </is>
      </c>
      <c r="AA340" s="71" t="n">
        <v>33.74</v>
      </c>
      <c r="AB340" s="72" t="n">
        <v>28.42</v>
      </c>
      <c r="AC340" s="72" t="n">
        <v>4.14</v>
      </c>
      <c r="AD340" s="72" t="n">
        <v>0.46</v>
      </c>
      <c r="AE340" s="72" t="n">
        <v>16.41</v>
      </c>
      <c r="AF340" s="72" t="n">
        <v>-6.53</v>
      </c>
      <c r="AG340" s="72" t="n">
        <v>-24.88</v>
      </c>
      <c r="AH340" s="72" t="n">
        <v>-12.96</v>
      </c>
      <c r="AI340" s="72" t="n">
        <v>-30.11</v>
      </c>
      <c r="AJ340" s="72" t="n">
        <v>-3.25</v>
      </c>
      <c r="AK340" s="72" t="n">
        <v>-2.52</v>
      </c>
      <c r="AL340" s="72" t="n">
        <v>-34</v>
      </c>
      <c r="AM340" s="72" t="n">
        <v>-34.63</v>
      </c>
      <c r="AN340" s="72" t="n">
        <v>18.93</v>
      </c>
      <c r="AO340" s="72" t="n">
        <v>21.67</v>
      </c>
      <c r="AP340" s="62" t="inlineStr">
        <is>
          <t>China Biotech ETF (HS biotech proxy)</t>
        </is>
      </c>
      <c r="AQ340" s="72" t="n">
        <v>-52.2</v>
      </c>
      <c r="AR340" s="63" t="inlineStr">
        <is>
          <t>2026-08-20</t>
        </is>
      </c>
      <c r="AS340" s="64" t="n">
        <v>878.5</v>
      </c>
      <c r="AT340" s="67" t="n">
        <v>-597.6</v>
      </c>
      <c r="AU340" s="62" t="inlineStr">
        <is>
          <t>N</t>
        </is>
      </c>
      <c r="AV340" s="62" t="inlineStr">
        <is>
          <t>n/m</t>
        </is>
      </c>
      <c r="AW340" s="73" t="n"/>
      <c r="AX340" s="73" t="n">
        <v>2.2</v>
      </c>
      <c r="AY340" s="73" t="n">
        <v>4.6</v>
      </c>
      <c r="AZ340" s="74" t="inlineStr">
        <is>
          <t>N</t>
        </is>
      </c>
      <c r="BA340" s="75">
        <f>IF('BBG Verify'!K340="","not filed — run on terminal",'BBG Verify'!K340)</f>
        <v/>
      </c>
      <c r="BB340" s="62" t="inlineStr">
        <is>
          <t>N/A</t>
        </is>
      </c>
      <c r="BC340" s="62" t="inlineStr">
        <is>
          <t>N/A</t>
        </is>
      </c>
      <c r="BD340" s="62" t="inlineStr">
        <is>
          <t>N/A</t>
        </is>
      </c>
      <c r="BE340" s="62" t="inlineStr">
        <is>
          <t>N/A</t>
        </is>
      </c>
      <c r="BF340" s="62" t="inlineStr">
        <is>
          <t>N/A</t>
        </is>
      </c>
      <c r="BG340" s="74" t="inlineStr">
        <is>
          <t>UBS Securities Hong Kong Limited; CITIC Securities (Hong Kong) Limited</t>
        </is>
      </c>
      <c r="BH340" s="62" t="inlineStr">
        <is>
          <t>UBS Securities Hong Kong Limited; CITIC Securities (Hong Kong) Limited</t>
        </is>
      </c>
      <c r="BI340" s="62" t="inlineStr">
        <is>
          <t>UBS AG Hong Kong Branch; CLSA Limited; Huatai Financial Holdings (Hong Kong) Limited; GF Securities (Hong Kong) Brokerage Limited; CMB International Capital Limited; CCB International Capital Limited; Caitong International Securities Co., Limited; Futu Securities International (Hong Kong) Limited</t>
        </is>
      </c>
      <c r="BJ340" s="62" t="inlineStr">
        <is>
          <t>Caitong International Securities Company Limited; CCB International Capital Limited; CLSA Limited; CMB International Capital Limited; Futu Securities International (Hong Kong) Limited; GF Securities (Hong Kong) Brokerage Limited; Huatai Financial Holdings (Hong Kong) Limited; Mirae Asset Securities (HK) Limited; UBS AG Hong Kong Branch</t>
        </is>
      </c>
      <c r="BK340" s="76">
        <f>HYPERLINK("https://www1.hkexnews.hk/listedco/listconews/sehk/2025/0618/2025061800127.pdf","prospectus")</f>
        <v/>
      </c>
      <c r="BL340" s="76">
        <f>HYPERLINK("https://www1.hkexnews.hk/listedco/listconews/sehk/2025/0625/2025062502266.pdf","allotment")</f>
        <v/>
      </c>
      <c r="BM340" s="76">
        <f>HYPERLINK("https://www1.hkexnews.hk/listedco/listconews/sehk/2025/0723/2025072301180.pdf","stabilisation")</f>
        <v/>
      </c>
      <c r="BN340" s="74" t="n"/>
      <c r="BO340" s="62" t="inlineStr">
        <is>
          <t>P/E: n/m — loss-making at IPO (use P/S) · range low: cap-only pricing — the filing publishes a Maximum Offer Price and no indicative floor · A/H: no A-share listing</t>
        </is>
      </c>
    </row>
    <row r="341" ht="15" customHeight="1">
      <c r="A341" s="61" t="inlineStr">
        <is>
          <t>6883</t>
        </is>
      </c>
      <c r="B341" s="62" t="inlineStr">
        <is>
          <t>ETERNAL BEAUTY</t>
        </is>
      </c>
      <c r="C341" s="62" t="inlineStr">
        <is>
          <t>穎通控股</t>
        </is>
      </c>
      <c r="D341" s="62" t="inlineStr">
        <is>
          <t>Consumer</t>
        </is>
      </c>
      <c r="E341" s="62" t="inlineStr">
        <is>
          <t>Beauty / personal care</t>
        </is>
      </c>
      <c r="F341" s="62" t="inlineStr">
        <is>
          <t>Beauty &amp; Toiletries Products and Services</t>
        </is>
      </c>
      <c r="G341" s="62" t="inlineStr">
        <is>
          <t>Standard</t>
        </is>
      </c>
      <c r="H341" s="63" t="n">
        <v>45834</v>
      </c>
      <c r="I341" s="64" t="n">
        <v>960.1900000000001</v>
      </c>
      <c r="J341" s="62" t="inlineStr">
        <is>
          <t>gross (stated)</t>
        </is>
      </c>
      <c r="K341" s="65" t="n"/>
      <c r="L341" s="65" t="n">
        <v>3.38</v>
      </c>
      <c r="M341" s="65" t="n">
        <v>2.88</v>
      </c>
      <c r="N341" s="62" t="inlineStr">
        <is>
          <t>N</t>
        </is>
      </c>
      <c r="O341" s="66" t="n">
        <v>85.2</v>
      </c>
      <c r="P341" s="66" t="n"/>
      <c r="Q341" s="67" t="n">
        <v>3840.2</v>
      </c>
      <c r="R341" s="62" t="inlineStr">
        <is>
          <t>derived:price x shares upon listing</t>
        </is>
      </c>
      <c r="S341" s="68" t="n">
        <v>35.84</v>
      </c>
      <c r="T341" s="69" t="n">
        <v>3.5</v>
      </c>
      <c r="U341" s="70" t="n">
        <v>0</v>
      </c>
      <c r="V341" s="66" t="n">
        <v>25</v>
      </c>
      <c r="W341" s="62" t="n"/>
      <c r="X341" s="62" t="n"/>
      <c r="Y341" s="66" t="n">
        <v>15</v>
      </c>
      <c r="Z341" s="62" t="n"/>
      <c r="AA341" s="71" t="n">
        <v>-16.67</v>
      </c>
      <c r="AB341" s="72" t="n">
        <v>-10.42</v>
      </c>
      <c r="AC341" s="72" t="n">
        <v>-6.98</v>
      </c>
      <c r="AD341" s="72" t="n">
        <v>-23.61</v>
      </c>
      <c r="AE341" s="72" t="n">
        <v>-28.47</v>
      </c>
      <c r="AF341" s="72" t="n">
        <v>-27.08</v>
      </c>
      <c r="AG341" s="72" t="n">
        <v>-8.33</v>
      </c>
      <c r="AH341" s="72" t="n">
        <v>-14.16</v>
      </c>
      <c r="AI341" s="72" t="n">
        <v>-12.49</v>
      </c>
      <c r="AJ341" s="72" t="n">
        <v>-21.19</v>
      </c>
      <c r="AK341" s="72" t="n">
        <v>-33.79</v>
      </c>
      <c r="AL341" s="72" t="n">
        <v>-41.28</v>
      </c>
      <c r="AM341" s="72" t="n">
        <v>-20.24</v>
      </c>
      <c r="AN341" s="72" t="n">
        <v>5.32</v>
      </c>
      <c r="AO341" s="72" t="n">
        <v>6.08</v>
      </c>
      <c r="AP341" s="62" t="inlineStr">
        <is>
          <t>Hang Seng Commerce &amp; Industry sub-index</t>
        </is>
      </c>
      <c r="AQ341" s="72" t="n">
        <v>-29.51</v>
      </c>
      <c r="AR341" s="63" t="inlineStr">
        <is>
          <t>2026-08-21</t>
        </is>
      </c>
      <c r="AS341" s="64" t="n">
        <v>2291.7</v>
      </c>
      <c r="AT341" s="67" t="n">
        <v>249.7</v>
      </c>
      <c r="AU341" s="62" t="inlineStr">
        <is>
          <t>Y</t>
        </is>
      </c>
      <c r="AV341" s="73" t="n">
        <v>15.4</v>
      </c>
      <c r="AW341" s="73" t="n"/>
      <c r="AX341" s="73" t="n">
        <v>9.1</v>
      </c>
      <c r="AY341" s="73" t="n">
        <v>1.7</v>
      </c>
      <c r="AZ341" s="74" t="inlineStr">
        <is>
          <t>N</t>
        </is>
      </c>
      <c r="BA341" s="75">
        <f>IF('BBG Verify'!K341="","not filed — run on terminal",'BBG Verify'!K341)</f>
        <v/>
      </c>
      <c r="BB341" s="62" t="inlineStr">
        <is>
          <t>N/A</t>
        </is>
      </c>
      <c r="BC341" s="62" t="inlineStr">
        <is>
          <t>N/A</t>
        </is>
      </c>
      <c r="BD341" s="62" t="inlineStr">
        <is>
          <t>N/A</t>
        </is>
      </c>
      <c r="BE341" s="62" t="inlineStr">
        <is>
          <t>N/A</t>
        </is>
      </c>
      <c r="BF341" s="62" t="inlineStr">
        <is>
          <t>N/A</t>
        </is>
      </c>
      <c r="BG341" s="74" t="inlineStr">
        <is>
          <t>BNP Paribas Securities (Asia) Limited; CITIC Securities (Hong Kong) Limited</t>
        </is>
      </c>
      <c r="BH341" s="62" t="inlineStr">
        <is>
          <t>CITIC Securities (Hong Kong) Limited; BNP Paribas Securities (Asia) Limited</t>
        </is>
      </c>
      <c r="BI341" s="62" t="inlineStr">
        <is>
          <t>First Shanghai Securities Limited; Futu Securities International (Hong Kong) Limited; SBI China Capital Financial Services Ltd</t>
        </is>
      </c>
      <c r="BJ341" s="62" t="inlineStr">
        <is>
          <t>BNP Paribas Securities (Asia) Limited; China Harbour International Securities Limited; CLSA Limited; CMB International Capital Corporation Limited; DBS Asia Capital Limited; First Shanghai Securities Limited; Futu Securities International (Hong Kong) Limited; SBI China Capital Financial Services Limited</t>
        </is>
      </c>
      <c r="BK341" s="76">
        <f>HYPERLINK("https://www1.hkexnews.hk/listedco/listconews/sehk/2025/0618/2025061800005.pdf","prospectus")</f>
        <v/>
      </c>
      <c r="BL341" s="76">
        <f>HYPERLINK("https://www1.hkexnews.hk/listedco/listconews/sehk/2025/0626/2025062600005.pdf","allotment")</f>
        <v/>
      </c>
      <c r="BM341" s="62" t="n"/>
      <c r="BN341" s="74" t="n"/>
      <c r="BO341" s="62" t="inlineStr">
        <is>
          <t>greenshoe: end-of-stabilisation notice not located · range low: cap-only pricing — the filing publishes a Maximum Offer Price and no indicative floor · A/H: no A-share listing · cornerstone list: no cornerstone tranche in this deal</t>
        </is>
      </c>
    </row>
    <row r="342" ht="15" customHeight="1">
      <c r="A342" s="61" t="inlineStr">
        <is>
          <t>9678</t>
        </is>
      </c>
      <c r="B342" s="62" t="inlineStr">
        <is>
          <t>UNISOUND</t>
        </is>
      </c>
      <c r="C342" s="62" t="inlineStr">
        <is>
          <t>雲知聲</t>
        </is>
      </c>
      <c r="D342" s="62" t="inlineStr">
        <is>
          <t>Tech/AI</t>
        </is>
      </c>
      <c r="E342" s="62" t="inlineStr">
        <is>
          <t>AI application / agent software</t>
        </is>
      </c>
      <c r="F342" s="62" t="inlineStr">
        <is>
          <t>Advanced hardware and software</t>
        </is>
      </c>
      <c r="G342" s="62" t="inlineStr">
        <is>
          <t>Standard</t>
        </is>
      </c>
      <c r="H342" s="63" t="n">
        <v>45838</v>
      </c>
      <c r="I342" s="64" t="n">
        <v>320</v>
      </c>
      <c r="J342" s="62" t="inlineStr">
        <is>
          <t>gross (stated)</t>
        </is>
      </c>
      <c r="K342" s="65" t="n">
        <v>165</v>
      </c>
      <c r="L342" s="65" t="n">
        <v>205</v>
      </c>
      <c r="M342" s="65" t="n">
        <v>205</v>
      </c>
      <c r="N342" s="62" t="inlineStr">
        <is>
          <t>Y</t>
        </is>
      </c>
      <c r="O342" s="66" t="n">
        <v>100</v>
      </c>
      <c r="P342" s="66" t="n">
        <v>100</v>
      </c>
      <c r="Q342" s="67" t="n">
        <v>14545.5</v>
      </c>
      <c r="R342" s="62" t="inlineStr">
        <is>
          <t>derived:price x shares upon listing</t>
        </is>
      </c>
      <c r="S342" s="68" t="n">
        <v>91.66</v>
      </c>
      <c r="T342" s="69" t="n">
        <v>1.7</v>
      </c>
      <c r="U342" s="70" t="n">
        <v>29.65</v>
      </c>
      <c r="V342" s="66" t="n">
        <v>1.55</v>
      </c>
      <c r="W342" s="62" t="inlineStr">
        <is>
          <t>Nebula</t>
        </is>
      </c>
      <c r="X342" s="62" t="inlineStr">
        <is>
          <t>nebula</t>
        </is>
      </c>
      <c r="Y342" s="66" t="n">
        <v>10.17</v>
      </c>
      <c r="Z342" s="62" t="inlineStr">
        <is>
          <t>full</t>
        </is>
      </c>
      <c r="AA342" s="71" t="n">
        <v>44.59</v>
      </c>
      <c r="AB342" s="72" t="n">
        <v>0</v>
      </c>
      <c r="AC342" s="72" t="n">
        <v>44.59</v>
      </c>
      <c r="AD342" s="72" t="n">
        <v>105.37</v>
      </c>
      <c r="AE342" s="72" t="n">
        <v>184.88</v>
      </c>
      <c r="AF342" s="72" t="n">
        <v>137.17</v>
      </c>
      <c r="AG342" s="72" t="n">
        <v>42.04</v>
      </c>
      <c r="AH342" s="72" t="n">
        <v>97.03</v>
      </c>
      <c r="AI342" s="72" t="n">
        <v>64.03</v>
      </c>
      <c r="AJ342" s="72" t="n">
        <v>105.56</v>
      </c>
      <c r="AK342" s="72" t="n">
        <v>182.02</v>
      </c>
      <c r="AL342" s="72" t="n">
        <v>121.63</v>
      </c>
      <c r="AM342" s="72" t="n">
        <v>93.48</v>
      </c>
      <c r="AN342" s="72" t="n">
        <v>2.86</v>
      </c>
      <c r="AO342" s="72" t="n">
        <v>3.55</v>
      </c>
      <c r="AP342" s="62" t="inlineStr">
        <is>
          <t>HSTECH (Hang Seng TECH ETF)</t>
        </is>
      </c>
      <c r="AQ342" s="72" t="n">
        <v>-64.02</v>
      </c>
      <c r="AR342" s="63" t="inlineStr">
        <is>
          <t>2026-08-21</t>
        </is>
      </c>
      <c r="AS342" s="64" t="n">
        <v>1032.9</v>
      </c>
      <c r="AT342" s="67" t="n">
        <v>-499.6</v>
      </c>
      <c r="AU342" s="62" t="inlineStr">
        <is>
          <t>N</t>
        </is>
      </c>
      <c r="AV342" s="62" t="inlineStr">
        <is>
          <t>n/m</t>
        </is>
      </c>
      <c r="AW342" s="73" t="n"/>
      <c r="AX342" s="73" t="n"/>
      <c r="AY342" s="73" t="n">
        <v>14.1</v>
      </c>
      <c r="AZ342" s="74" t="inlineStr">
        <is>
          <t>N</t>
        </is>
      </c>
      <c r="BA342" s="75">
        <f>IF('BBG Verify'!K342="","not filed — run on terminal",'BBG Verify'!K342)</f>
        <v/>
      </c>
      <c r="BB342" s="62" t="inlineStr">
        <is>
          <t>N/A</t>
        </is>
      </c>
      <c r="BC342" s="62" t="inlineStr">
        <is>
          <t>N/A</t>
        </is>
      </c>
      <c r="BD342" s="62" t="inlineStr">
        <is>
          <t>N/A</t>
        </is>
      </c>
      <c r="BE342" s="62" t="inlineStr">
        <is>
          <t>N/A</t>
        </is>
      </c>
      <c r="BF342" s="62" t="inlineStr">
        <is>
          <t>N/A</t>
        </is>
      </c>
      <c r="BG342" s="74" t="inlineStr">
        <is>
          <t>China International Capital Corporation Hong Kong Securities Limited; Haitong International Capital Limited</t>
        </is>
      </c>
      <c r="BH342" s="62" t="inlineStr">
        <is>
          <t>China International Capital Corporation Hong Kong Securities Limited; Haitong International Capital Limited</t>
        </is>
      </c>
      <c r="BI342" s="62" t="inlineStr">
        <is>
          <t>China International Capital Corporation Hong Kong Securities Limited; Haitong International Securities Company Limited; ABCI Capital Limited; Orient Securities (Hong Kong) Limited; CMBC Securities Company Limited; Tiger Brokers (HK) Global Limited</t>
        </is>
      </c>
      <c r="BJ342" s="62" t="inlineStr">
        <is>
          <t>ABCI Securities Company Limited; China International Capital Corporation Hong Kong Securities Limited; CMBC Securities Company Limited; Haitong International Securities Company Limited; Orient Securities (Hong Kong) Limited; Tiger Brokers (HK) Global Limited</t>
        </is>
      </c>
      <c r="BK342" s="76">
        <f>HYPERLINK("https://www1.hkexnews.hk/listedco/listconews/sehk/2025/0620/2025062000023.pdf","prospectus")</f>
        <v/>
      </c>
      <c r="BL342" s="76">
        <f>HYPERLINK("https://www1.hkexnews.hk/listedco/listconews/sehk/2025/0627/2025062702974.pdf","allotment")</f>
        <v/>
      </c>
      <c r="BM342" s="76">
        <f>HYPERLINK("https://www1.hkexnews.hk/listedco/listconews/sehk/2025/0725/2025072501515.pdf","stabilisation")</f>
        <v/>
      </c>
      <c r="BN342" s="74" t="n"/>
      <c r="BO342" s="62" t="inlineStr">
        <is>
          <t>P/E: n/m — loss-making at IPO (use P/S) · A/H: no A line; closest listed proxy {'code': '002230.SZ', 'name': 'iFlytek', 'rationale': 'Direct A-share competitor in voice AI and speech-centric LLMs (Spark model).'}</t>
        </is>
      </c>
    </row>
    <row r="343" ht="15" customHeight="1">
      <c r="A343" s="61" t="inlineStr">
        <is>
          <t>3880</t>
        </is>
      </c>
      <c r="B343" s="62" t="inlineStr">
        <is>
          <t>MEDTIDE</t>
        </is>
      </c>
      <c r="C343" s="62" t="inlineStr">
        <is>
          <t>泰德醫藥</t>
        </is>
      </c>
      <c r="D343" s="62" t="inlineStr">
        <is>
          <t>Healthcare</t>
        </is>
      </c>
      <c r="E343" s="62" t="inlineStr">
        <is>
          <t>CXO / pharma services</t>
        </is>
      </c>
      <c r="F343" s="62" t="inlineStr">
        <is>
          <t>Biotechnology - Pharmaceuticals</t>
        </is>
      </c>
      <c r="G343" s="62" t="inlineStr">
        <is>
          <t>Standard</t>
        </is>
      </c>
      <c r="H343" s="63" t="n">
        <v>45838</v>
      </c>
      <c r="I343" s="64" t="n">
        <v>514.08</v>
      </c>
      <c r="J343" s="62" t="inlineStr">
        <is>
          <t>gross (stated)</t>
        </is>
      </c>
      <c r="K343" s="65" t="n">
        <v>28.4</v>
      </c>
      <c r="L343" s="65" t="n">
        <v>30.6</v>
      </c>
      <c r="M343" s="65" t="n">
        <v>30.6</v>
      </c>
      <c r="N343" s="62" t="inlineStr">
        <is>
          <t>Y</t>
        </is>
      </c>
      <c r="O343" s="66" t="n">
        <v>100</v>
      </c>
      <c r="P343" s="66" t="n">
        <v>100</v>
      </c>
      <c r="Q343" s="67" t="n">
        <v>4339.1</v>
      </c>
      <c r="R343" s="62" t="inlineStr">
        <is>
          <t>derived:price x shares upon listing</t>
        </is>
      </c>
      <c r="S343" s="68" t="n">
        <v>301.15</v>
      </c>
      <c r="T343" s="69" t="n">
        <v>2.43</v>
      </c>
      <c r="U343" s="70" t="n">
        <v>15.27</v>
      </c>
      <c r="V343" s="66" t="n">
        <v>10.04</v>
      </c>
      <c r="W343" s="62" t="inlineStr">
        <is>
          <t>Dragon Merit Holdings Limited; Welight Capital L.P</t>
        </is>
      </c>
      <c r="X343" s="62" t="inlineStr">
        <is>
          <t>dragon;welight</t>
        </is>
      </c>
      <c r="Y343" s="66" t="n"/>
      <c r="Z343" s="62" t="n"/>
      <c r="AA343" s="71" t="n">
        <v>0.65</v>
      </c>
      <c r="AB343" s="72" t="n">
        <v>-0.98</v>
      </c>
      <c r="AC343" s="72" t="n">
        <v>1.65</v>
      </c>
      <c r="AD343" s="72" t="n">
        <v>1.63</v>
      </c>
      <c r="AE343" s="72" t="n">
        <v>15.52</v>
      </c>
      <c r="AF343" s="72" t="n">
        <v>0</v>
      </c>
      <c r="AG343" s="72" t="n">
        <v>0.97</v>
      </c>
      <c r="AH343" s="72" t="n">
        <v>14.77</v>
      </c>
      <c r="AI343" s="72" t="n">
        <v>-0.65</v>
      </c>
      <c r="AJ343" s="72" t="n">
        <v>-2.27</v>
      </c>
      <c r="AK343" s="72" t="n">
        <v>-9.640000000000001</v>
      </c>
      <c r="AL343" s="72" t="n">
        <v>-28.79</v>
      </c>
      <c r="AM343" s="72" t="n">
        <v>-9.359999999999999</v>
      </c>
      <c r="AN343" s="72" t="n">
        <v>25.16</v>
      </c>
      <c r="AO343" s="72" t="n">
        <v>24.13</v>
      </c>
      <c r="AP343" s="62" t="inlineStr">
        <is>
          <t>China Biotech ETF (HS biotech proxy)</t>
        </is>
      </c>
      <c r="AQ343" s="72" t="n">
        <v>-23.73</v>
      </c>
      <c r="AR343" s="63" t="inlineStr">
        <is>
          <t>2026-08-21</t>
        </is>
      </c>
      <c r="AS343" s="64" t="n">
        <v>486.4</v>
      </c>
      <c r="AT343" s="67" t="n">
        <v>65.09999999999999</v>
      </c>
      <c r="AU343" s="62" t="inlineStr">
        <is>
          <t>Y</t>
        </is>
      </c>
      <c r="AV343" s="73" t="n">
        <v>66.7</v>
      </c>
      <c r="AW343" s="73" t="n">
        <v>59.8</v>
      </c>
      <c r="AX343" s="73" t="n">
        <v>11.6</v>
      </c>
      <c r="AY343" s="73" t="n">
        <v>8.9</v>
      </c>
      <c r="AZ343" s="74" t="inlineStr">
        <is>
          <t>N</t>
        </is>
      </c>
      <c r="BA343" s="75">
        <f>IF('BBG Verify'!K343="","not filed — run on terminal",'BBG Verify'!K343)</f>
        <v/>
      </c>
      <c r="BB343" s="62" t="inlineStr">
        <is>
          <t>N/A</t>
        </is>
      </c>
      <c r="BC343" s="62" t="inlineStr">
        <is>
          <t>N/A</t>
        </is>
      </c>
      <c r="BD343" s="62" t="inlineStr">
        <is>
          <t>N/A</t>
        </is>
      </c>
      <c r="BE343" s="62" t="inlineStr">
        <is>
          <t>N/A</t>
        </is>
      </c>
      <c r="BF343" s="62" t="inlineStr">
        <is>
          <t>N/A</t>
        </is>
      </c>
      <c r="BG343" s="74" t="inlineStr">
        <is>
          <t>Morgan Stanley Asia Limited; CITIC Securities (Hong Kong) Limited</t>
        </is>
      </c>
      <c r="BH343" s="62" t="inlineStr">
        <is>
          <t>Morgan Stanley Asia Limited; CITIC Securities (Hong Kong) Limited</t>
        </is>
      </c>
      <c r="BI343" s="62" t="inlineStr">
        <is>
          <t>Aristo Securities Limited; China Everbright Securities (HK) Limited; CLSA Limited; Morgan Stanley Asia Limited; Prime Securities Limited; Soochow Securities International Brokerage Limited</t>
        </is>
      </c>
      <c r="BJ343" s="62" t="inlineStr">
        <is>
          <t>Aristo Securities Limited; China Everbright Securities (HK) Limited; CLSA Limited; Morgan Stanley Asia Limited; Prime Securities Limited; Soochow Securities International Brokerage Limited</t>
        </is>
      </c>
      <c r="BK343" s="76">
        <f>HYPERLINK("https://www1.hkexnews.hk/listedco/listconews/sehk/2025/0620/2025062000021.pdf","prospectus")</f>
        <v/>
      </c>
      <c r="BL343" s="76">
        <f>HYPERLINK("https://www1.hkexnews.hk/listedco/listconews/sehk/2025/0627/2025062703092.pdf","allotment")</f>
        <v/>
      </c>
      <c r="BM343" s="62" t="n"/>
      <c r="BN343" s="74" t="n"/>
      <c r="BO343" s="62" t="inlineStr">
        <is>
          <t>greenshoe: no over-allotment option in the offer structure · A/H: no A-share listing · greenshoe size: no over-allotment option in the offer structure</t>
        </is>
      </c>
    </row>
    <row r="344" ht="15" customHeight="1">
      <c r="A344" s="61" t="inlineStr">
        <is>
          <t>6603</t>
        </is>
      </c>
      <c r="B344" s="62" t="inlineStr">
        <is>
          <t>IFBH</t>
        </is>
      </c>
      <c r="C344" s="62" t="inlineStr">
        <is>
          <t>IFBH</t>
        </is>
      </c>
      <c r="D344" s="62" t="inlineStr">
        <is>
          <t>Consumer</t>
        </is>
      </c>
      <c r="E344" s="62" t="inlineStr">
        <is>
          <t>Beverages / packaged food</t>
        </is>
      </c>
      <c r="F344" s="62" t="inlineStr">
        <is>
          <t>Beverages (Non-alcoholic)</t>
        </is>
      </c>
      <c r="G344" s="62" t="inlineStr">
        <is>
          <t>Standard</t>
        </is>
      </c>
      <c r="H344" s="63" t="n">
        <v>45838</v>
      </c>
      <c r="I344" s="64" t="n">
        <v>1158.3</v>
      </c>
      <c r="J344" s="62" t="inlineStr">
        <is>
          <t>gross (price x shares)</t>
        </is>
      </c>
      <c r="K344" s="65" t="n">
        <v>25.3</v>
      </c>
      <c r="L344" s="65" t="n">
        <v>27.8</v>
      </c>
      <c r="M344" s="65" t="n">
        <v>27.8</v>
      </c>
      <c r="N344" s="62" t="inlineStr">
        <is>
          <t>Y</t>
        </is>
      </c>
      <c r="O344" s="66" t="n">
        <v>100</v>
      </c>
      <c r="P344" s="66" t="n">
        <v>100</v>
      </c>
      <c r="Q344" s="67" t="n">
        <v>7410.7</v>
      </c>
      <c r="R344" s="62" t="inlineStr">
        <is>
          <t>derived:deal size / offer % of enlarged capital</t>
        </is>
      </c>
      <c r="S344" s="68" t="n">
        <v>2682.35</v>
      </c>
      <c r="T344" s="69" t="n">
        <v>22.93</v>
      </c>
      <c r="U344" s="70" t="n">
        <v>78.3</v>
      </c>
      <c r="V344" s="66" t="n">
        <v>3.39</v>
      </c>
      <c r="W344" s="62" t="inlineStr">
        <is>
          <t>Harvest Oriental SP; UBS AM Singapore; Black Dragon CP Fund SPC; China Southern AM; Mega Prime; ICBC Wealth; Jain Global Master Fund Ltd; Jane Street</t>
        </is>
      </c>
      <c r="X344" s="62" t="inlineStr">
        <is>
          <t>harvest;ubs;black;southern-am;mega;icbc;jain;jane</t>
        </is>
      </c>
      <c r="Y344" s="66" t="n">
        <v>15</v>
      </c>
      <c r="Z344" s="62" t="inlineStr">
        <is>
          <t>full</t>
        </is>
      </c>
      <c r="AA344" s="71" t="n">
        <v>42.09</v>
      </c>
      <c r="AB344" s="72" t="n">
        <v>57.91</v>
      </c>
      <c r="AC344" s="72" t="n">
        <v>-10.02</v>
      </c>
      <c r="AD344" s="72" t="n">
        <v>45.68</v>
      </c>
      <c r="AE344" s="72" t="n">
        <v>33.63</v>
      </c>
      <c r="AF344" s="72" t="n">
        <v>9.5</v>
      </c>
      <c r="AG344" s="72" t="n">
        <v>2.53</v>
      </c>
      <c r="AH344" s="72" t="n">
        <v>-5.95</v>
      </c>
      <c r="AI344" s="72" t="n">
        <v>-22.94</v>
      </c>
      <c r="AJ344" s="72" t="n">
        <v>46.45</v>
      </c>
      <c r="AK344" s="72" t="n">
        <v>29.27</v>
      </c>
      <c r="AL344" s="72" t="n">
        <v>-3.08</v>
      </c>
      <c r="AM344" s="72" t="n">
        <v>-11.09</v>
      </c>
      <c r="AN344" s="72" t="n">
        <v>4.36</v>
      </c>
      <c r="AO344" s="72" t="n">
        <v>5.14</v>
      </c>
      <c r="AP344" s="62" t="inlineStr">
        <is>
          <t>Hang Seng Commerce &amp; Industry sub-index</t>
        </is>
      </c>
      <c r="AQ344" s="72" t="n">
        <v>-81.94</v>
      </c>
      <c r="AR344" s="63" t="inlineStr">
        <is>
          <t>2026-08-21</t>
        </is>
      </c>
      <c r="AS344" s="64" t="n">
        <v>1229.7</v>
      </c>
      <c r="AT344" s="67" t="n">
        <v>259.9</v>
      </c>
      <c r="AU344" s="62" t="inlineStr">
        <is>
          <t>Y</t>
        </is>
      </c>
      <c r="AV344" s="73" t="n">
        <v>28.5</v>
      </c>
      <c r="AW344" s="73" t="n">
        <v>33</v>
      </c>
      <c r="AX344" s="73" t="n">
        <v>7.2</v>
      </c>
      <c r="AY344" s="73" t="n">
        <v>6</v>
      </c>
      <c r="AZ344" s="74" t="inlineStr">
        <is>
          <t>N</t>
        </is>
      </c>
      <c r="BA344" s="75">
        <f>IF('BBG Verify'!K344="","not filed — run on terminal",'BBG Verify'!K344)</f>
        <v/>
      </c>
      <c r="BB344" s="62" t="inlineStr">
        <is>
          <t>N/A</t>
        </is>
      </c>
      <c r="BC344" s="62" t="inlineStr">
        <is>
          <t>N/A</t>
        </is>
      </c>
      <c r="BD344" s="62" t="inlineStr">
        <is>
          <t>N/A</t>
        </is>
      </c>
      <c r="BE344" s="62" t="inlineStr">
        <is>
          <t>N/A</t>
        </is>
      </c>
      <c r="BF344" s="62" t="inlineStr">
        <is>
          <t>N/A</t>
        </is>
      </c>
      <c r="BG344" s="74" t="inlineStr">
        <is>
          <t>CITIC Securities (Hong Kong) Limited; CLSA Limited</t>
        </is>
      </c>
      <c r="BH344" s="62" t="inlineStr">
        <is>
          <t>CITIC Securities (Hong Kong) Limited</t>
        </is>
      </c>
      <c r="BI344" s="62" t="inlineStr">
        <is>
          <t>BOCI Asia Limited; CLSA Limited</t>
        </is>
      </c>
      <c r="BJ344" s="62" t="inlineStr">
        <is>
          <t>BOCI Asia Limited; CLSA Limited</t>
        </is>
      </c>
      <c r="BK344" s="76">
        <f>HYPERLINK("https://www1.hkexnews.hk/listedco/listconews/sehk/2025/0620/2025062000033.pdf","prospectus")</f>
        <v/>
      </c>
      <c r="BL344" s="76">
        <f>HYPERLINK("https://www1.hkexnews.hk/listedco/listconews/sehk/2025/0627/2025062703890.pdf","allotment")</f>
        <v/>
      </c>
      <c r="BM344" s="76">
        <f>HYPERLINK("https://www1.hkexnews.hk/listedco/listconews/sehk/2025/0725/2025072501707.pdf","stabilisation")</f>
        <v/>
      </c>
      <c r="BN344" s="74" t="n"/>
      <c r="BO344" s="62" t="inlineStr">
        <is>
          <t>A/H: no A-share listing</t>
        </is>
      </c>
    </row>
    <row r="345" ht="15" customHeight="1">
      <c r="A345" s="61" t="inlineStr">
        <is>
          <t>2592</t>
        </is>
      </c>
      <c r="B345" s="62" t="inlineStr">
        <is>
          <t>CLOUDBREAK-B</t>
        </is>
      </c>
      <c r="C345" s="62" t="inlineStr">
        <is>
          <t>撥康視雲－Ｂ</t>
        </is>
      </c>
      <c r="D345" s="62" t="inlineStr">
        <is>
          <t>Healthcare</t>
        </is>
      </c>
      <c r="E345" s="62" t="inlineStr">
        <is>
          <t>Biotech pre-revenue (18A)</t>
        </is>
      </c>
      <c r="F345" s="62" t="inlineStr">
        <is>
          <t>Biotechnology - Pharmaceuticals</t>
        </is>
      </c>
      <c r="G345" s="62" t="inlineStr">
        <is>
          <t>18A</t>
        </is>
      </c>
      <c r="H345" s="63" t="n">
        <v>45841</v>
      </c>
      <c r="I345" s="64" t="n">
        <v>611.88</v>
      </c>
      <c r="J345" s="62" t="inlineStr">
        <is>
          <t>gross (stated)</t>
        </is>
      </c>
      <c r="K345" s="65" t="n"/>
      <c r="L345" s="65" t="n">
        <v>10.1</v>
      </c>
      <c r="M345" s="65" t="n">
        <v>10.1</v>
      </c>
      <c r="N345" s="62" t="inlineStr">
        <is>
          <t>Y</t>
        </is>
      </c>
      <c r="O345" s="66" t="n">
        <v>100</v>
      </c>
      <c r="P345" s="66" t="n"/>
      <c r="Q345" s="67" t="n">
        <v>8472.799999999999</v>
      </c>
      <c r="R345" s="62" t="inlineStr">
        <is>
          <t>derived:price x shares upon listing</t>
        </is>
      </c>
      <c r="S345" s="68" t="n">
        <v>78.78</v>
      </c>
      <c r="T345" s="78">
        <f>IF('BBG Verify'!E345="","not filed — run on terminal",'BBG Verify'!E345)</f>
        <v/>
      </c>
      <c r="U345" s="70" t="n">
        <v>29.25</v>
      </c>
      <c r="V345" s="66" t="n">
        <v>5.11</v>
      </c>
      <c r="W345" s="62" t="inlineStr">
        <is>
          <t>Offering WSH; Reynold Lemkins US2.80 million</t>
        </is>
      </c>
      <c r="X345" s="62" t="inlineStr">
        <is>
          <t>offering;reynold</t>
        </is>
      </c>
      <c r="Y345" s="66" t="n"/>
      <c r="Z345" s="62" t="n"/>
      <c r="AA345" s="71" t="n">
        <v>-38.61</v>
      </c>
      <c r="AB345" s="72" t="n">
        <v>-5.94</v>
      </c>
      <c r="AC345" s="72" t="n">
        <v>-34.73</v>
      </c>
      <c r="AD345" s="72" t="n">
        <v>-42.57</v>
      </c>
      <c r="AE345" s="72" t="n">
        <v>-49.5</v>
      </c>
      <c r="AF345" s="72" t="n">
        <v>-55.35</v>
      </c>
      <c r="AG345" s="72" t="n">
        <v>-6.45</v>
      </c>
      <c r="AH345" s="72" t="n">
        <v>-17.74</v>
      </c>
      <c r="AI345" s="72" t="n">
        <v>-27.27</v>
      </c>
      <c r="AJ345" s="72" t="n">
        <v>-45.93</v>
      </c>
      <c r="AK345" s="72" t="n">
        <v>-68.91</v>
      </c>
      <c r="AL345" s="72" t="n">
        <v>-86.84999999999999</v>
      </c>
      <c r="AM345" s="72" t="n">
        <v>-33.83</v>
      </c>
      <c r="AN345" s="72" t="n">
        <v>19.41</v>
      </c>
      <c r="AO345" s="72" t="n">
        <v>16.09</v>
      </c>
      <c r="AP345" s="62" t="inlineStr">
        <is>
          <t>China Biotech ETF (HS biotech proxy)</t>
        </is>
      </c>
      <c r="AQ345" s="72" t="n">
        <v>-88.47</v>
      </c>
      <c r="AR345" s="63" t="inlineStr">
        <is>
          <t>2026-08-20</t>
        </is>
      </c>
      <c r="AS345" s="64" t="n">
        <v>78</v>
      </c>
      <c r="AT345" s="67" t="n">
        <v>-773.2</v>
      </c>
      <c r="AU345" s="62" t="inlineStr">
        <is>
          <t>N</t>
        </is>
      </c>
      <c r="AV345" s="62" t="inlineStr">
        <is>
          <t>n/m</t>
        </is>
      </c>
      <c r="AW345" s="73" t="n"/>
      <c r="AX345" s="73" t="n"/>
      <c r="AY345" s="73" t="n">
        <v>108.6</v>
      </c>
      <c r="AZ345" s="74" t="inlineStr">
        <is>
          <t>N</t>
        </is>
      </c>
      <c r="BA345" s="75">
        <f>IF('BBG Verify'!K345="","not filed — run on terminal",'BBG Verify'!K345)</f>
        <v/>
      </c>
      <c r="BB345" s="62" t="inlineStr">
        <is>
          <t>N/A</t>
        </is>
      </c>
      <c r="BC345" s="62" t="inlineStr">
        <is>
          <t>N/A</t>
        </is>
      </c>
      <c r="BD345" s="62" t="inlineStr">
        <is>
          <t>N/A</t>
        </is>
      </c>
      <c r="BE345" s="62" t="inlineStr">
        <is>
          <t>N/A</t>
        </is>
      </c>
      <c r="BF345" s="62" t="inlineStr">
        <is>
          <t>N/A</t>
        </is>
      </c>
      <c r="BG345" s="74" t="inlineStr">
        <is>
          <t>CCB International Capital Limited; Central, Hong Kong Huatai Financial Holdings (Hong Kong) Limited</t>
        </is>
      </c>
      <c r="BH345" s="62" t="inlineStr">
        <is>
          <t>CCB International Capital Limited; Huatai Financial Holdings (Hong Kong) Limited</t>
        </is>
      </c>
      <c r="BI345" s="62" t="inlineStr">
        <is>
          <t>respectively) CCB International Capital Limited; Central, Hong Kong Huatai Financial Holdings (Hong Kong) Limited; CMB International Capital Limited; Central, Hong Kong Quam Securities Limited; BOCI Asia Limited; Central, Hong Kong BOCOM International Securities Limited; China Galaxy International Securities (Hong Kong) Co., Limited; Sheung Wan, Hong Kong CMBC Securities Company Limited; Central, Hong Kong CMB International Capital Limited; Central, Hong Kong First Shanghai Securities Limited; Fosun International Securities Limited; Central, Hong Kong Huafu International Securities Limited</t>
        </is>
      </c>
      <c r="BJ345" s="62" t="inlineStr">
        <is>
          <t>BOCI Asia Limited; BOCOM International Securities Limited; CCB International Capital Limited; China Galaxy International Securities (Hong Kong) Company Limited; China Industrial Securities International Capital Limited; CMBC Securities Company Limited; CMB International Capital Limited; Fosun International Securities Limited; First Shanghai Securities Limited; Huatai Financial Holdings (Hong Kong) Limited; Huafu International Securities Limited; ICBC International Securities Limited</t>
        </is>
      </c>
      <c r="BK345" s="76">
        <f>HYPERLINK("https://www1.hkexnews.hk/listedco/listconews/sehk/2025/0624/2025062400005.pdf","prospectus")</f>
        <v/>
      </c>
      <c r="BL345" s="76">
        <f>HYPERLINK("https://www1.hkexnews.hk/listedco/listconews/sehk/2025/0702/2025070203783.pdf","allotment")</f>
        <v/>
      </c>
      <c r="BM345" s="62" t="n"/>
      <c r="BN345" s="74" t="n"/>
      <c r="BO345" s="62" t="inlineStr">
        <is>
          <t>intl sub: parsed 0.89x rejected — implausible for a deal struck at the cap with the public tranche 79x subscribed (a percentage read as a multiple); BBG Verify CP037 fills this on the terminal · P/E: n/m — loss-making at IPO (use P/S) · greenshoe: no over-allotment option in the offer structure · range low: cap-only pricing — the filing publishes a Maximum Offer Price and no indicative floor · A/H: no A-share listing · greenshoe size: no over-allotment option in the offer structure</t>
        </is>
      </c>
    </row>
    <row r="346" ht="15" customHeight="1">
      <c r="A346" s="61" t="inlineStr">
        <is>
          <t>2648</t>
        </is>
      </c>
      <c r="B346" s="62" t="inlineStr">
        <is>
          <t>ANJOY FOOD</t>
        </is>
      </c>
      <c r="C346" s="62" t="inlineStr">
        <is>
          <t>安井食品</t>
        </is>
      </c>
      <c r="D346" s="62" t="inlineStr">
        <is>
          <t>Consumer</t>
        </is>
      </c>
      <c r="E346" s="62" t="inlineStr">
        <is>
          <t>Beverages / packaged food</t>
        </is>
      </c>
      <c r="F346" s="62" t="inlineStr">
        <is>
          <t>Packaged Foods</t>
        </is>
      </c>
      <c r="G346" s="62" t="inlineStr">
        <is>
          <t>Standard</t>
        </is>
      </c>
      <c r="H346" s="63" t="n">
        <v>45842</v>
      </c>
      <c r="I346" s="64" t="n">
        <v>2400</v>
      </c>
      <c r="J346" s="62" t="inlineStr">
        <is>
          <t>gross (stated)</t>
        </is>
      </c>
      <c r="K346" s="65" t="n"/>
      <c r="L346" s="65" t="n">
        <v>66</v>
      </c>
      <c r="M346" s="65" t="n">
        <v>60</v>
      </c>
      <c r="N346" s="62" t="inlineStr">
        <is>
          <t>N</t>
        </is>
      </c>
      <c r="O346" s="66" t="n">
        <v>90.90000000000001</v>
      </c>
      <c r="P346" s="66" t="n"/>
      <c r="Q346" s="67" t="n">
        <v>27945.4</v>
      </c>
      <c r="R346" s="62" t="inlineStr">
        <is>
          <t>prospectus:stated market capitalisation</t>
        </is>
      </c>
      <c r="S346" s="68" t="n">
        <v>44.2</v>
      </c>
      <c r="T346" s="69" t="n">
        <v>5.85</v>
      </c>
      <c r="U346" s="70" t="n">
        <v>26.76</v>
      </c>
      <c r="V346" s="66" t="n">
        <v>6.29</v>
      </c>
      <c r="W346" s="62" t="inlineStr">
        <is>
          <t>HK Greenwoods; Hosen Capital; FCP Domains; NonaV erse</t>
        </is>
      </c>
      <c r="X346" s="62" t="inlineStr">
        <is>
          <t>greenwoods;hosen;fcp;nonav</t>
        </is>
      </c>
      <c r="Y346" s="66" t="n">
        <v>15</v>
      </c>
      <c r="Z346" s="62" t="inlineStr">
        <is>
          <t>lapsed</t>
        </is>
      </c>
      <c r="AA346" s="71" t="n">
        <v>-5</v>
      </c>
      <c r="AB346" s="72" t="n">
        <v>0</v>
      </c>
      <c r="AC346" s="72" t="n">
        <v>-5</v>
      </c>
      <c r="AD346" s="72" t="n">
        <v>0.08</v>
      </c>
      <c r="AE346" s="72" t="n">
        <v>0</v>
      </c>
      <c r="AF346" s="72" t="n">
        <v>-2.58</v>
      </c>
      <c r="AG346" s="72" t="n">
        <v>5.35</v>
      </c>
      <c r="AH346" s="72" t="n">
        <v>5.26</v>
      </c>
      <c r="AI346" s="72" t="n">
        <v>2.55</v>
      </c>
      <c r="AJ346" s="72" t="n">
        <v>0.3</v>
      </c>
      <c r="AK346" s="72" t="n">
        <v>-4.12</v>
      </c>
      <c r="AL346" s="72" t="n">
        <v>-23.07</v>
      </c>
      <c r="AM346" s="72" t="n">
        <v>0.45</v>
      </c>
      <c r="AN346" s="72" t="n">
        <v>4.12</v>
      </c>
      <c r="AO346" s="72" t="n">
        <v>4.81</v>
      </c>
      <c r="AP346" s="62" t="inlineStr">
        <is>
          <t>Hang Seng Commerce &amp; Industry sub-index</t>
        </is>
      </c>
      <c r="AQ346" s="72" t="n">
        <v>9.92</v>
      </c>
      <c r="AR346" s="63" t="inlineStr">
        <is>
          <t>2026-08-20</t>
        </is>
      </c>
      <c r="AS346" s="64" t="n">
        <v>16532.5</v>
      </c>
      <c r="AT346" s="67" t="n">
        <v>1665</v>
      </c>
      <c r="AU346" s="62" t="inlineStr">
        <is>
          <t>Y</t>
        </is>
      </c>
      <c r="AV346" s="73" t="n">
        <v>16.8</v>
      </c>
      <c r="AW346" s="73" t="n">
        <v>10.2</v>
      </c>
      <c r="AX346" s="73" t="n">
        <v>11.9</v>
      </c>
      <c r="AY346" s="73" t="n">
        <v>1.7</v>
      </c>
      <c r="AZ346" s="74" t="inlineStr">
        <is>
          <t>Y</t>
        </is>
      </c>
      <c r="BA346" s="62" t="inlineStr">
        <is>
          <t>603345.SS</t>
        </is>
      </c>
      <c r="BB346" s="72" t="n">
        <v>41.8</v>
      </c>
      <c r="BC346" s="65" t="n">
        <v>85.0814</v>
      </c>
      <c r="BD346" s="79" t="n">
        <v>0.4158</v>
      </c>
      <c r="BE346" s="77">
        <f>IF('BBG Verify'!Q346="","run on terminal",'BBG Verify'!Q346)</f>
        <v/>
      </c>
      <c r="BF346" s="77">
        <f>IF('BBG Verify'!R346="","run on terminal",'BBG Verify'!R346)</f>
        <v/>
      </c>
      <c r="BG346" s="74" t="inlineStr">
        <is>
          <t>Goldman Sachs (Asia) L.L.C; China International Capital Corporation Hong Kong Securities Limited</t>
        </is>
      </c>
      <c r="BH346" s="62" t="inlineStr">
        <is>
          <t>China International Capital Corporation Hong Kong Securities Limited; Goldman Sachs (Asia) L.L.C.</t>
        </is>
      </c>
      <c r="BI346" s="62" t="inlineStr">
        <is>
          <t>China Galaxy International Securities (Hong Kong) Co., Limited; UOB Kay Hian (Hong Kong) Limited; GF Securities (Hong Kong) Brokerage Limited; CCB International Capital Limited; China Industrial Securities International Capital Limited; Goldman Sachs (Asia) L.L.C; Ping An Securities (Hong Kong) Company Limited; CMB International Capital Limited; China Securities (International) Corporate Finance Company Limited; Huatai Financial Holdings (Hong Kong) Limited</t>
        </is>
      </c>
      <c r="BJ346" s="62" t="inlineStr">
        <is>
          <t>CCB International Capital Limited; China Galaxy International Securities (Hong Kong) Company Limited; China International Capital Corporation Hong Kong Securities Limited; China Industrial Securities International Capital Limited; CMB International Capital Limited; China Securities (International) Corporate Finance Company Limited; GF Securities (Hong Kong) Brokerage Limited; Goldman Sachs (Asia) L.L.C.; Huatai Financial Holdings (Hong Kong) Limited; Ping An Securities (Hong Kong) Company Limited; UOB Kay Hian (Hong Kong) Limited</t>
        </is>
      </c>
      <c r="BK346" s="76">
        <f>HYPERLINK("https://www1.hkexnews.hk/listedco/listconews/sehk/2025/0625/2025062500043.pdf","prospectus")</f>
        <v/>
      </c>
      <c r="BL346" s="76">
        <f>HYPERLINK("https://www1.hkexnews.hk/listedco/listconews/sehk/2025/0703/2025070302241.pdf","allotment")</f>
        <v/>
      </c>
      <c r="BM346" s="76">
        <f>HYPERLINK("https://www1.hkexnews.hk/listedco/listconews/sehk/2025/0730/2025073001416.pdf","stabilisation")</f>
        <v/>
      </c>
      <c r="BN346" s="74" t="n"/>
      <c r="BO346" s="62" t="inlineStr">
        <is>
          <t>range low: cap-only pricing — the filing publishes a Maximum Offer Price and no indicative floor · A/H: Jul 2025 H listing (frozen foods)</t>
        </is>
      </c>
    </row>
    <row r="347" ht="15" customHeight="1">
      <c r="A347" s="61" t="inlineStr">
        <is>
          <t>2076</t>
        </is>
      </c>
      <c r="B347" s="62" t="inlineStr">
        <is>
          <t>BOSS ZHIPIN-W</t>
        </is>
      </c>
      <c r="C347" s="62" t="inlineStr">
        <is>
          <t>ＢＯＳＳ直聘－Ｗ</t>
        </is>
      </c>
      <c r="D347" s="62" t="inlineStr">
        <is>
          <t>Tech/AI</t>
        </is>
      </c>
      <c r="E347" s="62" t="inlineStr">
        <is>
          <t>Internet platform / e-commerce</t>
        </is>
      </c>
      <c r="F347" s="62" t="inlineStr">
        <is>
          <t>Commercial &amp; Professional Services</t>
        </is>
      </c>
      <c r="G347" s="62" t="inlineStr">
        <is>
          <t>WVR</t>
        </is>
      </c>
      <c r="H347" s="63" t="n">
        <v>45842</v>
      </c>
      <c r="I347" s="64" t="n">
        <v>2277</v>
      </c>
      <c r="J347" s="62" t="inlineStr">
        <is>
          <t>gross (stated)</t>
        </is>
      </c>
      <c r="K347" s="65" t="n"/>
      <c r="L347" s="65" t="n">
        <v>78</v>
      </c>
      <c r="M347" s="65" t="n">
        <v>66</v>
      </c>
      <c r="N347" s="62" t="inlineStr">
        <is>
          <t>N</t>
        </is>
      </c>
      <c r="O347" s="66" t="n">
        <v>84.59999999999999</v>
      </c>
      <c r="P347" s="66" t="n"/>
      <c r="Q347" s="67" t="n">
        <v>65000</v>
      </c>
      <c r="R347" s="62" t="inlineStr">
        <is>
          <t>press:sina 2025-09: 截至2025-06-30总市值近650亿</t>
        </is>
      </c>
      <c r="S347" s="68" t="n">
        <v>12.04</v>
      </c>
      <c r="T347" s="69" t="n">
        <v>12.46</v>
      </c>
      <c r="U347" s="70" t="n">
        <v>0</v>
      </c>
      <c r="V347" s="66" t="n">
        <v>3.5</v>
      </c>
      <c r="W347" s="62" t="n"/>
      <c r="X347" s="62" t="n"/>
      <c r="Y347" s="66" t="n"/>
      <c r="Z347" s="62" t="n"/>
      <c r="AA347" s="71" t="n">
        <v>0.76</v>
      </c>
      <c r="AB347" s="72" t="n">
        <v>0</v>
      </c>
      <c r="AC347" s="72" t="n">
        <v>0.76</v>
      </c>
      <c r="AD347" s="72" t="n">
        <v>11.44</v>
      </c>
      <c r="AE347" s="72" t="n">
        <v>13.03</v>
      </c>
      <c r="AF347" s="72" t="n">
        <v>35.83</v>
      </c>
      <c r="AG347" s="72" t="n">
        <v>10.6</v>
      </c>
      <c r="AH347" s="72" t="n">
        <v>12.18</v>
      </c>
      <c r="AI347" s="72" t="n">
        <v>34.81</v>
      </c>
      <c r="AJ347" s="72" t="n">
        <v>11.34</v>
      </c>
      <c r="AK347" s="72" t="n">
        <v>8.66</v>
      </c>
      <c r="AL347" s="72" t="n">
        <v>8.33</v>
      </c>
      <c r="AM347" s="72" t="n">
        <v>7.51</v>
      </c>
      <c r="AN347" s="72" t="n">
        <v>4.37</v>
      </c>
      <c r="AO347" s="72" t="n">
        <v>4.67</v>
      </c>
      <c r="AP347" s="62" t="inlineStr">
        <is>
          <t>HSTECH (Hang Seng TECH ETF)</t>
        </is>
      </c>
      <c r="AQ347" s="72" t="n">
        <v>-5.15</v>
      </c>
      <c r="AR347" s="63" t="inlineStr">
        <is>
          <t>2026-08-20</t>
        </is>
      </c>
      <c r="AS347" s="64" t="n">
        <v>8091.2</v>
      </c>
      <c r="AT347" s="67" t="n">
        <v>1743.1</v>
      </c>
      <c r="AU347" s="62" t="inlineStr">
        <is>
          <t>Y</t>
        </is>
      </c>
      <c r="AV347" s="73" t="n">
        <v>37.3</v>
      </c>
      <c r="AW347" s="73" t="n"/>
      <c r="AX347" s="73" t="n"/>
      <c r="AY347" s="73" t="n">
        <v>8</v>
      </c>
      <c r="AZ347" s="74" t="inlineStr">
        <is>
          <t>N</t>
        </is>
      </c>
      <c r="BA347" s="75">
        <f>IF('BBG Verify'!K347="","not filed — run on terminal",'BBG Verify'!K347)</f>
        <v/>
      </c>
      <c r="BB347" s="62" t="inlineStr">
        <is>
          <t>N/A</t>
        </is>
      </c>
      <c r="BC347" s="62" t="inlineStr">
        <is>
          <t>N/A</t>
        </is>
      </c>
      <c r="BD347" s="62" t="inlineStr">
        <is>
          <t>N/A</t>
        </is>
      </c>
      <c r="BE347" s="62" t="inlineStr">
        <is>
          <t>N/A</t>
        </is>
      </c>
      <c r="BF347" s="62" t="inlineStr">
        <is>
          <t>N/A</t>
        </is>
      </c>
      <c r="BG347" s="74" t="inlineStr">
        <is>
          <t>Morgan Stanley; Goldman Sachs</t>
        </is>
      </c>
      <c r="BH347" s="62" t="inlineStr">
        <is>
          <t>Goldman Sachs (Asia) L.L.C.; Huatai Financial Holdings (Hong Kong) Limited; Morgan Stanley Asia Limited</t>
        </is>
      </c>
      <c r="BI347" s="62" t="inlineStr">
        <is>
          <t>Futu Securities International (Hong Kong) Limited; Goldman Sachs (Asia) L.L.C.; Huatai Financial Holdings (Hong Kong) Limited; Morgan Stanley Asia Limited; Tiger Brokers (HK) Global Limited</t>
        </is>
      </c>
      <c r="BJ347" s="62" t="inlineStr">
        <is>
          <t>Futu Securities International (Hong Kong) Limited; Goldman Sachs (Asia) L.L.C.; Huatai Financial Holdings (Hong Kong) Limited; Morgan Stanley Asia Limited; Tiger Brokers (HK) Global Limited</t>
        </is>
      </c>
      <c r="BK347" s="76">
        <f>HYPERLINK("https://www1.hkexnews.hk/listedco/listconews/sehk/2025/0625/2025062500135.pdf","prospectus")</f>
        <v/>
      </c>
      <c r="BL347" s="76">
        <f>HYPERLINK("https://www1.hkexnews.hk/listedco/listconews/sehk/2025/0703/2025070302291.pdf","allotment")</f>
        <v/>
      </c>
      <c r="BM347" s="62" t="n"/>
      <c r="BN347" s="74" t="n"/>
      <c r="BO347" s="62" t="inlineStr">
        <is>
          <t>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t>
        </is>
      </c>
    </row>
    <row r="348" ht="15" customHeight="1">
      <c r="A348" s="61" t="inlineStr">
        <is>
          <t>1828</t>
        </is>
      </c>
      <c r="B348" s="62" t="inlineStr">
        <is>
          <t>FWD</t>
        </is>
      </c>
      <c r="C348" s="62" t="inlineStr">
        <is>
          <t>富衛集團</t>
        </is>
      </c>
      <c r="D348" s="62" t="inlineStr">
        <is>
          <t>Financials</t>
        </is>
      </c>
      <c r="E348" s="62" t="inlineStr">
        <is>
          <t>Insurance</t>
        </is>
      </c>
      <c r="F348" s="62" t="inlineStr">
        <is>
          <t>Life &amp; Health Insurance</t>
        </is>
      </c>
      <c r="G348" s="62" t="inlineStr">
        <is>
          <t>Standard</t>
        </is>
      </c>
      <c r="H348" s="63" t="n">
        <v>45845</v>
      </c>
      <c r="I348" s="64" t="n">
        <v>3471</v>
      </c>
      <c r="J348" s="62" t="inlineStr">
        <is>
          <t>gross (price x shares)</t>
        </is>
      </c>
      <c r="K348" s="65" t="n"/>
      <c r="L348" s="65" t="n">
        <v>38</v>
      </c>
      <c r="M348" s="65" t="n">
        <v>38</v>
      </c>
      <c r="N348" s="62" t="inlineStr">
        <is>
          <t>Y</t>
        </is>
      </c>
      <c r="O348" s="66" t="n">
        <v>100</v>
      </c>
      <c r="P348" s="66" t="n"/>
      <c r="Q348" s="67" t="n">
        <v>48208.3</v>
      </c>
      <c r="R348" s="62" t="inlineStr">
        <is>
          <t>derived:deal size / offer % of enlarged capital</t>
        </is>
      </c>
      <c r="S348" s="68" t="n">
        <v>37.13</v>
      </c>
      <c r="T348" s="69" t="n">
        <v>2.32</v>
      </c>
      <c r="U348" s="70" t="n">
        <v>56.2</v>
      </c>
      <c r="V348" s="66" t="n">
        <v>3.15</v>
      </c>
      <c r="W348" s="62" t="inlineStr">
        <is>
          <t>RSC Ltd; T&amp;D United Capital Co., Ltd; Crimson White Investment Pte. Ltd; Future Financial Investment Company Ltd; Global Company Limited; Apollo Principal Holdings C, L.P; SCB X Public Company Limited; Canada Pension Plan Investment Board; DGA Capital (Master) Fund I LP; ORIX Asia Capital Limited; Huatai Growth Focus Limited</t>
        </is>
      </c>
      <c r="X348" s="62" t="inlineStr">
        <is>
          <t>rsc;united;crimson;future;global-company;apollo;scb;canada;dga;orix;huatai</t>
        </is>
      </c>
      <c r="Y348" s="66" t="n">
        <v>15</v>
      </c>
      <c r="Z348" s="62" t="n"/>
      <c r="AA348" s="71" t="n">
        <v>1.05</v>
      </c>
      <c r="AB348" s="72" t="n">
        <v>0</v>
      </c>
      <c r="AC348" s="72" t="n">
        <v>1.05</v>
      </c>
      <c r="AD348" s="72" t="n">
        <v>0.66</v>
      </c>
      <c r="AE348" s="72" t="n">
        <v>0.26</v>
      </c>
      <c r="AF348" s="72" t="n">
        <v>21.05</v>
      </c>
      <c r="AG348" s="72" t="n">
        <v>-0.39</v>
      </c>
      <c r="AH348" s="72" t="n">
        <v>-0.78</v>
      </c>
      <c r="AI348" s="72" t="n">
        <v>19.79</v>
      </c>
      <c r="AJ348" s="72" t="n">
        <v>-1.24</v>
      </c>
      <c r="AK348" s="72" t="n">
        <v>-2.16</v>
      </c>
      <c r="AL348" s="72" t="n">
        <v>17.63</v>
      </c>
      <c r="AM348" s="72" t="n">
        <v>-3.35</v>
      </c>
      <c r="AN348" s="72" t="n">
        <v>2.42</v>
      </c>
      <c r="AO348" s="72" t="n">
        <v>2.57</v>
      </c>
      <c r="AP348" s="62" t="inlineStr">
        <is>
          <t>Hang Seng Finance sub-index</t>
        </is>
      </c>
      <c r="AQ348" s="72" t="n">
        <v>-26.32</v>
      </c>
      <c r="AR348" s="63" t="inlineStr">
        <is>
          <t>2026-08-21</t>
        </is>
      </c>
      <c r="AS348" s="64" t="n">
        <v>21247.2</v>
      </c>
      <c r="AT348" s="67" t="n">
        <v>187.2</v>
      </c>
      <c r="AU348" s="62" t="inlineStr">
        <is>
          <t>Y</t>
        </is>
      </c>
      <c r="AV348" s="73" t="n">
        <v>257.5</v>
      </c>
      <c r="AW348" s="73" t="n"/>
      <c r="AX348" s="73" t="n">
        <v>38.4</v>
      </c>
      <c r="AY348" s="73" t="n">
        <v>2.3</v>
      </c>
      <c r="AZ348" s="74" t="inlineStr">
        <is>
          <t>N</t>
        </is>
      </c>
      <c r="BA348" s="75">
        <f>IF('BBG Verify'!K348="","not filed — run on terminal",'BBG Verify'!K348)</f>
        <v/>
      </c>
      <c r="BB348" s="62" t="inlineStr">
        <is>
          <t>N/A</t>
        </is>
      </c>
      <c r="BC348" s="62" t="inlineStr">
        <is>
          <t>N/A</t>
        </is>
      </c>
      <c r="BD348" s="62" t="inlineStr">
        <is>
          <t>N/A</t>
        </is>
      </c>
      <c r="BE348" s="62" t="inlineStr">
        <is>
          <t>N/A</t>
        </is>
      </c>
      <c r="BF348" s="62" t="inlineStr">
        <is>
          <t>N/A</t>
        </is>
      </c>
      <c r="BG348" s="74" t="inlineStr">
        <is>
          <t>Morgan Stanley Asia Limited; Goldman Sachs (Asia) L.L.C</t>
        </is>
      </c>
      <c r="BH348" s="62" t="inlineStr">
        <is>
          <t>Morgan Stanley Asia Limited; Goldman Sachs (Asia) L.L.C.</t>
        </is>
      </c>
      <c r="BI348" s="62" t="inlineStr">
        <is>
          <t>Morgan Stanley Asia Limited; Goldman Sachs (Asia) L.L.C; CMB International Capital Limited; The Hongkong and Shanghai Banking Corporation Limited; and Syndicate Capital Market Intermediaries Morgan Stanley Asia Limited</t>
        </is>
      </c>
      <c r="BJ348" s="62" t="inlineStr">
        <is>
          <t>BOCOM International Securities Limited; CCB International Capital Limited; CMB International Capital Limited; DBS Asia Capital Limited; Goldman Sachs (Asia) L.L.C.; Huatai Financial Holdings (Hong Kong) Limited; The Hongkong and Shanghai Banking Corporation Limited; ICBC International Securities Limited; Morgan Stanley Asia Limited; Mizuho Securities Asia Limited; Oversea-Chinese Banking Corporation Limited; SMBC Nikko Securities (Hong Kong) Limited</t>
        </is>
      </c>
      <c r="BK348" s="76">
        <f>HYPERLINK("https://www1.hkexnews.hk/listedco/listconews/sehk/2025/0626/2025062600017.pdf","prospectus")</f>
        <v/>
      </c>
      <c r="BL348" s="76">
        <f>HYPERLINK("https://www1.hkexnews.hk/listedco/listconews/sehk/2025/0704/2025070402160.pdf","allotment")</f>
        <v/>
      </c>
      <c r="BM348" s="62" t="n"/>
      <c r="BN348" s="74" t="n"/>
      <c r="BO348" s="62" t="inlineStr">
        <is>
          <t>greenshoe: end-of-stabilisation notice not located · range low: cap-only pricing — the filing publishes a Maximum Offer Price and no indicative floor · A/H: no A-share listing</t>
        </is>
      </c>
    </row>
    <row r="349" ht="15" customHeight="1">
      <c r="A349" s="61" t="inlineStr">
        <is>
          <t>2651</t>
        </is>
      </c>
      <c r="B349" s="62" t="inlineStr">
        <is>
          <t>DAZHONG DENTAL</t>
        </is>
      </c>
      <c r="C349" s="62" t="inlineStr">
        <is>
          <t>大眾口腔</t>
        </is>
      </c>
      <c r="D349" s="62" t="inlineStr">
        <is>
          <t>Healthcare</t>
        </is>
      </c>
      <c r="E349" s="62" t="inlineStr">
        <is>
          <t>Hospitals / clinics</t>
        </is>
      </c>
      <c r="F349" s="62" t="inlineStr">
        <is>
          <t>Health Care Services</t>
        </is>
      </c>
      <c r="G349" s="62" t="inlineStr">
        <is>
          <t>Standard</t>
        </is>
      </c>
      <c r="H349" s="63" t="n">
        <v>45847</v>
      </c>
      <c r="I349" s="64" t="n">
        <v>217.24</v>
      </c>
      <c r="J349" s="62" t="inlineStr">
        <is>
          <t>gross (stated)</t>
        </is>
      </c>
      <c r="K349" s="65" t="n"/>
      <c r="L349" s="65" t="n">
        <v>21.4</v>
      </c>
      <c r="M349" s="65" t="n">
        <v>20</v>
      </c>
      <c r="N349" s="62" t="inlineStr">
        <is>
          <t>N</t>
        </is>
      </c>
      <c r="O349" s="66" t="n">
        <v>93.5</v>
      </c>
      <c r="P349" s="66" t="n"/>
      <c r="Q349" s="67" t="n">
        <v>987.6</v>
      </c>
      <c r="R349" s="62" t="inlineStr">
        <is>
          <t>derived:price x shares upon listing</t>
        </is>
      </c>
      <c r="S349" s="68" t="n">
        <v>108.25</v>
      </c>
      <c r="T349" s="69" t="n">
        <v>0.96</v>
      </c>
      <c r="U349" s="70" t="n">
        <v>0</v>
      </c>
      <c r="V349" s="66" t="n">
        <v>22</v>
      </c>
      <c r="W349" s="62" t="n"/>
      <c r="X349" s="62" t="n"/>
      <c r="Y349" s="66" t="n">
        <v>11.65</v>
      </c>
      <c r="Z349" s="62" t="inlineStr">
        <is>
          <t>lapsed (no over-allocation)</t>
        </is>
      </c>
      <c r="AA349" s="71" t="n">
        <v>3.5</v>
      </c>
      <c r="AB349" s="72" t="n">
        <v>20</v>
      </c>
      <c r="AC349" s="72" t="n">
        <v>-13.75</v>
      </c>
      <c r="AD349" s="72" t="n">
        <v>-10.5</v>
      </c>
      <c r="AE349" s="72" t="n">
        <v>-28.5</v>
      </c>
      <c r="AF349" s="72" t="n">
        <v>-35.95</v>
      </c>
      <c r="AG349" s="72" t="n">
        <v>-13.53</v>
      </c>
      <c r="AH349" s="72" t="n">
        <v>-30.92</v>
      </c>
      <c r="AI349" s="72" t="n">
        <v>-38.12</v>
      </c>
      <c r="AJ349" s="72" t="n">
        <v>-17.67</v>
      </c>
      <c r="AK349" s="72" t="n">
        <v>-43.78</v>
      </c>
      <c r="AL349" s="72" t="n">
        <v>-67.8</v>
      </c>
      <c r="AM349" s="72" t="n">
        <v>-44.22</v>
      </c>
      <c r="AN349" s="72" t="n">
        <v>15.28</v>
      </c>
      <c r="AO349" s="72" t="n">
        <v>13.3</v>
      </c>
      <c r="AP349" s="62" t="inlineStr">
        <is>
          <t>China Biotech ETF (HS biotech proxy)</t>
        </is>
      </c>
      <c r="AQ349" s="72" t="n">
        <v>24.5</v>
      </c>
      <c r="AR349" s="63" t="inlineStr">
        <is>
          <t>2026-08-20</t>
        </is>
      </c>
      <c r="AS349" s="64" t="n">
        <v>447.8</v>
      </c>
      <c r="AT349" s="67" t="n">
        <v>68.8</v>
      </c>
      <c r="AU349" s="62" t="inlineStr">
        <is>
          <t>Y</t>
        </is>
      </c>
      <c r="AV349" s="73" t="n">
        <v>14.4</v>
      </c>
      <c r="AW349" s="73" t="n">
        <v>20.1</v>
      </c>
      <c r="AX349" s="73" t="n">
        <v>26.1</v>
      </c>
      <c r="AY349" s="73" t="n">
        <v>2.2</v>
      </c>
      <c r="AZ349" s="74" t="inlineStr">
        <is>
          <t>N</t>
        </is>
      </c>
      <c r="BA349" s="75">
        <f>IF('BBG Verify'!K349="","not filed — run on terminal",'BBG Verify'!K349)</f>
        <v/>
      </c>
      <c r="BB349" s="62" t="inlineStr">
        <is>
          <t>N/A</t>
        </is>
      </c>
      <c r="BC349" s="62" t="inlineStr">
        <is>
          <t>N/A</t>
        </is>
      </c>
      <c r="BD349" s="62" t="inlineStr">
        <is>
          <t>N/A</t>
        </is>
      </c>
      <c r="BE349" s="62" t="inlineStr">
        <is>
          <t>N/A</t>
        </is>
      </c>
      <c r="BF349" s="62" t="inlineStr">
        <is>
          <t>N/A</t>
        </is>
      </c>
      <c r="BG349" s="74" t="inlineStr">
        <is>
          <t>Haitong International Capital Limited</t>
        </is>
      </c>
      <c r="BH349" s="62" t="inlineStr">
        <is>
          <t>Haitong International Holdings Limited</t>
        </is>
      </c>
      <c r="BI349" s="62" t="inlineStr">
        <is>
          <t>Haitong International Securities Company Limited</t>
        </is>
      </c>
      <c r="BJ349" s="62" t="inlineStr">
        <is>
          <t>Haitong International Securities Company Limited; Livermore Holdings Limited</t>
        </is>
      </c>
      <c r="BK349" s="76">
        <f>HYPERLINK("https://www1.hkexnews.hk/listedco/listconews/sehk/2025/0630/2025063000019.pdf","prospectus")</f>
        <v/>
      </c>
      <c r="BL349" s="76">
        <f>HYPERLINK("https://www1.hkexnews.hk/listedco/listconews/sehk/2025/0708/2025070801104.pdf","allotment")</f>
        <v/>
      </c>
      <c r="BM349" s="76">
        <f>HYPERLINK("https://www1.hkexnews.hk/listedco/listconews/sehk/2025/0804/2025080401259.pdf","stabilisation")</f>
        <v/>
      </c>
      <c r="BN349" s="74" t="n"/>
      <c r="BO349" s="62" t="inlineStr">
        <is>
          <t>range low: cap-only pricing — the filing publishes a Maximum Offer Price and no indicative floor · A/H: no A-share listing · cornerstone list: no cornerstone tranche in this deal</t>
        </is>
      </c>
    </row>
    <row r="350" ht="15" customHeight="1">
      <c r="A350" s="61" t="inlineStr">
        <is>
          <t>2590</t>
        </is>
      </c>
      <c r="B350" s="62" t="inlineStr">
        <is>
          <t>GEEKPLUS-W</t>
        </is>
      </c>
      <c r="C350" s="62" t="inlineStr">
        <is>
          <t>極智嘉－Ｗ</t>
        </is>
      </c>
      <c r="D350" s="62" t="inlineStr">
        <is>
          <t>Tech/AI</t>
        </is>
      </c>
      <c r="E350" s="62" t="inlineStr">
        <is>
          <t>Robotics &amp; autonomous driving</t>
        </is>
      </c>
      <c r="F350" s="62" t="inlineStr">
        <is>
          <t>Advanced hardware and software</t>
        </is>
      </c>
      <c r="G350" s="62" t="inlineStr">
        <is>
          <t>WVR</t>
        </is>
      </c>
      <c r="H350" s="63" t="n">
        <v>45847</v>
      </c>
      <c r="I350" s="64" t="n">
        <v>2711.62</v>
      </c>
      <c r="J350" s="62" t="inlineStr">
        <is>
          <t>gross (stated)</t>
        </is>
      </c>
      <c r="K350" s="65" t="n"/>
      <c r="L350" s="65" t="n">
        <v>16.8</v>
      </c>
      <c r="M350" s="65" t="n">
        <v>16.8</v>
      </c>
      <c r="N350" s="62" t="inlineStr">
        <is>
          <t>Y</t>
        </is>
      </c>
      <c r="O350" s="66" t="n">
        <v>100</v>
      </c>
      <c r="P350" s="66" t="n"/>
      <c r="Q350" s="67" t="n">
        <v>21832.7</v>
      </c>
      <c r="R350" s="62" t="inlineStr">
        <is>
          <t>prospectus:stated market capitalisation</t>
        </is>
      </c>
      <c r="S350" s="68" t="n">
        <v>133.62</v>
      </c>
      <c r="T350" s="69" t="n">
        <v>30.17</v>
      </c>
      <c r="U350" s="70" t="n">
        <v>26.3</v>
      </c>
      <c r="V350" s="66" t="n">
        <v>9.15</v>
      </c>
      <c r="W350" s="62" t="inlineStr">
        <is>
          <t>Accelerator VI Ltd; Primus Cabibbo Limited</t>
        </is>
      </c>
      <c r="X350" s="62" t="inlineStr">
        <is>
          <t>accelerator;primus</t>
        </is>
      </c>
      <c r="Y350" s="66" t="n">
        <v>15</v>
      </c>
      <c r="Z350" s="62" t="inlineStr">
        <is>
          <t>partial</t>
        </is>
      </c>
      <c r="AA350" s="71" t="n">
        <v>5.36</v>
      </c>
      <c r="AB350" s="72" t="n">
        <v>0.6</v>
      </c>
      <c r="AC350" s="72" t="n">
        <v>4.73</v>
      </c>
      <c r="AD350" s="72" t="n">
        <v>12.62</v>
      </c>
      <c r="AE350" s="72" t="n">
        <v>9.880000000000001</v>
      </c>
      <c r="AF350" s="72" t="n">
        <v>92.5</v>
      </c>
      <c r="AG350" s="72" t="n">
        <v>6.89</v>
      </c>
      <c r="AH350" s="72" t="n">
        <v>4.29</v>
      </c>
      <c r="AI350" s="72" t="n">
        <v>82.70999999999999</v>
      </c>
      <c r="AJ350" s="72" t="n">
        <v>10.81</v>
      </c>
      <c r="AK350" s="72" t="n">
        <v>5.87</v>
      </c>
      <c r="AL350" s="72" t="n">
        <v>70.44</v>
      </c>
      <c r="AM350" s="72" t="n">
        <v>-1.43</v>
      </c>
      <c r="AN350" s="72" t="n">
        <v>4.01</v>
      </c>
      <c r="AO350" s="72" t="n">
        <v>5.72</v>
      </c>
      <c r="AP350" s="62" t="inlineStr">
        <is>
          <t>HSTECH (Hang Seng TECH ETF)</t>
        </is>
      </c>
      <c r="AQ350" s="72" t="n">
        <v>-40.3</v>
      </c>
      <c r="AR350" s="63" t="inlineStr">
        <is>
          <t>2026-08-20</t>
        </is>
      </c>
      <c r="AS350" s="64" t="n">
        <v>2649.9</v>
      </c>
      <c r="AT350" s="67" t="n">
        <v>-1239.4</v>
      </c>
      <c r="AU350" s="62" t="inlineStr">
        <is>
          <t>N</t>
        </is>
      </c>
      <c r="AV350" s="62" t="inlineStr">
        <is>
          <t>n/m</t>
        </is>
      </c>
      <c r="AW350" s="73" t="n"/>
      <c r="AX350" s="73" t="n"/>
      <c r="AY350" s="73" t="n">
        <v>8.199999999999999</v>
      </c>
      <c r="AZ350" s="74" t="inlineStr">
        <is>
          <t>N</t>
        </is>
      </c>
      <c r="BA350" s="75">
        <f>IF('BBG Verify'!K350="","not filed — run on terminal",'BBG Verify'!K350)</f>
        <v/>
      </c>
      <c r="BB350" s="62" t="inlineStr">
        <is>
          <t>N/A</t>
        </is>
      </c>
      <c r="BC350" s="62" t="inlineStr">
        <is>
          <t>N/A</t>
        </is>
      </c>
      <c r="BD350" s="62" t="inlineStr">
        <is>
          <t>N/A</t>
        </is>
      </c>
      <c r="BE350" s="62" t="inlineStr">
        <is>
          <t>N/A</t>
        </is>
      </c>
      <c r="BF350" s="62" t="inlineStr">
        <is>
          <t>N/A</t>
        </is>
      </c>
      <c r="BG350" s="74" t="inlineStr">
        <is>
          <t>Morgan Stanley Asia Limited; China International Capital Corporation Hong Kong Securities Limited</t>
        </is>
      </c>
      <c r="BH350" s="62" t="inlineStr">
        <is>
          <t>China International Capital Corporation Hong Kong Securities Limited; Morgan Stanley Asia Limited</t>
        </is>
      </c>
      <c r="BI350" s="62" t="inlineStr">
        <is>
          <t>China International Capital Corporation Hong Kong Securities Limited; CMB International Capital Limited; Deutsche Bank AG, Hong Kong Branch; DBS Asia Capital Limited; Daiwa Capital Markets Hong Kong Limited; GF Securities (Hong Kong) Brokerage Limited</t>
        </is>
      </c>
      <c r="BJ350" s="62" t="inlineStr">
        <is>
          <t>China International Capital Corporation Hong Kong Securities Limited; CMB International Capital Limited; Deutsche Bank AG, Hong Kong Branch; DBS Asia Capital Limited; Daiwa Capital Markets Hong Kong Limited; GF Securities (Hong Kong) Brokerage Limited; ICBC International Securities Limited; Morgan Stanley Asia Limited; South China Securities Limited; Shenwan Hongyuan Securities (H.K.) Limited; Tiger Brokers (HK) Global Limited</t>
        </is>
      </c>
      <c r="BK350" s="76">
        <f>HYPERLINK("https://www1.hkexnews.hk/listedco/listconews/sehk/2025/0630/2025063000025.pdf","prospectus")</f>
        <v/>
      </c>
      <c r="BL350" s="76">
        <f>HYPERLINK("https://www1.hkexnews.hk/listedco/listconews/sehk/2025/0708/2025070801126.pdf","allotment")</f>
        <v/>
      </c>
      <c r="BM350" s="76">
        <f>HYPERLINK("https://www1.hkexnews.hk/listedco/listconews/sehk/2025/0804/2025080400319.pdf","stabilisation")</f>
        <v/>
      </c>
      <c r="BN350" s="74" t="n"/>
      <c r="BO350" s="62" t="inlineStr">
        <is>
          <t>P/E: n/m — loss-making at IPO (use P/S) · range low: cap-only pricing — the filing publishes a Maximum Offer Price and no indicative floor · A/H: no A-share listing</t>
        </is>
      </c>
    </row>
    <row r="351" ht="15" customHeight="1">
      <c r="A351" s="61" t="inlineStr">
        <is>
          <t>2597</t>
        </is>
      </c>
      <c r="B351" s="62" t="inlineStr">
        <is>
          <t>XUNZHONG</t>
        </is>
      </c>
      <c r="C351" s="62" t="inlineStr">
        <is>
          <t>訊眾通信</t>
        </is>
      </c>
      <c r="D351" s="62" t="inlineStr">
        <is>
          <t>Tech/AI</t>
        </is>
      </c>
      <c r="E351" s="62" t="inlineStr">
        <is>
          <t>SaaS / enterprise software</t>
        </is>
      </c>
      <c r="F351" s="62" t="inlineStr">
        <is>
          <t>Telecommunication Services</t>
        </is>
      </c>
      <c r="G351" s="62" t="inlineStr">
        <is>
          <t>Standard</t>
        </is>
      </c>
      <c r="H351" s="63" t="n">
        <v>45847</v>
      </c>
      <c r="I351" s="64" t="n">
        <v>412.5</v>
      </c>
      <c r="J351" s="62" t="inlineStr">
        <is>
          <t>gross (stated)</t>
        </is>
      </c>
      <c r="K351" s="65" t="n"/>
      <c r="L351" s="65" t="n">
        <v>15.15</v>
      </c>
      <c r="M351" s="65" t="n">
        <v>13.55</v>
      </c>
      <c r="N351" s="62" t="inlineStr">
        <is>
          <t>N</t>
        </is>
      </c>
      <c r="O351" s="66" t="n">
        <v>89.40000000000001</v>
      </c>
      <c r="P351" s="66" t="n"/>
      <c r="Q351" s="67" t="n">
        <v>1649.8</v>
      </c>
      <c r="R351" s="62" t="inlineStr">
        <is>
          <t>derived:price x shares upon listing</t>
        </is>
      </c>
      <c r="S351" s="68" t="n">
        <v>12.79</v>
      </c>
      <c r="T351" s="69" t="n">
        <v>1.01</v>
      </c>
      <c r="U351" s="70" t="n">
        <v>31.54</v>
      </c>
      <c r="V351" s="66" t="n">
        <v>17.12</v>
      </c>
      <c r="W351" s="62" t="inlineStr">
        <is>
          <t>Tongzhou International</t>
        </is>
      </c>
      <c r="X351" s="62" t="inlineStr">
        <is>
          <t>tongzhou</t>
        </is>
      </c>
      <c r="Y351" s="66" t="n">
        <v>7.88</v>
      </c>
      <c r="Z351" s="62" t="inlineStr">
        <is>
          <t>lapsed (no over-allocation)</t>
        </is>
      </c>
      <c r="AA351" s="71" t="n">
        <v>0.22</v>
      </c>
      <c r="AB351" s="72" t="n">
        <v>7.16</v>
      </c>
      <c r="AC351" s="72" t="n">
        <v>-6.48</v>
      </c>
      <c r="AD351" s="72" t="n">
        <v>-0.37</v>
      </c>
      <c r="AE351" s="72" t="n">
        <v>-0.37</v>
      </c>
      <c r="AF351" s="72" t="n">
        <v>47.6</v>
      </c>
      <c r="AG351" s="72" t="n">
        <v>-0.59</v>
      </c>
      <c r="AH351" s="72" t="n">
        <v>-0.59</v>
      </c>
      <c r="AI351" s="72" t="n">
        <v>47.28</v>
      </c>
      <c r="AJ351" s="72" t="n">
        <v>-2.18</v>
      </c>
      <c r="AK351" s="72" t="n">
        <v>-4.38</v>
      </c>
      <c r="AL351" s="72" t="n">
        <v>25.54</v>
      </c>
      <c r="AM351" s="72" t="n">
        <v>-6.31</v>
      </c>
      <c r="AN351" s="72" t="n">
        <v>4.01</v>
      </c>
      <c r="AO351" s="72" t="n">
        <v>5.72</v>
      </c>
      <c r="AP351" s="62" t="inlineStr">
        <is>
          <t>HSTECH (Hang Seng TECH ETF)</t>
        </is>
      </c>
      <c r="AQ351" s="72" t="n">
        <v>209.82</v>
      </c>
      <c r="AR351" s="63" t="inlineStr">
        <is>
          <t>2026-08-20</t>
        </is>
      </c>
      <c r="AS351" s="64" t="n">
        <v>1009.4</v>
      </c>
      <c r="AT351" s="67" t="n">
        <v>55.7</v>
      </c>
      <c r="AU351" s="62" t="inlineStr">
        <is>
          <t>Y</t>
        </is>
      </c>
      <c r="AV351" s="73" t="n">
        <v>29.6</v>
      </c>
      <c r="AW351" s="73" t="n">
        <v>21.1</v>
      </c>
      <c r="AX351" s="73" t="n">
        <v>50.8</v>
      </c>
      <c r="AY351" s="73" t="n">
        <v>1.6</v>
      </c>
      <c r="AZ351" s="74" t="inlineStr">
        <is>
          <t>N</t>
        </is>
      </c>
      <c r="BA351" s="75">
        <f>IF('BBG Verify'!K351="","not filed — run on terminal",'BBG Verify'!K351)</f>
        <v/>
      </c>
      <c r="BB351" s="62" t="inlineStr">
        <is>
          <t>N/A</t>
        </is>
      </c>
      <c r="BC351" s="62" t="inlineStr">
        <is>
          <t>N/A</t>
        </is>
      </c>
      <c r="BD351" s="62" t="inlineStr">
        <is>
          <t>N/A</t>
        </is>
      </c>
      <c r="BE351" s="62" t="inlineStr">
        <is>
          <t>N/A</t>
        </is>
      </c>
      <c r="BF351" s="62" t="inlineStr">
        <is>
          <t>N/A</t>
        </is>
      </c>
      <c r="BG351" s="74" t="n"/>
      <c r="BH351" s="62" t="inlineStr">
        <is>
          <t>DBS Asia Capital Limited</t>
        </is>
      </c>
      <c r="BI351" s="62" t="inlineStr">
        <is>
          <t>DBS Asia Capital Limited; Fosun International Securities Limited; Central, Hong Kong ICBC International Securities Limited; Zinvest Global Limited; Huafu International Securities Limited; Sheung Wan, Hong Kong Winbull Securities International (Hong Kong) Limited; Wan Chai, Hong Kong Long Bridge HK Limited; Central, Hong Kong ZH Securities Limited</t>
        </is>
      </c>
      <c r="BJ351" s="62" t="inlineStr">
        <is>
          <t>BOCI Asia Limited; Central China International Securities Co., Limited; China Industrial Securities International Capital Limited; CMBC Securities Company Limited; China Securities (International) Corporate Finance Company Limited; DBS Asia Capital Limited; Fosun International Securities Limited; Guoyuan Securities Brokerage (Hong Kong) Limited; Huafu International Securities Limited; ICBC International Securities Limited; Long Bridge HK Limited; Winbull Securities International (HK) Limited</t>
        </is>
      </c>
      <c r="BK351" s="76">
        <f>HYPERLINK("https://www1.hkexnews.hk/listedco/listconews/sehk/2025/0630/2025063000023.pdf","prospectus")</f>
        <v/>
      </c>
      <c r="BL351" s="76">
        <f>HYPERLINK("https://www1.hkexnews.hk/listedco/listconews/sehk/2025/0708/2025070801152.pdf","allotment")</f>
        <v/>
      </c>
      <c r="BM351" s="76">
        <f>HYPERLINK("https://www1.hkexnews.hk/listedco/listconews/sehk/2025/0804/2025080400029.pdf","stabilisation")</f>
        <v/>
      </c>
      <c r="BN351" s="74" t="n"/>
      <c r="BO351" s="62" t="inlineStr">
        <is>
          <t>range low: cap-only pricing — the filing publishes a Maximum Offer Price and no indicative floor · A/H: no A-share listing · sponsor: English name not in the filing text; AAStocks 保薦人 shown</t>
        </is>
      </c>
    </row>
    <row r="352" ht="15" customHeight="1">
      <c r="A352" s="61" t="inlineStr">
        <is>
          <t>1304</t>
        </is>
      </c>
      <c r="B352" s="62" t="inlineStr">
        <is>
          <t>FORTIOR</t>
        </is>
      </c>
      <c r="C352" s="62" t="inlineStr">
        <is>
          <t>FORTIOR</t>
        </is>
      </c>
      <c r="D352" s="62" t="inlineStr">
        <is>
          <t>Tech/AI</t>
        </is>
      </c>
      <c r="E352" s="62" t="inlineStr">
        <is>
          <t>AI chips &amp; semis</t>
        </is>
      </c>
      <c r="F352" s="62" t="inlineStr">
        <is>
          <t>Semiconductors &amp; Semiconductor Equipment</t>
        </is>
      </c>
      <c r="G352" s="62" t="inlineStr">
        <is>
          <t>Standard</t>
        </is>
      </c>
      <c r="H352" s="63" t="n">
        <v>45847</v>
      </c>
      <c r="I352" s="64" t="n">
        <v>2258.7</v>
      </c>
      <c r="J352" s="62" t="inlineStr">
        <is>
          <t>gross (stated)</t>
        </is>
      </c>
      <c r="K352" s="65" t="n"/>
      <c r="L352" s="65" t="n">
        <v>120.5</v>
      </c>
      <c r="M352" s="65" t="n">
        <v>120.5</v>
      </c>
      <c r="N352" s="62" t="inlineStr">
        <is>
          <t>Y</t>
        </is>
      </c>
      <c r="O352" s="66" t="n">
        <v>100</v>
      </c>
      <c r="P352" s="66" t="n"/>
      <c r="Q352" s="67" t="n">
        <v>13070.6</v>
      </c>
      <c r="R352" s="62" t="inlineStr">
        <is>
          <t>prospectus:stated market capitalisation</t>
        </is>
      </c>
      <c r="S352" s="68" t="n">
        <v>138.26</v>
      </c>
      <c r="T352" s="69" t="n">
        <v>8.609999999999999</v>
      </c>
      <c r="U352" s="70" t="n">
        <v>38.7</v>
      </c>
      <c r="V352" s="66" t="n">
        <v>10.59</v>
      </c>
      <c r="W352" s="62" t="inlineStr">
        <is>
          <t>Pinpoint; Wind Sabre; Mega Prime; Fourier Capital; Torus; Intac</t>
        </is>
      </c>
      <c r="X352" s="62" t="inlineStr">
        <is>
          <t>pinpoint;wind;mega;fourier;torus;intac</t>
        </is>
      </c>
      <c r="Y352" s="66" t="n">
        <v>15</v>
      </c>
      <c r="Z352" s="62" t="inlineStr">
        <is>
          <t>full</t>
        </is>
      </c>
      <c r="AA352" s="71" t="n">
        <v>16.02</v>
      </c>
      <c r="AB352" s="72" t="n">
        <v>8.550000000000001</v>
      </c>
      <c r="AC352" s="72" t="n">
        <v>6.88</v>
      </c>
      <c r="AD352" s="72" t="n">
        <v>25.81</v>
      </c>
      <c r="AE352" s="72" t="n">
        <v>30.87</v>
      </c>
      <c r="AF352" s="72" t="n">
        <v>65.06</v>
      </c>
      <c r="AG352" s="72" t="n">
        <v>8.44</v>
      </c>
      <c r="AH352" s="72" t="n">
        <v>12.8</v>
      </c>
      <c r="AI352" s="72" t="n">
        <v>42.27</v>
      </c>
      <c r="AJ352" s="72" t="n">
        <v>24</v>
      </c>
      <c r="AK352" s="72" t="n">
        <v>26.86</v>
      </c>
      <c r="AL352" s="72" t="n">
        <v>43</v>
      </c>
      <c r="AM352" s="72" t="n">
        <v>7.08</v>
      </c>
      <c r="AN352" s="72" t="n">
        <v>4.01</v>
      </c>
      <c r="AO352" s="72" t="n">
        <v>5.72</v>
      </c>
      <c r="AP352" s="62" t="inlineStr">
        <is>
          <t>HSTECH (Hang Seng TECH ETF)</t>
        </is>
      </c>
      <c r="AQ352" s="72" t="n">
        <v>-9.710000000000001</v>
      </c>
      <c r="AR352" s="63" t="inlineStr">
        <is>
          <t>2026-08-20</t>
        </is>
      </c>
      <c r="AS352" s="64" t="n">
        <v>660.4</v>
      </c>
      <c r="AT352" s="67" t="n">
        <v>156.2</v>
      </c>
      <c r="AU352" s="62" t="inlineStr">
        <is>
          <t>Y</t>
        </is>
      </c>
      <c r="AV352" s="73" t="n">
        <v>83.7</v>
      </c>
      <c r="AW352" s="73" t="n">
        <v>53.1</v>
      </c>
      <c r="AX352" s="73" t="n">
        <v>48.1</v>
      </c>
      <c r="AY352" s="73" t="n">
        <v>19.8</v>
      </c>
      <c r="AZ352" s="74" t="inlineStr">
        <is>
          <t>Y</t>
        </is>
      </c>
      <c r="BA352" s="62" t="inlineStr">
        <is>
          <t>688279.SS</t>
        </is>
      </c>
      <c r="BB352" s="72" t="n">
        <v>66.31999999999999</v>
      </c>
      <c r="BC352" s="65" t="n">
        <v>200.418</v>
      </c>
      <c r="BD352" s="79" t="n">
        <v>0.7721</v>
      </c>
      <c r="BE352" s="77">
        <f>IF('BBG Verify'!Q352="","run on terminal",'BBG Verify'!Q352)</f>
        <v/>
      </c>
      <c r="BF352" s="77">
        <f>IF('BBG Verify'!R352="","run on terminal",'BBG Verify'!R352)</f>
        <v/>
      </c>
      <c r="BG352" s="74" t="inlineStr">
        <is>
          <t>China International Capital Corporation Hong Kong Securities Limited</t>
        </is>
      </c>
      <c r="BH352" s="62" t="inlineStr">
        <is>
          <t>China International Capital Corporation Hong Kong Securities Limited</t>
        </is>
      </c>
      <c r="BI352" s="62" t="inlineStr">
        <is>
          <t>China International Capital Corporation Hong Kong Securities Limited; BOCI Asia Limited; GF Securities (Hong Kong) Brokerage Limited</t>
        </is>
      </c>
      <c r="BJ352" s="62" t="inlineStr">
        <is>
          <t>BOCI Asia Limited; China International Capital Corporation Hong Kong Securities Limited; GF Securities (Hong Kong) Brokerage Limited</t>
        </is>
      </c>
      <c r="BK352" s="76">
        <f>HYPERLINK("https://www1.hkexnews.hk/listedco/listconews/sehk/2025/0630/2025063000015.pdf","prospectus")</f>
        <v/>
      </c>
      <c r="BL352" s="76">
        <f>HYPERLINK("https://www1.hkexnews.hk/listedco/listconews/sehk/2025/0708/2025070801154.pdf","allotment")</f>
        <v/>
      </c>
      <c r="BM352" s="76">
        <f>HYPERLINK("https://www1.hkexnews.hk/listedco/listconews/sehk/2025/0803/2025080300007.pdf","stabilisation")</f>
        <v/>
      </c>
      <c r="BN352" s="74" t="n"/>
      <c r="BO352" s="62" t="inlineStr">
        <is>
          <t>range low: cap-only pricing — the filing publishes a Maximum Offer Price and no indicative floor · A/H: Jul 2025 H listing (BLDC motor-driver chips)</t>
        </is>
      </c>
    </row>
    <row r="353" ht="15" customHeight="1">
      <c r="A353" s="61" t="inlineStr">
        <is>
          <t>6613</t>
        </is>
      </c>
      <c r="B353" s="62" t="inlineStr">
        <is>
          <t>LENS</t>
        </is>
      </c>
      <c r="C353" s="62" t="inlineStr">
        <is>
          <t>藍思科技</t>
        </is>
      </c>
      <c r="D353" s="62" t="inlineStr">
        <is>
          <t>Tech/AI</t>
        </is>
      </c>
      <c r="E353" s="62" t="inlineStr">
        <is>
          <t>Smart hardware / consumer electronics</t>
        </is>
      </c>
      <c r="F353" s="62" t="inlineStr">
        <is>
          <t>Next-generation information technology</t>
        </is>
      </c>
      <c r="G353" s="62" t="inlineStr">
        <is>
          <t>Standard</t>
        </is>
      </c>
      <c r="H353" s="63" t="n">
        <v>45847</v>
      </c>
      <c r="I353" s="64" t="n">
        <v>4767.83</v>
      </c>
      <c r="J353" s="62" t="inlineStr">
        <is>
          <t>gross (stated)</t>
        </is>
      </c>
      <c r="K353" s="65" t="n"/>
      <c r="L353" s="65" t="n">
        <v>18.18</v>
      </c>
      <c r="M353" s="65" t="n">
        <v>18.18</v>
      </c>
      <c r="N353" s="62" t="inlineStr">
        <is>
          <t>Y</t>
        </is>
      </c>
      <c r="O353" s="66" t="n">
        <v>100</v>
      </c>
      <c r="P353" s="66" t="n"/>
      <c r="Q353" s="67" t="n">
        <v>96069.8</v>
      </c>
      <c r="R353" s="62" t="inlineStr">
        <is>
          <t>aastocks:上市市值 at the struck price</t>
        </is>
      </c>
      <c r="S353" s="68" t="n">
        <v>462.76</v>
      </c>
      <c r="T353" s="69" t="n">
        <v>16.68</v>
      </c>
      <c r="U353" s="70" t="n">
        <v>32.2</v>
      </c>
      <c r="V353" s="66" t="n">
        <v>3.36</v>
      </c>
      <c r="W353" s="62" t="inlineStr">
        <is>
          <t>Green Better; Olympic Country; UBS AM Singapore; Poly Platinum; Infini; Verition</t>
        </is>
      </c>
      <c r="X353" s="62" t="inlineStr">
        <is>
          <t>green;olympic;ubs;poly;infini;verition</t>
        </is>
      </c>
      <c r="Y353" s="66" t="n">
        <v>15</v>
      </c>
      <c r="Z353" s="62" t="inlineStr">
        <is>
          <t>full</t>
        </is>
      </c>
      <c r="AA353" s="71" t="n">
        <v>9.130000000000001</v>
      </c>
      <c r="AB353" s="72" t="n">
        <v>3.85</v>
      </c>
      <c r="AC353" s="72" t="n">
        <v>5.08</v>
      </c>
      <c r="AD353" s="72" t="n">
        <v>6.38</v>
      </c>
      <c r="AE353" s="72" t="n">
        <v>16.06</v>
      </c>
      <c r="AF353" s="72" t="n">
        <v>76.79000000000001</v>
      </c>
      <c r="AG353" s="72" t="n">
        <v>-2.52</v>
      </c>
      <c r="AH353" s="72" t="n">
        <v>6.35</v>
      </c>
      <c r="AI353" s="72" t="n">
        <v>62</v>
      </c>
      <c r="AJ353" s="72" t="n">
        <v>4.57</v>
      </c>
      <c r="AK353" s="72" t="n">
        <v>12.05</v>
      </c>
      <c r="AL353" s="72" t="n">
        <v>54.73</v>
      </c>
      <c r="AM353" s="72" t="n">
        <v>0.63</v>
      </c>
      <c r="AN353" s="72" t="n">
        <v>4.01</v>
      </c>
      <c r="AO353" s="72" t="n">
        <v>5.72</v>
      </c>
      <c r="AP353" s="62" t="inlineStr">
        <is>
          <t>HSTECH (Hang Seng TECH ETF)</t>
        </is>
      </c>
      <c r="AQ353" s="72" t="n">
        <v>23.76</v>
      </c>
      <c r="AR353" s="63" t="inlineStr">
        <is>
          <t>2026-08-20</t>
        </is>
      </c>
      <c r="AS353" s="64" t="n"/>
      <c r="AT353" s="67" t="n">
        <v>4044.5</v>
      </c>
      <c r="AU353" s="62" t="inlineStr">
        <is>
          <t>Y</t>
        </is>
      </c>
      <c r="AV353" s="73" t="n">
        <v>23.8</v>
      </c>
      <c r="AW353" s="73" t="n">
        <v>22.9</v>
      </c>
      <c r="AX353" s="73" t="n">
        <v>30.1</v>
      </c>
      <c r="AY353" s="73" t="n"/>
      <c r="AZ353" s="74" t="inlineStr">
        <is>
          <t>Y</t>
        </is>
      </c>
      <c r="BA353" s="62" t="inlineStr">
        <is>
          <t>300433.SZ</t>
        </is>
      </c>
      <c r="BB353" s="72" t="n">
        <v>40.38</v>
      </c>
      <c r="BC353" s="65" t="n">
        <v>25.5213</v>
      </c>
      <c r="BD353" s="79" t="n">
        <v>0.8308</v>
      </c>
      <c r="BE353" s="77">
        <f>IF('BBG Verify'!Q353="","run on terminal",'BBG Verify'!Q353)</f>
        <v/>
      </c>
      <c r="BF353" s="77">
        <f>IF('BBG Verify'!R353="","run on terminal",'BBG Verify'!R353)</f>
        <v/>
      </c>
      <c r="BG353" s="74" t="inlineStr">
        <is>
          <t>CITIC Securities (Hong Kong) Limited</t>
        </is>
      </c>
      <c r="BH353" s="62" t="inlineStr">
        <is>
          <t>CITIC Securities (Hong Kong) Limited</t>
        </is>
      </c>
      <c r="BI353" s="62" t="inlineStr">
        <is>
          <t>CLSA Limited; Merrill Lynch (Asia Pacific) Limited; ABCI Capital Limited; BOCI Asia Limited; Futu Securities International (Hong Kong) Limited; AVICT Global Asset Management Limited</t>
        </is>
      </c>
      <c r="BJ353" s="62" t="inlineStr">
        <is>
          <t>ABCI Securities Company Limited; AVICT Global Asset Management Limited; BOCI Asia Limited; CLSA Limited; Futu Securities International (Hong Kong) Limited; Merrill Lynch (Asia Pacific) Limited</t>
        </is>
      </c>
      <c r="BK353" s="76">
        <f>HYPERLINK("https://www1.hkexnews.hk/listedco/listconews/sehk/2025/0630/2025063000031.pdf","prospectus")</f>
        <v/>
      </c>
      <c r="BL353" s="76">
        <f>HYPERLINK("https://www1.hkexnews.hk/listedco/listconews/sehk/2025/0708/2025070801180.pdf","allotment")</f>
        <v/>
      </c>
      <c r="BM353" s="76">
        <f>HYPERLINK("https://www1.hkexnews.hk/listedco/listconews/sehk/2025/0803/2025080300029.pdf","stabilisation")</f>
        <v/>
      </c>
      <c r="BN353" s="74" t="n"/>
      <c r="BO353" s="62" t="inlineStr">
        <is>
          <t>range low: cap-only pricing — the filing publishes a Maximum Offer Price and no indicative floor · A/H: Jul 2025 H listing (cover glass, Apple chain) · P/S: revenue not extractable · financials: financial tables not machine-extractable and the pre-IPO year is outside AAStocks' 5-year window</t>
        </is>
      </c>
    </row>
    <row r="354" ht="15" customHeight="1">
      <c r="A354" s="61" t="inlineStr">
        <is>
          <t>9887</t>
        </is>
      </c>
      <c r="B354" s="62" t="inlineStr">
        <is>
          <t>LEADS BIOLABS-B</t>
        </is>
      </c>
      <c r="C354" s="62" t="inlineStr">
        <is>
          <t>維立志博－Ｂ</t>
        </is>
      </c>
      <c r="D354" s="62" t="inlineStr">
        <is>
          <t>Healthcare</t>
        </is>
      </c>
      <c r="E354" s="62" t="inlineStr">
        <is>
          <t>Biotech pre-revenue (18A)</t>
        </is>
      </c>
      <c r="F354" s="62" t="inlineStr">
        <is>
          <t>Biotechnology - Pharmaceuticals</t>
        </is>
      </c>
      <c r="G354" s="62" t="inlineStr">
        <is>
          <t>18A</t>
        </is>
      </c>
      <c r="H354" s="63" t="n">
        <v>45863</v>
      </c>
      <c r="I354" s="64" t="n">
        <v>1290.2</v>
      </c>
      <c r="J354" s="62" t="inlineStr">
        <is>
          <t>gross (stated)</t>
        </is>
      </c>
      <c r="K354" s="65" t="n">
        <v>31.6</v>
      </c>
      <c r="L354" s="65" t="n">
        <v>35</v>
      </c>
      <c r="M354" s="65" t="n">
        <v>35</v>
      </c>
      <c r="N354" s="62" t="inlineStr">
        <is>
          <t>Y</t>
        </is>
      </c>
      <c r="O354" s="66" t="n">
        <v>100</v>
      </c>
      <c r="P354" s="66" t="n">
        <v>100</v>
      </c>
      <c r="Q354" s="67" t="n">
        <v>5958.3</v>
      </c>
      <c r="R354" s="62" t="inlineStr">
        <is>
          <t>prospectus:stated market capitalisation</t>
        </is>
      </c>
      <c r="S354" s="68" t="n">
        <v>3494.78</v>
      </c>
      <c r="T354" s="69" t="n">
        <v>40.78</v>
      </c>
      <c r="U354" s="70" t="n">
        <v>10.63</v>
      </c>
      <c r="V354" s="66" t="n">
        <v>19.35</v>
      </c>
      <c r="W354" s="62" t="inlineStr">
        <is>
          <t>Loyal Valley Fund III; Vision Fund</t>
        </is>
      </c>
      <c r="X354" s="62" t="inlineStr">
        <is>
          <t>loyal;vision</t>
        </is>
      </c>
      <c r="Y354" s="66" t="n">
        <v>15</v>
      </c>
      <c r="Z354" s="62" t="inlineStr">
        <is>
          <t>full</t>
        </is>
      </c>
      <c r="AA354" s="71" t="n">
        <v>91.70999999999999</v>
      </c>
      <c r="AB354" s="72" t="n">
        <v>106.86</v>
      </c>
      <c r="AC354" s="72" t="n">
        <v>-7.32</v>
      </c>
      <c r="AD354" s="72" t="n">
        <v>100</v>
      </c>
      <c r="AE354" s="72" t="n">
        <v>94.29000000000001</v>
      </c>
      <c r="AF354" s="72" t="n">
        <v>69.14</v>
      </c>
      <c r="AG354" s="72" t="n">
        <v>4.32</v>
      </c>
      <c r="AH354" s="72" t="n">
        <v>1.35</v>
      </c>
      <c r="AI354" s="72" t="n">
        <v>-11.77</v>
      </c>
      <c r="AJ354" s="72" t="n">
        <v>96.86</v>
      </c>
      <c r="AK354" s="72" t="n">
        <v>84.23999999999999</v>
      </c>
      <c r="AL354" s="72" t="n">
        <v>66.01000000000001</v>
      </c>
      <c r="AM354" s="72" t="n">
        <v>-8.779999999999999</v>
      </c>
      <c r="AN354" s="72" t="n">
        <v>10.05</v>
      </c>
      <c r="AO354" s="72" t="n">
        <v>10.13</v>
      </c>
      <c r="AP354" s="62" t="inlineStr">
        <is>
          <t>China Biotech ETF (HS biotech proxy)</t>
        </is>
      </c>
      <c r="AQ354" s="72" t="n">
        <v>117.43</v>
      </c>
      <c r="AR354" s="63" t="inlineStr">
        <is>
          <t>2026-08-20</t>
        </is>
      </c>
      <c r="AS354" s="64" t="n">
        <v>9.800000000000001</v>
      </c>
      <c r="AT354" s="67" t="n">
        <v>-95.2</v>
      </c>
      <c r="AU354" s="62" t="inlineStr">
        <is>
          <t>N</t>
        </is>
      </c>
      <c r="AV354" s="62" t="inlineStr">
        <is>
          <t>n/m</t>
        </is>
      </c>
      <c r="AW354" s="73" t="n"/>
      <c r="AX354" s="73" t="n"/>
      <c r="AY354" s="73" t="n">
        <v>608</v>
      </c>
      <c r="AZ354" s="74" t="inlineStr">
        <is>
          <t>N</t>
        </is>
      </c>
      <c r="BA354" s="75">
        <f>IF('BBG Verify'!K354="","not filed — run on terminal",'BBG Verify'!K354)</f>
        <v/>
      </c>
      <c r="BB354" s="62" t="inlineStr">
        <is>
          <t>N/A</t>
        </is>
      </c>
      <c r="BC354" s="62" t="inlineStr">
        <is>
          <t>N/A</t>
        </is>
      </c>
      <c r="BD354" s="62" t="inlineStr">
        <is>
          <t>N/A</t>
        </is>
      </c>
      <c r="BE354" s="62" t="inlineStr">
        <is>
          <t>N/A</t>
        </is>
      </c>
      <c r="BF354" s="62" t="inlineStr">
        <is>
          <t>N/A</t>
        </is>
      </c>
      <c r="BG354" s="74" t="inlineStr">
        <is>
          <t>Morgan StanleyAsia Limited; CITIC Securities (Hong Kong) Limited; CLSA Limited</t>
        </is>
      </c>
      <c r="BH354" s="62" t="inlineStr">
        <is>
          <t>Morgan Stanley Asia Limited; CITIC Securities (Hong Kong) Limited</t>
        </is>
      </c>
      <c r="BI354" s="62" t="inlineStr">
        <is>
          <t>CCB International Capital Limited; CLSA Limited; CMB International Capital Limited; Futu Securities International (Hong Kong) Limited; Morgan Stanley Asia Limited</t>
        </is>
      </c>
      <c r="BJ354" s="62" t="inlineStr">
        <is>
          <t>CCB International Capital Limited; CLSA Limited; CMB International Capital Limited; Futu Securities International (Hong Kong) Limited; Morgan Stanley Asia Limited</t>
        </is>
      </c>
      <c r="BK354" s="76">
        <f>HYPERLINK("https://www1.hkexnews.hk/listedco/listconews/sehk/2025/0717/2025071700005.pdf","prospectus")</f>
        <v/>
      </c>
      <c r="BL354" s="76">
        <f>HYPERLINK("https://www1.hkexnews.hk/listedco/listconews/sehk/2025/0724/2025072401812.pdf","allotment")</f>
        <v/>
      </c>
      <c r="BM354" s="76">
        <f>HYPERLINK("https://www1.hkexnews.hk/listedco/listconews/sehk/2025/0821/2025082100862.pdf","stabilisation")</f>
        <v/>
      </c>
      <c r="BN354" s="74" t="n"/>
      <c r="BO354" s="62" t="inlineStr">
        <is>
          <t>P/E: n/m — loss-making at IPO (use P/S) · A/H: no A-share listing · P/S: 608x on HK$9.8m revenue — effectively pre-revenue; the multiple is shown for completeness, not comparability</t>
        </is>
      </c>
    </row>
    <row r="355" ht="15" customHeight="1">
      <c r="A355" s="61" t="inlineStr">
        <is>
          <t>2627</t>
        </is>
      </c>
      <c r="B355" s="62" t="inlineStr">
        <is>
          <t>AB&amp;B BIO-TECH-B</t>
        </is>
      </c>
      <c r="C355" s="62" t="inlineStr">
        <is>
          <t>中慧生物－Ｂ</t>
        </is>
      </c>
      <c r="D355" s="62" t="inlineStr">
        <is>
          <t>Healthcare</t>
        </is>
      </c>
      <c r="E355" s="62" t="inlineStr">
        <is>
          <t>Biotech pre-revenue (18A)</t>
        </is>
      </c>
      <c r="F355" s="62" t="inlineStr">
        <is>
          <t>Biotechnology - Pharmaceuticals</t>
        </is>
      </c>
      <c r="G355" s="62" t="inlineStr">
        <is>
          <t>18A</t>
        </is>
      </c>
      <c r="H355" s="63" t="n">
        <v>45880</v>
      </c>
      <c r="I355" s="64" t="n">
        <v>431.4</v>
      </c>
      <c r="J355" s="62" t="inlineStr">
        <is>
          <t>gross (stated)</t>
        </is>
      </c>
      <c r="K355" s="65" t="n"/>
      <c r="L355" s="65" t="n">
        <v>15.5</v>
      </c>
      <c r="M355" s="65" t="n">
        <v>12.9</v>
      </c>
      <c r="N355" s="62" t="inlineStr">
        <is>
          <t>N</t>
        </is>
      </c>
      <c r="O355" s="66" t="n">
        <v>83.2</v>
      </c>
      <c r="P355" s="66" t="n"/>
      <c r="Q355" s="67" t="n">
        <v>5075.4</v>
      </c>
      <c r="R355" s="62" t="inlineStr">
        <is>
          <t>derived:price x shares upon listing</t>
        </is>
      </c>
      <c r="S355" s="68" t="n">
        <v>4007.64</v>
      </c>
      <c r="T355" s="69" t="n">
        <v>0.99</v>
      </c>
      <c r="U355" s="70" t="n">
        <v>33.3</v>
      </c>
      <c r="V355" s="66" t="n">
        <v>5.67</v>
      </c>
      <c r="W355" s="62" t="n"/>
      <c r="X355" s="62" t="n"/>
      <c r="Y355" s="66" t="n"/>
      <c r="Z355" s="62" t="n"/>
      <c r="AA355" s="71" t="n">
        <v>157.98</v>
      </c>
      <c r="AB355" s="72" t="n">
        <v>155.81</v>
      </c>
      <c r="AC355" s="72" t="n">
        <v>0.85</v>
      </c>
      <c r="AD355" s="72" t="n">
        <v>314.73</v>
      </c>
      <c r="AE355" s="72" t="n">
        <v>261.09</v>
      </c>
      <c r="AF355" s="72" t="n">
        <v>212.71</v>
      </c>
      <c r="AG355" s="72" t="n">
        <v>60.76</v>
      </c>
      <c r="AH355" s="72" t="n">
        <v>39.97</v>
      </c>
      <c r="AI355" s="72" t="n">
        <v>21.21</v>
      </c>
      <c r="AJ355" s="72" t="n">
        <v>307.69</v>
      </c>
      <c r="AK355" s="72" t="n">
        <v>248.23</v>
      </c>
      <c r="AL355" s="72" t="n">
        <v>212.81</v>
      </c>
      <c r="AM355" s="72" t="n">
        <v>27.97</v>
      </c>
      <c r="AN355" s="72" t="n">
        <v>12.86</v>
      </c>
      <c r="AO355" s="72" t="n">
        <v>12</v>
      </c>
      <c r="AP355" s="62" t="inlineStr">
        <is>
          <t>China Biotech ETF (HS biotech proxy)</t>
        </is>
      </c>
      <c r="AQ355" s="72" t="n">
        <v>127.29</v>
      </c>
      <c r="AR355" s="63" t="inlineStr">
        <is>
          <t>2026-08-21</t>
        </is>
      </c>
      <c r="AS355" s="64" t="n">
        <v>0.3</v>
      </c>
      <c r="AT355" s="67" t="n">
        <v>0</v>
      </c>
      <c r="AU355" s="62" t="inlineStr">
        <is>
          <t>N</t>
        </is>
      </c>
      <c r="AV355" s="62" t="inlineStr">
        <is>
          <t>n/m</t>
        </is>
      </c>
      <c r="AW355" s="73" t="n"/>
      <c r="AX355" s="73" t="n"/>
      <c r="AY355" s="73" t="n">
        <v>16918</v>
      </c>
      <c r="AZ355" s="74" t="inlineStr">
        <is>
          <t>N</t>
        </is>
      </c>
      <c r="BA355" s="75">
        <f>IF('BBG Verify'!K355="","not filed — run on terminal",'BBG Verify'!K355)</f>
        <v/>
      </c>
      <c r="BB355" s="62" t="inlineStr">
        <is>
          <t>N/A</t>
        </is>
      </c>
      <c r="BC355" s="62" t="inlineStr">
        <is>
          <t>N/A</t>
        </is>
      </c>
      <c r="BD355" s="62" t="inlineStr">
        <is>
          <t>N/A</t>
        </is>
      </c>
      <c r="BE355" s="62" t="inlineStr">
        <is>
          <t>N/A</t>
        </is>
      </c>
      <c r="BF355" s="62" t="inlineStr">
        <is>
          <t>N/A</t>
        </is>
      </c>
      <c r="BG355" s="74" t="inlineStr">
        <is>
          <t>CITIC Securities (Hong Kong) Limited; CMB International Capital Limited</t>
        </is>
      </c>
      <c r="BH355" s="62" t="inlineStr">
        <is>
          <t>CITIC Securities (Hong Kong) Limited; CMB International Capital Limited</t>
        </is>
      </c>
      <c r="BI355" s="62" t="inlineStr">
        <is>
          <t>CLSA Limited; CMB International Capital Limited; Livermore Holdings Limited; Funde Securities Limited; Aristo Securities Limited; BOCI Asia Limited; ICBC International Securities Limited</t>
        </is>
      </c>
      <c r="BJ355" s="62" t="inlineStr">
        <is>
          <t>Aristo Securities Limited; BOCI Asia Limited; CLSA Limited; CMB International Capital Limited; Funde Securities Limited; ICBC International Securities Limited; Livermore Holdings Limited</t>
        </is>
      </c>
      <c r="BK355" s="76">
        <f>HYPERLINK("https://www1.hkexnews.hk/listedco/listconews/sehk/2025/0731/2025073100087.pdf","prospectus")</f>
        <v/>
      </c>
      <c r="BL355" s="76">
        <f>HYPERLINK("https://www1.hkexnews.hk/listedco/listconews/sehk/2025/0808/2025080801368.pdf","allotment")</f>
        <v/>
      </c>
      <c r="BM355" s="62" t="n"/>
      <c r="BN355" s="74" t="n"/>
      <c r="BO355" s="62" t="inlineStr">
        <is>
          <t>P/E: n/m — loss-making at IPO (use P/S) · greenshoe: no over-allotment option in the offer structure · range low: cap-only pricing — the filing publishes a Maximum Offer Price and no indicative floor · A/H: no A-share listing · cornerstone list: tranche parsed (33.3% locked) but the per-investor table did not machine-parse — names are in the prospectus Cornerstone section (link on this row) · greenshoe size: no over-allotment option in the offer structure · P/S: 16,918x on HK$0.3m revenue — effectively pre-revenue; the multiple is shown for completeness, not comparability</t>
        </is>
      </c>
    </row>
    <row r="356" ht="15" customHeight="1">
      <c r="A356" s="61" t="inlineStr">
        <is>
          <t>2591</t>
        </is>
      </c>
      <c r="B356" s="62" t="inlineStr">
        <is>
          <t>INNOGEN-B</t>
        </is>
      </c>
      <c r="C356" s="62" t="inlineStr">
        <is>
          <t>銀諾醫藥－Ｂ</t>
        </is>
      </c>
      <c r="D356" s="62" t="inlineStr">
        <is>
          <t>Healthcare</t>
        </is>
      </c>
      <c r="E356" s="62" t="inlineStr">
        <is>
          <t>Biotech pre-revenue (18A)</t>
        </is>
      </c>
      <c r="F356" s="62" t="inlineStr">
        <is>
          <t>Pharmaceuticals</t>
        </is>
      </c>
      <c r="G356" s="62" t="inlineStr">
        <is>
          <t>18A</t>
        </is>
      </c>
      <c r="H356" s="63" t="n">
        <v>45884</v>
      </c>
      <c r="I356" s="64" t="n">
        <v>682.9</v>
      </c>
      <c r="J356" s="62" t="inlineStr">
        <is>
          <t>gross (stated)</t>
        </is>
      </c>
      <c r="K356" s="65" t="n"/>
      <c r="L356" s="65" t="n">
        <v>18.68</v>
      </c>
      <c r="M356" s="65" t="n">
        <v>18.68</v>
      </c>
      <c r="N356" s="62" t="inlineStr">
        <is>
          <t>Y</t>
        </is>
      </c>
      <c r="O356" s="66" t="n">
        <v>100</v>
      </c>
      <c r="P356" s="66" t="n"/>
      <c r="Q356" s="67" t="n">
        <v>8533.4</v>
      </c>
      <c r="R356" s="62" t="inlineStr">
        <is>
          <t>derived:price x shares upon listing</t>
        </is>
      </c>
      <c r="S356" s="68" t="n">
        <v>5341.66</v>
      </c>
      <c r="T356" s="69" t="n">
        <v>10.67</v>
      </c>
      <c r="U356" s="70" t="n">
        <v>11.49</v>
      </c>
      <c r="V356" s="66" t="n">
        <v>7.08</v>
      </c>
      <c r="W356" s="62" t="inlineStr">
        <is>
          <t>LI Huifeng ( ኇᅆჾ); June Star Global Limited; SPC-XtalPi AI Fund SP; Marketingforce Management Ltd; DENG Haifeng; Palace Investments Pte. Ltd; BioTrack AA Limited; BioTrack BZ Limited</t>
        </is>
      </c>
      <c r="X356" s="62" t="inlineStr">
        <is>
          <t>li-huifeng;june;xtalpi;marketingforce;deng-haifeng;palace;biotrack</t>
        </is>
      </c>
      <c r="Y356" s="66" t="n">
        <v>11.19</v>
      </c>
      <c r="Z356" s="62" t="n"/>
      <c r="AA356" s="71" t="n">
        <v>206.48</v>
      </c>
      <c r="AB356" s="72" t="n">
        <v>285.44</v>
      </c>
      <c r="AC356" s="72" t="n">
        <v>-20.49</v>
      </c>
      <c r="AD356" s="72" t="n">
        <v>183.73</v>
      </c>
      <c r="AE356" s="72" t="n">
        <v>137.37</v>
      </c>
      <c r="AF356" s="72" t="n">
        <v>84.58</v>
      </c>
      <c r="AG356" s="72" t="n">
        <v>-7.42</v>
      </c>
      <c r="AH356" s="72" t="n">
        <v>-22.55</v>
      </c>
      <c r="AI356" s="72" t="n">
        <v>-39.77</v>
      </c>
      <c r="AJ356" s="72" t="n">
        <v>180.94</v>
      </c>
      <c r="AK356" s="72" t="n">
        <v>131.52</v>
      </c>
      <c r="AL356" s="72" t="n">
        <v>86.28</v>
      </c>
      <c r="AM356" s="72" t="n">
        <v>-26.92</v>
      </c>
      <c r="AN356" s="72" t="n">
        <v>5.85</v>
      </c>
      <c r="AO356" s="72" t="n">
        <v>4.37</v>
      </c>
      <c r="AP356" s="62" t="inlineStr">
        <is>
          <t>China Biotech ETF (HS biotech proxy)</t>
        </is>
      </c>
      <c r="AQ356" s="72" t="n">
        <v>-77.45999999999999</v>
      </c>
      <c r="AR356" s="63" t="inlineStr">
        <is>
          <t>2026-08-20</t>
        </is>
      </c>
      <c r="AS356" s="64" t="n">
        <v>42</v>
      </c>
      <c r="AT356" s="67" t="n">
        <v>-68.09999999999999</v>
      </c>
      <c r="AU356" s="62" t="inlineStr">
        <is>
          <t>N</t>
        </is>
      </c>
      <c r="AV356" s="62" t="inlineStr">
        <is>
          <t>n/m</t>
        </is>
      </c>
      <c r="AW356" s="73" t="n"/>
      <c r="AX356" s="73" t="n"/>
      <c r="AY356" s="73" t="n">
        <v>203.2</v>
      </c>
      <c r="AZ356" s="74" t="inlineStr">
        <is>
          <t>N</t>
        </is>
      </c>
      <c r="BA356" s="75">
        <f>IF('BBG Verify'!K356="","not filed — run on terminal",'BBG Verify'!K356)</f>
        <v/>
      </c>
      <c r="BB356" s="62" t="inlineStr">
        <is>
          <t>N/A</t>
        </is>
      </c>
      <c r="BC356" s="62" t="inlineStr">
        <is>
          <t>N/A</t>
        </is>
      </c>
      <c r="BD356" s="62" t="inlineStr">
        <is>
          <t>N/A</t>
        </is>
      </c>
      <c r="BE356" s="62" t="inlineStr">
        <is>
          <t>N/A</t>
        </is>
      </c>
      <c r="BF356" s="62" t="inlineStr">
        <is>
          <t>N/A</t>
        </is>
      </c>
      <c r="BG356" s="74" t="inlineStr">
        <is>
          <t>CITIC Securities (Hong Kong) Limited; China International Capital Corporation Hong Kong Securities Limited</t>
        </is>
      </c>
      <c r="BH356" s="62" t="inlineStr">
        <is>
          <t>China International Capital Corporation Hong Kong Securities Limited; CITIC Securities (Hong Kong) Limited</t>
        </is>
      </c>
      <c r="BI356" s="62" t="inlineStr">
        <is>
          <t>CLSA Limited; China International Capital Corporation Hong Kong Securities Limited; (in no particular order ) Deutsche Bank AG, Hong Kong Branch; Macquarie Capital Limited; China Galaxy International Securities (Hong Kong) Co., Limited; ABCI Capital Limited; BOCOM International Securities Limited; CMB International Capital Limited; Futu Securities International (Hong Kong) Limited; FUZE SECURITIES (INTERNATIONAL) LIMITED; Hafoo Securities Limited; Tiger Brokers (HK) Global Limited</t>
        </is>
      </c>
      <c r="BJ356" s="62" t="inlineStr">
        <is>
          <t>ABCI Securities Company Limited; BOCOM International Securities Limited; China Galaxy International Securities (Hong Kong) Company Limited; China International Capital Corporation Hong Kong Securities Limited; CLSA Limited; CMB International Capital Limited; Deutsche Bank AG; Fosun International Securities Limited; Futu Securities International (Hong Kong) Limited; FUZE SECURITIES (INTERNATIONAL) LIMITED; Hafoo Securities Limited; Macquarie Capital Limited</t>
        </is>
      </c>
      <c r="BK356" s="76">
        <f>HYPERLINK("https://www1.hkexnews.hk/listedco/listconews/sehk/2025/0807/2025080700013.pdf","prospectus")</f>
        <v/>
      </c>
      <c r="BL356" s="76">
        <f>HYPERLINK("https://www1.hkexnews.hk/listedco/listconews/sehk/2025/0814/2025081401622.pdf","allotment")</f>
        <v/>
      </c>
      <c r="BM356" s="62" t="n"/>
      <c r="BN356" s="74" t="n"/>
      <c r="BO356" s="62" t="inlineStr">
        <is>
          <t>P/E: n/m — loss-making at IPO (use P/S) · greenshoe: end-of-stabilisation notice not located · range low: cap-only pricing — the filing publishes a Maximum Offer Price and no indicative floor · A/H: no A-share listing</t>
        </is>
      </c>
    </row>
    <row r="357" ht="15" customHeight="1">
      <c r="A357" s="61" t="inlineStr">
        <is>
          <t>2631</t>
        </is>
      </c>
      <c r="B357" s="62" t="inlineStr">
        <is>
          <t>SICC</t>
        </is>
      </c>
      <c r="C357" s="62" t="inlineStr">
        <is>
          <t>天岳先進</t>
        </is>
      </c>
      <c r="D357" s="62" t="inlineStr">
        <is>
          <t>Tech/AI</t>
        </is>
      </c>
      <c r="E357" s="62" t="inlineStr">
        <is>
          <t>AI chips &amp; semis</t>
        </is>
      </c>
      <c r="F357" s="62" t="inlineStr">
        <is>
          <t>Semiconductors &amp; Semiconductor Equipment</t>
        </is>
      </c>
      <c r="G357" s="62" t="inlineStr">
        <is>
          <t>Standard</t>
        </is>
      </c>
      <c r="H357" s="63" t="n">
        <v>45889</v>
      </c>
      <c r="I357" s="64" t="n">
        <v>2043.5</v>
      </c>
      <c r="J357" s="62" t="inlineStr">
        <is>
          <t>gross (stated)</t>
        </is>
      </c>
      <c r="K357" s="65" t="n"/>
      <c r="L357" s="65" t="n">
        <v>42.8</v>
      </c>
      <c r="M357" s="65" t="n">
        <v>42.8</v>
      </c>
      <c r="N357" s="62" t="inlineStr">
        <is>
          <t>Y</t>
        </is>
      </c>
      <c r="O357" s="66" t="n">
        <v>100</v>
      </c>
      <c r="P357" s="66" t="n"/>
      <c r="Q357" s="67" t="n">
        <v>18084.1</v>
      </c>
      <c r="R357" s="62" t="inlineStr">
        <is>
          <t>derived:deal size / offer % of enlarged capital</t>
        </is>
      </c>
      <c r="S357" s="68" t="n">
        <v>2809.19</v>
      </c>
      <c r="T357" s="69" t="n">
        <v>9.039999999999999</v>
      </c>
      <c r="U357" s="70" t="n">
        <v>36.2</v>
      </c>
      <c r="V357" s="66" t="n">
        <v>7.21</v>
      </c>
      <c r="W357" s="62" t="inlineStr">
        <is>
          <t>H&amp;T Intelligent Control International Co., Limited; Mr. Lan Kun ( ᚆտ)</t>
        </is>
      </c>
      <c r="X357" s="62" t="inlineStr">
        <is>
          <t>intelligent;mr-lan</t>
        </is>
      </c>
      <c r="Y357" s="66" t="n">
        <v>15</v>
      </c>
      <c r="Z357" s="62" t="inlineStr">
        <is>
          <t>full</t>
        </is>
      </c>
      <c r="AA357" s="71" t="n">
        <v>6.4</v>
      </c>
      <c r="AB357" s="72" t="n">
        <v>6.54</v>
      </c>
      <c r="AC357" s="72" t="n">
        <v>-0.13</v>
      </c>
      <c r="AD357" s="72" t="n">
        <v>2.34</v>
      </c>
      <c r="AE357" s="72" t="n">
        <v>42.29</v>
      </c>
      <c r="AF357" s="72" t="n">
        <v>23.25</v>
      </c>
      <c r="AG357" s="72" t="n">
        <v>-3.82</v>
      </c>
      <c r="AH357" s="72" t="n">
        <v>33.73</v>
      </c>
      <c r="AI357" s="72" t="n">
        <v>15.84</v>
      </c>
      <c r="AJ357" s="72" t="n">
        <v>-0.41</v>
      </c>
      <c r="AK357" s="72" t="n">
        <v>29.25</v>
      </c>
      <c r="AL357" s="72" t="n">
        <v>22.79</v>
      </c>
      <c r="AM357" s="72" t="n">
        <v>20.59</v>
      </c>
      <c r="AN357" s="72" t="n">
        <v>13.04</v>
      </c>
      <c r="AO357" s="72" t="n">
        <v>13.14</v>
      </c>
      <c r="AP357" s="62" t="inlineStr">
        <is>
          <t>HSTECH (Hang Seng TECH ETF)</t>
        </is>
      </c>
      <c r="AQ357" s="72" t="n">
        <v>65.06999999999999</v>
      </c>
      <c r="AR357" s="63" t="inlineStr">
        <is>
          <t>2026-08-20</t>
        </is>
      </c>
      <c r="AS357" s="64" t="n">
        <v>1945</v>
      </c>
      <c r="AT357" s="67" t="n">
        <v>196.9</v>
      </c>
      <c r="AU357" s="62" t="inlineStr">
        <is>
          <t>Y</t>
        </is>
      </c>
      <c r="AV357" s="73" t="n">
        <v>91.8</v>
      </c>
      <c r="AW357" s="73" t="n">
        <v>203.2</v>
      </c>
      <c r="AX357" s="73" t="n"/>
      <c r="AY357" s="73" t="n">
        <v>9.300000000000001</v>
      </c>
      <c r="AZ357" s="74" t="inlineStr">
        <is>
          <t>Y</t>
        </is>
      </c>
      <c r="BA357" s="62" t="inlineStr">
        <is>
          <t>688234.SS</t>
        </is>
      </c>
      <c r="BB357" s="72" t="n">
        <v>70.04000000000001</v>
      </c>
      <c r="BC357" s="65" t="n">
        <v>72.779</v>
      </c>
      <c r="BD357" s="79" t="n">
        <v>0.9161</v>
      </c>
      <c r="BE357" s="77">
        <f>IF('BBG Verify'!Q357="","run on terminal",'BBG Verify'!Q357)</f>
        <v/>
      </c>
      <c r="BF357" s="77">
        <f>IF('BBG Verify'!R357="","run on terminal",'BBG Verify'!R357)</f>
        <v/>
      </c>
      <c r="BG357" s="74" t="inlineStr">
        <is>
          <t>China International Capital Corporation Hong Kong Securities Limited; CITIC Securities (Hong Kong) Limited; Sponsor-OC China International Capital Corporation Hong Kong Securities Limited; CLSA Limited</t>
        </is>
      </c>
      <c r="BH357" s="62" t="inlineStr">
        <is>
          <t>China International Capital Corporation Hong Kong Securities Limited; CITIC Securities (Hong Kong) Limited</t>
        </is>
      </c>
      <c r="BI357" s="62" t="inlineStr">
        <is>
          <t>China International Capital Corporation Hong Kong Securities Limited; CLSA Limited; Haitong International Securities Company Limited; BOCI Asia Limited; The Hongkong and Shanghai Banking Corporation Limited; Zhongtai International Securities Limited; ICBC International Securities Limited; CMB International Capital Limited; CCB International Capital Limited; ABCI Capital Limited; China Galaxy International Securities (Hong Kong) Co., Limited; Shenwan Hongyuan Securities (H.K.) Limited</t>
        </is>
      </c>
      <c r="BJ357" s="62" t="inlineStr">
        <is>
          <t>ABCI Securities Company Limited; BOCI Asia Limited; CCB International Capital Limited; China Galaxy International Securities (Hong Kong) Company Limited; China International Capital Corporation Hong Kong Securities Limited; CLSA Limited; CMB International Capital Limited; Fosun International Securities Limited; Futu Securities International (Hong Kong) Limited; GF Securities (Hong Kong) Brokerage Limited; Huafu International Securities Limited; Haitong International Securities Company Limited</t>
        </is>
      </c>
      <c r="BK357" s="76">
        <f>HYPERLINK("https://www1.hkexnews.hk/listedco/listconews/sehk/2025/0811/2025081100005.pdf","prospectus")</f>
        <v/>
      </c>
      <c r="BL357" s="76">
        <f>HYPERLINK("https://www1.hkexnews.hk/listedco/listconews/sehk/2025/0819/2025081901728.pdf","allotment")</f>
        <v/>
      </c>
      <c r="BM357" s="76">
        <f>HYPERLINK("https://www1.hkexnews.hk/listedco/listconews/sehk/2025/0914/2025091400109.pdf","stabilisation")</f>
        <v/>
      </c>
      <c r="BN357" s="74" t="n"/>
      <c r="BO357" s="62" t="inlineStr">
        <is>
          <t>range low: cap-only pricing — the filing publishes a Maximum Offer Price and no indicative floor · A/H: Aug 2025 H listing (SiC substrates)</t>
        </is>
      </c>
    </row>
    <row r="358" ht="15" customHeight="1">
      <c r="A358" s="61" t="inlineStr">
        <is>
          <t>6960</t>
        </is>
      </c>
      <c r="B358" s="62" t="inlineStr">
        <is>
          <t>SHUANGDENG</t>
        </is>
      </c>
      <c r="C358" s="62" t="inlineStr">
        <is>
          <t>雙登股份</t>
        </is>
      </c>
      <c r="D358" s="62" t="inlineStr">
        <is>
          <t>Industrials</t>
        </is>
      </c>
      <c r="E358" s="62" t="inlineStr">
        <is>
          <t>Batteries / energy storage</t>
        </is>
      </c>
      <c r="F358" s="62" t="inlineStr">
        <is>
          <t>Battery Products</t>
        </is>
      </c>
      <c r="G358" s="62" t="inlineStr">
        <is>
          <t>Standard</t>
        </is>
      </c>
      <c r="H358" s="63" t="n">
        <v>45895</v>
      </c>
      <c r="I358" s="64" t="n">
        <v>849.66</v>
      </c>
      <c r="J358" s="62" t="inlineStr">
        <is>
          <t>gross (stated)</t>
        </is>
      </c>
      <c r="K358" s="65" t="n"/>
      <c r="L358" s="65" t="n">
        <v>14.51</v>
      </c>
      <c r="M358" s="65" t="n">
        <v>14.51</v>
      </c>
      <c r="N358" s="62" t="inlineStr">
        <is>
          <t>Y</t>
        </is>
      </c>
      <c r="O358" s="66" t="n">
        <v>100</v>
      </c>
      <c r="P358" s="66" t="n"/>
      <c r="Q358" s="67" t="n">
        <v>6048.1</v>
      </c>
      <c r="R358" s="62" t="inlineStr">
        <is>
          <t>prospectus:stated market capitalisation</t>
        </is>
      </c>
      <c r="S358" s="68" t="n">
        <v>3876.25</v>
      </c>
      <c r="T358" s="69" t="n">
        <v>18.75</v>
      </c>
      <c r="U358" s="70" t="n">
        <v>28.47</v>
      </c>
      <c r="V358" s="66" t="n">
        <v>10.05</v>
      </c>
      <c r="W358" s="62" t="inlineStr">
        <is>
          <t>CCB International Capital Limited; Huatai Capital Investment Limited; Connected Client CSOP Asset Management Limited</t>
        </is>
      </c>
      <c r="X358" s="62" t="inlineStr">
        <is>
          <t>ccb;huatai;connected</t>
        </is>
      </c>
      <c r="Y358" s="66" t="n">
        <v>15</v>
      </c>
      <c r="Z358" s="62" t="inlineStr">
        <is>
          <t>full</t>
        </is>
      </c>
      <c r="AA358" s="71" t="n">
        <v>31.29</v>
      </c>
      <c r="AB358" s="72" t="n">
        <v>55.07</v>
      </c>
      <c r="AC358" s="72" t="n">
        <v>-15.34</v>
      </c>
      <c r="AD358" s="72" t="n">
        <v>20.06</v>
      </c>
      <c r="AE358" s="72" t="n">
        <v>24.4</v>
      </c>
      <c r="AF358" s="72" t="n">
        <v>20.06</v>
      </c>
      <c r="AG358" s="72" t="n">
        <v>-8.550000000000001</v>
      </c>
      <c r="AH358" s="72" t="n">
        <v>-5.25</v>
      </c>
      <c r="AI358" s="72" t="n">
        <v>-8.550000000000001</v>
      </c>
      <c r="AJ358" s="72" t="n">
        <v>20.83</v>
      </c>
      <c r="AK358" s="72" t="n">
        <v>18.63</v>
      </c>
      <c r="AL358" s="72" t="n">
        <v>22.09</v>
      </c>
      <c r="AM358" s="72" t="n">
        <v>-11.98</v>
      </c>
      <c r="AN358" s="72" t="n">
        <v>5.77</v>
      </c>
      <c r="AO358" s="72" t="n">
        <v>6.73</v>
      </c>
      <c r="AP358" s="62" t="inlineStr">
        <is>
          <t>Hang Seng Commerce &amp; Industry sub-index</t>
        </is>
      </c>
      <c r="AQ358" s="72" t="n">
        <v>-44.87</v>
      </c>
      <c r="AR358" s="63" t="inlineStr">
        <is>
          <t>2026-08-20</t>
        </is>
      </c>
      <c r="AS358" s="64" t="n">
        <v>4948.4</v>
      </c>
      <c r="AT358" s="67" t="n">
        <v>388.7</v>
      </c>
      <c r="AU358" s="62" t="inlineStr">
        <is>
          <t>Y</t>
        </is>
      </c>
      <c r="AV358" s="73" t="n">
        <v>15.6</v>
      </c>
      <c r="AW358" s="73" t="n"/>
      <c r="AX358" s="73" t="n">
        <v>10.2</v>
      </c>
      <c r="AY358" s="73" t="n">
        <v>1.2</v>
      </c>
      <c r="AZ358" s="74" t="inlineStr">
        <is>
          <t>N</t>
        </is>
      </c>
      <c r="BA358" s="75">
        <f>IF('BBG Verify'!K358="","not filed — run on terminal",'BBG Verify'!K358)</f>
        <v/>
      </c>
      <c r="BB358" s="62" t="inlineStr">
        <is>
          <t>N/A</t>
        </is>
      </c>
      <c r="BC358" s="62" t="inlineStr">
        <is>
          <t>N/A</t>
        </is>
      </c>
      <c r="BD358" s="62" t="inlineStr">
        <is>
          <t>N/A</t>
        </is>
      </c>
      <c r="BE358" s="62" t="inlineStr">
        <is>
          <t>N/A</t>
        </is>
      </c>
      <c r="BF358" s="62" t="inlineStr">
        <is>
          <t>N/A</t>
        </is>
      </c>
      <c r="BG358" s="74" t="inlineStr">
        <is>
          <t>China International Capital Corporation Hong Kong Securities Limited; Central, Hong Kong Huatai Financial Holdings (Hong Kong) Limited; CCB International Capital Limited</t>
        </is>
      </c>
      <c r="BH358" s="62" t="inlineStr">
        <is>
          <t>China International Capital Corporation Hong Kong Securities Limited; CCB International Capital Limited; Huatai Financial Holdings (Hong Kong) Limited</t>
        </is>
      </c>
      <c r="BI358" s="62" t="inlineStr">
        <is>
          <t>China International Capital Corporation Hong Kong Securities Limited; Central, Hong Kong Huatai Financial Holdings (Hong Kong) Limited; CCB International Capital Limited; ICBC International Securities Limited; ABCI Capital Limited; Livermore Holdings Limited; C h i n aG a l a x yI n t e r n a t i o n a lSecurities (Hong Kong) Co., Limited; ABCI Securities Company Limited</t>
        </is>
      </c>
      <c r="BJ358" s="62" t="inlineStr">
        <is>
          <t>ABCI Securities Company Limited; CCB International Capital Limited; China Galaxy International Securities (Hong Kong) Company Limited; China International Capital Corporation Hong Kong Securities Limited; Huatai Financial Holdings (Hong Kong) Limited; ICBC International Securities Limited; Livermore Holdings Limited</t>
        </is>
      </c>
      <c r="BK358" s="76">
        <f>HYPERLINK("https://www1.hkexnews.hk/listedco/listconews/sehk/2025/0818/2025081800011.pdf","prospectus")</f>
        <v/>
      </c>
      <c r="BL358" s="76">
        <f>HYPERLINK("https://www1.hkexnews.hk/listedco/listconews/sehk/2025/0825/2025082502151.pdf","allotment")</f>
        <v/>
      </c>
      <c r="BM358" s="76">
        <f>HYPERLINK("https://www1.hkexnews.hk/listedco/listconews/sehk/2025/0921/2025092100013.pdf","stabilisation")</f>
        <v/>
      </c>
      <c r="BN358" s="74" t="n"/>
      <c r="BO358" s="62" t="inlineStr">
        <is>
          <t>range low: cap-only pricing — the filing publishes a Maximum Offer Price and no indicative floor · A/H: no A-share listing</t>
        </is>
      </c>
    </row>
    <row r="359" ht="15" customHeight="1">
      <c r="A359" s="61" t="inlineStr">
        <is>
          <t>3858</t>
        </is>
      </c>
      <c r="B359" s="62" t="inlineStr">
        <is>
          <t>JIAXIN INTL RES</t>
        </is>
      </c>
      <c r="C359" s="62" t="inlineStr">
        <is>
          <t>佳鑫國際資源</t>
        </is>
      </c>
      <c r="D359" s="62" t="inlineStr">
        <is>
          <t>Materials/Energy</t>
        </is>
      </c>
      <c r="E359" s="62" t="inlineStr">
        <is>
          <t>Mining / metals</t>
        </is>
      </c>
      <c r="F359" s="62" t="inlineStr">
        <is>
          <t>Diversified Metals &amp; Minerals</t>
        </is>
      </c>
      <c r="G359" s="62" t="inlineStr">
        <is>
          <t>Standard</t>
        </is>
      </c>
      <c r="H359" s="63" t="n">
        <v>45897</v>
      </c>
      <c r="I359" s="64" t="n">
        <v>1199.1</v>
      </c>
      <c r="J359" s="62" t="inlineStr">
        <is>
          <t>gross (stated)</t>
        </is>
      </c>
      <c r="K359" s="65" t="n"/>
      <c r="L359" s="65" t="n">
        <v>10.92</v>
      </c>
      <c r="M359" s="65" t="n">
        <v>10.92</v>
      </c>
      <c r="N359" s="62" t="inlineStr">
        <is>
          <t>Y</t>
        </is>
      </c>
      <c r="O359" s="66" t="n">
        <v>100</v>
      </c>
      <c r="P359" s="66" t="n"/>
      <c r="Q359" s="67" t="n">
        <v>4796.4</v>
      </c>
      <c r="R359" s="62" t="inlineStr">
        <is>
          <t>prospectus:stated market capitalisation</t>
        </is>
      </c>
      <c r="S359" s="68" t="n">
        <v>2041.62</v>
      </c>
      <c r="T359" s="69" t="n">
        <v>21.11</v>
      </c>
      <c r="U359" s="70" t="n">
        <v>31.7</v>
      </c>
      <c r="V359" s="66" t="n">
        <v>17.07</v>
      </c>
      <c r="W359" s="62" t="inlineStr">
        <is>
          <t>GF Fund Management Co., Ltd; Fullgoal Asset Management (HK) Limited; Fullgoal Fund Management Co., Ltd; CICC Financial Trading Limited</t>
        </is>
      </c>
      <c r="X359" s="62" t="inlineStr">
        <is>
          <t>gf;fullgoal;china-international</t>
        </is>
      </c>
      <c r="Y359" s="66" t="n">
        <v>15</v>
      </c>
      <c r="Z359" s="62" t="inlineStr">
        <is>
          <t>full</t>
        </is>
      </c>
      <c r="AA359" s="71" t="n">
        <v>177.84</v>
      </c>
      <c r="AB359" s="72" t="n">
        <v>108.79</v>
      </c>
      <c r="AC359" s="72" t="n">
        <v>33.07</v>
      </c>
      <c r="AD359" s="72" t="n">
        <v>193.59</v>
      </c>
      <c r="AE359" s="72" t="n">
        <v>146.34</v>
      </c>
      <c r="AF359" s="72" t="n">
        <v>225.09</v>
      </c>
      <c r="AG359" s="72" t="n">
        <v>5.67</v>
      </c>
      <c r="AH359" s="72" t="n">
        <v>-11.34</v>
      </c>
      <c r="AI359" s="72" t="n">
        <v>17.01</v>
      </c>
      <c r="AJ359" s="72" t="n">
        <v>194.12</v>
      </c>
      <c r="AK359" s="72" t="n">
        <v>140.11</v>
      </c>
      <c r="AL359" s="72" t="n">
        <v>225.18</v>
      </c>
      <c r="AM359" s="72" t="n">
        <v>-19.23</v>
      </c>
      <c r="AN359" s="72" t="n">
        <v>6.23</v>
      </c>
      <c r="AO359" s="72" t="n">
        <v>7.89</v>
      </c>
      <c r="AP359" s="62" t="inlineStr">
        <is>
          <t>Hang Seng Commerce &amp; Industry sub-index</t>
        </is>
      </c>
      <c r="AQ359" s="72" t="n">
        <v>474.18</v>
      </c>
      <c r="AR359" s="63" t="inlineStr">
        <is>
          <t>2026-08-20</t>
        </is>
      </c>
      <c r="AS359" s="64" t="n">
        <v>126.3</v>
      </c>
      <c r="AT359" s="67" t="n">
        <v>-176.5</v>
      </c>
      <c r="AU359" s="62" t="inlineStr">
        <is>
          <t>N</t>
        </is>
      </c>
      <c r="AV359" s="62" t="inlineStr">
        <is>
          <t>n/m</t>
        </is>
      </c>
      <c r="AW359" s="73" t="n"/>
      <c r="AX359" s="73" t="n">
        <v>76.59999999999999</v>
      </c>
      <c r="AY359" s="73" t="n">
        <v>38</v>
      </c>
      <c r="AZ359" s="74" t="inlineStr">
        <is>
          <t>N</t>
        </is>
      </c>
      <c r="BA359" s="75">
        <f>IF('BBG Verify'!K359="","not filed — run on terminal",'BBG Verify'!K359)</f>
        <v/>
      </c>
      <c r="BB359" s="62" t="inlineStr">
        <is>
          <t>N/A</t>
        </is>
      </c>
      <c r="BC359" s="62" t="inlineStr">
        <is>
          <t>N/A</t>
        </is>
      </c>
      <c r="BD359" s="62" t="inlineStr">
        <is>
          <t>N/A</t>
        </is>
      </c>
      <c r="BE359" s="62" t="inlineStr">
        <is>
          <t>N/A</t>
        </is>
      </c>
      <c r="BF359" s="62" t="inlineStr">
        <is>
          <t>N/A</t>
        </is>
      </c>
      <c r="BG359" s="74" t="inlineStr">
        <is>
          <t>China International Capital Corporation Hong Kong Securities Limited</t>
        </is>
      </c>
      <c r="BH359" s="62" t="inlineStr">
        <is>
          <t>China International Capital Corporation Hong Kong Securities Limited</t>
        </is>
      </c>
      <c r="BI359" s="62" t="inlineStr">
        <is>
          <t>China International Capital Corporation Hong Kong Securities Limited; China Galaxy International Securities (Hong Kong) Co., Limited; CMB International Capital Limited; Central, Hong Kong Celestial Securities Limited; ABCI Capital Limited; Central, Hong Kong Tiger Brokers (HK) Global Limited</t>
        </is>
      </c>
      <c r="BJ359" s="62" t="inlineStr">
        <is>
          <t>ABCI Securities Company Limited; AVICT Global Asset Management Limited; China Galaxy International Securities (Hong Kong) Company Limited; China International Capital Corporation Hong Kong Securities Limited; CMB International Capital Limited; Celestial Securities Limited; Lighthouse Capital (HK) Financial Limited; Tiger Brokers (HK) Global Limited</t>
        </is>
      </c>
      <c r="BK359" s="76">
        <f>HYPERLINK("https://www1.hkexnews.hk/listedco/listconews/sehk/2025/0820/2025082000021.pdf","prospectus")</f>
        <v/>
      </c>
      <c r="BL359" s="76">
        <f>HYPERLINK("https://www1.hkexnews.hk/listedco/listconews/sehk/2025/0827/2025082702293.pdf","allotment")</f>
        <v/>
      </c>
      <c r="BM359" s="76">
        <f>HYPERLINK("https://www1.hkexnews.hk/listedco/listconews/sehk/2025/0924/2025092401050.pdf","stabilisation")</f>
        <v/>
      </c>
      <c r="BN359" s="74" t="n"/>
      <c r="BO359" s="62" t="inlineStr">
        <is>
          <t>P/E: n/m — loss-making at IPO (use P/S) · range low: cap-only pricing — the filing publishes a Maximum Offer Price and no indicative floor · A/H: no A-share listing</t>
        </is>
      </c>
    </row>
    <row r="360" ht="15" customHeight="1">
      <c r="A360" s="61" t="inlineStr">
        <is>
          <t>2580</t>
        </is>
      </c>
      <c r="B360" s="62" t="inlineStr">
        <is>
          <t>AUX ELECTRIC</t>
        </is>
      </c>
      <c r="C360" s="62" t="inlineStr">
        <is>
          <t>奧克斯電氣</t>
        </is>
      </c>
      <c r="D360" s="62" t="inlineStr">
        <is>
          <t>Tech/AI</t>
        </is>
      </c>
      <c r="E360" s="62" t="inlineStr">
        <is>
          <t>Smart hardware / consumer electronics</t>
        </is>
      </c>
      <c r="F360" s="62" t="inlineStr">
        <is>
          <t>Household Appliances</t>
        </is>
      </c>
      <c r="G360" s="62" t="inlineStr">
        <is>
          <t>Standard</t>
        </is>
      </c>
      <c r="H360" s="63" t="n">
        <v>45902</v>
      </c>
      <c r="I360" s="64" t="n">
        <v>4150.1</v>
      </c>
      <c r="J360" s="62" t="inlineStr">
        <is>
          <t>gross (stated)</t>
        </is>
      </c>
      <c r="K360" s="65" t="n">
        <v>16</v>
      </c>
      <c r="L360" s="65" t="n">
        <v>17.42</v>
      </c>
      <c r="M360" s="65" t="n">
        <v>17.42</v>
      </c>
      <c r="N360" s="62" t="inlineStr">
        <is>
          <t>Y</t>
        </is>
      </c>
      <c r="O360" s="66" t="n">
        <v>100</v>
      </c>
      <c r="P360" s="66" t="n">
        <v>100</v>
      </c>
      <c r="Q360" s="67" t="n">
        <v>27667.3</v>
      </c>
      <c r="R360" s="62" t="inlineStr">
        <is>
          <t>derived:deal size / offer % of enlarged capital</t>
        </is>
      </c>
      <c r="S360" s="68" t="n">
        <v>557.2</v>
      </c>
      <c r="T360" s="69" t="n">
        <v>8.300000000000001</v>
      </c>
      <c r="U360" s="70" t="n">
        <v>33.9</v>
      </c>
      <c r="V360" s="66" t="n">
        <v>9.92</v>
      </c>
      <c r="W360" s="62" t="inlineStr">
        <is>
          <t>China Post Insurance; PSBC WM</t>
        </is>
      </c>
      <c r="X360" s="62" t="inlineStr">
        <is>
          <t>post;psbc</t>
        </is>
      </c>
      <c r="Y360" s="66" t="n">
        <v>15</v>
      </c>
      <c r="Z360" s="62" t="inlineStr">
        <is>
          <t>lapsed</t>
        </is>
      </c>
      <c r="AA360" s="71" t="n">
        <v>-5.4</v>
      </c>
      <c r="AB360" s="72" t="n">
        <v>-7.58</v>
      </c>
      <c r="AC360" s="72" t="n">
        <v>2.36</v>
      </c>
      <c r="AD360" s="72" t="n">
        <v>-7.58</v>
      </c>
      <c r="AE360" s="72" t="n">
        <v>-20.49</v>
      </c>
      <c r="AF360" s="72" t="n">
        <v>-9.300000000000001</v>
      </c>
      <c r="AG360" s="72" t="n">
        <v>-2.3</v>
      </c>
      <c r="AH360" s="72" t="n">
        <v>-15.95</v>
      </c>
      <c r="AI360" s="72" t="n">
        <v>-4.12</v>
      </c>
      <c r="AJ360" s="72" t="n">
        <v>-8.109999999999999</v>
      </c>
      <c r="AK360" s="72" t="n">
        <v>-35.88</v>
      </c>
      <c r="AL360" s="72" t="n">
        <v>-4.64</v>
      </c>
      <c r="AM360" s="72" t="n">
        <v>-32.47</v>
      </c>
      <c r="AN360" s="72" t="n">
        <v>15.39</v>
      </c>
      <c r="AO360" s="72" t="n">
        <v>16.52</v>
      </c>
      <c r="AP360" s="62" t="inlineStr">
        <is>
          <t>HSTECH (Hang Seng TECH ETF)</t>
        </is>
      </c>
      <c r="AQ360" s="72" t="n">
        <v>-41.91</v>
      </c>
      <c r="AR360" s="63" t="inlineStr">
        <is>
          <t>2026-08-20</t>
        </is>
      </c>
      <c r="AS360" s="64" t="n">
        <v>32735.3</v>
      </c>
      <c r="AT360" s="67" t="n">
        <v>3201.2</v>
      </c>
      <c r="AU360" s="62" t="inlineStr">
        <is>
          <t>Y</t>
        </is>
      </c>
      <c r="AV360" s="73" t="n">
        <v>8.6</v>
      </c>
      <c r="AW360" s="73" t="n">
        <v>6.8</v>
      </c>
      <c r="AX360" s="73" t="n">
        <v>5.6</v>
      </c>
      <c r="AY360" s="73" t="n">
        <v>0.8</v>
      </c>
      <c r="AZ360" s="74" t="inlineStr">
        <is>
          <t>N</t>
        </is>
      </c>
      <c r="BA360" s="75">
        <f>IF('BBG Verify'!K360="","not filed — run on terminal",'BBG Verify'!K360)</f>
        <v/>
      </c>
      <c r="BB360" s="62" t="inlineStr">
        <is>
          <t>N/A</t>
        </is>
      </c>
      <c r="BC360" s="62" t="inlineStr">
        <is>
          <t>N/A</t>
        </is>
      </c>
      <c r="BD360" s="62" t="inlineStr">
        <is>
          <t>N/A</t>
        </is>
      </c>
      <c r="BE360" s="62" t="inlineStr">
        <is>
          <t>N/A</t>
        </is>
      </c>
      <c r="BF360" s="62" t="inlineStr">
        <is>
          <t>N/A</t>
        </is>
      </c>
      <c r="BG360" s="74" t="inlineStr">
        <is>
          <t>CICC</t>
        </is>
      </c>
      <c r="BH360" s="62" t="inlineStr">
        <is>
          <t>China International Capital Corporation Hong Kong Securities Limited</t>
        </is>
      </c>
      <c r="BI360" s="62" t="inlineStr">
        <is>
          <t>China International Capital Corporation Hong Kong Securities Limited; Orient Securities (Hong Kong) Limited; ABCI Capital Limited; ICBC International Securities Limited; Futu Securities International (Hong Kong) Limited</t>
        </is>
      </c>
      <c r="BJ360" s="62" t="inlineStr">
        <is>
          <t>ABCI Securities Company Limited; China International Capital Corporation Hong Kong Securities Limited; Futu Securities International (Hong Kong) Limited; ICBC International Securities Limited; Orient Securities (Hong Kong) Limited</t>
        </is>
      </c>
      <c r="BK360" s="76">
        <f>HYPERLINK("https://www1.hkexnews.hk/listedco/listconews/sehk/2025/0825/2025082500020.htm","prospectus")</f>
        <v/>
      </c>
      <c r="BL360" s="76">
        <f>HYPERLINK("https://www1.hkexnews.hk/listedco/listconews/sehk/2025/0901/2025090103683.pdf","allotment")</f>
        <v/>
      </c>
      <c r="BM360" s="76">
        <f>HYPERLINK("https://www1.hkexnews.hk/listedco/listconews/sehk/2025/0928/2025092800005.pdf","stabilisation")</f>
        <v/>
      </c>
      <c r="BN360" s="74" t="n"/>
      <c r="BO360" s="62" t="inlineStr">
        <is>
          <t>A/H: no A-share listing</t>
        </is>
      </c>
    </row>
    <row r="361" ht="15" customHeight="1">
      <c r="A361" s="61" t="inlineStr">
        <is>
          <t>2543</t>
        </is>
      </c>
      <c r="B361" s="62" t="inlineStr">
        <is>
          <t>DAHON TECH</t>
        </is>
      </c>
      <c r="C361" s="62" t="inlineStr">
        <is>
          <t>大行科工</t>
        </is>
      </c>
      <c r="D361" s="62" t="inlineStr">
        <is>
          <t>Tech/AI</t>
        </is>
      </c>
      <c r="E361" s="62" t="inlineStr">
        <is>
          <t>Smart hardware / consumer electronics</t>
        </is>
      </c>
      <c r="F361" s="62" t="inlineStr">
        <is>
          <t>Leisure Products</t>
        </is>
      </c>
      <c r="G361" s="62" t="inlineStr">
        <is>
          <t>Standard</t>
        </is>
      </c>
      <c r="H361" s="63" t="n">
        <v>45909</v>
      </c>
      <c r="I361" s="64" t="n">
        <v>392.04</v>
      </c>
      <c r="J361" s="62" t="inlineStr">
        <is>
          <t>gross (stated)</t>
        </is>
      </c>
      <c r="K361" s="65" t="n"/>
      <c r="L361" s="65" t="n">
        <v>49.5</v>
      </c>
      <c r="M361" s="65" t="n">
        <v>49.5</v>
      </c>
      <c r="N361" s="62" t="inlineStr">
        <is>
          <t>Y</t>
        </is>
      </c>
      <c r="O361" s="66" t="n">
        <v>100</v>
      </c>
      <c r="P361" s="66" t="n"/>
      <c r="Q361" s="67" t="n">
        <v>1567.6</v>
      </c>
      <c r="R361" s="62" t="inlineStr">
        <is>
          <t>prospectus:stated market capitalisation</t>
        </is>
      </c>
      <c r="S361" s="68" t="n">
        <v>7558.4</v>
      </c>
      <c r="T361" s="69" t="n">
        <v>21.65</v>
      </c>
      <c r="U361" s="70" t="n">
        <v>25.43</v>
      </c>
      <c r="V361" s="66" t="n">
        <v>18.65</v>
      </c>
      <c r="W361" s="62" t="inlineStr">
        <is>
          <t>Asia Pacific Limited; Allianz Global Investors Asia Pacific Limited; GBAD Fund Management; Dahon Tech Enterprise LP</t>
        </is>
      </c>
      <c r="X361" s="62" t="inlineStr">
        <is>
          <t>asia-pacific;allianz;gbad;dahon</t>
        </is>
      </c>
      <c r="Y361" s="66" t="n">
        <v>14.9</v>
      </c>
      <c r="Z361" s="62" t="inlineStr">
        <is>
          <t>partial</t>
        </is>
      </c>
      <c r="AA361" s="71" t="n">
        <v>14.95</v>
      </c>
      <c r="AB361" s="72" t="n">
        <v>36.36</v>
      </c>
      <c r="AC361" s="72" t="n">
        <v>-15.7</v>
      </c>
      <c r="AD361" s="72" t="n">
        <v>30</v>
      </c>
      <c r="AE361" s="72" t="n">
        <v>0.89</v>
      </c>
      <c r="AF361" s="72" t="n">
        <v>-17.45</v>
      </c>
      <c r="AG361" s="72" t="n">
        <v>13.09</v>
      </c>
      <c r="AH361" s="72" t="n">
        <v>-12.23</v>
      </c>
      <c r="AI361" s="72" t="n">
        <v>-28.19</v>
      </c>
      <c r="AJ361" s="72" t="n">
        <v>24.33</v>
      </c>
      <c r="AK361" s="72" t="n">
        <v>-8.15</v>
      </c>
      <c r="AL361" s="72" t="n">
        <v>-14.17</v>
      </c>
      <c r="AM361" s="72" t="n">
        <v>-19.84</v>
      </c>
      <c r="AN361" s="72" t="n">
        <v>9.039999999999999</v>
      </c>
      <c r="AO361" s="72" t="n">
        <v>7.61</v>
      </c>
      <c r="AP361" s="62" t="inlineStr">
        <is>
          <t>HSTECH (Hang Seng TECH ETF)</t>
        </is>
      </c>
      <c r="AQ361" s="72" t="n">
        <v>-40.65</v>
      </c>
      <c r="AR361" s="63" t="inlineStr">
        <is>
          <t>2026-08-20</t>
        </is>
      </c>
      <c r="AS361" s="64" t="n">
        <v>495.8</v>
      </c>
      <c r="AT361" s="67" t="n">
        <v>57.5</v>
      </c>
      <c r="AU361" s="62" t="inlineStr">
        <is>
          <t>Y</t>
        </is>
      </c>
      <c r="AV361" s="73" t="n">
        <v>27.3</v>
      </c>
      <c r="AW361" s="73" t="n"/>
      <c r="AX361" s="73" t="n"/>
      <c r="AY361" s="73" t="n">
        <v>3.2</v>
      </c>
      <c r="AZ361" s="74" t="inlineStr">
        <is>
          <t>N</t>
        </is>
      </c>
      <c r="BA361" s="75">
        <f>IF('BBG Verify'!K361="","not filed — run on terminal",'BBG Verify'!K361)</f>
        <v/>
      </c>
      <c r="BB361" s="62" t="inlineStr">
        <is>
          <t>N/A</t>
        </is>
      </c>
      <c r="BC361" s="62" t="inlineStr">
        <is>
          <t>N/A</t>
        </is>
      </c>
      <c r="BD361" s="62" t="inlineStr">
        <is>
          <t>N/A</t>
        </is>
      </c>
      <c r="BE361" s="62" t="inlineStr">
        <is>
          <t>N/A</t>
        </is>
      </c>
      <c r="BF361" s="62" t="inlineStr">
        <is>
          <t>N/A</t>
        </is>
      </c>
      <c r="BG361" s="74" t="inlineStr">
        <is>
          <t>China Securities (International) Corporate Finance Company Limited</t>
        </is>
      </c>
      <c r="BH361" s="62" t="inlineStr">
        <is>
          <t>China Securities (International) Corporate Finance Company Limited</t>
        </is>
      </c>
      <c r="BI361" s="62" t="inlineStr">
        <is>
          <t>China Securities (International) Corporate Finance Company Limited; ABCI Capital Limited; BOCI Asia Limited; CCB International Capital Limited; CMB International Capital Limited; Futu Securities International (Hong Kong) Limited</t>
        </is>
      </c>
      <c r="BJ361" s="62" t="inlineStr">
        <is>
          <t>ABCI Securities Company Limited; BOCI Asia Limited; CCB International Capital Limited; CMB International Capital Corporation Limited; China Securities (International) Corporate Finance Company Limited; Futu Securities International (Hong Kong) Limited</t>
        </is>
      </c>
      <c r="BK361" s="76">
        <f>HYPERLINK("https://www1.hkexnews.hk/listedco/listconews/sehk/2025/0901/2025090100007.pdf","prospectus")</f>
        <v/>
      </c>
      <c r="BL361" s="76">
        <f>HYPERLINK("https://www1.hkexnews.hk/listedco/listconews/sehk/2025/0908/2025090801334.pdf","allotment")</f>
        <v/>
      </c>
      <c r="BM361" s="76">
        <f>HYPERLINK("https://www1.hkexnews.hk/listedco/listconews/sehk/2025/1005/2025100500245.pdf","stabilisation")</f>
        <v/>
      </c>
      <c r="BN361" s="74" t="n"/>
      <c r="BO361" s="62" t="inlineStr">
        <is>
          <t>range low: cap-only pricing — the filing publishes a Maximum Offer Price and no indicative floor · A/H: no A-share listing</t>
        </is>
      </c>
    </row>
    <row r="362" ht="15" customHeight="1">
      <c r="A362" s="61" t="inlineStr">
        <is>
          <t>2525</t>
        </is>
      </c>
      <c r="B362" s="62" t="inlineStr">
        <is>
          <t>HESAI-W</t>
        </is>
      </c>
      <c r="C362" s="62" t="inlineStr">
        <is>
          <t>禾賽科技</t>
        </is>
      </c>
      <c r="D362" s="62" t="inlineStr">
        <is>
          <t>Tech/AI</t>
        </is>
      </c>
      <c r="E362" s="62" t="inlineStr">
        <is>
          <t>Robotics &amp; autonomous driving</t>
        </is>
      </c>
      <c r="F362" s="62" t="inlineStr">
        <is>
          <t>Systems Software</t>
        </is>
      </c>
      <c r="G362" s="62" t="inlineStr">
        <is>
          <t>WVR</t>
        </is>
      </c>
      <c r="H362" s="63" t="n">
        <v>45916</v>
      </c>
      <c r="I362" s="64" t="n">
        <v>4160.24</v>
      </c>
      <c r="J362" s="62" t="inlineStr">
        <is>
          <t>gross (stated)</t>
        </is>
      </c>
      <c r="K362" s="65" t="n"/>
      <c r="L362" s="65" t="n">
        <v>228</v>
      </c>
      <c r="M362" s="65" t="n">
        <v>212.8</v>
      </c>
      <c r="N362" s="62" t="inlineStr">
        <is>
          <t>N</t>
        </is>
      </c>
      <c r="O362" s="66" t="n">
        <v>93.3</v>
      </c>
      <c r="P362" s="66" t="n"/>
      <c r="Q362" s="67" t="n">
        <v>244720</v>
      </c>
      <c r="R362" s="62" t="inlineStr">
        <is>
          <t>derived:deal size / offer % of enlarged capital</t>
        </is>
      </c>
      <c r="S362" s="68" t="n">
        <v>168.65</v>
      </c>
      <c r="T362" s="69" t="n">
        <v>14.09</v>
      </c>
      <c r="U362" s="70" t="n">
        <v>4.3</v>
      </c>
      <c r="V362" s="66" t="n">
        <v>1.63</v>
      </c>
      <c r="W362" s="62" t="inlineStr">
        <is>
          <t>HHLRA; Taikang Life; Hongda Group; Trading Limited; WT Asset Management Limited; Grab Inc; Commando Global Fund</t>
        </is>
      </c>
      <c r="X362" s="62" t="inlineStr">
        <is>
          <t>hhlra;taikang;hongda;trading;wt;grab;commando</t>
        </is>
      </c>
      <c r="Y362" s="66" t="n">
        <v>15</v>
      </c>
      <c r="Z362" s="62" t="inlineStr">
        <is>
          <t>full</t>
        </is>
      </c>
      <c r="AA362" s="71" t="n">
        <v>9.960000000000001</v>
      </c>
      <c r="AB362" s="72" t="n">
        <v>7.71</v>
      </c>
      <c r="AC362" s="72" t="n">
        <v>2.09</v>
      </c>
      <c r="AD362" s="72" t="n">
        <v>8.08</v>
      </c>
      <c r="AE362" s="72" t="n">
        <v>-20.49</v>
      </c>
      <c r="AF362" s="72" t="n">
        <v>-20.39</v>
      </c>
      <c r="AG362" s="72" t="n">
        <v>-1.71</v>
      </c>
      <c r="AH362" s="72" t="n">
        <v>-27.69</v>
      </c>
      <c r="AI362" s="72" t="n">
        <v>-27.6</v>
      </c>
      <c r="AJ362" s="72" t="n">
        <v>6.14</v>
      </c>
      <c r="AK362" s="72" t="n">
        <v>-15.52</v>
      </c>
      <c r="AL362" s="72" t="n">
        <v>-10.61</v>
      </c>
      <c r="AM362" s="72" t="n">
        <v>-22.24</v>
      </c>
      <c r="AN362" s="72" t="n">
        <v>-4.97</v>
      </c>
      <c r="AO362" s="72" t="n">
        <v>-5.45</v>
      </c>
      <c r="AP362" s="62" t="inlineStr">
        <is>
          <t>HSTECH (Hang Seng TECH ETF)</t>
        </is>
      </c>
      <c r="AQ362" s="72" t="n">
        <v>-32.33</v>
      </c>
      <c r="AR362" s="63" t="inlineStr">
        <is>
          <t>2026-08-24</t>
        </is>
      </c>
      <c r="AS362" s="64" t="n">
        <v>2284.9</v>
      </c>
      <c r="AT362" s="67" t="n">
        <v>-112.6</v>
      </c>
      <c r="AU362" s="62" t="inlineStr">
        <is>
          <t>N</t>
        </is>
      </c>
      <c r="AV362" s="62" t="inlineStr">
        <is>
          <t>n/m</t>
        </is>
      </c>
      <c r="AW362" s="73" t="n">
        <v>293.1</v>
      </c>
      <c r="AX362" s="73" t="n">
        <v>39.2</v>
      </c>
      <c r="AY362" s="73" t="n">
        <v>107.1</v>
      </c>
      <c r="AZ362" s="74" t="inlineStr">
        <is>
          <t>N</t>
        </is>
      </c>
      <c r="BA362" s="75">
        <f>IF('BBG Verify'!K362="","not filed — run on terminal",'BBG Verify'!K362)</f>
        <v/>
      </c>
      <c r="BB362" s="62" t="inlineStr">
        <is>
          <t>N/A</t>
        </is>
      </c>
      <c r="BC362" s="62" t="inlineStr">
        <is>
          <t>N/A</t>
        </is>
      </c>
      <c r="BD362" s="62" t="inlineStr">
        <is>
          <t>N/A</t>
        </is>
      </c>
      <c r="BE362" s="62" t="inlineStr">
        <is>
          <t>N/A</t>
        </is>
      </c>
      <c r="BF362" s="62" t="inlineStr">
        <is>
          <t>N/A</t>
        </is>
      </c>
      <c r="BG362" s="74" t="inlineStr">
        <is>
          <t>China International Capital Corporation Hong Kong Securities Limited; Guotai Junan Capital Limited; CMB International Capital Limited; Sponsor-OCs China International Capital Corporation Hong Kong Securities Limited; Guotai Junan Securities (Hong Kong) Limited</t>
        </is>
      </c>
      <c r="BH362" s="62" t="inlineStr">
        <is>
          <t>China International Capital Corporation Hong Kong Securities Limited; Guotai Junan Capital Limited; CMB International Capital Limited</t>
        </is>
      </c>
      <c r="BI362" s="62" t="inlineStr">
        <is>
          <t>China International Capital Corporation Hong Kong Securities Limited; Guotai Junan Securities (Hong Kong) Limited; CMB International Capital Limited; Haitong International Securities Company Limited; BOCI Asia Limited; Futu Securities International (Hong Kong) Limited; DBS Asia Capital Limited; ICBC International Securities Limited; ABCI Capital Limited; CCB International Capital Limited</t>
        </is>
      </c>
      <c r="BJ362" s="62" t="inlineStr">
        <is>
          <t>ABCI Securities Company Limited; BOCI Asia Limited; CCB International Capital Limited; China International Capital Corporation Hong Kong Securities Limited; CMB International Capital Limited; DBS Asia Capital Limited; Futu Securities International (Hong Kong) Limited; Guotai Junan Securities (Hong Kong) Limited; Haitong International Securities Company Limited; ICBC International Securities Limited</t>
        </is>
      </c>
      <c r="BK362" s="76">
        <f>HYPERLINK("https://www1.hkexnews.hk/listedco/listconews/sehk/2025/0908/2025090800017.pdf","prospectus")</f>
        <v/>
      </c>
      <c r="BL362" s="76">
        <f>HYPERLINK("https://www1.hkexnews.hk/listedco/listconews/sehk/2025/0915/2025091501458.pdf","allotment")</f>
        <v/>
      </c>
      <c r="BM362" s="76">
        <f>HYPERLINK("https://www1.hkexnews.hk/listedco/listconews/sehk/2025/1012/2025101200001.pdf","stabilisation")</f>
        <v/>
      </c>
      <c r="BN362" s="74" t="n"/>
      <c r="BO362" s="62" t="inlineStr">
        <is>
          <t>P/E: n/m — loss-making at IPO (use P/S) · range low: cap-only pricing — the filing publishes a Maximum Offer Price and no indicative floor · A/H: no A-share listing</t>
        </is>
      </c>
    </row>
    <row r="363" ht="15" customHeight="1">
      <c r="A363" s="61" t="inlineStr">
        <is>
          <t>2656</t>
        </is>
      </c>
      <c r="B363" s="62" t="inlineStr">
        <is>
          <t>160 HEALTH</t>
        </is>
      </c>
      <c r="C363" s="62" t="inlineStr">
        <is>
          <t>健康１６０</t>
        </is>
      </c>
      <c r="D363" s="62" t="inlineStr">
        <is>
          <t>Healthcare</t>
        </is>
      </c>
      <c r="E363" s="62" t="inlineStr">
        <is>
          <t>Digital health</t>
        </is>
      </c>
      <c r="F363" s="62" t="inlineStr">
        <is>
          <t>Health Care Supplies</t>
        </is>
      </c>
      <c r="G363" s="62" t="inlineStr">
        <is>
          <t>Standard</t>
        </is>
      </c>
      <c r="H363" s="63" t="n">
        <v>45917</v>
      </c>
      <c r="I363" s="64" t="n">
        <v>400</v>
      </c>
      <c r="J363" s="62" t="inlineStr">
        <is>
          <t>gross (stated)</t>
        </is>
      </c>
      <c r="K363" s="65" t="n"/>
      <c r="L363" s="65" t="n">
        <v>14.86</v>
      </c>
      <c r="M363" s="65" t="n">
        <v>11.89</v>
      </c>
      <c r="N363" s="62" t="inlineStr">
        <is>
          <t>N</t>
        </is>
      </c>
      <c r="O363" s="66" t="n">
        <v>80</v>
      </c>
      <c r="P363" s="66" t="n"/>
      <c r="Q363" s="67" t="n">
        <v>4000.4</v>
      </c>
      <c r="R363" s="62" t="inlineStr">
        <is>
          <t>derived:price x shares upon listing</t>
        </is>
      </c>
      <c r="S363" s="68" t="n">
        <v>751.77</v>
      </c>
      <c r="T363" s="69" t="n">
        <v>1.92</v>
      </c>
      <c r="U363" s="70" t="n">
        <v>0</v>
      </c>
      <c r="V363" s="66" t="n">
        <v>10</v>
      </c>
      <c r="W363" s="62" t="n"/>
      <c r="X363" s="62" t="n"/>
      <c r="Y363" s="66" t="n">
        <v>11.33</v>
      </c>
      <c r="Z363" s="62" t="n"/>
      <c r="AA363" s="71" t="n">
        <v>137.34</v>
      </c>
      <c r="AB363" s="72" t="n">
        <v>152.14</v>
      </c>
      <c r="AC363" s="72" t="n">
        <v>-5.87</v>
      </c>
      <c r="AD363" s="72" t="n">
        <v>139.7</v>
      </c>
      <c r="AE363" s="72" t="n">
        <v>236.92</v>
      </c>
      <c r="AF363" s="72" t="n">
        <v>337.76</v>
      </c>
      <c r="AG363" s="72" t="n">
        <v>0.99</v>
      </c>
      <c r="AH363" s="72" t="n">
        <v>41.96</v>
      </c>
      <c r="AI363" s="72" t="n">
        <v>84.44</v>
      </c>
      <c r="AJ363" s="72" t="n">
        <v>140.29</v>
      </c>
      <c r="AK363" s="72" t="n">
        <v>243.75</v>
      </c>
      <c r="AL363" s="72" t="n">
        <v>351.57</v>
      </c>
      <c r="AM363" s="72" t="n">
        <v>48.93</v>
      </c>
      <c r="AN363" s="72" t="n">
        <v>-6.83</v>
      </c>
      <c r="AO363" s="72" t="n">
        <v>-6.97</v>
      </c>
      <c r="AP363" s="62" t="inlineStr">
        <is>
          <t>China Biotech ETF (HS biotech proxy)</t>
        </is>
      </c>
      <c r="AQ363" s="72" t="n">
        <v>-17.24</v>
      </c>
      <c r="AR363" s="63" t="inlineStr">
        <is>
          <t>2026-08-20</t>
        </is>
      </c>
      <c r="AS363" s="64" t="n">
        <v>682.8</v>
      </c>
      <c r="AT363" s="67" t="n">
        <v>-119.1</v>
      </c>
      <c r="AU363" s="62" t="inlineStr">
        <is>
          <t>N</t>
        </is>
      </c>
      <c r="AV363" s="62" t="inlineStr">
        <is>
          <t>n/m</t>
        </is>
      </c>
      <c r="AW363" s="73" t="n"/>
      <c r="AX363" s="73" t="n"/>
      <c r="AY363" s="73" t="n">
        <v>5.9</v>
      </c>
      <c r="AZ363" s="74" t="inlineStr">
        <is>
          <t>N</t>
        </is>
      </c>
      <c r="BA363" s="75">
        <f>IF('BBG Verify'!K363="","not filed — run on terminal",'BBG Verify'!K363)</f>
        <v/>
      </c>
      <c r="BB363" s="62" t="inlineStr">
        <is>
          <t>N/A</t>
        </is>
      </c>
      <c r="BC363" s="62" t="inlineStr">
        <is>
          <t>N/A</t>
        </is>
      </c>
      <c r="BD363" s="62" t="inlineStr">
        <is>
          <t>N/A</t>
        </is>
      </c>
      <c r="BE363" s="62" t="inlineStr">
        <is>
          <t>N/A</t>
        </is>
      </c>
      <c r="BF363" s="62" t="inlineStr">
        <is>
          <t>N/A</t>
        </is>
      </c>
      <c r="BG363" s="74" t="inlineStr">
        <is>
          <t>Shenwan Hongyuan Capital (H.K.) Limited; Zero2IPO Capital Limited</t>
        </is>
      </c>
      <c r="BH363" s="62" t="inlineStr">
        <is>
          <t>Zero2IPO Capital Limited; Shenwan Hongyuan Capital (H.K.) Limited</t>
        </is>
      </c>
      <c r="BI363" s="62" t="inlineStr">
        <is>
          <t>Shenwan Hongyuan Securities (H.K.) Limited; Zero2IPO Securities Limited; ABCI Capital Limited; BOCI Asia Limited; Eddid Securities and Futures Limited; Innovation Securities Co., Limited; Sun Securities Limited; South China Securities Limited; Livermore Holdings Limited; uSMART Securities Limited; Valuable Capital Limited; ABCI Securities Company Limited</t>
        </is>
      </c>
      <c r="BJ363" s="62" t="inlineStr">
        <is>
          <t>ABCI Securities Company Limited; BOCI Asia Limited; Eddid Securities and Futures Limited; Innovation Securities Co., Limited; Livermore Holdings Limited; South China Securities Limited; Shenwan Hongyuan Securities (H.K.) Limited; Sun Securities Limited</t>
        </is>
      </c>
      <c r="BK363" s="76">
        <f>HYPERLINK("https://www1.hkexnews.hk/listedco/listconews/sehk/2025/0909/2025090900019.pdf","prospectus")</f>
        <v/>
      </c>
      <c r="BL363" s="76">
        <f>HYPERLINK("https://www1.hkexnews.hk/listedco/listconews/sehk/2025/0916/2025091601472.pdf","allotment")</f>
        <v/>
      </c>
      <c r="BM363" s="62" t="n"/>
      <c r="BN363" s="74" t="n"/>
      <c r="BO363" s="62" t="inlineStr">
        <is>
          <t>P/E: n/m — loss-making at IPO (use P/S) · greenshoe: end-of-stabilisation notice not located · range low: cap-only pricing — the filing publishes a Maximum Offer Price and no indicative floor · A/H: no A-share listing · cornerstone list: no cornerstone tranche in this deal</t>
        </is>
      </c>
    </row>
    <row r="364" ht="15" customHeight="1">
      <c r="A364" s="61" t="inlineStr">
        <is>
          <t>2595</t>
        </is>
      </c>
      <c r="B364" s="62" t="inlineStr">
        <is>
          <t>GENFLEET-B</t>
        </is>
      </c>
      <c r="C364" s="62" t="inlineStr">
        <is>
          <t>勁方醫藥－Ｂ</t>
        </is>
      </c>
      <c r="D364" s="62" t="inlineStr">
        <is>
          <t>Healthcare</t>
        </is>
      </c>
      <c r="E364" s="62" t="inlineStr">
        <is>
          <t>Biotech pre-revenue (18A)</t>
        </is>
      </c>
      <c r="F364" s="62" t="inlineStr">
        <is>
          <t>Biotechnology - Pharmaceuticals</t>
        </is>
      </c>
      <c r="G364" s="62" t="inlineStr">
        <is>
          <t>18A</t>
        </is>
      </c>
      <c r="H364" s="63" t="n">
        <v>45919</v>
      </c>
      <c r="I364" s="64" t="n">
        <v>1819.6</v>
      </c>
      <c r="J364" s="62" t="inlineStr">
        <is>
          <t>gross (stated)</t>
        </is>
      </c>
      <c r="K364" s="65" t="n"/>
      <c r="L364" s="65" t="n">
        <v>20.39</v>
      </c>
      <c r="M364" s="65" t="n">
        <v>20.39</v>
      </c>
      <c r="N364" s="62" t="inlineStr">
        <is>
          <t>Y</t>
        </is>
      </c>
      <c r="O364" s="66" t="n">
        <v>100</v>
      </c>
      <c r="P364" s="66" t="n"/>
      <c r="Q364" s="67" t="n">
        <v>7041.5</v>
      </c>
      <c r="R364" s="62" t="inlineStr">
        <is>
          <t>prospectus:stated market capitalisation</t>
        </is>
      </c>
      <c r="S364" s="68" t="n">
        <v>2662.79</v>
      </c>
      <c r="T364" s="69" t="n">
        <v>39.05</v>
      </c>
      <c r="U364" s="70" t="n">
        <v>42.84</v>
      </c>
      <c r="V364" s="66" t="n">
        <v>14.77</v>
      </c>
      <c r="W364" s="62" t="inlineStr">
        <is>
          <t>RTW Master Fund, Ltd; The Biotech Growth Trust PLC; LBC HK Opportunity Fund Limited; Lake Bleu Innovation Fund; GF International; Value Partners Limited; E Fund Hong Kong</t>
        </is>
      </c>
      <c r="X364" s="62" t="inlineStr">
        <is>
          <t>rtw;biotech;lbc;lake;gf;value;fund-hong</t>
        </is>
      </c>
      <c r="Y364" s="66" t="n">
        <v>15</v>
      </c>
      <c r="Z364" s="62" t="inlineStr">
        <is>
          <t>full</t>
        </is>
      </c>
      <c r="AA364" s="71" t="n">
        <v>106.47</v>
      </c>
      <c r="AB364" s="72" t="n">
        <v>115.79</v>
      </c>
      <c r="AC364" s="72" t="n">
        <v>-4.32</v>
      </c>
      <c r="AD364" s="72" t="n">
        <v>87.34999999999999</v>
      </c>
      <c r="AE364" s="72" t="n">
        <v>30.06</v>
      </c>
      <c r="AF364" s="72" t="n">
        <v>25.75</v>
      </c>
      <c r="AG364" s="72" t="n">
        <v>-9.26</v>
      </c>
      <c r="AH364" s="72" t="n">
        <v>-37.01</v>
      </c>
      <c r="AI364" s="72" t="n">
        <v>-39.1</v>
      </c>
      <c r="AJ364" s="72" t="n">
        <v>89.94</v>
      </c>
      <c r="AK364" s="72" t="n">
        <v>37.77</v>
      </c>
      <c r="AL364" s="72" t="n">
        <v>39.29</v>
      </c>
      <c r="AM364" s="72" t="n">
        <v>-30.89</v>
      </c>
      <c r="AN364" s="72" t="n">
        <v>-7.71</v>
      </c>
      <c r="AO364" s="72" t="n">
        <v>-6.12</v>
      </c>
      <c r="AP364" s="62" t="inlineStr">
        <is>
          <t>China Biotech ETF (HS biotech proxy)</t>
        </is>
      </c>
      <c r="AQ364" s="72" t="n">
        <v>60.57</v>
      </c>
      <c r="AR364" s="63" t="inlineStr">
        <is>
          <t>2026-08-20</t>
        </is>
      </c>
      <c r="AS364" s="64" t="n">
        <v>115.2</v>
      </c>
      <c r="AT364" s="67" t="n">
        <v>-745.4</v>
      </c>
      <c r="AU364" s="62" t="inlineStr">
        <is>
          <t>N</t>
        </is>
      </c>
      <c r="AV364" s="62" t="inlineStr">
        <is>
          <t>n/m</t>
        </is>
      </c>
      <c r="AW364" s="73" t="n"/>
      <c r="AX364" s="73" t="n"/>
      <c r="AY364" s="73" t="n">
        <v>61.1</v>
      </c>
      <c r="AZ364" s="74" t="inlineStr">
        <is>
          <t>N</t>
        </is>
      </c>
      <c r="BA364" s="75">
        <f>IF('BBG Verify'!K364="","not filed — run on terminal",'BBG Verify'!K364)</f>
        <v/>
      </c>
      <c r="BB364" s="62" t="inlineStr">
        <is>
          <t>N/A</t>
        </is>
      </c>
      <c r="BC364" s="62" t="inlineStr">
        <is>
          <t>N/A</t>
        </is>
      </c>
      <c r="BD364" s="62" t="inlineStr">
        <is>
          <t>N/A</t>
        </is>
      </c>
      <c r="BE364" s="62" t="inlineStr">
        <is>
          <t>N/A</t>
        </is>
      </c>
      <c r="BF364" s="62" t="inlineStr">
        <is>
          <t>N/A</t>
        </is>
      </c>
      <c r="BG364" s="74" t="inlineStr">
        <is>
          <t>CITIC Securities (Hong Kong) Limited; CLSA Limited</t>
        </is>
      </c>
      <c r="BH364" s="62" t="inlineStr">
        <is>
          <t>CITIC Securities (Hong Kong) Limited</t>
        </is>
      </c>
      <c r="BI364" s="62" t="inlineStr">
        <is>
          <t>CLSA Limited; Fosun International Securities Limited; ABCI Capital Limited; CCB International Capital Limited; BOCOM International Securities Limited; China Renaissance Securities (Hong Kong) Limited; Central, Hong Kong GF Securities (Hong Kong) Brokerage Limited</t>
        </is>
      </c>
      <c r="BJ364" s="62" t="inlineStr">
        <is>
          <t>ABCI Securities Company Limited; BOCOM International Securities Limited; CCB International Capital Limited; CLSA Limited; China Renaissance Securities (Hong Kong) Limited; Fosun International Securities Limited; GF Securities (Hong Kong) Brokerage Limited</t>
        </is>
      </c>
      <c r="BK364" s="76">
        <f>HYPERLINK("https://www1.hkexnews.hk/listedco/listconews/sehk/2025/0911/2025091100031.pdf","prospectus")</f>
        <v/>
      </c>
      <c r="BL364" s="76">
        <f>HYPERLINK("https://www1.hkexnews.hk/listedco/listconews/sehk/2025/0918/2025091801757.pdf","allotment")</f>
        <v/>
      </c>
      <c r="BM364" s="76">
        <f>HYPERLINK("https://www1.hkexnews.hk/listedco/listconews/sehk/2025/1016/2025101601000.pdf","stabilisation")</f>
        <v/>
      </c>
      <c r="BN364" s="74" t="n"/>
      <c r="BO364" s="62" t="inlineStr">
        <is>
          <t>P/E: n/m — loss-making at IPO (use P/S) · range low: cap-only pricing — the filing publishes a Maximum Offer Price and no indicative floor · A/H: no A-share listing</t>
        </is>
      </c>
    </row>
    <row r="365" ht="15" customHeight="1">
      <c r="A365" s="61" t="inlineStr">
        <is>
          <t>6090</t>
        </is>
      </c>
      <c r="B365" s="62" t="inlineStr">
        <is>
          <t>BUTONG GROUP</t>
        </is>
      </c>
      <c r="C365" s="62" t="inlineStr">
        <is>
          <t>不同集團</t>
        </is>
      </c>
      <c r="D365" s="62" t="inlineStr">
        <is>
          <t>Consumer</t>
        </is>
      </c>
      <c r="E365" s="62" t="inlineStr">
        <is>
          <t>Retail / distribution</t>
        </is>
      </c>
      <c r="F365" s="62" t="inlineStr">
        <is>
          <t>Children's and Infant Products</t>
        </is>
      </c>
      <c r="G365" s="62" t="inlineStr">
        <is>
          <t>Standard</t>
        </is>
      </c>
      <c r="H365" s="63" t="n">
        <v>45923</v>
      </c>
      <c r="I365" s="64" t="n">
        <v>781.84</v>
      </c>
      <c r="J365" s="62" t="inlineStr">
        <is>
          <t>gross (stated)</t>
        </is>
      </c>
      <c r="K365" s="65" t="n">
        <v>62.01</v>
      </c>
      <c r="L365" s="65" t="n">
        <v>71.2</v>
      </c>
      <c r="M365" s="65" t="n">
        <v>71.2</v>
      </c>
      <c r="N365" s="62" t="inlineStr">
        <is>
          <t>Y</t>
        </is>
      </c>
      <c r="O365" s="66" t="n">
        <v>100</v>
      </c>
      <c r="P365" s="66" t="n">
        <v>100</v>
      </c>
      <c r="Q365" s="67" t="n">
        <v>6461.5</v>
      </c>
      <c r="R365" s="62" t="inlineStr">
        <is>
          <t>derived:price x shares upon listing</t>
        </is>
      </c>
      <c r="S365" s="68" t="n">
        <v>3317.47</v>
      </c>
      <c r="T365" s="69" t="n">
        <v>7.37</v>
      </c>
      <c r="U365" s="70" t="n">
        <v>14.96</v>
      </c>
      <c r="V365" s="66" t="n">
        <v>10.29</v>
      </c>
      <c r="W365" s="62" t="inlineStr">
        <is>
          <t>Cithara Fund; Great Praise</t>
        </is>
      </c>
      <c r="X365" s="62" t="inlineStr">
        <is>
          <t>cithara;great-praise</t>
        </is>
      </c>
      <c r="Y365" s="66" t="n">
        <v>5.95</v>
      </c>
      <c r="Z365" s="62" t="n"/>
      <c r="AA365" s="71" t="n">
        <v>43.96</v>
      </c>
      <c r="AB365" s="72" t="n">
        <v>41.01</v>
      </c>
      <c r="AC365" s="72" t="n">
        <v>2.09</v>
      </c>
      <c r="AD365" s="72" t="n">
        <v>46.07</v>
      </c>
      <c r="AE365" s="72" t="n">
        <v>36.31</v>
      </c>
      <c r="AF365" s="72" t="n">
        <v>44.66</v>
      </c>
      <c r="AG365" s="72" t="n">
        <v>1.47</v>
      </c>
      <c r="AH365" s="72" t="n">
        <v>-5.31</v>
      </c>
      <c r="AI365" s="72" t="n">
        <v>0.49</v>
      </c>
      <c r="AJ365" s="72" t="n">
        <v>43.57</v>
      </c>
      <c r="AK365" s="72" t="n">
        <v>38.3</v>
      </c>
      <c r="AL365" s="72" t="n">
        <v>53.02</v>
      </c>
      <c r="AM365" s="72" t="n">
        <v>-4.43</v>
      </c>
      <c r="AN365" s="72" t="n">
        <v>-1.99</v>
      </c>
      <c r="AO365" s="72" t="n">
        <v>-0.88</v>
      </c>
      <c r="AP365" s="62" t="inlineStr">
        <is>
          <t>Hang Seng Commerce &amp; Industry sub-index</t>
        </is>
      </c>
      <c r="AQ365" s="72" t="n">
        <v>-37.11</v>
      </c>
      <c r="AR365" s="63" t="inlineStr">
        <is>
          <t>2026-08-24</t>
        </is>
      </c>
      <c r="AS365" s="64" t="n">
        <v>1373.8</v>
      </c>
      <c r="AT365" s="67" t="n">
        <v>64.40000000000001</v>
      </c>
      <c r="AU365" s="62" t="inlineStr">
        <is>
          <t>Y</t>
        </is>
      </c>
      <c r="AV365" s="73" t="n">
        <v>100.3</v>
      </c>
      <c r="AW365" s="73" t="n"/>
      <c r="AX365" s="73" t="n"/>
      <c r="AY365" s="73" t="n">
        <v>4.7</v>
      </c>
      <c r="AZ365" s="74" t="inlineStr">
        <is>
          <t>N</t>
        </is>
      </c>
      <c r="BA365" s="75">
        <f>IF('BBG Verify'!K365="","not filed — run on terminal",'BBG Verify'!K365)</f>
        <v/>
      </c>
      <c r="BB365" s="62" t="inlineStr">
        <is>
          <t>N/A</t>
        </is>
      </c>
      <c r="BC365" s="62" t="inlineStr">
        <is>
          <t>N/A</t>
        </is>
      </c>
      <c r="BD365" s="62" t="inlineStr">
        <is>
          <t>N/A</t>
        </is>
      </c>
      <c r="BE365" s="62" t="inlineStr">
        <is>
          <t>N/A</t>
        </is>
      </c>
      <c r="BF365" s="62" t="inlineStr">
        <is>
          <t>N/A</t>
        </is>
      </c>
      <c r="BG365" s="74" t="inlineStr">
        <is>
          <t>CITIC Securities (Hong Kong) Limited; Haitong International Capital Limited</t>
        </is>
      </c>
      <c r="BH365" s="62" t="inlineStr">
        <is>
          <t>Haitong International Capital Limited; CITIC Securities (Hong Kong) Limited</t>
        </is>
      </c>
      <c r="BI365" s="62" t="inlineStr">
        <is>
          <t>CLSA Limited; Haitong International Securities Company Limited; Futu Securities International (Hong Kong) Limited; SPDB International Capital Limited; Livermore Holdings Limited; Patrons Securities Limited</t>
        </is>
      </c>
      <c r="BJ365" s="62" t="inlineStr">
        <is>
          <t>CLSA Limited; Futu Securities International (Hong Kong) Limited; Huatai Financial Holdings (Hong Kong) Limited; Haitong International Securities Company Limited; Livermore Holdings Limited; Patrons Securities Limited; SPDB International Capital Limited</t>
        </is>
      </c>
      <c r="BK365" s="76">
        <f>HYPERLINK("https://www1.hkexnews.hk/listedco/listconews/sehk/2025/0915/2025091500009.pdf","prospectus")</f>
        <v/>
      </c>
      <c r="BL365" s="76">
        <f>HYPERLINK("https://www1.hkexnews.hk/listedco/listconews/sehk/2025/0922/2025092201984.pdf","allotment")</f>
        <v/>
      </c>
      <c r="BM365" s="62" t="n"/>
      <c r="BN365" s="74" t="n"/>
      <c r="BO365" s="62" t="inlineStr">
        <is>
          <t>greenshoe: end-of-stabilisation notice not located · A/H: no A-share listing</t>
        </is>
      </c>
    </row>
    <row r="366" ht="15" customHeight="1">
      <c r="A366" s="61" t="inlineStr">
        <is>
          <t>9973</t>
        </is>
      </c>
      <c r="B366" s="62" t="inlineStr">
        <is>
          <t>CHERY AUTO</t>
        </is>
      </c>
      <c r="C366" s="62" t="inlineStr">
        <is>
          <t>奇瑞汽車</t>
        </is>
      </c>
      <c r="D366" s="62" t="inlineStr">
        <is>
          <t>Consumer</t>
        </is>
      </c>
      <c r="E366" s="62" t="inlineStr">
        <is>
          <t>Autos (NEV OEM)</t>
        </is>
      </c>
      <c r="F366" s="62" t="inlineStr">
        <is>
          <t>Automobile Manufacturers</t>
        </is>
      </c>
      <c r="G366" s="62" t="inlineStr">
        <is>
          <t>Standard</t>
        </is>
      </c>
      <c r="H366" s="63" t="n">
        <v>45925</v>
      </c>
      <c r="I366" s="64" t="n">
        <v>9145</v>
      </c>
      <c r="J366" s="62" t="inlineStr">
        <is>
          <t>gross (stated)</t>
        </is>
      </c>
      <c r="K366" s="65" t="n"/>
      <c r="L366" s="65" t="n">
        <v>30.75</v>
      </c>
      <c r="M366" s="65" t="n">
        <v>30.75</v>
      </c>
      <c r="N366" s="62" t="inlineStr">
        <is>
          <t>Y</t>
        </is>
      </c>
      <c r="O366" s="66" t="n">
        <v>100</v>
      </c>
      <c r="P366" s="66" t="n"/>
      <c r="Q366" s="67" t="n">
        <v>160041</v>
      </c>
      <c r="R366" s="62" t="inlineStr">
        <is>
          <t>prospectus:stated market capitalisation</t>
        </is>
      </c>
      <c r="S366" s="68" t="n">
        <v>308.18</v>
      </c>
      <c r="T366" s="69" t="n">
        <v>11.61</v>
      </c>
      <c r="U366" s="70" t="n">
        <v>50.1</v>
      </c>
      <c r="V366" s="66" t="n">
        <v>2.85</v>
      </c>
      <c r="W366" s="62" t="inlineStr">
        <is>
          <t>HHLR Advisors, Ltd; Martis Fund, L.P; Xingyu Automotive Lighting (Hong Kong) Company Limited; Gotion; HK Greenwoods; Horizon Together; Dajia Life; Tulip Fund, L.P; CICC FT; GF Global Capital Limited</t>
        </is>
      </c>
      <c r="X366" s="62" t="inlineStr">
        <is>
          <t>hhlr;martis;xingyu;gotion;greenwoods;horizon;dajia;tulip;china-international;gf</t>
        </is>
      </c>
      <c r="Y366" s="66" t="n">
        <v>15</v>
      </c>
      <c r="Z366" s="62" t="inlineStr">
        <is>
          <t>partial</t>
        </is>
      </c>
      <c r="AA366" s="71" t="n">
        <v>3.8</v>
      </c>
      <c r="AB366" s="72" t="n">
        <v>11.22</v>
      </c>
      <c r="AC366" s="72" t="n">
        <v>-6.67</v>
      </c>
      <c r="AD366" s="72" t="n">
        <v>3.67</v>
      </c>
      <c r="AE366" s="72" t="n">
        <v>6.41</v>
      </c>
      <c r="AF366" s="72" t="n">
        <v>-0.16</v>
      </c>
      <c r="AG366" s="72" t="n">
        <v>-0.13</v>
      </c>
      <c r="AH366" s="72" t="n">
        <v>2.51</v>
      </c>
      <c r="AI366" s="72" t="n">
        <v>-3.82</v>
      </c>
      <c r="AJ366" s="72" t="n">
        <v>0.61</v>
      </c>
      <c r="AK366" s="72" t="n">
        <v>9.49</v>
      </c>
      <c r="AL366" s="72" t="n">
        <v>9.07</v>
      </c>
      <c r="AM366" s="72" t="n">
        <v>5.94</v>
      </c>
      <c r="AN366" s="72" t="n">
        <v>-3.08</v>
      </c>
      <c r="AO366" s="72" t="n">
        <v>-3.43</v>
      </c>
      <c r="AP366" s="62" t="inlineStr">
        <is>
          <t>Hang Seng Commerce &amp; Industry sub-index</t>
        </is>
      </c>
      <c r="AQ366" s="72" t="n">
        <v>-16.94</v>
      </c>
      <c r="AR366" s="63" t="inlineStr">
        <is>
          <t>2026-08-20</t>
        </is>
      </c>
      <c r="AS366" s="64" t="n">
        <v>296886.7</v>
      </c>
      <c r="AT366" s="67" t="n">
        <v>15548.5</v>
      </c>
      <c r="AU366" s="62" t="inlineStr">
        <is>
          <t>Y</t>
        </is>
      </c>
      <c r="AV366" s="73" t="n">
        <v>10.3</v>
      </c>
      <c r="AW366" s="73" t="n">
        <v>10</v>
      </c>
      <c r="AX366" s="73" t="n">
        <v>6.5</v>
      </c>
      <c r="AY366" s="73" t="n">
        <v>0.5</v>
      </c>
      <c r="AZ366" s="74" t="inlineStr">
        <is>
          <t>N</t>
        </is>
      </c>
      <c r="BA366" s="75">
        <f>IF('BBG Verify'!K366="","not filed — run on terminal",'BBG Verify'!K366)</f>
        <v/>
      </c>
      <c r="BB366" s="62" t="inlineStr">
        <is>
          <t>N/A</t>
        </is>
      </c>
      <c r="BC366" s="62" t="inlineStr">
        <is>
          <t>N/A</t>
        </is>
      </c>
      <c r="BD366" s="62" t="inlineStr">
        <is>
          <t>N/A</t>
        </is>
      </c>
      <c r="BE366" s="62" t="inlineStr">
        <is>
          <t>N/A</t>
        </is>
      </c>
      <c r="BF366" s="62" t="inlineStr">
        <is>
          <t>N/A</t>
        </is>
      </c>
      <c r="BG366" s="74" t="inlineStr">
        <is>
          <t>China International Capital Corporation Hong Kong Securities Limited; Huatai Financial Holdings (Hong Kong) Limited; GF Capital (Hong Kong) Limited</t>
        </is>
      </c>
      <c r="BH366" s="62" t="inlineStr">
        <is>
          <t>China International Capital Corporation Hong Kong Securities Limited; Huatai Financial Holdings (Hong Kong) Limited; GF Capital (Hong Kong) Limited</t>
        </is>
      </c>
      <c r="BI366" s="62" t="inlineStr">
        <is>
          <t>China International Capital Corporation Hong Kong Securities Limited; Huatai Financial Holdings (Hong Kong) Limited; GF Securities (Hong Kong) Brokerage Limited; DIRECTORS, SUPERVISORS AND PARTIES INVOLVED IN THE GLOBAL OFFERING CLSA Limited; CLSA Limited; BOCI Asia Limited; CMB International Capital Limited; Futu Securities International (Hong Kong) Limited</t>
        </is>
      </c>
      <c r="BJ366" s="62" t="inlineStr">
        <is>
          <t>ABCI Securities Company Limited; BOCI Asia Limited; China International Capital Corporation Hong Kong Securities Limited; CLSA Limited; CMB International Capital Limited; Futu Securities International (Hong Kong) Limited; GF Securities (Hong Kong) Brokerage Limited; Huatai Financial Holdings (Hong Kong) Limited</t>
        </is>
      </c>
      <c r="BK366" s="76">
        <f>HYPERLINK("https://www1.hkexnews.hk/listedco/listconews/sehk/2025/0917/2025091700013.pdf","prospectus")</f>
        <v/>
      </c>
      <c r="BL366" s="76">
        <f>HYPERLINK("https://www1.hkexnews.hk/listedco/listconews/sehk/2025/0924/2025092401262.pdf","allotment")</f>
        <v/>
      </c>
      <c r="BM366" s="76">
        <f>HYPERLINK("https://www1.hkexnews.hk/listedco/listconews/sehk/2025/1022/2025102201148.pdf","stabilisation")</f>
        <v/>
      </c>
      <c r="BN366" s="74" t="n"/>
      <c r="BO366" s="62" t="inlineStr">
        <is>
          <t>range low: cap-only pricing — the filing publishes a Maximum Offer Price and no indicative floor · A/H: no A-share listing</t>
        </is>
      </c>
    </row>
    <row r="367" ht="15" customHeight="1">
      <c r="A367" s="61" t="inlineStr">
        <is>
          <t>2583</t>
        </is>
      </c>
      <c r="B367" s="62" t="inlineStr">
        <is>
          <t>HIPINE</t>
        </is>
      </c>
      <c r="C367" s="62" t="inlineStr">
        <is>
          <t>西普尼</t>
        </is>
      </c>
      <c r="D367" s="62" t="inlineStr">
        <is>
          <t>Consumer</t>
        </is>
      </c>
      <c r="E367" s="62" t="inlineStr">
        <is>
          <t>Apparel / luxury</t>
        </is>
      </c>
      <c r="F367" s="62" t="inlineStr">
        <is>
          <t>Watch &amp; Jewellery</t>
        </is>
      </c>
      <c r="G367" s="62" t="inlineStr">
        <is>
          <t>Standard</t>
        </is>
      </c>
      <c r="H367" s="63" t="n">
        <v>45930</v>
      </c>
      <c r="I367" s="64" t="n">
        <v>313.76</v>
      </c>
      <c r="J367" s="62" t="inlineStr">
        <is>
          <t>gross (stated)</t>
        </is>
      </c>
      <c r="K367" s="65" t="n"/>
      <c r="L367" s="65" t="n">
        <v>29.6</v>
      </c>
      <c r="M367" s="65" t="n">
        <v>29.6</v>
      </c>
      <c r="N367" s="62" t="inlineStr">
        <is>
          <t>Y</t>
        </is>
      </c>
      <c r="O367" s="66" t="n">
        <v>100</v>
      </c>
      <c r="P367" s="66" t="n"/>
      <c r="Q367" s="67" t="n">
        <v>1741.2</v>
      </c>
      <c r="R367" s="62" t="inlineStr">
        <is>
          <t>derived:price x shares upon listing</t>
        </is>
      </c>
      <c r="S367" s="68" t="n">
        <v>2505.9</v>
      </c>
      <c r="T367" s="69" t="n">
        <v>3.9</v>
      </c>
      <c r="U367" s="70" t="n"/>
      <c r="V367" s="66" t="n"/>
      <c r="W367" s="62" t="inlineStr">
        <is>
          <t>Ms. Fan; Jinyingu Investment</t>
        </is>
      </c>
      <c r="X367" s="62" t="inlineStr">
        <is>
          <t>ms-fan;jinyingu</t>
        </is>
      </c>
      <c r="Y367" s="66" t="n"/>
      <c r="Z367" s="62" t="n"/>
      <c r="AA367" s="71" t="n">
        <v>258.11</v>
      </c>
      <c r="AB367" s="72" t="n">
        <v>183.78</v>
      </c>
      <c r="AC367" s="72" t="n">
        <v>26.19</v>
      </c>
      <c r="AD367" s="72" t="n">
        <v>457.43</v>
      </c>
      <c r="AE367" s="72" t="n">
        <v>456.42</v>
      </c>
      <c r="AF367" s="72" t="n">
        <v>467.23</v>
      </c>
      <c r="AG367" s="72" t="n">
        <v>55.66</v>
      </c>
      <c r="AH367" s="72" t="n">
        <v>55.38</v>
      </c>
      <c r="AI367" s="72" t="n">
        <v>58.4</v>
      </c>
      <c r="AJ367" s="72" t="n">
        <v>456.21</v>
      </c>
      <c r="AK367" s="72" t="n">
        <v>461.42</v>
      </c>
      <c r="AL367" s="72" t="n">
        <v>474.36</v>
      </c>
      <c r="AM367" s="72" t="n">
        <v>61.55</v>
      </c>
      <c r="AN367" s="72" t="n">
        <v>-5</v>
      </c>
      <c r="AO367" s="72" t="n">
        <v>-6.17</v>
      </c>
      <c r="AP367" s="62" t="inlineStr">
        <is>
          <t>Hang Seng Commerce &amp; Industry sub-index</t>
        </is>
      </c>
      <c r="AQ367" s="72" t="n">
        <v>99.16</v>
      </c>
      <c r="AR367" s="63" t="inlineStr">
        <is>
          <t>2026-08-20</t>
        </is>
      </c>
      <c r="AS367" s="64" t="n">
        <v>502.2</v>
      </c>
      <c r="AT367" s="67" t="n">
        <v>54.3</v>
      </c>
      <c r="AU367" s="62" t="inlineStr">
        <is>
          <t>Y</t>
        </is>
      </c>
      <c r="AV367" s="73" t="n">
        <v>32.1</v>
      </c>
      <c r="AW367" s="73" t="n"/>
      <c r="AX367" s="73" t="n">
        <v>25</v>
      </c>
      <c r="AY367" s="73" t="n">
        <v>3.5</v>
      </c>
      <c r="AZ367" s="74" t="inlineStr">
        <is>
          <t>N</t>
        </is>
      </c>
      <c r="BA367" s="75">
        <f>IF('BBG Verify'!K367="","not filed — run on terminal",'BBG Verify'!K367)</f>
        <v/>
      </c>
      <c r="BB367" s="62" t="inlineStr">
        <is>
          <t>N/A</t>
        </is>
      </c>
      <c r="BC367" s="62" t="inlineStr">
        <is>
          <t>N/A</t>
        </is>
      </c>
      <c r="BD367" s="62" t="inlineStr">
        <is>
          <t>N/A</t>
        </is>
      </c>
      <c r="BE367" s="62" t="inlineStr">
        <is>
          <t>N/A</t>
        </is>
      </c>
      <c r="BF367" s="62" t="inlineStr">
        <is>
          <t>N/A</t>
        </is>
      </c>
      <c r="BG367" s="74" t="inlineStr">
        <is>
          <t>Ping An of China Capital (Hong Kong) Company Limited</t>
        </is>
      </c>
      <c r="BH367" s="62" t="inlineStr">
        <is>
          <t>Ping An of China Capital (Hong Kong) Company Limited</t>
        </is>
      </c>
      <c r="BI367" s="62" t="inlineStr">
        <is>
          <t>Ping An Securities (Hong Kong) Company Limited; A VICT Global Asset Management Limited; uSMART Securities Limited; ABCI Capital Limited</t>
        </is>
      </c>
      <c r="BJ367" s="62" t="inlineStr">
        <is>
          <t>ABCI Securities Company Limited; AVICT Global Asset Management Limited; Ping An Securities (Hong Kong) Company Limited; Patrons Securities Limited; Ruibang Securities Limited</t>
        </is>
      </c>
      <c r="BK367" s="76">
        <f>HYPERLINK("https://www1.hkexnews.hk/listedco/listconews/sehk/2025/0919/2025091900019.pdf","prospectus")</f>
        <v/>
      </c>
      <c r="BL367" s="76">
        <f>HYPERLINK("https://www1.hkexnews.hk/listedco/listconews/sehk/2025/0929/2025092902274.pdf","allotment")</f>
        <v/>
      </c>
      <c r="BM367" s="62" t="n"/>
      <c r="BN367" s="74" t="n"/>
      <c r="BO367" s="62" t="inlineStr">
        <is>
          <t>greenshoe: no over-allotment option in the offer structure · range low: cap-only pricing — the filing publishes a Maximum Offer Price and no indicative floor · A/H: no A-share listing · cornerstone %: cornerstone aggregate not stated in the filing · greenshoe size: no over-allotment option in the offer structure</t>
        </is>
      </c>
    </row>
    <row r="368" ht="15" customHeight="1">
      <c r="A368" s="61" t="inlineStr">
        <is>
          <t>2889</t>
        </is>
      </c>
      <c r="B368" s="62" t="inlineStr">
        <is>
          <t>PATEO</t>
        </is>
      </c>
      <c r="C368" s="62" t="inlineStr">
        <is>
          <t>博泰車聯</t>
        </is>
      </c>
      <c r="D368" s="62" t="inlineStr">
        <is>
          <t>Consumer</t>
        </is>
      </c>
      <c r="E368" s="62" t="inlineStr">
        <is>
          <t>Auto parts / supply chain</t>
        </is>
      </c>
      <c r="F368" s="62" t="inlineStr">
        <is>
          <t>Auto Parts &amp; Equipment</t>
        </is>
      </c>
      <c r="G368" s="62" t="inlineStr">
        <is>
          <t>Standard</t>
        </is>
      </c>
      <c r="H368" s="63" t="n">
        <v>45930</v>
      </c>
      <c r="I368" s="64" t="n">
        <v>1066.96</v>
      </c>
      <c r="J368" s="62" t="inlineStr">
        <is>
          <t>gross (stated)</t>
        </is>
      </c>
      <c r="K368" s="65" t="n"/>
      <c r="L368" s="65" t="n">
        <v>102.23</v>
      </c>
      <c r="M368" s="65" t="n">
        <v>102.23</v>
      </c>
      <c r="N368" s="62" t="inlineStr">
        <is>
          <t>Y</t>
        </is>
      </c>
      <c r="O368" s="66" t="n">
        <v>100</v>
      </c>
      <c r="P368" s="66" t="n"/>
      <c r="Q368" s="67" t="n">
        <v>4000</v>
      </c>
      <c r="R368" s="62" t="inlineStr">
        <is>
          <t>prospectus:stated market capitalisation</t>
        </is>
      </c>
      <c r="S368" s="68" t="n">
        <v>529.79</v>
      </c>
      <c r="T368" s="69" t="n">
        <v>3.72</v>
      </c>
      <c r="U368" s="70" t="n">
        <v>22.8</v>
      </c>
      <c r="V368" s="66" t="n">
        <v>20.59</v>
      </c>
      <c r="W368" s="62" t="n"/>
      <c r="X368" s="62" t="n"/>
      <c r="Y368" s="66" t="n">
        <v>7</v>
      </c>
      <c r="Z368" s="62" t="n"/>
      <c r="AA368" s="71" t="n">
        <v>53.58</v>
      </c>
      <c r="AB368" s="72" t="n">
        <v>32.06</v>
      </c>
      <c r="AC368" s="72" t="n">
        <v>16.3</v>
      </c>
      <c r="AD368" s="72" t="n">
        <v>98.95999999999999</v>
      </c>
      <c r="AE368" s="72" t="n">
        <v>68.05</v>
      </c>
      <c r="AF368" s="72" t="n">
        <v>110.51</v>
      </c>
      <c r="AG368" s="72" t="n">
        <v>29.55</v>
      </c>
      <c r="AH368" s="72" t="n">
        <v>9.42</v>
      </c>
      <c r="AI368" s="72" t="n">
        <v>37.07</v>
      </c>
      <c r="AJ368" s="72" t="n">
        <v>97.73999999999999</v>
      </c>
      <c r="AK368" s="72" t="n">
        <v>73.05</v>
      </c>
      <c r="AL368" s="72" t="n">
        <v>117.64</v>
      </c>
      <c r="AM368" s="72" t="n">
        <v>15.59</v>
      </c>
      <c r="AN368" s="72" t="n">
        <v>-5</v>
      </c>
      <c r="AO368" s="72" t="n">
        <v>-6.17</v>
      </c>
      <c r="AP368" s="62" t="inlineStr">
        <is>
          <t>Hang Seng Commerce &amp; Industry sub-index</t>
        </is>
      </c>
      <c r="AQ368" s="72" t="n">
        <v>66.48999999999999</v>
      </c>
      <c r="AR368" s="63" t="inlineStr">
        <is>
          <t>2026-08-20</t>
        </is>
      </c>
      <c r="AS368" s="64" t="n">
        <v>2154.9</v>
      </c>
      <c r="AT368" s="67" t="n">
        <v>-594.9</v>
      </c>
      <c r="AU368" s="62" t="inlineStr">
        <is>
          <t>N</t>
        </is>
      </c>
      <c r="AV368" s="62" t="inlineStr">
        <is>
          <t>n/m</t>
        </is>
      </c>
      <c r="AW368" s="73" t="n"/>
      <c r="AX368" s="73" t="n"/>
      <c r="AY368" s="73" t="n">
        <v>1.9</v>
      </c>
      <c r="AZ368" s="74" t="inlineStr">
        <is>
          <t>N</t>
        </is>
      </c>
      <c r="BA368" s="75">
        <f>IF('BBG Verify'!K368="","not filed — run on terminal",'BBG Verify'!K368)</f>
        <v/>
      </c>
      <c r="BB368" s="62" t="inlineStr">
        <is>
          <t>N/A</t>
        </is>
      </c>
      <c r="BC368" s="62" t="inlineStr">
        <is>
          <t>N/A</t>
        </is>
      </c>
      <c r="BD368" s="62" t="inlineStr">
        <is>
          <t>N/A</t>
        </is>
      </c>
      <c r="BE368" s="62" t="inlineStr">
        <is>
          <t>N/A</t>
        </is>
      </c>
      <c r="BF368" s="62" t="inlineStr">
        <is>
          <t>N/A</t>
        </is>
      </c>
      <c r="BG368" s="74" t="inlineStr">
        <is>
          <t>China International Capital Corporation Hong Kong Securities Limited; Guotai Junan Capital Limited; CMB International Capital Limited; Huatai Financial Holdings (Hong Kong) Limited; CITIC Securities (Hong Kong) Limited</t>
        </is>
      </c>
      <c r="BH368" s="62" t="inlineStr">
        <is>
          <t>China International Capital Corporation Hong Kong Securities Limited; Huatai Financial Holdings (Hong Kong) Limited; CITIC Securities (Hong Kong) Limited; Guotai Junan Capital Limited; CMB International Capital Limited</t>
        </is>
      </c>
      <c r="BI368" s="62" t="inlineStr">
        <is>
          <t>China International Capital Corporation Hong Kong Securities Limited; Guotai Junan Securities (Hong Kong) Limited; CMB International Capital Limited; Huatai Financial Holdings (Hong Kong) Limited; CLSA Limited; BOCI Asia Limited; ABCI Capital Limited; Tiger Brokers (HK) Global Limited</t>
        </is>
      </c>
      <c r="BJ368" s="62" t="inlineStr">
        <is>
          <t>ABCI Securities Company Limited; BOCI Asia Limited; China International Capital Corporation Hong Kong Securities Limited; CLSA Limited; CMB International Capital Limited; Guotai Junan Securities (Hong Kong) Limited; Huatai Financial Holdings (Hong Kong) Limited; Livermore Holdings Limited; Tiger Brokers (HK) Global Limited</t>
        </is>
      </c>
      <c r="BK368" s="76">
        <f>HYPERLINK("https://www1.hkexnews.hk/listedco/listconews/sehk/2025/0922/2025092200011.pdf","prospectus")</f>
        <v/>
      </c>
      <c r="BL368" s="76">
        <f>HYPERLINK("https://www1.hkexnews.hk/listedco/listconews/sehk/2025/0929/2025092903622.pdf","allotment")</f>
        <v/>
      </c>
      <c r="BM368" s="62" t="n"/>
      <c r="BN368" s="74" t="n"/>
      <c r="BO368" s="62" t="inlineStr">
        <is>
          <t>P/E: n/m — loss-making at IPO (use P/S) · greenshoe: end-of-stabilisation notice not located · range low: cap-only pricing — the filing publishes a Maximum Offer Price and no indicative floor · A/H: no A-share listing · cornerstone list: tranche parsed (22.8% locked) but the per-investor table did not machine-parse — names are in the prospectus Cornerstone section (link on this row)</t>
        </is>
      </c>
    </row>
    <row r="369" ht="15" customHeight="1">
      <c r="A369" s="61" t="inlineStr">
        <is>
          <t>2259</t>
        </is>
      </c>
      <c r="B369" s="62" t="inlineStr">
        <is>
          <t>ZIJIN GOLD INTL</t>
        </is>
      </c>
      <c r="C369" s="62" t="inlineStr">
        <is>
          <t>紫金黃金國際</t>
        </is>
      </c>
      <c r="D369" s="62" t="inlineStr">
        <is>
          <t>Materials/Energy</t>
        </is>
      </c>
      <c r="E369" s="62" t="inlineStr">
        <is>
          <t>Mining / metals</t>
        </is>
      </c>
      <c r="F369" s="62" t="inlineStr">
        <is>
          <t>Gold &amp; Precious Metals</t>
        </is>
      </c>
      <c r="G369" s="62" t="inlineStr">
        <is>
          <t>Standard</t>
        </is>
      </c>
      <c r="H369" s="63" t="n">
        <v>45930</v>
      </c>
      <c r="I369" s="64" t="n">
        <v>24984.2</v>
      </c>
      <c r="J369" s="62" t="inlineStr">
        <is>
          <t>gross (stated)</t>
        </is>
      </c>
      <c r="K369" s="65" t="n"/>
      <c r="L369" s="65" t="n">
        <v>71.59</v>
      </c>
      <c r="M369" s="65" t="n">
        <v>71.59</v>
      </c>
      <c r="N369" s="62" t="inlineStr">
        <is>
          <t>Y</t>
        </is>
      </c>
      <c r="O369" s="66" t="n">
        <v>100</v>
      </c>
      <c r="P369" s="66" t="n"/>
      <c r="Q369" s="67" t="n">
        <v>187900</v>
      </c>
      <c r="R369" s="62" t="inlineStr">
        <is>
          <t>prospectus:stated market capitalisation</t>
        </is>
      </c>
      <c r="S369" s="68" t="n">
        <v>240.74</v>
      </c>
      <c r="T369" s="69" t="n">
        <v>20.38</v>
      </c>
      <c r="U369" s="70" t="n">
        <v>1.6</v>
      </c>
      <c r="V369" s="66" t="n">
        <v>13.08</v>
      </c>
      <c r="W369" s="62" t="inlineStr">
        <is>
          <t>UBS AM Singapore</t>
        </is>
      </c>
      <c r="X369" s="62" t="inlineStr">
        <is>
          <t>ubs</t>
        </is>
      </c>
      <c r="Y369" s="66" t="n">
        <v>5</v>
      </c>
      <c r="Z369" s="62" t="n"/>
      <c r="AA369" s="71" t="n">
        <v>68.45999999999999</v>
      </c>
      <c r="AB369" s="72" t="n">
        <v>55.75</v>
      </c>
      <c r="AC369" s="72" t="n">
        <v>8.16</v>
      </c>
      <c r="AD369" s="72" t="n">
        <v>97.37</v>
      </c>
      <c r="AE369" s="72" t="n">
        <v>81.45</v>
      </c>
      <c r="AF369" s="72" t="n">
        <v>100.73</v>
      </c>
      <c r="AG369" s="72" t="n">
        <v>17.16</v>
      </c>
      <c r="AH369" s="72" t="n">
        <v>7.71</v>
      </c>
      <c r="AI369" s="72" t="n">
        <v>19.16</v>
      </c>
      <c r="AJ369" s="72" t="n">
        <v>96.15000000000001</v>
      </c>
      <c r="AK369" s="72" t="n">
        <v>86.45</v>
      </c>
      <c r="AL369" s="72" t="n">
        <v>107.86</v>
      </c>
      <c r="AM369" s="72" t="n">
        <v>13.88</v>
      </c>
      <c r="AN369" s="72" t="n">
        <v>-5</v>
      </c>
      <c r="AO369" s="72" t="n">
        <v>-6.17</v>
      </c>
      <c r="AP369" s="62" t="inlineStr">
        <is>
          <t>Hang Seng Commerce &amp; Industry sub-index</t>
        </is>
      </c>
      <c r="AQ369" s="72" t="n">
        <v>107.15</v>
      </c>
      <c r="AR369" s="63" t="inlineStr">
        <is>
          <t>2026-08-20</t>
        </is>
      </c>
      <c r="AS369" s="64" t="n">
        <v>23293</v>
      </c>
      <c r="AT369" s="67" t="n">
        <v>4840.7</v>
      </c>
      <c r="AU369" s="62" t="inlineStr">
        <is>
          <t>Y</t>
        </is>
      </c>
      <c r="AV369" s="73" t="n">
        <v>38.8</v>
      </c>
      <c r="AW369" s="73" t="n">
        <v>21.6</v>
      </c>
      <c r="AX369" s="73" t="n">
        <v>14.3</v>
      </c>
      <c r="AY369" s="73" t="n">
        <v>8.1</v>
      </c>
      <c r="AZ369" s="74" t="inlineStr">
        <is>
          <t>N</t>
        </is>
      </c>
      <c r="BA369" s="75">
        <f>IF('BBG Verify'!K369="","not filed — run on terminal",'BBG Verify'!K369)</f>
        <v/>
      </c>
      <c r="BB369" s="62" t="inlineStr">
        <is>
          <t>N/A</t>
        </is>
      </c>
      <c r="BC369" s="62" t="inlineStr">
        <is>
          <t>N/A</t>
        </is>
      </c>
      <c r="BD369" s="62" t="inlineStr">
        <is>
          <t>N/A</t>
        </is>
      </c>
      <c r="BE369" s="62" t="inlineStr">
        <is>
          <t>N/A</t>
        </is>
      </c>
      <c r="BF369" s="62" t="inlineStr">
        <is>
          <t>N/A</t>
        </is>
      </c>
      <c r="BG369" s="74" t="inlineStr">
        <is>
          <t>Morgan Stanley Asia Limited; CITIC Securities (Hong Kong) Limited</t>
        </is>
      </c>
      <c r="BH369" s="62" t="inlineStr">
        <is>
          <t>Morgan Stanley Asia Limited; CITIC Securities (Hong Kong) Limited</t>
        </is>
      </c>
      <c r="BI369" s="62" t="inlineStr">
        <is>
          <t>Morgan Stanley &amp; Co. International plc; Canary Wharf London E14 4QA United Kingdom CLSA Limited; GF Securities (Hong Kong) Brokerage Limited; Huatai Financial Holdings (Hong Kong) Limited</t>
        </is>
      </c>
      <c r="BJ369" s="62" t="inlineStr">
        <is>
          <t>China Industrial Securities International Capital Limited; CLSA Limited; GF Securities (Hong Kong) Brokerage Limited; Huatai Financial Holdings (Hong Kong) Limited; Macquarie Capital Limited; Morgan Stanley Asia Limited</t>
        </is>
      </c>
      <c r="BK369" s="76">
        <f>HYPERLINK("https://www1.hkexnews.hk/listedco/listconews/sehk/2025/0919/2025091900073.pdf","prospectus")</f>
        <v/>
      </c>
      <c r="BL369" s="76">
        <f>HYPERLINK("https://www1.hkexnews.hk/listedco/listconews/sehk/2025/0929/2025092903788.pdf","allotment")</f>
        <v/>
      </c>
      <c r="BM369" s="62" t="n"/>
      <c r="BN369" s="74" t="n"/>
      <c r="BO369" s="62" t="inlineStr">
        <is>
          <t>greenshoe: end-of-stabilisation notice not located · range low: cap-only pricing — the filing publishes a Maximum Offer Price and no indicative floor · A/H: no A-share listing</t>
        </is>
      </c>
    </row>
    <row r="370" ht="15" customHeight="1">
      <c r="A370" s="61" t="inlineStr">
        <is>
          <t>2652</t>
        </is>
      </c>
      <c r="B370" s="62" t="inlineStr">
        <is>
          <t>CF PHARMTECH</t>
        </is>
      </c>
      <c r="C370" s="62" t="inlineStr">
        <is>
          <t>長風藥業</t>
        </is>
      </c>
      <c r="D370" s="62" t="inlineStr">
        <is>
          <t>Healthcare</t>
        </is>
      </c>
      <c r="E370" s="62" t="inlineStr">
        <is>
          <t>Biopharma commercial</t>
        </is>
      </c>
      <c r="F370" s="62" t="inlineStr">
        <is>
          <t>Pharmaceuticals</t>
        </is>
      </c>
      <c r="G370" s="62" t="inlineStr">
        <is>
          <t>Standard</t>
        </is>
      </c>
      <c r="H370" s="63" t="n">
        <v>45938</v>
      </c>
      <c r="I370" s="64" t="n">
        <v>607.7</v>
      </c>
      <c r="J370" s="62" t="inlineStr">
        <is>
          <t>gross (price x shares)</t>
        </is>
      </c>
      <c r="K370" s="65" t="n"/>
      <c r="L370" s="65" t="n">
        <v>14.75</v>
      </c>
      <c r="M370" s="65" t="n">
        <v>14.75</v>
      </c>
      <c r="N370" s="62" t="inlineStr">
        <is>
          <t>Y</t>
        </is>
      </c>
      <c r="O370" s="66" t="n">
        <v>100</v>
      </c>
      <c r="P370" s="66" t="n"/>
      <c r="Q370" s="67" t="n">
        <v>6076.7</v>
      </c>
      <c r="R370" s="62" t="inlineStr">
        <is>
          <t>derived:price x shares upon listing</t>
        </is>
      </c>
      <c r="S370" s="68" t="n">
        <v>6697.8</v>
      </c>
      <c r="T370" s="69" t="n">
        <v>12.74</v>
      </c>
      <c r="U370" s="70" t="n"/>
      <c r="V370" s="66" t="n"/>
      <c r="W370" s="62" t="inlineStr">
        <is>
          <t>Shanghai Yangtze River Delta Industry Upgrade Equity Investment</t>
        </is>
      </c>
      <c r="X370" s="62" t="inlineStr">
        <is>
          <t>shanghai-yangtze</t>
        </is>
      </c>
      <c r="Y370" s="66" t="n"/>
      <c r="Z370" s="62" t="n"/>
      <c r="AA370" s="71" t="n">
        <v>161.02</v>
      </c>
      <c r="AB370" s="72" t="n">
        <v>218.64</v>
      </c>
      <c r="AC370" s="72" t="n">
        <v>-18.08</v>
      </c>
      <c r="AD370" s="72" t="n">
        <v>94.58</v>
      </c>
      <c r="AE370" s="72" t="n">
        <v>89.83</v>
      </c>
      <c r="AF370" s="72" t="n">
        <v>112.88</v>
      </c>
      <c r="AG370" s="72" t="n">
        <v>-25.45</v>
      </c>
      <c r="AH370" s="72" t="n">
        <v>-27.27</v>
      </c>
      <c r="AI370" s="72" t="n">
        <v>-18.44</v>
      </c>
      <c r="AJ370" s="72" t="n">
        <v>103.84</v>
      </c>
      <c r="AK370" s="72" t="n">
        <v>102.26</v>
      </c>
      <c r="AL370" s="72" t="n">
        <v>122.87</v>
      </c>
      <c r="AM370" s="72" t="n">
        <v>-13.89</v>
      </c>
      <c r="AN370" s="72" t="n">
        <v>-12.43</v>
      </c>
      <c r="AO370" s="72" t="n">
        <v>-13.38</v>
      </c>
      <c r="AP370" s="62" t="inlineStr">
        <is>
          <t>China Biotech ETF (HS biotech proxy)</t>
        </is>
      </c>
      <c r="AQ370" s="72" t="n">
        <v>3.05</v>
      </c>
      <c r="AR370" s="63" t="inlineStr">
        <is>
          <t>2026-08-21</t>
        </is>
      </c>
      <c r="AS370" s="64" t="n">
        <v>668.5</v>
      </c>
      <c r="AT370" s="67" t="n"/>
      <c r="AU370" s="62" t="inlineStr">
        <is>
          <t>Y</t>
        </is>
      </c>
      <c r="AV370" s="77">
        <f>IF('BBG Verify'!O370="","not filed — run on terminal",'BBG Verify'!O370)</f>
        <v/>
      </c>
      <c r="AW370" s="73" t="n"/>
      <c r="AX370" s="73" t="n"/>
      <c r="AY370" s="73" t="n">
        <v>9.1</v>
      </c>
      <c r="AZ370" s="74" t="inlineStr">
        <is>
          <t>N</t>
        </is>
      </c>
      <c r="BA370" s="75">
        <f>IF('BBG Verify'!K370="","not filed — run on terminal",'BBG Verify'!K370)</f>
        <v/>
      </c>
      <c r="BB370" s="62" t="inlineStr">
        <is>
          <t>N/A</t>
        </is>
      </c>
      <c r="BC370" s="62" t="inlineStr">
        <is>
          <t>N/A</t>
        </is>
      </c>
      <c r="BD370" s="62" t="inlineStr">
        <is>
          <t>N/A</t>
        </is>
      </c>
      <c r="BE370" s="62" t="inlineStr">
        <is>
          <t>N/A</t>
        </is>
      </c>
      <c r="BF370" s="62" t="inlineStr">
        <is>
          <t>N/A</t>
        </is>
      </c>
      <c r="BG370" s="74" t="inlineStr">
        <is>
          <t>CITIC Securities (Hong Kong) Limited; CMB International Capital Limited</t>
        </is>
      </c>
      <c r="BH370" s="62" t="inlineStr">
        <is>
          <t>CITIC Securities (Hong Kong) Limited</t>
        </is>
      </c>
      <c r="BI370" s="62" t="inlineStr">
        <is>
          <t>CLSA Limited; CMB International Capital Limited; CCB International Capital Limited; Shenwan Hongyuan Securities (H.K.) Limited; SPDB International Capital Limited; SDICS International Securities (Hong Kong) Limited; ICBC International Securities Limited; Central China International Securities Co., Limited; BOCOM International Securities Limited; Guosen Securities (HK) Brokerage Company, Limited</t>
        </is>
      </c>
      <c r="BJ370" s="62" t="inlineStr">
        <is>
          <t>ABCI Securities Company Limited; BOCOM International Securities Limited; CCB International Capital Limited; Central China International Securities Co., Limited; CLSA Limited; CMB International Capital Limited; Guosen Securities (HK) Brokerage Company, Limited; ICBC International Securities Limited; SDICS International Securities (Hong Kong) Limited; Shenwan Hongyuan Securities (H.K.) Limited; SPDB International Capital Limited; Soochow Securities International Brokerage Limited</t>
        </is>
      </c>
      <c r="BK370" s="76">
        <f>HYPERLINK("https://www1.hkexnews.hk/listedco/listconews/sehk/2025/0926/2025092600041.pdf","prospectus")</f>
        <v/>
      </c>
      <c r="BL370" s="76">
        <f>HYPERLINK("https://www1.hkexnews.hk/listedco/listconews/sehk/2025/1006/2025100601430.pdf","allotment")</f>
        <v/>
      </c>
      <c r="BM370" s="62" t="n"/>
      <c r="BN370" s="74" t="n"/>
      <c r="BO370" s="62" t="inlineStr">
        <is>
          <t>P/E: withheld — mktcap / net income gives 1,558x, which fails the 300x plausibility check; the extracted net income (HK$3.9m) is not trustworthy · greenshoe: no over-allotment option in the offer structure · range low: cap-only pricing — the filing publishes a Maximum Offer Price and no indicative floor · A/H: no A-share listing · cornerstone %: cornerstone aggregate not stated in the filing · greenshoe size: no over-allotment option in the offer structure · financials: financial tables not machine-extractable and the pre-IPO year is outside AAStocks' 5-year window</t>
        </is>
      </c>
    </row>
    <row r="371" ht="15" customHeight="1">
      <c r="A371" s="61" t="inlineStr">
        <is>
          <t>2650</t>
        </is>
      </c>
      <c r="B371" s="62" t="inlineStr">
        <is>
          <t>ZHIDA TECH</t>
        </is>
      </c>
      <c r="C371" s="62" t="inlineStr">
        <is>
          <t>摯達科技</t>
        </is>
      </c>
      <c r="D371" s="62" t="inlineStr">
        <is>
          <t>Consumer</t>
        </is>
      </c>
      <c r="E371" s="62" t="inlineStr">
        <is>
          <t>Auto parts / supply chain</t>
        </is>
      </c>
      <c r="F371" s="62" t="inlineStr">
        <is>
          <t>Auto Parts &amp; Equipment</t>
        </is>
      </c>
      <c r="G371" s="62" t="inlineStr">
        <is>
          <t>Standard</t>
        </is>
      </c>
      <c r="H371" s="63" t="n">
        <v>45940</v>
      </c>
      <c r="I371" s="64" t="n">
        <v>400.12</v>
      </c>
      <c r="J371" s="62" t="inlineStr">
        <is>
          <t>gross (stated)</t>
        </is>
      </c>
      <c r="K371" s="65" t="n"/>
      <c r="L371" s="65" t="n">
        <v>83.63</v>
      </c>
      <c r="M371" s="65" t="n">
        <v>66.92</v>
      </c>
      <c r="N371" s="62" t="inlineStr">
        <is>
          <t>N</t>
        </is>
      </c>
      <c r="O371" s="66" t="n">
        <v>80</v>
      </c>
      <c r="P371" s="66" t="n"/>
      <c r="Q371" s="67" t="n">
        <v>4001.1</v>
      </c>
      <c r="R371" s="62" t="inlineStr">
        <is>
          <t>derived:price x shares upon listing</t>
        </is>
      </c>
      <c r="S371" s="68" t="n">
        <v>5440.8</v>
      </c>
      <c r="T371" s="69" t="n">
        <v>2.37</v>
      </c>
      <c r="U371" s="70" t="n">
        <v>0</v>
      </c>
      <c r="V371" s="66" t="n">
        <v>10</v>
      </c>
      <c r="W371" s="62" t="n"/>
      <c r="X371" s="62" t="n"/>
      <c r="Y371" s="66" t="n">
        <v>11.33</v>
      </c>
      <c r="Z371" s="62" t="inlineStr">
        <is>
          <t>lapsed</t>
        </is>
      </c>
      <c r="AA371" s="71" t="n">
        <v>192.14</v>
      </c>
      <c r="AB371" s="72" t="n">
        <v>183.92</v>
      </c>
      <c r="AC371" s="72" t="n">
        <v>2.9</v>
      </c>
      <c r="AD371" s="72" t="n">
        <v>171.22</v>
      </c>
      <c r="AE371" s="72" t="n">
        <v>167.04</v>
      </c>
      <c r="AF371" s="72" t="n">
        <v>258.64</v>
      </c>
      <c r="AG371" s="72" t="n">
        <v>-7.16</v>
      </c>
      <c r="AH371" s="72" t="n">
        <v>-8.59</v>
      </c>
      <c r="AI371" s="72" t="n">
        <v>22.76</v>
      </c>
      <c r="AJ371" s="72" t="n">
        <v>179.37</v>
      </c>
      <c r="AK371" s="72" t="n">
        <v>172.3</v>
      </c>
      <c r="AL371" s="72" t="n">
        <v>265.13</v>
      </c>
      <c r="AM371" s="72" t="n">
        <v>-5.91</v>
      </c>
      <c r="AN371" s="72" t="n">
        <v>-5.26</v>
      </c>
      <c r="AO371" s="72" t="n">
        <v>-2.68</v>
      </c>
      <c r="AP371" s="62" t="inlineStr">
        <is>
          <t>Hang Seng Commerce &amp; Industry sub-index</t>
        </is>
      </c>
      <c r="AQ371" s="72" t="n">
        <v>-22.82</v>
      </c>
      <c r="AR371" s="63" t="inlineStr">
        <is>
          <t>2026-08-24</t>
        </is>
      </c>
      <c r="AS371" s="64" t="n">
        <v>652.7</v>
      </c>
      <c r="AT371" s="67" t="n">
        <v>-259.5</v>
      </c>
      <c r="AU371" s="62" t="inlineStr">
        <is>
          <t>N</t>
        </is>
      </c>
      <c r="AV371" s="62" t="inlineStr">
        <is>
          <t>n/m</t>
        </is>
      </c>
      <c r="AW371" s="73" t="n"/>
      <c r="AX371" s="73" t="n"/>
      <c r="AY371" s="73" t="n">
        <v>6.1</v>
      </c>
      <c r="AZ371" s="74" t="inlineStr">
        <is>
          <t>N</t>
        </is>
      </c>
      <c r="BA371" s="75">
        <f>IF('BBG Verify'!K371="","not filed — run on terminal",'BBG Verify'!K371)</f>
        <v/>
      </c>
      <c r="BB371" s="62" t="inlineStr">
        <is>
          <t>N/A</t>
        </is>
      </c>
      <c r="BC371" s="62" t="inlineStr">
        <is>
          <t>N/A</t>
        </is>
      </c>
      <c r="BD371" s="62" t="inlineStr">
        <is>
          <t>N/A</t>
        </is>
      </c>
      <c r="BE371" s="62" t="inlineStr">
        <is>
          <t>N/A</t>
        </is>
      </c>
      <c r="BF371" s="62" t="inlineStr">
        <is>
          <t>N/A</t>
        </is>
      </c>
      <c r="BG371" s="74" t="inlineStr">
        <is>
          <t>Shenwan Hongyuan Capital (H.K.) Limited</t>
        </is>
      </c>
      <c r="BH371" s="62" t="inlineStr">
        <is>
          <t>Shenwan Hongyuan Capital (H.K.) Limited</t>
        </is>
      </c>
      <c r="BI371" s="62" t="inlineStr">
        <is>
          <t>Shenwan Hongyuan Securities (H.K.) Limited; BOCOM International Securities Limited; First Shanghai Securities Limited; China Industrial Securities International Capital Limited; Livermore Holdings Limited; SPDB International Capital Limited</t>
        </is>
      </c>
      <c r="BJ371" s="62" t="inlineStr">
        <is>
          <t>BOCOM International Securities Limited; China Industrial Securities International Capital Limited; First Shanghai Securities Limited; Livermore Holdings Limited; Shenwan Hongyuan Securities (H.K.) Limited; SPDB International Capital Limited; West Bull Securities Limited; Yuen Meta (International) Securities Limited; Yellow River Securities Limited</t>
        </is>
      </c>
      <c r="BK371" s="76">
        <f>HYPERLINK("https://www1.hkexnews.hk/listedco/listconews/sehk/2025/0930/2025093000033.pdf","prospectus")</f>
        <v/>
      </c>
      <c r="BL371" s="76">
        <f>HYPERLINK("https://www1.hkexnews.hk/listedco/listconews/sehk/2025/1009/2025100901252.pdf","allotment")</f>
        <v/>
      </c>
      <c r="BM371" s="76">
        <f>HYPERLINK("https://www1.hkexnews.hk/listedco/listconews/sehk/2025/1105/2025110500584.pdf","stabilisation")</f>
        <v/>
      </c>
      <c r="BN371" s="74" t="n"/>
      <c r="BO371" s="62" t="inlineStr">
        <is>
          <t>P/E: n/m — loss-making at IPO (use P/S) · range low: cap-only pricing — the filing publishes a Maximum Offer Price and no indicative floor · A/H: no A-share listing · cornerstone list: no cornerstone tranche in this deal</t>
        </is>
      </c>
    </row>
    <row r="372" ht="15" customHeight="1">
      <c r="A372" s="61" t="inlineStr">
        <is>
          <t>2575</t>
        </is>
      </c>
      <c r="B372" s="62" t="inlineStr">
        <is>
          <t>XUANZHUBIO-B</t>
        </is>
      </c>
      <c r="C372" s="62" t="inlineStr">
        <is>
          <t>軒竹生物－Ｂ</t>
        </is>
      </c>
      <c r="D372" s="62" t="inlineStr">
        <is>
          <t>Healthcare</t>
        </is>
      </c>
      <c r="E372" s="62" t="inlineStr">
        <is>
          <t>Biotech pre-revenue (18A)</t>
        </is>
      </c>
      <c r="F372" s="62" t="inlineStr">
        <is>
          <t>Biotechnology - Pharmaceuticals</t>
        </is>
      </c>
      <c r="G372" s="62" t="inlineStr">
        <is>
          <t>18A</t>
        </is>
      </c>
      <c r="H372" s="63" t="n">
        <v>45945</v>
      </c>
      <c r="I372" s="64" t="n">
        <v>781.1</v>
      </c>
      <c r="J372" s="62" t="inlineStr">
        <is>
          <t>gross (stated)</t>
        </is>
      </c>
      <c r="K372" s="65" t="n"/>
      <c r="L372" s="65" t="n">
        <v>11.6</v>
      </c>
      <c r="M372" s="65" t="n">
        <v>11.6</v>
      </c>
      <c r="N372" s="62" t="inlineStr">
        <is>
          <t>Y</t>
        </is>
      </c>
      <c r="O372" s="66" t="n">
        <v>100</v>
      </c>
      <c r="P372" s="66" t="n"/>
      <c r="Q372" s="67" t="n">
        <v>6008.2</v>
      </c>
      <c r="R372" s="62" t="inlineStr">
        <is>
          <t>derived:price x shares upon listing</t>
        </is>
      </c>
      <c r="S372" s="68" t="n">
        <v>4908.33</v>
      </c>
      <c r="T372" s="69" t="n">
        <v>10.15</v>
      </c>
      <c r="U372" s="70" t="n">
        <v>78</v>
      </c>
      <c r="V372" s="66" t="n">
        <v>2.86</v>
      </c>
      <c r="W372" s="62" t="inlineStr">
        <is>
          <t>Xu Yanjun; Li Jia Kui</t>
        </is>
      </c>
      <c r="X372" s="62" t="inlineStr">
        <is>
          <t>xu-yanjun;li-jia</t>
        </is>
      </c>
      <c r="Y372" s="66" t="n">
        <v>15</v>
      </c>
      <c r="Z372" s="62" t="n"/>
      <c r="AA372" s="71" t="n">
        <v>126.72</v>
      </c>
      <c r="AB372" s="72" t="n">
        <v>153.97</v>
      </c>
      <c r="AC372" s="72" t="n">
        <v>-10.73</v>
      </c>
      <c r="AD372" s="72" t="n">
        <v>417.24</v>
      </c>
      <c r="AE372" s="72" t="n">
        <v>451.29</v>
      </c>
      <c r="AF372" s="72" t="n">
        <v>509.05</v>
      </c>
      <c r="AG372" s="72" t="n">
        <v>128.14</v>
      </c>
      <c r="AH372" s="72" t="n">
        <v>143.16</v>
      </c>
      <c r="AI372" s="72" t="n">
        <v>168.64</v>
      </c>
      <c r="AJ372" s="72" t="n">
        <v>416.05</v>
      </c>
      <c r="AK372" s="72" t="n">
        <v>448.13</v>
      </c>
      <c r="AL372" s="72" t="n">
        <v>508.14</v>
      </c>
      <c r="AM372" s="72" t="n">
        <v>141.98</v>
      </c>
      <c r="AN372" s="72" t="n">
        <v>3.16</v>
      </c>
      <c r="AO372" s="72" t="n">
        <v>1.18</v>
      </c>
      <c r="AP372" s="62" t="inlineStr">
        <is>
          <t>China Biotech ETF (HS biotech proxy)</t>
        </is>
      </c>
      <c r="AQ372" s="72" t="n">
        <v>-4.31</v>
      </c>
      <c r="AR372" s="63" t="inlineStr">
        <is>
          <t>2026-08-20</t>
        </is>
      </c>
      <c r="AS372" s="64" t="n">
        <v>17.6</v>
      </c>
      <c r="AT372" s="67" t="n">
        <v>-612.1</v>
      </c>
      <c r="AU372" s="62" t="inlineStr">
        <is>
          <t>N</t>
        </is>
      </c>
      <c r="AV372" s="62" t="inlineStr">
        <is>
          <t>n/m</t>
        </is>
      </c>
      <c r="AW372" s="73" t="n"/>
      <c r="AX372" s="73" t="n"/>
      <c r="AY372" s="73" t="n">
        <v>341.4</v>
      </c>
      <c r="AZ372" s="74" t="inlineStr">
        <is>
          <t>N</t>
        </is>
      </c>
      <c r="BA372" s="75">
        <f>IF('BBG Verify'!K372="","not filed — run on terminal",'BBG Verify'!K372)</f>
        <v/>
      </c>
      <c r="BB372" s="62" t="inlineStr">
        <is>
          <t>N/A</t>
        </is>
      </c>
      <c r="BC372" s="62" t="inlineStr">
        <is>
          <t>N/A</t>
        </is>
      </c>
      <c r="BD372" s="62" t="inlineStr">
        <is>
          <t>N/A</t>
        </is>
      </c>
      <c r="BE372" s="62" t="inlineStr">
        <is>
          <t>N/A</t>
        </is>
      </c>
      <c r="BF372" s="62" t="inlineStr">
        <is>
          <t>N/A</t>
        </is>
      </c>
      <c r="BG372" s="74" t="inlineStr">
        <is>
          <t>First Shanghai Capital Limited; CMB Wing Lung Bank Limited; China CITIC Bank International Limited; Ms. Wang Y u ( ˮρ) H Share Registrar Computershare Hong Kong Investor Services Limited</t>
        </is>
      </c>
      <c r="BH372" s="62" t="inlineStr">
        <is>
          <t>China International Capital Corporation Hong Kong Securities Limited</t>
        </is>
      </c>
      <c r="BI372" s="62" t="inlineStr">
        <is>
          <t>China International Capital Corporation Hong Kong Securities Limited; CMB International Capital Limited</t>
        </is>
      </c>
      <c r="BJ372" s="62" t="inlineStr">
        <is>
          <t>China International Capital Corporation Hong Kong Securities Limited; CMB International Capital Limited</t>
        </is>
      </c>
      <c r="BK372" s="76">
        <f>HYPERLINK("https://www1.hkexnews.hk/listedco/listconews/sehk/2025/1006/2025100600007.pdf","prospectus")</f>
        <v/>
      </c>
      <c r="BL372" s="76">
        <f>HYPERLINK("https://www1.hkexnews.hk/listedco/listconews/sehk/2025/1014/2025101401222.pdf","allotment")</f>
        <v/>
      </c>
      <c r="BM372" s="62" t="n"/>
      <c r="BN372" s="74" t="n"/>
      <c r="BO372" s="62" t="inlineStr">
        <is>
          <t>P/E: n/m — loss-making at IPO (use P/S) · greenshoe: end-of-stabilisation notice not located · range low: cap-only pricing — the filing publishes a Maximum Offer Price and no indicative floor · A/H: no A-share listing · P/S: 341x on HK$17.6m revenue — effectively pre-revenue; the multiple is shown for completeness, not comparability</t>
        </is>
      </c>
    </row>
    <row r="373" ht="15" customHeight="1">
      <c r="A373" s="61" t="inlineStr">
        <is>
          <t>2670</t>
        </is>
      </c>
      <c r="B373" s="62" t="inlineStr">
        <is>
          <t>YUNJI</t>
        </is>
      </c>
      <c r="C373" s="62" t="inlineStr">
        <is>
          <t>雲迹</t>
        </is>
      </c>
      <c r="D373" s="62" t="inlineStr">
        <is>
          <t>Tech/AI</t>
        </is>
      </c>
      <c r="E373" s="62" t="inlineStr">
        <is>
          <t>Robotics &amp; autonomous driving</t>
        </is>
      </c>
      <c r="F373" s="62" t="inlineStr">
        <is>
          <t>Advanced hardware and software</t>
        </is>
      </c>
      <c r="G373" s="62" t="inlineStr">
        <is>
          <t>Standard</t>
        </is>
      </c>
      <c r="H373" s="63" t="n">
        <v>45946</v>
      </c>
      <c r="I373" s="64" t="n">
        <v>659.6</v>
      </c>
      <c r="J373" s="62" t="inlineStr">
        <is>
          <t>gross (stated)</t>
        </is>
      </c>
      <c r="K373" s="65" t="n"/>
      <c r="L373" s="65" t="n">
        <v>95.59999999999999</v>
      </c>
      <c r="M373" s="65" t="n">
        <v>95.59999999999999</v>
      </c>
      <c r="N373" s="62" t="inlineStr">
        <is>
          <t>Y</t>
        </is>
      </c>
      <c r="O373" s="66" t="n">
        <v>100</v>
      </c>
      <c r="P373" s="66" t="n"/>
      <c r="Q373" s="67" t="n">
        <v>6569</v>
      </c>
      <c r="R373" s="62" t="inlineStr">
        <is>
          <t>prospectus:stated market capitalisation</t>
        </is>
      </c>
      <c r="S373" s="68" t="n">
        <v>5657.2</v>
      </c>
      <c r="T373" s="69" t="n">
        <v>18.62</v>
      </c>
      <c r="U373" s="70" t="n"/>
      <c r="V373" s="66" t="n">
        <v>10.04</v>
      </c>
      <c r="W373" s="62" t="n"/>
      <c r="X373" s="62" t="n"/>
      <c r="Y373" s="66" t="n">
        <v>15</v>
      </c>
      <c r="Z373" s="62" t="inlineStr">
        <is>
          <t>full</t>
        </is>
      </c>
      <c r="AA373" s="71" t="n">
        <v>26.05</v>
      </c>
      <c r="AB373" s="72" t="n">
        <v>49.37</v>
      </c>
      <c r="AC373" s="72" t="n">
        <v>-15.61</v>
      </c>
      <c r="AD373" s="72" t="n">
        <v>29.18</v>
      </c>
      <c r="AE373" s="72" t="n">
        <v>18.2</v>
      </c>
      <c r="AF373" s="72" t="n">
        <v>23.74</v>
      </c>
      <c r="AG373" s="72" t="n">
        <v>2.48</v>
      </c>
      <c r="AH373" s="72" t="n">
        <v>-6.23</v>
      </c>
      <c r="AI373" s="72" t="n">
        <v>-1.83</v>
      </c>
      <c r="AJ373" s="72" t="n">
        <v>31.36</v>
      </c>
      <c r="AK373" s="72" t="n">
        <v>23.4</v>
      </c>
      <c r="AL373" s="72" t="n">
        <v>29.28</v>
      </c>
      <c r="AM373" s="72" t="n">
        <v>-2.15</v>
      </c>
      <c r="AN373" s="72" t="n">
        <v>-5.2</v>
      </c>
      <c r="AO373" s="72" t="n">
        <v>-4.08</v>
      </c>
      <c r="AP373" s="62" t="inlineStr">
        <is>
          <t>HSTECH (Hang Seng TECH ETF)</t>
        </is>
      </c>
      <c r="AQ373" s="72" t="n">
        <v>49.37</v>
      </c>
      <c r="AR373" s="63" t="inlineStr">
        <is>
          <t>2026-08-20</t>
        </is>
      </c>
      <c r="AS373" s="64" t="n">
        <v>269.3</v>
      </c>
      <c r="AT373" s="67" t="n">
        <v>-64</v>
      </c>
      <c r="AU373" s="62" t="inlineStr">
        <is>
          <t>N</t>
        </is>
      </c>
      <c r="AV373" s="62" t="inlineStr">
        <is>
          <t>n/m</t>
        </is>
      </c>
      <c r="AW373" s="73" t="n"/>
      <c r="AX373" s="73" t="n"/>
      <c r="AY373" s="73" t="n">
        <v>24.4</v>
      </c>
      <c r="AZ373" s="74" t="inlineStr">
        <is>
          <t>N</t>
        </is>
      </c>
      <c r="BA373" s="75">
        <f>IF('BBG Verify'!K373="","not filed — run on terminal",'BBG Verify'!K373)</f>
        <v/>
      </c>
      <c r="BB373" s="62" t="inlineStr">
        <is>
          <t>N/A</t>
        </is>
      </c>
      <c r="BC373" s="62" t="inlineStr">
        <is>
          <t>N/A</t>
        </is>
      </c>
      <c r="BD373" s="62" t="inlineStr">
        <is>
          <t>N/A</t>
        </is>
      </c>
      <c r="BE373" s="62" t="inlineStr">
        <is>
          <t>N/A</t>
        </is>
      </c>
      <c r="BF373" s="62" t="inlineStr">
        <is>
          <t>N/A</t>
        </is>
      </c>
      <c r="BG373" s="74" t="inlineStr">
        <is>
          <t>CITIC Securities (Hong Kong) Limited; CCB International Capital Limited</t>
        </is>
      </c>
      <c r="BH373" s="62" t="inlineStr">
        <is>
          <t>CCB International Capital Limited; CITIC Securities (Hong Kong) Limited</t>
        </is>
      </c>
      <c r="BI373" s="62" t="inlineStr">
        <is>
          <t>CLSA Limited; CCB International Capital Limited; SDICS International Securities (Hong Kong) Limited; Futu Securities International (Hong Kong) Limited; Fuze Securities (International) Limited; SPDB International Capital Limited; Tiger Brokers (HK) Global Limited</t>
        </is>
      </c>
      <c r="BJ373" s="62" t="inlineStr">
        <is>
          <t>CCB International Capital Limited; China Harbour International Securities Limited; CLSA Limited; Futu Securities International (Hong Kong) Limited; FUZE SECURITIES (INTERNATIONAL) LIMITED; SDICS International Securities (Hong Kong) Limited; SPDB International Capital Limited; Tiger Brokers (HK) Global Limited</t>
        </is>
      </c>
      <c r="BK373" s="76">
        <f>HYPERLINK("https://www1.hkexnews.hk/listedco/listconews/sehk/2025/1008/2025100800003.pdf","prospectus")</f>
        <v/>
      </c>
      <c r="BL373" s="76">
        <f>HYPERLINK("https://www1.hkexnews.hk/listedco/listconews/sehk/2025/1015/2025101501398.pdf","allotment")</f>
        <v/>
      </c>
      <c r="BM373" s="76">
        <f>HYPERLINK("https://www1.hkexnews.hk/listedco/listconews/sehk/2025/1112/2025111201502.pdf","stabilisation")</f>
        <v/>
      </c>
      <c r="BN373" s="74" t="n"/>
      <c r="BO373" s="62" t="inlineStr">
        <is>
          <t>P/E: n/m — loss-making at IPO (use P/S) · range low: cap-only pricing — the filing publishes a Maximum Offer Price and no indicative floor · A/H: no A-share listing · cornerstone list: cornerstone section not machine-extractable — see the prospectus link · cornerstone %: cornerstone aggregate not stated in the filing</t>
        </is>
      </c>
    </row>
    <row r="374" ht="15" customHeight="1">
      <c r="A374" s="61" t="inlineStr">
        <is>
          <t>2637</t>
        </is>
      </c>
      <c r="B374" s="62" t="inlineStr">
        <is>
          <t>HAIXI PHARMA</t>
        </is>
      </c>
      <c r="C374" s="62" t="inlineStr">
        <is>
          <t>海西新藥</t>
        </is>
      </c>
      <c r="D374" s="62" t="inlineStr">
        <is>
          <t>Healthcare</t>
        </is>
      </c>
      <c r="E374" s="62" t="inlineStr">
        <is>
          <t>Biopharma commercial</t>
        </is>
      </c>
      <c r="F374" s="62" t="inlineStr">
        <is>
          <t>Pharmaceuticals</t>
        </is>
      </c>
      <c r="G374" s="62" t="inlineStr">
        <is>
          <t>Standard</t>
        </is>
      </c>
      <c r="H374" s="63" t="n">
        <v>45950</v>
      </c>
      <c r="I374" s="64" t="n">
        <v>993.6</v>
      </c>
      <c r="J374" s="62" t="inlineStr">
        <is>
          <t>gross (stated)</t>
        </is>
      </c>
      <c r="K374" s="65" t="n"/>
      <c r="L374" s="65" t="n">
        <v>86.40000000000001</v>
      </c>
      <c r="M374" s="65" t="n">
        <v>86.40000000000001</v>
      </c>
      <c r="N374" s="62" t="inlineStr">
        <is>
          <t>Y</t>
        </is>
      </c>
      <c r="O374" s="66" t="n">
        <v>100</v>
      </c>
      <c r="P374" s="66" t="n"/>
      <c r="Q374" s="67" t="n">
        <v>6800.3</v>
      </c>
      <c r="R374" s="62" t="inlineStr">
        <is>
          <t>derived:price x shares upon listing</t>
        </is>
      </c>
      <c r="S374" s="68" t="n">
        <v>3165.1</v>
      </c>
      <c r="T374" s="69" t="n">
        <v>6.3</v>
      </c>
      <c r="U374" s="70" t="n">
        <v>21.79</v>
      </c>
      <c r="V374" s="66" t="n">
        <v>11.43</v>
      </c>
      <c r="W374" s="62" t="inlineStr">
        <is>
          <t>Huatai Capital Investment Limited; Guosen (HK) Financial Products Company Limited</t>
        </is>
      </c>
      <c r="X374" s="62" t="inlineStr">
        <is>
          <t>huatai;guosen</t>
        </is>
      </c>
      <c r="Y374" s="66" t="n"/>
      <c r="Z374" s="62" t="n"/>
      <c r="AA374" s="71" t="n">
        <v>20.6</v>
      </c>
      <c r="AB374" s="72" t="n">
        <v>18.06</v>
      </c>
      <c r="AC374" s="72" t="n">
        <v>2.15</v>
      </c>
      <c r="AD374" s="72" t="n">
        <v>30.67</v>
      </c>
      <c r="AE374" s="72" t="n">
        <v>47.57</v>
      </c>
      <c r="AF374" s="72" t="n">
        <v>62.85</v>
      </c>
      <c r="AG374" s="72" t="n">
        <v>8.35</v>
      </c>
      <c r="AH374" s="72" t="n">
        <v>22.36</v>
      </c>
      <c r="AI374" s="72" t="n">
        <v>35.03</v>
      </c>
      <c r="AJ374" s="72" t="n">
        <v>29.21</v>
      </c>
      <c r="AK374" s="72" t="n">
        <v>49.17</v>
      </c>
      <c r="AL374" s="72" t="n">
        <v>66.48</v>
      </c>
      <c r="AM374" s="72" t="n">
        <v>24.54</v>
      </c>
      <c r="AN374" s="72" t="n">
        <v>-1.6</v>
      </c>
      <c r="AO374" s="72" t="n">
        <v>-2.18</v>
      </c>
      <c r="AP374" s="62" t="inlineStr">
        <is>
          <t>China Biotech ETF (HS biotech proxy)</t>
        </is>
      </c>
      <c r="AQ374" s="72" t="n">
        <v>124.42</v>
      </c>
      <c r="AR374" s="63" t="inlineStr">
        <is>
          <t>2026-08-24</t>
        </is>
      </c>
      <c r="AS374" s="64" t="n">
        <v>513.4</v>
      </c>
      <c r="AT374" s="67" t="n">
        <v>149.7</v>
      </c>
      <c r="AU374" s="62" t="inlineStr">
        <is>
          <t>Y</t>
        </is>
      </c>
      <c r="AV374" s="73" t="n">
        <v>45.4</v>
      </c>
      <c r="AW374" s="73" t="n"/>
      <c r="AX374" s="73" t="n"/>
      <c r="AY374" s="73" t="n">
        <v>13.2</v>
      </c>
      <c r="AZ374" s="74" t="inlineStr">
        <is>
          <t>N</t>
        </is>
      </c>
      <c r="BA374" s="75">
        <f>IF('BBG Verify'!K374="","not filed — run on terminal",'BBG Verify'!K374)</f>
        <v/>
      </c>
      <c r="BB374" s="62" t="inlineStr">
        <is>
          <t>N/A</t>
        </is>
      </c>
      <c r="BC374" s="62" t="inlineStr">
        <is>
          <t>N/A</t>
        </is>
      </c>
      <c r="BD374" s="62" t="inlineStr">
        <is>
          <t>N/A</t>
        </is>
      </c>
      <c r="BE374" s="62" t="inlineStr">
        <is>
          <t>N/A</t>
        </is>
      </c>
      <c r="BF374" s="62" t="inlineStr">
        <is>
          <t>N/A</t>
        </is>
      </c>
      <c r="BG374" s="74" t="inlineStr">
        <is>
          <t>Huatai Financial Holdings (Hong Kong) Limited; CMB International Capital Limited</t>
        </is>
      </c>
      <c r="BH374" s="62" t="inlineStr">
        <is>
          <t>Huatai Financial Holdings (Hong Kong) Limited; CMB International Capital Limited</t>
        </is>
      </c>
      <c r="BI374" s="62" t="inlineStr">
        <is>
          <t>Huatai Financial Holdings (Hong Kong) Limited; SDICS International Securities (Hong Kong) Limited; CMB International Capital Limited; Guosen Securities (HK) Brokerage Company, Limited; Futu Securities International (Hong Kong) Limited; China Industrial Securities International Capital Limited; Central, Hong Kong Zhongtai International Securities Limited</t>
        </is>
      </c>
      <c r="BJ374" s="62" t="inlineStr">
        <is>
          <t>China Industrial Securities International Capital Limited; CMBC Securities Company Limited; CMB International Capital Corporation Limited; Futu Securities International (Hong Kong) Limited; Guosen Securities (HK) Brokerage Company, Limited; Huatai Financial Holdings (Hong Kong) Limited; SDICS International Securities (Hong Kong) Limited; Zhongtai International Securities Limited</t>
        </is>
      </c>
      <c r="BK374" s="76">
        <f>HYPERLINK("https://www1.hkexnews.hk/listedco/listconews/sehk/2025/1009/2025100900041.pdf","prospectus")</f>
        <v/>
      </c>
      <c r="BL374" s="76">
        <f>HYPERLINK("https://www1.hkexnews.hk/listedco/listconews/sehk/2025/1017/2025101701654.pdf","allotment")</f>
        <v/>
      </c>
      <c r="BM374" s="62" t="n"/>
      <c r="BN374" s="74" t="n"/>
      <c r="BO374" s="62" t="inlineStr">
        <is>
          <t>greenshoe: no over-allotment option in the offer structure · range low: cap-only pricing — the filing publishes a Maximum Offer Price and no indicative floor · A/H: no A-share listing · greenshoe size: no over-allotment option in the offer structure</t>
        </is>
      </c>
    </row>
    <row r="375" ht="15" customHeight="1">
      <c r="A375" s="61" t="inlineStr">
        <is>
          <t>6687</t>
        </is>
      </c>
      <c r="B375" s="62" t="inlineStr">
        <is>
          <t>JST GROUP</t>
        </is>
      </c>
      <c r="C375" s="62" t="inlineStr">
        <is>
          <t>聚水潭</t>
        </is>
      </c>
      <c r="D375" s="62" t="inlineStr">
        <is>
          <t>Tech/AI</t>
        </is>
      </c>
      <c r="E375" s="62" t="inlineStr">
        <is>
          <t>SaaS / enterprise software</t>
        </is>
      </c>
      <c r="F375" s="62" t="inlineStr">
        <is>
          <t>Application Software</t>
        </is>
      </c>
      <c r="G375" s="62" t="inlineStr">
        <is>
          <t>Standard</t>
        </is>
      </c>
      <c r="H375" s="63" t="n">
        <v>45951</v>
      </c>
      <c r="I375" s="64" t="n">
        <v>2085.89</v>
      </c>
      <c r="J375" s="62" t="inlineStr">
        <is>
          <t>gross (stated)</t>
        </is>
      </c>
      <c r="K375" s="65" t="n"/>
      <c r="L375" s="65" t="n">
        <v>30.6</v>
      </c>
      <c r="M375" s="65" t="n">
        <v>30.6</v>
      </c>
      <c r="N375" s="62" t="inlineStr">
        <is>
          <t>Y</t>
        </is>
      </c>
      <c r="O375" s="66" t="n">
        <v>100</v>
      </c>
      <c r="P375" s="66" t="n"/>
      <c r="Q375" s="67" t="n">
        <v>13000</v>
      </c>
      <c r="R375" s="62" t="inlineStr">
        <is>
          <t>prospectus:stated market capitalisation</t>
        </is>
      </c>
      <c r="S375" s="68" t="n">
        <v>1952.95</v>
      </c>
      <c r="T375" s="69" t="n">
        <v>22.89</v>
      </c>
      <c r="U375" s="70" t="n">
        <v>48.5</v>
      </c>
      <c r="V375" s="66" t="n">
        <v>8.26</v>
      </c>
      <c r="W375" s="62" t="inlineStr">
        <is>
          <t>Stoneylake Global Alpha Fund; Blue Lake Capital Opportunity Fund; Zhou Keting; CUAM Entities; Fourier Capital; GTCS Holdings; Jain Global Master Fund Ltd; Perseverance Asset Management; WT Asset Management Limited</t>
        </is>
      </c>
      <c r="X375" s="62" t="inlineStr">
        <is>
          <t>stoneylake;blue;zhou-keting;cuam;fourier;gtcs;jain;perseverance;wt</t>
        </is>
      </c>
      <c r="Y375" s="66" t="n">
        <v>15</v>
      </c>
      <c r="Z375" s="62" t="inlineStr">
        <is>
          <t>full</t>
        </is>
      </c>
      <c r="AA375" s="71" t="n">
        <v>23.86</v>
      </c>
      <c r="AB375" s="72" t="n">
        <v>24.18</v>
      </c>
      <c r="AC375" s="72" t="n">
        <v>-0.26</v>
      </c>
      <c r="AD375" s="72" t="n">
        <v>8.5</v>
      </c>
      <c r="AE375" s="72" t="n">
        <v>-15.1</v>
      </c>
      <c r="AF375" s="72" t="n">
        <v>-6.27</v>
      </c>
      <c r="AG375" s="72" t="n">
        <v>-12.4</v>
      </c>
      <c r="AH375" s="72" t="n">
        <v>-31.45</v>
      </c>
      <c r="AI375" s="72" t="n">
        <v>-24.33</v>
      </c>
      <c r="AJ375" s="72" t="n">
        <v>6.01</v>
      </c>
      <c r="AK375" s="72" t="n">
        <v>-9.17</v>
      </c>
      <c r="AL375" s="72" t="n">
        <v>-3.26</v>
      </c>
      <c r="AM375" s="72" t="n">
        <v>-24.32</v>
      </c>
      <c r="AN375" s="72" t="n">
        <v>-5.93</v>
      </c>
      <c r="AO375" s="72" t="n">
        <v>-7.13</v>
      </c>
      <c r="AP375" s="62" t="inlineStr">
        <is>
          <t>HSTECH (Hang Seng TECH ETF)</t>
        </is>
      </c>
      <c r="AQ375" s="72" t="n">
        <v>-56.05</v>
      </c>
      <c r="AR375" s="63" t="inlineStr">
        <is>
          <t>2026-08-20</t>
        </is>
      </c>
      <c r="AS375" s="64" t="n">
        <v>1000.7</v>
      </c>
      <c r="AT375" s="67" t="n"/>
      <c r="AU375" s="62" t="inlineStr">
        <is>
          <t>Y</t>
        </is>
      </c>
      <c r="AV375" s="77">
        <f>IF('BBG Verify'!O375="","not filed — run on terminal",'BBG Verify'!O375)</f>
        <v/>
      </c>
      <c r="AW375" s="73" t="n"/>
      <c r="AX375" s="73" t="n"/>
      <c r="AY375" s="73" t="n">
        <v>13</v>
      </c>
      <c r="AZ375" s="74" t="inlineStr">
        <is>
          <t>N</t>
        </is>
      </c>
      <c r="BA375" s="75">
        <f>IF('BBG Verify'!K375="","not filed — run on terminal",'BBG Verify'!K375)</f>
        <v/>
      </c>
      <c r="BB375" s="62" t="inlineStr">
        <is>
          <t>N/A</t>
        </is>
      </c>
      <c r="BC375" s="62" t="inlineStr">
        <is>
          <t>N/A</t>
        </is>
      </c>
      <c r="BD375" s="62" t="inlineStr">
        <is>
          <t>N/A</t>
        </is>
      </c>
      <c r="BE375" s="62" t="inlineStr">
        <is>
          <t>N/A</t>
        </is>
      </c>
      <c r="BF375" s="62" t="inlineStr">
        <is>
          <t>N/A</t>
        </is>
      </c>
      <c r="BG375" s="74" t="inlineStr">
        <is>
          <t>China International Capital Corporation Hong Kong Securities Limited; J.P. Morgan Securities (Far East) Limited</t>
        </is>
      </c>
      <c r="BH375" s="62" t="inlineStr">
        <is>
          <t>China International Capital Corporation Hong Kong Securities Limited; J.P. Morgan Securities (Far East) Limited</t>
        </is>
      </c>
      <c r="BI375" s="62" t="inlineStr">
        <is>
          <t>China International Capital Corporation Hong Kong Securities Limited; J.P. Morgan Securities (Asia Pacific) Limited</t>
        </is>
      </c>
      <c r="BJ375" s="62" t="inlineStr">
        <is>
          <t>China International Capital Corporation Hong Kong Securities Limited; Futu Securities International (Hong Kong) Limited; J.P. Morgan Securities (Asia Pacific) Limited</t>
        </is>
      </c>
      <c r="BK375" s="76">
        <f>HYPERLINK("https://www1.hkexnews.hk/listedco/listconews/sehk/2025/1013/2025101300005.pdf","prospectus")</f>
        <v/>
      </c>
      <c r="BL375" s="76">
        <f>HYPERLINK("https://www1.hkexnews.hk/listedco/listconews/sehk/2025/1020/2025102001624.pdf","allotment")</f>
        <v/>
      </c>
      <c r="BM375" s="76">
        <f>HYPERLINK("https://www1.hkexnews.hk/listedco/listconews/sehk/2025/1116/2025111600017.pdf","stabilisation")</f>
        <v/>
      </c>
      <c r="BN375" s="74" t="n"/>
      <c r="BO375" s="62" t="inlineStr">
        <is>
          <t>P/E: withheld — mktcap / net income gives 1,121x, which fails the 300x plausibility check; the extracted net income (HK$11.6m) is not trustworthy · range low: cap-only pricing — the filing publishes a Maximum Offer Price and no indicative floor · A/H: no A-share listing · financials: financial tables not machine-extractable and the pre-IPO year is outside AAStocks' 5-year window</t>
        </is>
      </c>
    </row>
    <row r="376" ht="15" customHeight="1">
      <c r="A376" s="61" t="inlineStr">
        <is>
          <t>0638</t>
        </is>
      </c>
      <c r="B376" s="62" t="inlineStr">
        <is>
          <t>FIBOCOM</t>
        </is>
      </c>
      <c r="C376" s="62" t="inlineStr">
        <is>
          <t>廣和通</t>
        </is>
      </c>
      <c r="D376" s="62" t="inlineStr">
        <is>
          <t>Tech/AI</t>
        </is>
      </c>
      <c r="E376" s="62" t="inlineStr">
        <is>
          <t>Smart hardware / consumer electronics</t>
        </is>
      </c>
      <c r="F376" s="62" t="inlineStr">
        <is>
          <t>Telecommunication Services</t>
        </is>
      </c>
      <c r="G376" s="62" t="inlineStr">
        <is>
          <t>Standard</t>
        </is>
      </c>
      <c r="H376" s="63" t="n">
        <v>45952</v>
      </c>
      <c r="I376" s="64" t="n">
        <v>2904.2</v>
      </c>
      <c r="J376" s="62" t="inlineStr">
        <is>
          <t>gross (stated)</t>
        </is>
      </c>
      <c r="K376" s="65" t="n">
        <v>19.88</v>
      </c>
      <c r="L376" s="65" t="n">
        <v>21.5</v>
      </c>
      <c r="M376" s="65" t="n">
        <v>21.5</v>
      </c>
      <c r="N376" s="62" t="inlineStr">
        <is>
          <t>Y</t>
        </is>
      </c>
      <c r="O376" s="66" t="n">
        <v>100</v>
      </c>
      <c r="P376" s="66" t="n">
        <v>100</v>
      </c>
      <c r="Q376" s="67" t="n">
        <v>19361.5</v>
      </c>
      <c r="R376" s="62" t="inlineStr">
        <is>
          <t>aastocks:上市市值 at the struck price</t>
        </is>
      </c>
      <c r="S376" s="68" t="n">
        <v>550.99</v>
      </c>
      <c r="T376" s="69" t="n">
        <v>9.16</v>
      </c>
      <c r="U376" s="70" t="n">
        <v>43.04</v>
      </c>
      <c r="V376" s="66" t="n">
        <v>8.539999999999999</v>
      </c>
      <c r="W376" s="62" t="inlineStr">
        <is>
          <t>Qindao Gantong; Pacific Asset Management Co., Limited; CPIC; GF Fund Management Co., Ltd; GF International; Ruihua Investment; Genimous Investment; Mr. Zhang Xiaolei; GTINV; Dreamee HK Fund</t>
        </is>
      </c>
      <c r="X376" s="62" t="inlineStr">
        <is>
          <t>qindao;pacific-asset;cpic;gf;ruihua;genimous;mr-zhang;gtinv;dreamee</t>
        </is>
      </c>
      <c r="Y376" s="66" t="n">
        <v>15</v>
      </c>
      <c r="Z376" s="62" t="n"/>
      <c r="AA376" s="71" t="n">
        <v>-11.72</v>
      </c>
      <c r="AB376" s="72" t="n">
        <v>0</v>
      </c>
      <c r="AC376" s="72" t="n">
        <v>-11.72</v>
      </c>
      <c r="AD376" s="72" t="n">
        <v>-10.23</v>
      </c>
      <c r="AE376" s="72" t="n">
        <v>-27.91</v>
      </c>
      <c r="AF376" s="72" t="n">
        <v>-24.88</v>
      </c>
      <c r="AG376" s="72" t="n">
        <v>1.69</v>
      </c>
      <c r="AH376" s="72" t="n">
        <v>-18.34</v>
      </c>
      <c r="AI376" s="72" t="n">
        <v>-14.91</v>
      </c>
      <c r="AJ376" s="72" t="n">
        <v>-10.99</v>
      </c>
      <c r="AK376" s="72" t="n">
        <v>-17.38</v>
      </c>
      <c r="AL376" s="72" t="n">
        <v>-21.14</v>
      </c>
      <c r="AM376" s="72" t="n">
        <v>-9.039999999999999</v>
      </c>
      <c r="AN376" s="72" t="n">
        <v>-10.53</v>
      </c>
      <c r="AO376" s="72" t="n">
        <v>-9.300000000000001</v>
      </c>
      <c r="AP376" s="62" t="inlineStr">
        <is>
          <t>HSTECH (Hang Seng TECH ETF)</t>
        </is>
      </c>
      <c r="AQ376" s="72" t="n">
        <v>-64.28</v>
      </c>
      <c r="AR376" s="63" t="inlineStr">
        <is>
          <t>2026-08-21</t>
        </is>
      </c>
      <c r="AS376" s="64" t="n">
        <v>7668.3</v>
      </c>
      <c r="AT376" s="67" t="n">
        <v>744.5</v>
      </c>
      <c r="AU376" s="62" t="inlineStr">
        <is>
          <t>Y</t>
        </is>
      </c>
      <c r="AV376" s="73" t="n">
        <v>26</v>
      </c>
      <c r="AW376" s="73" t="n"/>
      <c r="AX376" s="73" t="n"/>
      <c r="AY376" s="73" t="n">
        <v>2.5</v>
      </c>
      <c r="AZ376" s="74" t="inlineStr">
        <is>
          <t>Y</t>
        </is>
      </c>
      <c r="BA376" s="62" t="inlineStr">
        <is>
          <t>300638.SZ</t>
        </is>
      </c>
      <c r="BB376" s="72" t="n">
        <v>51.88</v>
      </c>
      <c r="BC376" s="65" t="n">
        <v>32.6548</v>
      </c>
      <c r="BD376" s="79" t="n">
        <v>1.9163</v>
      </c>
      <c r="BE376" s="77">
        <f>IF('BBG Verify'!Q376="","run on terminal",'BBG Verify'!Q376)</f>
        <v/>
      </c>
      <c r="BF376" s="77">
        <f>IF('BBG Verify'!R376="","run on terminal",'BBG Verify'!R376)</f>
        <v/>
      </c>
      <c r="BG376" s="74" t="inlineStr">
        <is>
          <t>CITIC Securities (Hong Kong) Limited</t>
        </is>
      </c>
      <c r="BH376" s="62" t="inlineStr">
        <is>
          <t>CITIC Securities (Hong Kong) Limited</t>
        </is>
      </c>
      <c r="BI376" s="62" t="inlineStr">
        <is>
          <t>CLSA Limited; SDICS International Securities (Hong Kong) Limited; CMB International Capital Limited; (Below in alphabetical order) ABCI Capital Limited; China Sunrise Securities (International) Limited</t>
        </is>
      </c>
      <c r="BJ376" s="62" t="inlineStr">
        <is>
          <t>ABCI Securities Company Limited; CLSA Limited; CMB International Capital Limited; China Sunrise Securities (International) Limited; Futu Securities International (Hong Kong) Limited; SDICS International Securities (Hong Kong) Limited</t>
        </is>
      </c>
      <c r="BK376" s="76">
        <f>HYPERLINK("https://www1.hkexnews.hk/listedco/listconews/sehk/2025/1014/2025101400007.pdf","prospectus")</f>
        <v/>
      </c>
      <c r="BL376" s="76">
        <f>HYPERLINK("https://www1.hkexnews.hk/listedco/listconews/sehk/2025/1021/2025102101036.pdf","allotment")</f>
        <v/>
      </c>
      <c r="BM376" s="62" t="n"/>
      <c r="BN376" s="74" t="n"/>
      <c r="BO376" s="62" t="inlineStr">
        <is>
          <t>greenshoe: end-of-stabilisation notice not located · A/H: Oct 2025 H listing (IoT wireless modules) · market cap: estimate from stated market capitalisation disagreed with the published listing cap — published figure adopted</t>
        </is>
      </c>
    </row>
    <row r="377" ht="15" customHeight="1">
      <c r="A377" s="61" t="inlineStr">
        <is>
          <t>1384</t>
        </is>
      </c>
      <c r="B377" s="62" t="inlineStr">
        <is>
          <t>DEEPEXI TECH</t>
        </is>
      </c>
      <c r="C377" s="62" t="inlineStr">
        <is>
          <t>滴普科技</t>
        </is>
      </c>
      <c r="D377" s="62" t="inlineStr">
        <is>
          <t>Tech/AI</t>
        </is>
      </c>
      <c r="E377" s="62" t="inlineStr">
        <is>
          <t>AI application / agent software</t>
        </is>
      </c>
      <c r="F377" s="62" t="inlineStr">
        <is>
          <t>Advanced hardware and software</t>
        </is>
      </c>
      <c r="G377" s="62" t="inlineStr">
        <is>
          <t>Standard</t>
        </is>
      </c>
      <c r="H377" s="63" t="n">
        <v>45958</v>
      </c>
      <c r="I377" s="64" t="n">
        <v>710.01</v>
      </c>
      <c r="J377" s="62" t="inlineStr">
        <is>
          <t>gross (stated)</t>
        </is>
      </c>
      <c r="K377" s="65" t="n"/>
      <c r="L377" s="65" t="n">
        <v>26.66</v>
      </c>
      <c r="M377" s="65" t="n">
        <v>26.66</v>
      </c>
      <c r="N377" s="62" t="inlineStr">
        <is>
          <t>Y</t>
        </is>
      </c>
      <c r="O377" s="66" t="n">
        <v>100</v>
      </c>
      <c r="P377" s="66" t="n"/>
      <c r="Q377" s="67" t="n">
        <v>8708</v>
      </c>
      <c r="R377" s="62" t="inlineStr">
        <is>
          <t>derived:price x shares upon listing</t>
        </is>
      </c>
      <c r="S377" s="68" t="n">
        <v>7569.83</v>
      </c>
      <c r="T377" s="69" t="n">
        <v>16.61</v>
      </c>
      <c r="U377" s="70" t="n">
        <v>0</v>
      </c>
      <c r="V377" s="66" t="n">
        <v>8.15</v>
      </c>
      <c r="W377" s="62" t="n"/>
      <c r="X377" s="62" t="n"/>
      <c r="Y377" s="66" t="n"/>
      <c r="Z377" s="62" t="n"/>
      <c r="AA377" s="71" t="n">
        <v>150.56</v>
      </c>
      <c r="AB377" s="72" t="n">
        <v>111.93</v>
      </c>
      <c r="AC377" s="72" t="n">
        <v>18.23</v>
      </c>
      <c r="AD377" s="72" t="n">
        <v>278.84</v>
      </c>
      <c r="AE377" s="72" t="n">
        <v>169.5</v>
      </c>
      <c r="AF377" s="72" t="n">
        <v>205.51</v>
      </c>
      <c r="AG377" s="72" t="n">
        <v>51.2</v>
      </c>
      <c r="AH377" s="72" t="n">
        <v>7.56</v>
      </c>
      <c r="AI377" s="72" t="n">
        <v>21.93</v>
      </c>
      <c r="AJ377" s="72" t="n">
        <v>285.12</v>
      </c>
      <c r="AK377" s="72" t="n">
        <v>178.84</v>
      </c>
      <c r="AL377" s="72" t="n">
        <v>211.13</v>
      </c>
      <c r="AM377" s="72" t="n">
        <v>15.53</v>
      </c>
      <c r="AN377" s="72" t="n">
        <v>-9.34</v>
      </c>
      <c r="AO377" s="72" t="n">
        <v>-7.97</v>
      </c>
      <c r="AP377" s="62" t="inlineStr">
        <is>
          <t>HSTECH (Hang Seng TECH ETF)</t>
        </is>
      </c>
      <c r="AQ377" s="72" t="n">
        <v>31.73</v>
      </c>
      <c r="AR377" s="63" t="inlineStr">
        <is>
          <t>2026-08-20</t>
        </is>
      </c>
      <c r="AS377" s="64" t="n">
        <v>267.2</v>
      </c>
      <c r="AT377" s="67" t="n">
        <v>-1380.5</v>
      </c>
      <c r="AU377" s="62" t="inlineStr">
        <is>
          <t>N</t>
        </is>
      </c>
      <c r="AV377" s="62" t="inlineStr">
        <is>
          <t>n/m</t>
        </is>
      </c>
      <c r="AW377" s="73" t="n"/>
      <c r="AX377" s="73" t="n"/>
      <c r="AY377" s="73" t="n">
        <v>32.6</v>
      </c>
      <c r="AZ377" s="74" t="inlineStr">
        <is>
          <t>N</t>
        </is>
      </c>
      <c r="BA377" s="75">
        <f>IF('BBG Verify'!K377="","not filed — run on terminal",'BBG Verify'!K377)</f>
        <v/>
      </c>
      <c r="BB377" s="62" t="inlineStr">
        <is>
          <t>N/A</t>
        </is>
      </c>
      <c r="BC377" s="62" t="inlineStr">
        <is>
          <t>N/A</t>
        </is>
      </c>
      <c r="BD377" s="62" t="inlineStr">
        <is>
          <t>N/A</t>
        </is>
      </c>
      <c r="BE377" s="62" t="inlineStr">
        <is>
          <t>N/A</t>
        </is>
      </c>
      <c r="BF377" s="62" t="inlineStr">
        <is>
          <t>N/A</t>
        </is>
      </c>
      <c r="BG377" s="74" t="inlineStr">
        <is>
          <t>CITIC Securities (Hong Kong) Limited; CMBC International Capital Limited; Guotai Junan Capital Limited; SPDB International Capital Limited; BOCOM International (Asia) Limited</t>
        </is>
      </c>
      <c r="BH377" s="62" t="inlineStr">
        <is>
          <t>CITIC Securities (Hong Kong) Limited; BOCOM International (Asia) Limited; Guotai Junan Capital Limited; CMBC International Capital Limited; SPDB International Capital Limited</t>
        </is>
      </c>
      <c r="BI377" s="62" t="inlineStr">
        <is>
          <t>BOCOM International Securities Limited; CLSA Limited; CMBC Securities Company Limited; Guotai Junan Securities (Hong Kong) Limited; Livermore Holdings Limited; SPDB International Capital Limited</t>
        </is>
      </c>
      <c r="BJ377" s="62" t="inlineStr">
        <is>
          <t>BOCOM International Securities Limited; CLSA Limited; CMBC Securities Company Limited; Guotai Junan Securities (Hong Kong) Limited; Livermore Holdings Limited; SPDB International Capital Limited; Yellow River Securities Limited</t>
        </is>
      </c>
      <c r="BK377" s="76">
        <f>HYPERLINK("https://www1.hkexnews.hk/listedco/listconews/sehk/2025/1020/2025102000015.pdf","prospectus")</f>
        <v/>
      </c>
      <c r="BL377" s="76">
        <f>HYPERLINK("https://www1.hkexnews.hk/listedco/listconews/sehk/2025/1027/2025102701434.pdf","allotment")</f>
        <v/>
      </c>
      <c r="BM377" s="62" t="n"/>
      <c r="BN377" s="74" t="n"/>
      <c r="BO377" s="62" t="inlineStr">
        <is>
          <t>P/E: n/m — loss-making at IPO (use P/S) · 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t>
        </is>
      </c>
    </row>
    <row r="378" ht="15" customHeight="1">
      <c r="A378" s="61" t="inlineStr">
        <is>
          <t>6031</t>
        </is>
      </c>
      <c r="B378" s="62" t="inlineStr">
        <is>
          <t>SANY HEAVY IND</t>
        </is>
      </c>
      <c r="C378" s="62" t="inlineStr">
        <is>
          <t>三一重工</t>
        </is>
      </c>
      <c r="D378" s="62" t="inlineStr">
        <is>
          <t>Industrials</t>
        </is>
      </c>
      <c r="E378" s="62" t="inlineStr">
        <is>
          <t>Capital goods / machinery</t>
        </is>
      </c>
      <c r="F378" s="62" t="inlineStr">
        <is>
          <t>Heavy Electrical Equipment</t>
        </is>
      </c>
      <c r="G378" s="62" t="inlineStr">
        <is>
          <t>Standard</t>
        </is>
      </c>
      <c r="H378" s="63" t="n">
        <v>45958</v>
      </c>
      <c r="I378" s="64" t="n">
        <v>13453.1</v>
      </c>
      <c r="J378" s="62" t="inlineStr">
        <is>
          <t>gross (stated)</t>
        </is>
      </c>
      <c r="K378" s="65" t="n"/>
      <c r="L378" s="65" t="n">
        <v>21.3</v>
      </c>
      <c r="M378" s="65" t="n">
        <v>21.3</v>
      </c>
      <c r="N378" s="62" t="inlineStr">
        <is>
          <t>Y</t>
        </is>
      </c>
      <c r="O378" s="66" t="n">
        <v>100</v>
      </c>
      <c r="P378" s="66" t="n"/>
      <c r="Q378" s="67" t="n">
        <v>184289</v>
      </c>
      <c r="R378" s="62" t="inlineStr">
        <is>
          <t>derived:deal size / offer % of enlarged capital</t>
        </is>
      </c>
      <c r="S378" s="68" t="n">
        <v>52.93</v>
      </c>
      <c r="T378" s="69" t="n">
        <v>13.96</v>
      </c>
      <c r="U378" s="70" t="n">
        <v>43.8</v>
      </c>
      <c r="V378" s="66" t="n">
        <v>4.1</v>
      </c>
      <c r="W378" s="62" t="inlineStr">
        <is>
          <t>Temasek; Hillhouse (HHLR); BlackRock, Inc; UBS Asset Management; Infore Capital; Oaktree Capital; Jane Street; Weichai Power</t>
        </is>
      </c>
      <c r="X378" s="62" t="inlineStr">
        <is>
          <t>temasek;hillhouse;blackrock;ubs;infore;oaktree;jane;weichai</t>
        </is>
      </c>
      <c r="Y378" s="66" t="n">
        <v>15</v>
      </c>
      <c r="Z378" s="62" t="inlineStr">
        <is>
          <t>partial</t>
        </is>
      </c>
      <c r="AA378" s="71" t="n">
        <v>2.82</v>
      </c>
      <c r="AB378" s="72" t="n">
        <v>0</v>
      </c>
      <c r="AC378" s="72" t="n">
        <v>2.82</v>
      </c>
      <c r="AD378" s="72" t="n">
        <v>6.67</v>
      </c>
      <c r="AE378" s="72" t="n">
        <v>0.19</v>
      </c>
      <c r="AF378" s="72" t="n">
        <v>18.78</v>
      </c>
      <c r="AG378" s="72" t="n">
        <v>3.74</v>
      </c>
      <c r="AH378" s="72" t="n">
        <v>-2.56</v>
      </c>
      <c r="AI378" s="72" t="n">
        <v>15.52</v>
      </c>
      <c r="AJ378" s="72" t="n">
        <v>11.46</v>
      </c>
      <c r="AK378" s="72" t="n">
        <v>6.17</v>
      </c>
      <c r="AL378" s="72" t="n">
        <v>19.75</v>
      </c>
      <c r="AM378" s="72" t="n">
        <v>2.09</v>
      </c>
      <c r="AN378" s="72" t="n">
        <v>-5.98</v>
      </c>
      <c r="AO378" s="72" t="n">
        <v>-4.65</v>
      </c>
      <c r="AP378" s="62" t="inlineStr">
        <is>
          <t>Hang Seng Commerce &amp; Industry sub-index</t>
        </is>
      </c>
      <c r="AQ378" s="72" t="n">
        <v>-12.11</v>
      </c>
      <c r="AR378" s="63" t="inlineStr">
        <is>
          <t>2026-08-20</t>
        </is>
      </c>
      <c r="AS378" s="64" t="n">
        <v>86221.7</v>
      </c>
      <c r="AT378" s="67" t="n">
        <v>6701.8</v>
      </c>
      <c r="AU378" s="62" t="inlineStr">
        <is>
          <t>Y</t>
        </is>
      </c>
      <c r="AV378" s="73" t="n">
        <v>27.5</v>
      </c>
      <c r="AW378" s="73" t="n">
        <v>22.3</v>
      </c>
      <c r="AX378" s="73" t="n">
        <v>16.3</v>
      </c>
      <c r="AY378" s="73" t="n">
        <v>2.1</v>
      </c>
      <c r="AZ378" s="74" t="inlineStr">
        <is>
          <t>Y</t>
        </is>
      </c>
      <c r="BA378" s="62" t="inlineStr">
        <is>
          <t>600031.SS</t>
        </is>
      </c>
      <c r="BB378" s="72" t="n">
        <v>15.4</v>
      </c>
      <c r="BC378" s="65" t="n">
        <v>24.5793</v>
      </c>
      <c r="BD378" s="79" t="n">
        <v>0.1696</v>
      </c>
      <c r="BE378" s="77">
        <f>IF('BBG Verify'!Q378="","run on terminal",'BBG Verify'!Q378)</f>
        <v/>
      </c>
      <c r="BF378" s="77">
        <f>IF('BBG Verify'!R378="","run on terminal",'BBG Verify'!R378)</f>
        <v/>
      </c>
      <c r="BG378" s="74" t="inlineStr">
        <is>
          <t>CITIC Securities (Hong Kong) Limited</t>
        </is>
      </c>
      <c r="BH378" s="62" t="inlineStr">
        <is>
          <t>CITIC Securities (Hong Kong) Limited</t>
        </is>
      </c>
      <c r="BI378" s="62" t="inlineStr">
        <is>
          <t>CLSA Limited; China International Capital Corporation Hong Kong Securities Limited; BOCI Asia Limited; Central, Hong Kong ABCI Capital Limited; ICBC International Securities Limited; China Merchants Securities (HK) Co., Limited</t>
        </is>
      </c>
      <c r="BJ378" s="62" t="inlineStr">
        <is>
          <t>ABCI Securities Company Limited; BOCI Asia Limited; China International Capital Corporation Hong Kong Securities Limited; CLSA Limited; China Merchants Securities (HK) Company Limited; ICBC International Securities Limited</t>
        </is>
      </c>
      <c r="BK378" s="76">
        <f>HYPERLINK("https://www1.hkexnews.hk/listedco/listconews/sehk/2025/1020/2025102000017.pdf","prospectus")</f>
        <v/>
      </c>
      <c r="BL378" s="76">
        <f>HYPERLINK("https://www1.hkexnews.hk/listedco/listconews/sehk/2025/1027/2025102701586.pdf","allotment")</f>
        <v/>
      </c>
      <c r="BM378" s="76">
        <f>HYPERLINK("https://www1.hkexnews.hk/listedco/listconews/sehk/2025/1123/2025112300093.pdf","stabilisation")</f>
        <v/>
      </c>
      <c r="BN378" s="74" t="n"/>
      <c r="BO378" s="62" t="inlineStr">
        <is>
          <t>range low: cap-only pricing — the filing publishes a Maximum Offer Price and no indicative floor · A/H: Oct 2025, ~US$1.72bn</t>
        </is>
      </c>
    </row>
    <row r="379" ht="15" customHeight="1">
      <c r="A379" s="61" t="inlineStr">
        <is>
          <t>6166</t>
        </is>
      </c>
      <c r="B379" s="62" t="inlineStr">
        <is>
          <t>CIG</t>
        </is>
      </c>
      <c r="C379" s="62" t="inlineStr">
        <is>
          <t>劍橋科技</t>
        </is>
      </c>
      <c r="D379" s="62" t="inlineStr">
        <is>
          <t>Tech/AI</t>
        </is>
      </c>
      <c r="E379" s="62" t="inlineStr">
        <is>
          <t>Smart hardware / consumer electronics</t>
        </is>
      </c>
      <c r="F379" s="62" t="inlineStr">
        <is>
          <t>Telecommunications &amp; Networking Equipment</t>
        </is>
      </c>
      <c r="G379" s="62" t="inlineStr">
        <is>
          <t>Standard</t>
        </is>
      </c>
      <c r="H379" s="63" t="n">
        <v>45958</v>
      </c>
      <c r="I379" s="64" t="n">
        <v>4615.7</v>
      </c>
      <c r="J379" s="62" t="inlineStr">
        <is>
          <t>gross (stated)</t>
        </is>
      </c>
      <c r="K379" s="65" t="n"/>
      <c r="L379" s="65" t="n">
        <v>68.88</v>
      </c>
      <c r="M379" s="65" t="n">
        <v>68.88</v>
      </c>
      <c r="N379" s="62" t="inlineStr">
        <is>
          <t>Y</t>
        </is>
      </c>
      <c r="O379" s="66" t="n">
        <v>100</v>
      </c>
      <c r="P379" s="66" t="n"/>
      <c r="Q379" s="67" t="n">
        <v>20698.2</v>
      </c>
      <c r="R379" s="62" t="inlineStr">
        <is>
          <t>derived:deal size / offer % of enlarged capital</t>
        </is>
      </c>
      <c r="S379" s="68" t="n">
        <v>338.7</v>
      </c>
      <c r="T379" s="69" t="n">
        <v>16.5</v>
      </c>
      <c r="U379" s="70" t="n">
        <v>48.9</v>
      </c>
      <c r="V379" s="66" t="n">
        <v>11.4</v>
      </c>
      <c r="W379" s="62" t="inlineStr">
        <is>
          <t>Barings; Morgan Stanley Investment Management; HCEP (HongShan); Boyu Capital; Taikang Life; ICBC Wealth Management Co., Ltd; Schonfeld; Dymon Asia</t>
        </is>
      </c>
      <c r="X379" s="62" t="inlineStr">
        <is>
          <t>barings;morgan;hcep;boyu;taikang;icbc;schonfeld;dymon</t>
        </is>
      </c>
      <c r="Y379" s="66" t="n">
        <v>15</v>
      </c>
      <c r="Z379" s="62" t="n"/>
      <c r="AA379" s="71" t="n">
        <v>33.86</v>
      </c>
      <c r="AB379" s="72" t="n">
        <v>36.47</v>
      </c>
      <c r="AC379" s="72" t="n">
        <v>-1.91</v>
      </c>
      <c r="AD379" s="72" t="n">
        <v>13.53</v>
      </c>
      <c r="AE379" s="72" t="n">
        <v>14.76</v>
      </c>
      <c r="AF379" s="72" t="n">
        <v>19.05</v>
      </c>
      <c r="AG379" s="72" t="n">
        <v>-15.19</v>
      </c>
      <c r="AH379" s="72" t="n">
        <v>-14.27</v>
      </c>
      <c r="AI379" s="72" t="n">
        <v>-11.06</v>
      </c>
      <c r="AJ379" s="72" t="n">
        <v>19.81</v>
      </c>
      <c r="AK379" s="72" t="n">
        <v>24.1</v>
      </c>
      <c r="AL379" s="72" t="n">
        <v>24.67</v>
      </c>
      <c r="AM379" s="72" t="n">
        <v>-6.3</v>
      </c>
      <c r="AN379" s="72" t="n">
        <v>-9.34</v>
      </c>
      <c r="AO379" s="72" t="n">
        <v>-7.97</v>
      </c>
      <c r="AP379" s="62" t="inlineStr">
        <is>
          <t>HSTECH (Hang Seng TECH ETF)</t>
        </is>
      </c>
      <c r="AQ379" s="72" t="n">
        <v>38.07</v>
      </c>
      <c r="AR379" s="63" t="inlineStr">
        <is>
          <t>2026-08-20</t>
        </is>
      </c>
      <c r="AS379" s="64" t="n">
        <v>4014.9</v>
      </c>
      <c r="AT379" s="67" t="n">
        <v>183.7</v>
      </c>
      <c r="AU379" s="62" t="inlineStr">
        <is>
          <t>Y</t>
        </is>
      </c>
      <c r="AV379" s="73" t="n">
        <v>112.7</v>
      </c>
      <c r="AW379" s="73" t="n">
        <v>107.9</v>
      </c>
      <c r="AX379" s="73" t="n">
        <v>93.7</v>
      </c>
      <c r="AY379" s="73" t="n">
        <v>5.2</v>
      </c>
      <c r="AZ379" s="74" t="inlineStr">
        <is>
          <t>Y</t>
        </is>
      </c>
      <c r="BA379" s="62" t="inlineStr">
        <is>
          <t>603083.SS</t>
        </is>
      </c>
      <c r="BB379" s="72" t="n">
        <v>88.48</v>
      </c>
      <c r="BC379" s="65" t="n">
        <v>129.8239</v>
      </c>
      <c r="BD379" s="79" t="n">
        <v>1.2717</v>
      </c>
      <c r="BE379" s="77">
        <f>IF('BBG Verify'!Q379="","run on terminal",'BBG Verify'!Q379)</f>
        <v/>
      </c>
      <c r="BF379" s="77">
        <f>IF('BBG Verify'!R379="","run on terminal",'BBG Verify'!R379)</f>
        <v/>
      </c>
      <c r="BG379" s="74" t="inlineStr">
        <is>
          <t>Guotai Junan Capital Limited; Guotai Junan Securities (Hong Kong) Limited</t>
        </is>
      </c>
      <c r="BH379" s="62" t="inlineStr">
        <is>
          <t>Guotai Junan Capital Limited</t>
        </is>
      </c>
      <c r="BI379" s="62" t="inlineStr">
        <is>
          <t>CLSA Limited; DBS Asia Capital Limited; Star River Securities Limited</t>
        </is>
      </c>
      <c r="BJ379" s="62" t="inlineStr">
        <is>
          <t>CLSA Limited; DBS Asia Capital Limited; Guotai Junan Securities (Hong Kong) Limited; Star River Securities Limited</t>
        </is>
      </c>
      <c r="BK379" s="76">
        <f>HYPERLINK("https://www1.hkexnews.hk/listedco/listconews/sehk/2025/1020/2025102000019.pdf","prospectus")</f>
        <v/>
      </c>
      <c r="BL379" s="76">
        <f>HYPERLINK("https://www1.hkexnews.hk/listedco/listconews/sehk/2025/1027/2025102701698.pdf","allotment")</f>
        <v/>
      </c>
      <c r="BM379" s="62" t="n"/>
      <c r="BN379" s="74" t="n"/>
      <c r="BO379" s="62" t="inlineStr">
        <is>
          <t>greenshoe: end-of-stabilisation notice not located · range low: cap-only pricing — the filing publishes a Maximum Offer Price and no indicative floor · A/H: Oct 2025 H listing (telecom/AI networking hardware)</t>
        </is>
      </c>
    </row>
    <row r="380" ht="15" customHeight="1">
      <c r="A380" s="61" t="inlineStr">
        <is>
          <t>6980</t>
        </is>
      </c>
      <c r="B380" s="62" t="inlineStr">
        <is>
          <t>BAMA TEA</t>
        </is>
      </c>
      <c r="C380" s="62" t="inlineStr">
        <is>
          <t>八馬茶業</t>
        </is>
      </c>
      <c r="D380" s="62" t="inlineStr">
        <is>
          <t>Consumer</t>
        </is>
      </c>
      <c r="E380" s="62" t="inlineStr">
        <is>
          <t>Beverages / packaged food</t>
        </is>
      </c>
      <c r="F380" s="62" t="inlineStr">
        <is>
          <t>Beverages (Non-alcoholic)</t>
        </is>
      </c>
      <c r="G380" s="62" t="inlineStr">
        <is>
          <t>Standard</t>
        </is>
      </c>
      <c r="H380" s="63" t="n">
        <v>45958</v>
      </c>
      <c r="I380" s="64" t="n">
        <v>450</v>
      </c>
      <c r="J380" s="62" t="inlineStr">
        <is>
          <t>gross (stated)</t>
        </is>
      </c>
      <c r="K380" s="65" t="n"/>
      <c r="L380" s="65" t="n">
        <v>50</v>
      </c>
      <c r="M380" s="65" t="n">
        <v>50</v>
      </c>
      <c r="N380" s="62" t="inlineStr">
        <is>
          <t>Y</t>
        </is>
      </c>
      <c r="O380" s="66" t="n">
        <v>100</v>
      </c>
      <c r="P380" s="66" t="n"/>
      <c r="Q380" s="67" t="n">
        <v>4250</v>
      </c>
      <c r="R380" s="62" t="inlineStr">
        <is>
          <t>derived:price x shares upon listing</t>
        </is>
      </c>
      <c r="S380" s="68" t="n">
        <v>2680.04</v>
      </c>
      <c r="T380" s="69" t="n">
        <v>13.58</v>
      </c>
      <c r="U380" s="70" t="n">
        <v>0</v>
      </c>
      <c r="V380" s="66" t="n">
        <v>10.59</v>
      </c>
      <c r="W380" s="62" t="n"/>
      <c r="X380" s="62" t="n"/>
      <c r="Y380" s="66" t="n">
        <v>15</v>
      </c>
      <c r="Z380" s="62" t="n"/>
      <c r="AA380" s="71" t="n">
        <v>86.7</v>
      </c>
      <c r="AB380" s="72" t="n">
        <v>60.2</v>
      </c>
      <c r="AC380" s="72" t="n">
        <v>16.54</v>
      </c>
      <c r="AD380" s="72" t="n">
        <v>46</v>
      </c>
      <c r="AE380" s="72" t="n">
        <v>5</v>
      </c>
      <c r="AF380" s="72" t="n">
        <v>-40.04</v>
      </c>
      <c r="AG380" s="72" t="n">
        <v>-21.8</v>
      </c>
      <c r="AH380" s="72" t="n">
        <v>-43.76</v>
      </c>
      <c r="AI380" s="72" t="n">
        <v>-67.88</v>
      </c>
      <c r="AJ380" s="72" t="n">
        <v>50.79</v>
      </c>
      <c r="AK380" s="72" t="n">
        <v>10.98</v>
      </c>
      <c r="AL380" s="72" t="n">
        <v>-39.07</v>
      </c>
      <c r="AM380" s="72" t="n">
        <v>-39.11</v>
      </c>
      <c r="AN380" s="72" t="n">
        <v>-5.98</v>
      </c>
      <c r="AO380" s="72" t="n">
        <v>-4.65</v>
      </c>
      <c r="AP380" s="62" t="inlineStr">
        <is>
          <t>Hang Seng Commerce &amp; Industry sub-index</t>
        </is>
      </c>
      <c r="AQ380" s="72" t="n">
        <v>-44.24</v>
      </c>
      <c r="AR380" s="63" t="inlineStr">
        <is>
          <t>2026-08-20</t>
        </is>
      </c>
      <c r="AS380" s="64" t="n">
        <v>2357.6</v>
      </c>
      <c r="AT380" s="67" t="n">
        <v>246.6</v>
      </c>
      <c r="AU380" s="62" t="inlineStr">
        <is>
          <t>Y</t>
        </is>
      </c>
      <c r="AV380" s="73" t="n">
        <v>17.2</v>
      </c>
      <c r="AW380" s="73" t="n">
        <v>32.7</v>
      </c>
      <c r="AX380" s="73" t="n">
        <v>7.7</v>
      </c>
      <c r="AY380" s="73" t="n">
        <v>1.8</v>
      </c>
      <c r="AZ380" s="74" t="inlineStr">
        <is>
          <t>N</t>
        </is>
      </c>
      <c r="BA380" s="75">
        <f>IF('BBG Verify'!K380="","not filed — run on terminal",'BBG Verify'!K380)</f>
        <v/>
      </c>
      <c r="BB380" s="62" t="inlineStr">
        <is>
          <t>N/A</t>
        </is>
      </c>
      <c r="BC380" s="62" t="inlineStr">
        <is>
          <t>N/A</t>
        </is>
      </c>
      <c r="BD380" s="62" t="inlineStr">
        <is>
          <t>N/A</t>
        </is>
      </c>
      <c r="BE380" s="62" t="inlineStr">
        <is>
          <t>N/A</t>
        </is>
      </c>
      <c r="BF380" s="62" t="inlineStr">
        <is>
          <t>N/A</t>
        </is>
      </c>
      <c r="BG380" s="74" t="inlineStr">
        <is>
          <t>Huatai Financial Holdings (Hong Kong) Limited; ABCI Capital Limited; TFI Capital Limited</t>
        </is>
      </c>
      <c r="BH380" s="62" t="inlineStr">
        <is>
          <t>Huatai Financial Holdings (Hong Kong) Limited; TFI Capital Limited; ABCI Capital Limited</t>
        </is>
      </c>
      <c r="BI380" s="62" t="inlineStr">
        <is>
          <t>Huatai Financial Holdings (Hong Kong) Limited; ABCI Capital Limited; TFI Securities and Futures Limited; CLSA Limited; Shenwan Hongyuan Securities (H.K.) Limited; China Galaxy International Securities (Hong Kong) Co., Limited; UOB Kay Hian (Hong Kong) Limited; SPDB International Capital Limited; CMBC Securities Company Limited; Funde Securities Limited</t>
        </is>
      </c>
      <c r="BJ380" s="62" t="inlineStr">
        <is>
          <t>ABCI Securities Company Limited; AVICT Global Asset Management Limited; China Galaxy International Securities (Hong Kong) Company Limited; CLSA Limited; CMBC Securities Company Limited; Funde Securities Limited; First Shanghai Securities Limited; Futu Securities International (Hong Kong) Limited; Huatai Financial Holdings (Hong Kong) Limited; Maxa Capital Limited; Shenwan Hongyuan Securities (H.K.) Limited; SPDB International Capital Limited</t>
        </is>
      </c>
      <c r="BK380" s="76">
        <f>HYPERLINK("https://www1.hkexnews.hk/listedco/listconews/sehk/2025/1020/2025102000021.pdf","prospectus")</f>
        <v/>
      </c>
      <c r="BL380" s="76">
        <f>HYPERLINK("https://www1.hkexnews.hk/listedco/listconews/sehk/2025/1027/2025102701732.pdf","allotment")</f>
        <v/>
      </c>
      <c r="BM380" s="62" t="n"/>
      <c r="BN380" s="74" t="n"/>
      <c r="BO380" s="62" t="inlineStr">
        <is>
          <t>greenshoe: end-of-stabilisation notice not located · range low: cap-only pricing — the filing publishes a Maximum Offer Price and no indicative floor · A/H: no A-share listing · cornerstone list: no cornerstone tranche in this deal</t>
        </is>
      </c>
    </row>
    <row r="381" ht="15" customHeight="1">
      <c r="A381" s="61" t="inlineStr">
        <is>
          <t>2718</t>
        </is>
      </c>
      <c r="B381" s="62" t="inlineStr">
        <is>
          <t>MININGLAMP-W</t>
        </is>
      </c>
      <c r="C381" s="62" t="inlineStr">
        <is>
          <t>明略科技－Ｗ</t>
        </is>
      </c>
      <c r="D381" s="62" t="inlineStr">
        <is>
          <t>Tech/AI</t>
        </is>
      </c>
      <c r="E381" s="62" t="inlineStr">
        <is>
          <t>AI application / agent software</t>
        </is>
      </c>
      <c r="F381" s="62" t="inlineStr">
        <is>
          <t>Advanced hardware and software</t>
        </is>
      </c>
      <c r="G381" s="62" t="inlineStr">
        <is>
          <t>WVR</t>
        </is>
      </c>
      <c r="H381" s="63" t="n">
        <v>45964</v>
      </c>
      <c r="I381" s="64" t="n">
        <v>1017.9</v>
      </c>
      <c r="J381" s="62" t="inlineStr">
        <is>
          <t>gross (stated)</t>
        </is>
      </c>
      <c r="K381" s="65" t="n"/>
      <c r="L381" s="65" t="n">
        <v>141</v>
      </c>
      <c r="M381" s="65" t="n">
        <v>141</v>
      </c>
      <c r="N381" s="62" t="inlineStr">
        <is>
          <t>Y</t>
        </is>
      </c>
      <c r="O381" s="66" t="n">
        <v>100</v>
      </c>
      <c r="P381" s="66" t="n"/>
      <c r="Q381" s="67" t="n">
        <v>20357.3</v>
      </c>
      <c r="R381" s="62" t="inlineStr">
        <is>
          <t>prospectus:stated market capitalisation</t>
        </is>
      </c>
      <c r="S381" s="68" t="n">
        <v>4452.86</v>
      </c>
      <c r="T381" s="69" t="n">
        <v>13.93</v>
      </c>
      <c r="U381" s="70" t="n">
        <v>45.1</v>
      </c>
      <c r="V381" s="66" t="n">
        <v>2.75</v>
      </c>
      <c r="W381" s="62" t="inlineStr">
        <is>
          <t>Huang River Investment Limited; Hundreds Capital; GFH Financial Group B.S.C; QuantumPharm Limited; International Capital Management Limited; China AMC; Huatai Capital Investment Limited</t>
        </is>
      </c>
      <c r="X381" s="62" t="inlineStr">
        <is>
          <t>huang-river;hundreds;gfh;quantumpharm;international-capital;amc;huatai</t>
        </is>
      </c>
      <c r="Y381" s="66" t="n">
        <v>15</v>
      </c>
      <c r="Z381" s="62" t="n"/>
      <c r="AA381" s="71" t="n">
        <v>106.1</v>
      </c>
      <c r="AB381" s="72" t="n">
        <v>98.58</v>
      </c>
      <c r="AC381" s="72" t="n">
        <v>3.79</v>
      </c>
      <c r="AD381" s="72" t="n">
        <v>57.16</v>
      </c>
      <c r="AE381" s="72" t="n">
        <v>45.25</v>
      </c>
      <c r="AF381" s="72" t="n">
        <v>77.87</v>
      </c>
      <c r="AG381" s="72" t="n">
        <v>-23.75</v>
      </c>
      <c r="AH381" s="72" t="n">
        <v>-29.52</v>
      </c>
      <c r="AI381" s="72" t="n">
        <v>-13.7</v>
      </c>
      <c r="AJ381" s="72" t="n">
        <v>57.42</v>
      </c>
      <c r="AK381" s="72" t="n">
        <v>50.16</v>
      </c>
      <c r="AL381" s="72" t="n">
        <v>85.79000000000001</v>
      </c>
      <c r="AM381" s="72" t="n">
        <v>-24.52</v>
      </c>
      <c r="AN381" s="72" t="n">
        <v>-4.91</v>
      </c>
      <c r="AO381" s="72" t="n">
        <v>-5</v>
      </c>
      <c r="AP381" s="62" t="inlineStr">
        <is>
          <t>HSTECH (Hang Seng TECH ETF)</t>
        </is>
      </c>
      <c r="AQ381" s="72" t="n">
        <v>-71.05</v>
      </c>
      <c r="AR381" s="63" t="inlineStr">
        <is>
          <t>2026-08-21</t>
        </is>
      </c>
      <c r="AS381" s="64" t="n">
        <v>1519.5</v>
      </c>
      <c r="AT381" s="67" t="n">
        <v>352.4</v>
      </c>
      <c r="AU381" s="62" t="inlineStr">
        <is>
          <t>Y</t>
        </is>
      </c>
      <c r="AV381" s="73" t="n">
        <v>57.8</v>
      </c>
      <c r="AW381" s="73" t="n"/>
      <c r="AX381" s="73" t="n"/>
      <c r="AY381" s="73" t="n">
        <v>13.4</v>
      </c>
      <c r="AZ381" s="74" t="inlineStr">
        <is>
          <t>N</t>
        </is>
      </c>
      <c r="BA381" s="75">
        <f>IF('BBG Verify'!K381="","not filed — run on terminal",'BBG Verify'!K381)</f>
        <v/>
      </c>
      <c r="BB381" s="62" t="inlineStr">
        <is>
          <t>N/A</t>
        </is>
      </c>
      <c r="BC381" s="62" t="inlineStr">
        <is>
          <t>N/A</t>
        </is>
      </c>
      <c r="BD381" s="62" t="inlineStr">
        <is>
          <t>N/A</t>
        </is>
      </c>
      <c r="BE381" s="62" t="inlineStr">
        <is>
          <t>N/A</t>
        </is>
      </c>
      <c r="BF381" s="62" t="inlineStr">
        <is>
          <t>N/A</t>
        </is>
      </c>
      <c r="BG381" s="74" t="inlineStr">
        <is>
          <t>China International Capital Corporation Hong Kong Securities Limited</t>
        </is>
      </c>
      <c r="BH381" s="62" t="inlineStr">
        <is>
          <t>China International Capital Corporation Hong Kong Securities Limited</t>
        </is>
      </c>
      <c r="BI381" s="62" t="inlineStr">
        <is>
          <t>China International Capital Corporation Hong Kong Securities Limited; CLSA Limited; Futu Securities International (Hong Kong) Limited; Tiger Brokers (HK) Global Limited; Fuze Securities (International) Limited; Livermore Holdings Limited; Mulana Investment Management Limited; Citrus Securities Limited</t>
        </is>
      </c>
      <c r="BJ381" s="62" t="inlineStr">
        <is>
          <t>China International Capital Corporation Hong Kong Securities Limited; Citrus Securities Limited; CLSA Limited; China Renaissance Securities (Hong Kong) Limited; Futu Securities International (Hong Kong) Limited; FUZE SECURITIES (INTERNATIONAL) LIMITED; Livermore Holdings Limited; Mulana Investment Management Limited; Tiger Brokers (HK) Global Limited</t>
        </is>
      </c>
      <c r="BK381" s="76">
        <f>HYPERLINK("https://www1.hkexnews.hk/listedco/listconews/sehk/2025/1023/2025102300005.pdf","prospectus")</f>
        <v/>
      </c>
      <c r="BL381" s="76">
        <f>HYPERLINK("https://www1.hkexnews.hk/listedco/listconews/sehk/2025/1031/2025103103042.pdf","allotment")</f>
        <v/>
      </c>
      <c r="BM381" s="62" t="n"/>
      <c r="BN381" s="74" t="n"/>
      <c r="BO381" s="62" t="inlineStr">
        <is>
          <t>greenshoe: end-of-stabilisation notice not located · range low: cap-only pricing — the filing publishes a Maximum Offer Price and no indicative floor · A/H: no A-share listing</t>
        </is>
      </c>
    </row>
    <row r="382" ht="15" customHeight="1">
      <c r="A382" s="61" t="inlineStr">
        <is>
          <t>9927</t>
        </is>
      </c>
      <c r="B382" s="62" t="inlineStr">
        <is>
          <t>SERES</t>
        </is>
      </c>
      <c r="C382" s="62" t="inlineStr">
        <is>
          <t>賽力斯</t>
        </is>
      </c>
      <c r="D382" s="62" t="inlineStr">
        <is>
          <t>Consumer</t>
        </is>
      </c>
      <c r="E382" s="62" t="inlineStr">
        <is>
          <t>Autos (NEV OEM)</t>
        </is>
      </c>
      <c r="F382" s="62" t="inlineStr">
        <is>
          <t>Automobile Manufacturers</t>
        </is>
      </c>
      <c r="G382" s="62" t="inlineStr">
        <is>
          <t>Standard</t>
        </is>
      </c>
      <c r="H382" s="63" t="n">
        <v>45966</v>
      </c>
      <c r="I382" s="64" t="n">
        <v>14283.4</v>
      </c>
      <c r="J382" s="62" t="inlineStr">
        <is>
          <t>gross (stated)</t>
        </is>
      </c>
      <c r="K382" s="65" t="n"/>
      <c r="L382" s="65" t="n">
        <v>131.5</v>
      </c>
      <c r="M382" s="65" t="n">
        <v>131.5</v>
      </c>
      <c r="N382" s="62" t="inlineStr">
        <is>
          <t>Y</t>
        </is>
      </c>
      <c r="O382" s="66" t="n">
        <v>100</v>
      </c>
      <c r="P382" s="66" t="n"/>
      <c r="Q382" s="67" t="n">
        <v>216743.6</v>
      </c>
      <c r="R382" s="62" t="inlineStr">
        <is>
          <t>derived:deal size / offer % of enlarged capital</t>
        </is>
      </c>
      <c r="S382" s="68" t="n">
        <v>132.68</v>
      </c>
      <c r="T382" s="69" t="n">
        <v>8.609999999999999</v>
      </c>
      <c r="U382" s="70" t="n">
        <v>44.8</v>
      </c>
      <c r="V382" s="66" t="n">
        <v>3.64</v>
      </c>
      <c r="W382" s="62" t="inlineStr">
        <is>
          <t>Lin Yuan; GF Fund Management Co., Ltd; New China Asset Management; Sanhua (Hong Kong); Zhink International; Gold Wings; Honour Goal Investments; Hichain Logistics; Schroder Investment Management (Singapore) Ltd; Mirae Securities; Mirae Asset Securities (HK) Limited; New Alternative Limited; China Meidong; Ghisallo Capital Management (HK) Limited</t>
        </is>
      </c>
      <c r="X382" s="62" t="inlineStr">
        <is>
          <t>lin-yuan;gf;new;sanhua;zhink;gold;honour;hichain;schroder;mirae;new-alternative;meidong;ghisallo</t>
        </is>
      </c>
      <c r="Y382" s="66" t="n">
        <v>5.78</v>
      </c>
      <c r="Z382" s="62" t="inlineStr">
        <is>
          <t>partial</t>
        </is>
      </c>
      <c r="AA382" s="71" t="n">
        <v>0</v>
      </c>
      <c r="AB382" s="72" t="n">
        <v>-1.98</v>
      </c>
      <c r="AC382" s="72" t="n">
        <v>2.02</v>
      </c>
      <c r="AD382" s="72" t="n">
        <v>-12.17</v>
      </c>
      <c r="AE382" s="72" t="n">
        <v>-11.94</v>
      </c>
      <c r="AF382" s="72" t="n">
        <v>-26.2</v>
      </c>
      <c r="AG382" s="72" t="n">
        <v>-12.17</v>
      </c>
      <c r="AH382" s="72" t="n">
        <v>-11.94</v>
      </c>
      <c r="AI382" s="72" t="n">
        <v>-26.2</v>
      </c>
      <c r="AJ382" s="72" t="n">
        <v>-15.09</v>
      </c>
      <c r="AK382" s="72" t="n">
        <v>-11.49</v>
      </c>
      <c r="AL382" s="72" t="n">
        <v>-24.44</v>
      </c>
      <c r="AM382" s="72" t="n">
        <v>-11.54</v>
      </c>
      <c r="AN382" s="72" t="n">
        <v>-0.45</v>
      </c>
      <c r="AO382" s="72" t="n">
        <v>-0.4</v>
      </c>
      <c r="AP382" s="62" t="inlineStr">
        <is>
          <t>Hang Seng Commerce &amp; Industry sub-index</t>
        </is>
      </c>
      <c r="AQ382" s="72" t="n">
        <v>-68.2</v>
      </c>
      <c r="AR382" s="63" t="inlineStr">
        <is>
          <t>2026-08-20</t>
        </is>
      </c>
      <c r="AS382" s="64" t="n">
        <v>159625</v>
      </c>
      <c r="AT382" s="67" t="n">
        <v>-1527.6</v>
      </c>
      <c r="AU382" s="62" t="inlineStr">
        <is>
          <t>N</t>
        </is>
      </c>
      <c r="AV382" s="62" t="inlineStr">
        <is>
          <t>n/m</t>
        </is>
      </c>
      <c r="AW382" s="73" t="n">
        <v>25.5</v>
      </c>
      <c r="AX382" s="73" t="n">
        <v>9.699999999999999</v>
      </c>
      <c r="AY382" s="73" t="n">
        <v>1.4</v>
      </c>
      <c r="AZ382" s="74" t="inlineStr">
        <is>
          <t>Y</t>
        </is>
      </c>
      <c r="BA382" s="62" t="inlineStr">
        <is>
          <t>601127.SS</t>
        </is>
      </c>
      <c r="BB382" s="72" t="n">
        <v>27.41</v>
      </c>
      <c r="BC382" s="65" t="n">
        <v>167.5467</v>
      </c>
      <c r="BD382" s="79" t="n">
        <v>0.4588</v>
      </c>
      <c r="BE382" s="77">
        <f>IF('BBG Verify'!Q382="","run on terminal",'BBG Verify'!Q382)</f>
        <v/>
      </c>
      <c r="BF382" s="77">
        <f>IF('BBG Verify'!R382="","run on terminal",'BBG Verify'!R382)</f>
        <v/>
      </c>
      <c r="BG382" s="74" t="inlineStr">
        <is>
          <t>CICC; China Galaxy International</t>
        </is>
      </c>
      <c r="BH382" s="62" t="inlineStr">
        <is>
          <t>China International Capital Corporation Hong Kong Securities Limited; China Galaxy International Securities (Hong Kong) Company Limited</t>
        </is>
      </c>
      <c r="BI382" s="62" t="inlineStr">
        <is>
          <t>China International Capital Corporation Hong Kong Securities Limited; China Galaxy International Securities (Hong Kong) Co., Limited; Huatai Financial Holdings (Hong Kong) Limited</t>
        </is>
      </c>
      <c r="BJ382" s="62" t="inlineStr">
        <is>
          <t>China Galaxy International Securities (Hong Kong) Company Limited; China International Capital Corporation Hong Kong Securities Limited; Huatai Financial Holdings (Hong Kong) Limited</t>
        </is>
      </c>
      <c r="BK382" s="76">
        <f>HYPERLINK("https://www1.hkexnews.hk/listedco/listconews/sehk/2025/1027/2025102700059.pdf","prospectus")</f>
        <v/>
      </c>
      <c r="BL382" s="76">
        <f>HYPERLINK("https://www1.hkexnews.hk/listedco/listconews/sehk/2025/1104/2025110402282.pdf","allotment")</f>
        <v/>
      </c>
      <c r="BM382" s="76">
        <f>HYPERLINK("https://www1.hkexnews.hk/listedco/listconews/sehk/2025/1130/2025113000281.pdf","stabilisation")</f>
        <v/>
      </c>
      <c r="BN382" s="74" t="n"/>
      <c r="BO382" s="62" t="inlineStr">
        <is>
          <t>P/E: n/m — loss-making at IPO (use P/S) · range low: cap-only pricing — the filing publishes a Maximum Offer Price and no indicative floor · A/H: Nov 2025, HK$14.28bn (~US$1.8bn) — 3rd-largest HK IPO of 2025; flat debut</t>
        </is>
      </c>
    </row>
    <row r="383" ht="15" customHeight="1">
      <c r="A383" s="61" t="inlineStr">
        <is>
          <t>2630</t>
        </is>
      </c>
      <c r="B383" s="62" t="inlineStr">
        <is>
          <t>VIGONVITA-B</t>
        </is>
      </c>
      <c r="C383" s="62" t="inlineStr">
        <is>
          <t>旺山旺水－Ｂ</t>
        </is>
      </c>
      <c r="D383" s="62" t="inlineStr">
        <is>
          <t>Healthcare</t>
        </is>
      </c>
      <c r="E383" s="62" t="inlineStr">
        <is>
          <t>Biotech pre-revenue (18A)</t>
        </is>
      </c>
      <c r="F383" s="62" t="inlineStr">
        <is>
          <t>Biotechnology - Pharmaceuticals</t>
        </is>
      </c>
      <c r="G383" s="62" t="inlineStr">
        <is>
          <t>18A</t>
        </is>
      </c>
      <c r="H383" s="63" t="n">
        <v>45967</v>
      </c>
      <c r="I383" s="64" t="n">
        <v>587.24</v>
      </c>
      <c r="J383" s="62" t="inlineStr">
        <is>
          <t>gross (stated)</t>
        </is>
      </c>
      <c r="K383" s="65" t="n"/>
      <c r="L383" s="65" t="n">
        <v>34</v>
      </c>
      <c r="M383" s="65" t="n">
        <v>33.37</v>
      </c>
      <c r="N383" s="62" t="inlineStr">
        <is>
          <t>N</t>
        </is>
      </c>
      <c r="O383" s="66" t="n">
        <v>98.09999999999999</v>
      </c>
      <c r="P383" s="66" t="n"/>
      <c r="Q383" s="67" t="n">
        <v>5592.7</v>
      </c>
      <c r="R383" s="62" t="inlineStr">
        <is>
          <t>derived:price x shares upon listing</t>
        </is>
      </c>
      <c r="S383" s="68" t="n">
        <v>6238.42</v>
      </c>
      <c r="T383" s="69" t="n">
        <v>16.87</v>
      </c>
      <c r="U383" s="70" t="n"/>
      <c r="V383" s="66" t="n"/>
      <c r="W383" s="62" t="inlineStr">
        <is>
          <t>Ms. Jin Jie; Dr. Shen; Suzhou Industrial Investment</t>
        </is>
      </c>
      <c r="X383" s="62" t="inlineStr">
        <is>
          <t>ms-jin;dr-shen;suzhou</t>
        </is>
      </c>
      <c r="Y383" s="66" t="n">
        <v>6.24</v>
      </c>
      <c r="Z383" s="62" t="inlineStr">
        <is>
          <t>lapsed (no over-allocation)</t>
        </is>
      </c>
      <c r="AA383" s="71" t="n">
        <v>145.73</v>
      </c>
      <c r="AB383" s="72" t="n">
        <v>184.69</v>
      </c>
      <c r="AC383" s="72" t="n">
        <v>-13.69</v>
      </c>
      <c r="AD383" s="72" t="n">
        <v>64.97</v>
      </c>
      <c r="AE383" s="72" t="n">
        <v>131.05</v>
      </c>
      <c r="AF383" s="72" t="n">
        <v>216.15</v>
      </c>
      <c r="AG383" s="72" t="n">
        <v>-32.87</v>
      </c>
      <c r="AH383" s="72" t="n">
        <v>-5.97</v>
      </c>
      <c r="AI383" s="72" t="n">
        <v>28.66</v>
      </c>
      <c r="AJ383" s="72" t="n">
        <v>61.71</v>
      </c>
      <c r="AK383" s="72" t="n">
        <v>132.59</v>
      </c>
      <c r="AL383" s="72" t="n">
        <v>223.02</v>
      </c>
      <c r="AM383" s="72" t="n">
        <v>-4.04</v>
      </c>
      <c r="AN383" s="72" t="n">
        <v>-1.54</v>
      </c>
      <c r="AO383" s="72" t="n">
        <v>-1.93</v>
      </c>
      <c r="AP383" s="62" t="inlineStr">
        <is>
          <t>China Biotech ETF (HS biotech proxy)</t>
        </is>
      </c>
      <c r="AQ383" s="72" t="n">
        <v>159.07</v>
      </c>
      <c r="AR383" s="63" t="inlineStr">
        <is>
          <t>2026-08-20</t>
        </is>
      </c>
      <c r="AS383" s="64" t="n">
        <v>3.5</v>
      </c>
      <c r="AT383" s="67" t="n">
        <v>-81.2</v>
      </c>
      <c r="AU383" s="62" t="inlineStr">
        <is>
          <t>N</t>
        </is>
      </c>
      <c r="AV383" s="62" t="inlineStr">
        <is>
          <t>n/m</t>
        </is>
      </c>
      <c r="AW383" s="73" t="n"/>
      <c r="AX383" s="73" t="n"/>
      <c r="AY383" s="73" t="n">
        <v>1597.9</v>
      </c>
      <c r="AZ383" s="74" t="inlineStr">
        <is>
          <t>N</t>
        </is>
      </c>
      <c r="BA383" s="75">
        <f>IF('BBG Verify'!K383="","not filed — run on terminal",'BBG Verify'!K383)</f>
        <v/>
      </c>
      <c r="BB383" s="62" t="inlineStr">
        <is>
          <t>N/A</t>
        </is>
      </c>
      <c r="BC383" s="62" t="inlineStr">
        <is>
          <t>N/A</t>
        </is>
      </c>
      <c r="BD383" s="62" t="inlineStr">
        <is>
          <t>N/A</t>
        </is>
      </c>
      <c r="BE383" s="62" t="inlineStr">
        <is>
          <t>N/A</t>
        </is>
      </c>
      <c r="BF383" s="62" t="inlineStr">
        <is>
          <t>N/A</t>
        </is>
      </c>
      <c r="BG383" s="74" t="inlineStr">
        <is>
          <t>CITIC Securities (Hong Kong) Limited</t>
        </is>
      </c>
      <c r="BH383" s="62" t="inlineStr">
        <is>
          <t>CITIC Securities (Hong Kong) Limited</t>
        </is>
      </c>
      <c r="BI383" s="62" t="inlineStr">
        <is>
          <t>CLSA Limited; China International Capital Corporation Hong Kong Securities Limited; ABCI Capital Limited; China Galaxy International Securities (Hong Kong) Co., Limited; CCB International Capital Limited; China Everbright Securities (HK) Limited; Futu Securities International (Hong Kong) Limited; Tiger Brokers (HK) Global Limited; Zhongtai International Securities Limited</t>
        </is>
      </c>
      <c r="BJ383" s="62" t="inlineStr">
        <is>
          <t>ABCI Securities Company Limited; CCB International Capital Limited; China Everbright Securities (HK) Limited; China Galaxy International Securities (Hong Kong) Company Limited; China International Capital Corporation Hong Kong Securities Limited; CLSA Limited; Futu Securities International (Hong Kong) Limited; Tiger Brokers (HK) Global Limited; Zhongtai International Securities Limited</t>
        </is>
      </c>
      <c r="BK383" s="76">
        <f>HYPERLINK("https://www1.hkexnews.hk/listedco/listconews/sehk/2025/1028/2025102800017.pdf","prospectus")</f>
        <v/>
      </c>
      <c r="BL383" s="76">
        <f>HYPERLINK("https://www1.hkexnews.hk/listedco/listconews/sehk/2025/1105/2025110502006.pdf","allotment")</f>
        <v/>
      </c>
      <c r="BM383" s="76">
        <f>HYPERLINK("https://www1.hkexnews.hk/listedco/listconews/sehk/2025/1203/2025120300845.pdf","stabilisation")</f>
        <v/>
      </c>
      <c r="BN383" s="74" t="n"/>
      <c r="BO383" s="62" t="inlineStr">
        <is>
          <t>P/E: n/m — loss-making at IPO (use P/S) · range low: cap-only pricing — the filing publishes a Maximum Offer Price and no indicative floor · A/H: no A-share listing · cornerstone %: cornerstone aggregate not stated in the filing · P/S: 1,598x on HK$3.5m revenue — effectively pre-revenue; the multiple is shown for completeness, not comparability</t>
        </is>
      </c>
    </row>
    <row r="384" ht="15" customHeight="1">
      <c r="A384" s="61" t="inlineStr">
        <is>
          <t>2026</t>
        </is>
      </c>
      <c r="B384" s="62" t="inlineStr">
        <is>
          <t>PONY-W</t>
        </is>
      </c>
      <c r="C384" s="62" t="inlineStr">
        <is>
          <t>小馬智行</t>
        </is>
      </c>
      <c r="D384" s="62" t="inlineStr">
        <is>
          <t>Tech/AI</t>
        </is>
      </c>
      <c r="E384" s="62" t="inlineStr">
        <is>
          <t>Robotics &amp; autonomous driving</t>
        </is>
      </c>
      <c r="F384" s="62" t="inlineStr">
        <is>
          <t>Trucking</t>
        </is>
      </c>
      <c r="G384" s="62" t="inlineStr">
        <is>
          <t>WVR</t>
        </is>
      </c>
      <c r="H384" s="63" t="n">
        <v>45967</v>
      </c>
      <c r="I384" s="64" t="n">
        <v>6706.61</v>
      </c>
      <c r="J384" s="62" t="inlineStr">
        <is>
          <t>gross (stated)</t>
        </is>
      </c>
      <c r="K384" s="65" t="n"/>
      <c r="L384" s="65" t="n">
        <v>180</v>
      </c>
      <c r="M384" s="65" t="n">
        <v>139</v>
      </c>
      <c r="N384" s="62" t="inlineStr">
        <is>
          <t>N</t>
        </is>
      </c>
      <c r="O384" s="66" t="n">
        <v>77.2</v>
      </c>
      <c r="P384" s="66" t="n"/>
      <c r="Q384" s="67" t="n">
        <v>60419.9</v>
      </c>
      <c r="R384" s="62" t="inlineStr">
        <is>
          <t>derived:deal size / offer % of enlarged capital</t>
        </is>
      </c>
      <c r="S384" s="68" t="n">
        <v>15.88</v>
      </c>
      <c r="T384" s="69" t="n">
        <v>7.72</v>
      </c>
      <c r="U384" s="70" t="n">
        <v>1.9</v>
      </c>
      <c r="V384" s="66" t="n">
        <v>10.89</v>
      </c>
      <c r="W384" s="62" t="inlineStr">
        <is>
          <t>Ghisallo Fund Master Ltd; Athos Capital Limited; Hel Ved Master Fund; Ocean Arete Limited; Eastspring</t>
        </is>
      </c>
      <c r="X384" s="62" t="inlineStr">
        <is>
          <t>ghisallo;athos;hel;ocean;eastspring</t>
        </is>
      </c>
      <c r="Y384" s="66" t="n">
        <v>15</v>
      </c>
      <c r="Z384" s="62" t="inlineStr">
        <is>
          <t>lapsed</t>
        </is>
      </c>
      <c r="AA384" s="71" t="n">
        <v>-9.279999999999999</v>
      </c>
      <c r="AB384" s="72" t="n">
        <v>-10.79</v>
      </c>
      <c r="AC384" s="72" t="n">
        <v>1.69</v>
      </c>
      <c r="AD384" s="72" t="n">
        <v>-22.3</v>
      </c>
      <c r="AE384" s="72" t="n">
        <v>-16.47</v>
      </c>
      <c r="AF384" s="72" t="n">
        <v>-25.4</v>
      </c>
      <c r="AG384" s="72" t="n">
        <v>-14.35</v>
      </c>
      <c r="AH384" s="72" t="n">
        <v>-7.93</v>
      </c>
      <c r="AI384" s="72" t="n">
        <v>-17.77</v>
      </c>
      <c r="AJ384" s="72" t="n">
        <v>-25.56</v>
      </c>
      <c r="AK384" s="72" t="n">
        <v>-14.18</v>
      </c>
      <c r="AL384" s="72" t="n">
        <v>-17.64</v>
      </c>
      <c r="AM384" s="72" t="n">
        <v>-3.04</v>
      </c>
      <c r="AN384" s="72" t="n">
        <v>-2.29</v>
      </c>
      <c r="AO384" s="72" t="n">
        <v>-4.89</v>
      </c>
      <c r="AP384" s="62" t="inlineStr">
        <is>
          <t>HSTECH (Hang Seng TECH ETF)</t>
        </is>
      </c>
      <c r="AQ384" s="72" t="n">
        <v>-55.83</v>
      </c>
      <c r="AR384" s="63" t="inlineStr">
        <is>
          <t>2026-08-24</t>
        </is>
      </c>
      <c r="AS384" s="64" t="n">
        <v>585.2</v>
      </c>
      <c r="AT384" s="67" t="n">
        <v>-2138.1</v>
      </c>
      <c r="AU384" s="62" t="inlineStr">
        <is>
          <t>N</t>
        </is>
      </c>
      <c r="AV384" s="62" t="inlineStr">
        <is>
          <t>n/m</t>
        </is>
      </c>
      <c r="AW384" s="73" t="n"/>
      <c r="AX384" s="73" t="n"/>
      <c r="AY384" s="73" t="n">
        <v>103.2</v>
      </c>
      <c r="AZ384" s="74" t="inlineStr">
        <is>
          <t>N</t>
        </is>
      </c>
      <c r="BA384" s="75">
        <f>IF('BBG Verify'!K384="","not filed — run on terminal",'BBG Verify'!K384)</f>
        <v/>
      </c>
      <c r="BB384" s="62" t="inlineStr">
        <is>
          <t>N/A</t>
        </is>
      </c>
      <c r="BC384" s="62" t="inlineStr">
        <is>
          <t>N/A</t>
        </is>
      </c>
      <c r="BD384" s="62" t="inlineStr">
        <is>
          <t>N/A</t>
        </is>
      </c>
      <c r="BE384" s="62" t="inlineStr">
        <is>
          <t>N/A</t>
        </is>
      </c>
      <c r="BF384" s="62" t="inlineStr">
        <is>
          <t>N/A</t>
        </is>
      </c>
      <c r="BG384" s="74" t="inlineStr">
        <is>
          <t>Goldman Sachs; BofA Securities; Deutsche Bank; Huatai International</t>
        </is>
      </c>
      <c r="BH384" s="62" t="inlineStr">
        <is>
          <t>Merrill Lynch (Asia Pacific) Limited; Goldman Sachs (Asia) L.L.C.; Huatai Financial Holdings (Hong Kong) Limited; Deutsche Securities Asia Limited</t>
        </is>
      </c>
      <c r="BI384" s="62" t="inlineStr">
        <is>
          <t>Goldman Sachs (Asia) L.L.C; Central, Hong Kong Merrill Lynch (Asia Pacific) Limited; Central, Hong Kong Deutsche Bank AG, Hong Kong Branch; Huatai Financial Holdings (Hong Kong) Limited; Central, Hong Kong CLSA Limited; BOCI Asia Limited</t>
        </is>
      </c>
      <c r="BJ384" s="62" t="inlineStr">
        <is>
          <t>BOCI Asia Limited; CLSA Limited; Deutsche Bank AG, Hong Kong Branch; Futu Securities International (Hong Kong) Limited; Goldman Sachs (Asia) L.L.C.; Huatai Financial Holdings (Hong Kong) Limited; Macquarie Capital Limited; Merrill Lynch (Asia Pacific) Limited; Tiger Brokers (HK) Global Limited</t>
        </is>
      </c>
      <c r="BK384" s="76">
        <f>HYPERLINK("https://www1.hkexnews.hk/listedco/listconews/sehk/2025/1028/2025102800087.pdf","prospectus")</f>
        <v/>
      </c>
      <c r="BL384" s="76">
        <f>HYPERLINK("https://www1.hkexnews.hk/listedco/listconews/sehk/2025/1105/2025110502018.pdf","allotment")</f>
        <v/>
      </c>
      <c r="BM384" s="76">
        <f>HYPERLINK("https://www1.hkexnews.hk/listedco/listconews/sehk/2025/1203/2025120302148.pdf","stabilisation")</f>
        <v/>
      </c>
      <c r="BN384" s="74" t="n"/>
      <c r="BO384" s="62" t="inlineStr">
        <is>
          <t>P/E: n/m — loss-making at IPO (use P/S) · range low: cap-only pricing — the filing publishes a Maximum Offer Price and no indicative floor · A/H: no A-share listing</t>
        </is>
      </c>
    </row>
    <row r="385" ht="15" customHeight="1">
      <c r="A385" s="61" t="inlineStr">
        <is>
          <t>0699</t>
        </is>
      </c>
      <c r="B385" s="62" t="inlineStr">
        <is>
          <t>JOYSON ELEC</t>
        </is>
      </c>
      <c r="C385" s="62" t="inlineStr">
        <is>
          <t>均勝電子</t>
        </is>
      </c>
      <c r="D385" s="62" t="inlineStr">
        <is>
          <t>Consumer</t>
        </is>
      </c>
      <c r="E385" s="62" t="inlineStr">
        <is>
          <t>Auto parts / supply chain</t>
        </is>
      </c>
      <c r="F385" s="62" t="inlineStr">
        <is>
          <t>Auto Parts &amp; Equipment</t>
        </is>
      </c>
      <c r="G385" s="62" t="inlineStr">
        <is>
          <t>Standard</t>
        </is>
      </c>
      <c r="H385" s="63" t="n">
        <v>45967</v>
      </c>
      <c r="I385" s="64" t="n">
        <v>3412.2</v>
      </c>
      <c r="J385" s="62" t="inlineStr">
        <is>
          <t>gross (stated)</t>
        </is>
      </c>
      <c r="K385" s="65" t="n"/>
      <c r="L385" s="65" t="n">
        <v>23.6</v>
      </c>
      <c r="M385" s="65" t="n">
        <v>22</v>
      </c>
      <c r="N385" s="62" t="inlineStr">
        <is>
          <t>N</t>
        </is>
      </c>
      <c r="O385" s="66" t="n">
        <v>93.2</v>
      </c>
      <c r="P385" s="66" t="n"/>
      <c r="Q385" s="67" t="n">
        <v>26637</v>
      </c>
      <c r="R385" s="62" t="inlineStr">
        <is>
          <t>derived:deal size / offer % of enlarged capital</t>
        </is>
      </c>
      <c r="S385" s="68" t="n">
        <v>147.67</v>
      </c>
      <c r="T385" s="69" t="n">
        <v>9.779999999999999</v>
      </c>
      <c r="U385" s="70" t="n">
        <v>24.5</v>
      </c>
      <c r="V385" s="66" t="n">
        <v>9.67</v>
      </c>
      <c r="W385" s="62" t="inlineStr">
        <is>
          <t>JSC (chairman vehicle); Ningbo Xinzhi; Jump Trading; Zhongding Capital Fund VIII; China Post Wealth Management; Vandi (CCB International); Fidelidade (Fosun)</t>
        </is>
      </c>
      <c r="X385" s="62" t="inlineStr">
        <is>
          <t>jsc;ningbo;jump;zhongding;post;vandi;fidelidade</t>
        </is>
      </c>
      <c r="Y385" s="66" t="n">
        <v>15</v>
      </c>
      <c r="Z385" s="62" t="n"/>
      <c r="AA385" s="71" t="n">
        <v>-8</v>
      </c>
      <c r="AB385" s="72" t="n">
        <v>-2.27</v>
      </c>
      <c r="AC385" s="72" t="n">
        <v>-5.86</v>
      </c>
      <c r="AD385" s="72" t="n">
        <v>-20.45</v>
      </c>
      <c r="AE385" s="72" t="n">
        <v>-20.82</v>
      </c>
      <c r="AF385" s="72" t="n">
        <v>-22.86</v>
      </c>
      <c r="AG385" s="72" t="n">
        <v>-13.53</v>
      </c>
      <c r="AH385" s="72" t="n">
        <v>-13.93</v>
      </c>
      <c r="AI385" s="72" t="n">
        <v>-16.15</v>
      </c>
      <c r="AJ385" s="72" t="n">
        <v>-24.17</v>
      </c>
      <c r="AK385" s="72" t="n">
        <v>-20.92</v>
      </c>
      <c r="AL385" s="72" t="n">
        <v>-20.29</v>
      </c>
      <c r="AM385" s="72" t="n">
        <v>-11.74</v>
      </c>
      <c r="AN385" s="72" t="n">
        <v>0.1</v>
      </c>
      <c r="AO385" s="72" t="n">
        <v>-2.19</v>
      </c>
      <c r="AP385" s="62" t="inlineStr">
        <is>
          <t>Hang Seng Commerce &amp; Industry sub-index</t>
        </is>
      </c>
      <c r="AQ385" s="72" t="n">
        <v>-41.18</v>
      </c>
      <c r="AR385" s="63" t="inlineStr">
        <is>
          <t>2026-08-21</t>
        </is>
      </c>
      <c r="AS385" s="64" t="n">
        <v>61449.9</v>
      </c>
      <c r="AT385" s="67" t="n">
        <v>1458.9</v>
      </c>
      <c r="AU385" s="62" t="inlineStr">
        <is>
          <t>Y</t>
        </is>
      </c>
      <c r="AV385" s="73" t="n">
        <v>18.3</v>
      </c>
      <c r="AW385" s="73" t="n"/>
      <c r="AX385" s="73" t="n"/>
      <c r="AY385" s="73" t="n">
        <v>0.4</v>
      </c>
      <c r="AZ385" s="74" t="inlineStr">
        <is>
          <t>Y</t>
        </is>
      </c>
      <c r="BA385" s="62" t="inlineStr">
        <is>
          <t>600699.SS</t>
        </is>
      </c>
      <c r="BB385" s="72" t="n">
        <v>48.18</v>
      </c>
      <c r="BC385" s="65" t="n">
        <v>32.5992</v>
      </c>
      <c r="BD385" s="79" t="n">
        <v>0.7886</v>
      </c>
      <c r="BE385" s="77">
        <f>IF('BBG Verify'!Q385="","run on terminal",'BBG Verify'!Q385)</f>
        <v/>
      </c>
      <c r="BF385" s="77">
        <f>IF('BBG Verify'!R385="","run on terminal",'BBG Verify'!R385)</f>
        <v/>
      </c>
      <c r="BG385" s="74" t="inlineStr">
        <is>
          <t>China International Capital Corporation Hong Kong Securities Limited; UBS Securities Hong Kong Limited</t>
        </is>
      </c>
      <c r="BH385" s="62" t="inlineStr">
        <is>
          <t>China International Capital Corporation Hong Kong Securities Limited; UBS Securities Hong Kong Limited</t>
        </is>
      </c>
      <c r="BI385" s="62" t="inlineStr">
        <is>
          <t>China International Capital Corporation Hong Kong Securities Limited; ABCI Capital Limited; UBS AG Hong Kong Branch; China Renaissance Securities (Hong Kong) Limited</t>
        </is>
      </c>
      <c r="BJ385" s="62" t="inlineStr">
        <is>
          <t>ABCI Securities Company Limited; China International Capital Corporation Hong Kong Securities Limited; China Renaissance Securities (Hong Kong) Limited; GF Securities (Hong Kong) Brokerage Limited; UBS AG Hong Kong Branch</t>
        </is>
      </c>
      <c r="BK385" s="76">
        <f>HYPERLINK("https://www1.hkexnews.hk/listedco/listconews/sehk/2025/1028/2025102800057.pdf","prospectus")</f>
        <v/>
      </c>
      <c r="BL385" s="76">
        <f>HYPERLINK("https://www1.hkexnews.hk/listedco/listconews/sehk/2025/1105/2025110502028.pdf","allotment")</f>
        <v/>
      </c>
      <c r="BM385" s="62" t="n"/>
      <c r="BN385" s="74" t="n"/>
      <c r="BO385" s="62" t="inlineStr">
        <is>
          <t>greenshoe: end-of-stabilisation notice not located · range low: cap-only pricing — the filing publishes a Maximum Offer Price and no indicative floor · A/H: Nov 2025 H listing (auto electronics/safety)</t>
        </is>
      </c>
    </row>
    <row r="386" ht="15" customHeight="1">
      <c r="A386" s="61" t="inlineStr">
        <is>
          <t>2698</t>
        </is>
      </c>
      <c r="B386" s="62" t="inlineStr">
        <is>
          <t>SOFTCARE</t>
        </is>
      </c>
      <c r="C386" s="62" t="inlineStr">
        <is>
          <t>樂舒適</t>
        </is>
      </c>
      <c r="D386" s="62" t="inlineStr">
        <is>
          <t>Consumer</t>
        </is>
      </c>
      <c r="E386" s="62" t="inlineStr">
        <is>
          <t>Retail / distribution</t>
        </is>
      </c>
      <c r="F386" s="62" t="inlineStr">
        <is>
          <t>Children's and Infant Products</t>
        </is>
      </c>
      <c r="G386" s="62" t="inlineStr">
        <is>
          <t>Standard</t>
        </is>
      </c>
      <c r="H386" s="63" t="n">
        <v>45971</v>
      </c>
      <c r="I386" s="64" t="n">
        <v>2381.16</v>
      </c>
      <c r="J386" s="62" t="inlineStr">
        <is>
          <t>gross (stated)</t>
        </is>
      </c>
      <c r="K386" s="65" t="n">
        <v>24.2</v>
      </c>
      <c r="L386" s="65" t="n">
        <v>26.2</v>
      </c>
      <c r="M386" s="65" t="n">
        <v>26.2</v>
      </c>
      <c r="N386" s="62" t="inlineStr">
        <is>
          <t>Y</t>
        </is>
      </c>
      <c r="O386" s="66" t="n">
        <v>100</v>
      </c>
      <c r="P386" s="66" t="n">
        <v>100</v>
      </c>
      <c r="Q386" s="67" t="n">
        <v>14662.4</v>
      </c>
      <c r="R386" s="62" t="inlineStr">
        <is>
          <t>prospectus:stated market capitalisation</t>
        </is>
      </c>
      <c r="S386" s="68" t="n">
        <v>1813.77</v>
      </c>
      <c r="T386" s="69" t="n">
        <v>34.33</v>
      </c>
      <c r="U386" s="70" t="n">
        <v>4.6</v>
      </c>
      <c r="V386" s="66" t="n">
        <v>15.49</v>
      </c>
      <c r="W386" s="62" t="inlineStr">
        <is>
          <t>NewTrails Capital; NewTrails Forest; China Southern AM; Fullgoal Fund; E Fund Management Co., Ltd; Relationship E Fund; CICC FT; Qihui Runjin; China AMC; Relationship CITIC AM</t>
        </is>
      </c>
      <c r="X386" s="62" t="inlineStr">
        <is>
          <t>newtrails;southern-am;fullgoal;fund-management;relationship;china-international;qihui;amc</t>
        </is>
      </c>
      <c r="Y386" s="66" t="n">
        <v>15</v>
      </c>
      <c r="Z386" s="62" t="n"/>
      <c r="AA386" s="71" t="n">
        <v>25.95</v>
      </c>
      <c r="AB386" s="72" t="n">
        <v>33.51</v>
      </c>
      <c r="AC386" s="72" t="n">
        <v>-5.66</v>
      </c>
      <c r="AD386" s="72" t="n">
        <v>17.71</v>
      </c>
      <c r="AE386" s="72" t="n">
        <v>14.5</v>
      </c>
      <c r="AF386" s="72" t="n">
        <v>17.1</v>
      </c>
      <c r="AG386" s="72" t="n">
        <v>-6.54</v>
      </c>
      <c r="AH386" s="72" t="n">
        <v>-9.09</v>
      </c>
      <c r="AI386" s="72" t="n">
        <v>-7.03</v>
      </c>
      <c r="AJ386" s="72" t="n">
        <v>17.93</v>
      </c>
      <c r="AK386" s="72" t="n">
        <v>17.89</v>
      </c>
      <c r="AL386" s="72" t="n">
        <v>18.47</v>
      </c>
      <c r="AM386" s="72" t="n">
        <v>-3.92</v>
      </c>
      <c r="AN386" s="72" t="n">
        <v>-3.39</v>
      </c>
      <c r="AO386" s="72" t="n">
        <v>-5.17</v>
      </c>
      <c r="AP386" s="62" t="inlineStr">
        <is>
          <t>Hang Seng Commerce &amp; Industry sub-index</t>
        </is>
      </c>
      <c r="AQ386" s="72" t="n">
        <v>26.72</v>
      </c>
      <c r="AR386" s="63" t="inlineStr">
        <is>
          <t>2026-08-21</t>
        </is>
      </c>
      <c r="AS386" s="64" t="n">
        <v>3544.2</v>
      </c>
      <c r="AT386" s="67" t="n">
        <v>741.9</v>
      </c>
      <c r="AU386" s="62" t="inlineStr">
        <is>
          <t>Y</t>
        </is>
      </c>
      <c r="AV386" s="73" t="n">
        <v>19.8</v>
      </c>
      <c r="AW386" s="73" t="n">
        <v>22.3</v>
      </c>
      <c r="AX386" s="73" t="n">
        <v>19.1</v>
      </c>
      <c r="AY386" s="73" t="n">
        <v>4.1</v>
      </c>
      <c r="AZ386" s="74" t="inlineStr">
        <is>
          <t>N</t>
        </is>
      </c>
      <c r="BA386" s="75">
        <f>IF('BBG Verify'!K386="","not filed — run on terminal",'BBG Verify'!K386)</f>
        <v/>
      </c>
      <c r="BB386" s="62" t="inlineStr">
        <is>
          <t>N/A</t>
        </is>
      </c>
      <c r="BC386" s="62" t="inlineStr">
        <is>
          <t>N/A</t>
        </is>
      </c>
      <c r="BD386" s="62" t="inlineStr">
        <is>
          <t>N/A</t>
        </is>
      </c>
      <c r="BE386" s="62" t="inlineStr">
        <is>
          <t>N/A</t>
        </is>
      </c>
      <c r="BF386" s="62" t="inlineStr">
        <is>
          <t>N/A</t>
        </is>
      </c>
      <c r="BG386" s="74" t="inlineStr">
        <is>
          <t>China International Capital Corporation Hong Kong Securities Limited; CITIC Securities (Hong Kong) Limited; GF Capital (Hong Kong) Limited</t>
        </is>
      </c>
      <c r="BH386" s="62" t="inlineStr">
        <is>
          <t>China International Capital Corporation Hong Kong Securities Limited; CITIC Securities (Hong Kong) Limited; GF Capital (Hong Kong) Limited</t>
        </is>
      </c>
      <c r="BI386" s="62" t="inlineStr">
        <is>
          <t>China International Capital Corporation Hong Kong Securities Limited; CLSA Limited; GF Securities (Hong Kong) Brokerage Limited</t>
        </is>
      </c>
      <c r="BJ386" s="62" t="inlineStr">
        <is>
          <t>China International Capital Corporation Hong Kong Securities Limited; CLSA Limited; GF Securities (Hong Kong) Brokerage Limited</t>
        </is>
      </c>
      <c r="BK386" s="76">
        <f>HYPERLINK("https://www1.hkexnews.hk/listedco/listconews/sehk/2025/1031/2025103100021.pdf","prospectus")</f>
        <v/>
      </c>
      <c r="BL386" s="76">
        <f>HYPERLINK("https://www1.hkexnews.hk/listedco/listconews/sehk/2025/1107/2025110701708.pdf","allotment")</f>
        <v/>
      </c>
      <c r="BM386" s="62" t="n"/>
      <c r="BN386" s="74" t="n"/>
      <c r="BO386" s="62" t="inlineStr">
        <is>
          <t>greenshoe: end-of-stabilisation notice not located · A/H: no A-share listing</t>
        </is>
      </c>
    </row>
    <row r="387" ht="15" customHeight="1">
      <c r="A387" s="61" t="inlineStr">
        <is>
          <t>2579</t>
        </is>
      </c>
      <c r="B387" s="62" t="inlineStr">
        <is>
          <t>CNGR</t>
        </is>
      </c>
      <c r="C387" s="62" t="inlineStr">
        <is>
          <t>中偉新材</t>
        </is>
      </c>
      <c r="D387" s="62" t="inlineStr">
        <is>
          <t>Industrials</t>
        </is>
      </c>
      <c r="E387" s="62" t="inlineStr">
        <is>
          <t>Batteries / energy storage</t>
        </is>
      </c>
      <c r="F387" s="62" t="inlineStr">
        <is>
          <t>Diversified Chemicals</t>
        </is>
      </c>
      <c r="G387" s="62" t="inlineStr">
        <is>
          <t>Standard</t>
        </is>
      </c>
      <c r="H387" s="63" t="n">
        <v>45978</v>
      </c>
      <c r="I387" s="64" t="n">
        <v>3543.7</v>
      </c>
      <c r="J387" s="62" t="inlineStr">
        <is>
          <t>gross (price x shares)</t>
        </is>
      </c>
      <c r="K387" s="65" t="n"/>
      <c r="L387" s="65" t="n">
        <v>37.8</v>
      </c>
      <c r="M387" s="65" t="n">
        <v>34</v>
      </c>
      <c r="N387" s="62" t="inlineStr">
        <is>
          <t>N</t>
        </is>
      </c>
      <c r="O387" s="66" t="n">
        <v>89.90000000000001</v>
      </c>
      <c r="P387" s="66" t="n"/>
      <c r="Q387" s="67" t="n">
        <v>31277.1</v>
      </c>
      <c r="R387" s="62" t="inlineStr">
        <is>
          <t>derived:deal size / offer % of enlarged capital</t>
        </is>
      </c>
      <c r="S387" s="68" t="n">
        <v>27.9</v>
      </c>
      <c r="T387" s="69" t="n">
        <v>4.08</v>
      </c>
      <c r="U387" s="70" t="n">
        <v>46.8</v>
      </c>
      <c r="V387" s="66" t="n">
        <v>6.03</v>
      </c>
      <c r="W387" s="62" t="inlineStr">
        <is>
          <t>Guizhou New Industrialization Fund; Baoda Investment; CALB Co., Ltd; LENS TECHNOLOGY (HK) CO., LIMITED; Sunwoda; Gaoyi Asset Management; North Rock; Hunan Xingxiang Industry Fund</t>
        </is>
      </c>
      <c r="X387" s="62" t="inlineStr">
        <is>
          <t>guizhou;baoda;calb;lens;sunwoda;gaoyi;north-rock;hunan</t>
        </is>
      </c>
      <c r="Y387" s="66" t="n">
        <v>15</v>
      </c>
      <c r="Z387" s="62" t="inlineStr">
        <is>
          <t>lapsed</t>
        </is>
      </c>
      <c r="AA387" s="71" t="n">
        <v>-0.12</v>
      </c>
      <c r="AB387" s="72" t="n">
        <v>0</v>
      </c>
      <c r="AC387" s="72" t="n">
        <v>-0.12</v>
      </c>
      <c r="AD387" s="72" t="n">
        <v>-10.88</v>
      </c>
      <c r="AE387" s="72" t="n">
        <v>-22.65</v>
      </c>
      <c r="AF387" s="72" t="n">
        <v>2.53</v>
      </c>
      <c r="AG387" s="72" t="n">
        <v>-10.77</v>
      </c>
      <c r="AH387" s="72" t="n">
        <v>-22.56</v>
      </c>
      <c r="AI387" s="72" t="n">
        <v>2.65</v>
      </c>
      <c r="AJ387" s="72" t="n">
        <v>-7.61</v>
      </c>
      <c r="AK387" s="72" t="n">
        <v>-16.86</v>
      </c>
      <c r="AL387" s="72" t="n">
        <v>7.46</v>
      </c>
      <c r="AM387" s="72" t="n">
        <v>-17.39</v>
      </c>
      <c r="AN387" s="72" t="n">
        <v>-5.79</v>
      </c>
      <c r="AO387" s="72" t="n">
        <v>-5.17</v>
      </c>
      <c r="AP387" s="62" t="inlineStr">
        <is>
          <t>Hang Seng Commerce &amp; Industry sub-index</t>
        </is>
      </c>
      <c r="AQ387" s="72" t="n">
        <v>-27.71</v>
      </c>
      <c r="AR387" s="63" t="inlineStr">
        <is>
          <t>2026-08-20</t>
        </is>
      </c>
      <c r="AS387" s="64" t="n">
        <v>44245.2</v>
      </c>
      <c r="AT387" s="67" t="n">
        <v>1966.5</v>
      </c>
      <c r="AU387" s="62" t="inlineStr">
        <is>
          <t>Y</t>
        </is>
      </c>
      <c r="AV387" s="73" t="n">
        <v>15.9</v>
      </c>
      <c r="AW387" s="73" t="n">
        <v>21.5</v>
      </c>
      <c r="AX387" s="73" t="n">
        <v>13.4</v>
      </c>
      <c r="AY387" s="73" t="n">
        <v>0.7</v>
      </c>
      <c r="AZ387" s="74" t="inlineStr">
        <is>
          <t>Y</t>
        </is>
      </c>
      <c r="BA387" s="62" t="inlineStr">
        <is>
          <t>300919.SZ</t>
        </is>
      </c>
      <c r="BB387" s="72" t="n">
        <v>59.33</v>
      </c>
      <c r="BC387" s="65" t="n">
        <v>54.1727</v>
      </c>
      <c r="BD387" s="79" t="n">
        <v>0.8457</v>
      </c>
      <c r="BE387" s="77">
        <f>IF('BBG Verify'!Q387="","run on terminal",'BBG Verify'!Q387)</f>
        <v/>
      </c>
      <c r="BF387" s="77">
        <f>IF('BBG Verify'!R387="","run on terminal",'BBG Verify'!R387)</f>
        <v/>
      </c>
      <c r="BG387" s="74" t="inlineStr">
        <is>
          <t>and Sponsor-overall Coordinators Morgan Stanley Asia Limited; Huatai Financial Holdings (Hong Kong) Limited</t>
        </is>
      </c>
      <c r="BH387" s="62" t="inlineStr">
        <is>
          <t>Morgan Stanley Asia Limited; Huatai Financial Holdings (Hong Kong) Limited</t>
        </is>
      </c>
      <c r="BI387" s="62" t="inlineStr">
        <is>
          <t>Morgan Stanley Asia Limited; Huatai Financial Holdings (Hong Kong) Limited; China International Capital Corporation Hong Kong Securities Limited; BNP Paribas Securities (Asia) Limited; ABCI CAPITAL LIMITED; BOCI Asia Limited; ICBC International Securities Limited; CCB International Capital Limited; Mizuho Securities Asia Limited; Tiger Brokers (HK) Global Limited</t>
        </is>
      </c>
      <c r="BJ387" s="62" t="inlineStr">
        <is>
          <t>ABCI Capital Limited; BNP Paribas Securities (Asia) Limited; BOCI Asia Limited; CCB International Capital Limited; China International Capital Corporation Hong Kong Securities Limited; First Shanghai Securities Limited; Huatai Financial Holdings (Hong Kong) Limited; ICBC International Securities Limited; Morgan Stanley Asia Limited; Mizuho Securities Asia Limited; Tiger Brokers (HK) Global Limited</t>
        </is>
      </c>
      <c r="BK387" s="76">
        <f>HYPERLINK("https://www1.hkexnews.hk/listedco/listconews/sehk/2025/1107/2025110700058.htm","prospectus")</f>
        <v/>
      </c>
      <c r="BL387" s="76">
        <f>HYPERLINK("https://www1.hkexnews.hk/listedco/listconews/sehk/2025/1116/2025111600003.pdf","allotment")</f>
        <v/>
      </c>
      <c r="BM387" s="76">
        <f>HYPERLINK("https://www1.hkexnews.hk/listedco/listconews/sehk/2025/1212/2025121200406.pdf","stabilisation")</f>
        <v/>
      </c>
      <c r="BN387" s="74" t="n"/>
      <c r="BO387" s="62" t="inlineStr">
        <is>
          <t>range low: cap-only pricing — the filing publishes a Maximum Offer Price and no indicative floor · A/H: Nov 2025 H listing (battery precursor materials)</t>
        </is>
      </c>
    </row>
    <row r="388" ht="15" customHeight="1">
      <c r="A388" s="61" t="inlineStr">
        <is>
          <t>2788</t>
        </is>
      </c>
      <c r="B388" s="62" t="inlineStr">
        <is>
          <t>CHUANGXIN IND</t>
        </is>
      </c>
      <c r="C388" s="62" t="inlineStr">
        <is>
          <t>創新實業</t>
        </is>
      </c>
      <c r="D388" s="62" t="inlineStr">
        <is>
          <t>Materials/Energy</t>
        </is>
      </c>
      <c r="E388" s="62" t="inlineStr">
        <is>
          <t>Mining / metals</t>
        </is>
      </c>
      <c r="F388" s="62" t="inlineStr">
        <is>
          <t>Aluminum</t>
        </is>
      </c>
      <c r="G388" s="62" t="inlineStr">
        <is>
          <t>Standard</t>
        </is>
      </c>
      <c r="H388" s="63" t="n">
        <v>45985</v>
      </c>
      <c r="I388" s="64" t="n">
        <v>5495</v>
      </c>
      <c r="J388" s="62" t="inlineStr">
        <is>
          <t>gross (stated)</t>
        </is>
      </c>
      <c r="K388" s="65" t="n"/>
      <c r="L388" s="65" t="n">
        <v>10.99</v>
      </c>
      <c r="M388" s="65" t="n">
        <v>10.99</v>
      </c>
      <c r="N388" s="62" t="inlineStr">
        <is>
          <t>Y</t>
        </is>
      </c>
      <c r="O388" s="66" t="n">
        <v>100</v>
      </c>
      <c r="P388" s="66" t="n"/>
      <c r="Q388" s="67" t="n">
        <v>19837.5</v>
      </c>
      <c r="R388" s="62" t="inlineStr">
        <is>
          <t>derived:deal size / offer % of enlarged capital</t>
        </is>
      </c>
      <c r="S388" s="68" t="n">
        <v>447.2</v>
      </c>
      <c r="T388" s="69" t="n">
        <v>19.85</v>
      </c>
      <c r="U388" s="70" t="n">
        <v>49.66</v>
      </c>
      <c r="V388" s="66" t="n">
        <v>13.94</v>
      </c>
      <c r="W388" s="62" t="inlineStr">
        <is>
          <t>HHLR Advisors, Ltd; China Hongqiao Group Limited; Jane Street Asia Trading Limited; Management (HK) Limited</t>
        </is>
      </c>
      <c r="X388" s="62" t="inlineStr">
        <is>
          <t>hhlr;hongqiao;jane;management-limited</t>
        </is>
      </c>
      <c r="Y388" s="66" t="n">
        <v>15</v>
      </c>
      <c r="Z388" s="62" t="n"/>
      <c r="AA388" s="71" t="n">
        <v>32.76</v>
      </c>
      <c r="AB388" s="72" t="n">
        <v>38.31</v>
      </c>
      <c r="AC388" s="72" t="n">
        <v>-4.01</v>
      </c>
      <c r="AD388" s="72" t="n">
        <v>59.42</v>
      </c>
      <c r="AE388" s="72" t="n">
        <v>78.34</v>
      </c>
      <c r="AF388" s="72" t="n">
        <v>115.65</v>
      </c>
      <c r="AG388" s="72" t="n">
        <v>20.08</v>
      </c>
      <c r="AH388" s="72" t="n">
        <v>34.33</v>
      </c>
      <c r="AI388" s="72" t="n">
        <v>62.44</v>
      </c>
      <c r="AJ388" s="72" t="n">
        <v>55.74</v>
      </c>
      <c r="AK388" s="72" t="n">
        <v>77.44</v>
      </c>
      <c r="AL388" s="72" t="n">
        <v>115.98</v>
      </c>
      <c r="AM388" s="72" t="n">
        <v>35.65</v>
      </c>
      <c r="AN388" s="72" t="n">
        <v>0.9</v>
      </c>
      <c r="AO388" s="72" t="n">
        <v>-1.32</v>
      </c>
      <c r="AP388" s="62" t="inlineStr">
        <is>
          <t>Hang Seng Commerce &amp; Industry sub-index</t>
        </is>
      </c>
      <c r="AQ388" s="72" t="n">
        <v>50.05</v>
      </c>
      <c r="AR388" s="63" t="inlineStr">
        <is>
          <t>2026-08-21</t>
        </is>
      </c>
      <c r="AS388" s="64" t="n">
        <v>16679.5</v>
      </c>
      <c r="AT388" s="67" t="n">
        <v>2261.8</v>
      </c>
      <c r="AU388" s="62" t="inlineStr">
        <is>
          <t>Y</t>
        </is>
      </c>
      <c r="AV388" s="73" t="n">
        <v>8.800000000000001</v>
      </c>
      <c r="AW388" s="73" t="n"/>
      <c r="AX388" s="73" t="n"/>
      <c r="AY388" s="73" t="n">
        <v>1.2</v>
      </c>
      <c r="AZ388" s="74" t="inlineStr">
        <is>
          <t>N</t>
        </is>
      </c>
      <c r="BA388" s="75">
        <f>IF('BBG Verify'!K388="","not filed — run on terminal",'BBG Verify'!K388)</f>
        <v/>
      </c>
      <c r="BB388" s="62" t="inlineStr">
        <is>
          <t>N/A</t>
        </is>
      </c>
      <c r="BC388" s="62" t="inlineStr">
        <is>
          <t>N/A</t>
        </is>
      </c>
      <c r="BD388" s="62" t="inlineStr">
        <is>
          <t>N/A</t>
        </is>
      </c>
      <c r="BE388" s="62" t="inlineStr">
        <is>
          <t>N/A</t>
        </is>
      </c>
      <c r="BF388" s="62" t="inlineStr">
        <is>
          <t>N/A</t>
        </is>
      </c>
      <c r="BG388" s="74" t="inlineStr">
        <is>
          <t>China International Capital Corporation Hong Kong Securities Limited; Huatai Financial Holdings (Hong Kong) Limited</t>
        </is>
      </c>
      <c r="BH388" s="62" t="inlineStr">
        <is>
          <t>China International Capital Corporation Hong Kong Securities Limited; Huatai Financial Holdings (Hong Kong) Limited</t>
        </is>
      </c>
      <c r="BI388" s="62" t="inlineStr">
        <is>
          <t>China International Capital Corporation Hong Kong Securities Limited; Huatai Financial Holdings (Hong Kong) Limited; CMB International Capital Limited; UOB Kay Hian (Hong Kong) Limited; BOCI Asia Limited; South China Securities Limited</t>
        </is>
      </c>
      <c r="BJ388" s="62" t="inlineStr">
        <is>
          <t>AVICT Global Asset Management Limited; BOCI Asia Limited; China International Capital Corporation Hong Kong Securities Limited; CMB International Capital Limited; Futu Securities International (Hong Kong) Limited; Huatai Financial Holdings (Hong Kong) Limited; Livermore Holdings Limited; South China Securities Limited; Tiger Brokers (HK) Global Limited; UOB Kay Hian (Hong Kong) Limited</t>
        </is>
      </c>
      <c r="BK388" s="76">
        <f>HYPERLINK("https://www1.hkexnews.hk/listedco/listconews/sehk/2025/1114/2025111400009.pdf","prospectus")</f>
        <v/>
      </c>
      <c r="BL388" s="76">
        <f>HYPERLINK("https://www1.hkexnews.hk/listedco/listconews/sehk/2025/1121/2025112101421.pdf","allotment")</f>
        <v/>
      </c>
      <c r="BM388" s="62" t="n"/>
      <c r="BN388" s="74" t="n"/>
      <c r="BO388" s="62" t="inlineStr">
        <is>
          <t>greenshoe: end-of-stabilisation notice not located · range low: cap-only pricing — the filing publishes a Maximum Offer Price and no indicative floor · A/H: no A-share listing</t>
        </is>
      </c>
    </row>
    <row r="389" ht="15" customHeight="1">
      <c r="A389" s="61" t="inlineStr">
        <is>
          <t>2685</t>
        </is>
      </c>
      <c r="B389" s="62" t="inlineStr">
        <is>
          <t>QUANTGROUP</t>
        </is>
      </c>
      <c r="C389" s="62" t="inlineStr">
        <is>
          <t>量化派</t>
        </is>
      </c>
      <c r="D389" s="62" t="inlineStr">
        <is>
          <t>Tech/AI</t>
        </is>
      </c>
      <c r="E389" s="62" t="inlineStr">
        <is>
          <t>Internet platform / e-commerce</t>
        </is>
      </c>
      <c r="F389" s="62" t="inlineStr">
        <is>
          <t>e-Commerce &amp; Internet Services</t>
        </is>
      </c>
      <c r="G389" s="62" t="inlineStr">
        <is>
          <t>Standard</t>
        </is>
      </c>
      <c r="H389" s="63" t="n">
        <v>45988</v>
      </c>
      <c r="I389" s="64" t="n">
        <v>130.81</v>
      </c>
      <c r="J389" s="62" t="inlineStr">
        <is>
          <t>gross (stated)</t>
        </is>
      </c>
      <c r="K389" s="65" t="n"/>
      <c r="L389" s="65" t="n">
        <v>9.800000000000001</v>
      </c>
      <c r="M389" s="65" t="n">
        <v>9.800000000000001</v>
      </c>
      <c r="N389" s="62" t="inlineStr">
        <is>
          <t>Y</t>
        </is>
      </c>
      <c r="O389" s="66" t="n">
        <v>100</v>
      </c>
      <c r="P389" s="66" t="n"/>
      <c r="Q389" s="67" t="n">
        <v>5031.2</v>
      </c>
      <c r="R389" s="62" t="inlineStr">
        <is>
          <t>derived:deal size / offer % of enlarged capital</t>
        </is>
      </c>
      <c r="S389" s="68" t="n">
        <v>9366.280000000001</v>
      </c>
      <c r="T389" s="69" t="n">
        <v>15.07</v>
      </c>
      <c r="U389" s="70" t="n">
        <v>0</v>
      </c>
      <c r="V389" s="66" t="n">
        <v>2.6</v>
      </c>
      <c r="W389" s="62" t="n"/>
      <c r="X389" s="62" t="n"/>
      <c r="Y389" s="66" t="n">
        <v>15</v>
      </c>
      <c r="Z389" s="62" t="inlineStr">
        <is>
          <t>partial</t>
        </is>
      </c>
      <c r="AA389" s="71" t="n">
        <v>88.78</v>
      </c>
      <c r="AB389" s="72" t="n">
        <v>165.31</v>
      </c>
      <c r="AC389" s="72" t="n">
        <v>-28.85</v>
      </c>
      <c r="AD389" s="72" t="n">
        <v>189.8</v>
      </c>
      <c r="AE389" s="72" t="n">
        <v>177.76</v>
      </c>
      <c r="AF389" s="72" t="n">
        <v>208.98</v>
      </c>
      <c r="AG389" s="72" t="n">
        <v>53.51</v>
      </c>
      <c r="AH389" s="72" t="n">
        <v>47.13</v>
      </c>
      <c r="AI389" s="72" t="n">
        <v>63.67</v>
      </c>
      <c r="AJ389" s="72" t="n">
        <v>189.89</v>
      </c>
      <c r="AK389" s="72" t="n">
        <v>178.58</v>
      </c>
      <c r="AL389" s="72" t="n">
        <v>223.24</v>
      </c>
      <c r="AM389" s="72" t="n">
        <v>47.59</v>
      </c>
      <c r="AN389" s="72" t="n">
        <v>-0.82</v>
      </c>
      <c r="AO389" s="72" t="n">
        <v>-0.46</v>
      </c>
      <c r="AP389" s="62" t="inlineStr">
        <is>
          <t>HSTECH (Hang Seng TECH ETF)</t>
        </is>
      </c>
      <c r="AQ389" s="72" t="n">
        <v>-58.52</v>
      </c>
      <c r="AR389" s="63" t="inlineStr">
        <is>
          <t>2026-08-20</t>
        </is>
      </c>
      <c r="AS389" s="64" t="n">
        <v>1092.3</v>
      </c>
      <c r="AT389" s="67" t="n">
        <v>161.8</v>
      </c>
      <c r="AU389" s="62" t="inlineStr">
        <is>
          <t>Y</t>
        </is>
      </c>
      <c r="AV389" s="73" t="n">
        <v>31.1</v>
      </c>
      <c r="AW389" s="73" t="n"/>
      <c r="AX389" s="73" t="n"/>
      <c r="AY389" s="73" t="n">
        <v>4.6</v>
      </c>
      <c r="AZ389" s="74" t="inlineStr">
        <is>
          <t>N</t>
        </is>
      </c>
      <c r="BA389" s="75">
        <f>IF('BBG Verify'!K389="","not filed — run on terminal",'BBG Verify'!K389)</f>
        <v/>
      </c>
      <c r="BB389" s="62" t="inlineStr">
        <is>
          <t>N/A</t>
        </is>
      </c>
      <c r="BC389" s="62" t="inlineStr">
        <is>
          <t>N/A</t>
        </is>
      </c>
      <c r="BD389" s="62" t="inlineStr">
        <is>
          <t>N/A</t>
        </is>
      </c>
      <c r="BE389" s="62" t="inlineStr">
        <is>
          <t>N/A</t>
        </is>
      </c>
      <c r="BF389" s="62" t="inlineStr">
        <is>
          <t>N/A</t>
        </is>
      </c>
      <c r="BG389" s="74" t="inlineStr">
        <is>
          <t>China International Capital Corporation Hong Kong Securities Limited; Hong Kong SAR CITIC Securities (Hong Kong) Limited</t>
        </is>
      </c>
      <c r="BH389" s="62" t="inlineStr">
        <is>
          <t>China International Capital Corporation Hong Kong Securities Limited; CITIC Securities (Hong Kong) Limited</t>
        </is>
      </c>
      <c r="BI389" s="62" t="inlineStr">
        <is>
          <t>China International Capital Corporation Hong Kong Securities Limited; CLSA Limited; Hong Kong SAR Fosun International Securities Limited; Hong Kong SAR CLSA Limited; Hong Kong SAR Futu Securities International (Hong Kong) Limited; No.95 Queensway Admiralty Hong Kong SAR Tiger Brokers (HK) Global Limited</t>
        </is>
      </c>
      <c r="BJ389" s="62" t="inlineStr">
        <is>
          <t>China International Capital Corporation Hong Kong Securities Limited; CLSA Limited; Fosun International Securities Limited; Futu Securities International (Hong Kong) Limited; Tiger Brokers (HK) Global Limited</t>
        </is>
      </c>
      <c r="BK389" s="76">
        <f>HYPERLINK("https://www1.hkexnews.hk/listedco/listconews/sehk/2025/1119/2025111900009.pdf","prospectus")</f>
        <v/>
      </c>
      <c r="BL389" s="76">
        <f>HYPERLINK("https://www1.hkexnews.hk/listedco/listconews/sehk/2025/1126/2025112601522.pdf","allotment")</f>
        <v/>
      </c>
      <c r="BM389" s="76">
        <f>HYPERLINK("https://www1.hkexnews.hk/listedco/listconews/sehk/2025/1224/2025122401992.pdf","stabilisation")</f>
        <v/>
      </c>
      <c r="BN389" s="74" t="n"/>
      <c r="BO389" s="62" t="inlineStr">
        <is>
          <t>range low: cap-only pricing — the filing publishes a Maximum Offer Price and no indicative floor · A/H: no A-share listing · cornerstone list: no cornerstone tranche in this deal</t>
        </is>
      </c>
    </row>
    <row r="390" ht="15" customHeight="1">
      <c r="A390" s="61" t="inlineStr">
        <is>
          <t>9609</t>
        </is>
      </c>
      <c r="B390" s="62" t="inlineStr">
        <is>
          <t>HAIWEI ELEC</t>
        </is>
      </c>
      <c r="C390" s="62" t="inlineStr">
        <is>
          <t>海偉股份</t>
        </is>
      </c>
      <c r="D390" s="62" t="inlineStr">
        <is>
          <t>Materials/Energy</t>
        </is>
      </c>
      <c r="E390" s="62" t="inlineStr">
        <is>
          <t>Chemicals</t>
        </is>
      </c>
      <c r="F390" s="62" t="inlineStr">
        <is>
          <t>Electrical Components &amp; Equipment</t>
        </is>
      </c>
      <c r="G390" s="62" t="inlineStr">
        <is>
          <t>Standard</t>
        </is>
      </c>
      <c r="H390" s="63" t="n">
        <v>45989</v>
      </c>
      <c r="I390" s="64" t="n">
        <v>506.31</v>
      </c>
      <c r="J390" s="62" t="inlineStr">
        <is>
          <t>gross (stated)</t>
        </is>
      </c>
      <c r="K390" s="65" t="n"/>
      <c r="L390" s="65" t="n">
        <v>14.28</v>
      </c>
      <c r="M390" s="65" t="n">
        <v>14.28</v>
      </c>
      <c r="N390" s="62" t="inlineStr">
        <is>
          <t>Y</t>
        </is>
      </c>
      <c r="O390" s="66" t="n">
        <v>100</v>
      </c>
      <c r="P390" s="66" t="n"/>
      <c r="Q390" s="67" t="n">
        <v>17399</v>
      </c>
      <c r="R390" s="62" t="inlineStr">
        <is>
          <t>derived:deal size / offer % of enlarged capital</t>
        </is>
      </c>
      <c r="S390" s="68" t="n">
        <v>5426.27</v>
      </c>
      <c r="T390" s="69" t="n">
        <v>6.11</v>
      </c>
      <c r="U390" s="70" t="n">
        <v>43.1</v>
      </c>
      <c r="V390" s="66" t="n">
        <v>1.66</v>
      </c>
      <c r="W390" s="62" t="inlineStr">
        <is>
          <t>Huatai Capital Investment Limited; BYD Company Limited –; Sungrow Power Note 1 –; CICC Pucheng Investment Co., Ltd. –; Horizon Splendor</t>
        </is>
      </c>
      <c r="X390" s="62" t="inlineStr">
        <is>
          <t>huatai;byd;sungrow;china-international;horizon</t>
        </is>
      </c>
      <c r="Y390" s="66" t="n">
        <v>15</v>
      </c>
      <c r="Z390" s="62" t="inlineStr">
        <is>
          <t>partial</t>
        </is>
      </c>
      <c r="AA390" s="71" t="n">
        <v>-22.97</v>
      </c>
      <c r="AB390" s="72" t="n">
        <v>-5.46</v>
      </c>
      <c r="AC390" s="72" t="n">
        <v>-18.52</v>
      </c>
      <c r="AD390" s="72" t="n">
        <v>-21.5</v>
      </c>
      <c r="AE390" s="72" t="n">
        <v>-35.43</v>
      </c>
      <c r="AF390" s="72" t="n">
        <v>-36.2</v>
      </c>
      <c r="AG390" s="72" t="n">
        <v>1.91</v>
      </c>
      <c r="AH390" s="72" t="n">
        <v>-16.18</v>
      </c>
      <c r="AI390" s="72" t="n">
        <v>-17.18</v>
      </c>
      <c r="AJ390" s="72" t="n">
        <v>-22.87</v>
      </c>
      <c r="AK390" s="72" t="n">
        <v>-32.73</v>
      </c>
      <c r="AL390" s="72" t="n">
        <v>-27.85</v>
      </c>
      <c r="AM390" s="72" t="n">
        <v>-13.63</v>
      </c>
      <c r="AN390" s="72" t="n">
        <v>-2.7</v>
      </c>
      <c r="AO390" s="72" t="n">
        <v>-2.55</v>
      </c>
      <c r="AP390" s="62" t="inlineStr">
        <is>
          <t>Hang Seng Commerce &amp; Industry sub-index</t>
        </is>
      </c>
      <c r="AQ390" s="72" t="n">
        <v>-46.43</v>
      </c>
      <c r="AR390" s="63" t="inlineStr">
        <is>
          <t>2026-08-20</t>
        </is>
      </c>
      <c r="AS390" s="64" t="n">
        <v>463.9</v>
      </c>
      <c r="AT390" s="67" t="n">
        <v>95.09999999999999</v>
      </c>
      <c r="AU390" s="62" t="inlineStr">
        <is>
          <t>Y</t>
        </is>
      </c>
      <c r="AV390" s="73" t="n">
        <v>183</v>
      </c>
      <c r="AW390" s="73" t="n"/>
      <c r="AX390" s="73" t="n"/>
      <c r="AY390" s="73" t="n">
        <v>37.5</v>
      </c>
      <c r="AZ390" s="74" t="inlineStr">
        <is>
          <t>N</t>
        </is>
      </c>
      <c r="BA390" s="75">
        <f>IF('BBG Verify'!K390="","not filed — run on terminal",'BBG Verify'!K390)</f>
        <v/>
      </c>
      <c r="BB390" s="62" t="inlineStr">
        <is>
          <t>N/A</t>
        </is>
      </c>
      <c r="BC390" s="62" t="inlineStr">
        <is>
          <t>N/A</t>
        </is>
      </c>
      <c r="BD390" s="62" t="inlineStr">
        <is>
          <t>N/A</t>
        </is>
      </c>
      <c r="BE390" s="62" t="inlineStr">
        <is>
          <t>N/A</t>
        </is>
      </c>
      <c r="BF390" s="62" t="inlineStr">
        <is>
          <t>N/A</t>
        </is>
      </c>
      <c r="BG390" s="74" t="inlineStr">
        <is>
          <t>China International Capital Corporation Hong Kong Securities Limited</t>
        </is>
      </c>
      <c r="BH390" s="62" t="inlineStr">
        <is>
          <t>China International Capital Corporation Hong Kong Securities Limited</t>
        </is>
      </c>
      <c r="BI390" s="62" t="inlineStr">
        <is>
          <t>China International Capital Corporation Hong Kong Securities Limited; China Securities (International) Corporate Finance Company Limited; CLSA Limited; CCB International Capital Limited; BOCI Asia Limited; Huizhi International Capital Holdings Co., Limited</t>
        </is>
      </c>
      <c r="BJ390" s="62" t="inlineStr">
        <is>
          <t>BOCI Asia Limited; CCB International Capital Limited; China International Capital Corporation Hong Kong Securities Limited; CLSA Limited; China Securities (International) Corporate Finance Company Limited; Futu Securities International (Hong Kong) Limited; Huizhi International Capital Holdings Co., Limited; Livermore Holdings Limited</t>
        </is>
      </c>
      <c r="BK390" s="76">
        <f>HYPERLINK("https://www1.hkexnews.hk/listedco/listconews/sehk/2025/1120/2025112000009.pdf","prospectus")</f>
        <v/>
      </c>
      <c r="BL390" s="76">
        <f>HYPERLINK("https://www1.hkexnews.hk/listedco/listconews/sehk/2025/1127/2025112701630.pdf","allotment")</f>
        <v/>
      </c>
      <c r="BM390" s="76">
        <f>HYPERLINK("https://www1.hkexnews.hk/listedco/listconews/sehk/2025/1228/2025122800169.pdf","stabilisation")</f>
        <v/>
      </c>
      <c r="BN390" s="74" t="n"/>
      <c r="BO390" s="62" t="inlineStr">
        <is>
          <t>range low: cap-only pricing — the filing publishes a Maximum Offer Price and no indicative floor · A/H: no A-share listing</t>
        </is>
      </c>
    </row>
    <row r="391" ht="15" customHeight="1">
      <c r="A391" s="61" t="inlineStr">
        <is>
          <t>2539</t>
        </is>
      </c>
      <c r="B391" s="62" t="inlineStr">
        <is>
          <t>LEMO SERVICES</t>
        </is>
      </c>
      <c r="C391" s="62" t="inlineStr">
        <is>
          <t>樂摩科技</t>
        </is>
      </c>
      <c r="D391" s="62" t="inlineStr">
        <is>
          <t>Real Estate</t>
        </is>
      </c>
      <c r="E391" s="62" t="inlineStr">
        <is>
          <t>Property management</t>
        </is>
      </c>
      <c r="F391" s="62" t="inlineStr">
        <is>
          <t>Leisure Products</t>
        </is>
      </c>
      <c r="G391" s="62" t="inlineStr">
        <is>
          <t>Standard</t>
        </is>
      </c>
      <c r="H391" s="63" t="n">
        <v>45994</v>
      </c>
      <c r="I391" s="64" t="n">
        <v>222.22</v>
      </c>
      <c r="J391" s="62" t="inlineStr">
        <is>
          <t>gross (stated)</t>
        </is>
      </c>
      <c r="K391" s="65" t="n"/>
      <c r="L391" s="65" t="n">
        <v>40</v>
      </c>
      <c r="M391" s="65" t="n">
        <v>40</v>
      </c>
      <c r="N391" s="62" t="inlineStr">
        <is>
          <t>Y</t>
        </is>
      </c>
      <c r="O391" s="66" t="n">
        <v>100</v>
      </c>
      <c r="P391" s="66" t="n"/>
      <c r="Q391" s="67" t="n">
        <v>2222.2</v>
      </c>
      <c r="R391" s="62" t="inlineStr">
        <is>
          <t>derived:price x shares upon listing</t>
        </is>
      </c>
      <c r="S391" s="68" t="n">
        <v>7324.29</v>
      </c>
      <c r="T391" s="69" t="n">
        <v>6.78</v>
      </c>
      <c r="U391" s="70" t="n">
        <v>0</v>
      </c>
      <c r="V391" s="66" t="n">
        <v>10</v>
      </c>
      <c r="W391" s="62" t="n"/>
      <c r="X391" s="62" t="n"/>
      <c r="Y391" s="66" t="n"/>
      <c r="Z391" s="62" t="n"/>
      <c r="AA391" s="71" t="n">
        <v>36.25</v>
      </c>
      <c r="AB391" s="72" t="n">
        <v>62</v>
      </c>
      <c r="AC391" s="72" t="n">
        <v>-15.9</v>
      </c>
      <c r="AD391" s="72" t="n">
        <v>66.75</v>
      </c>
      <c r="AE391" s="72" t="n">
        <v>-16.05</v>
      </c>
      <c r="AF391" s="72" t="n">
        <v>-55.7</v>
      </c>
      <c r="AG391" s="72" t="n">
        <v>22.39</v>
      </c>
      <c r="AH391" s="72" t="n">
        <v>-38.39</v>
      </c>
      <c r="AI391" s="72" t="n">
        <v>-67.48999999999999</v>
      </c>
      <c r="AJ391" s="72" t="n">
        <v>71.5</v>
      </c>
      <c r="AK391" s="72" t="n">
        <v>-14.01</v>
      </c>
      <c r="AL391" s="72" t="n">
        <v>-68.91</v>
      </c>
      <c r="AM391" s="72" t="n">
        <v>-37.95</v>
      </c>
      <c r="AN391" s="72" t="n">
        <v>-2.04</v>
      </c>
      <c r="AO391" s="72" t="n">
        <v>-0.44</v>
      </c>
      <c r="AP391" s="62" t="inlineStr">
        <is>
          <t>Hang Seng Properties sub-index</t>
        </is>
      </c>
      <c r="AQ391" s="72" t="n">
        <v>-72.78</v>
      </c>
      <c r="AR391" s="63" t="inlineStr">
        <is>
          <t>2026-08-20</t>
        </is>
      </c>
      <c r="AS391" s="64" t="n">
        <v>877.8</v>
      </c>
      <c r="AT391" s="67" t="n">
        <v>94.40000000000001</v>
      </c>
      <c r="AU391" s="62" t="inlineStr">
        <is>
          <t>Y</t>
        </is>
      </c>
      <c r="AV391" s="73" t="n">
        <v>23.5</v>
      </c>
      <c r="AW391" s="73" t="n"/>
      <c r="AX391" s="73" t="n"/>
      <c r="AY391" s="73" t="n">
        <v>2.5</v>
      </c>
      <c r="AZ391" s="74" t="inlineStr">
        <is>
          <t>N</t>
        </is>
      </c>
      <c r="BA391" s="75">
        <f>IF('BBG Verify'!K391="","not filed — run on terminal",'BBG Verify'!K391)</f>
        <v/>
      </c>
      <c r="BB391" s="62" t="inlineStr">
        <is>
          <t>N/A</t>
        </is>
      </c>
      <c r="BC391" s="62" t="inlineStr">
        <is>
          <t>N/A</t>
        </is>
      </c>
      <c r="BD391" s="62" t="inlineStr">
        <is>
          <t>N/A</t>
        </is>
      </c>
      <c r="BE391" s="62" t="inlineStr">
        <is>
          <t>N/A</t>
        </is>
      </c>
      <c r="BF391" s="62" t="inlineStr">
        <is>
          <t>N/A</t>
        </is>
      </c>
      <c r="BG391" s="74" t="inlineStr">
        <is>
          <t>China Securities (International) Corporate Finance Company Limited; Shenwan Hongyuan Capital (H.K.) Limited</t>
        </is>
      </c>
      <c r="BH391" s="62" t="inlineStr">
        <is>
          <t>China Securities (International) Corporate Finance Company Limited; Shenwan Hongyuan Capital (H.K.) Limited</t>
        </is>
      </c>
      <c r="BI391" s="62" t="inlineStr">
        <is>
          <t>China Securities (International) Corporate Finance Company Limited; Shenwan Hongyuan Securities (H.K.) Limited; SPDB International Capital Limited; CMB International Capital Limited; BOCI Asia Limited; ICBC International Securities Limited; CCB International Capital Limited; Guoyuan Securities Brokerage (Hong Kong) Limited; ABCI Capital Limited; ABCI Securities Company Limited</t>
        </is>
      </c>
      <c r="BJ391" s="62" t="inlineStr">
        <is>
          <t>ABCI Securities Company Limited; Beta International Securities Limited; BOCI Asia Limited; CCB International Capital Limited; CMB International Capital Limited; China Securities (International) Corporate Finance Company Limited; Guoyuan Securities Brokerage (Hong Kong) Limited; ICBC International Securities Limited; Livermore Holdings Limited; Quam Securities Limited; Shenwan Hongyuan Securities (H.K.) Limited; SPDB International Capital Limited</t>
        </is>
      </c>
      <c r="BK391" s="76">
        <f>HYPERLINK("https://www1.hkexnews.hk/listedco/listconews/sehk/2025/1125/2025112500051.pdf","prospectus")</f>
        <v/>
      </c>
      <c r="BL391" s="76">
        <f>HYPERLINK("https://www1.hkexnews.hk/listedco/listconews/sehk/2025/1202/2025120202454.pdf","allotment")</f>
        <v/>
      </c>
      <c r="BM391" s="62" t="n"/>
      <c r="BN391" s="74" t="n"/>
      <c r="BO391" s="62" t="inlineStr">
        <is>
          <t>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t>
        </is>
      </c>
    </row>
    <row r="392" ht="15" customHeight="1">
      <c r="A392" s="61" t="inlineStr">
        <is>
          <t>2693</t>
        </is>
      </c>
      <c r="B392" s="62" t="inlineStr">
        <is>
          <t>JINYAN KAOLIN</t>
        </is>
      </c>
      <c r="C392" s="62" t="inlineStr">
        <is>
          <t>金岩高嶺新材</t>
        </is>
      </c>
      <c r="D392" s="62" t="inlineStr">
        <is>
          <t>Materials/Energy</t>
        </is>
      </c>
      <c r="E392" s="62" t="inlineStr">
        <is>
          <t>Mining / metals</t>
        </is>
      </c>
      <c r="F392" s="62" t="inlineStr">
        <is>
          <t>Diversified Metals &amp; Minerals</t>
        </is>
      </c>
      <c r="G392" s="62" t="inlineStr">
        <is>
          <t>Standard</t>
        </is>
      </c>
      <c r="H392" s="63" t="n">
        <v>45994</v>
      </c>
      <c r="I392" s="64" t="n">
        <v>177.4</v>
      </c>
      <c r="J392" s="62" t="inlineStr">
        <is>
          <t>gross (price x shares)</t>
        </is>
      </c>
      <c r="K392" s="65" t="n">
        <v>7.3</v>
      </c>
      <c r="L392" s="65" t="n">
        <v>7.3</v>
      </c>
      <c r="M392" s="65" t="n">
        <v>7.3</v>
      </c>
      <c r="N392" s="62" t="inlineStr">
        <is>
          <t>Y</t>
        </is>
      </c>
      <c r="O392" s="66" t="n">
        <v>100</v>
      </c>
      <c r="P392" s="66" t="n"/>
      <c r="Q392" s="67" t="n">
        <v>709.5</v>
      </c>
      <c r="R392" s="62" t="inlineStr">
        <is>
          <t>derived:price x shares upon listing</t>
        </is>
      </c>
      <c r="S392" s="68" t="n">
        <v>6876.17</v>
      </c>
      <c r="T392" s="69" t="n">
        <v>2.01</v>
      </c>
      <c r="U392" s="70" t="n">
        <v>80.2</v>
      </c>
      <c r="V392" s="66" t="n">
        <v>4.95</v>
      </c>
      <c r="W392" s="62" t="n"/>
      <c r="X392" s="62" t="n"/>
      <c r="Y392" s="66" t="n">
        <v>6.1</v>
      </c>
      <c r="Z392" s="62" t="inlineStr">
        <is>
          <t>lapsed</t>
        </is>
      </c>
      <c r="AA392" s="71" t="n">
        <v>2.19</v>
      </c>
      <c r="AB392" s="72" t="n">
        <v>27.4</v>
      </c>
      <c r="AC392" s="72" t="n">
        <v>-19.79</v>
      </c>
      <c r="AD392" s="72" t="n">
        <v>-11.51</v>
      </c>
      <c r="AE392" s="72" t="n">
        <v>-41.1</v>
      </c>
      <c r="AF392" s="72" t="n">
        <v>-39.04</v>
      </c>
      <c r="AG392" s="72" t="n">
        <v>-13.41</v>
      </c>
      <c r="AH392" s="72" t="n">
        <v>-42.36</v>
      </c>
      <c r="AI392" s="72" t="n">
        <v>-40.35</v>
      </c>
      <c r="AJ392" s="72" t="n">
        <v>-9.6</v>
      </c>
      <c r="AK392" s="72" t="n">
        <v>-41.44</v>
      </c>
      <c r="AL392" s="72" t="n">
        <v>-33.29</v>
      </c>
      <c r="AM392" s="72" t="n">
        <v>-43.88</v>
      </c>
      <c r="AN392" s="72" t="n">
        <v>0.34</v>
      </c>
      <c r="AO392" s="72" t="n">
        <v>1.52</v>
      </c>
      <c r="AP392" s="62" t="inlineStr">
        <is>
          <t>Hang Seng Commerce &amp; Industry sub-index</t>
        </is>
      </c>
      <c r="AQ392" s="72" t="n">
        <v>-59.04</v>
      </c>
      <c r="AR392" s="63" t="inlineStr">
        <is>
          <t>2026-08-20</t>
        </is>
      </c>
      <c r="AS392" s="64" t="n">
        <v>293.9</v>
      </c>
      <c r="AT392" s="67" t="n">
        <v>57.9</v>
      </c>
      <c r="AU392" s="62" t="inlineStr">
        <is>
          <t>Y</t>
        </is>
      </c>
      <c r="AV392" s="73" t="n">
        <v>12.3</v>
      </c>
      <c r="AW392" s="73" t="n"/>
      <c r="AX392" s="73" t="n"/>
      <c r="AY392" s="73" t="n">
        <v>2.4</v>
      </c>
      <c r="AZ392" s="74" t="inlineStr">
        <is>
          <t>N</t>
        </is>
      </c>
      <c r="BA392" s="75">
        <f>IF('BBG Verify'!K392="","not filed — run on terminal",'BBG Verify'!K392)</f>
        <v/>
      </c>
      <c r="BB392" s="62" t="inlineStr">
        <is>
          <t>N/A</t>
        </is>
      </c>
      <c r="BC392" s="62" t="inlineStr">
        <is>
          <t>N/A</t>
        </is>
      </c>
      <c r="BD392" s="62" t="inlineStr">
        <is>
          <t>N/A</t>
        </is>
      </c>
      <c r="BE392" s="62" t="inlineStr">
        <is>
          <t>N/A</t>
        </is>
      </c>
      <c r="BF392" s="62" t="inlineStr">
        <is>
          <t>N/A</t>
        </is>
      </c>
      <c r="BG392" s="74" t="inlineStr">
        <is>
          <t>Guoyuan Capital (Hong Kong) Limited; CMBC International Capital Limited</t>
        </is>
      </c>
      <c r="BH392" s="62" t="inlineStr">
        <is>
          <t>Guoyuan Capital (Hong Kong) Limited; CMBC International Capital Limited</t>
        </is>
      </c>
      <c r="BI392" s="62" t="inlineStr">
        <is>
          <t>China Sunrise Securities (International) Limited; First Shanghai Securities Limited; Futu Securities International (Hong Kong) Limited; ICBC International Securities Limited; Shenwan Hongyuan Securities (H.K.) Limited; uSmart Securities Limited</t>
        </is>
      </c>
      <c r="BJ392" s="62" t="inlineStr">
        <is>
          <t>CCB International Capital Limited; CMBC Securities Company Limited; China Sunrise Securities (International) Limited; DBS Asia Capital Limited; First Shanghai Securities Limited; Futu Securities International (Hong Kong) Limited; Guoyuan Securities Brokerage (Hong Kong) Limited; ICBC International Securities Limited; Shenwan Hongyuan Securities (H.K.) Limited</t>
        </is>
      </c>
      <c r="BK392" s="76">
        <f>HYPERLINK("https://www1.hkexnews.hk/listedco/listconews/sehk/2025/1125/2025112500049.pdf","prospectus")</f>
        <v/>
      </c>
      <c r="BL392" s="76">
        <f>HYPERLINK("https://www1.hkexnews.hk/listedco/listconews/sehk/2025/1202/2025120202632.pdf","allotment")</f>
        <v/>
      </c>
      <c r="BM392" s="76">
        <f>HYPERLINK("https://www1.hkexnews.hk/listedco/listconews/sehk/2025/1228/2025122800123.pdf","stabilisation")</f>
        <v/>
      </c>
      <c r="BN392" s="74" t="n"/>
      <c r="BO392" s="62" t="inlineStr">
        <is>
          <t>price range: no usable lo&lt;hi range to position the final price in · A/H: no A-share listing · cornerstone list: tranche parsed (80.2% locked) but the per-investor table did not machine-parse — names are in the prospectus Cornerstone section (link on this row)</t>
        </is>
      </c>
    </row>
    <row r="393" ht="15" customHeight="1">
      <c r="A393" s="61" t="inlineStr">
        <is>
          <t>2408</t>
        </is>
      </c>
      <c r="B393" s="62" t="inlineStr">
        <is>
          <t>XIAO NOODLES</t>
        </is>
      </c>
      <c r="C393" s="62" t="inlineStr">
        <is>
          <t>遇見小麵</t>
        </is>
      </c>
      <c r="D393" s="62" t="inlineStr">
        <is>
          <t>Consumer</t>
        </is>
      </c>
      <c r="E393" s="62" t="inlineStr">
        <is>
          <t>F&amp;B chains / restaurants</t>
        </is>
      </c>
      <c r="F393" s="62" t="inlineStr">
        <is>
          <t>Restaurants</t>
        </is>
      </c>
      <c r="G393" s="62" t="inlineStr">
        <is>
          <t>Standard</t>
        </is>
      </c>
      <c r="H393" s="63" t="n">
        <v>45996</v>
      </c>
      <c r="I393" s="64" t="n">
        <v>685.4</v>
      </c>
      <c r="J393" s="62" t="inlineStr">
        <is>
          <t>gross (stated)</t>
        </is>
      </c>
      <c r="K393" s="65" t="n"/>
      <c r="L393" s="65" t="n">
        <v>7.04</v>
      </c>
      <c r="M393" s="65" t="n">
        <v>7.04</v>
      </c>
      <c r="N393" s="62" t="inlineStr">
        <is>
          <t>Y</t>
        </is>
      </c>
      <c r="O393" s="66" t="n">
        <v>100</v>
      </c>
      <c r="P393" s="66" t="n"/>
      <c r="Q393" s="67" t="n">
        <v>4796.4</v>
      </c>
      <c r="R393" s="62" t="inlineStr">
        <is>
          <t>derived:deal size / offer % of enlarged capital</t>
        </is>
      </c>
      <c r="S393" s="68" t="n">
        <v>425.97</v>
      </c>
      <c r="T393" s="69" t="n">
        <v>4.99</v>
      </c>
      <c r="U393" s="70" t="n">
        <v>24.95</v>
      </c>
      <c r="V393" s="66" t="n">
        <v>10.72</v>
      </c>
      <c r="W393" s="62" t="inlineStr">
        <is>
          <t>Qingcong Capital; Mr. Su; Mr. Gao Defu; Hong Kong Shengying Investment Limited; Hai Di Lao Holdings Pte. Ltd; Pusheng Fund; China Galaxy International Investment Company Limited</t>
        </is>
      </c>
      <c r="X393" s="62" t="inlineStr">
        <is>
          <t>qingcong;mr-su;mr-gao;shengying;hai;pusheng;galaxy</t>
        </is>
      </c>
      <c r="Y393" s="66" t="n">
        <v>5</v>
      </c>
      <c r="Z393" s="62" t="inlineStr">
        <is>
          <t>lapsed</t>
        </is>
      </c>
      <c r="AA393" s="71" t="n">
        <v>-27.84</v>
      </c>
      <c r="AB393" s="72" t="n">
        <v>-28.98</v>
      </c>
      <c r="AC393" s="72" t="n">
        <v>1.61</v>
      </c>
      <c r="AD393" s="72" t="n">
        <v>-28.69</v>
      </c>
      <c r="AE393" s="72" t="n">
        <v>-37.22</v>
      </c>
      <c r="AF393" s="72" t="n">
        <v>-33.66</v>
      </c>
      <c r="AG393" s="72" t="n">
        <v>-1.18</v>
      </c>
      <c r="AH393" s="72" t="n">
        <v>-13</v>
      </c>
      <c r="AI393" s="72" t="n">
        <v>-8.07</v>
      </c>
      <c r="AJ393" s="72" t="n">
        <v>-28.28</v>
      </c>
      <c r="AK393" s="72" t="n">
        <v>-35.45</v>
      </c>
      <c r="AL393" s="72" t="n">
        <v>-27.83</v>
      </c>
      <c r="AM393" s="72" t="n">
        <v>-10.73</v>
      </c>
      <c r="AN393" s="72" t="n">
        <v>-1.77</v>
      </c>
      <c r="AO393" s="72" t="n">
        <v>-2.27</v>
      </c>
      <c r="AP393" s="62" t="inlineStr">
        <is>
          <t>Hang Seng Commerce &amp; Industry sub-index</t>
        </is>
      </c>
      <c r="AQ393" s="72" t="n">
        <v>-50.28</v>
      </c>
      <c r="AR393" s="63" t="inlineStr">
        <is>
          <t>2026-08-20</t>
        </is>
      </c>
      <c r="AS393" s="64" t="n">
        <v>1269.9</v>
      </c>
      <c r="AT393" s="67" t="n">
        <v>82.40000000000001</v>
      </c>
      <c r="AU393" s="62" t="inlineStr">
        <is>
          <t>Y</t>
        </is>
      </c>
      <c r="AV393" s="73" t="n">
        <v>58.2</v>
      </c>
      <c r="AW393" s="73" t="n">
        <v>32.8</v>
      </c>
      <c r="AX393" s="73" t="n">
        <v>14.1</v>
      </c>
      <c r="AY393" s="73" t="n">
        <v>3.8</v>
      </c>
      <c r="AZ393" s="74" t="inlineStr">
        <is>
          <t>N</t>
        </is>
      </c>
      <c r="BA393" s="75">
        <f>IF('BBG Verify'!K393="","not filed — run on terminal",'BBG Verify'!K393)</f>
        <v/>
      </c>
      <c r="BB393" s="62" t="inlineStr">
        <is>
          <t>N/A</t>
        </is>
      </c>
      <c r="BC393" s="62" t="inlineStr">
        <is>
          <t>N/A</t>
        </is>
      </c>
      <c r="BD393" s="62" t="inlineStr">
        <is>
          <t>N/A</t>
        </is>
      </c>
      <c r="BE393" s="62" t="inlineStr">
        <is>
          <t>N/A</t>
        </is>
      </c>
      <c r="BF393" s="62" t="inlineStr">
        <is>
          <t>N/A</t>
        </is>
      </c>
      <c r="BG393" s="74" t="inlineStr">
        <is>
          <t>CMB International Capital Limited</t>
        </is>
      </c>
      <c r="BH393" s="62" t="inlineStr">
        <is>
          <t>CMB International Capital Limited</t>
        </is>
      </c>
      <c r="BI393" s="62" t="inlineStr">
        <is>
          <t>CMB International Capital Limited; CLSA Limited; SDIC Securities (Hong Kong) Limited; Futu Securities International (Hong Kong) Limited; BOCI Asia Limited; China Galaxy International Securities (Hong Kong) Co., Limited; Zhongtai International Securities Limited; Livermore Holdings Limited; ABCI Capital Limited; Tiger Brokers (HK) Global Limited</t>
        </is>
      </c>
      <c r="BJ393" s="62" t="inlineStr">
        <is>
          <t>ABCI Securities Company Limited; BOCI Asia Limited; China Galaxy International Securities (Hong Kong) Company Limited; CLSA Limited; CMB International Capital Limited; Futu Securities International (Hong Kong) Limited; Livermore Holdings Limited; SDIC Securities (Hong Kong) Limited; Shenwan Hongyuan Securities (H.K.) Limited; Tiger Brokers (HK) Global Limited; Zhongtai International Securities Limited</t>
        </is>
      </c>
      <c r="BK393" s="76">
        <f>HYPERLINK("https://www1.hkexnews.hk/listedco/listconews/sehk/2025/1127/2025112700009.pdf","prospectus")</f>
        <v/>
      </c>
      <c r="BL393" s="76">
        <f>HYPERLINK("https://www1.hkexnews.hk/listedco/listconews/sehk/2025/1204/2025120402156.pdf","allotment")</f>
        <v/>
      </c>
      <c r="BM393" s="76">
        <f>HYPERLINK("https://www1.hkexnews.hk/listedco/listconews/sehk/2026/0101/2026010100007.pdf","stabilisation")</f>
        <v/>
      </c>
      <c r="BN393" s="74" t="n"/>
      <c r="BO393" s="62" t="inlineStr">
        <is>
          <t>range low: cap-only pricing — the filing publishes a Maximum Offer Price and no indicative floor · A/H: no A-share listing</t>
        </is>
      </c>
    </row>
    <row r="394" ht="15" customHeight="1">
      <c r="A394" s="61" t="inlineStr">
        <is>
          <t>2658</t>
        </is>
      </c>
      <c r="B394" s="62" t="inlineStr">
        <is>
          <t>TIANYU SEMI</t>
        </is>
      </c>
      <c r="C394" s="62" t="inlineStr">
        <is>
          <t>天域半導體</t>
        </is>
      </c>
      <c r="D394" s="62" t="inlineStr">
        <is>
          <t>Tech/AI</t>
        </is>
      </c>
      <c r="E394" s="62" t="inlineStr">
        <is>
          <t>AI chips &amp; semis</t>
        </is>
      </c>
      <c r="F394" s="62" t="inlineStr">
        <is>
          <t>Semiconductors &amp; Semiconductor Equipment</t>
        </is>
      </c>
      <c r="G394" s="62" t="inlineStr">
        <is>
          <t>Standard</t>
        </is>
      </c>
      <c r="H394" s="63" t="n">
        <v>45996</v>
      </c>
      <c r="I394" s="64" t="n">
        <v>1744.1</v>
      </c>
      <c r="J394" s="62" t="inlineStr">
        <is>
          <t>gross (stated)</t>
        </is>
      </c>
      <c r="K394" s="65" t="n"/>
      <c r="L394" s="65" t="n">
        <v>58</v>
      </c>
      <c r="M394" s="65" t="n">
        <v>58</v>
      </c>
      <c r="N394" s="62" t="inlineStr">
        <is>
          <t>Y</t>
        </is>
      </c>
      <c r="O394" s="66" t="n">
        <v>100</v>
      </c>
      <c r="P394" s="66" t="n"/>
      <c r="Q394" s="67" t="n">
        <v>22810</v>
      </c>
      <c r="R394" s="62" t="inlineStr">
        <is>
          <t>prospectus:stated market capitalisation</t>
        </is>
      </c>
      <c r="S394" s="68" t="n">
        <v>60.63</v>
      </c>
      <c r="T394" s="69" t="n">
        <v>2.47</v>
      </c>
      <c r="U394" s="70" t="n">
        <v>9.26</v>
      </c>
      <c r="V394" s="66" t="n">
        <v>6.94</v>
      </c>
      <c r="W394" s="62" t="inlineStr">
        <is>
          <t>Mr. Mao Xiangyu; GF International; GF Global Capital Limited; GF Securities; GF Fund</t>
        </is>
      </c>
      <c r="X394" s="62" t="inlineStr">
        <is>
          <t>mr-mao;gf</t>
        </is>
      </c>
      <c r="Y394" s="66" t="n">
        <v>7.3537</v>
      </c>
      <c r="Z394" s="62" t="inlineStr">
        <is>
          <t>lapsed (no over-allocation)</t>
        </is>
      </c>
      <c r="AA394" s="71" t="n">
        <v>-30.17</v>
      </c>
      <c r="AB394" s="72" t="n">
        <v>-34.48</v>
      </c>
      <c r="AC394" s="72" t="n">
        <v>6.58</v>
      </c>
      <c r="AD394" s="72" t="n">
        <v>-21.69</v>
      </c>
      <c r="AE394" s="72" t="n">
        <v>-17.79</v>
      </c>
      <c r="AF394" s="72" t="n">
        <v>-17.93</v>
      </c>
      <c r="AG394" s="72" t="n">
        <v>12.14</v>
      </c>
      <c r="AH394" s="72" t="n">
        <v>17.73</v>
      </c>
      <c r="AI394" s="72" t="n">
        <v>17.53</v>
      </c>
      <c r="AJ394" s="72" t="n">
        <v>-21.96</v>
      </c>
      <c r="AK394" s="72" t="n">
        <v>-18.79</v>
      </c>
      <c r="AL394" s="72" t="n">
        <v>-7.46</v>
      </c>
      <c r="AM394" s="72" t="n">
        <v>17.46</v>
      </c>
      <c r="AN394" s="72" t="n">
        <v>1</v>
      </c>
      <c r="AO394" s="72" t="n">
        <v>0.27</v>
      </c>
      <c r="AP394" s="62" t="inlineStr">
        <is>
          <t>HSTECH (Hang Seng TECH ETF)</t>
        </is>
      </c>
      <c r="AQ394" s="72" t="n">
        <v>-37.28</v>
      </c>
      <c r="AR394" s="63" t="inlineStr">
        <is>
          <t>2026-08-20</t>
        </is>
      </c>
      <c r="AS394" s="64" t="n">
        <v>571.6</v>
      </c>
      <c r="AT394" s="67" t="n">
        <v>-610.1</v>
      </c>
      <c r="AU394" s="62" t="inlineStr">
        <is>
          <t>N</t>
        </is>
      </c>
      <c r="AV394" s="62" t="inlineStr">
        <is>
          <t>n/m</t>
        </is>
      </c>
      <c r="AW394" s="73" t="n"/>
      <c r="AX394" s="73" t="n"/>
      <c r="AY394" s="73" t="n">
        <v>39.9</v>
      </c>
      <c r="AZ394" s="74" t="inlineStr">
        <is>
          <t>N</t>
        </is>
      </c>
      <c r="BA394" s="75">
        <f>IF('BBG Verify'!K394="","not filed — run on terminal",'BBG Verify'!K394)</f>
        <v/>
      </c>
      <c r="BB394" s="62" t="inlineStr">
        <is>
          <t>N/A</t>
        </is>
      </c>
      <c r="BC394" s="62" t="inlineStr">
        <is>
          <t>N/A</t>
        </is>
      </c>
      <c r="BD394" s="62" t="inlineStr">
        <is>
          <t>N/A</t>
        </is>
      </c>
      <c r="BE394" s="62" t="inlineStr">
        <is>
          <t>N/A</t>
        </is>
      </c>
      <c r="BF394" s="62" t="inlineStr">
        <is>
          <t>N/A</t>
        </is>
      </c>
      <c r="BG394" s="74" t="inlineStr">
        <is>
          <t>CITIC Securities (Hong Kong) Limited</t>
        </is>
      </c>
      <c r="BH394" s="62" t="inlineStr">
        <is>
          <t>CITIC Securities (Hong Kong) Limited</t>
        </is>
      </c>
      <c r="BI394" s="62" t="inlineStr">
        <is>
          <t>CLSA Limited; China International Capital Corporation Hong Kong Securities Limited; GF Securities (Hong Kong) Brokerage Limited; CMB International Capital Limited; ABCI Capital Limited; Cheer Union Securities Limited; Sheung Wan, Hong Kong CNI Securities Group Limited; Futu Securities International (Hong Kong) Limited; ICBC International Securities Limited; Livermore Holdings Limited; Shenwan Hongyuan Securities (H.K.) Limited; Sinolink Securities (Hong Kong) Company Limited</t>
        </is>
      </c>
      <c r="BJ394" s="62" t="inlineStr">
        <is>
          <t>ABCI Securities Company Limited; Cheer Union Securities Limited; China International Capital Corporation Hong Kong Securities Limited; China Industrial Securities International Capital Limited; CLSA Limited; CMB International Capital Limited; CNI Securities Group Limited; Futu Securities International (Hong Kong) Limited; GF Securities (Hong Kong) Brokerage Limited; ICBC International Securities Limited; Livermore Holdings Limited; Shenwan Hongyuan Securities (H.K.) Limited</t>
        </is>
      </c>
      <c r="BK394" s="76">
        <f>HYPERLINK("https://www1.hkexnews.hk/listedco/listconews/sehk/2025/1127/2025112700013.pdf","prospectus")</f>
        <v/>
      </c>
      <c r="BL394" s="76">
        <f>HYPERLINK("https://www1.hkexnews.hk/listedco/listconews/sehk/2025/1204/2025120402598.pdf","allotment")</f>
        <v/>
      </c>
      <c r="BM394" s="76">
        <f>HYPERLINK("https://www1.hkexnews.hk/listedco/listconews/sehk/2026/0101/2026010100003.pdf","stabilisation")</f>
        <v/>
      </c>
      <c r="BN394" s="74" t="n"/>
      <c r="BO394" s="62" t="inlineStr">
        <is>
          <t>P/E: n/m — loss-making at IPO (use P/S) · range low: cap-only pricing — the filing publishes a Maximum Offer Price and no indicative floor · A/H: no A-share listing</t>
        </is>
      </c>
    </row>
    <row r="395" ht="15" customHeight="1">
      <c r="A395" s="61" t="inlineStr">
        <is>
          <t>2676</t>
        </is>
      </c>
      <c r="B395" s="62" t="inlineStr">
        <is>
          <t>NOVOSENSE</t>
        </is>
      </c>
      <c r="C395" s="62" t="inlineStr">
        <is>
          <t>納芯微</t>
        </is>
      </c>
      <c r="D395" s="62" t="inlineStr">
        <is>
          <t>Tech/AI</t>
        </is>
      </c>
      <c r="E395" s="62" t="inlineStr">
        <is>
          <t>AI chips &amp; semis</t>
        </is>
      </c>
      <c r="F395" s="62" t="inlineStr">
        <is>
          <t>Semiconductors &amp; Semiconductor Equipment</t>
        </is>
      </c>
      <c r="G395" s="62" t="inlineStr">
        <is>
          <t>Standard</t>
        </is>
      </c>
      <c r="H395" s="63" t="n">
        <v>45999</v>
      </c>
      <c r="I395" s="64" t="n">
        <v>2211.9</v>
      </c>
      <c r="J395" s="62" t="inlineStr">
        <is>
          <t>gross (stated)</t>
        </is>
      </c>
      <c r="K395" s="65" t="n"/>
      <c r="L395" s="65" t="n">
        <v>116</v>
      </c>
      <c r="M395" s="65" t="n">
        <v>116</v>
      </c>
      <c r="N395" s="62" t="inlineStr">
        <is>
          <t>Y</t>
        </is>
      </c>
      <c r="O395" s="66" t="n">
        <v>100</v>
      </c>
      <c r="P395" s="66" t="n"/>
      <c r="Q395" s="67" t="n">
        <v>116415.8</v>
      </c>
      <c r="R395" s="62" t="inlineStr">
        <is>
          <t>derived:deal size / offer % of enlarged capital</t>
        </is>
      </c>
      <c r="S395" s="68" t="n">
        <v>25.33</v>
      </c>
      <c r="T395" s="69" t="n">
        <v>2.65</v>
      </c>
      <c r="U395" s="70" t="n">
        <v>49.23</v>
      </c>
      <c r="V395" s="66" t="n">
        <v>0.96</v>
      </c>
      <c r="W395" s="62" t="inlineStr">
        <is>
          <t>Golden Link; Hield International; Perseverance Asset Management; Green Better; Dreamee HK Fund; Oriza Naxin</t>
        </is>
      </c>
      <c r="X395" s="62" t="inlineStr">
        <is>
          <t>golden-link;hield;perseverance;green;dreamee;oriza</t>
        </is>
      </c>
      <c r="Y395" s="66" t="n">
        <v>15</v>
      </c>
      <c r="Z395" s="62" t="inlineStr">
        <is>
          <t>partial</t>
        </is>
      </c>
      <c r="AA395" s="71" t="n">
        <v>-4.31</v>
      </c>
      <c r="AB395" s="72" t="n">
        <v>0</v>
      </c>
      <c r="AC395" s="72" t="n">
        <v>-4.31</v>
      </c>
      <c r="AD395" s="72" t="n">
        <v>-2.5</v>
      </c>
      <c r="AE395" s="72" t="n">
        <v>20.78</v>
      </c>
      <c r="AF395" s="72" t="n">
        <v>8.619999999999999</v>
      </c>
      <c r="AG395" s="72" t="n">
        <v>1.89</v>
      </c>
      <c r="AH395" s="72" t="n">
        <v>26.22</v>
      </c>
      <c r="AI395" s="72" t="n">
        <v>13.51</v>
      </c>
      <c r="AJ395" s="72" t="n">
        <v>0.3</v>
      </c>
      <c r="AK395" s="72" t="n">
        <v>20.33</v>
      </c>
      <c r="AL395" s="72" t="n">
        <v>20.71</v>
      </c>
      <c r="AM395" s="72" t="n">
        <v>25.86</v>
      </c>
      <c r="AN395" s="72" t="n">
        <v>0.45</v>
      </c>
      <c r="AO395" s="72" t="n">
        <v>0.36</v>
      </c>
      <c r="AP395" s="62" t="inlineStr">
        <is>
          <t>HSTECH (Hang Seng TECH ETF)</t>
        </is>
      </c>
      <c r="AQ395" s="72" t="n">
        <v>42.59</v>
      </c>
      <c r="AR395" s="63" t="inlineStr">
        <is>
          <t>2026-08-21</t>
        </is>
      </c>
      <c r="AS395" s="64" t="n">
        <v>2156.3</v>
      </c>
      <c r="AT395" s="67" t="n">
        <v>-419.5</v>
      </c>
      <c r="AU395" s="62" t="inlineStr">
        <is>
          <t>N</t>
        </is>
      </c>
      <c r="AV395" s="62" t="inlineStr">
        <is>
          <t>n/m</t>
        </is>
      </c>
      <c r="AW395" s="73" t="n"/>
      <c r="AX395" s="73" t="n"/>
      <c r="AY395" s="73" t="n">
        <v>54</v>
      </c>
      <c r="AZ395" s="74" t="inlineStr">
        <is>
          <t>Y</t>
        </is>
      </c>
      <c r="BA395" s="62" t="inlineStr">
        <is>
          <t>688052.SS</t>
        </is>
      </c>
      <c r="BB395" s="72" t="n">
        <v>50.14</v>
      </c>
      <c r="BC395" s="65" t="n">
        <v>174.1672</v>
      </c>
      <c r="BD395" s="79" t="n">
        <v>0.7020999999999999</v>
      </c>
      <c r="BE395" s="77">
        <f>IF('BBG Verify'!Q395="","run on terminal",'BBG Verify'!Q395)</f>
        <v/>
      </c>
      <c r="BF395" s="77">
        <f>IF('BBG Verify'!R395="","run on terminal",'BBG Verify'!R395)</f>
        <v/>
      </c>
      <c r="BG395" s="74" t="inlineStr">
        <is>
          <t>China International Capital Corporation Hong Kong Securities Limited; CITIC Securities (Hong Kong) Limited; CCB International Capital Limited</t>
        </is>
      </c>
      <c r="BH395" s="62" t="inlineStr">
        <is>
          <t>China International Capital Corporation Hong Kong Securities Limited; CCB International Capital Limited; CITIC Securities (Hong Kong) Limited</t>
        </is>
      </c>
      <c r="BI395" s="62" t="inlineStr">
        <is>
          <t>China International Capital Corporation Hong Kong Securities Limited; CLSA Limited; CCB International Capital Limited; ABCI Capital Limited; Soochow Securities International Brokerage Limited; Zheshang International Financial Holdings Co., Limited; Orient Securities (Hong Kong) Limited; Beta International Securities Limited; Sheung Wan, Hong Kong I Win Securities Limited</t>
        </is>
      </c>
      <c r="BJ395" s="62" t="inlineStr">
        <is>
          <t>ABCI Securities Company Limited; Beta International Securities Limited; CCB International Capital Limited; China International Capital Corporation Hong Kong Securities Limited; CLSA Limited; I Win Securities Limited; Orient Securities (Hong Kong) Limited; Soochow Securities International Brokerage Limited; Zheshang International Financial Holdings Co., Limited</t>
        </is>
      </c>
      <c r="BK395" s="76">
        <f>HYPERLINK("https://www1.hkexnews.hk/listedco/listconews/sehk/2025/1128/2025112800015.pdf","prospectus")</f>
        <v/>
      </c>
      <c r="BL395" s="76">
        <f>HYPERLINK("https://www1.hkexnews.hk/listedco/listconews/sehk/2025/1205/2025120501747.pdf","allotment")</f>
        <v/>
      </c>
      <c r="BM395" s="76">
        <f>HYPERLINK("https://www1.hkexnews.hk/listedco/listconews/sehk/2026/0102/2026010203002.pdf","stabilisation")</f>
        <v/>
      </c>
      <c r="BN395" s="74" t="n"/>
      <c r="BO395" s="62" t="inlineStr">
        <is>
          <t>P/E: n/m — loss-making at IPO (use P/S) · range low: cap-only pricing — the filing publishes a Maximum Offer Price and no indicative floor · A/H: Dec 2025 H listing (analog/mixed-signal chips)</t>
        </is>
      </c>
    </row>
    <row r="396" ht="15" customHeight="1">
      <c r="A396" s="61" t="inlineStr">
        <is>
          <t>2687</t>
        </is>
      </c>
      <c r="B396" s="62" t="inlineStr">
        <is>
          <t>ABLE DIGITAL</t>
        </is>
      </c>
      <c r="C396" s="62" t="inlineStr">
        <is>
          <t>卓越睿新</t>
        </is>
      </c>
      <c r="D396" s="62" t="inlineStr">
        <is>
          <t>Tech/AI</t>
        </is>
      </c>
      <c r="E396" s="62" t="inlineStr">
        <is>
          <t>SaaS / enterprise software</t>
        </is>
      </c>
      <c r="F396" s="62" t="inlineStr">
        <is>
          <t>Education Services</t>
        </is>
      </c>
      <c r="G396" s="62" t="inlineStr">
        <is>
          <t>Standard</t>
        </is>
      </c>
      <c r="H396" s="63" t="n">
        <v>45999</v>
      </c>
      <c r="I396" s="64" t="n">
        <v>450</v>
      </c>
      <c r="J396" s="62" t="inlineStr">
        <is>
          <t>gross (stated)</t>
        </is>
      </c>
      <c r="K396" s="65" t="n">
        <v>62.26</v>
      </c>
      <c r="L396" s="65" t="n">
        <v>76.09999999999999</v>
      </c>
      <c r="M396" s="65" t="n">
        <v>67.5</v>
      </c>
      <c r="N396" s="62" t="inlineStr">
        <is>
          <t>N</t>
        </is>
      </c>
      <c r="O396" s="66" t="n">
        <v>88.7</v>
      </c>
      <c r="P396" s="66" t="n">
        <v>37.9</v>
      </c>
      <c r="Q396" s="67" t="n">
        <v>4500</v>
      </c>
      <c r="R396" s="62" t="inlineStr">
        <is>
          <t>derived:price x shares upon listing</t>
        </is>
      </c>
      <c r="S396" s="68" t="n">
        <v>4813.4</v>
      </c>
      <c r="T396" s="69" t="n">
        <v>2.33</v>
      </c>
      <c r="U396" s="70" t="n">
        <v>0</v>
      </c>
      <c r="V396" s="66" t="n">
        <v>10</v>
      </c>
      <c r="W396" s="62" t="n"/>
      <c r="X396" s="62" t="n"/>
      <c r="Y396" s="66" t="n"/>
      <c r="Z396" s="62" t="n"/>
      <c r="AA396" s="71" t="n">
        <v>87.26000000000001</v>
      </c>
      <c r="AB396" s="72" t="n">
        <v>23.85</v>
      </c>
      <c r="AC396" s="72" t="n">
        <v>51.2</v>
      </c>
      <c r="AD396" s="72" t="n">
        <v>140</v>
      </c>
      <c r="AE396" s="72" t="n">
        <v>138.52</v>
      </c>
      <c r="AF396" s="72" t="n">
        <v>107.7</v>
      </c>
      <c r="AG396" s="72" t="n">
        <v>28.16</v>
      </c>
      <c r="AH396" s="72" t="n">
        <v>27.37</v>
      </c>
      <c r="AI396" s="72" t="n">
        <v>10.92</v>
      </c>
      <c r="AJ396" s="72" t="n">
        <v>142.8</v>
      </c>
      <c r="AK396" s="72" t="n">
        <v>138.07</v>
      </c>
      <c r="AL396" s="72" t="n">
        <v>119.79</v>
      </c>
      <c r="AM396" s="72" t="n">
        <v>27.01</v>
      </c>
      <c r="AN396" s="72" t="n">
        <v>0.45</v>
      </c>
      <c r="AO396" s="72" t="n">
        <v>0.36</v>
      </c>
      <c r="AP396" s="62" t="inlineStr">
        <is>
          <t>HSTECH (Hang Seng TECH ETF)</t>
        </is>
      </c>
      <c r="AQ396" s="72" t="n">
        <v>366.37</v>
      </c>
      <c r="AR396" s="63" t="inlineStr">
        <is>
          <t>2026-08-21</t>
        </is>
      </c>
      <c r="AS396" s="64" t="n">
        <v>933</v>
      </c>
      <c r="AT396" s="67" t="n">
        <v>117.3</v>
      </c>
      <c r="AU396" s="62" t="inlineStr">
        <is>
          <t>Y</t>
        </is>
      </c>
      <c r="AV396" s="73" t="n">
        <v>38.4</v>
      </c>
      <c r="AW396" s="73" t="n">
        <v>72.59999999999999</v>
      </c>
      <c r="AX396" s="73" t="n">
        <v>113.4</v>
      </c>
      <c r="AY396" s="73" t="n">
        <v>4.8</v>
      </c>
      <c r="AZ396" s="74" t="inlineStr">
        <is>
          <t>N</t>
        </is>
      </c>
      <c r="BA396" s="75">
        <f>IF('BBG Verify'!K396="","not filed — run on terminal",'BBG Verify'!K396)</f>
        <v/>
      </c>
      <c r="BB396" s="62" t="inlineStr">
        <is>
          <t>N/A</t>
        </is>
      </c>
      <c r="BC396" s="62" t="inlineStr">
        <is>
          <t>N/A</t>
        </is>
      </c>
      <c r="BD396" s="62" t="inlineStr">
        <is>
          <t>N/A</t>
        </is>
      </c>
      <c r="BE396" s="62" t="inlineStr">
        <is>
          <t>N/A</t>
        </is>
      </c>
      <c r="BF396" s="62" t="inlineStr">
        <is>
          <t>N/A</t>
        </is>
      </c>
      <c r="BG396" s="74" t="inlineStr">
        <is>
          <t>ABCI Capital Limited</t>
        </is>
      </c>
      <c r="BH396" s="62" t="inlineStr">
        <is>
          <t>ABCI Capital Limited</t>
        </is>
      </c>
      <c r="BI396" s="62" t="inlineStr">
        <is>
          <t>ABCI Capital Limited</t>
        </is>
      </c>
      <c r="BJ396" s="62" t="inlineStr">
        <is>
          <t>ABCI Securities Company Limited; Livermore Holdings Limited; Tiger Brokers (HK) Global Limited</t>
        </is>
      </c>
      <c r="BK396" s="76">
        <f>HYPERLINK("https://www1.hkexnews.hk/listedco/listconews/sehk/2025/1128/2025112800005.pdf","prospectus")</f>
        <v/>
      </c>
      <c r="BL396" s="76">
        <f>HYPERLINK("https://www1.hkexnews.hk/listedco/listconews/sehk/2025/1205/2025120501787.pdf","allotment")</f>
        <v/>
      </c>
      <c r="BM396" s="62" t="n"/>
      <c r="BN396" s="74" t="n"/>
      <c r="BO396" s="62" t="inlineStr">
        <is>
          <t>greenshoe: no over-allotment option in the offer structure · A/H: no A-share listing · cornerstone list: no cornerstone tranche in this deal · greenshoe size: no over-allotment option in the offer structure</t>
        </is>
      </c>
    </row>
    <row r="397" ht="15" customHeight="1">
      <c r="A397" s="61" t="inlineStr">
        <is>
          <t>2659</t>
        </is>
      </c>
      <c r="B397" s="62" t="inlineStr">
        <is>
          <t>BAO PHARMA-B</t>
        </is>
      </c>
      <c r="C397" s="62" t="inlineStr">
        <is>
          <t>寶濟藥業－Ｂ</t>
        </is>
      </c>
      <c r="D397" s="62" t="inlineStr">
        <is>
          <t>Healthcare</t>
        </is>
      </c>
      <c r="E397" s="62" t="inlineStr">
        <is>
          <t>Biotech pre-revenue (18A)</t>
        </is>
      </c>
      <c r="F397" s="62" t="inlineStr">
        <is>
          <t>Biotechnology - Pharmaceuticals</t>
        </is>
      </c>
      <c r="G397" s="62" t="inlineStr">
        <is>
          <t>18A</t>
        </is>
      </c>
      <c r="H397" s="63" t="n">
        <v>46001</v>
      </c>
      <c r="I397" s="64" t="n">
        <v>1000.1</v>
      </c>
      <c r="J397" s="62" t="inlineStr">
        <is>
          <t>gross (stated)</t>
        </is>
      </c>
      <c r="K397" s="65" t="n"/>
      <c r="L397" s="65" t="n">
        <v>26.38</v>
      </c>
      <c r="M397" s="65" t="n">
        <v>26.38</v>
      </c>
      <c r="N397" s="62" t="inlineStr">
        <is>
          <t>Y</t>
        </is>
      </c>
      <c r="O397" s="66" t="n">
        <v>100</v>
      </c>
      <c r="P397" s="66" t="n"/>
      <c r="Q397" s="67" t="n">
        <v>8599.4</v>
      </c>
      <c r="R397" s="62" t="inlineStr">
        <is>
          <t>derived:price x shares upon listing</t>
        </is>
      </c>
      <c r="S397" s="68" t="n">
        <v>3526.34</v>
      </c>
      <c r="T397" s="69" t="n">
        <v>6.59</v>
      </c>
      <c r="U397" s="70" t="n">
        <v>20.1</v>
      </c>
      <c r="V397" s="66" t="n">
        <v>9.289999999999999</v>
      </c>
      <c r="W397" s="62" t="inlineStr">
        <is>
          <t>Center Lab; Zhang Yahong (ߎ2,838,885; Fan Hong (ߎ2,365,735; Zheng Keqing (ڡ222,220; Nie Miao ( ᔗ↿) –; Wang Jufang (ٹ581,930; Cui Hongyan (ᜮ) –; Liu Jintao (ᏹ) –; Huang Haitao ( රऎᏹ); Xu Sumin ( ஢९ઽ) –; Song Aihui ( ҂ฌฯ); Zhao Liping ( Ⴛ஁റ)</t>
        </is>
      </c>
      <c r="X397" s="62" t="inlineStr">
        <is>
          <t>center;zhang-yahong;fan;zheng-keqing;nie;wang-jufang;cui;liu-jintao;huang-haitao;xu-sumin;song-aihui;zhao-liping</t>
        </is>
      </c>
      <c r="Y397" s="66" t="n">
        <v>15</v>
      </c>
      <c r="Z397" s="62" t="n"/>
      <c r="AA397" s="71" t="n">
        <v>138.82</v>
      </c>
      <c r="AB397" s="72" t="n">
        <v>129.34</v>
      </c>
      <c r="AC397" s="72" t="n">
        <v>4.13</v>
      </c>
      <c r="AD397" s="72" t="n">
        <v>173.69</v>
      </c>
      <c r="AE397" s="72" t="n">
        <v>226.76</v>
      </c>
      <c r="AF397" s="72" t="n">
        <v>249.32</v>
      </c>
      <c r="AG397" s="72" t="n">
        <v>14.6</v>
      </c>
      <c r="AH397" s="72" t="n">
        <v>36.82</v>
      </c>
      <c r="AI397" s="72" t="n">
        <v>46.27</v>
      </c>
      <c r="AJ397" s="72" t="n">
        <v>177.04</v>
      </c>
      <c r="AK397" s="72" t="n">
        <v>221.06</v>
      </c>
      <c r="AL397" s="72" t="n">
        <v>245.4</v>
      </c>
      <c r="AM397" s="72" t="n">
        <v>31.2</v>
      </c>
      <c r="AN397" s="72" t="n">
        <v>5.7</v>
      </c>
      <c r="AO397" s="72" t="n">
        <v>5.62</v>
      </c>
      <c r="AP397" s="62" t="inlineStr">
        <is>
          <t>China Biotech ETF (HS biotech proxy)</t>
        </is>
      </c>
      <c r="AQ397" s="72" t="n">
        <v>-39.01</v>
      </c>
      <c r="AR397" s="63" t="inlineStr">
        <is>
          <t>2026-08-20</t>
        </is>
      </c>
      <c r="AS397" s="64" t="n">
        <v>1.6</v>
      </c>
      <c r="AT397" s="67" t="n">
        <v>-184</v>
      </c>
      <c r="AU397" s="62" t="inlineStr">
        <is>
          <t>N</t>
        </is>
      </c>
      <c r="AV397" s="62" t="inlineStr">
        <is>
          <t>n/m</t>
        </is>
      </c>
      <c r="AW397" s="73" t="n"/>
      <c r="AX397" s="73" t="n"/>
      <c r="AY397" s="73" t="n">
        <v>5374.6</v>
      </c>
      <c r="AZ397" s="74" t="inlineStr">
        <is>
          <t>N</t>
        </is>
      </c>
      <c r="BA397" s="75">
        <f>IF('BBG Verify'!K397="","not filed — run on terminal",'BBG Verify'!K397)</f>
        <v/>
      </c>
      <c r="BB397" s="62" t="inlineStr">
        <is>
          <t>N/A</t>
        </is>
      </c>
      <c r="BC397" s="62" t="inlineStr">
        <is>
          <t>N/A</t>
        </is>
      </c>
      <c r="BD397" s="62" t="inlineStr">
        <is>
          <t>N/A</t>
        </is>
      </c>
      <c r="BE397" s="62" t="inlineStr">
        <is>
          <t>N/A</t>
        </is>
      </c>
      <c r="BF397" s="62" t="inlineStr">
        <is>
          <t>N/A</t>
        </is>
      </c>
      <c r="BG397" s="74" t="inlineStr">
        <is>
          <t>CITIC Securities (Hong Kong) Limited; Haitong International Capital Limited</t>
        </is>
      </c>
      <c r="BH397" s="62" t="inlineStr">
        <is>
          <t>Haitong International Capital Limited; CITIC Securities (Hong Kong) Limited</t>
        </is>
      </c>
      <c r="BI397" s="62" t="inlineStr">
        <is>
          <t>CLSA Limited; Haitong International Securities Company Limited; West Bull Securities Limited; BOCOM International Securities Limited; CCB International Capital Limited; Central, Hong Kong Guoyuan Securities Brokerage (Hong Kong) Limited; Phillip Securities (Hong Kong) Limited; SDIC Securities (Hong Kong) Limited; Shenwan Hongyuan Securities (H.K.) Limited; SPDB International Capital Limited; Valuable Capital Limited</t>
        </is>
      </c>
      <c r="BJ397" s="62" t="inlineStr">
        <is>
          <t>BOCOM International Securities Limited; CCB International Capital Limited; CLSA Limited; Futu Securities International (Hong Kong) Limited; Guoyuan Securities Brokerage (Hong Kong) Limited; Haitong International Securities Company Limited; Livermore Holdings Limited; Phillip Securities (Hong Kong) Limited; SDIC Securities (Hong Kong) Limited; Shenwan Hongyuan Securities (H.K.) Limited; SPDB International Capital Limited; Tiger Brokers (HK) Global Limited</t>
        </is>
      </c>
      <c r="BK397" s="76">
        <f>HYPERLINK("https://www1.hkexnews.hk/listedco/listconews/sehk/2025/1202/2025120200034.pdf","prospectus")</f>
        <v/>
      </c>
      <c r="BL397" s="76">
        <f>HYPERLINK("https://www1.hkexnews.hk/listedco/listconews/sehk/2025/1209/2025120901444.pdf","allotment")</f>
        <v/>
      </c>
      <c r="BM397" s="62" t="n"/>
      <c r="BN397" s="74" t="n"/>
      <c r="BO397" s="62" t="inlineStr">
        <is>
          <t>P/E: n/m — loss-making at IPO (use P/S) · greenshoe: end-of-stabilisation notice not located · range low: cap-only pricing — the filing publishes a Maximum Offer Price and no indicative floor · A/H: no A-share listing · P/S: 5,375x on HK$1.6m revenue — effectively pre-revenue; the multiple is shown for completeness, not comparability</t>
        </is>
      </c>
    </row>
    <row r="398" ht="15" customHeight="1">
      <c r="A398" s="61" t="inlineStr">
        <is>
          <t>7618</t>
        </is>
      </c>
      <c r="B398" s="62" t="inlineStr">
        <is>
          <t>JD INDUSTRIALS</t>
        </is>
      </c>
      <c r="C398" s="62" t="inlineStr">
        <is>
          <t>京東工業</t>
        </is>
      </c>
      <c r="D398" s="62" t="inlineStr">
        <is>
          <t>Tech/AI</t>
        </is>
      </c>
      <c r="E398" s="62" t="inlineStr">
        <is>
          <t>Internet platform / e-commerce</t>
        </is>
      </c>
      <c r="F398" s="62" t="inlineStr">
        <is>
          <t>Commercial &amp; Professional Services</t>
        </is>
      </c>
      <c r="G398" s="62" t="inlineStr">
        <is>
          <t>Standard</t>
        </is>
      </c>
      <c r="H398" s="63" t="n">
        <v>46002</v>
      </c>
      <c r="I398" s="64" t="n">
        <v>2978</v>
      </c>
      <c r="J398" s="62" t="inlineStr">
        <is>
          <t>gross (stated)</t>
        </is>
      </c>
      <c r="K398" s="65" t="n"/>
      <c r="L398" s="65" t="n">
        <v>15.5</v>
      </c>
      <c r="M398" s="65" t="n">
        <v>14.1</v>
      </c>
      <c r="N398" s="62" t="inlineStr">
        <is>
          <t>N</t>
        </is>
      </c>
      <c r="O398" s="66" t="n">
        <v>91</v>
      </c>
      <c r="P398" s="66" t="n"/>
      <c r="Q398" s="67" t="n">
        <v>41038</v>
      </c>
      <c r="R398" s="62" t="inlineStr">
        <is>
          <t>aastocks:上市市值 at the struck price</t>
        </is>
      </c>
      <c r="S398" s="68" t="n">
        <v>60.52</v>
      </c>
      <c r="T398" s="69" t="n">
        <v>7.88</v>
      </c>
      <c r="U398" s="70" t="n">
        <v>44.45</v>
      </c>
      <c r="V398" s="66" t="n">
        <v>4.03</v>
      </c>
      <c r="W398" s="62" t="inlineStr">
        <is>
          <t>CPE Investment; IvyRock; CoreView; Schonfeld; Burkehill</t>
        </is>
      </c>
      <c r="X398" s="62" t="inlineStr">
        <is>
          <t>cpe;ivyrock;coreview;schonfeld;burkehill</t>
        </is>
      </c>
      <c r="Y398" s="66" t="n">
        <v>15</v>
      </c>
      <c r="Z398" s="62" t="inlineStr">
        <is>
          <t>partial</t>
        </is>
      </c>
      <c r="AA398" s="71" t="n">
        <v>0</v>
      </c>
      <c r="AB398" s="72" t="n">
        <v>-7.8</v>
      </c>
      <c r="AC398" s="72" t="n">
        <v>8.460000000000001</v>
      </c>
      <c r="AD398" s="72" t="n">
        <v>-1.28</v>
      </c>
      <c r="AE398" s="72" t="n">
        <v>-3.4</v>
      </c>
      <c r="AF398" s="72" t="n">
        <v>-8.44</v>
      </c>
      <c r="AG398" s="72" t="n">
        <v>-1.28</v>
      </c>
      <c r="AH398" s="72" t="n">
        <v>-3.4</v>
      </c>
      <c r="AI398" s="72" t="n">
        <v>-8.44</v>
      </c>
      <c r="AJ398" s="72" t="n">
        <v>1.38</v>
      </c>
      <c r="AK398" s="72" t="n">
        <v>-9.17</v>
      </c>
      <c r="AL398" s="72" t="n">
        <v>-0.1</v>
      </c>
      <c r="AM398" s="72" t="n">
        <v>-9.75</v>
      </c>
      <c r="AN398" s="72" t="n">
        <v>5.77</v>
      </c>
      <c r="AO398" s="72" t="n">
        <v>6.35</v>
      </c>
      <c r="AP398" s="62" t="inlineStr">
        <is>
          <t>HSTECH (Hang Seng TECH ETF)</t>
        </is>
      </c>
      <c r="AQ398" s="72" t="n">
        <v>-10.64</v>
      </c>
      <c r="AR398" s="63" t="inlineStr">
        <is>
          <t>2026-08-20</t>
        </is>
      </c>
      <c r="AS398" s="64" t="n">
        <v>22437.5</v>
      </c>
      <c r="AT398" s="67" t="n">
        <v>837.8</v>
      </c>
      <c r="AU398" s="62" t="inlineStr">
        <is>
          <t>Y</t>
        </is>
      </c>
      <c r="AV398" s="73" t="n">
        <v>49</v>
      </c>
      <c r="AW398" s="73" t="n">
        <v>28.4</v>
      </c>
      <c r="AX398" s="73" t="n">
        <v>10</v>
      </c>
      <c r="AY398" s="73" t="n">
        <v>1.8</v>
      </c>
      <c r="AZ398" s="74" t="inlineStr">
        <is>
          <t>N</t>
        </is>
      </c>
      <c r="BA398" s="75">
        <f>IF('BBG Verify'!K398="","not filed — run on terminal",'BBG Verify'!K398)</f>
        <v/>
      </c>
      <c r="BB398" s="62" t="inlineStr">
        <is>
          <t>N/A</t>
        </is>
      </c>
      <c r="BC398" s="62" t="inlineStr">
        <is>
          <t>N/A</t>
        </is>
      </c>
      <c r="BD398" s="62" t="inlineStr">
        <is>
          <t>N/A</t>
        </is>
      </c>
      <c r="BE398" s="62" t="inlineStr">
        <is>
          <t>N/A</t>
        </is>
      </c>
      <c r="BF398" s="62" t="inlineStr">
        <is>
          <t>N/A</t>
        </is>
      </c>
      <c r="BG398" s="74" t="inlineStr">
        <is>
          <t>Merrill Lynch (Asia Pacific) Limited; UBS Securities Hong Kong Limited; Haitong International Capital Limited; Goldman Sachs (Asia) L.L.C; Haitong International Securities Company Limited</t>
        </is>
      </c>
      <c r="BH398" s="62" t="inlineStr">
        <is>
          <t>Haitong International Capital Limited; UBS Securities Hong Kong Limited; Merrill Lynch (Asia Pacific) Limited; Goldman Sachs (Asia) L.L.C.</t>
        </is>
      </c>
      <c r="BI398" s="62" t="inlineStr">
        <is>
          <t>Merrill Lynch (Asia Pacific) Limited; UBS AG Hong Kong Branch; Goldman Sachs (Asia) L.L.C; Huatai Financial Holdings (Hong Kong) Limited; ABCI Capital Limited; Central, Hong Kong BOCI Asia Limited; Central, Hong Kong CLSA Limited; CMBC Securities Company Limited; Central, Hong Kong Futu Securities International (Hong Kong) Limited; Orient Securities (Hong Kong) Limited; Haitong International Securities Company Limited; CLSA Limited</t>
        </is>
      </c>
      <c r="BJ398" s="62" t="inlineStr">
        <is>
          <t>ABCI Securities Company Limited; BOCI Asia Limited; CLSA Limited; CMBC Securities Company Limited; Futu Securities International (Hong Kong) Limited; Goldman Sachs (Asia) L.L.C.; Huatai Financial Holdings (Hong Kong) Limited; Haitong International Securities Company Limited; The Hongkong and Shanghai Banking Corporation Limited; ICBC International Securities Limited; Merrill Lynch (Asia Pacific) Limited; Orient Securities (Hong Kong) Limited</t>
        </is>
      </c>
      <c r="BK398" s="76">
        <f>HYPERLINK("https://www1.hkexnews.hk/listedco/listconews/sehk/2025/1203/2025120300086.pdf","prospectus")</f>
        <v/>
      </c>
      <c r="BL398" s="76">
        <f>HYPERLINK("https://www1.hkexnews.hk/listedco/listconews/sehk/2025/1210/2025121001474.pdf","allotment")</f>
        <v/>
      </c>
      <c r="BM398" s="76">
        <f>HYPERLINK("https://www1.hkexnews.hk/listedco/listconews/sehk/2026/0107/2026010701764.pdf","stabilisation")</f>
        <v/>
      </c>
      <c r="BN398" s="74" t="n"/>
      <c r="BO398" s="62" t="inlineStr">
        <is>
          <t>range low: cap-only pricing — the filing publishes a Maximum Offer Price and no indicative floor · A/H: no A-share listing · market cap: estimate from stated market capitalisation disagreed with the published listing cap — published figure adopted</t>
        </is>
      </c>
    </row>
    <row r="399" ht="15" customHeight="1">
      <c r="A399" s="61" t="inlineStr">
        <is>
          <t>2655</t>
        </is>
      </c>
      <c r="B399" s="62" t="inlineStr">
        <is>
          <t>GUOXIA TECH</t>
        </is>
      </c>
      <c r="C399" s="62" t="inlineStr">
        <is>
          <t>果下科技</t>
        </is>
      </c>
      <c r="D399" s="62" t="inlineStr">
        <is>
          <t>Tech/AI</t>
        </is>
      </c>
      <c r="E399" s="62" t="inlineStr">
        <is>
          <t>SaaS / enterprise software</t>
        </is>
      </c>
      <c r="F399" s="62" t="inlineStr">
        <is>
          <t>New energy and environmental protection</t>
        </is>
      </c>
      <c r="G399" s="62" t="inlineStr">
        <is>
          <t>Standard</t>
        </is>
      </c>
      <c r="H399" s="63" t="n">
        <v>46007</v>
      </c>
      <c r="I399" s="64" t="n">
        <v>782.51</v>
      </c>
      <c r="J399" s="62" t="inlineStr">
        <is>
          <t>gross (stated)</t>
        </is>
      </c>
      <c r="K399" s="65" t="n"/>
      <c r="L399" s="65" t="n">
        <v>20.1</v>
      </c>
      <c r="M399" s="65" t="n">
        <v>20.1</v>
      </c>
      <c r="N399" s="62" t="inlineStr">
        <is>
          <t>Y</t>
        </is>
      </c>
      <c r="O399" s="66" t="n">
        <v>100</v>
      </c>
      <c r="P399" s="66" t="n"/>
      <c r="Q399" s="67" t="n">
        <v>9099</v>
      </c>
      <c r="R399" s="62" t="inlineStr">
        <is>
          <t>derived:deal size / offer % of enlarged capital</t>
        </is>
      </c>
      <c r="S399" s="68" t="n">
        <v>1890.73</v>
      </c>
      <c r="T399" s="69" t="n">
        <v>3.63</v>
      </c>
      <c r="U399" s="70" t="n">
        <v>10.9</v>
      </c>
      <c r="V399" s="66" t="n">
        <v>7.66</v>
      </c>
      <c r="W399" s="62" t="inlineStr">
        <is>
          <t>Dreamee HK Fund; RIME Capital Limited</t>
        </is>
      </c>
      <c r="X399" s="62" t="inlineStr">
        <is>
          <t>dreamee;rime</t>
        </is>
      </c>
      <c r="Y399" s="66" t="n">
        <v>15</v>
      </c>
      <c r="Z399" s="62" t="inlineStr">
        <is>
          <t>full</t>
        </is>
      </c>
      <c r="AA399" s="71" t="n">
        <v>117.91</v>
      </c>
      <c r="AB399" s="72" t="n">
        <v>89.05</v>
      </c>
      <c r="AC399" s="72" t="n">
        <v>15.27</v>
      </c>
      <c r="AD399" s="72" t="n">
        <v>107.76</v>
      </c>
      <c r="AE399" s="72" t="n">
        <v>222.39</v>
      </c>
      <c r="AF399" s="72" t="n">
        <v>141.79</v>
      </c>
      <c r="AG399" s="72" t="n">
        <v>-4.66</v>
      </c>
      <c r="AH399" s="72" t="n">
        <v>47.95</v>
      </c>
      <c r="AI399" s="72" t="n">
        <v>10.96</v>
      </c>
      <c r="AJ399" s="72" t="n">
        <v>108.04</v>
      </c>
      <c r="AK399" s="72" t="n">
        <v>217.84</v>
      </c>
      <c r="AL399" s="72" t="n">
        <v>156.26</v>
      </c>
      <c r="AM399" s="72" t="n">
        <v>41.53</v>
      </c>
      <c r="AN399" s="72" t="n">
        <v>4.55</v>
      </c>
      <c r="AO399" s="72" t="n">
        <v>6.42</v>
      </c>
      <c r="AP399" s="62" t="inlineStr">
        <is>
          <t>HSTECH (Hang Seng TECH ETF)</t>
        </is>
      </c>
      <c r="AQ399" s="72" t="n">
        <v>-17.21</v>
      </c>
      <c r="AR399" s="63" t="inlineStr">
        <is>
          <t>2026-08-20</t>
        </is>
      </c>
      <c r="AS399" s="64" t="n">
        <v>1128.2</v>
      </c>
      <c r="AT399" s="67" t="n">
        <v>35</v>
      </c>
      <c r="AU399" s="62" t="inlineStr">
        <is>
          <t>Y</t>
        </is>
      </c>
      <c r="AV399" s="73" t="n">
        <v>260</v>
      </c>
      <c r="AW399" s="73" t="n">
        <v>32</v>
      </c>
      <c r="AX399" s="73" t="n">
        <v>86.8</v>
      </c>
      <c r="AY399" s="73" t="n">
        <v>8.1</v>
      </c>
      <c r="AZ399" s="74" t="inlineStr">
        <is>
          <t>N</t>
        </is>
      </c>
      <c r="BA399" s="75">
        <f>IF('BBG Verify'!K399="","not filed — run on terminal",'BBG Verify'!K399)</f>
        <v/>
      </c>
      <c r="BB399" s="62" t="inlineStr">
        <is>
          <t>N/A</t>
        </is>
      </c>
      <c r="BC399" s="62" t="inlineStr">
        <is>
          <t>N/A</t>
        </is>
      </c>
      <c r="BD399" s="62" t="inlineStr">
        <is>
          <t>N/A</t>
        </is>
      </c>
      <c r="BE399" s="62" t="inlineStr">
        <is>
          <t>N/A</t>
        </is>
      </c>
      <c r="BF399" s="62" t="inlineStr">
        <is>
          <t>N/A</t>
        </is>
      </c>
      <c r="BG399" s="74" t="inlineStr">
        <is>
          <t>China Everbright Capital Limited</t>
        </is>
      </c>
      <c r="BH399" s="62" t="inlineStr">
        <is>
          <t>China Everbright Capital Limited</t>
        </is>
      </c>
      <c r="BI399" s="62" t="inlineStr">
        <is>
          <t>ABCI Capital Limited; Yellow River Securities Limited; Wanchai, Hong Kong West Bull Securities Limited; BOCI Asia Limited; ICBC International Securities Limited; Yue Xiu Securities Company Limited; Wanchai, Hong Kong Shenwan Hongyuan Securities (H.K.) Limited; CMB International Capital Limited; CMBC Securities Company Limited; CCB International Capital Limited; Caitong International Securities Co., Limited; Futu Securities International (Hong Kong) Limited</t>
        </is>
      </c>
      <c r="BJ399" s="62" t="inlineStr">
        <is>
          <t>ABCI Securities Company Limited; BOCI Asia Limited; Caitong International Securities Company Limited; CCB International Capital Limited; China Everbright Securities (HK) Limited; CMBC Securities Company Limited; CMB International Capital Limited; Futu Securities International (Hong Kong) Limited; Huafu International Securities Limited; ICBC International Securities Limited; Livermore Holdings Limited; Shenwan Hongyuan Securities (H.K.) Limited</t>
        </is>
      </c>
      <c r="BK399" s="76">
        <f>HYPERLINK("https://www1.hkexnews.hk/listedco/listconews/sehk/2025/1208/2025120800011.pdf","prospectus")</f>
        <v/>
      </c>
      <c r="BL399" s="76">
        <f>HYPERLINK("https://www1.hkexnews.hk/listedco/listconews/sehk/2025/1215/2025121501608.pdf","allotment")</f>
        <v/>
      </c>
      <c r="BM399" s="76">
        <f>HYPERLINK("https://www1.hkexnews.hk/listedco/listconews/sehk/2026/0109/2026010901587.pdf","stabilisation")</f>
        <v/>
      </c>
      <c r="BN399" s="74" t="n"/>
      <c r="BO399" s="62" t="inlineStr">
        <is>
          <t>range low: cap-only pricing — the filing publishes a Maximum Offer Price and no indicative floor · A/H: no A-share listing</t>
        </is>
      </c>
    </row>
    <row r="400" ht="15" customHeight="1">
      <c r="A400" s="61" t="inlineStr">
        <is>
          <t>3887</t>
        </is>
      </c>
      <c r="B400" s="62" t="inlineStr">
        <is>
          <t>HASHKEY HLDGS</t>
        </is>
      </c>
      <c r="C400" s="62" t="inlineStr">
        <is>
          <t>HASHKEY HLDGS</t>
        </is>
      </c>
      <c r="D400" s="62" t="inlineStr">
        <is>
          <t>Tech/AI</t>
        </is>
      </c>
      <c r="E400" s="62" t="inlineStr">
        <is>
          <t>Fintech platform</t>
        </is>
      </c>
      <c r="F400" s="62" t="inlineStr">
        <is>
          <t>Investment Holdings &amp; Assets Management</t>
        </is>
      </c>
      <c r="G400" s="62" t="inlineStr">
        <is>
          <t>Standard</t>
        </is>
      </c>
      <c r="H400" s="63" t="n">
        <v>46008</v>
      </c>
      <c r="I400" s="64" t="n">
        <v>1607</v>
      </c>
      <c r="J400" s="62" t="inlineStr">
        <is>
          <t>gross (price x shares)</t>
        </is>
      </c>
      <c r="K400" s="65" t="n"/>
      <c r="L400" s="65" t="n">
        <v>6.95</v>
      </c>
      <c r="M400" s="65" t="n">
        <v>6.68</v>
      </c>
      <c r="N400" s="62" t="inlineStr">
        <is>
          <t>N</t>
        </is>
      </c>
      <c r="O400" s="66" t="n">
        <v>96.09999999999999</v>
      </c>
      <c r="P400" s="66" t="n"/>
      <c r="Q400" s="67" t="n">
        <v>19116.7</v>
      </c>
      <c r="R400" s="62" t="inlineStr">
        <is>
          <t>aastocks:上市市值 at the struck price</t>
        </is>
      </c>
      <c r="S400" s="68" t="n">
        <v>393.71</v>
      </c>
      <c r="T400" s="69" t="n">
        <v>5.46</v>
      </c>
      <c r="U400" s="70" t="n">
        <v>39.43</v>
      </c>
      <c r="V400" s="66" t="n">
        <v>5.09</v>
      </c>
      <c r="W400" s="62" t="inlineStr">
        <is>
          <t>Space Z PTE. LTD; Cithara Fund; UBS AM Singapore; Epoch Vantage Limited; Mr. Lu Weiding; XChainX Limited; Black Shadows, L.P; Fidelity Funds; TDR Investment Inc; Tomars Limited</t>
        </is>
      </c>
      <c r="X400" s="62" t="inlineStr">
        <is>
          <t>space;cithara;ubs;epoch;mr-lu;xchainx;black;fidelity;tdr;tomars</t>
        </is>
      </c>
      <c r="Y400" s="66" t="n">
        <v>15</v>
      </c>
      <c r="Z400" s="62" t="inlineStr">
        <is>
          <t>partial</t>
        </is>
      </c>
      <c r="AA400" s="71" t="n">
        <v>-0.15</v>
      </c>
      <c r="AB400" s="72" t="n">
        <v>0.3</v>
      </c>
      <c r="AC400" s="72" t="n">
        <v>-0.45</v>
      </c>
      <c r="AD400" s="72" t="n">
        <v>-14.22</v>
      </c>
      <c r="AE400" s="72" t="n">
        <v>7.34</v>
      </c>
      <c r="AF400" s="72" t="n">
        <v>-29.34</v>
      </c>
      <c r="AG400" s="72" t="n">
        <v>-14.09</v>
      </c>
      <c r="AH400" s="72" t="n">
        <v>7.5</v>
      </c>
      <c r="AI400" s="72" t="n">
        <v>-29.23</v>
      </c>
      <c r="AJ400" s="72" t="n">
        <v>-15.83</v>
      </c>
      <c r="AK400" s="72" t="n">
        <v>2.14</v>
      </c>
      <c r="AL400" s="72" t="n">
        <v>-18.53</v>
      </c>
      <c r="AM400" s="72" t="n">
        <v>3.48</v>
      </c>
      <c r="AN400" s="72" t="n">
        <v>5.2</v>
      </c>
      <c r="AO400" s="72" t="n">
        <v>4.02</v>
      </c>
      <c r="AP400" s="62" t="inlineStr">
        <is>
          <t>HSTECH (Hang Seng TECH ETF)</t>
        </is>
      </c>
      <c r="AQ400" s="72" t="n">
        <v>-58.08</v>
      </c>
      <c r="AR400" s="63" t="inlineStr">
        <is>
          <t>2026-08-20</t>
        </is>
      </c>
      <c r="AS400" s="64" t="n">
        <v>720.7</v>
      </c>
      <c r="AT400" s="67" t="n">
        <v>-1189.6</v>
      </c>
      <c r="AU400" s="62" t="inlineStr">
        <is>
          <t>N</t>
        </is>
      </c>
      <c r="AV400" s="62" t="inlineStr">
        <is>
          <t>n/m</t>
        </is>
      </c>
      <c r="AW400" s="73" t="n"/>
      <c r="AX400" s="73" t="n"/>
      <c r="AY400" s="73" t="n">
        <v>26.5</v>
      </c>
      <c r="AZ400" s="74" t="inlineStr">
        <is>
          <t>N</t>
        </is>
      </c>
      <c r="BA400" s="75">
        <f>IF('BBG Verify'!K400="","not filed — run on terminal",'BBG Verify'!K400)</f>
        <v/>
      </c>
      <c r="BB400" s="62" t="inlineStr">
        <is>
          <t>N/A</t>
        </is>
      </c>
      <c r="BC400" s="62" t="inlineStr">
        <is>
          <t>N/A</t>
        </is>
      </c>
      <c r="BD400" s="62" t="inlineStr">
        <is>
          <t>N/A</t>
        </is>
      </c>
      <c r="BE400" s="62" t="inlineStr">
        <is>
          <t>N/A</t>
        </is>
      </c>
      <c r="BF400" s="62" t="inlineStr">
        <is>
          <t>N/A</t>
        </is>
      </c>
      <c r="BG400" s="74" t="inlineStr">
        <is>
          <t>J.P. Morgan Securities (Far East) Limited; Guotai Junan Capital Limited</t>
        </is>
      </c>
      <c r="BH400" s="62" t="inlineStr">
        <is>
          <t>J.P. Morgan Securities (Far East) Limited; Guotai Junan Capital Limited</t>
        </is>
      </c>
      <c r="BI400" s="62" t="inlineStr">
        <is>
          <t>( in alphabetical order ) CMB International Capital Limited; Tiger Brokers (HK) Global Limited; Victory Securities Company Limited</t>
        </is>
      </c>
      <c r="BJ400" s="62" t="inlineStr">
        <is>
          <t>CMB International Capital Limited; Eddid Securities and Futures Limited; First Shanghai Securities Limited; Futu Securities International (Hong Kong) Limited; Guotai Junan Securities (Hong Kong) Limited; Huatai Financial Holdings (Hong Kong) Limited; J.P. Morgan Securities (Asia Pacific) Limited; Tiger Brokers (HK) Global Limited; Victory Securities Company Limited</t>
        </is>
      </c>
      <c r="BK400" s="76">
        <f>HYPERLINK("https://www1.hkexnews.hk/listedco/listconews/sehk/2025/1209/2025120900025.pdf","prospectus")</f>
        <v/>
      </c>
      <c r="BL400" s="76">
        <f>HYPERLINK("https://www1.hkexnews.hk/listedco/listconews/sehk/2025/1216/2025121601390.pdf","allotment")</f>
        <v/>
      </c>
      <c r="BM400" s="76">
        <f>HYPERLINK("https://www1.hkexnews.hk/listedco/listconews/sehk/2026/0112/2026011200057.pdf","stabilisation")</f>
        <v/>
      </c>
      <c r="BN400" s="74" t="n"/>
      <c r="BO400" s="62" t="inlineStr">
        <is>
          <t>P/E: n/m — loss-making at IPO (use P/S) · range low: cap-only pricing — the filing publishes a Maximum Offer Price and no indicative floor · A/H: no A-share listing · market cap: estimate from deal size / offer % of enlarged capital disagreed with the published listing cap — published figure adopted</t>
        </is>
      </c>
    </row>
    <row r="401" ht="15" customHeight="1">
      <c r="A401" s="61" t="inlineStr">
        <is>
          <t>2546</t>
        </is>
      </c>
      <c r="B401" s="62" t="inlineStr">
        <is>
          <t>ZHIHUI MINING</t>
        </is>
      </c>
      <c r="C401" s="62" t="inlineStr">
        <is>
          <t>智匯礦業</t>
        </is>
      </c>
      <c r="D401" s="62" t="inlineStr">
        <is>
          <t>Materials/Energy</t>
        </is>
      </c>
      <c r="E401" s="62" t="inlineStr">
        <is>
          <t>Mining / metals</t>
        </is>
      </c>
      <c r="F401" s="62" t="inlineStr">
        <is>
          <t>Diversified Metals &amp; Minerals</t>
        </is>
      </c>
      <c r="G401" s="62" t="inlineStr">
        <is>
          <t>Standard</t>
        </is>
      </c>
      <c r="H401" s="63" t="n">
        <v>46010</v>
      </c>
      <c r="I401" s="64" t="n">
        <v>550</v>
      </c>
      <c r="J401" s="62" t="inlineStr">
        <is>
          <t>gross (stated)</t>
        </is>
      </c>
      <c r="K401" s="65" t="n"/>
      <c r="L401" s="65" t="n">
        <v>4.51</v>
      </c>
      <c r="M401" s="65" t="n">
        <v>4.51</v>
      </c>
      <c r="N401" s="62" t="inlineStr">
        <is>
          <t>Y</t>
        </is>
      </c>
      <c r="O401" s="66" t="n">
        <v>100</v>
      </c>
      <c r="P401" s="66" t="n"/>
      <c r="Q401" s="67" t="n">
        <v>2200</v>
      </c>
      <c r="R401" s="62" t="inlineStr">
        <is>
          <t>derived:price x shares upon listing</t>
        </is>
      </c>
      <c r="S401" s="68" t="n">
        <v>5248.15</v>
      </c>
      <c r="T401" s="69" t="n">
        <v>2.68</v>
      </c>
      <c r="U401" s="70" t="n">
        <v>40.78</v>
      </c>
      <c r="V401" s="66" t="n">
        <v>14.81</v>
      </c>
      <c r="W401" s="62" t="inlineStr">
        <is>
          <t>Sparky International Company Limited; GIGA Industries Limited; Enterprises Limited</t>
        </is>
      </c>
      <c r="X401" s="62" t="inlineStr">
        <is>
          <t>sparky;giga;enterprises</t>
        </is>
      </c>
      <c r="Y401" s="66" t="n"/>
      <c r="Z401" s="62" t="n"/>
      <c r="AA401" s="71" t="n">
        <v>90.69</v>
      </c>
      <c r="AB401" s="72" t="n">
        <v>139.47</v>
      </c>
      <c r="AC401" s="72" t="n">
        <v>-20.37</v>
      </c>
      <c r="AD401" s="72" t="n">
        <v>109.31</v>
      </c>
      <c r="AE401" s="72" t="n">
        <v>186.03</v>
      </c>
      <c r="AF401" s="72" t="n">
        <v>212.64</v>
      </c>
      <c r="AG401" s="72" t="n">
        <v>9.76</v>
      </c>
      <c r="AH401" s="72" t="n">
        <v>50</v>
      </c>
      <c r="AI401" s="72" t="n">
        <v>63.95</v>
      </c>
      <c r="AJ401" s="72" t="n">
        <v>108.33</v>
      </c>
      <c r="AK401" s="72" t="n">
        <v>181.75</v>
      </c>
      <c r="AL401" s="72" t="n">
        <v>219.56</v>
      </c>
      <c r="AM401" s="72" t="n">
        <v>46.58</v>
      </c>
      <c r="AN401" s="72" t="n">
        <v>4.28</v>
      </c>
      <c r="AO401" s="72" t="n">
        <v>3.42</v>
      </c>
      <c r="AP401" s="62" t="inlineStr">
        <is>
          <t>Hang Seng Commerce &amp; Industry sub-index</t>
        </is>
      </c>
      <c r="AQ401" s="72" t="n">
        <v>326.16</v>
      </c>
      <c r="AR401" s="63" t="inlineStr">
        <is>
          <t>2026-08-20</t>
        </is>
      </c>
      <c r="AS401" s="64" t="n">
        <v>331.6</v>
      </c>
      <c r="AT401" s="67" t="n">
        <v>69.09999999999999</v>
      </c>
      <c r="AU401" s="62" t="inlineStr">
        <is>
          <t>Y</t>
        </is>
      </c>
      <c r="AV401" s="73" t="n">
        <v>31.8</v>
      </c>
      <c r="AW401" s="73" t="n"/>
      <c r="AX401" s="73" t="n"/>
      <c r="AY401" s="73" t="n">
        <v>6.6</v>
      </c>
      <c r="AZ401" s="74" t="inlineStr">
        <is>
          <t>N</t>
        </is>
      </c>
      <c r="BA401" s="75">
        <f>IF('BBG Verify'!K401="","not filed — run on terminal",'BBG Verify'!K401)</f>
        <v/>
      </c>
      <c r="BB401" s="62" t="inlineStr">
        <is>
          <t>N/A</t>
        </is>
      </c>
      <c r="BC401" s="62" t="inlineStr">
        <is>
          <t>N/A</t>
        </is>
      </c>
      <c r="BD401" s="62" t="inlineStr">
        <is>
          <t>N/A</t>
        </is>
      </c>
      <c r="BE401" s="62" t="inlineStr">
        <is>
          <t>N/A</t>
        </is>
      </c>
      <c r="BF401" s="62" t="inlineStr">
        <is>
          <t>N/A</t>
        </is>
      </c>
      <c r="BG401" s="74" t="inlineStr">
        <is>
          <t>Sinolink Securities (Hong Kong) Company Limited; Maxa Capital Limited</t>
        </is>
      </c>
      <c r="BH401" s="62" t="inlineStr">
        <is>
          <t>Maxa Capital Limited; Sinolink Securities (Hong Kong) Company Limited</t>
        </is>
      </c>
      <c r="BI401" s="62" t="inlineStr">
        <is>
          <t>Sinolink Securities (Hong Kong) Company Limited; Maxa Capital Limited; ABCI Capital Limited; ABCI Securities Company Limited</t>
        </is>
      </c>
      <c r="BJ401" s="62" t="inlineStr">
        <is>
          <t>ABCI Securities Company Limited; CCB International Capital Limited; CMBC Securities Company Limited; CMB International Capital Limited; Fortune Origin Securities Limited; Get Nice Securities Limited; Grand China Securities Limited; Glory Sun Securities Limited; Huaan Securities (Hong Kong) Brokerage Limited; ICBC International Securities Limited; Lego Securities Limited; Mont Avenir Capital Limited</t>
        </is>
      </c>
      <c r="BK401" s="76">
        <f>HYPERLINK("https://www1.hkexnews.hk/listedco/listconews/sehk/2025/1211/2025121100043.pdf","prospectus")</f>
        <v/>
      </c>
      <c r="BL401" s="76">
        <f>HYPERLINK("https://www1.hkexnews.hk/listedco/listconews/sehk/2025/1218/2025121801566.pdf","allotment")</f>
        <v/>
      </c>
      <c r="BM401" s="62" t="n"/>
      <c r="BN401" s="74" t="n"/>
      <c r="BO401" s="62" t="inlineStr">
        <is>
          <t>greenshoe: no over-allotment option in the offer structure · range low: cap-only pricing — the filing publishes a Maximum Offer Price and no indicative floor · A/H: no A-share listing · greenshoe size: no over-allotment option in the offer structure</t>
        </is>
      </c>
    </row>
    <row r="402" ht="15" customHeight="1">
      <c r="A402" s="61" t="inlineStr">
        <is>
          <t>3881</t>
        </is>
      </c>
      <c r="B402" s="62" t="inlineStr">
        <is>
          <t>CIDI</t>
        </is>
      </c>
      <c r="C402" s="62" t="inlineStr">
        <is>
          <t>希迪智駕</t>
        </is>
      </c>
      <c r="D402" s="62" t="inlineStr">
        <is>
          <t>Tech/AI</t>
        </is>
      </c>
      <c r="E402" s="62" t="inlineStr">
        <is>
          <t>Robotics &amp; autonomous driving</t>
        </is>
      </c>
      <c r="F402" s="62" t="inlineStr">
        <is>
          <t>Advanced hardware and software</t>
        </is>
      </c>
      <c r="G402" s="62" t="inlineStr">
        <is>
          <t>Standard</t>
        </is>
      </c>
      <c r="H402" s="63" t="n">
        <v>46010</v>
      </c>
      <c r="I402" s="64" t="n">
        <v>1422.3</v>
      </c>
      <c r="J402" s="62" t="inlineStr">
        <is>
          <t>gross (stated)</t>
        </is>
      </c>
      <c r="K402" s="65" t="n"/>
      <c r="L402" s="65" t="n">
        <v>263</v>
      </c>
      <c r="M402" s="65" t="n">
        <v>263</v>
      </c>
      <c r="N402" s="62" t="inlineStr">
        <is>
          <t>Y</t>
        </is>
      </c>
      <c r="O402" s="66" t="n">
        <v>100</v>
      </c>
      <c r="P402" s="66" t="n"/>
      <c r="Q402" s="67" t="n">
        <v>11516.6</v>
      </c>
      <c r="R402" s="62" t="inlineStr">
        <is>
          <t>prospectus:stated market capitalisation</t>
        </is>
      </c>
      <c r="S402" s="68" t="n">
        <v>22.55</v>
      </c>
      <c r="T402" s="69" t="n">
        <v>2.1</v>
      </c>
      <c r="U402" s="70" t="n">
        <v>38.39</v>
      </c>
      <c r="V402" s="66" t="n">
        <v>7.61</v>
      </c>
      <c r="W402" s="62" t="inlineStr">
        <is>
          <t>Xiangjiang Zhicheng (Hunan state fund); Zhijia No. 1 (Nanning Ruiyue LP); ICBC UBS Asset Management (International); Qianhai Kaiyuan Qunwei QDII Plan</t>
        </is>
      </c>
      <c r="X402" s="62" t="inlineStr">
        <is>
          <t>xiangjiang;zhijia;icbc;qianhai</t>
        </is>
      </c>
      <c r="Y402" s="66" t="n">
        <v>10</v>
      </c>
      <c r="Z402" s="62" t="inlineStr">
        <is>
          <t>lapsed</t>
        </is>
      </c>
      <c r="AA402" s="71" t="n">
        <v>-13.69</v>
      </c>
      <c r="AB402" s="72" t="n">
        <v>0</v>
      </c>
      <c r="AC402" s="72" t="n">
        <v>-13.69</v>
      </c>
      <c r="AD402" s="72" t="n">
        <v>-15.21</v>
      </c>
      <c r="AE402" s="72" t="n">
        <v>-7.83</v>
      </c>
      <c r="AF402" s="72" t="n">
        <v>-11.79</v>
      </c>
      <c r="AG402" s="72" t="n">
        <v>-1.76</v>
      </c>
      <c r="AH402" s="72" t="n">
        <v>6.79</v>
      </c>
      <c r="AI402" s="72" t="n">
        <v>2.2</v>
      </c>
      <c r="AJ402" s="72" t="n">
        <v>-18.03</v>
      </c>
      <c r="AK402" s="72" t="n">
        <v>-14.04</v>
      </c>
      <c r="AL402" s="72" t="n">
        <v>0.53</v>
      </c>
      <c r="AM402" s="72" t="n">
        <v>1.57</v>
      </c>
      <c r="AN402" s="72" t="n">
        <v>6.21</v>
      </c>
      <c r="AO402" s="72" t="n">
        <v>5.22</v>
      </c>
      <c r="AP402" s="62" t="inlineStr">
        <is>
          <t>HSTECH (Hang Seng TECH ETF)</t>
        </is>
      </c>
      <c r="AQ402" s="72" t="n">
        <v>-27.95</v>
      </c>
      <c r="AR402" s="63" t="inlineStr">
        <is>
          <t>2026-08-24</t>
        </is>
      </c>
      <c r="AS402" s="64" t="n">
        <v>451</v>
      </c>
      <c r="AT402" s="67" t="n">
        <v>-638.8</v>
      </c>
      <c r="AU402" s="62" t="inlineStr">
        <is>
          <t>N</t>
        </is>
      </c>
      <c r="AV402" s="62" t="inlineStr">
        <is>
          <t>n/m</t>
        </is>
      </c>
      <c r="AW402" s="73" t="n"/>
      <c r="AX402" s="73" t="n"/>
      <c r="AY402" s="73" t="n">
        <v>25.5</v>
      </c>
      <c r="AZ402" s="74" t="inlineStr">
        <is>
          <t>N</t>
        </is>
      </c>
      <c r="BA402" s="75">
        <f>IF('BBG Verify'!K402="","not filed — run on terminal",'BBG Verify'!K402)</f>
        <v/>
      </c>
      <c r="BB402" s="62" t="inlineStr">
        <is>
          <t>N/A</t>
        </is>
      </c>
      <c r="BC402" s="62" t="inlineStr">
        <is>
          <t>N/A</t>
        </is>
      </c>
      <c r="BD402" s="62" t="inlineStr">
        <is>
          <t>N/A</t>
        </is>
      </c>
      <c r="BE402" s="62" t="inlineStr">
        <is>
          <t>N/A</t>
        </is>
      </c>
      <c r="BF402" s="62" t="inlineStr">
        <is>
          <t>N/A</t>
        </is>
      </c>
      <c r="BG402" s="74" t="inlineStr">
        <is>
          <t>China International Capital Corporation Hong Kong Securities Limited; Central, Hong Kong China Securities (International) Corporate Finance Company Limited; Central, Hong Kong Ping An of China Capital (Hong Kong) Company Limited</t>
        </is>
      </c>
      <c r="BH402" s="62" t="inlineStr">
        <is>
          <t>China International Capital Corporation Hong Kong Securities Limited; Ping An of China Capital (Hong Kong) Company Limited; China Securities (International) Corporate Finance Company Limited</t>
        </is>
      </c>
      <c r="BI402" s="62" t="inlineStr">
        <is>
          <t>China International Capital Corporation Hong Kong Securities Limited; Central, Hong Kong China Securities (International) Corporate Finance Company Limited; Central, Hong Kong Ping An Securities (Hong Kong) Company Limited; Finance Company Limited; ABCI Capital Limited; Funde Securities Limited; Guosen Securities (HK) Brokerage Company, Limited; ICBC International Securities Limited; China Everbright Securities (HK) Limited; Livermore Holdings Limited; Shenwan Hongyuan Securities (H.K.) Limited; Tiger Brokers (HK) Global Limited</t>
        </is>
      </c>
      <c r="BJ402" s="62" t="inlineStr">
        <is>
          <t>ABCI Securities Company Limited; China Everbright Securities (HK) Limited; China International Capital Corporation Hong Kong Securities Limited; China Securities (International) Corporate Finance Company Limited; Funde Securities Limited; Guosen Securities (HK) Brokerage Company, Limited; ICBC International Securities Limited; Livermore Holdings Limited; Ping An Securities (Hong Kong) Company Limited; Shenwan Hongyuan Securities (H.K.) Limited; Tiger Brokers (HK) Global Limited; Winbull Securities International (HK) Limited</t>
        </is>
      </c>
      <c r="BK402" s="76">
        <f>HYPERLINK("https://www1.hkexnews.hk/listedco/listconews/sehk/2025/1211/2025121100007.pdf","prospectus")</f>
        <v/>
      </c>
      <c r="BL402" s="76">
        <f>HYPERLINK("https://www1.hkexnews.hk/listedco/listconews/sehk/2025/1218/2025121801904.pdf","allotment")</f>
        <v/>
      </c>
      <c r="BM402" s="76">
        <f>HYPERLINK("https://www1.hkexnews.hk/listedco/listconews/sehk/2026/0116/2026011600161.pdf","stabilisation")</f>
        <v/>
      </c>
      <c r="BN402" s="74" t="n"/>
      <c r="BO402" s="62" t="inlineStr">
        <is>
          <t>P/E: n/m — loss-making at IPO (use P/S) · greenshoe: CONFLICT: our notice-parse read 'lapsed' but Bloomberg records 540,800 over-allotment shares exercised — verify the stabilisation notice by hand · range low: cap-only pricing — the filing publishes a Maximum Offer Price and no indicative floor · A/H: no A-share listing</t>
        </is>
      </c>
    </row>
    <row r="403" ht="15" customHeight="1">
      <c r="A403" s="61" t="inlineStr">
        <is>
          <t>2695</t>
        </is>
      </c>
      <c r="B403" s="62" t="inlineStr">
        <is>
          <t>IMPRESSION DHP</t>
        </is>
      </c>
      <c r="C403" s="62" t="inlineStr">
        <is>
          <t>印象大紅袍</t>
        </is>
      </c>
      <c r="D403" s="62" t="inlineStr">
        <is>
          <t>TMT-other</t>
        </is>
      </c>
      <c r="E403" s="62" t="inlineStr">
        <is>
          <t>Media / advertising</t>
        </is>
      </c>
      <c r="F403" s="62" t="inlineStr">
        <is>
          <t>Tourism</t>
        </is>
      </c>
      <c r="G403" s="62" t="inlineStr">
        <is>
          <t>Standard</t>
        </is>
      </c>
      <c r="H403" s="63" t="n">
        <v>46013</v>
      </c>
      <c r="I403" s="64" t="n">
        <v>129.96</v>
      </c>
      <c r="J403" s="62" t="inlineStr">
        <is>
          <t>gross (stated)</t>
        </is>
      </c>
      <c r="K403" s="65" t="n"/>
      <c r="L403" s="65" t="n">
        <v>4.1</v>
      </c>
      <c r="M403" s="65" t="n">
        <v>3.6</v>
      </c>
      <c r="N403" s="62" t="inlineStr">
        <is>
          <t>N</t>
        </is>
      </c>
      <c r="O403" s="66" t="n">
        <v>87.8</v>
      </c>
      <c r="P403" s="66" t="n"/>
      <c r="Q403" s="67" t="n">
        <v>519</v>
      </c>
      <c r="R403" s="62" t="inlineStr">
        <is>
          <t>derived:price x shares upon listing</t>
        </is>
      </c>
      <c r="S403" s="68" t="n">
        <v>3397.48</v>
      </c>
      <c r="T403" s="69" t="n">
        <v>1.91</v>
      </c>
      <c r="U403" s="70" t="n">
        <v>0</v>
      </c>
      <c r="V403" s="66" t="n">
        <v>25.04</v>
      </c>
      <c r="W403" s="62" t="n"/>
      <c r="X403" s="62" t="n"/>
      <c r="Y403" s="66" t="n">
        <v>11.4</v>
      </c>
      <c r="Z403" s="62" t="n"/>
      <c r="AA403" s="71" t="n">
        <v>-35.28</v>
      </c>
      <c r="AB403" s="72" t="n">
        <v>-9.44</v>
      </c>
      <c r="AC403" s="72" t="n">
        <v>-28.53</v>
      </c>
      <c r="AD403" s="72" t="n">
        <v>-41.11</v>
      </c>
      <c r="AE403" s="72" t="n">
        <v>-35.56</v>
      </c>
      <c r="AF403" s="72" t="n">
        <v>-50.28</v>
      </c>
      <c r="AG403" s="72" t="n">
        <v>-9.01</v>
      </c>
      <c r="AH403" s="72" t="n">
        <v>-0.43</v>
      </c>
      <c r="AI403" s="72" t="n">
        <v>-23.18</v>
      </c>
      <c r="AJ403" s="72" t="n">
        <v>-40.88</v>
      </c>
      <c r="AK403" s="72" t="n">
        <v>-39.68</v>
      </c>
      <c r="AL403" s="72" t="n">
        <v>-47.4</v>
      </c>
      <c r="AM403" s="72" t="n">
        <v>-4.1</v>
      </c>
      <c r="AN403" s="72" t="n">
        <v>4.12</v>
      </c>
      <c r="AO403" s="72" t="n">
        <v>3.67</v>
      </c>
      <c r="AP403" s="62" t="inlineStr">
        <is>
          <t>Hang Seng Index</t>
        </is>
      </c>
      <c r="AQ403" s="72" t="n">
        <v>-63.75</v>
      </c>
      <c r="AR403" s="63" t="inlineStr">
        <is>
          <t>2026-08-21</t>
        </is>
      </c>
      <c r="AS403" s="64" t="n">
        <v>150.9</v>
      </c>
      <c r="AT403" s="67" t="n">
        <v>-2.9</v>
      </c>
      <c r="AU403" s="62" t="inlineStr">
        <is>
          <t>N</t>
        </is>
      </c>
      <c r="AV403" s="62" t="inlineStr">
        <is>
          <t>n/m</t>
        </is>
      </c>
      <c r="AW403" s="73" t="n">
        <v>5.6</v>
      </c>
      <c r="AX403" s="73" t="n">
        <v>3.1</v>
      </c>
      <c r="AY403" s="73" t="n">
        <v>3.4</v>
      </c>
      <c r="AZ403" s="74" t="inlineStr">
        <is>
          <t>N</t>
        </is>
      </c>
      <c r="BA403" s="75">
        <f>IF('BBG Verify'!K403="","not filed — run on terminal",'BBG Verify'!K403)</f>
        <v/>
      </c>
      <c r="BB403" s="62" t="inlineStr">
        <is>
          <t>N/A</t>
        </is>
      </c>
      <c r="BC403" s="62" t="inlineStr">
        <is>
          <t>N/A</t>
        </is>
      </c>
      <c r="BD403" s="62" t="inlineStr">
        <is>
          <t>N/A</t>
        </is>
      </c>
      <c r="BE403" s="62" t="inlineStr">
        <is>
          <t>N/A</t>
        </is>
      </c>
      <c r="BF403" s="62" t="inlineStr">
        <is>
          <t>N/A</t>
        </is>
      </c>
      <c r="BG403" s="74" t="inlineStr">
        <is>
          <t>China Industrial Securities International Capital Limited; Halcyon Capital Limited</t>
        </is>
      </c>
      <c r="BH403" s="62" t="inlineStr">
        <is>
          <t>China Industrial Securities International Capital Limited; Halcyon Capital Limited</t>
        </is>
      </c>
      <c r="BI403" s="62" t="inlineStr">
        <is>
          <t>China Industrial Securities International Capital Limited; Halcyon Securities Limited; ABCI Capital Limited; ABCI Securities Company Limited</t>
        </is>
      </c>
      <c r="BJ403" s="62" t="inlineStr">
        <is>
          <t>ABCI Securities Company Limited; BOCI Asia Limited; CCB International Capital Limited; China Industrial Securities International Capital Limited; CMB International Capital Limited; China Sunrise Securities (International) Limited; Futu Securities International (Hong Kong) Limited; GLAM Capital Limited; Halcyon Securities Limited; Huafu International Securities Limited; ICBC International Securities Limited; Patrons Securities Limited</t>
        </is>
      </c>
      <c r="BK403" s="76">
        <f>HYPERLINK("https://www1.hkexnews.hk/listedco/listconews/sehk/2025/1212/2025121200055.pdf","prospectus")</f>
        <v/>
      </c>
      <c r="BL403" s="76">
        <f>HYPERLINK("https://www1.hkexnews.hk/listedco/listconews/sehk/2025/1219/2025121901141.pdf","allotment")</f>
        <v/>
      </c>
      <c r="BM403" s="62" t="n"/>
      <c r="BN403" s="74" t="n"/>
      <c r="BO403" s="62" t="inlineStr">
        <is>
          <t>P/E: n/m — loss-making at IPO (use P/S) · greenshoe: end-of-stabilisation notice not located · range low: cap-only pricing — the filing publishes a Maximum Offer Price and no indicative floor · A/H: no A-share listing · cornerstone list: no cornerstone tranche in this deal</t>
        </is>
      </c>
    </row>
    <row r="404" ht="15" customHeight="1">
      <c r="A404" s="61" t="inlineStr">
        <is>
          <t>2396</t>
        </is>
      </c>
      <c r="B404" s="62" t="inlineStr">
        <is>
          <t>B&amp;K CORP-B</t>
        </is>
      </c>
      <c r="C404" s="62" t="inlineStr">
        <is>
          <t>青城新藥－Ｂ</t>
        </is>
      </c>
      <c r="D404" s="62" t="inlineStr">
        <is>
          <t>Healthcare</t>
        </is>
      </c>
      <c r="E404" s="62" t="inlineStr">
        <is>
          <t>Biotech pre-revenue (18A)</t>
        </is>
      </c>
      <c r="F404" s="62" t="inlineStr">
        <is>
          <t>Biotechnology - Pharmaceuticals</t>
        </is>
      </c>
      <c r="G404" s="62" t="inlineStr">
        <is>
          <t>18A</t>
        </is>
      </c>
      <c r="H404" s="63" t="n">
        <v>46013</v>
      </c>
      <c r="I404" s="64" t="n">
        <v>674.2</v>
      </c>
      <c r="J404" s="62" t="inlineStr">
        <is>
          <t>gross (price x shares)</t>
        </is>
      </c>
      <c r="K404" s="65" t="n"/>
      <c r="L404" s="65" t="n">
        <v>51</v>
      </c>
      <c r="M404" s="65" t="n">
        <v>38.2</v>
      </c>
      <c r="N404" s="62" t="inlineStr">
        <is>
          <t>N</t>
        </is>
      </c>
      <c r="O404" s="66" t="n">
        <v>74.90000000000001</v>
      </c>
      <c r="P404" s="66" t="n"/>
      <c r="Q404" s="67" t="n">
        <v>4494.5</v>
      </c>
      <c r="R404" s="62" t="inlineStr">
        <is>
          <t>derived:price x shares upon listing</t>
        </is>
      </c>
      <c r="S404" s="68" t="n">
        <v>791.95</v>
      </c>
      <c r="T404" s="69" t="n">
        <v>6.05</v>
      </c>
      <c r="U404" s="70" t="n">
        <v>0</v>
      </c>
      <c r="V404" s="66" t="n">
        <v>15</v>
      </c>
      <c r="W404" s="62" t="n"/>
      <c r="X404" s="62" t="n"/>
      <c r="Y404" s="66" t="n">
        <v>15</v>
      </c>
      <c r="Z404" s="62" t="inlineStr">
        <is>
          <t>lapsed (no over-allocation)</t>
        </is>
      </c>
      <c r="AA404" s="71" t="n">
        <v>-29.32</v>
      </c>
      <c r="AB404" s="72" t="n">
        <v>-11.52</v>
      </c>
      <c r="AC404" s="72" t="n">
        <v>-20.12</v>
      </c>
      <c r="AD404" s="72" t="n">
        <v>-57.67</v>
      </c>
      <c r="AE404" s="72" t="n">
        <v>-71.95999999999999</v>
      </c>
      <c r="AF404" s="72" t="n">
        <v>-81.02</v>
      </c>
      <c r="AG404" s="72" t="n">
        <v>-40.11</v>
      </c>
      <c r="AH404" s="72" t="n">
        <v>-60.33</v>
      </c>
      <c r="AI404" s="72" t="n">
        <v>-73.15000000000001</v>
      </c>
      <c r="AJ404" s="72" t="n">
        <v>-53.08</v>
      </c>
      <c r="AK404" s="72" t="n">
        <v>-73.8</v>
      </c>
      <c r="AL404" s="72" t="n">
        <v>-86.11</v>
      </c>
      <c r="AM404" s="72" t="n">
        <v>-63.24</v>
      </c>
      <c r="AN404" s="72" t="n">
        <v>1.84</v>
      </c>
      <c r="AO404" s="72" t="n">
        <v>2.91</v>
      </c>
      <c r="AP404" s="62" t="inlineStr">
        <is>
          <t>China Biotech ETF (HS biotech proxy)</t>
        </is>
      </c>
      <c r="AQ404" s="72" t="n">
        <v>-82.84</v>
      </c>
      <c r="AR404" s="63" t="inlineStr">
        <is>
          <t>2026-08-21</t>
        </is>
      </c>
      <c r="AS404" s="64" t="n">
        <v>0.3</v>
      </c>
      <c r="AT404" s="67" t="n">
        <v>-180.5</v>
      </c>
      <c r="AU404" s="62" t="inlineStr">
        <is>
          <t>N</t>
        </is>
      </c>
      <c r="AV404" s="62" t="inlineStr">
        <is>
          <t>n/m</t>
        </is>
      </c>
      <c r="AW404" s="73" t="n"/>
      <c r="AX404" s="73" t="n"/>
      <c r="AY404" s="73" t="n">
        <v>14981.7</v>
      </c>
      <c r="AZ404" s="74" t="inlineStr">
        <is>
          <t>N</t>
        </is>
      </c>
      <c r="BA404" s="75">
        <f>IF('BBG Verify'!K404="","not filed — run on terminal",'BBG Verify'!K404)</f>
        <v/>
      </c>
      <c r="BB404" s="62" t="inlineStr">
        <is>
          <t>N/A</t>
        </is>
      </c>
      <c r="BC404" s="62" t="inlineStr">
        <is>
          <t>N/A</t>
        </is>
      </c>
      <c r="BD404" s="62" t="inlineStr">
        <is>
          <t>N/A</t>
        </is>
      </c>
      <c r="BE404" s="62" t="inlineStr">
        <is>
          <t>N/A</t>
        </is>
      </c>
      <c r="BF404" s="62" t="inlineStr">
        <is>
          <t>N/A</t>
        </is>
      </c>
      <c r="BG404" s="74" t="inlineStr">
        <is>
          <t>Huatai Financial Holdings (Hong Kong) Limited; Central, Hong Kong CITIC Securities (Hong Kong) Limited</t>
        </is>
      </c>
      <c r="BH404" s="62" t="inlineStr">
        <is>
          <t>Huatai Financial Holdings (Hong Kong) Limited; CITIC Securities (Hong Kong) Limited</t>
        </is>
      </c>
      <c r="BI404" s="62" t="inlineStr">
        <is>
          <t>Huatai Financial Holdings (Hong Kong) Limited; Central, Hong Kong CLSA Limited; China Merchants Securities (HK) Co., Limited; China Galaxy International Securities (Hong Kong) Co., Limited; Guolian Securities International Capital Co., Limited; CMB International Capital Limited; CMBC Securities Company Limited; Central China International Securities Co., Limited; Futu Securities International (Hong Kong) Limited; Huafu International Securities Limited; Livermore Holdings Limited</t>
        </is>
      </c>
      <c r="BJ404" s="62" t="inlineStr">
        <is>
          <t>Central China International Securities Co.; China Galaxy International Securities (Hong Kong) Company Limited; CLSA Limited; CMBC Securities Company Limited; CMB International Capital Limited; China Merchants Securities (HK) Company Limited; Fortune (HK) Securities Limited; Futu Securities International (Hong Kong) Limited; Guolian Securities International Capital Market Co., Limited; Huatai Financial Holdings (Hong Kong) Limited; Huafu International Securities Limited</t>
        </is>
      </c>
      <c r="BK404" s="76">
        <f>HYPERLINK("https://www1.hkexnews.hk/listedco/listconews/sehk/2025/1212/2025121200081.pdf","prospectus")</f>
        <v/>
      </c>
      <c r="BL404" s="76">
        <f>HYPERLINK("https://www1.hkexnews.hk/listedco/listconews/sehk/2025/1219/2025121901577.pdf","allotment")</f>
        <v/>
      </c>
      <c r="BM404" s="76">
        <f>HYPERLINK("https://www1.hkexnews.hk/listedco/listconews/sehk/2026/0118/2026011800013.pdf","stabilisation")</f>
        <v/>
      </c>
      <c r="BN404" s="74" t="n"/>
      <c r="BO404" s="62" t="inlineStr">
        <is>
          <t>P/E: n/m — loss-making at IPO (use P/S) · range low: cap-only pricing — the filing publishes a Maximum Offer Price and no indicative floor · A/H: no A-share listing · cornerstone list: no cornerstone tranche in this deal · P/S: 14,982x on HK$0.3m revenue — effectively pre-revenue; the multiple is shown for completeness, not comparability</t>
        </is>
      </c>
    </row>
    <row r="405" ht="15" customHeight="1">
      <c r="A405" s="61" t="inlineStr">
        <is>
          <t>2581</t>
        </is>
      </c>
      <c r="B405" s="62" t="inlineStr">
        <is>
          <t>BENQ HOLDING</t>
        </is>
      </c>
      <c r="C405" s="62" t="inlineStr">
        <is>
          <t>明基醫院</t>
        </is>
      </c>
      <c r="D405" s="62" t="inlineStr">
        <is>
          <t>Tech/AI</t>
        </is>
      </c>
      <c r="E405" s="62" t="inlineStr">
        <is>
          <t>Smart hardware / consumer electronics</t>
        </is>
      </c>
      <c r="F405" s="62" t="inlineStr">
        <is>
          <t>Health Care Services</t>
        </is>
      </c>
      <c r="G405" s="62" t="inlineStr">
        <is>
          <t>Standard</t>
        </is>
      </c>
      <c r="H405" s="63" t="n">
        <v>46013</v>
      </c>
      <c r="I405" s="64" t="n">
        <v>625.8</v>
      </c>
      <c r="J405" s="62" t="inlineStr">
        <is>
          <t>gross (stated)</t>
        </is>
      </c>
      <c r="K405" s="65" t="n">
        <v>9.34</v>
      </c>
      <c r="L405" s="65" t="n">
        <v>11.68</v>
      </c>
      <c r="M405" s="65" t="n">
        <v>9.34</v>
      </c>
      <c r="N405" s="62" t="inlineStr">
        <is>
          <t>N</t>
        </is>
      </c>
      <c r="O405" s="66" t="n">
        <v>80</v>
      </c>
      <c r="P405" s="66" t="n">
        <v>0</v>
      </c>
      <c r="Q405" s="67" t="n">
        <v>2913.6</v>
      </c>
      <c r="R405" s="62" t="inlineStr">
        <is>
          <t>derived:price x shares upon listing</t>
        </is>
      </c>
      <c r="S405" s="68" t="n">
        <v>6.28</v>
      </c>
      <c r="T405" s="69" t="n">
        <v>1.28</v>
      </c>
      <c r="U405" s="70" t="n">
        <v>49.63</v>
      </c>
      <c r="V405" s="66" t="n">
        <v>10.82</v>
      </c>
      <c r="W405" s="62" t="inlineStr">
        <is>
          <t>Heron Neutron Medical; Cowealth (China); Suzhou Zhanxingtou</t>
        </is>
      </c>
      <c r="X405" s="62" t="inlineStr">
        <is>
          <t>heron;cowealth;suzhou</t>
        </is>
      </c>
      <c r="Y405" s="66" t="n"/>
      <c r="Z405" s="62" t="n"/>
      <c r="AA405" s="71" t="n">
        <v>-49.46</v>
      </c>
      <c r="AB405" s="72" t="n">
        <v>-30.41</v>
      </c>
      <c r="AC405" s="72" t="n">
        <v>-27.37</v>
      </c>
      <c r="AD405" s="72" t="n">
        <v>-56</v>
      </c>
      <c r="AE405" s="72" t="n">
        <v>-56.21</v>
      </c>
      <c r="AF405" s="72" t="n">
        <v>-63.06</v>
      </c>
      <c r="AG405" s="72" t="n">
        <v>-12.94</v>
      </c>
      <c r="AH405" s="72" t="n">
        <v>-13.36</v>
      </c>
      <c r="AI405" s="72" t="n">
        <v>-26.91</v>
      </c>
      <c r="AJ405" s="72" t="n">
        <v>-56.56</v>
      </c>
      <c r="AK405" s="72" t="n">
        <v>-61.99</v>
      </c>
      <c r="AL405" s="72" t="n">
        <v>-50.37</v>
      </c>
      <c r="AM405" s="72" t="n">
        <v>-18.06</v>
      </c>
      <c r="AN405" s="72" t="n">
        <v>5.78</v>
      </c>
      <c r="AO405" s="72" t="n">
        <v>4.7</v>
      </c>
      <c r="AP405" s="62" t="inlineStr">
        <is>
          <t>HSTECH (Hang Seng TECH ETF)</t>
        </is>
      </c>
      <c r="AQ405" s="72" t="n">
        <v>-72.38</v>
      </c>
      <c r="AR405" s="63" t="inlineStr">
        <is>
          <t>2026-08-21</t>
        </is>
      </c>
      <c r="AS405" s="64" t="n">
        <v>2924.9</v>
      </c>
      <c r="AT405" s="67" t="n">
        <v>119.8</v>
      </c>
      <c r="AU405" s="62" t="inlineStr">
        <is>
          <t>Y</t>
        </is>
      </c>
      <c r="AV405" s="73" t="n">
        <v>24.3</v>
      </c>
      <c r="AW405" s="73" t="n">
        <v>11.1</v>
      </c>
      <c r="AX405" s="73" t="n">
        <v>6.2</v>
      </c>
      <c r="AY405" s="73" t="n">
        <v>1</v>
      </c>
      <c r="AZ405" s="74" t="inlineStr">
        <is>
          <t>N</t>
        </is>
      </c>
      <c r="BA405" s="75">
        <f>IF('BBG Verify'!K405="","not filed — run on terminal",'BBG Verify'!K405)</f>
        <v/>
      </c>
      <c r="BB405" s="62" t="inlineStr">
        <is>
          <t>N/A</t>
        </is>
      </c>
      <c r="BC405" s="62" t="inlineStr">
        <is>
          <t>N/A</t>
        </is>
      </c>
      <c r="BD405" s="62" t="inlineStr">
        <is>
          <t>N/A</t>
        </is>
      </c>
      <c r="BE405" s="62" t="inlineStr">
        <is>
          <t>N/A</t>
        </is>
      </c>
      <c r="BF405" s="62" t="inlineStr">
        <is>
          <t>N/A</t>
        </is>
      </c>
      <c r="BG405" s="74" t="n"/>
      <c r="BH405" s="62" t="inlineStr">
        <is>
          <t>China International Capital Corporation Hong Kong Securities Limited; Citigroup Global Markets Asia Limited</t>
        </is>
      </c>
      <c r="BI405" s="62" t="inlineStr">
        <is>
          <t>China International Capital Corporation Hong Kong Securities Limited; Citigroup Global Markets Asia Limited; CTBC Bank Co., Ltd; Citigroup Global Markets Limited; Canary Wharf London E14 5LB United Kingdom CTBC Bank Co., Ltd; Futu Securities International (Hong Kong) Limited; Livermore Holdings Limited; TradeGo Markets Limited; UOB Kay Hian (Hong Kong) Limited</t>
        </is>
      </c>
      <c r="BJ405" s="62" t="inlineStr">
        <is>
          <t>Citigroup Global Markets Asia Limited; China International Capital Corporation Hong Kong Securities Limited; CTBC Bank Co., Ltd.; Futu Securities International (Hong Kong) Limited; Livermore Holdings Limited; TradeGo Markets Limited; UOB Kay Hian (Hong Kong) Limited</t>
        </is>
      </c>
      <c r="BK405" s="76">
        <f>HYPERLINK("https://www1.hkexnews.hk/listedco/listconews/sehk/2025/1212/2025121200057.pdf","prospectus")</f>
        <v/>
      </c>
      <c r="BL405" s="76">
        <f>HYPERLINK("https://www1.hkexnews.hk/listedco/listconews/sehk/2025/1219/2025121901603.pdf","allotment")</f>
        <v/>
      </c>
      <c r="BM405" s="62" t="n"/>
      <c r="BN405" s="74" t="n"/>
      <c r="BO405" s="62" t="inlineStr">
        <is>
          <t>greenshoe: no over-allotment option in the offer structure · A/H: no A-share listing · sponsor: English name not in the filing text; AAStocks 保薦人 shown · greenshoe size: no over-allotment option in the offer structure</t>
        </is>
      </c>
    </row>
    <row r="406" ht="15" customHeight="1">
      <c r="A406" s="61" t="inlineStr">
        <is>
          <t>2691</t>
        </is>
      </c>
      <c r="B406" s="62" t="inlineStr">
        <is>
          <t>NANHUA FUTURES</t>
        </is>
      </c>
      <c r="C406" s="62" t="inlineStr">
        <is>
          <t>南華期貨股份</t>
        </is>
      </c>
      <c r="D406" s="62" t="inlineStr">
        <is>
          <t>Financials</t>
        </is>
      </c>
      <c r="E406" s="62" t="inlineStr">
        <is>
          <t>Brokers / asset management</t>
        </is>
      </c>
      <c r="F406" s="62" t="inlineStr">
        <is>
          <t>Investment Banking &amp; Brokerage</t>
        </is>
      </c>
      <c r="G406" s="62" t="inlineStr">
        <is>
          <t>Standard</t>
        </is>
      </c>
      <c r="H406" s="63" t="n">
        <v>46013</v>
      </c>
      <c r="I406" s="64" t="n">
        <v>1291.91</v>
      </c>
      <c r="J406" s="62" t="inlineStr">
        <is>
          <t>gross (stated)</t>
        </is>
      </c>
      <c r="K406" s="65" t="n"/>
      <c r="L406" s="65" t="n">
        <v>16</v>
      </c>
      <c r="M406" s="65" t="n">
        <v>12</v>
      </c>
      <c r="N406" s="62" t="inlineStr">
        <is>
          <t>N</t>
        </is>
      </c>
      <c r="O406" s="66" t="n">
        <v>75</v>
      </c>
      <c r="P406" s="66" t="n"/>
      <c r="Q406" s="67" t="n">
        <v>13989.1</v>
      </c>
      <c r="R406" s="62" t="inlineStr">
        <is>
          <t>prospectus:stated market capitalisation</t>
        </is>
      </c>
      <c r="S406" s="68" t="n">
        <v>1.91</v>
      </c>
      <c r="T406" s="69" t="n">
        <v>0.99</v>
      </c>
      <c r="U406" s="70" t="n">
        <v>0</v>
      </c>
      <c r="V406" s="66" t="n">
        <v>9.24</v>
      </c>
      <c r="W406" s="62" t="n"/>
      <c r="X406" s="62" t="n"/>
      <c r="Y406" s="66" t="n">
        <v>5</v>
      </c>
      <c r="Z406" s="62" t="inlineStr">
        <is>
          <t>lapsed (no over-allocation)</t>
        </is>
      </c>
      <c r="AA406" s="71" t="n">
        <v>-24.17</v>
      </c>
      <c r="AB406" s="72" t="n">
        <v>-23.92</v>
      </c>
      <c r="AC406" s="72" t="n">
        <v>-0.33</v>
      </c>
      <c r="AD406" s="72" t="n">
        <v>-17.42</v>
      </c>
      <c r="AE406" s="72" t="n">
        <v>-12.75</v>
      </c>
      <c r="AF406" s="72" t="n">
        <v>-9.5</v>
      </c>
      <c r="AG406" s="72" t="n">
        <v>8.9</v>
      </c>
      <c r="AH406" s="72" t="n">
        <v>15.06</v>
      </c>
      <c r="AI406" s="72" t="n">
        <v>19.35</v>
      </c>
      <c r="AJ406" s="72" t="n">
        <v>-18.24</v>
      </c>
      <c r="AK406" s="72" t="n">
        <v>-16.12</v>
      </c>
      <c r="AL406" s="72" t="n">
        <v>-12.35</v>
      </c>
      <c r="AM406" s="72" t="n">
        <v>12.22</v>
      </c>
      <c r="AN406" s="72" t="n">
        <v>3.37</v>
      </c>
      <c r="AO406" s="72" t="n">
        <v>2.84</v>
      </c>
      <c r="AP406" s="62" t="inlineStr">
        <is>
          <t>Hang Seng Finance sub-index</t>
        </is>
      </c>
      <c r="AQ406" s="72" t="n">
        <v>-21.76</v>
      </c>
      <c r="AR406" s="63" t="inlineStr">
        <is>
          <t>2026-08-24</t>
        </is>
      </c>
      <c r="AS406" s="64" t="n">
        <v>0</v>
      </c>
      <c r="AT406" s="67" t="n">
        <v>503.8</v>
      </c>
      <c r="AU406" s="62" t="inlineStr">
        <is>
          <t>Y</t>
        </is>
      </c>
      <c r="AV406" s="73" t="n">
        <v>27.8</v>
      </c>
      <c r="AW406" s="73" t="n">
        <v>10.9</v>
      </c>
      <c r="AX406" s="73" t="n">
        <v>5.8</v>
      </c>
      <c r="AY406" s="62" t="inlineStr">
        <is>
          <t>pre-rev</t>
        </is>
      </c>
      <c r="AZ406" s="74" t="inlineStr">
        <is>
          <t>Y</t>
        </is>
      </c>
      <c r="BA406" s="62" t="inlineStr">
        <is>
          <t>603093.SS</t>
        </is>
      </c>
      <c r="BB406" s="72" t="n">
        <v>77.34999999999999</v>
      </c>
      <c r="BC406" s="65" t="n">
        <v>21.2816</v>
      </c>
      <c r="BD406" s="79" t="n">
        <v>1.0375</v>
      </c>
      <c r="BE406" s="77">
        <f>IF('BBG Verify'!Q406="","run on terminal",'BBG Verify'!Q406)</f>
        <v/>
      </c>
      <c r="BF406" s="77">
        <f>IF('BBG Verify'!R406="","run on terminal",'BBG Verify'!R406)</f>
        <v/>
      </c>
      <c r="BG406" s="74" t="inlineStr">
        <is>
          <t>CITIC Securities (Hong Kong) Limited</t>
        </is>
      </c>
      <c r="BH406" s="62" t="inlineStr">
        <is>
          <t>CITIC Securities (Hong Kong) Limited</t>
        </is>
      </c>
      <c r="BI406" s="62" t="inlineStr">
        <is>
          <t>CLSA Limited; HGNH International Securities Co., Limited; BOCI Asia Limited; CMB International Capital Limited; ABCI Capital Limited; Zheshang International Financial Holdings Co., Limited; Caitong International Securities Co., Limited; China Everbright Securities (HK) Limited</t>
        </is>
      </c>
      <c r="BJ406" s="62" t="inlineStr">
        <is>
          <t>Arta Asset Management Limited; ABCI Securities Company Limited; AVICT Global Asset Management Limited; BOCI Asia Limited; Caitong International Securities Company Limited; China Everbright Securities (HK) Limited; CLSA Limited; CMB International Capital Limited; Fortune (HK) Securities Limited; HGNH International Securities Co., Limited; Waton Securities International Limited; Yellow River Securities Limited</t>
        </is>
      </c>
      <c r="BK406" s="76">
        <f>HYPERLINK("https://www1.hkexnews.hk/listedco/listconews/sehk/2025/1212/2025121200021.pdf","prospectus")</f>
        <v/>
      </c>
      <c r="BL406" s="76">
        <f>HYPERLINK("https://www1.hkexnews.hk/listedco/listconews/sehk/2025/1219/2025121902017.pdf","allotment")</f>
        <v/>
      </c>
      <c r="BM406" s="76">
        <f>HYPERLINK("https://www1.hkexnews.hk/listedco/listconews/sehk/2026/0116/2026011600262.pdf","stabilisation")</f>
        <v/>
      </c>
      <c r="BN406" s="74" t="n"/>
      <c r="BO406" s="62" t="inlineStr">
        <is>
          <t>range low: cap-only pricing — the filing publishes a Maximum Offer Price and no indicative floor · A/H: Dec 2025 H listing (futures broker) · cornerstone list: no cornerstone tranche in this deal · P/S: no revenue line in the filed P&amp;L (pre-revenue issuer) — no sales multiple can exist; the cell reads pre-rev, not blank · financials rejected: net income exceeds total income via equity-method investment gains — normal for an investment firm; both figures are as filed</t>
        </is>
      </c>
    </row>
    <row r="407" ht="15" customHeight="1">
      <c r="A407" s="61" t="inlineStr">
        <is>
          <t>2635</t>
        </is>
      </c>
      <c r="B407" s="62" t="inlineStr">
        <is>
          <t>NUOBIKAN</t>
        </is>
      </c>
      <c r="C407" s="62" t="inlineStr">
        <is>
          <t>諾比侃</t>
        </is>
      </c>
      <c r="D407" s="62" t="inlineStr">
        <is>
          <t>Tech/AI</t>
        </is>
      </c>
      <c r="E407" s="62" t="inlineStr">
        <is>
          <t>SaaS / enterprise software</t>
        </is>
      </c>
      <c r="F407" s="62" t="inlineStr">
        <is>
          <t>Advanced hardware and software</t>
        </is>
      </c>
      <c r="G407" s="62" t="inlineStr">
        <is>
          <t>Standard</t>
        </is>
      </c>
      <c r="H407" s="63" t="n">
        <v>46014</v>
      </c>
      <c r="I407" s="64" t="n">
        <v>302.93</v>
      </c>
      <c r="J407" s="62" t="inlineStr">
        <is>
          <t>gross (stated)</t>
        </is>
      </c>
      <c r="K407" s="65" t="n"/>
      <c r="L407" s="65" t="n">
        <v>106</v>
      </c>
      <c r="M407" s="65" t="n">
        <v>80</v>
      </c>
      <c r="N407" s="62" t="inlineStr">
        <is>
          <t>N</t>
        </is>
      </c>
      <c r="O407" s="66" t="n">
        <v>75.5</v>
      </c>
      <c r="P407" s="66" t="n"/>
      <c r="Q407" s="67" t="n">
        <v>3029.3</v>
      </c>
      <c r="R407" s="62" t="inlineStr">
        <is>
          <t>derived:price x shares upon listing</t>
        </is>
      </c>
      <c r="S407" s="68" t="n">
        <v>188.74</v>
      </c>
      <c r="T407" s="69" t="n">
        <v>2.08</v>
      </c>
      <c r="U407" s="70" t="n">
        <v>0</v>
      </c>
      <c r="V407" s="66" t="n">
        <v>10</v>
      </c>
      <c r="W407" s="62" t="n"/>
      <c r="X407" s="62" t="n"/>
      <c r="Y407" s="66" t="n">
        <v>19.6</v>
      </c>
      <c r="Z407" s="62" t="inlineStr">
        <is>
          <t>lapsed (no over-allocation)</t>
        </is>
      </c>
      <c r="AA407" s="71" t="n">
        <v>363.75</v>
      </c>
      <c r="AB407" s="72" t="n">
        <v>299.75</v>
      </c>
      <c r="AC407" s="72" t="n">
        <v>16.01</v>
      </c>
      <c r="AD407" s="72" t="n">
        <v>331.75</v>
      </c>
      <c r="AE407" s="72" t="n">
        <v>388.5</v>
      </c>
      <c r="AF407" s="72" t="n">
        <v>505</v>
      </c>
      <c r="AG407" s="72" t="n">
        <v>-6.9</v>
      </c>
      <c r="AH407" s="72" t="n">
        <v>5.34</v>
      </c>
      <c r="AI407" s="72" t="n">
        <v>30.46</v>
      </c>
      <c r="AJ407" s="72" t="n">
        <v>328.15</v>
      </c>
      <c r="AK407" s="72" t="n">
        <v>384.99</v>
      </c>
      <c r="AL407" s="72" t="n">
        <v>520.24</v>
      </c>
      <c r="AM407" s="72" t="n">
        <v>0.96</v>
      </c>
      <c r="AN407" s="72" t="n">
        <v>3.51</v>
      </c>
      <c r="AO407" s="72" t="n">
        <v>4.38</v>
      </c>
      <c r="AP407" s="62" t="inlineStr">
        <is>
          <t>HSTECH (Hang Seng TECH ETF)</t>
        </is>
      </c>
      <c r="AQ407" s="72" t="n">
        <v>29.37</v>
      </c>
      <c r="AR407" s="63" t="inlineStr">
        <is>
          <t>2026-08-24</t>
        </is>
      </c>
      <c r="AS407" s="64" t="n">
        <v>442.9</v>
      </c>
      <c r="AT407" s="67" t="n">
        <v>126.9</v>
      </c>
      <c r="AU407" s="62" t="inlineStr">
        <is>
          <t>Y</t>
        </is>
      </c>
      <c r="AV407" s="73" t="n">
        <v>23.9</v>
      </c>
      <c r="AW407" s="73" t="n"/>
      <c r="AX407" s="73" t="n"/>
      <c r="AY407" s="73" t="n">
        <v>6.8</v>
      </c>
      <c r="AZ407" s="74" t="inlineStr">
        <is>
          <t>N</t>
        </is>
      </c>
      <c r="BA407" s="75">
        <f>IF('BBG Verify'!K407="","not filed — run on terminal",'BBG Verify'!K407)</f>
        <v/>
      </c>
      <c r="BB407" s="62" t="inlineStr">
        <is>
          <t>N/A</t>
        </is>
      </c>
      <c r="BC407" s="62" t="inlineStr">
        <is>
          <t>N/A</t>
        </is>
      </c>
      <c r="BD407" s="62" t="inlineStr">
        <is>
          <t>N/A</t>
        </is>
      </c>
      <c r="BE407" s="62" t="inlineStr">
        <is>
          <t>N/A</t>
        </is>
      </c>
      <c r="BF407" s="62" t="inlineStr">
        <is>
          <t>N/A</t>
        </is>
      </c>
      <c r="BG407" s="74" t="n"/>
      <c r="BH407" s="62" t="inlineStr">
        <is>
          <t>China International Capital Corporation Hong Kong Securities Limited</t>
        </is>
      </c>
      <c r="BI407" s="62" t="inlineStr">
        <is>
          <t>China International Capital Corporation Hong Kong Securities Limited; Livermore Holdings Limited; Patrons Securities Limited</t>
        </is>
      </c>
      <c r="BJ407" s="62" t="inlineStr">
        <is>
          <t>China International Capital Corporation Hong Kong Securities Limited; Livermore Holdings Limited; Patrons Securities Limited</t>
        </is>
      </c>
      <c r="BK407" s="76">
        <f>HYPERLINK("https://www1.hkexnews.hk/listedco/listconews/sehk/2025/1215/2025121500019.pdf","prospectus")</f>
        <v/>
      </c>
      <c r="BL407" s="76">
        <f>HYPERLINK("https://www1.hkexnews.hk/listedco/listconews/sehk/2025/1222/2025122201578.pdf","allotment")</f>
        <v/>
      </c>
      <c r="BM407" s="76">
        <f>HYPERLINK("https://www1.hkexnews.hk/listedco/listconews/sehk/2026/0119/2026011900805.pdf","stabilisation")</f>
        <v/>
      </c>
      <c r="BN407" s="74" t="n"/>
      <c r="BO407" s="62" t="inlineStr">
        <is>
          <t>range low: cap-only pricing — the filing publishes a Maximum Offer Price and no indicative floor · A/H: no A-share listing · sponsor: English name not in the filing text; AAStocks 保薦人 shown · cornerstone list: no cornerstone tranche in this deal</t>
        </is>
      </c>
    </row>
    <row r="408" ht="15" customHeight="1">
      <c r="A408" s="61" t="inlineStr">
        <is>
          <t>2661</t>
        </is>
      </c>
      <c r="B408" s="62" t="inlineStr">
        <is>
          <t>QINGSONG HEALTH</t>
        </is>
      </c>
      <c r="C408" s="62" t="inlineStr">
        <is>
          <t>輕鬆健康</t>
        </is>
      </c>
      <c r="D408" s="62" t="inlineStr">
        <is>
          <t>Financials</t>
        </is>
      </c>
      <c r="E408" s="62" t="inlineStr">
        <is>
          <t>Insurance</t>
        </is>
      </c>
      <c r="F408" s="62" t="inlineStr">
        <is>
          <t>Health Care Services</t>
        </is>
      </c>
      <c r="G408" s="62" t="inlineStr">
        <is>
          <t>Standard</t>
        </is>
      </c>
      <c r="H408" s="63" t="n">
        <v>46014</v>
      </c>
      <c r="I408" s="64" t="n">
        <v>601.9299999999999</v>
      </c>
      <c r="J408" s="62" t="inlineStr">
        <is>
          <t>gross (stated)</t>
        </is>
      </c>
      <c r="K408" s="65" t="n"/>
      <c r="L408" s="65" t="n">
        <v>22.68</v>
      </c>
      <c r="M408" s="65" t="n">
        <v>22.68</v>
      </c>
      <c r="N408" s="62" t="inlineStr">
        <is>
          <t>Y</t>
        </is>
      </c>
      <c r="O408" s="66" t="n">
        <v>100</v>
      </c>
      <c r="P408" s="66" t="n"/>
      <c r="Q408" s="67" t="n">
        <v>4680.6</v>
      </c>
      <c r="R408" s="62" t="inlineStr">
        <is>
          <t>derived:price x shares upon listing</t>
        </is>
      </c>
      <c r="S408" s="68" t="n">
        <v>1421.47</v>
      </c>
      <c r="T408" s="69" t="n">
        <v>2.9</v>
      </c>
      <c r="U408" s="70" t="n">
        <v>2.33</v>
      </c>
      <c r="V408" s="66" t="n">
        <v>12.56</v>
      </c>
      <c r="W408" s="62" t="inlineStr">
        <is>
          <t>Aoqin Heming; Discretionary basis</t>
        </is>
      </c>
      <c r="X408" s="62" t="inlineStr">
        <is>
          <t>aoqin;discretionary</t>
        </is>
      </c>
      <c r="Y408" s="66" t="n">
        <v>13.61</v>
      </c>
      <c r="Z408" s="62" t="inlineStr">
        <is>
          <t>lapsed (no over-allocation)</t>
        </is>
      </c>
      <c r="AA408" s="71" t="n">
        <v>158.82</v>
      </c>
      <c r="AB408" s="72" t="n">
        <v>120.46</v>
      </c>
      <c r="AC408" s="72" t="n">
        <v>17.4</v>
      </c>
      <c r="AD408" s="72" t="n">
        <v>229.37</v>
      </c>
      <c r="AE408" s="72" t="n">
        <v>338.71</v>
      </c>
      <c r="AF408" s="72" t="n">
        <v>592.6799999999999</v>
      </c>
      <c r="AG408" s="72" t="n">
        <v>27.26</v>
      </c>
      <c r="AH408" s="72" t="n">
        <v>69.5</v>
      </c>
      <c r="AI408" s="72" t="n">
        <v>167.63</v>
      </c>
      <c r="AJ408" s="72" t="n">
        <v>226.94</v>
      </c>
      <c r="AK408" s="72" t="n">
        <v>335.11</v>
      </c>
      <c r="AL408" s="72" t="n">
        <v>590.54</v>
      </c>
      <c r="AM408" s="72" t="n">
        <v>66.5</v>
      </c>
      <c r="AN408" s="72" t="n">
        <v>3.6</v>
      </c>
      <c r="AO408" s="72" t="n">
        <v>3</v>
      </c>
      <c r="AP408" s="62" t="inlineStr">
        <is>
          <t>Hang Seng Finance sub-index</t>
        </is>
      </c>
      <c r="AQ408" s="72" t="n">
        <v>-76.65000000000001</v>
      </c>
      <c r="AR408" s="63" t="inlineStr">
        <is>
          <t>2026-08-20</t>
        </is>
      </c>
      <c r="AS408" s="64" t="n">
        <v>1039.5</v>
      </c>
      <c r="AT408" s="67" t="n">
        <v>-0</v>
      </c>
      <c r="AU408" s="62" t="inlineStr">
        <is>
          <t>N</t>
        </is>
      </c>
      <c r="AV408" s="62" t="inlineStr">
        <is>
          <t>n/m</t>
        </is>
      </c>
      <c r="AW408" s="73" t="n"/>
      <c r="AX408" s="73" t="n"/>
      <c r="AY408" s="73" t="n">
        <v>4.5</v>
      </c>
      <c r="AZ408" s="74" t="inlineStr">
        <is>
          <t>N</t>
        </is>
      </c>
      <c r="BA408" s="75">
        <f>IF('BBG Verify'!K408="","not filed — run on terminal",'BBG Verify'!K408)</f>
        <v/>
      </c>
      <c r="BB408" s="62" t="inlineStr">
        <is>
          <t>N/A</t>
        </is>
      </c>
      <c r="BC408" s="62" t="inlineStr">
        <is>
          <t>N/A</t>
        </is>
      </c>
      <c r="BD408" s="62" t="inlineStr">
        <is>
          <t>N/A</t>
        </is>
      </c>
      <c r="BE408" s="62" t="inlineStr">
        <is>
          <t>N/A</t>
        </is>
      </c>
      <c r="BF408" s="62" t="inlineStr">
        <is>
          <t>N/A</t>
        </is>
      </c>
      <c r="BG408" s="74" t="inlineStr">
        <is>
          <t>China International Capital Corporation Hong Kong Securities Limited; China Merchants Securities (HK) Co., Limited</t>
        </is>
      </c>
      <c r="BH408" s="62" t="inlineStr">
        <is>
          <t>China International Capital Corporation Hong Kong Securities Limited; China Merchants Securities (HK) Company Limited</t>
        </is>
      </c>
      <c r="BI408" s="62" t="inlineStr">
        <is>
          <t>China International Capital Corporation Hong Kong Securities Limited; China Merchants Securities (HK) Co., Limited; Futu Securities International (Hong Kong) Limited; SPDB International Capital Limited</t>
        </is>
      </c>
      <c r="BJ408" s="62" t="inlineStr">
        <is>
          <t>China International Capital Corporation Hong Kong Securities Limited; China Merchants Securities (HK) Company Limited; Futu Securities International (Hong Kong) Limited; SPDB International Capital Limited</t>
        </is>
      </c>
      <c r="BK408" s="76">
        <f>HYPERLINK("https://www1.hkexnews.hk/listedco/listconews/sehk/2025/1215/2025121500031.pdf","prospectus")</f>
        <v/>
      </c>
      <c r="BL408" s="76">
        <f>HYPERLINK("https://www1.hkexnews.hk/listedco/listconews/sehk/2025/1222/2025122201716.pdf","allotment")</f>
        <v/>
      </c>
      <c r="BM408" s="76">
        <f>HYPERLINK("https://www1.hkexnews.hk/listedco/listconews/sehk/2026/0118/2026011800009.pdf","stabilisation")</f>
        <v/>
      </c>
      <c r="BN408" s="74" t="n"/>
      <c r="BO408" s="62" t="inlineStr">
        <is>
          <t>P/E: n/m — loss-making at IPO (use P/S) · range low: cap-only pricing — the filing publishes a Maximum Offer Price and no indicative floor · A/H: no A-share listing</t>
        </is>
      </c>
    </row>
    <row r="409" ht="15" customHeight="1">
      <c r="A409" s="61" t="inlineStr">
        <is>
          <t>3378</t>
        </is>
      </c>
      <c r="B409" s="62" t="inlineStr">
        <is>
          <t>HANXBIO-B</t>
        </is>
      </c>
      <c r="C409" s="62" t="inlineStr">
        <is>
          <t>翰思艾泰－Ｂ</t>
        </is>
      </c>
      <c r="D409" s="62" t="inlineStr">
        <is>
          <t>Healthcare</t>
        </is>
      </c>
      <c r="E409" s="62" t="inlineStr">
        <is>
          <t>Biotech pre-revenue (18A)</t>
        </is>
      </c>
      <c r="F409" s="62" t="inlineStr">
        <is>
          <t>Biotechnology - Pharmaceuticals</t>
        </is>
      </c>
      <c r="G409" s="62" t="inlineStr">
        <is>
          <t>18A</t>
        </is>
      </c>
      <c r="H409" s="63" t="n">
        <v>46014</v>
      </c>
      <c r="I409" s="64" t="n">
        <v>586.3</v>
      </c>
      <c r="J409" s="62" t="inlineStr">
        <is>
          <t>gross (stated)</t>
        </is>
      </c>
      <c r="K409" s="65" t="n"/>
      <c r="L409" s="65" t="n">
        <v>32</v>
      </c>
      <c r="M409" s="65" t="n">
        <v>32</v>
      </c>
      <c r="N409" s="62" t="inlineStr">
        <is>
          <t>Y</t>
        </is>
      </c>
      <c r="O409" s="66" t="n">
        <v>100</v>
      </c>
      <c r="P409" s="66" t="n"/>
      <c r="Q409" s="67" t="n">
        <v>4359</v>
      </c>
      <c r="R409" s="62" t="inlineStr">
        <is>
          <t>derived:price x shares upon listing</t>
        </is>
      </c>
      <c r="S409" s="68" t="n">
        <v>3074.09</v>
      </c>
      <c r="T409" s="69" t="n">
        <v>5.78</v>
      </c>
      <c r="U409" s="70" t="n">
        <v>15.93</v>
      </c>
      <c r="V409" s="66" t="n">
        <v>11.31</v>
      </c>
      <c r="W409" s="62" t="n"/>
      <c r="X409" s="62" t="n"/>
      <c r="Y409" s="66" t="n">
        <v>9.699999999999999</v>
      </c>
      <c r="Z409" s="62" t="n"/>
      <c r="AA409" s="71" t="n">
        <v>-46.25</v>
      </c>
      <c r="AB409" s="72" t="n">
        <v>-9.69</v>
      </c>
      <c r="AC409" s="72" t="n">
        <v>-40.48</v>
      </c>
      <c r="AD409" s="72" t="n">
        <v>-46.69</v>
      </c>
      <c r="AE409" s="72" t="n">
        <v>-46.97</v>
      </c>
      <c r="AF409" s="72" t="n">
        <v>-3.5</v>
      </c>
      <c r="AG409" s="72" t="n">
        <v>-0.82</v>
      </c>
      <c r="AH409" s="72" t="n">
        <v>-1.34</v>
      </c>
      <c r="AI409" s="72" t="n">
        <v>79.53</v>
      </c>
      <c r="AJ409" s="72" t="n">
        <v>-44.11</v>
      </c>
      <c r="AK409" s="72" t="n">
        <v>-48.39</v>
      </c>
      <c r="AL409" s="72" t="n">
        <v>-9.859999999999999</v>
      </c>
      <c r="AM409" s="72" t="n">
        <v>-3.42</v>
      </c>
      <c r="AN409" s="72" t="n">
        <v>1.42</v>
      </c>
      <c r="AO409" s="72" t="n">
        <v>2.08</v>
      </c>
      <c r="AP409" s="62" t="inlineStr">
        <is>
          <t>China Biotech ETF (HS biotech proxy)</t>
        </is>
      </c>
      <c r="AQ409" s="72" t="n">
        <v>-5.63</v>
      </c>
      <c r="AR409" s="63" t="inlineStr">
        <is>
          <t>2026-08-20</t>
        </is>
      </c>
      <c r="AS409" s="64" t="n">
        <v>0</v>
      </c>
      <c r="AT409" s="67" t="n">
        <v>-128.6</v>
      </c>
      <c r="AU409" s="62" t="inlineStr">
        <is>
          <t>N</t>
        </is>
      </c>
      <c r="AV409" s="62" t="inlineStr">
        <is>
          <t>n/m</t>
        </is>
      </c>
      <c r="AW409" s="73" t="n"/>
      <c r="AX409" s="73" t="n"/>
      <c r="AY409" s="62" t="inlineStr">
        <is>
          <t>pre-rev</t>
        </is>
      </c>
      <c r="AZ409" s="74" t="inlineStr">
        <is>
          <t>N</t>
        </is>
      </c>
      <c r="BA409" s="75">
        <f>IF('BBG Verify'!K409="","not filed — run on terminal",'BBG Verify'!K409)</f>
        <v/>
      </c>
      <c r="BB409" s="62" t="inlineStr">
        <is>
          <t>N/A</t>
        </is>
      </c>
      <c r="BC409" s="62" t="inlineStr">
        <is>
          <t>N/A</t>
        </is>
      </c>
      <c r="BD409" s="62" t="inlineStr">
        <is>
          <t>N/A</t>
        </is>
      </c>
      <c r="BE409" s="62" t="inlineStr">
        <is>
          <t>N/A</t>
        </is>
      </c>
      <c r="BF409" s="62" t="inlineStr">
        <is>
          <t>N/A</t>
        </is>
      </c>
      <c r="BG409" s="74" t="inlineStr">
        <is>
          <t>ICBC International Capital Limited</t>
        </is>
      </c>
      <c r="BH409" s="62" t="inlineStr">
        <is>
          <t>ICBC International Capital Limited</t>
        </is>
      </c>
      <c r="BI409" s="62" t="inlineStr">
        <is>
          <t>ICBC International Securities Limited; China Merchants Securities (HK) Co., Limited; Haitong International Securities Company Limited; CCB International Capital Limited; TFI Securities and Futures Limited; ABCI Capital Limited; SPDB International Capital Limited; China Securities (International) Corporate Finance Company Limited; Livermore Holdings Limited; Tiger Brokers (HK) Global Limited; Shanxi Securities International Limited; Beta International Securities Limited</t>
        </is>
      </c>
      <c r="BJ409" s="62" t="inlineStr">
        <is>
          <t>ABCI Securities Company Limited; Beta International Securities Limited; CCB International Capital Limited; China Merchants Securities (HK) Company Limited; China Securities (International) Corporate Finance Company Limited; Haitong International Securities Company Limited; ICBC International Securities Limited; Livermore Holdings Limited; SPDB International Capital Limited; Shanxi Securities International Limited; Tiger Brokers (HK) Global Limited; TFI Securities and Futures Limited</t>
        </is>
      </c>
      <c r="BK409" s="76">
        <f>HYPERLINK("https://www1.hkexnews.hk/listedco/listconews/sehk/2025/1215/2025121500027.pdf","prospectus")</f>
        <v/>
      </c>
      <c r="BL409" s="76">
        <f>HYPERLINK("https://www1.hkexnews.hk/listedco/listconews/sehk/2025/1222/2025122201726.pdf","allotment")</f>
        <v/>
      </c>
      <c r="BM409" s="62" t="n"/>
      <c r="BN409" s="74" t="n"/>
      <c r="BO409" s="62" t="inlineStr">
        <is>
          <t>P/E: n/m — loss-making at IPO (use P/S) · greenshoe: end-of-stabilisation notice not located · range low: cap-only pricing — the filing publishes a Maximum Offer Price and no indicative floor · A/H: no A-share listing · cornerstone list: tranche parsed (15.93% locked) but the per-investor table did not machine-parse — names are in the prospectus Cornerstone section (link on this row) · P/S: no revenue line in the filed P&amp;L (pre-revenue issuer) — no sales multiple can exist; the cell reads pre-rev, not blank</t>
        </is>
      </c>
    </row>
    <row r="410" ht="15" customHeight="1">
      <c r="A410" s="61" t="inlineStr">
        <is>
          <t>3317</t>
        </is>
      </c>
      <c r="B410" s="62" t="inlineStr">
        <is>
          <t>XUNCE</t>
        </is>
      </c>
      <c r="C410" s="62" t="inlineStr">
        <is>
          <t>迅策</t>
        </is>
      </c>
      <c r="D410" s="62" t="inlineStr">
        <is>
          <t>Tech/AI</t>
        </is>
      </c>
      <c r="E410" s="62" t="inlineStr">
        <is>
          <t>SaaS / enterprise software</t>
        </is>
      </c>
      <c r="F410" s="62" t="inlineStr">
        <is>
          <t>Application Software</t>
        </is>
      </c>
      <c r="G410" s="62" t="inlineStr">
        <is>
          <t>Standard</t>
        </is>
      </c>
      <c r="H410" s="63" t="n">
        <v>46021</v>
      </c>
      <c r="I410" s="64" t="n">
        <v>1080</v>
      </c>
      <c r="J410" s="62" t="inlineStr">
        <is>
          <t>gross (stated)</t>
        </is>
      </c>
      <c r="K410" s="65" t="n">
        <v>48</v>
      </c>
      <c r="L410" s="65" t="n">
        <v>55</v>
      </c>
      <c r="M410" s="65" t="n">
        <v>48</v>
      </c>
      <c r="N410" s="62" t="inlineStr">
        <is>
          <t>N</t>
        </is>
      </c>
      <c r="O410" s="66" t="n">
        <v>87.3</v>
      </c>
      <c r="P410" s="66" t="n">
        <v>0</v>
      </c>
      <c r="Q410" s="67" t="n">
        <v>17460.7</v>
      </c>
      <c r="R410" s="62" t="inlineStr">
        <is>
          <t>aastocks:上市市值 at the struck price</t>
        </is>
      </c>
      <c r="S410" s="68" t="n">
        <v>7.24</v>
      </c>
      <c r="T410" s="69" t="n">
        <v>3.1</v>
      </c>
      <c r="U410" s="70" t="n">
        <v>28.5</v>
      </c>
      <c r="V410" s="66" t="n">
        <v>4.42</v>
      </c>
      <c r="W410" s="62" t="inlineStr">
        <is>
          <t>Mr. Wang Wei; Ms. Pan Honglan; Relationship SinoMedia; Relationship WSH</t>
        </is>
      </c>
      <c r="X410" s="62" t="inlineStr">
        <is>
          <t>mr-wang;ms-pan;relationship</t>
        </is>
      </c>
      <c r="Y410" s="66" t="n">
        <v>15</v>
      </c>
      <c r="Z410" s="62" t="inlineStr">
        <is>
          <t>partial</t>
        </is>
      </c>
      <c r="AA410" s="71" t="n">
        <v>1.04</v>
      </c>
      <c r="AB410" s="72" t="n">
        <v>0.04</v>
      </c>
      <c r="AC410" s="72" t="n">
        <v>1</v>
      </c>
      <c r="AD410" s="72" t="n">
        <v>1.54</v>
      </c>
      <c r="AE410" s="72" t="n">
        <v>23.75</v>
      </c>
      <c r="AF410" s="72" t="n">
        <v>313.54</v>
      </c>
      <c r="AG410" s="72" t="n">
        <v>0.49</v>
      </c>
      <c r="AH410" s="72" t="n">
        <v>22.48</v>
      </c>
      <c r="AI410" s="72" t="n">
        <v>309.28</v>
      </c>
      <c r="AJ410" s="72" t="n">
        <v>-3.21</v>
      </c>
      <c r="AK410" s="72" t="n">
        <v>17.42</v>
      </c>
      <c r="AL410" s="72" t="n">
        <v>328.44</v>
      </c>
      <c r="AM410" s="72" t="n">
        <v>17.91</v>
      </c>
      <c r="AN410" s="72" t="n">
        <v>6.33</v>
      </c>
      <c r="AO410" s="72" t="n">
        <v>4.57</v>
      </c>
      <c r="AP410" s="62" t="inlineStr">
        <is>
          <t>HSTECH (Hang Seng TECH ETF)</t>
        </is>
      </c>
      <c r="AQ410" s="72" t="n">
        <v>179.79</v>
      </c>
      <c r="AR410" s="63" t="inlineStr">
        <is>
          <t>2026-08-20</t>
        </is>
      </c>
      <c r="AS410" s="64" t="n">
        <v>695.2</v>
      </c>
      <c r="AT410" s="67" t="n">
        <v>-107.6</v>
      </c>
      <c r="AU410" s="62" t="inlineStr">
        <is>
          <t>N</t>
        </is>
      </c>
      <c r="AV410" s="62" t="inlineStr">
        <is>
          <t>n/m</t>
        </is>
      </c>
      <c r="AW410" s="73" t="n"/>
      <c r="AX410" s="73" t="n"/>
      <c r="AY410" s="73" t="n">
        <v>25.1</v>
      </c>
      <c r="AZ410" s="74" t="inlineStr">
        <is>
          <t>N</t>
        </is>
      </c>
      <c r="BA410" s="75">
        <f>IF('BBG Verify'!K410="","not filed — run on terminal",'BBG Verify'!K410)</f>
        <v/>
      </c>
      <c r="BB410" s="62" t="inlineStr">
        <is>
          <t>N/A</t>
        </is>
      </c>
      <c r="BC410" s="62" t="inlineStr">
        <is>
          <t>N/A</t>
        </is>
      </c>
      <c r="BD410" s="62" t="inlineStr">
        <is>
          <t>N/A</t>
        </is>
      </c>
      <c r="BE410" s="62" t="inlineStr">
        <is>
          <t>N/A</t>
        </is>
      </c>
      <c r="BF410" s="62" t="inlineStr">
        <is>
          <t>N/A</t>
        </is>
      </c>
      <c r="BG410" s="74" t="inlineStr">
        <is>
          <t>Guotai Junan Capital Limited</t>
        </is>
      </c>
      <c r="BH410" s="62" t="inlineStr">
        <is>
          <t>Guotai Junan Capital Limited</t>
        </is>
      </c>
      <c r="BI410" s="62" t="inlineStr">
        <is>
          <t>Guotai Junan Securities (Hong Kong) Limited; Deutsche Bank AG, Hong Kong Branch; Futu Securities International (Hong Kong) Limited; No. 95 Queensway Admiralty, Hong Kong Hong Tai Securities Limited; Orient Securities (Hong Kong) Limited; North Beta International Securities Limited; Central, Hong Kong ICBC International Securities Limited; CCB International Capital Limited; China Galaxy International Securities (Hong Kong) Co., Limited; Central, Hong Kong TradeGo Markets Limited; Central, Hong Kong China Merchants Securities (HK) Co., Limited; Central, Hong Kong ABCI Capital Limited</t>
        </is>
      </c>
      <c r="BJ410" s="62" t="inlineStr">
        <is>
          <t>ABCI Securities Company Limited; BOCOM International Securities Limited; CCB International Capital Limited; China Galaxy International Securities (Hong Kong) Company Limited; China Merchants Securities (HK) Company Limited; Deutsche Bank AG, Hong Kong Branch; Futu Securities International (Hong Kong) Limited; Guotai Junan Securities (Hong Kong) Limited; Hong Tai Securities Limited; ICBC International Securities Limited; North Beta International Securities Limited; Orient Securities (Hong Kong) Limited</t>
        </is>
      </c>
      <c r="BK410" s="76">
        <f>HYPERLINK("https://www1.hkexnews.hk/listedco/listconews/sehk/2025/1218/2025121800027.pdf","prospectus")</f>
        <v/>
      </c>
      <c r="BL410" s="76">
        <f>HYPERLINK("https://www1.hkexnews.hk/listedco/listconews/sehk/2025/1229/2025122902057.pdf","allotment")</f>
        <v/>
      </c>
      <c r="BM410" s="76">
        <f>HYPERLINK("https://www1.hkexnews.hk/listedco/listconews/sehk/2026/0123/2026012300001.pdf","stabilisation")</f>
        <v/>
      </c>
      <c r="BN410" s="74" t="n"/>
      <c r="BO410" s="62" t="inlineStr">
        <is>
          <t>P/E: n/m — loss-making at IPO (use P/S) · A/H: no A-share listing · market cap: estimate from deal size / offer % of enlarged capital disagreed with the published listing cap — published figure adopted</t>
        </is>
      </c>
    </row>
    <row r="411" ht="15" customHeight="1">
      <c r="A411" s="61" t="inlineStr">
        <is>
          <t>2657</t>
        </is>
      </c>
      <c r="B411" s="62" t="inlineStr">
        <is>
          <t>FOREST CABIN</t>
        </is>
      </c>
      <c r="C411" s="62" t="inlineStr">
        <is>
          <t>林清軒</t>
        </is>
      </c>
      <c r="D411" s="62" t="inlineStr">
        <is>
          <t>Consumer</t>
        </is>
      </c>
      <c r="E411" s="62" t="inlineStr">
        <is>
          <t>Beauty / personal care</t>
        </is>
      </c>
      <c r="F411" s="62" t="inlineStr">
        <is>
          <t>Beauty &amp; Toiletries Products and Services</t>
        </is>
      </c>
      <c r="G411" s="62" t="inlineStr">
        <is>
          <t>Standard</t>
        </is>
      </c>
      <c r="H411" s="63" t="n">
        <v>46021</v>
      </c>
      <c r="I411" s="64" t="n">
        <v>1086.2</v>
      </c>
      <c r="J411" s="62" t="inlineStr">
        <is>
          <t>gross (stated)</t>
        </is>
      </c>
      <c r="K411" s="65" t="n"/>
      <c r="L411" s="65" t="n">
        <v>77.77</v>
      </c>
      <c r="M411" s="65" t="n">
        <v>77.77</v>
      </c>
      <c r="N411" s="62" t="inlineStr">
        <is>
          <t>Y</t>
        </is>
      </c>
      <c r="O411" s="66" t="n">
        <v>100</v>
      </c>
      <c r="P411" s="66" t="n"/>
      <c r="Q411" s="67" t="n">
        <v>10861.7</v>
      </c>
      <c r="R411" s="62" t="inlineStr">
        <is>
          <t>prospectus:stated market capitalisation</t>
        </is>
      </c>
      <c r="S411" s="68" t="n">
        <v>1235.81</v>
      </c>
      <c r="T411" s="69" t="n">
        <v>19.79</v>
      </c>
      <c r="U411" s="70" t="n">
        <v>87.3</v>
      </c>
      <c r="V411" s="66" t="n">
        <v>1.27</v>
      </c>
      <c r="W411" s="62" t="inlineStr">
        <is>
          <t>Loyal Valley Capital; SynerSuccess Capital Ltd; Mega Prime Development Limited; Tulip Fund, L.P; Dajia Life Insurance Co., Ltd; Mr. Sun Laichun; FIL Investment; Duckling Fund, L.P; SS Capital; Yield Royal Investment; Mr. Sun Fuchun –; Youngor Fashion –; Toutoushidao –</t>
        </is>
      </c>
      <c r="X411" s="62" t="inlineStr">
        <is>
          <t>loyal;synersuccess;mega;tulip;dajia;mr-sun;fil;duckling;ss;yield;youngor;toutoushidao</t>
        </is>
      </c>
      <c r="Y411" s="66" t="n">
        <v>11.33</v>
      </c>
      <c r="Z411" s="62" t="n"/>
      <c r="AA411" s="71" t="n">
        <v>9.300000000000001</v>
      </c>
      <c r="AB411" s="72" t="n">
        <v>9.300000000000001</v>
      </c>
      <c r="AC411" s="72" t="n">
        <v>0</v>
      </c>
      <c r="AD411" s="72" t="n">
        <v>6.72</v>
      </c>
      <c r="AE411" s="72" t="n">
        <v>3.64</v>
      </c>
      <c r="AF411" s="72" t="n">
        <v>-18.28</v>
      </c>
      <c r="AG411" s="72" t="n">
        <v>-2.36</v>
      </c>
      <c r="AH411" s="72" t="n">
        <v>-5.18</v>
      </c>
      <c r="AI411" s="72" t="n">
        <v>-25.23</v>
      </c>
      <c r="AJ411" s="72" t="n">
        <v>3.48</v>
      </c>
      <c r="AK411" s="72" t="n">
        <v>-4.82</v>
      </c>
      <c r="AL411" s="72" t="n">
        <v>-11.47</v>
      </c>
      <c r="AM411" s="72" t="n">
        <v>-12.41</v>
      </c>
      <c r="AN411" s="72" t="n">
        <v>8.460000000000001</v>
      </c>
      <c r="AO411" s="72" t="n">
        <v>7.23</v>
      </c>
      <c r="AP411" s="62" t="inlineStr">
        <is>
          <t>Hang Seng Commerce &amp; Industry sub-index</t>
        </is>
      </c>
      <c r="AQ411" s="72" t="n">
        <v>-30.56</v>
      </c>
      <c r="AR411" s="63" t="inlineStr">
        <is>
          <t>2026-08-20</t>
        </is>
      </c>
      <c r="AS411" s="64" t="n">
        <v>1330.6</v>
      </c>
      <c r="AT411" s="67" t="n">
        <v>-0.1</v>
      </c>
      <c r="AU411" s="62" t="inlineStr">
        <is>
          <t>N</t>
        </is>
      </c>
      <c r="AV411" s="62" t="inlineStr">
        <is>
          <t>n/m</t>
        </is>
      </c>
      <c r="AW411" s="73" t="n">
        <v>6.8</v>
      </c>
      <c r="AX411" s="73" t="n">
        <v>5.5</v>
      </c>
      <c r="AY411" s="73" t="n">
        <v>8.199999999999999</v>
      </c>
      <c r="AZ411" s="74" t="inlineStr">
        <is>
          <t>N</t>
        </is>
      </c>
      <c r="BA411" s="75">
        <f>IF('BBG Verify'!K411="","not filed — run on terminal",'BBG Verify'!K411)</f>
        <v/>
      </c>
      <c r="BB411" s="62" t="inlineStr">
        <is>
          <t>N/A</t>
        </is>
      </c>
      <c r="BC411" s="62" t="inlineStr">
        <is>
          <t>N/A</t>
        </is>
      </c>
      <c r="BD411" s="62" t="inlineStr">
        <is>
          <t>N/A</t>
        </is>
      </c>
      <c r="BE411" s="62" t="inlineStr">
        <is>
          <t>N/A</t>
        </is>
      </c>
      <c r="BF411" s="62" t="inlineStr">
        <is>
          <t>N/A</t>
        </is>
      </c>
      <c r="BG411" s="74" t="inlineStr">
        <is>
          <t>CITIC Securities (Hong Kong) Limited; Huatai Financial Holdings (Hong Kong) Limited</t>
        </is>
      </c>
      <c r="BH411" s="62" t="inlineStr">
        <is>
          <t>Huatai Financial Holdings (Hong Kong) Limited; CITIC Securities (Hong Kong) Limited</t>
        </is>
      </c>
      <c r="BI411" s="62" t="inlineStr">
        <is>
          <t>CLSA Limited; Huatai Financial Holdings (Hong Kong) Limited; Futu Securities International (Hong Kong) Limited; Tiger Brokers (HK) Global Limited</t>
        </is>
      </c>
      <c r="BJ411" s="62" t="inlineStr">
        <is>
          <t>CLSA Limited; Futu Securities International (Hong Kong) Limited; Huatai Financial Holdings (Hong Kong) Limited; Tiger Brokers (HK) Global Limited</t>
        </is>
      </c>
      <c r="BK411" s="76">
        <f>HYPERLINK("https://www1.hkexnews.hk/listedco/listconews/sehk/2025/1218/2025121800221.pdf","prospectus")</f>
        <v/>
      </c>
      <c r="BL411" s="76">
        <f>HYPERLINK("https://www1.hkexnews.hk/listedco/listconews/sehk/2025/1229/2025122902127.pdf","allotment")</f>
        <v/>
      </c>
      <c r="BM411" s="62" t="n"/>
      <c r="BN411" s="74" t="n"/>
      <c r="BO411" s="62" t="inlineStr">
        <is>
          <t>P/E: n/m — loss-making at IPO (use P/S) · greenshoe: end-of-stabilisation notice not located · range low: cap-only pricing — the filing publishes a Maximum Offer Price and no indicative floor · A/H: no A-share listing</t>
        </is>
      </c>
    </row>
    <row r="412" ht="15" customHeight="1">
      <c r="A412" s="61" t="inlineStr">
        <is>
          <t>2671</t>
        </is>
      </c>
      <c r="B412" s="62" t="inlineStr">
        <is>
          <t>USAS BUILDING</t>
        </is>
      </c>
      <c r="C412" s="62" t="inlineStr">
        <is>
          <t>美聯股份</t>
        </is>
      </c>
      <c r="D412" s="62" t="inlineStr">
        <is>
          <t>Industrials</t>
        </is>
      </c>
      <c r="E412" s="62" t="inlineStr">
        <is>
          <t>Construction / engineering</t>
        </is>
      </c>
      <c r="F412" s="62" t="inlineStr">
        <is>
          <t>Building Construction</t>
        </is>
      </c>
      <c r="G412" s="62" t="inlineStr">
        <is>
          <t>Standard</t>
        </is>
      </c>
      <c r="H412" s="63" t="n">
        <v>46021</v>
      </c>
      <c r="I412" s="64" t="n">
        <v>174.7</v>
      </c>
      <c r="J412" s="62" t="inlineStr">
        <is>
          <t>gross (price x shares)</t>
        </is>
      </c>
      <c r="K412" s="65" t="n">
        <v>7.1</v>
      </c>
      <c r="L412" s="65" t="n">
        <v>9.16</v>
      </c>
      <c r="M412" s="65" t="n">
        <v>7.1</v>
      </c>
      <c r="N412" s="62" t="inlineStr">
        <is>
          <t>N</t>
        </is>
      </c>
      <c r="O412" s="66" t="n">
        <v>77.5</v>
      </c>
      <c r="P412" s="66" t="n">
        <v>0</v>
      </c>
      <c r="Q412" s="67" t="n">
        <v>855.9</v>
      </c>
      <c r="R412" s="62" t="inlineStr">
        <is>
          <t>derived:price x shares upon listing</t>
        </is>
      </c>
      <c r="S412" s="68" t="n">
        <v>146.25</v>
      </c>
      <c r="T412" s="69" t="n">
        <v>1.48</v>
      </c>
      <c r="U412" s="70" t="n">
        <v>22.9</v>
      </c>
      <c r="V412" s="66" t="n">
        <v>15.74</v>
      </c>
      <c r="W412" s="62" t="inlineStr">
        <is>
          <t>Colorful Cloud; Tiny Jade; Mr. Wu Xing Hua; Logic Selective</t>
        </is>
      </c>
      <c r="X412" s="62" t="inlineStr">
        <is>
          <t>colorful;tiny;mr-wu;logic</t>
        </is>
      </c>
      <c r="Y412" s="66" t="n">
        <v>14.4</v>
      </c>
      <c r="Z412" s="62" t="n"/>
      <c r="AA412" s="71" t="n">
        <v>7.61</v>
      </c>
      <c r="AB412" s="72" t="n">
        <v>15.63</v>
      </c>
      <c r="AC412" s="72" t="n">
        <v>-6.94</v>
      </c>
      <c r="AD412" s="72" t="n">
        <v>4.23</v>
      </c>
      <c r="AE412" s="72" t="n">
        <v>-29.58</v>
      </c>
      <c r="AF412" s="72" t="n">
        <v>-42.25</v>
      </c>
      <c r="AG412" s="72" t="n">
        <v>-3.14</v>
      </c>
      <c r="AH412" s="72" t="n">
        <v>-34.56</v>
      </c>
      <c r="AI412" s="72" t="n">
        <v>-46.33</v>
      </c>
      <c r="AJ412" s="72" t="n">
        <v>0.99</v>
      </c>
      <c r="AK412" s="72" t="n">
        <v>-38.04</v>
      </c>
      <c r="AL412" s="72" t="n">
        <v>-35.44</v>
      </c>
      <c r="AM412" s="72" t="n">
        <v>-41.79</v>
      </c>
      <c r="AN412" s="72" t="n">
        <v>8.460000000000001</v>
      </c>
      <c r="AO412" s="72" t="n">
        <v>7.23</v>
      </c>
      <c r="AP412" s="62" t="inlineStr">
        <is>
          <t>Hang Seng Commerce &amp; Industry sub-index</t>
        </is>
      </c>
      <c r="AQ412" s="72" t="n">
        <v>-29.58</v>
      </c>
      <c r="AR412" s="63" t="inlineStr">
        <is>
          <t>2026-08-20</t>
        </is>
      </c>
      <c r="AS412" s="64" t="n"/>
      <c r="AT412" s="67" t="n"/>
      <c r="AU412" s="62" t="inlineStr">
        <is>
          <t>Y</t>
        </is>
      </c>
      <c r="AV412" s="73" t="n">
        <v>5.4</v>
      </c>
      <c r="AW412" s="73" t="n">
        <v>5.4</v>
      </c>
      <c r="AX412" s="73" t="n">
        <v>6.3</v>
      </c>
      <c r="AY412" s="73" t="n"/>
      <c r="AZ412" s="74" t="inlineStr">
        <is>
          <t>N</t>
        </is>
      </c>
      <c r="BA412" s="75">
        <f>IF('BBG Verify'!K412="","not filed — run on terminal",'BBG Verify'!K412)</f>
        <v/>
      </c>
      <c r="BB412" s="62" t="inlineStr">
        <is>
          <t>N/A</t>
        </is>
      </c>
      <c r="BC412" s="62" t="inlineStr">
        <is>
          <t>N/A</t>
        </is>
      </c>
      <c r="BD412" s="62" t="inlineStr">
        <is>
          <t>N/A</t>
        </is>
      </c>
      <c r="BE412" s="62" t="inlineStr">
        <is>
          <t>N/A</t>
        </is>
      </c>
      <c r="BF412" s="62" t="inlineStr">
        <is>
          <t>N/A</t>
        </is>
      </c>
      <c r="BG412" s="74" t="inlineStr">
        <is>
          <t>Shenwan Hongyuan Capital (H.K.) Limited</t>
        </is>
      </c>
      <c r="BH412" s="62" t="inlineStr">
        <is>
          <t>Shenwan Hongyuan Capital (H.K.) Limited</t>
        </is>
      </c>
      <c r="BI412" s="62" t="inlineStr">
        <is>
          <t>Shenwan Hongyuan Securities (H.K.) Limited; ABCI Capital Limited; BOCI Asia Limited; Patrons Securities Limited; SPDB International Capital Limited; TradeGo Markets Limited</t>
        </is>
      </c>
      <c r="BJ412" s="62" t="inlineStr">
        <is>
          <t>ABCI Securities Company Limited; BOCI Asia Limited; Patrons Securities Limited; Shenwan Hongyuan Securities (H.K.) Limited; SPDB International Capital Limited; TradeGo Markets Limited</t>
        </is>
      </c>
      <c r="BK412" s="76">
        <f>HYPERLINK("https://www1.hkexnews.hk/listedco/listconews/sehk/2025/1218/2025121800035.pdf","prospectus")</f>
        <v/>
      </c>
      <c r="BL412" s="76">
        <f>HYPERLINK("https://www1.hkexnews.hk/listedco/listconews/sehk/2025/1229/2025122902215.pdf","allotment")</f>
        <v/>
      </c>
      <c r="BM412" s="62" t="n"/>
      <c r="BN412" s="74" t="n"/>
      <c r="BO412" s="62" t="inlineStr">
        <is>
          <t>P/E: from Bloomberg (trailing-12m EPS at listing) — the prospectus-FY multiple was not derivable · greenshoe: end-of-stabilisation notice not located · A/H: no A-share listing · P/S: revenue not extractable · financials rejected: latest-FY net income (HK$77.9m) exceeds revenue (HK$1.7m) — the extracted pair is inconsistent, so both figures and the multiples derived from them are withheld</t>
        </is>
      </c>
    </row>
    <row r="413" ht="15" customHeight="1">
      <c r="A413" s="61" t="inlineStr">
        <is>
          <t>3696</t>
        </is>
      </c>
      <c r="B413" s="62" t="inlineStr">
        <is>
          <t>INSILICO</t>
        </is>
      </c>
      <c r="C413" s="62" t="inlineStr">
        <is>
          <t>英矽智能</t>
        </is>
      </c>
      <c r="D413" s="62" t="inlineStr">
        <is>
          <t>Tech/AI</t>
        </is>
      </c>
      <c r="E413" s="62" t="inlineStr">
        <is>
          <t>AI application / agent software</t>
        </is>
      </c>
      <c r="F413" s="62" t="inlineStr">
        <is>
          <t>Biotechnology - Pharmaceuticals</t>
        </is>
      </c>
      <c r="G413" s="62" t="inlineStr">
        <is>
          <t>Standard</t>
        </is>
      </c>
      <c r="H413" s="63" t="n">
        <v>46021</v>
      </c>
      <c r="I413" s="64" t="n">
        <v>2277.3</v>
      </c>
      <c r="J413" s="62" t="inlineStr">
        <is>
          <t>gross (stated)</t>
        </is>
      </c>
      <c r="K413" s="65" t="n"/>
      <c r="L413" s="65" t="n">
        <v>24.05</v>
      </c>
      <c r="M413" s="65" t="n">
        <v>24.05</v>
      </c>
      <c r="N413" s="62" t="inlineStr">
        <is>
          <t>Y</t>
        </is>
      </c>
      <c r="O413" s="66" t="n">
        <v>100</v>
      </c>
      <c r="P413" s="66" t="n"/>
      <c r="Q413" s="67" t="n">
        <v>13406</v>
      </c>
      <c r="R413" s="62" t="inlineStr">
        <is>
          <t>prospectus:stated market capitalisation</t>
        </is>
      </c>
      <c r="S413" s="68" t="n">
        <v>1427.37</v>
      </c>
      <c r="T413" s="69" t="n">
        <v>26.27</v>
      </c>
      <c r="U413" s="70" t="n">
        <v>39.29</v>
      </c>
      <c r="V413" s="66" t="n">
        <v>10.31</v>
      </c>
      <c r="W413" s="62" t="inlineStr">
        <is>
          <t>Tencent; Oaktree; Schroders; China AMC; E Fund Management Co., Ltd; Fullgoal Fund; Harvest; Taikang Life; Infini; Taibai Investments Pte. Ltd; UBS AM Singapore</t>
        </is>
      </c>
      <c r="X413" s="62" t="inlineStr">
        <is>
          <t>tencent;oaktree;schroders;amc;fund-management;fullgoal;harvest;taikang;infini;taibai;ubs</t>
        </is>
      </c>
      <c r="Y413" s="66" t="n">
        <v>15</v>
      </c>
      <c r="Z413" s="62" t="inlineStr">
        <is>
          <t>full</t>
        </is>
      </c>
      <c r="AA413" s="71" t="n">
        <v>24.66</v>
      </c>
      <c r="AB413" s="72" t="n">
        <v>45.53</v>
      </c>
      <c r="AC413" s="72" t="n">
        <v>-14.34</v>
      </c>
      <c r="AD413" s="72" t="n">
        <v>68.40000000000001</v>
      </c>
      <c r="AE413" s="72" t="n">
        <v>172.35</v>
      </c>
      <c r="AF413" s="72" t="n">
        <v>138.05</v>
      </c>
      <c r="AG413" s="72" t="n">
        <v>35.09</v>
      </c>
      <c r="AH413" s="72" t="n">
        <v>118.47</v>
      </c>
      <c r="AI413" s="72" t="n">
        <v>90.95999999999999</v>
      </c>
      <c r="AJ413" s="72" t="n">
        <v>63.65</v>
      </c>
      <c r="AK413" s="72" t="n">
        <v>166.02</v>
      </c>
      <c r="AL413" s="72" t="n">
        <v>152.95</v>
      </c>
      <c r="AM413" s="72" t="n">
        <v>113.9</v>
      </c>
      <c r="AN413" s="72" t="n">
        <v>6.33</v>
      </c>
      <c r="AO413" s="72" t="n">
        <v>4.57</v>
      </c>
      <c r="AP413" s="62" t="inlineStr">
        <is>
          <t>HSTECH (Hang Seng TECH ETF)</t>
        </is>
      </c>
      <c r="AQ413" s="72" t="n">
        <v>83.78</v>
      </c>
      <c r="AR413" s="63" t="inlineStr">
        <is>
          <t>2026-08-20</t>
        </is>
      </c>
      <c r="AS413" s="64" t="n">
        <v>669.5</v>
      </c>
      <c r="AT413" s="67" t="n">
        <v>-133.3</v>
      </c>
      <c r="AU413" s="62" t="inlineStr">
        <is>
          <t>N</t>
        </is>
      </c>
      <c r="AV413" s="62" t="inlineStr">
        <is>
          <t>n/m</t>
        </is>
      </c>
      <c r="AW413" s="73" t="n"/>
      <c r="AX413" s="73" t="n"/>
      <c r="AY413" s="73" t="n">
        <v>20</v>
      </c>
      <c r="AZ413" s="74" t="inlineStr">
        <is>
          <t>N</t>
        </is>
      </c>
      <c r="BA413" s="75">
        <f>IF('BBG Verify'!K413="","not filed — run on terminal",'BBG Verify'!K413)</f>
        <v/>
      </c>
      <c r="BB413" s="62" t="inlineStr">
        <is>
          <t>N/A</t>
        </is>
      </c>
      <c r="BC413" s="62" t="inlineStr">
        <is>
          <t>N/A</t>
        </is>
      </c>
      <c r="BD413" s="62" t="inlineStr">
        <is>
          <t>N/A</t>
        </is>
      </c>
      <c r="BE413" s="62" t="inlineStr">
        <is>
          <t>N/A</t>
        </is>
      </c>
      <c r="BF413" s="62" t="inlineStr">
        <is>
          <t>N/A</t>
        </is>
      </c>
      <c r="BG413" s="74" t="inlineStr">
        <is>
          <t>Morgan Stanley Asia Limited; China International Capital Corporation Hong Kong Securities Limited; GF Capital (Hong Kong) Limited</t>
        </is>
      </c>
      <c r="BH413" s="62" t="inlineStr">
        <is>
          <t>China International Capital Corporation Hong Kong Securities Limited; Morgan Stanley Asia Limited; GF Capital (Hong Kong) Limited</t>
        </is>
      </c>
      <c r="BI413" s="62" t="inlineStr">
        <is>
          <t>Morgan Stanley Asia Limited; GF Securities (Hong Kong) Brokerage Limited; BNP Paribas Securities (Asia) Limited; Sinolink Securities (Hong Kong) Company Limited; BOCI Asia Limited</t>
        </is>
      </c>
      <c r="BJ413" s="62" t="inlineStr">
        <is>
          <t>BNP Paribas Securities (Asia) Limited; BOCI Asia Limited; China International Capital Corporation Hong Kong Securities Limited; GF Securities (Hong Kong) Brokerage Limited; Morgan Stanley Asia Limited; Sinolink Securities (Hong Kong) Company Limited</t>
        </is>
      </c>
      <c r="BK413" s="76">
        <f>HYPERLINK("https://www1.hkexnews.hk/listedco/listconews/sehk/2025/1218/2025121800031.pdf","prospectus")</f>
        <v/>
      </c>
      <c r="BL413" s="76">
        <f>HYPERLINK("https://www1.hkexnews.hk/listedco/listconews/sehk/2025/1229/2025122902395.pdf","allotment")</f>
        <v/>
      </c>
      <c r="BM413" s="76">
        <f>HYPERLINK("https://www1.hkexnews.hk/listedco/listconews/sehk/2026/0122/2026012201223.pdf","stabilisation")</f>
        <v/>
      </c>
      <c r="BN413" s="74" t="n"/>
      <c r="BO413" s="62" t="inlineStr">
        <is>
          <t>P/E: n/m — loss-making at IPO (use P/S) · range low: cap-only pricing — the filing publishes a Maximum Offer Price and no indicative floor · A/H: no A-share listing</t>
        </is>
      </c>
    </row>
    <row r="414" ht="15" customHeight="1">
      <c r="A414" s="61" t="inlineStr">
        <is>
          <t>6651</t>
        </is>
      </c>
      <c r="B414" s="62" t="inlineStr">
        <is>
          <t>51WORLD</t>
        </is>
      </c>
      <c r="C414" s="62" t="inlineStr">
        <is>
          <t>五一視界</t>
        </is>
      </c>
      <c r="D414" s="62" t="inlineStr">
        <is>
          <t>Tech/AI</t>
        </is>
      </c>
      <c r="E414" s="62" t="inlineStr">
        <is>
          <t>SaaS / enterprise software</t>
        </is>
      </c>
      <c r="F414" s="62" t="inlineStr">
        <is>
          <t>Advanced hardware and software</t>
        </is>
      </c>
      <c r="G414" s="62" t="inlineStr">
        <is>
          <t>Standard</t>
        </is>
      </c>
      <c r="H414" s="63" t="n">
        <v>46021</v>
      </c>
      <c r="I414" s="64" t="n">
        <v>731.3</v>
      </c>
      <c r="J414" s="62" t="inlineStr">
        <is>
          <t>gross (stated)</t>
        </is>
      </c>
      <c r="K414" s="65" t="n"/>
      <c r="L414" s="65" t="n">
        <v>30.5</v>
      </c>
      <c r="M414" s="65" t="n">
        <v>30.5</v>
      </c>
      <c r="N414" s="62" t="inlineStr">
        <is>
          <t>Y</t>
        </is>
      </c>
      <c r="O414" s="66" t="n">
        <v>100</v>
      </c>
      <c r="P414" s="66" t="n"/>
      <c r="Q414" s="67" t="n">
        <v>12393.9</v>
      </c>
      <c r="R414" s="62" t="inlineStr">
        <is>
          <t>derived:price x shares upon listing</t>
        </is>
      </c>
      <c r="S414" s="68" t="n">
        <v>256.01</v>
      </c>
      <c r="T414" s="69" t="n">
        <v>2.6</v>
      </c>
      <c r="U414" s="70" t="n"/>
      <c r="V414" s="66" t="n"/>
      <c r="W414" s="62" t="inlineStr">
        <is>
          <t>Mr. Li Yi</t>
        </is>
      </c>
      <c r="X414" s="62" t="inlineStr">
        <is>
          <t>mr-li</t>
        </is>
      </c>
      <c r="Y414" s="66" t="n">
        <v>16.3</v>
      </c>
      <c r="Z414" s="62" t="inlineStr">
        <is>
          <t>lapsed (no over-allocation)</t>
        </is>
      </c>
      <c r="AA414" s="71" t="n">
        <v>29.9</v>
      </c>
      <c r="AB414" s="72" t="n">
        <v>14.75</v>
      </c>
      <c r="AC414" s="72" t="n">
        <v>13.2</v>
      </c>
      <c r="AD414" s="72" t="n">
        <v>51.48</v>
      </c>
      <c r="AE414" s="72" t="n">
        <v>212.46</v>
      </c>
      <c r="AF414" s="72" t="n">
        <v>18.82</v>
      </c>
      <c r="AG414" s="72" t="n">
        <v>16.61</v>
      </c>
      <c r="AH414" s="72" t="n">
        <v>140.54</v>
      </c>
      <c r="AI414" s="72" t="n">
        <v>-8.529999999999999</v>
      </c>
      <c r="AJ414" s="72" t="n">
        <v>46.73</v>
      </c>
      <c r="AK414" s="72" t="n">
        <v>206.13</v>
      </c>
      <c r="AL414" s="72" t="n">
        <v>33.72</v>
      </c>
      <c r="AM414" s="72" t="n">
        <v>135.97</v>
      </c>
      <c r="AN414" s="72" t="n">
        <v>6.33</v>
      </c>
      <c r="AO414" s="72" t="n">
        <v>4.57</v>
      </c>
      <c r="AP414" s="62" t="inlineStr">
        <is>
          <t>HSTECH (Hang Seng TECH ETF)</t>
        </is>
      </c>
      <c r="AQ414" s="72" t="n">
        <v>100.82</v>
      </c>
      <c r="AR414" s="63" t="inlineStr">
        <is>
          <t>2026-08-20</t>
        </is>
      </c>
      <c r="AS414" s="64" t="n">
        <v>316.1</v>
      </c>
      <c r="AT414" s="67" t="n">
        <v>-86.90000000000001</v>
      </c>
      <c r="AU414" s="62" t="inlineStr">
        <is>
          <t>N</t>
        </is>
      </c>
      <c r="AV414" s="62" t="inlineStr">
        <is>
          <t>n/m</t>
        </is>
      </c>
      <c r="AW414" s="73" t="n"/>
      <c r="AX414" s="73" t="n"/>
      <c r="AY414" s="73" t="n">
        <v>39.2</v>
      </c>
      <c r="AZ414" s="74" t="inlineStr">
        <is>
          <t>N</t>
        </is>
      </c>
      <c r="BA414" s="75">
        <f>IF('BBG Verify'!K414="","not filed — run on terminal",'BBG Verify'!K414)</f>
        <v/>
      </c>
      <c r="BB414" s="62" t="inlineStr">
        <is>
          <t>N/A</t>
        </is>
      </c>
      <c r="BC414" s="62" t="inlineStr">
        <is>
          <t>N/A</t>
        </is>
      </c>
      <c r="BD414" s="62" t="inlineStr">
        <is>
          <t>N/A</t>
        </is>
      </c>
      <c r="BE414" s="62" t="inlineStr">
        <is>
          <t>N/A</t>
        </is>
      </c>
      <c r="BF414" s="62" t="inlineStr">
        <is>
          <t>N/A</t>
        </is>
      </c>
      <c r="BG414" s="74" t="inlineStr">
        <is>
          <t>and Sponsor-OCs China International Capital Corporation Hong Kong Securities Limited; Huatai Financial Holdings (Hong Kong) Limited</t>
        </is>
      </c>
      <c r="BH414" s="62" t="inlineStr">
        <is>
          <t>China International Capital Corporation Hong Kong Securities Limited; Huatai Financial Holdings (Hong Kong) Limited</t>
        </is>
      </c>
      <c r="BI414" s="62" t="inlineStr">
        <is>
          <t>China International Capital Corporation Hong Kong Securities Limited; Central, Hong Kong CMB International Capital Limited; Central, Hong Kong China Securities (International) Corporate Finance Company Limited; Futu Securities International (Hong Kong) Limited; Valuable Capital Limited; BOCI Asia Limited; ICBC International Securities Limited; SPDB International Capital Limited; DIRECTORS, SUPERVISORS AND PARTIES INVOLVED IN THE GLOBAL OFFERING ABCI Capital Limited; CMBC Securities Company Limited; CCB International Capital Limited</t>
        </is>
      </c>
      <c r="BJ414" s="62" t="inlineStr">
        <is>
          <t>ABCI Securities Company Limited; BOCI Asia Limited; CCB International Capital Limited; China International Capital Corporation Hong Kong Securities Limited; CMBC Securities Company Limited; CMB International Capital Limited; China Securities (International) Corporate Finance Company Limited; Futu Securities International (Hong Kong) Limited; Huatai Financial Holdings (Hong Kong) Limited; ICBC International Securities Limited; SPDB International Capital Limited; Valuable Capital Limited</t>
        </is>
      </c>
      <c r="BK414" s="76">
        <f>HYPERLINK("https://www1.hkexnews.hk/listedco/listconews/sehk/2025/1218/2025121800029.pdf","prospectus")</f>
        <v/>
      </c>
      <c r="BL414" s="76">
        <f>HYPERLINK("https://www1.hkexnews.hk/listedco/listconews/sehk/2025/1229/2025122902393.pdf","allotment")</f>
        <v/>
      </c>
      <c r="BM414" s="76">
        <f>HYPERLINK("https://www1.hkexnews.hk/listedco/listconews/sehk/2026/0122/2026012200344.pdf","stabilisation")</f>
        <v/>
      </c>
      <c r="BN414" s="74" t="n"/>
      <c r="BO414" s="62" t="inlineStr">
        <is>
          <t>P/E: n/m — loss-making at IPO (use P/S) · range low: cap-only pricing — the filing publishes a Maximum Offer Price and no indicative floor · A/H: no A-share listing · cornerstone %: cornerstone aggregate not stated in the filing</t>
        </is>
      </c>
    </row>
    <row r="415" ht="15" customHeight="1">
      <c r="A415" s="61" t="inlineStr">
        <is>
          <t>6600</t>
        </is>
      </c>
      <c r="B415" s="62" t="inlineStr">
        <is>
          <t>ONEROBOTICS</t>
        </is>
      </c>
      <c r="C415" s="62" t="inlineStr">
        <is>
          <t>臥安機器人</t>
        </is>
      </c>
      <c r="D415" s="62" t="inlineStr">
        <is>
          <t>Tech/AI</t>
        </is>
      </c>
      <c r="E415" s="62" t="inlineStr">
        <is>
          <t>Robotics &amp; autonomous driving</t>
        </is>
      </c>
      <c r="F415" s="62" t="inlineStr">
        <is>
          <t>Consumer Electronics</t>
        </is>
      </c>
      <c r="G415" s="62" t="inlineStr">
        <is>
          <t>Standard</t>
        </is>
      </c>
      <c r="H415" s="63" t="n">
        <v>46021</v>
      </c>
      <c r="I415" s="64" t="n">
        <v>1640.01</v>
      </c>
      <c r="J415" s="62" t="inlineStr">
        <is>
          <t>gross (stated)</t>
        </is>
      </c>
      <c r="K415" s="65" t="n"/>
      <c r="L415" s="65" t="n">
        <v>81</v>
      </c>
      <c r="M415" s="65" t="n">
        <v>73.8</v>
      </c>
      <c r="N415" s="62" t="inlineStr">
        <is>
          <t>N</t>
        </is>
      </c>
      <c r="O415" s="66" t="n">
        <v>91.09999999999999</v>
      </c>
      <c r="P415" s="66" t="n"/>
      <c r="Q415" s="67" t="n">
        <v>16400</v>
      </c>
      <c r="R415" s="62" t="inlineStr">
        <is>
          <t>derived:price x shares upon listing</t>
        </is>
      </c>
      <c r="S415" s="68" t="n">
        <v>254.5</v>
      </c>
      <c r="T415" s="69" t="n">
        <v>8.9</v>
      </c>
      <c r="U415" s="70" t="n">
        <v>50</v>
      </c>
      <c r="V415" s="66" t="n">
        <v>5</v>
      </c>
      <c r="W415" s="62" t="n"/>
      <c r="X415" s="62" t="n"/>
      <c r="Y415" s="66" t="n">
        <v>15</v>
      </c>
      <c r="Z415" s="62" t="n"/>
      <c r="AA415" s="71" t="n">
        <v>0.07000000000000001</v>
      </c>
      <c r="AB415" s="72" t="n">
        <v>0</v>
      </c>
      <c r="AC415" s="72" t="n">
        <v>0.07000000000000001</v>
      </c>
      <c r="AD415" s="72" t="n">
        <v>40.24</v>
      </c>
      <c r="AE415" s="72" t="n">
        <v>129.27</v>
      </c>
      <c r="AF415" s="72" t="n">
        <v>33.4</v>
      </c>
      <c r="AG415" s="72" t="n">
        <v>40.14</v>
      </c>
      <c r="AH415" s="72" t="n">
        <v>129.11</v>
      </c>
      <c r="AI415" s="72" t="n">
        <v>33.31</v>
      </c>
      <c r="AJ415" s="72" t="n">
        <v>35.49</v>
      </c>
      <c r="AK415" s="72" t="n">
        <v>122.94</v>
      </c>
      <c r="AL415" s="72" t="n">
        <v>48.3</v>
      </c>
      <c r="AM415" s="72" t="n">
        <v>124.54</v>
      </c>
      <c r="AN415" s="72" t="n">
        <v>6.33</v>
      </c>
      <c r="AO415" s="72" t="n">
        <v>4.57</v>
      </c>
      <c r="AP415" s="62" t="inlineStr">
        <is>
          <t>HSTECH (Hang Seng TECH ETF)</t>
        </is>
      </c>
      <c r="AQ415" s="72" t="n">
        <v>-20.39</v>
      </c>
      <c r="AR415" s="63" t="inlineStr">
        <is>
          <t>2026-08-20</t>
        </is>
      </c>
      <c r="AS415" s="64" t="n">
        <v>670.9</v>
      </c>
      <c r="AT415" s="67" t="n">
        <v>-3.4</v>
      </c>
      <c r="AU415" s="62" t="inlineStr">
        <is>
          <t>N</t>
        </is>
      </c>
      <c r="AV415" s="62" t="inlineStr">
        <is>
          <t>n/m</t>
        </is>
      </c>
      <c r="AW415" s="73" t="n"/>
      <c r="AX415" s="73" t="n"/>
      <c r="AY415" s="73" t="n">
        <v>24.4</v>
      </c>
      <c r="AZ415" s="74" t="inlineStr">
        <is>
          <t>N</t>
        </is>
      </c>
      <c r="BA415" s="75">
        <f>IF('BBG Verify'!K415="","not filed — run on terminal",'BBG Verify'!K415)</f>
        <v/>
      </c>
      <c r="BB415" s="62" t="inlineStr">
        <is>
          <t>N/A</t>
        </is>
      </c>
      <c r="BC415" s="62" t="inlineStr">
        <is>
          <t>N/A</t>
        </is>
      </c>
      <c r="BD415" s="62" t="inlineStr">
        <is>
          <t>N/A</t>
        </is>
      </c>
      <c r="BE415" s="62" t="inlineStr">
        <is>
          <t>N/A</t>
        </is>
      </c>
      <c r="BF415" s="62" t="inlineStr">
        <is>
          <t>N/A</t>
        </is>
      </c>
      <c r="BG415" s="74" t="inlineStr">
        <is>
          <t>Guotai Junan Capital Limited; Huatai Financial Holdings (Hong Kong) Limited; Guotai Junan Securities (Hong Kong) Limited</t>
        </is>
      </c>
      <c r="BH415" s="62" t="inlineStr">
        <is>
          <t>Huatai Financial Holdings (Hong Kong) Limited; Guotai Junan Capital Limited</t>
        </is>
      </c>
      <c r="BI415" s="62" t="inlineStr">
        <is>
          <t>Guotai Junan Securities (Hong Kong) Limited; Huatai Financial Holdings (Hong Kong) Limited; Co., Limited; BOCI Asia Limited; Futu Securities International (Hong Kong) Limited</t>
        </is>
      </c>
      <c r="BJ415" s="62" t="inlineStr">
        <is>
          <t>BOCI Asia Limited; China Galaxy International Securities (Hong Kong) Company Limited; Futu Securities International (Hong Kong) Limited; Guotai Junan Securities (Hong Kong) Limited; Huatai Financial Holdings (Hong Kong) Limited</t>
        </is>
      </c>
      <c r="BK415" s="76">
        <f>HYPERLINK("https://www1.hkexnews.hk/listedco/listconews/sehk/2025/1218/2025121800167.pdf","prospectus")</f>
        <v/>
      </c>
      <c r="BL415" s="76">
        <f>HYPERLINK("https://www1.hkexnews.hk/listedco/listconews/sehk/2025/1229/2025122902399.pdf","allotment")</f>
        <v/>
      </c>
      <c r="BM415" s="62" t="n"/>
      <c r="BN415" s="74" t="n"/>
      <c r="BO415" s="62" t="inlineStr">
        <is>
          <t>P/E: n/m — loss-making at IPO (use P/S) · greenshoe: end-of-stabilisation notice not located · range low: cap-only pricing — the filing publishes a Maximum Offer Price and no indicative floor · A/H: no A-share listing · cornerstone list: tranche parsed (50.0% locked) but the per-investor table did not machine-parse — names are in the prospectus Cornerstone section (link on this row)</t>
        </is>
      </c>
    </row>
    <row r="416" ht="15" customHeight="1">
      <c r="A416" s="61" t="inlineStr">
        <is>
          <t>6082</t>
        </is>
      </c>
      <c r="B416" s="62" t="inlineStr">
        <is>
          <t>BIREN TECH</t>
        </is>
      </c>
      <c r="C416" s="62" t="inlineStr">
        <is>
          <t>壁仞科技</t>
        </is>
      </c>
      <c r="D416" s="62" t="inlineStr">
        <is>
          <t>Tech/AI</t>
        </is>
      </c>
      <c r="E416" s="62" t="inlineStr">
        <is>
          <t>AI chips &amp; semis</t>
        </is>
      </c>
      <c r="F416" s="62" t="inlineStr">
        <is>
          <t>Advanced hardware and software</t>
        </is>
      </c>
      <c r="G416" s="62" t="inlineStr">
        <is>
          <t>Standard</t>
        </is>
      </c>
      <c r="H416" s="63" t="n">
        <v>46024</v>
      </c>
      <c r="I416" s="64" t="n">
        <v>5583</v>
      </c>
      <c r="J416" s="62" t="inlineStr">
        <is>
          <t>gross (stated)</t>
        </is>
      </c>
      <c r="K416" s="65" t="n">
        <v>17</v>
      </c>
      <c r="L416" s="65" t="n">
        <v>19.6</v>
      </c>
      <c r="M416" s="65" t="n">
        <v>19.6</v>
      </c>
      <c r="N416" s="62" t="inlineStr">
        <is>
          <t>Y</t>
        </is>
      </c>
      <c r="O416" s="66" t="n">
        <v>100</v>
      </c>
      <c r="P416" s="66" t="n">
        <v>100</v>
      </c>
      <c r="Q416" s="67" t="n">
        <v>40103</v>
      </c>
      <c r="R416" s="62" t="inlineStr">
        <is>
          <t>prospectus:stated market capitalisation</t>
        </is>
      </c>
      <c r="S416" s="68" t="n">
        <v>2347.53</v>
      </c>
      <c r="T416" s="69" t="n">
        <v>25.95</v>
      </c>
      <c r="U416" s="70" t="n">
        <v>51.93</v>
      </c>
      <c r="V416" s="66" t="n">
        <v>6.69</v>
      </c>
      <c r="W416" s="62" t="inlineStr">
        <is>
          <t>Qiming Venture Partners; Aspex Master Fund; Hao Great China Focus Fund; Master Fund, L.P; 有限公司)</t>
        </is>
      </c>
      <c r="X416" s="62" t="inlineStr">
        <is>
          <t>qiming;aspex;hao;master-fund;有限公司</t>
        </is>
      </c>
      <c r="Y416" s="66" t="n">
        <v>15</v>
      </c>
      <c r="Z416" s="62" t="inlineStr">
        <is>
          <t>full</t>
        </is>
      </c>
      <c r="AA416" s="71" t="n">
        <v>75.81999999999999</v>
      </c>
      <c r="AB416" s="72" t="n">
        <v>82.14</v>
      </c>
      <c r="AC416" s="72" t="n">
        <v>-3.47</v>
      </c>
      <c r="AD416" s="72" t="n">
        <v>73.78</v>
      </c>
      <c r="AE416" s="72" t="n">
        <v>67.34999999999999</v>
      </c>
      <c r="AF416" s="72" t="n">
        <v>75.31</v>
      </c>
      <c r="AG416" s="72" t="n">
        <v>-1.16</v>
      </c>
      <c r="AH416" s="72" t="n">
        <v>-4.82</v>
      </c>
      <c r="AI416" s="72" t="n">
        <v>-0.29</v>
      </c>
      <c r="AJ416" s="72" t="n">
        <v>70.53</v>
      </c>
      <c r="AK416" s="72" t="n">
        <v>67.16</v>
      </c>
      <c r="AL416" s="72" t="n">
        <v>87.84999999999999</v>
      </c>
      <c r="AM416" s="72" t="n">
        <v>-1.08</v>
      </c>
      <c r="AN416" s="72" t="n">
        <v>0.19</v>
      </c>
      <c r="AO416" s="72" t="n">
        <v>-3.74</v>
      </c>
      <c r="AP416" s="62" t="inlineStr">
        <is>
          <t>HSTECH (Hang Seng TECH ETF)</t>
        </is>
      </c>
      <c r="AQ416" s="72" t="n">
        <v>92.55</v>
      </c>
      <c r="AR416" s="63" t="inlineStr">
        <is>
          <t>2026-08-21</t>
        </is>
      </c>
      <c r="AS416" s="64" t="n">
        <v>370.5</v>
      </c>
      <c r="AT416" s="67" t="n">
        <v>-1691.9</v>
      </c>
      <c r="AU416" s="62" t="inlineStr">
        <is>
          <t>N</t>
        </is>
      </c>
      <c r="AV416" s="62" t="inlineStr">
        <is>
          <t>n/m</t>
        </is>
      </c>
      <c r="AW416" s="73" t="n"/>
      <c r="AX416" s="73" t="n"/>
      <c r="AY416" s="73" t="n">
        <v>108.2</v>
      </c>
      <c r="AZ416" s="74" t="inlineStr">
        <is>
          <t>N</t>
        </is>
      </c>
      <c r="BA416" s="75">
        <f>IF('BBG Verify'!K416="","not filed — run on terminal",'BBG Verify'!K416)</f>
        <v/>
      </c>
      <c r="BB416" s="62" t="inlineStr">
        <is>
          <t>N/A</t>
        </is>
      </c>
      <c r="BC416" s="62" t="inlineStr">
        <is>
          <t>N/A</t>
        </is>
      </c>
      <c r="BD416" s="62" t="inlineStr">
        <is>
          <t>N/A</t>
        </is>
      </c>
      <c r="BE416" s="62" t="inlineStr">
        <is>
          <t>N/A</t>
        </is>
      </c>
      <c r="BF416" s="62" t="inlineStr">
        <is>
          <t>N/A</t>
        </is>
      </c>
      <c r="BG416" s="74" t="inlineStr">
        <is>
          <t>China International Capital Corporation Hong Kong Securities Limited; Ping An of China Capital (Hong Kong) Company Limited; BOCI Asia Limited; Ping An Securities (Hong Kong) Company Limited</t>
        </is>
      </c>
      <c r="BH416" s="62" t="inlineStr">
        <is>
          <t>China International Capital Corporation Hong Kong Securities Limited; Ping An of China Capital (Hong Kong) Company Limited; BOCI Asia Limited</t>
        </is>
      </c>
      <c r="BI416" s="62" t="inlineStr">
        <is>
          <t>China International Capital Corporation Hong Kong Securities Limited; Ping An Securities (Hong Kong) Company Limited; BOCI Asia Limited; Central, Hong Kong CLSA Limited; Orient Securities (Hong Kong) Limited; Futu Securities International (Hong Kong) Limited; SPDB International Capital Limited</t>
        </is>
      </c>
      <c r="BJ416" s="62" t="inlineStr">
        <is>
          <t>BOCI Asia Limited; China International Capital Corporation Hong Kong Securities Limited; CLSA Limited; Futu Securities International (Hong Kong) Limited; Orient Securities (Hong Kong) Limited; Ping An Securities (Hong Kong) Company Limited; SPDB International Capital Limited</t>
        </is>
      </c>
      <c r="BK416" s="76">
        <f>HYPERLINK("https://www1.hkexnews.hk/listedco/listconews/sehk/2025/1222/2025122200019.pdf","prospectus")</f>
        <v/>
      </c>
      <c r="BL416" s="76">
        <f>HYPERLINK("https://www1.hkexnews.hk/listedco/listconews/sehk/2025/1231/2025123102783.pdf","allotment")</f>
        <v/>
      </c>
      <c r="BM416" s="76">
        <f>HYPERLINK("https://www1.hkexnews.hk/listedco/listconews/sehk/2026/0128/2026012800772.pdf","stabilisation")</f>
        <v/>
      </c>
      <c r="BN416" s="74" t="n"/>
      <c r="BO416" s="62" t="inlineStr">
        <is>
          <t>P/E: n/m — loss-making at IPO (use P/S) · A/H: no A line; closest listed proxy {'code': '688256.SS', 'name': 'Cambricon Technologies', 'rationale': "The A-share domestic AI-compute (GPGPU/accelerator) pure-play — closest proxy for Biren's training-GPU story."}</t>
        </is>
      </c>
    </row>
    <row r="417" ht="15" customHeight="1">
      <c r="A417" s="61" t="inlineStr">
        <is>
          <t>2513</t>
        </is>
      </c>
      <c r="B417" s="62" t="inlineStr">
        <is>
          <t>KNOWLEDGE ATLAS</t>
        </is>
      </c>
      <c r="C417" s="62" t="inlineStr">
        <is>
          <t>智譜</t>
        </is>
      </c>
      <c r="D417" s="62" t="inlineStr">
        <is>
          <t>Tech/AI</t>
        </is>
      </c>
      <c r="E417" s="62" t="inlineStr">
        <is>
          <t>LLM / foundation model</t>
        </is>
      </c>
      <c r="F417" s="62" t="inlineStr">
        <is>
          <t>Next-generation information technology</t>
        </is>
      </c>
      <c r="G417" s="62" t="inlineStr">
        <is>
          <t>Standard</t>
        </is>
      </c>
      <c r="H417" s="63" t="n">
        <v>46030</v>
      </c>
      <c r="I417" s="64" t="n">
        <v>4348.1</v>
      </c>
      <c r="J417" s="62" t="inlineStr">
        <is>
          <t>gross (stated)</t>
        </is>
      </c>
      <c r="K417" s="65" t="n"/>
      <c r="L417" s="65" t="n">
        <v>116.2</v>
      </c>
      <c r="M417" s="65" t="n">
        <v>116.2</v>
      </c>
      <c r="N417" s="62" t="inlineStr">
        <is>
          <t>Y</t>
        </is>
      </c>
      <c r="O417" s="66" t="n">
        <v>100</v>
      </c>
      <c r="P417" s="66" t="n"/>
      <c r="Q417" s="67" t="n">
        <v>45058</v>
      </c>
      <c r="R417" s="62" t="inlineStr">
        <is>
          <t>derived:deal size / offer % of enlarged capital</t>
        </is>
      </c>
      <c r="S417" s="68" t="n">
        <v>1159.46</v>
      </c>
      <c r="T417" s="69" t="n">
        <v>15.28</v>
      </c>
      <c r="U417" s="70" t="n">
        <v>68.63</v>
      </c>
      <c r="V417" s="66" t="n">
        <v>3.03</v>
      </c>
      <c r="W417" s="62" t="inlineStr">
        <is>
          <t>Taikang Life; GF Fund</t>
        </is>
      </c>
      <c r="X417" s="62" t="inlineStr">
        <is>
          <t>taikang;gf</t>
        </is>
      </c>
      <c r="Y417" s="66" t="n">
        <v>15</v>
      </c>
      <c r="Z417" s="62" t="inlineStr">
        <is>
          <t>full</t>
        </is>
      </c>
      <c r="AA417" s="71" t="n">
        <v>13.17</v>
      </c>
      <c r="AB417" s="72" t="n">
        <v>3.27</v>
      </c>
      <c r="AC417" s="72" t="n">
        <v>9.59</v>
      </c>
      <c r="AD417" s="72" t="n">
        <v>107.4</v>
      </c>
      <c r="AE417" s="72" t="n">
        <v>74.87</v>
      </c>
      <c r="AF417" s="72" t="n">
        <v>646.13</v>
      </c>
      <c r="AG417" s="72" t="n">
        <v>83.26000000000001</v>
      </c>
      <c r="AH417" s="72" t="n">
        <v>54.52</v>
      </c>
      <c r="AI417" s="72" t="n">
        <v>559.3</v>
      </c>
      <c r="AJ417" s="72" t="n">
        <v>105.98</v>
      </c>
      <c r="AK417" s="72" t="n">
        <v>81.89</v>
      </c>
      <c r="AL417" s="72" t="n">
        <v>660.55</v>
      </c>
      <c r="AM417" s="72" t="n">
        <v>60.37</v>
      </c>
      <c r="AN417" s="72" t="n">
        <v>-7.02</v>
      </c>
      <c r="AO417" s="72" t="n">
        <v>-5.85</v>
      </c>
      <c r="AP417" s="62" t="inlineStr">
        <is>
          <t>HSTECH (Hang Seng TECH ETF)</t>
        </is>
      </c>
      <c r="AQ417" s="72" t="n">
        <v>780.38</v>
      </c>
      <c r="AR417" s="63" t="inlineStr">
        <is>
          <t>2026-08-20</t>
        </is>
      </c>
      <c r="AS417" s="64" t="n">
        <v>343.7</v>
      </c>
      <c r="AT417" s="67" t="n">
        <v>-2110.3</v>
      </c>
      <c r="AU417" s="62" t="inlineStr">
        <is>
          <t>N</t>
        </is>
      </c>
      <c r="AV417" s="62" t="inlineStr">
        <is>
          <t>n/m</t>
        </is>
      </c>
      <c r="AW417" s="73" t="n"/>
      <c r="AX417" s="73" t="n"/>
      <c r="AY417" s="73" t="n">
        <v>131.1</v>
      </c>
      <c r="AZ417" s="74" t="inlineStr">
        <is>
          <t>N</t>
        </is>
      </c>
      <c r="BA417" s="75">
        <f>IF('BBG Verify'!K417="","not filed — run on terminal",'BBG Verify'!K417)</f>
        <v/>
      </c>
      <c r="BB417" s="62" t="inlineStr">
        <is>
          <t>N/A</t>
        </is>
      </c>
      <c r="BC417" s="62" t="inlineStr">
        <is>
          <t>N/A</t>
        </is>
      </c>
      <c r="BD417" s="62" t="inlineStr">
        <is>
          <t>N/A</t>
        </is>
      </c>
      <c r="BE417" s="62" t="inlineStr">
        <is>
          <t>N/A</t>
        </is>
      </c>
      <c r="BF417" s="62" t="inlineStr">
        <is>
          <t>N/A</t>
        </is>
      </c>
      <c r="BG417" s="74" t="inlineStr">
        <is>
          <t>CICC</t>
        </is>
      </c>
      <c r="BH417" s="62" t="inlineStr">
        <is>
          <t>China International Capital Corporation Hong Kong Securities Limited</t>
        </is>
      </c>
      <c r="BI417" s="62" t="inlineStr">
        <is>
          <t>Central, Hong Kong Huatai Financial Holdings (Hong Kong) Limited; BOCOM International Securities Limited; Guotai Junan Securities (Hong Kong) Limited; China Merchants Securities (HK) Co., Limited; Futu Securities International (Hong Kong) Limited; Tiger Brokers (HK) Global Limited; SPDB International Capital Limited; Zheshang International Financial Holdings Co., Limited; Riche Bright Securities Limited; UOB Kay Hian (Hong Kong) Limited</t>
        </is>
      </c>
      <c r="BJ417" s="62" t="inlineStr">
        <is>
          <t>BOCOM International Securities Limited; China International Capital Corporation Hong Kong Securities Limited; CMB International Capital Limited; China Merchants Securities (HK) Company Limited; Futu Securities International (Hong Kong) Limited; Guotai Junan Securities (Hong Kong) Limited; Huatai Financial Holdings (Hong Kong) Limited; Riche Bright Securities Limited; SPDB International Capital Limited; Tiger Brokers (HK) Global Limited; UOB Kay Hian (Hong Kong) Limited; Zheshang International Financial Holdings Co., Limited</t>
        </is>
      </c>
      <c r="BK417" s="76">
        <f>HYPERLINK("https://www1.hkexnews.hk/listedco/listconews/sehk/2025/1230/2025123000017.pdf","prospectus")</f>
        <v/>
      </c>
      <c r="BL417" s="76">
        <f>HYPERLINK("https://www1.hkexnews.hk/listedco/listconews/sehk/2026/0107/2026010701798.pdf","allotment")</f>
        <v/>
      </c>
      <c r="BM417" s="76">
        <f>HYPERLINK("https://www1.hkexnews.hk/listedco/listconews/sehk/2026/0204/2026020402110.pdf","stabilisation")</f>
        <v/>
      </c>
      <c r="BN417" s="74" t="n"/>
      <c r="BO417" s="62" t="inlineStr">
        <is>
          <t>P/E: n/m — loss-making at IPO (use P/S) · price range: fixed-price offering (no indicative range) · range low: cap-only pricing — the filing publishes a Maximum Offer Price and no indicative floor · A/H: no A-share listing</t>
        </is>
      </c>
    </row>
    <row r="418" ht="15" customHeight="1">
      <c r="A418" s="61" t="inlineStr">
        <is>
          <t>9903</t>
        </is>
      </c>
      <c r="B418" s="62" t="inlineStr">
        <is>
          <t>ILUVATAR COREX</t>
        </is>
      </c>
      <c r="C418" s="62" t="inlineStr">
        <is>
          <t>天數智芯</t>
        </is>
      </c>
      <c r="D418" s="62" t="inlineStr">
        <is>
          <t>Tech/AI</t>
        </is>
      </c>
      <c r="E418" s="62" t="inlineStr">
        <is>
          <t>AI chips &amp; semis</t>
        </is>
      </c>
      <c r="F418" s="62" t="inlineStr">
        <is>
          <t>Semiconductors &amp; Semiconductor Equipment</t>
        </is>
      </c>
      <c r="G418" s="62" t="inlineStr">
        <is>
          <t>Standard</t>
        </is>
      </c>
      <c r="H418" s="63" t="n">
        <v>46030</v>
      </c>
      <c r="I418" s="64" t="n">
        <v>3677.4</v>
      </c>
      <c r="J418" s="62" t="inlineStr">
        <is>
          <t>gross (stated)</t>
        </is>
      </c>
      <c r="K418" s="65" t="n"/>
      <c r="L418" s="65" t="n">
        <v>144.6</v>
      </c>
      <c r="M418" s="65" t="n">
        <v>144.6</v>
      </c>
      <c r="N418" s="62" t="inlineStr">
        <is>
          <t>Y</t>
        </is>
      </c>
      <c r="O418" s="66" t="n">
        <v>100</v>
      </c>
      <c r="P418" s="66" t="n"/>
      <c r="Q418" s="67" t="n">
        <v>36774.3</v>
      </c>
      <c r="R418" s="62" t="inlineStr">
        <is>
          <t>derived:price x shares upon listing</t>
        </is>
      </c>
      <c r="S418" s="68" t="n">
        <v>414.24</v>
      </c>
      <c r="T418" s="69" t="n">
        <v>10.68</v>
      </c>
      <c r="U418" s="70" t="n">
        <v>43.02</v>
      </c>
      <c r="V418" s="66" t="n">
        <v>5.7</v>
      </c>
      <c r="W418" s="62" t="inlineStr">
        <is>
          <t>Wind Sabre Fund SPC; Alphahill Capital Limited; CMB International Capital Limited; XN Mountain International Limited; Huatai Capital; Engine International Technology Co., Limited; Duckling Fund, L.P; DeepRoot Alpha Ltd; China Orient Enhanced Income Fund; China Orient Multi-Strategy Master Fund; CFIG Holdings Limited; York House Investment Limited; Wind Sabre Opportunities Fund SP UBS Asset Management</t>
        </is>
      </c>
      <c r="X418" s="62" t="inlineStr">
        <is>
          <t>wind;alphahill;cmb;xn;huatai;engine;duckling;deeproot;orient;cfig;york</t>
        </is>
      </c>
      <c r="Y418" s="66" t="n"/>
      <c r="Z418" s="62" t="n"/>
      <c r="AA418" s="71" t="n">
        <v>8.44</v>
      </c>
      <c r="AB418" s="72" t="n">
        <v>31.54</v>
      </c>
      <c r="AC418" s="72" t="n">
        <v>-17.56</v>
      </c>
      <c r="AD418" s="72" t="n">
        <v>21.72</v>
      </c>
      <c r="AE418" s="72" t="n">
        <v>14.25</v>
      </c>
      <c r="AF418" s="72" t="n">
        <v>156.57</v>
      </c>
      <c r="AG418" s="72" t="n">
        <v>12.25</v>
      </c>
      <c r="AH418" s="72" t="n">
        <v>5.36</v>
      </c>
      <c r="AI418" s="72" t="n">
        <v>136.6</v>
      </c>
      <c r="AJ418" s="72" t="n">
        <v>20.3</v>
      </c>
      <c r="AK418" s="72" t="n">
        <v>21.27</v>
      </c>
      <c r="AL418" s="72" t="n">
        <v>170.99</v>
      </c>
      <c r="AM418" s="72" t="n">
        <v>11.21</v>
      </c>
      <c r="AN418" s="72" t="n">
        <v>-7.02</v>
      </c>
      <c r="AO418" s="72" t="n">
        <v>-5.85</v>
      </c>
      <c r="AP418" s="62" t="inlineStr">
        <is>
          <t>HSTECH (Hang Seng TECH ETF)</t>
        </is>
      </c>
      <c r="AQ418" s="72" t="n">
        <v>164.18</v>
      </c>
      <c r="AR418" s="63" t="inlineStr">
        <is>
          <t>2026-08-20</t>
        </is>
      </c>
      <c r="AS418" s="64" t="n">
        <v>593.5</v>
      </c>
      <c r="AT418" s="67" t="n">
        <v>-1104</v>
      </c>
      <c r="AU418" s="62" t="inlineStr">
        <is>
          <t>N</t>
        </is>
      </c>
      <c r="AV418" s="62" t="inlineStr">
        <is>
          <t>n/m</t>
        </is>
      </c>
      <c r="AW418" s="73" t="n"/>
      <c r="AX418" s="73" t="n"/>
      <c r="AY418" s="73" t="n">
        <v>62</v>
      </c>
      <c r="AZ418" s="74" t="inlineStr">
        <is>
          <t>N</t>
        </is>
      </c>
      <c r="BA418" s="75">
        <f>IF('BBG Verify'!K418="","not filed — run on terminal",'BBG Verify'!K418)</f>
        <v/>
      </c>
      <c r="BB418" s="62" t="inlineStr">
        <is>
          <t>N/A</t>
        </is>
      </c>
      <c r="BC418" s="62" t="inlineStr">
        <is>
          <t>N/A</t>
        </is>
      </c>
      <c r="BD418" s="62" t="inlineStr">
        <is>
          <t>N/A</t>
        </is>
      </c>
      <c r="BE418" s="62" t="inlineStr">
        <is>
          <t>N/A</t>
        </is>
      </c>
      <c r="BF418" s="62" t="inlineStr">
        <is>
          <t>N/A</t>
        </is>
      </c>
      <c r="BG418" s="74" t="inlineStr">
        <is>
          <t>Huatai Financial Holdings (Hong Kong) Limited</t>
        </is>
      </c>
      <c r="BH418" s="62" t="inlineStr">
        <is>
          <t>Huatai Financial Holdings (Hong Kong) Limited</t>
        </is>
      </c>
      <c r="BI418" s="62" t="inlineStr">
        <is>
          <t>Huatai Financial Holdings (Hong Kong) Limited; CMB International Capital Limited; Zhongtai International Securities Limited; Guosen Securities (HK) Brokerage Company, Limited; Bowlea Securities Limited; Carnegie Hill Capital Partners Limited; Star River Securities Limited</t>
        </is>
      </c>
      <c r="BJ418" s="62" t="inlineStr">
        <is>
          <t>Bowlea Securities Limited; Carnegie Hill Capital Partners Limited; CMB International Capital Limited; Guosen Securities (HK) Brokerage Company, Limited; Huatai Financial Holdings (Hong Kong) Limited; Star River Securities Limited; Zhongtai International Securities Limited</t>
        </is>
      </c>
      <c r="BK418" s="76">
        <f>HYPERLINK("https://www1.hkexnews.hk/listedco/listconews/sehk/2025/1230/2025123000019.pdf","prospectus")</f>
        <v/>
      </c>
      <c r="BL418" s="76">
        <f>HYPERLINK("https://www1.hkexnews.hk/listedco/listconews/sehk/2026/0107/2026010701802.pdf","allotment")</f>
        <v/>
      </c>
      <c r="BM418" s="62" t="n"/>
      <c r="BN418" s="74" t="n"/>
      <c r="BO418" s="62" t="inlineStr">
        <is>
          <t>P/E: n/m — loss-making at IPO (use P/S) · greenshoe: no over-allotment option in the offer structure · range low: cap-only pricing — the filing publishes a Maximum Offer Price and no indicative floor · A/H: no A line; closest listed proxy {'code': '688256.SS', 'name': 'Cambricon Technologies', 'rationale': 'Same domestic AI-accelerator substitution theme; Cambricon is the only liquid A pure-play.'} · greenshoe size: no over-allotment option in the offer structure</t>
        </is>
      </c>
    </row>
    <row r="419" ht="15" customHeight="1">
      <c r="A419" s="61" t="inlineStr">
        <is>
          <t>2675</t>
        </is>
      </c>
      <c r="B419" s="62" t="inlineStr">
        <is>
          <t>EDGE MEDICAL-B</t>
        </is>
      </c>
      <c r="C419" s="62" t="inlineStr">
        <is>
          <t>精鋒醫療－Ｂ</t>
        </is>
      </c>
      <c r="D419" s="62" t="inlineStr">
        <is>
          <t>Healthcare</t>
        </is>
      </c>
      <c r="E419" s="62" t="inlineStr">
        <is>
          <t>Medical devices</t>
        </is>
      </c>
      <c r="F419" s="62" t="inlineStr">
        <is>
          <t>Biotechnology - Medical Devices</t>
        </is>
      </c>
      <c r="G419" s="62" t="inlineStr">
        <is>
          <t>18A</t>
        </is>
      </c>
      <c r="H419" s="63" t="n">
        <v>46030</v>
      </c>
      <c r="I419" s="64" t="n">
        <v>1198.7</v>
      </c>
      <c r="J419" s="62" t="inlineStr">
        <is>
          <t>gross (stated)</t>
        </is>
      </c>
      <c r="K419" s="65" t="n"/>
      <c r="L419" s="65" t="n">
        <v>43.24</v>
      </c>
      <c r="M419" s="65" t="n">
        <v>43.24</v>
      </c>
      <c r="N419" s="62" t="inlineStr">
        <is>
          <t>Y</t>
        </is>
      </c>
      <c r="O419" s="66" t="n">
        <v>100</v>
      </c>
      <c r="P419" s="66" t="n"/>
      <c r="Q419" s="67" t="n">
        <v>16765.1</v>
      </c>
      <c r="R419" s="62" t="inlineStr">
        <is>
          <t>derived:price x shares upon listing</t>
        </is>
      </c>
      <c r="S419" s="68" t="n">
        <v>1091.94</v>
      </c>
      <c r="T419" s="69" t="n">
        <v>25.18</v>
      </c>
      <c r="U419" s="70" t="n">
        <v>48.68</v>
      </c>
      <c r="V419" s="66" t="n">
        <v>3.67</v>
      </c>
      <c r="W419" s="62" t="inlineStr">
        <is>
          <t>Abu Dhabi Investment Authority; OrbiMed Genesis Master Fund, L.P; Huang River Investment Limited; LYFE Capital Fund IV (Dragon), L.P.; Poly Platinum Enterprises Limited; Mega Prime Development Limited; China Asset Management (Hong Kong) Limited; China Alpha Fund Management (HK) Ltd; Tekful Limited; Integrated Core Strategies (Asia) Pte. Ltd; Sage Partners Master Fund; Panjing Harbourview Investment Fund; Infini Global Master Fund</t>
        </is>
      </c>
      <c r="X419" s="62" t="inlineStr">
        <is>
          <t>abu;orbimed;huang-river;lyfe;poly;mega;china-asset;alpha;tekful;integrated;sage;panjing;infini</t>
        </is>
      </c>
      <c r="Y419" s="66" t="n">
        <v>15</v>
      </c>
      <c r="Z419" s="62" t="inlineStr">
        <is>
          <t>full</t>
        </is>
      </c>
      <c r="AA419" s="71" t="n">
        <v>30.9</v>
      </c>
      <c r="AB419" s="72" t="n">
        <v>36.45</v>
      </c>
      <c r="AC419" s="72" t="n">
        <v>-4.07</v>
      </c>
      <c r="AD419" s="72" t="n">
        <v>55.53</v>
      </c>
      <c r="AE419" s="72" t="n">
        <v>37.72</v>
      </c>
      <c r="AF419" s="72" t="n">
        <v>24.88</v>
      </c>
      <c r="AG419" s="72" t="n">
        <v>18.82</v>
      </c>
      <c r="AH419" s="72" t="n">
        <v>5.21</v>
      </c>
      <c r="AI419" s="72" t="n">
        <v>-4.6</v>
      </c>
      <c r="AJ419" s="72" t="n">
        <v>54.65</v>
      </c>
      <c r="AK419" s="72" t="n">
        <v>44.87</v>
      </c>
      <c r="AL419" s="72" t="n">
        <v>14.69</v>
      </c>
      <c r="AM419" s="72" t="n">
        <v>11.68</v>
      </c>
      <c r="AN419" s="72" t="n">
        <v>-7.15</v>
      </c>
      <c r="AO419" s="72" t="n">
        <v>-6.47</v>
      </c>
      <c r="AP419" s="62" t="inlineStr">
        <is>
          <t>China Biotech ETF (HS biotech proxy)</t>
        </is>
      </c>
      <c r="AQ419" s="72" t="n">
        <v>-15.36</v>
      </c>
      <c r="AR419" s="63" t="inlineStr">
        <is>
          <t>2026-08-20</t>
        </is>
      </c>
      <c r="AS419" s="64" t="n">
        <v>33.3</v>
      </c>
      <c r="AT419" s="67" t="n">
        <v>-145.8</v>
      </c>
      <c r="AU419" s="62" t="inlineStr">
        <is>
          <t>N</t>
        </is>
      </c>
      <c r="AV419" s="62" t="inlineStr">
        <is>
          <t>n/m</t>
        </is>
      </c>
      <c r="AW419" s="73" t="n"/>
      <c r="AX419" s="73" t="n"/>
      <c r="AY419" s="73" t="n">
        <v>503.5</v>
      </c>
      <c r="AZ419" s="74" t="inlineStr">
        <is>
          <t>N</t>
        </is>
      </c>
      <c r="BA419" s="75">
        <f>IF('BBG Verify'!K419="","not filed — run on terminal",'BBG Verify'!K419)</f>
        <v/>
      </c>
      <c r="BB419" s="62" t="inlineStr">
        <is>
          <t>N/A</t>
        </is>
      </c>
      <c r="BC419" s="62" t="inlineStr">
        <is>
          <t>N/A</t>
        </is>
      </c>
      <c r="BD419" s="62" t="inlineStr">
        <is>
          <t>N/A</t>
        </is>
      </c>
      <c r="BE419" s="62" t="inlineStr">
        <is>
          <t>N/A</t>
        </is>
      </c>
      <c r="BF419" s="62" t="inlineStr">
        <is>
          <t>N/A</t>
        </is>
      </c>
      <c r="BG419" s="74" t="inlineStr">
        <is>
          <t>Morgan Stanley Asia Limited; GF Capital (Hong Kong) Limited</t>
        </is>
      </c>
      <c r="BH419" s="62" t="inlineStr">
        <is>
          <t>Morgan Stanley Asia Limited; GF Capital (Hong Kong) Limited</t>
        </is>
      </c>
      <c r="BI419" s="62" t="inlineStr">
        <is>
          <t>China International Capital Corporation Hong Kong Securities Limited; CLSA Limited; CMBC Securities Company Limited; GF Securities (Hong Kong) Brokerage Limited; Morgan Stanley Asia Limited</t>
        </is>
      </c>
      <c r="BJ419" s="62" t="inlineStr">
        <is>
          <t>China International Capital Corporation Hong Kong Securities Limited; CLSA Limited; CMBC Securities Company Limited; GF Securities (Hong Kong) Brokerage Limited; Morgan Stanley Asia Limited</t>
        </is>
      </c>
      <c r="BK419" s="76">
        <f>HYPERLINK("https://www1.hkexnews.hk/listedco/listconews/sehk/2025/1230/2025123000029.pdf","prospectus")</f>
        <v/>
      </c>
      <c r="BL419" s="76">
        <f>HYPERLINK("https://www1.hkexnews.hk/listedco/listconews/sehk/2026/0107/2026010701900.pdf","allotment")</f>
        <v/>
      </c>
      <c r="BM419" s="76">
        <f>HYPERLINK("https://www1.hkexnews.hk/listedco/listconews/sehk/2026/0204/2026020402144.pdf","stabilisation")</f>
        <v/>
      </c>
      <c r="BN419" s="74" t="n"/>
      <c r="BO419" s="62" t="inlineStr">
        <is>
          <t>P/E: n/m — loss-making at IPO (use P/S) · range low: cap-only pricing — the filing publishes a Maximum Offer Price and no indicative floor · A/H: no A-share listing · P/S: 504x on HK$33.3m revenue — effectively pre-revenue; the multiple is shown for completeness, not comparability</t>
        </is>
      </c>
    </row>
    <row r="420" ht="15" customHeight="1">
      <c r="A420" s="61" t="inlineStr">
        <is>
          <t>0100</t>
        </is>
      </c>
      <c r="B420" s="62" t="inlineStr">
        <is>
          <t>MINIMAX-WP</t>
        </is>
      </c>
      <c r="C420" s="62" t="inlineStr">
        <is>
          <t>MINIMAX-W</t>
        </is>
      </c>
      <c r="D420" s="62" t="inlineStr">
        <is>
          <t>Tech/AI</t>
        </is>
      </c>
      <c r="E420" s="62" t="inlineStr">
        <is>
          <t>LLM / foundation model</t>
        </is>
      </c>
      <c r="F420" s="62" t="inlineStr">
        <is>
          <t>Next-generation information technology</t>
        </is>
      </c>
      <c r="G420" s="62" t="inlineStr">
        <is>
          <t>WVR + 18C</t>
        </is>
      </c>
      <c r="H420" s="63" t="n">
        <v>46031</v>
      </c>
      <c r="I420" s="64" t="n">
        <v>4817.6</v>
      </c>
      <c r="J420" s="62" t="inlineStr">
        <is>
          <t>gross (stated)</t>
        </is>
      </c>
      <c r="K420" s="65" t="n">
        <v>151</v>
      </c>
      <c r="L420" s="65" t="n">
        <v>165</v>
      </c>
      <c r="M420" s="65" t="n">
        <v>165</v>
      </c>
      <c r="N420" s="62" t="inlineStr">
        <is>
          <t>Y</t>
        </is>
      </c>
      <c r="O420" s="66" t="n">
        <v>100</v>
      </c>
      <c r="P420" s="66" t="n">
        <v>100</v>
      </c>
      <c r="Q420" s="67" t="n">
        <v>51251.1</v>
      </c>
      <c r="R420" s="62" t="inlineStr">
        <is>
          <t>derived:deal size / offer % of enlarged capital</t>
        </is>
      </c>
      <c r="S420" s="68" t="n">
        <v>1837.17</v>
      </c>
      <c r="T420" s="69" t="n">
        <v>36.76</v>
      </c>
      <c r="U420" s="70" t="n">
        <v>56.53</v>
      </c>
      <c r="V420" s="66" t="n">
        <v>4.09</v>
      </c>
      <c r="W420" s="62" t="inlineStr">
        <is>
          <t>Authority; Aspex Master Fund; Abstract Enigma Limited; Universal (HK)); Martis Fund, L.P; MPC VII Pte. Ltd; (Perseverance; Alisoft China</t>
        </is>
      </c>
      <c r="X420" s="62" t="inlineStr">
        <is>
          <t>authority;aspex;abstract;universal;martis;mpc;perseverance;alisoft</t>
        </is>
      </c>
      <c r="Y420" s="66" t="n">
        <v>15</v>
      </c>
      <c r="Z420" s="62" t="n"/>
      <c r="AA420" s="71" t="n">
        <v>109.09</v>
      </c>
      <c r="AB420" s="72" t="n">
        <v>42.67</v>
      </c>
      <c r="AC420" s="72" t="n">
        <v>46.55</v>
      </c>
      <c r="AD420" s="72" t="n">
        <v>165.45</v>
      </c>
      <c r="AE420" s="72" t="n">
        <v>212.12</v>
      </c>
      <c r="AF420" s="72" t="n">
        <v>445.76</v>
      </c>
      <c r="AG420" s="72" t="n">
        <v>26.95</v>
      </c>
      <c r="AH420" s="72" t="n">
        <v>49.28</v>
      </c>
      <c r="AI420" s="72" t="n">
        <v>161.02</v>
      </c>
      <c r="AJ420" s="72" t="n">
        <v>162.84</v>
      </c>
      <c r="AK420" s="72" t="n">
        <v>216.71</v>
      </c>
      <c r="AL420" s="72" t="n">
        <v>455.86</v>
      </c>
      <c r="AM420" s="72" t="n">
        <v>54.04</v>
      </c>
      <c r="AN420" s="72" t="n">
        <v>-4.59</v>
      </c>
      <c r="AO420" s="72" t="n">
        <v>-4.76</v>
      </c>
      <c r="AP420" s="62" t="inlineStr">
        <is>
          <t>HSTECH (Hang Seng TECH ETF)</t>
        </is>
      </c>
      <c r="AQ420" s="72" t="n">
        <v>88.12</v>
      </c>
      <c r="AR420" s="63" t="inlineStr">
        <is>
          <t>2026-08-20</t>
        </is>
      </c>
      <c r="AS420" s="64" t="n">
        <v>616.2</v>
      </c>
      <c r="AT420" s="67" t="n">
        <v>-14598.6</v>
      </c>
      <c r="AU420" s="62" t="inlineStr">
        <is>
          <t>N</t>
        </is>
      </c>
      <c r="AV420" s="62" t="inlineStr">
        <is>
          <t>n/m</t>
        </is>
      </c>
      <c r="AW420" s="73" t="n"/>
      <c r="AX420" s="73" t="n"/>
      <c r="AY420" s="73" t="n">
        <v>83.2</v>
      </c>
      <c r="AZ420" s="74" t="inlineStr">
        <is>
          <t>N</t>
        </is>
      </c>
      <c r="BA420" s="75">
        <f>IF('BBG Verify'!K420="","not filed — run on terminal",'BBG Verify'!K420)</f>
        <v/>
      </c>
      <c r="BB420" s="62" t="inlineStr">
        <is>
          <t>N/A</t>
        </is>
      </c>
      <c r="BC420" s="62" t="inlineStr">
        <is>
          <t>N/A</t>
        </is>
      </c>
      <c r="BD420" s="62" t="inlineStr">
        <is>
          <t>N/A</t>
        </is>
      </c>
      <c r="BE420" s="62" t="inlineStr">
        <is>
          <t>N/A</t>
        </is>
      </c>
      <c r="BF420" s="62" t="inlineStr">
        <is>
          <t>N/A</t>
        </is>
      </c>
      <c r="BG420" s="74" t="inlineStr">
        <is>
          <t>China International Capital Corporation Hong Kong Securities Limited; UBS Securities Hong Kong Limited</t>
        </is>
      </c>
      <c r="BH420" s="62" t="inlineStr">
        <is>
          <t>China International Capital Corporation Hong Kong Securities Limited; UBS Securities Hong Kong Limited</t>
        </is>
      </c>
      <c r="BI420" s="62" t="inlineStr">
        <is>
          <t>China International Capital Corporation Hong Kong Securities Limited; UBS AG Hong Kong Branch; Goldman Sachs (Asia) L.L.C; Morgan Stanley Asia Limited; Futu Securities International (Hong Kong) Limited; Tiger Brokers (HK) Global Limited</t>
        </is>
      </c>
      <c r="BJ420" s="62" t="inlineStr">
        <is>
          <t>China International Capital Corporation Hong Kong Securities Limited; Futu Securities International (Hong Kong) Limited; Goldman Sachs (Asia) L.L.C.; Morgan Stanley Asia Limited; Tiger Brokers (HK) Global Limited; UBS AG Hong Kong Branch</t>
        </is>
      </c>
      <c r="BK420" s="76">
        <f>HYPERLINK("https://www1.hkexnews.hk/listedco/listconews/sehk/2025/1231/2025123100025.pdf","prospectus")</f>
        <v/>
      </c>
      <c r="BL420" s="76">
        <f>HYPERLINK("https://www1.hkexnews.hk/listedco/listconews/sehk/2026/0108/2026010801342.pdf","allotment")</f>
        <v/>
      </c>
      <c r="BM420" s="62" t="n"/>
      <c r="BN420" s="74" t="n"/>
      <c r="BO420" s="62" t="inlineStr">
        <is>
          <t>P/E: n/m — loss-making at IPO (use P/S) · greenshoe: end-of-stabilisation notice not located · A/H: no A line; closest listed proxy {'code': '300418.SZ', 'name': 'Kunlun Tech', 'rationale': 'Owns the in-house Skywork/Tiangong LLM family — the nearest A-share to a pure LLM-developer exposure.'}</t>
        </is>
      </c>
    </row>
    <row r="421" ht="15" customHeight="1">
      <c r="A421" s="61" t="inlineStr">
        <is>
          <t>6938</t>
        </is>
      </c>
      <c r="B421" s="62" t="inlineStr">
        <is>
          <t>RIBOLIFE-B</t>
        </is>
      </c>
      <c r="C421" s="62" t="inlineStr">
        <is>
          <t>瑞博生物－Ｂ</t>
        </is>
      </c>
      <c r="D421" s="62" t="inlineStr">
        <is>
          <t>Healthcare</t>
        </is>
      </c>
      <c r="E421" s="62" t="inlineStr">
        <is>
          <t>Biotech pre-revenue (18A)</t>
        </is>
      </c>
      <c r="F421" s="62" t="inlineStr">
        <is>
          <t>Biotechnology - Pharmaceuticals</t>
        </is>
      </c>
      <c r="G421" s="62" t="inlineStr">
        <is>
          <t>18A</t>
        </is>
      </c>
      <c r="H421" s="63" t="n">
        <v>46031</v>
      </c>
      <c r="I421" s="64" t="n">
        <v>1832.45</v>
      </c>
      <c r="J421" s="62" t="inlineStr">
        <is>
          <t>gross (stated)</t>
        </is>
      </c>
      <c r="K421" s="65" t="n"/>
      <c r="L421" s="65" t="n">
        <v>57.97</v>
      </c>
      <c r="M421" s="65" t="n">
        <v>57.97</v>
      </c>
      <c r="N421" s="62" t="inlineStr">
        <is>
          <t>Y</t>
        </is>
      </c>
      <c r="O421" s="66" t="n">
        <v>100</v>
      </c>
      <c r="P421" s="66" t="n"/>
      <c r="Q421" s="67" t="n">
        <v>9373.200000000001</v>
      </c>
      <c r="R421" s="62" t="inlineStr">
        <is>
          <t>prospectus:stated market capitalisation</t>
        </is>
      </c>
      <c r="S421" s="68" t="n">
        <v>101.06</v>
      </c>
      <c r="T421" s="69" t="n">
        <v>16.7</v>
      </c>
      <c r="U421" s="70" t="n">
        <v>42.5</v>
      </c>
      <c r="V421" s="66" t="n">
        <v>11.24</v>
      </c>
      <c r="W421" s="62" t="inlineStr">
        <is>
          <t>Arc Avenue Asset Management Pte. Ltd; Bright Stone Holdings Limited; China Asset Management Co., Ltd; Erik Selin Fastigheter Aktiebolag; Himension Fund; Mingxin Growth Ventures LS2 Limited; Springs Capital (Hong Kong) Limited; Taikang Life Insurance Co., Ltd; William WONG ( ˮጳ਷); Worldstar Global Holdings Limited; Blue Bay Healthcare Anchor Fund SPC; ABCI Asset Management Limited; ICBC UBS Asset Management Co., Ltd; Fullgoal Fund Management Co., Ltd; Wise Vigour Limited</t>
        </is>
      </c>
      <c r="X421" s="62" t="inlineStr">
        <is>
          <t>arc;bright;china-asset;erik;himension;mingxin;springs;taikang;william;worldstar;blue;agricultural;icbc;fullgoal;wise</t>
        </is>
      </c>
      <c r="Y421" s="66" t="n">
        <v>15</v>
      </c>
      <c r="Z421" s="62" t="inlineStr">
        <is>
          <t>full</t>
        </is>
      </c>
      <c r="AA421" s="71" t="n">
        <v>41.62</v>
      </c>
      <c r="AB421" s="72" t="n">
        <v>29.38</v>
      </c>
      <c r="AC421" s="72" t="n">
        <v>9.460000000000001</v>
      </c>
      <c r="AD421" s="72" t="n">
        <v>30.76</v>
      </c>
      <c r="AE421" s="72" t="n">
        <v>18.25</v>
      </c>
      <c r="AF421" s="72" t="n">
        <v>14.63</v>
      </c>
      <c r="AG421" s="72" t="n">
        <v>-7.67</v>
      </c>
      <c r="AH421" s="72" t="n">
        <v>-16.5</v>
      </c>
      <c r="AI421" s="72" t="n">
        <v>-19.06</v>
      </c>
      <c r="AJ421" s="72" t="n">
        <v>29.59</v>
      </c>
      <c r="AK421" s="72" t="n">
        <v>23.78</v>
      </c>
      <c r="AL421" s="72" t="n">
        <v>2.94</v>
      </c>
      <c r="AM421" s="72" t="n">
        <v>-9.67</v>
      </c>
      <c r="AN421" s="72" t="n">
        <v>-5.53</v>
      </c>
      <c r="AO421" s="72" t="n">
        <v>-6.83</v>
      </c>
      <c r="AP421" s="62" t="inlineStr">
        <is>
          <t>China Biotech ETF (HS biotech proxy)</t>
        </is>
      </c>
      <c r="AQ421" s="72" t="n">
        <v>-11.16</v>
      </c>
      <c r="AR421" s="63" t="inlineStr">
        <is>
          <t>2026-08-20</t>
        </is>
      </c>
      <c r="AS421" s="64" t="n">
        <v>72.90000000000001</v>
      </c>
      <c r="AT421" s="67" t="n">
        <v>-155.7</v>
      </c>
      <c r="AU421" s="62" t="inlineStr">
        <is>
          <t>N</t>
        </is>
      </c>
      <c r="AV421" s="62" t="inlineStr">
        <is>
          <t>n/m</t>
        </is>
      </c>
      <c r="AW421" s="73" t="n"/>
      <c r="AX421" s="73" t="n"/>
      <c r="AY421" s="73" t="n">
        <v>128.6</v>
      </c>
      <c r="AZ421" s="74" t="inlineStr">
        <is>
          <t>N</t>
        </is>
      </c>
      <c r="BA421" s="75">
        <f>IF('BBG Verify'!K421="","not filed — run on terminal",'BBG Verify'!K421)</f>
        <v/>
      </c>
      <c r="BB421" s="62" t="inlineStr">
        <is>
          <t>N/A</t>
        </is>
      </c>
      <c r="BC421" s="62" t="inlineStr">
        <is>
          <t>N/A</t>
        </is>
      </c>
      <c r="BD421" s="62" t="inlineStr">
        <is>
          <t>N/A</t>
        </is>
      </c>
      <c r="BE421" s="62" t="inlineStr">
        <is>
          <t>N/A</t>
        </is>
      </c>
      <c r="BF421" s="62" t="inlineStr">
        <is>
          <t>N/A</t>
        </is>
      </c>
      <c r="BG421" s="74" t="inlineStr">
        <is>
          <t>Citigroup Global Markets Asia Limited</t>
        </is>
      </c>
      <c r="BH421" s="62" t="inlineStr">
        <is>
          <t>China International Capital Corporation Hong Kong Securities Limited; Citigroup Global Markets Asia Limited</t>
        </is>
      </c>
      <c r="BI421" s="62" t="inlineStr">
        <is>
          <t>China International Capital Corporation Hong Kong Securities Limited; Citigroup Global Markets Asia Limited; ICBC International Securities Limited; BOCI Asia Limited; Macquarie Capital Limited; ABCI Capital Limited; SDIC Securities (Hong Kong) Limited; Citigroup Global Markets Limited; Canary Wharf London E14 5LB United Kingdom ICBC International Securities Limited; Futu Securities International (Hong Kong) Limited</t>
        </is>
      </c>
      <c r="BJ421" s="62" t="inlineStr">
        <is>
          <t>ABCI Securities Company Limited; BOCI Asia Limited; Citigroup Global Markets Asia Limited; China International Capital Corporation Hong Kong Securities Limited; Futu Securities International (Hong Kong) Limited; ICBC International Securities Limited; Macquarie Capital Limited; SDIC Securities (Hong Kong) Limited</t>
        </is>
      </c>
      <c r="BK421" s="76">
        <f>HYPERLINK("https://www1.hkexnews.hk/listedco/listconews/sehk/2025/1231/2025123100037.pdf","prospectus")</f>
        <v/>
      </c>
      <c r="BL421" s="76">
        <f>HYPERLINK("https://www1.hkexnews.hk/listedco/listconews/sehk/2026/0108/2026010801352.pdf","allotment")</f>
        <v/>
      </c>
      <c r="BM421" s="76">
        <f>HYPERLINK("https://www1.hkexnews.hk/listedco/listconews/sehk/2026/0205/2026020502414.pdf","stabilisation")</f>
        <v/>
      </c>
      <c r="BN421" s="74" t="n"/>
      <c r="BO421" s="62" t="inlineStr">
        <is>
          <t>P/E: n/m — loss-making at IPO (use P/S) · range low: cap-only pricing — the filing publishes a Maximum Offer Price and no indicative floor · A/H: no A-share listing</t>
        </is>
      </c>
    </row>
    <row r="422" ht="15" customHeight="1">
      <c r="A422" s="61" t="inlineStr">
        <is>
          <t>3636</t>
        </is>
      </c>
      <c r="B422" s="62" t="inlineStr">
        <is>
          <t>JINXUN RESOURCE</t>
        </is>
      </c>
      <c r="C422" s="62" t="inlineStr">
        <is>
          <t>金潯資源</t>
        </is>
      </c>
      <c r="D422" s="62" t="inlineStr">
        <is>
          <t>Materials/Energy</t>
        </is>
      </c>
      <c r="E422" s="62" t="inlineStr">
        <is>
          <t>Mining / metals</t>
        </is>
      </c>
      <c r="F422" s="62" t="inlineStr">
        <is>
          <t>Diversified Metals &amp; Minerals</t>
        </is>
      </c>
      <c r="G422" s="62" t="inlineStr">
        <is>
          <t>Standard</t>
        </is>
      </c>
      <c r="H422" s="63" t="n">
        <v>46031</v>
      </c>
      <c r="I422" s="64" t="n">
        <v>1102.97</v>
      </c>
      <c r="J422" s="62" t="inlineStr">
        <is>
          <t>gross (stated)</t>
        </is>
      </c>
      <c r="K422" s="65" t="n"/>
      <c r="L422" s="65" t="n">
        <v>30</v>
      </c>
      <c r="M422" s="65" t="n">
        <v>30</v>
      </c>
      <c r="N422" s="62" t="inlineStr">
        <is>
          <t>Y</t>
        </is>
      </c>
      <c r="O422" s="66" t="n">
        <v>100</v>
      </c>
      <c r="P422" s="66" t="n"/>
      <c r="Q422" s="67" t="n">
        <v>3981.8</v>
      </c>
      <c r="R422" s="62" t="inlineStr">
        <is>
          <t>derived:deal size / offer % of enlarged capital</t>
        </is>
      </c>
      <c r="S422" s="68" t="n">
        <v>143.46</v>
      </c>
      <c r="T422" s="69" t="n">
        <v>12.78</v>
      </c>
      <c r="U422" s="70" t="n">
        <v>42.5</v>
      </c>
      <c r="V422" s="66" t="n">
        <v>15.93</v>
      </c>
      <c r="W422" s="62" t="inlineStr">
        <is>
          <t>Glencore International AG; Stoneylake Global Alpha Fund; Zhengxin Group Investment Limited; China Asset Management (Hong Kong) Limited; New Asia Ferrell Asset Management Limited; Bridge Zone Group Limited</t>
        </is>
      </c>
      <c r="X422" s="62" t="inlineStr">
        <is>
          <t>glencore;stoneylake;zhengxin;china-asset;new-ferrell;bridge</t>
        </is>
      </c>
      <c r="Y422" s="66" t="n">
        <v>15</v>
      </c>
      <c r="Z422" s="62" t="n"/>
      <c r="AA422" s="71" t="n">
        <v>26</v>
      </c>
      <c r="AB422" s="72" t="n">
        <v>26.67</v>
      </c>
      <c r="AC422" s="72" t="n">
        <v>-0.53</v>
      </c>
      <c r="AD422" s="72" t="n">
        <v>31.27</v>
      </c>
      <c r="AE422" s="72" t="n">
        <v>25.53</v>
      </c>
      <c r="AF422" s="72" t="n">
        <v>-12.67</v>
      </c>
      <c r="AG422" s="72" t="n">
        <v>4.18</v>
      </c>
      <c r="AH422" s="72" t="n">
        <v>-0.37</v>
      </c>
      <c r="AI422" s="72" t="n">
        <v>-30.69</v>
      </c>
      <c r="AJ422" s="72" t="n">
        <v>28.08</v>
      </c>
      <c r="AK422" s="72" t="n">
        <v>24.65</v>
      </c>
      <c r="AL422" s="72" t="n">
        <v>-9.619999999999999</v>
      </c>
      <c r="AM422" s="72" t="n">
        <v>-0.86</v>
      </c>
      <c r="AN422" s="72" t="n">
        <v>0.88</v>
      </c>
      <c r="AO422" s="72" t="n">
        <v>0.49</v>
      </c>
      <c r="AP422" s="62" t="inlineStr">
        <is>
          <t>Hang Seng Commerce &amp; Industry sub-index</t>
        </is>
      </c>
      <c r="AQ422" s="72" t="n">
        <v>-38.83</v>
      </c>
      <c r="AR422" s="63" t="inlineStr">
        <is>
          <t>2026-08-20</t>
        </is>
      </c>
      <c r="AS422" s="64" t="n">
        <v>1946.8</v>
      </c>
      <c r="AT422" s="67" t="n">
        <v>222.7</v>
      </c>
      <c r="AU422" s="62" t="inlineStr">
        <is>
          <t>Y</t>
        </is>
      </c>
      <c r="AV422" s="73" t="n">
        <v>17.9</v>
      </c>
      <c r="AW422" s="73" t="n">
        <v>11.4</v>
      </c>
      <c r="AX422" s="73" t="n">
        <v>5</v>
      </c>
      <c r="AY422" s="73" t="n">
        <v>2</v>
      </c>
      <c r="AZ422" s="74" t="inlineStr">
        <is>
          <t>N</t>
        </is>
      </c>
      <c r="BA422" s="75">
        <f>IF('BBG Verify'!K422="","not filed — run on terminal",'BBG Verify'!K422)</f>
        <v/>
      </c>
      <c r="BB422" s="62" t="inlineStr">
        <is>
          <t>N/A</t>
        </is>
      </c>
      <c r="BC422" s="62" t="inlineStr">
        <is>
          <t>N/A</t>
        </is>
      </c>
      <c r="BD422" s="62" t="inlineStr">
        <is>
          <t>N/A</t>
        </is>
      </c>
      <c r="BE422" s="62" t="inlineStr">
        <is>
          <t>N/A</t>
        </is>
      </c>
      <c r="BF422" s="62" t="inlineStr">
        <is>
          <t>N/A</t>
        </is>
      </c>
      <c r="BG422" s="74" t="inlineStr">
        <is>
          <t>Huatai Financial Holdings (Hong Kong) Limited</t>
        </is>
      </c>
      <c r="BH422" s="62" t="inlineStr">
        <is>
          <t>Huatai Financial Holdings (Hong Kong) Limited</t>
        </is>
      </c>
      <c r="BI422" s="62" t="inlineStr">
        <is>
          <t>ABCI Capital Limited; ABCI Securities Company Limited</t>
        </is>
      </c>
      <c r="BJ422" s="62" t="inlineStr">
        <is>
          <t>ABCI Securities Company Limited; BOCI Asia Limited; CLSA Limited; Futu Securities International (Hong Kong) Limited; Huatai Financial Holdings (Hong Kong) Limited; Tiger Brokers (HK) Global Limited; TFI Securities and Futures Limited; UOB Kay Hian (Hong Kong) Limited</t>
        </is>
      </c>
      <c r="BK422" s="76">
        <f>HYPERLINK("https://www1.hkexnews.hk/listedco/listconews/sehk/2025/1231/2025123100041.pdf","prospectus")</f>
        <v/>
      </c>
      <c r="BL422" s="76">
        <f>HYPERLINK("https://www1.hkexnews.hk/listedco/listconews/sehk/2026/0108/2026010801368.pdf","allotment")</f>
        <v/>
      </c>
      <c r="BM422" s="62" t="n"/>
      <c r="BN422" s="74" t="n"/>
      <c r="BO422" s="62" t="inlineStr">
        <is>
          <t>greenshoe: end-of-stabilisation notice not located · range low: cap-only pricing — the filing publishes a Maximum Offer Price and no indicative floor · A/H: no A-share listing</t>
        </is>
      </c>
    </row>
    <row r="423" ht="15" customHeight="1">
      <c r="A423" s="61" t="inlineStr">
        <is>
          <t>0501</t>
        </is>
      </c>
      <c r="B423" s="62" t="inlineStr">
        <is>
          <t>OMNIVISION</t>
        </is>
      </c>
      <c r="C423" s="62" t="inlineStr">
        <is>
          <t>豪威集團</t>
        </is>
      </c>
      <c r="D423" s="62" t="inlineStr">
        <is>
          <t>Tech/AI</t>
        </is>
      </c>
      <c r="E423" s="62" t="inlineStr">
        <is>
          <t>AI chips &amp; semis</t>
        </is>
      </c>
      <c r="F423" s="62" t="inlineStr">
        <is>
          <t>Semiconductors &amp; Semiconductor Equipment</t>
        </is>
      </c>
      <c r="G423" s="62" t="inlineStr">
        <is>
          <t>Standard</t>
        </is>
      </c>
      <c r="H423" s="63" t="n">
        <v>46034</v>
      </c>
      <c r="I423" s="64" t="n">
        <v>4799.8</v>
      </c>
      <c r="J423" s="62" t="inlineStr">
        <is>
          <t>gross (stated)</t>
        </is>
      </c>
      <c r="K423" s="65" t="n"/>
      <c r="L423" s="65" t="n">
        <v>104.8</v>
      </c>
      <c r="M423" s="65" t="n">
        <v>104.8</v>
      </c>
      <c r="N423" s="62" t="inlineStr">
        <is>
          <t>Y</t>
        </is>
      </c>
      <c r="O423" s="66" t="n">
        <v>100</v>
      </c>
      <c r="P423" s="66" t="n"/>
      <c r="Q423" s="67" t="n">
        <v>115103.1</v>
      </c>
      <c r="R423" s="62" t="inlineStr">
        <is>
          <t>derived:deal size / offer % of enlarged capital</t>
        </is>
      </c>
      <c r="S423" s="68" t="n">
        <v>9.279999999999999</v>
      </c>
      <c r="T423" s="69" t="n">
        <v>9.73</v>
      </c>
      <c r="U423" s="70" t="n">
        <v>45.28</v>
      </c>
      <c r="V423" s="66" t="n">
        <v>2.28</v>
      </c>
      <c r="W423" s="62" t="inlineStr">
        <is>
          <t>Boyu Capital; UBS Asset Management; UG Investment; Huaqin (HK); OPPO (Tiantian Trading); Dajia Life Insurance Co., Ltd; China Post Wealth Management; Ghisallo</t>
        </is>
      </c>
      <c r="X423" s="62" t="inlineStr">
        <is>
          <t>boyu;ubs;ug;huaqin;oppo;dajia;post;ghisallo</t>
        </is>
      </c>
      <c r="Y423" s="66" t="n">
        <v>5.91</v>
      </c>
      <c r="Z423" s="62" t="n"/>
      <c r="AA423" s="71" t="n">
        <v>16.22</v>
      </c>
      <c r="AB423" s="72" t="n">
        <v>3.05</v>
      </c>
      <c r="AC423" s="72" t="n">
        <v>12.78</v>
      </c>
      <c r="AD423" s="72" t="n">
        <v>11.16</v>
      </c>
      <c r="AE423" s="72" t="n">
        <v>-0.1</v>
      </c>
      <c r="AF423" s="72" t="n">
        <v>-25.05</v>
      </c>
      <c r="AG423" s="72" t="n">
        <v>-4.35</v>
      </c>
      <c r="AH423" s="72" t="n">
        <v>-14.04</v>
      </c>
      <c r="AI423" s="72" t="n">
        <v>-35.51</v>
      </c>
      <c r="AJ423" s="72" t="n">
        <v>9.99</v>
      </c>
      <c r="AK423" s="72" t="n">
        <v>4.21</v>
      </c>
      <c r="AL423" s="72" t="n">
        <v>-13.75</v>
      </c>
      <c r="AM423" s="72" t="n">
        <v>-6.82</v>
      </c>
      <c r="AN423" s="72" t="n">
        <v>-4.31</v>
      </c>
      <c r="AO423" s="72" t="n">
        <v>-7.22</v>
      </c>
      <c r="AP423" s="62" t="inlineStr">
        <is>
          <t>HSTECH (Hang Seng TECH ETF)</t>
        </is>
      </c>
      <c r="AQ423" s="72" t="n">
        <v>-30.68</v>
      </c>
      <c r="AR423" s="63" t="inlineStr">
        <is>
          <t>2026-08-24</t>
        </is>
      </c>
      <c r="AS423" s="64" t="n">
        <v>28277.5</v>
      </c>
      <c r="AT423" s="67" t="n">
        <v>4450</v>
      </c>
      <c r="AU423" s="62" t="inlineStr">
        <is>
          <t>Y</t>
        </is>
      </c>
      <c r="AV423" s="73" t="n">
        <v>25.9</v>
      </c>
      <c r="AW423" s="73" t="n"/>
      <c r="AX423" s="73" t="n"/>
      <c r="AY423" s="73" t="n">
        <v>4.1</v>
      </c>
      <c r="AZ423" s="74" t="inlineStr">
        <is>
          <t>Y</t>
        </is>
      </c>
      <c r="BA423" s="62" t="inlineStr">
        <is>
          <t>603501.SS</t>
        </is>
      </c>
      <c r="BB423" s="72" t="n">
        <v>40</v>
      </c>
      <c r="BC423" s="65" t="n">
        <v>146.7186</v>
      </c>
      <c r="BD423" s="79" t="n">
        <v>0.3247</v>
      </c>
      <c r="BE423" s="77">
        <f>IF('BBG Verify'!Q423="","run on terminal",'BBG Verify'!Q423)</f>
        <v/>
      </c>
      <c r="BF423" s="77">
        <f>IF('BBG Verify'!R423="","run on terminal",'BBG Verify'!R423)</f>
        <v/>
      </c>
      <c r="BG423" s="74" t="inlineStr">
        <is>
          <t>UBS Securities Hong Kong Limited; China International Capital Corporation Hong Kong Securities Limited; Ping An of China Capital (Hong Kong) Company Limited; GF Capital (Hong Kong) Limited</t>
        </is>
      </c>
      <c r="BH423" s="62" t="inlineStr">
        <is>
          <t>China International Capital Corporation Hong Kong Securities Limited; UBS Securities Hong Kong Limited; GF Capital (Hong Kong) Limited; Ping An of China Capital (Hong Kong) Company Limited</t>
        </is>
      </c>
      <c r="BI423" s="62" t="inlineStr">
        <is>
          <t>UBS AG Hong Kong Branch; China International Capital Corporation Hong Kong Securities Limited; Ping An Securities (Hong Kong) Company Limited; GF Securities (Hong Kong) Brokerage Limited; Haitong International Securities Company Limited; CLSA Limited</t>
        </is>
      </c>
      <c r="BJ423" s="62" t="inlineStr">
        <is>
          <t>China International Capital Corporation Hong Kong Securities Limited; CLSA Limited; GF Securities (Hong Kong) Brokerage Limited; Haitong International Securities Company Limited; Ping An Securities (Hong Kong) Company Limited; TradeMaster Securities (Hong Kong) Limited; UBS AG Hong Kong Branch</t>
        </is>
      </c>
      <c r="BK423" s="76">
        <f>HYPERLINK("https://www1.hkexnews.hk/listedco/listconews/sehk/2025/1231/2025123100089.pdf","prospectus")</f>
        <v/>
      </c>
      <c r="BL423" s="76">
        <f>HYPERLINK("https://www1.hkexnews.hk/listedco/listconews/sehk/2026/0109/2026010901581.pdf","allotment")</f>
        <v/>
      </c>
      <c r="BM423" s="62" t="n"/>
      <c r="BN423" s="74" t="n"/>
      <c r="BO423" s="62" t="inlineStr">
        <is>
          <t>greenshoe: end-of-stabilisation notice not located · range low: cap-only pricing — the filing publishes a Maximum Offer Price and no indicative floor · A/H: Jan 2026, US$616m offering; rose on debut</t>
        </is>
      </c>
    </row>
    <row r="424" ht="15" customHeight="1">
      <c r="A424" s="61" t="inlineStr">
        <is>
          <t>1641</t>
        </is>
      </c>
      <c r="B424" s="62" t="inlineStr">
        <is>
          <t>HX COLDCHAIN</t>
        </is>
      </c>
      <c r="C424" s="62" t="inlineStr">
        <is>
          <t>紅星冷鏈</t>
        </is>
      </c>
      <c r="D424" s="62" t="inlineStr">
        <is>
          <t>Industrials</t>
        </is>
      </c>
      <c r="E424" s="62" t="inlineStr">
        <is>
          <t>Logistics</t>
        </is>
      </c>
      <c r="F424" s="62" t="inlineStr">
        <is>
          <t>Packaged Foods</t>
        </is>
      </c>
      <c r="G424" s="62" t="inlineStr">
        <is>
          <t>Standard</t>
        </is>
      </c>
      <c r="H424" s="63" t="n">
        <v>46035</v>
      </c>
      <c r="I424" s="64" t="n">
        <v>285.2</v>
      </c>
      <c r="J424" s="62" t="inlineStr">
        <is>
          <t>gross (stated)</t>
        </is>
      </c>
      <c r="K424" s="65" t="n"/>
      <c r="L424" s="65" t="n">
        <v>12.26</v>
      </c>
      <c r="M424" s="65" t="n">
        <v>12.26</v>
      </c>
      <c r="N424" s="62" t="inlineStr">
        <is>
          <t>Y</t>
        </is>
      </c>
      <c r="O424" s="66" t="n">
        <v>100</v>
      </c>
      <c r="P424" s="66" t="n"/>
      <c r="Q424" s="67" t="n">
        <v>1204.7</v>
      </c>
      <c r="R424" s="62" t="inlineStr">
        <is>
          <t>derived:price x shares upon listing</t>
        </is>
      </c>
      <c r="S424" s="68" t="n">
        <v>2309.25</v>
      </c>
      <c r="T424" s="69" t="n">
        <v>1.65</v>
      </c>
      <c r="U424" s="70" t="n">
        <v>7.66</v>
      </c>
      <c r="V424" s="66" t="n">
        <v>21.86</v>
      </c>
      <c r="W424" s="62" t="inlineStr">
        <is>
          <t>FUHUIDA HK; Huang Fusheng (黃福生); Cheng Yan (成燕); Luo Tiexing (羅鐵興); Li Changxiao (李昌孝); Kong Yu (孔昱); Zou Songqiu (鄒松球); Li Zhenbin (李振斌); Li Zhenwu (李振武); Li Dengyun (李登雲); Zhang Ying (張穎)</t>
        </is>
      </c>
      <c r="X424" s="62" t="inlineStr">
        <is>
          <t>fuhuida;huang-fusheng;cheng-yan;luo-tiexing;li-changxiao;yu;zou;li-zhenbin;li-zhenwu;li-dengyun;zhang-ying</t>
        </is>
      </c>
      <c r="Y424" s="66" t="n">
        <v>15</v>
      </c>
      <c r="Z424" s="62" t="n"/>
      <c r="AA424" s="71" t="n">
        <v>0.33</v>
      </c>
      <c r="AB424" s="72" t="n">
        <v>59.71</v>
      </c>
      <c r="AC424" s="72" t="n">
        <v>-37.18</v>
      </c>
      <c r="AD424" s="72" t="n">
        <v>-18.76</v>
      </c>
      <c r="AE424" s="72" t="n">
        <v>-30.51</v>
      </c>
      <c r="AF424" s="72" t="n">
        <v>-42.09</v>
      </c>
      <c r="AG424" s="72" t="n">
        <v>-19.03</v>
      </c>
      <c r="AH424" s="72" t="n">
        <v>-30.74</v>
      </c>
      <c r="AI424" s="72" t="n">
        <v>-42.28</v>
      </c>
      <c r="AJ424" s="72" t="n">
        <v>-17.31</v>
      </c>
      <c r="AK424" s="72" t="n">
        <v>-30.22</v>
      </c>
      <c r="AL424" s="72" t="n">
        <v>-36.03</v>
      </c>
      <c r="AM424" s="72" t="n">
        <v>-29.76</v>
      </c>
      <c r="AN424" s="72" t="n">
        <v>-0.29</v>
      </c>
      <c r="AO424" s="72" t="n">
        <v>-0.98</v>
      </c>
      <c r="AP424" s="62" t="inlineStr">
        <is>
          <t>Hang Seng Commerce &amp; Industry sub-index</t>
        </is>
      </c>
      <c r="AQ424" s="72" t="n">
        <v>-66.15000000000001</v>
      </c>
      <c r="AR424" s="63" t="inlineStr">
        <is>
          <t>2026-08-20</t>
        </is>
      </c>
      <c r="AS424" s="64" t="n">
        <v>256.9</v>
      </c>
      <c r="AT424" s="67" t="n">
        <v>91.2</v>
      </c>
      <c r="AU424" s="62" t="inlineStr">
        <is>
          <t>Y</t>
        </is>
      </c>
      <c r="AV424" s="73" t="n">
        <v>13.2</v>
      </c>
      <c r="AW424" s="73" t="n">
        <v>10.8</v>
      </c>
      <c r="AX424" s="73" t="n">
        <v>3.5</v>
      </c>
      <c r="AY424" s="73" t="n">
        <v>4.7</v>
      </c>
      <c r="AZ424" s="74" t="inlineStr">
        <is>
          <t>N</t>
        </is>
      </c>
      <c r="BA424" s="75">
        <f>IF('BBG Verify'!K424="","not filed — run on terminal",'BBG Verify'!K424)</f>
        <v/>
      </c>
      <c r="BB424" s="62" t="inlineStr">
        <is>
          <t>N/A</t>
        </is>
      </c>
      <c r="BC424" s="62" t="inlineStr">
        <is>
          <t>N/A</t>
        </is>
      </c>
      <c r="BD424" s="62" t="inlineStr">
        <is>
          <t>N/A</t>
        </is>
      </c>
      <c r="BE424" s="62" t="inlineStr">
        <is>
          <t>N/A</t>
        </is>
      </c>
      <c r="BF424" s="62" t="inlineStr">
        <is>
          <t>N/A</t>
        </is>
      </c>
      <c r="BG424" s="74" t="inlineStr">
        <is>
          <t>CCB International Capital Limited; ABCI Capital Limited</t>
        </is>
      </c>
      <c r="BH424" s="62" t="inlineStr">
        <is>
          <t>CCB International Capital Limited; ABCI Capital Limited</t>
        </is>
      </c>
      <c r="BI424" s="62" t="inlineStr">
        <is>
          <t>CCB International Capital Limited; ABCI Capital Limited; A VICT Global Asset Management Limited; BOCOM International Securities Limited; CEB International Capital Corporation Limited; Sheung Wan, Hong Kong CMBC Securities Company Limited; Central, Hong Kong Guosen Securities (HK) Brokerage Company, Limited; Huafu International Securities Limited; Sheung Wan, Hong Kong MoneyMore Securities Limited; Orient Securities (Hong Kong) Limited; Ruibang Securities Limited; Wanchai, Hong Kong Shanxi Securities International Limited</t>
        </is>
      </c>
      <c r="BJ424" s="62" t="inlineStr">
        <is>
          <t>ABCI Securities Company Limited; AVICT Global Asset Management Limited; BOCOM International Securities Limited; CCB International Capital Limited; CEB International Capital Corporation Limited; China Industrial Securities International Capital Limited; CMBC Securities Company Limited; Guosen Securities (HK) Brokerage Company, Limited; Huafu International Securities Limited; MoneyMore Securities Limited; Orient Securities (Hong Kong) Limited; Ruibang Securities Limited</t>
        </is>
      </c>
      <c r="BK424" s="76">
        <f>HYPERLINK("https://www1.hkexnews.hk/listedco/listconews/sehk/2025/1231/2025123100085.pdf","prospectus")</f>
        <v/>
      </c>
      <c r="BL424" s="76">
        <f>HYPERLINK("https://www1.hkexnews.hk/listedco/listconews/sehk/2026/0112/2026011201301.pdf","allotment")</f>
        <v/>
      </c>
      <c r="BM424" s="62" t="n"/>
      <c r="BN424" s="74" t="n"/>
      <c r="BO424" s="62" t="inlineStr">
        <is>
          <t>greenshoe: end-of-stabilisation notice not located · range low: cap-only pricing — the filing publishes a Maximum Offer Price and no indicative floor · A/H: no A-share listing</t>
        </is>
      </c>
    </row>
    <row r="425" ht="15" customHeight="1">
      <c r="A425" s="61" t="inlineStr">
        <is>
          <t>3986</t>
        </is>
      </c>
      <c r="B425" s="62" t="inlineStr">
        <is>
          <t>GIGADEVICE</t>
        </is>
      </c>
      <c r="C425" s="62" t="inlineStr">
        <is>
          <t>兆易創新</t>
        </is>
      </c>
      <c r="D425" s="62" t="inlineStr">
        <is>
          <t>Tech/AI</t>
        </is>
      </c>
      <c r="E425" s="62" t="inlineStr">
        <is>
          <t>AI chips &amp; semis</t>
        </is>
      </c>
      <c r="F425" s="62" t="inlineStr">
        <is>
          <t>Semiconductors &amp; Semiconductor Equipment</t>
        </is>
      </c>
      <c r="G425" s="62" t="inlineStr">
        <is>
          <t>Standard</t>
        </is>
      </c>
      <c r="H425" s="63" t="n">
        <v>46035</v>
      </c>
      <c r="I425" s="64" t="n">
        <v>4684.4</v>
      </c>
      <c r="J425" s="62" t="inlineStr">
        <is>
          <t>gross (stated)</t>
        </is>
      </c>
      <c r="K425" s="65" t="n"/>
      <c r="L425" s="65" t="n">
        <v>162</v>
      </c>
      <c r="M425" s="65" t="n">
        <v>162</v>
      </c>
      <c r="N425" s="62" t="inlineStr">
        <is>
          <t>Y</t>
        </is>
      </c>
      <c r="O425" s="66" t="n">
        <v>100</v>
      </c>
      <c r="P425" s="66" t="n"/>
      <c r="Q425" s="67" t="n">
        <v>113578.6</v>
      </c>
      <c r="R425" s="62" t="inlineStr">
        <is>
          <t>aastocks:上市市值 at the struck price</t>
        </is>
      </c>
      <c r="S425" s="68" t="n">
        <v>542.22</v>
      </c>
      <c r="T425" s="69" t="n">
        <v>18.52</v>
      </c>
      <c r="U425" s="70" t="n">
        <v>49.8</v>
      </c>
      <c r="V425" s="66" t="n">
        <v>2.07</v>
      </c>
      <c r="W425" s="62" t="inlineStr">
        <is>
          <t>Yunfeng Capital; Xiaomi; TCL Industries; Huaqin Technology; China Pinnacle Equity Management Limited; Greenwoods (Jinglin)</t>
        </is>
      </c>
      <c r="X425" s="62" t="inlineStr">
        <is>
          <t>yunfeng;xiaomi;tcl;huaqin;pinnacle;greenwoods</t>
        </is>
      </c>
      <c r="Y425" s="66" t="n">
        <v>15</v>
      </c>
      <c r="Z425" s="62" t="inlineStr">
        <is>
          <t>full</t>
        </is>
      </c>
      <c r="AA425" s="71" t="n">
        <v>37.53</v>
      </c>
      <c r="AB425" s="72" t="n">
        <v>45.06</v>
      </c>
      <c r="AC425" s="72" t="n">
        <v>-5.19</v>
      </c>
      <c r="AD425" s="72" t="n">
        <v>88.89</v>
      </c>
      <c r="AE425" s="72" t="n">
        <v>82.72</v>
      </c>
      <c r="AF425" s="72" t="n">
        <v>161.11</v>
      </c>
      <c r="AG425" s="72" t="n">
        <v>37.34</v>
      </c>
      <c r="AH425" s="72" t="n">
        <v>32.86</v>
      </c>
      <c r="AI425" s="72" t="n">
        <v>89.86</v>
      </c>
      <c r="AJ425" s="72" t="n">
        <v>91.94</v>
      </c>
      <c r="AK425" s="72" t="n">
        <v>88.98999999999999</v>
      </c>
      <c r="AL425" s="72" t="n">
        <v>174.87</v>
      </c>
      <c r="AM425" s="72" t="n">
        <v>39.13</v>
      </c>
      <c r="AN425" s="72" t="n">
        <v>-6.27</v>
      </c>
      <c r="AO425" s="72" t="n">
        <v>-6.27</v>
      </c>
      <c r="AP425" s="62" t="inlineStr">
        <is>
          <t>HSTECH (Hang Seng TECH ETF)</t>
        </is>
      </c>
      <c r="AQ425" s="72" t="n">
        <v>202.59</v>
      </c>
      <c r="AR425" s="63" t="inlineStr">
        <is>
          <t>2026-08-20</t>
        </is>
      </c>
      <c r="AS425" s="64" t="n">
        <v>8091.6</v>
      </c>
      <c r="AT425" s="67" t="n">
        <v>1211</v>
      </c>
      <c r="AU425" s="62" t="inlineStr">
        <is>
          <t>Y</t>
        </is>
      </c>
      <c r="AV425" s="73" t="n">
        <v>93.8</v>
      </c>
      <c r="AW425" s="73" t="n">
        <v>80.3</v>
      </c>
      <c r="AX425" s="73" t="n">
        <v>191.8</v>
      </c>
      <c r="AY425" s="73" t="n">
        <v>14</v>
      </c>
      <c r="AZ425" s="74" t="inlineStr">
        <is>
          <t>Y</t>
        </is>
      </c>
      <c r="BA425" s="62" t="inlineStr">
        <is>
          <t>603986.SS</t>
        </is>
      </c>
      <c r="BB425" s="72" t="n">
        <v>80.54000000000001</v>
      </c>
      <c r="BC425" s="65" t="n">
        <v>292.4683</v>
      </c>
      <c r="BD425" s="79" t="n">
        <v>-0.0548</v>
      </c>
      <c r="BE425" s="77">
        <f>IF('BBG Verify'!Q425="","run on terminal",'BBG Verify'!Q425)</f>
        <v/>
      </c>
      <c r="BF425" s="77">
        <f>IF('BBG Verify'!R425="","run on terminal",'BBG Verify'!R425)</f>
        <v/>
      </c>
      <c r="BG425" s="74" t="inlineStr">
        <is>
          <t>China International Capital Corporation Hong Kong Securities Limited; Huatai Financial Holdings (Hong Kong) Limited</t>
        </is>
      </c>
      <c r="BH425" s="62" t="inlineStr">
        <is>
          <t>China International Capital Corporation Hong Kong Securities Limited; Huatai Financial Holdings (Hong Kong) Limited</t>
        </is>
      </c>
      <c r="BI425" s="62" t="inlineStr">
        <is>
          <t>China International Capital Corporation Hong Kong Securities Limited; Huatai Financial Holdings (Hong Kong) Limited</t>
        </is>
      </c>
      <c r="BJ425" s="62" t="inlineStr">
        <is>
          <t>China International Capital Corporation Hong Kong Securities Limited; Huatai Financial Holdings (Hong Kong) Limited</t>
        </is>
      </c>
      <c r="BK425" s="76">
        <f>HYPERLINK("https://www1.hkexnews.hk/listedco/listconews/sehk/2025/1231/2025123100035.pdf","prospectus")</f>
        <v/>
      </c>
      <c r="BL425" s="76">
        <f>HYPERLINK("https://www1.hkexnews.hk/listedco/listconews/sehk/2026/0112/2026011201539.pdf","allotment")</f>
        <v/>
      </c>
      <c r="BM425" s="76">
        <f>HYPERLINK("https://www1.hkexnews.hk/listedco/listconews/sehk/2026/0208/2026020800007.pdf","stabilisation")</f>
        <v/>
      </c>
      <c r="BN425" s="74" t="n"/>
      <c r="BO425" s="62" t="inlineStr">
        <is>
          <t>range low: cap-only pricing — the filing publishes a Maximum Offer Price and no indicative floor · A/H: Jan 2026, ~US$600m at top of range; closed +37.5% on debut · market cap: estimate from stated market capitalisation disagreed with the published listing cap — published figure adopted</t>
        </is>
      </c>
    </row>
    <row r="426" ht="15" customHeight="1">
      <c r="A426" s="61" t="inlineStr">
        <is>
          <t>9611</t>
        </is>
      </c>
      <c r="B426" s="62" t="inlineStr">
        <is>
          <t>LONGCHEER</t>
        </is>
      </c>
      <c r="C426" s="62" t="inlineStr">
        <is>
          <t>龍旗科技</t>
        </is>
      </c>
      <c r="D426" s="62" t="inlineStr">
        <is>
          <t>Tech/AI</t>
        </is>
      </c>
      <c r="E426" s="62" t="inlineStr">
        <is>
          <t>Smart hardware / consumer electronics</t>
        </is>
      </c>
      <c r="F426" s="62" t="inlineStr">
        <is>
          <t>Smartphone</t>
        </is>
      </c>
      <c r="G426" s="62" t="inlineStr">
        <is>
          <t>Standard</t>
        </is>
      </c>
      <c r="H426" s="63" t="n">
        <v>46044</v>
      </c>
      <c r="I426" s="64" t="n">
        <v>1620</v>
      </c>
      <c r="J426" s="62" t="inlineStr">
        <is>
          <t>gross (stated)</t>
        </is>
      </c>
      <c r="K426" s="65" t="n"/>
      <c r="L426" s="65" t="n">
        <v>31</v>
      </c>
      <c r="M426" s="65" t="n">
        <v>31</v>
      </c>
      <c r="N426" s="62" t="inlineStr">
        <is>
          <t>Y</t>
        </is>
      </c>
      <c r="O426" s="66" t="n">
        <v>100</v>
      </c>
      <c r="P426" s="66" t="n"/>
      <c r="Q426" s="67" t="n">
        <v>25813.8</v>
      </c>
      <c r="R426" s="62" t="inlineStr">
        <is>
          <t>prospectus:stated market capitalisation</t>
        </is>
      </c>
      <c r="S426" s="68" t="n">
        <v>1149.76</v>
      </c>
      <c r="T426" s="69" t="n">
        <v>9.02</v>
      </c>
      <c r="U426" s="70" t="n">
        <v>27.17</v>
      </c>
      <c r="V426" s="66" t="n">
        <v>4.57</v>
      </c>
      <c r="W426" s="62" t="inlineStr">
        <is>
          <t>Guokong Xinzhi Co., Limited; Endless Growth NH Limited; Qualcomm Ventures LLC; Hong Kong Yuto Printing Company Limited; Fullgoal Fund; Huatai Capital Investment Limited; ABCI Asset Management Limited; GF Global Capital Limited; Fund Management; China Galaxy International Investment Company Limited; GTJA Securities</t>
        </is>
      </c>
      <c r="X426" s="62" t="inlineStr">
        <is>
          <t>guokong;endless;qualcomm;yuto;fullgoal;huatai;agricultural;gf;fund-management;galaxy;guotai</t>
        </is>
      </c>
      <c r="Y426" s="66" t="n">
        <v>15</v>
      </c>
      <c r="Z426" s="62" t="inlineStr">
        <is>
          <t>lapsed</t>
        </is>
      </c>
      <c r="AA426" s="71" t="n">
        <v>3.55</v>
      </c>
      <c r="AB426" s="72" t="n">
        <v>12.9</v>
      </c>
      <c r="AC426" s="72" t="n">
        <v>-8.279999999999999</v>
      </c>
      <c r="AD426" s="72" t="n">
        <v>-1.61</v>
      </c>
      <c r="AE426" s="72" t="n">
        <v>-3.68</v>
      </c>
      <c r="AF426" s="72" t="n">
        <v>-29.1</v>
      </c>
      <c r="AG426" s="72" t="n">
        <v>-4.98</v>
      </c>
      <c r="AH426" s="72" t="n">
        <v>-6.98</v>
      </c>
      <c r="AI426" s="72" t="n">
        <v>-31.53</v>
      </c>
      <c r="AJ426" s="72" t="n">
        <v>-3.21</v>
      </c>
      <c r="AK426" s="72" t="n">
        <v>4.86</v>
      </c>
      <c r="AL426" s="72" t="n">
        <v>-14.69</v>
      </c>
      <c r="AM426" s="72" t="n">
        <v>1.89</v>
      </c>
      <c r="AN426" s="72" t="n">
        <v>-8.539999999999999</v>
      </c>
      <c r="AO426" s="72" t="n">
        <v>-8.869999999999999</v>
      </c>
      <c r="AP426" s="62" t="inlineStr">
        <is>
          <t>HSTECH (Hang Seng TECH ETF)</t>
        </is>
      </c>
      <c r="AQ426" s="72" t="n">
        <v>-26.19</v>
      </c>
      <c r="AR426" s="63" t="inlineStr">
        <is>
          <t>2026-08-20</t>
        </is>
      </c>
      <c r="AS426" s="64" t="n">
        <v>51020.7</v>
      </c>
      <c r="AT426" s="67" t="n">
        <v>542.7</v>
      </c>
      <c r="AU426" s="62" t="inlineStr">
        <is>
          <t>Y</t>
        </is>
      </c>
      <c r="AV426" s="73" t="n">
        <v>47.6</v>
      </c>
      <c r="AW426" s="73" t="n">
        <v>22.6</v>
      </c>
      <c r="AX426" s="73" t="n">
        <v>16.3</v>
      </c>
      <c r="AY426" s="73" t="n">
        <v>0.5</v>
      </c>
      <c r="AZ426" s="74" t="inlineStr">
        <is>
          <t>Y</t>
        </is>
      </c>
      <c r="BA426" s="62" t="inlineStr">
        <is>
          <t>603341.SS</t>
        </is>
      </c>
      <c r="BB426" s="72" t="n">
        <v>75.63</v>
      </c>
      <c r="BC426" s="65" t="n">
        <v>54.4441</v>
      </c>
      <c r="BD426" s="79" t="n">
        <v>0.8943</v>
      </c>
      <c r="BE426" s="77">
        <f>IF('BBG Verify'!Q426="","run on terminal",'BBG Verify'!Q426)</f>
        <v/>
      </c>
      <c r="BF426" s="77">
        <f>IF('BBG Verify'!R426="","run on terminal",'BBG Verify'!R426)</f>
        <v/>
      </c>
      <c r="BG426" s="74" t="inlineStr">
        <is>
          <t>Citigroup Global Markets Asia Limited; Haitong International Capital Limited; Guotai Junan Capital Limited</t>
        </is>
      </c>
      <c r="BH426" s="62" t="inlineStr">
        <is>
          <t>Haitong International Capital Limited; Guotai Junan Capital Limited; Citigroup Global Markets Asia Limited</t>
        </is>
      </c>
      <c r="BI426" s="62" t="inlineStr">
        <is>
          <t>Citigroup Global Markets Asia Limited; Haitong International Securities Company Limited; Guotai Junan Securities (Hong Kong) Limited; Huatai Financial Holdings (Hong Kong) Limited; ABCI Capital Limited; Citigroup Global Markets Limited; Tiger Brokers (HK) Global Limited</t>
        </is>
      </c>
      <c r="BJ426" s="62" t="inlineStr">
        <is>
          <t>ABCI Securities Company Limited; Citigroup Global Markets Asia Limited; Futu Securities International (Hong Kong) Limited; Guotai Junan Securities (Hong Kong) Limited; Huatai Financial Holdings (Hong Kong) Limited; Haitong International Securities Company Limited; Open Securities Limited; Tiger Brokers (HK) Global Limited</t>
        </is>
      </c>
      <c r="BK426" s="76">
        <f>HYPERLINK("https://www1.hkexnews.hk/listedco/listconews/sehk/2026/0114/2026011400011.pdf","prospectus")</f>
        <v/>
      </c>
      <c r="BL426" s="76">
        <f>HYPERLINK("https://www1.hkexnews.hk/listedco/listconews/sehk/2026/0121/2026012101145.pdf","allotment")</f>
        <v/>
      </c>
      <c r="BM426" s="76">
        <f>HYPERLINK("https://www1.hkexnews.hk/listedco/listconews/sehk/2026/0223/2026022300424.pdf","stabilisation")</f>
        <v/>
      </c>
      <c r="BN426" s="74" t="n"/>
      <c r="BO426" s="62" t="inlineStr">
        <is>
          <t>range low: cap-only pricing — the filing publishes a Maximum Offer Price and no indicative floor · A/H: Jan 2026 H listing (smart-device ODM)</t>
        </is>
      </c>
    </row>
    <row r="427" ht="15" customHeight="1">
      <c r="A427" s="61" t="inlineStr">
        <is>
          <t>1768</t>
        </is>
      </c>
      <c r="B427" s="62" t="inlineStr">
        <is>
          <t>BUSYMING</t>
        </is>
      </c>
      <c r="C427" s="62" t="inlineStr">
        <is>
          <t>鳴鳴很忙</t>
        </is>
      </c>
      <c r="D427" s="62" t="inlineStr">
        <is>
          <t>Consumer</t>
        </is>
      </c>
      <c r="E427" s="62" t="inlineStr">
        <is>
          <t>Beverages / packaged food</t>
        </is>
      </c>
      <c r="F427" s="62" t="inlineStr">
        <is>
          <t>Packaged Foods</t>
        </is>
      </c>
      <c r="G427" s="62" t="inlineStr">
        <is>
          <t>Standard</t>
        </is>
      </c>
      <c r="H427" s="63" t="n">
        <v>46050</v>
      </c>
      <c r="I427" s="64" t="n">
        <v>3670</v>
      </c>
      <c r="J427" s="62" t="inlineStr">
        <is>
          <t>gross (stated)</t>
        </is>
      </c>
      <c r="K427" s="65" t="n"/>
      <c r="L427" s="65" t="n">
        <v>236.6</v>
      </c>
      <c r="M427" s="65" t="n">
        <v>236.6</v>
      </c>
      <c r="N427" s="62" t="inlineStr">
        <is>
          <t>Y</t>
        </is>
      </c>
      <c r="O427" s="66" t="n">
        <v>100</v>
      </c>
      <c r="P427" s="66" t="n"/>
      <c r="Q427" s="67" t="n">
        <v>50989.9</v>
      </c>
      <c r="R427" s="62" t="inlineStr">
        <is>
          <t>derived:price x shares upon listing</t>
        </is>
      </c>
      <c r="S427" s="68" t="n">
        <v>1899.49</v>
      </c>
      <c r="T427" s="69" t="n">
        <v>44.44</v>
      </c>
      <c r="U427" s="70" t="n">
        <v>45.6</v>
      </c>
      <c r="V427" s="66" t="n">
        <v>3.92</v>
      </c>
      <c r="W427" s="62" t="inlineStr">
        <is>
          <t>Mr. Zhao; Changsha Xunmang; Changsha Jianmang; Changsha Lingmang; Changsha Zhongmang; Shanghai Bird Nest; Yichun Yikouniao; HongShan Hanchen; Gaorong LKZN; Discounter Seed; HongShan Yaheng; Shanghai Yihai; Xiamen Black Ant</t>
        </is>
      </c>
      <c r="X427" s="62" t="inlineStr">
        <is>
          <t>mr-zhao;changsha;shanghai-bird;yichun;hongshan;gaorong;discounter;shanghai-yihai;xiamen</t>
        </is>
      </c>
      <c r="Y427" s="66" t="n">
        <v>15</v>
      </c>
      <c r="Z427" s="62" t="n"/>
      <c r="AA427" s="71" t="n">
        <v>69.06</v>
      </c>
      <c r="AB427" s="72" t="n">
        <v>88.08</v>
      </c>
      <c r="AC427" s="72" t="n">
        <v>-10.11</v>
      </c>
      <c r="AD427" s="72" t="n">
        <v>68.81</v>
      </c>
      <c r="AE427" s="72" t="n">
        <v>65.17</v>
      </c>
      <c r="AF427" s="72" t="n">
        <v>84.11</v>
      </c>
      <c r="AG427" s="72" t="n">
        <v>-0.15</v>
      </c>
      <c r="AH427" s="72" t="n">
        <v>-2.3</v>
      </c>
      <c r="AI427" s="72" t="n">
        <v>8.9</v>
      </c>
      <c r="AJ427" s="72" t="n">
        <v>72.29000000000001</v>
      </c>
      <c r="AK427" s="72" t="n">
        <v>73.93000000000001</v>
      </c>
      <c r="AL427" s="72" t="n">
        <v>92.84999999999999</v>
      </c>
      <c r="AM427" s="72" t="n">
        <v>8.77</v>
      </c>
      <c r="AN427" s="72" t="n">
        <v>-8.76</v>
      </c>
      <c r="AO427" s="72" t="n">
        <v>-11.07</v>
      </c>
      <c r="AP427" s="62" t="inlineStr">
        <is>
          <t>Hang Seng Commerce &amp; Industry sub-index</t>
        </is>
      </c>
      <c r="AQ427" s="72" t="n">
        <v>69.06</v>
      </c>
      <c r="AR427" s="63" t="inlineStr">
        <is>
          <t>2026-08-20</t>
        </is>
      </c>
      <c r="AS427" s="64" t="n">
        <v>43277.9</v>
      </c>
      <c r="AT427" s="67" t="n">
        <v>912.1</v>
      </c>
      <c r="AU427" s="62" t="inlineStr">
        <is>
          <t>Y</t>
        </is>
      </c>
      <c r="AV427" s="73" t="n">
        <v>55.9</v>
      </c>
      <c r="AW427" s="73" t="n"/>
      <c r="AX427" s="73" t="n"/>
      <c r="AY427" s="73" t="n">
        <v>1.2</v>
      </c>
      <c r="AZ427" s="74" t="inlineStr">
        <is>
          <t>N</t>
        </is>
      </c>
      <c r="BA427" s="75">
        <f>IF('BBG Verify'!K427="","not filed — run on terminal",'BBG Verify'!K427)</f>
        <v/>
      </c>
      <c r="BB427" s="62" t="inlineStr">
        <is>
          <t>N/A</t>
        </is>
      </c>
      <c r="BC427" s="62" t="inlineStr">
        <is>
          <t>N/A</t>
        </is>
      </c>
      <c r="BD427" s="62" t="inlineStr">
        <is>
          <t>N/A</t>
        </is>
      </c>
      <c r="BE427" s="62" t="inlineStr">
        <is>
          <t>N/A</t>
        </is>
      </c>
      <c r="BF427" s="62" t="inlineStr">
        <is>
          <t>N/A</t>
        </is>
      </c>
      <c r="BG427" s="74" t="inlineStr">
        <is>
          <t>Goldman Sachs (Asia) L.L.C; Huatai Financial Holdings (Hong Kong) Limited</t>
        </is>
      </c>
      <c r="BH427" s="62" t="inlineStr">
        <is>
          <t>Goldman Sachs (Asia) L.L.C.; Huatai Financial Holdings (Hong Kong) Limited</t>
        </is>
      </c>
      <c r="BI427" s="62" t="inlineStr">
        <is>
          <t>Goldman Sachs (Asia) L.L.C; Huatai Financial Holdings (Hong Kong) Limited; Deutsche Bank AG, Hong Kong Branch; Haitong International Securities Company Limited; Futu Securities International (Hong Kong) Limited</t>
        </is>
      </c>
      <c r="BJ427" s="62" t="inlineStr">
        <is>
          <t>Deutsche Bank AG; Hong Kong Branch; Futu Securities International (Hong Kong) Limited; Goldman Sachs (Asia) L.L.C.; Huatai Financial Holdings (Hong Kong) Limited; Haitong International Securities Company Limited; SPDB International Capital Limited</t>
        </is>
      </c>
      <c r="BK427" s="76">
        <f>HYPERLINK("https://www1.hkexnews.hk/listedco/listconews/sehk/2026/0120/2026012000025.pdf","prospectus")</f>
        <v/>
      </c>
      <c r="BL427" s="76">
        <f>HYPERLINK("https://www1.hkexnews.hk/listedco/listconews/sehk/2026/0127/2026012701713.pdf","allotment")</f>
        <v/>
      </c>
      <c r="BM427" s="62" t="n"/>
      <c r="BN427" s="74" t="n"/>
      <c r="BO427" s="62" t="inlineStr">
        <is>
          <t>greenshoe: end-of-stabilisation notice not located · range low: cap-only pricing — the filing publishes a Maximum Offer Price and no indicative floor · A/H: no A-share listing</t>
        </is>
      </c>
    </row>
    <row r="428" ht="15" customHeight="1">
      <c r="A428" s="61" t="inlineStr">
        <is>
          <t>9980</t>
        </is>
      </c>
      <c r="B428" s="62" t="inlineStr">
        <is>
          <t>EASTROC</t>
        </is>
      </c>
      <c r="C428" s="62" t="inlineStr">
        <is>
          <t>東鵬飲料</t>
        </is>
      </c>
      <c r="D428" s="62" t="inlineStr">
        <is>
          <t>Consumer</t>
        </is>
      </c>
      <c r="E428" s="62" t="inlineStr">
        <is>
          <t>Beverages / packaged food</t>
        </is>
      </c>
      <c r="F428" s="62" t="inlineStr">
        <is>
          <t>Beverages (Non-alcoholic)</t>
        </is>
      </c>
      <c r="G428" s="62" t="inlineStr">
        <is>
          <t>Standard</t>
        </is>
      </c>
      <c r="H428" s="63" t="n">
        <v>46056</v>
      </c>
      <c r="I428" s="64" t="n">
        <v>10140.7</v>
      </c>
      <c r="J428" s="62" t="inlineStr">
        <is>
          <t>gross (stated)</t>
        </is>
      </c>
      <c r="K428" s="65" t="n"/>
      <c r="L428" s="65" t="n">
        <v>248</v>
      </c>
      <c r="M428" s="65" t="n">
        <v>248</v>
      </c>
      <c r="N428" s="62" t="inlineStr">
        <is>
          <t>Y</t>
        </is>
      </c>
      <c r="O428" s="66" t="n">
        <v>100</v>
      </c>
      <c r="P428" s="66" t="n"/>
      <c r="Q428" s="67" t="n">
        <v>122324.5</v>
      </c>
      <c r="R428" s="62" t="inlineStr">
        <is>
          <t>derived:deal size / offer % of enlarged capital</t>
        </is>
      </c>
      <c r="S428" s="68" t="n">
        <v>57.46</v>
      </c>
      <c r="T428" s="69" t="n">
        <v>15.6</v>
      </c>
      <c r="U428" s="70" t="n">
        <v>49.2</v>
      </c>
      <c r="V428" s="66" t="n">
        <v>4.21</v>
      </c>
      <c r="W428" s="62" t="inlineStr">
        <is>
          <t>Al-Rayyan Holding LLC; Taibai Investments Pte. Ltd; True Light Investments H Pte. Ltd; Huang River Investment Limited; HSG Growth VII Holdco, Ltd; Azure Skylines Limited; Taikang Life Insurance Co., Ltd; Investments 1 Limited; Velmar Company Limited; Pinpoint Asset Management Limited; Amazing Mountain Limited; Phase II L.P</t>
        </is>
      </c>
      <c r="X428" s="62" t="inlineStr">
        <is>
          <t>al;taibai;true;huang-river;hsg;azure;taikang;investments-limited;velmar;pinpoint;amazing;phase</t>
        </is>
      </c>
      <c r="Y428" s="66" t="n">
        <v>7.29</v>
      </c>
      <c r="Z428" s="62" t="inlineStr">
        <is>
          <t>partial</t>
        </is>
      </c>
      <c r="AA428" s="71" t="n">
        <v>1.53</v>
      </c>
      <c r="AB428" s="72" t="n">
        <v>0</v>
      </c>
      <c r="AC428" s="72" t="n">
        <v>1.53</v>
      </c>
      <c r="AD428" s="72" t="n">
        <v>0.8100000000000001</v>
      </c>
      <c r="AE428" s="72" t="n">
        <v>-13.87</v>
      </c>
      <c r="AF428" s="72" t="n">
        <v>-12.46</v>
      </c>
      <c r="AG428" s="72" t="n">
        <v>-0.71</v>
      </c>
      <c r="AH428" s="72" t="n">
        <v>-15.17</v>
      </c>
      <c r="AI428" s="72" t="n">
        <v>-13.78</v>
      </c>
      <c r="AJ428" s="72" t="n">
        <v>-0.05</v>
      </c>
      <c r="AK428" s="72" t="n">
        <v>-7.17</v>
      </c>
      <c r="AL428" s="72" t="n">
        <v>-6.91</v>
      </c>
      <c r="AM428" s="72" t="n">
        <v>-8.83</v>
      </c>
      <c r="AN428" s="72" t="n">
        <v>-6.7</v>
      </c>
      <c r="AO428" s="72" t="n">
        <v>-6.34</v>
      </c>
      <c r="AP428" s="62" t="inlineStr">
        <is>
          <t>Hang Seng Commerce &amp; Industry sub-index</t>
        </is>
      </c>
      <c r="AQ428" s="72" t="n">
        <v>-38.04</v>
      </c>
      <c r="AR428" s="63" t="inlineStr">
        <is>
          <t>2026-08-24</t>
        </is>
      </c>
      <c r="AS428" s="64" t="n">
        <v>17413.4</v>
      </c>
      <c r="AT428" s="67" t="n">
        <v>3659.1</v>
      </c>
      <c r="AU428" s="62" t="inlineStr">
        <is>
          <t>Y</t>
        </is>
      </c>
      <c r="AV428" s="73" t="n">
        <v>33.4</v>
      </c>
      <c r="AW428" s="73" t="n">
        <v>26.3</v>
      </c>
      <c r="AX428" s="73" t="n">
        <v>14.4</v>
      </c>
      <c r="AY428" s="73" t="n">
        <v>7</v>
      </c>
      <c r="AZ428" s="74" t="inlineStr">
        <is>
          <t>Y</t>
        </is>
      </c>
      <c r="BA428" s="62" t="inlineStr">
        <is>
          <t>605499.SS</t>
        </is>
      </c>
      <c r="BB428" s="72" t="n">
        <v>16.43</v>
      </c>
      <c r="BC428" s="65" t="n">
        <v>288.7582</v>
      </c>
      <c r="BD428" s="79" t="n">
        <v>0.194</v>
      </c>
      <c r="BE428" s="77">
        <f>IF('BBG Verify'!Q428="","run on terminal",'BBG Verify'!Q428)</f>
        <v/>
      </c>
      <c r="BF428" s="77">
        <f>IF('BBG Verify'!R428="","run on terminal",'BBG Verify'!R428)</f>
        <v/>
      </c>
      <c r="BG428" s="74" t="inlineStr">
        <is>
          <t>Huatai Financial Holdings (Hong Kong) Limited; Morgan Stanley Asia Limited; UBS Securities Hong Kong Limited</t>
        </is>
      </c>
      <c r="BH428" s="62" t="inlineStr">
        <is>
          <t>Morgan Stanley Asia Limited; UBS Securities Hong Kong Limited; Huatai Financial Holdings (Hong Kong) Limited</t>
        </is>
      </c>
      <c r="BI428" s="62" t="inlineStr">
        <is>
          <t>Huatai Financial Holdings (Hong Kong) Limited; Morgan Stanley Asia Limited; UBS AG Hong Kong Branch</t>
        </is>
      </c>
      <c r="BJ428" s="62" t="inlineStr">
        <is>
          <t>Huatai Financial Holdings (Hong Kong) Limited; Morgan Stanley Asia Limited; UBS AG Hong Kong Branch</t>
        </is>
      </c>
      <c r="BK428" s="76">
        <f>HYPERLINK("https://www1.hkexnews.hk/listedco/listconews/sehk/2026/0126/2026012600003.pdf","prospectus")</f>
        <v/>
      </c>
      <c r="BL428" s="76">
        <f>HYPERLINK("https://www1.hkexnews.hk/listedco/listconews/sehk/2026/0202/2026020203212.pdf","allotment")</f>
        <v/>
      </c>
      <c r="BM428" s="76">
        <f>HYPERLINK("https://www1.hkexnews.hk/listedco/listconews/sehk/2026/0301/2026030100013.pdf","stabilisation")</f>
        <v/>
      </c>
      <c r="BN428" s="74" t="n"/>
      <c r="BO428" s="62" t="inlineStr">
        <is>
          <t>range low: cap-only pricing — the filing publishes a Maximum Offer Price and no indicative floor · A/H: Feb 2026, ~HK$10.1bn at HK$248/sh — largest HK IPO of early 2026</t>
        </is>
      </c>
    </row>
    <row r="429" ht="15" customHeight="1">
      <c r="A429" s="61" t="inlineStr">
        <is>
          <t>2768</t>
        </is>
      </c>
      <c r="B429" s="62" t="inlineStr">
        <is>
          <t>GON TECHNOLOGY</t>
        </is>
      </c>
      <c r="C429" s="62" t="inlineStr">
        <is>
          <t>國恩科技</t>
        </is>
      </c>
      <c r="D429" s="62" t="inlineStr">
        <is>
          <t>Tech/AI</t>
        </is>
      </c>
      <c r="E429" s="62" t="inlineStr">
        <is>
          <t>Smart hardware / consumer electronics</t>
        </is>
      </c>
      <c r="F429" s="62" t="inlineStr">
        <is>
          <t>Diversified Chemicals</t>
        </is>
      </c>
      <c r="G429" s="62" t="inlineStr">
        <is>
          <t>Standard</t>
        </is>
      </c>
      <c r="H429" s="63" t="n">
        <v>46057</v>
      </c>
      <c r="I429" s="64" t="n">
        <v>1080</v>
      </c>
      <c r="J429" s="62" t="inlineStr">
        <is>
          <t>gross (stated)</t>
        </is>
      </c>
      <c r="K429" s="65" t="n">
        <v>34</v>
      </c>
      <c r="L429" s="65" t="n">
        <v>42</v>
      </c>
      <c r="M429" s="65" t="n">
        <v>36</v>
      </c>
      <c r="N429" s="62" t="inlineStr">
        <is>
          <t>N</t>
        </is>
      </c>
      <c r="O429" s="66" t="n">
        <v>85.7</v>
      </c>
      <c r="P429" s="66" t="n">
        <v>25</v>
      </c>
      <c r="Q429" s="67" t="n">
        <v>10845</v>
      </c>
      <c r="R429" s="62" t="inlineStr">
        <is>
          <t>derived:price x shares upon listing</t>
        </is>
      </c>
      <c r="S429" s="68" t="n">
        <v>2251.85</v>
      </c>
      <c r="T429" s="69" t="n">
        <v>10.03</v>
      </c>
      <c r="U429" s="70" t="n">
        <v>25.3</v>
      </c>
      <c r="V429" s="66" t="n">
        <v>7.44</v>
      </c>
      <c r="W429" s="62" t="inlineStr">
        <is>
          <t>Nice First; SLD International; Cheng A International; Shenwan Hongyuan Securities; First Seafront Fund Series SPC; New Harvest; Luminous Horizon; Fullgoal HK</t>
        </is>
      </c>
      <c r="X429" s="62" t="inlineStr">
        <is>
          <t>nice;sld;cheng;shenwan;first-seafront;new-harvest;luminous;fullgoal</t>
        </is>
      </c>
      <c r="Y429" s="66" t="n">
        <v>15</v>
      </c>
      <c r="Z429" s="62" t="n"/>
      <c r="AA429" s="71" t="n">
        <v>11.56</v>
      </c>
      <c r="AB429" s="72" t="n">
        <v>25</v>
      </c>
      <c r="AC429" s="72" t="n">
        <v>-10.75</v>
      </c>
      <c r="AD429" s="72" t="n">
        <v>27.22</v>
      </c>
      <c r="AE429" s="72" t="n">
        <v>33.22</v>
      </c>
      <c r="AF429" s="72" t="n">
        <v>43.75</v>
      </c>
      <c r="AG429" s="72" t="n">
        <v>14.04</v>
      </c>
      <c r="AH429" s="72" t="n">
        <v>19.42</v>
      </c>
      <c r="AI429" s="72" t="n">
        <v>28.85</v>
      </c>
      <c r="AJ429" s="72" t="n">
        <v>26.57</v>
      </c>
      <c r="AK429" s="72" t="n">
        <v>40.68</v>
      </c>
      <c r="AL429" s="72" t="n">
        <v>50.43</v>
      </c>
      <c r="AM429" s="72" t="n">
        <v>25.2</v>
      </c>
      <c r="AN429" s="72" t="n">
        <v>-7.46</v>
      </c>
      <c r="AO429" s="72" t="n">
        <v>-5.78</v>
      </c>
      <c r="AP429" s="62" t="inlineStr">
        <is>
          <t>HSTECH (Hang Seng TECH ETF)</t>
        </is>
      </c>
      <c r="AQ429" s="72" t="n">
        <v>39.94</v>
      </c>
      <c r="AR429" s="63" t="inlineStr">
        <is>
          <t>2026-08-24</t>
        </is>
      </c>
      <c r="AS429" s="64" t="n">
        <v>21106.3</v>
      </c>
      <c r="AT429" s="67" t="n">
        <v>792.6</v>
      </c>
      <c r="AU429" s="62" t="inlineStr">
        <is>
          <t>Y</t>
        </is>
      </c>
      <c r="AV429" s="73" t="n">
        <v>13.7</v>
      </c>
      <c r="AW429" s="73" t="n">
        <v>11.2</v>
      </c>
      <c r="AX429" s="73" t="n">
        <v>16.5</v>
      </c>
      <c r="AY429" s="73" t="n">
        <v>0.5</v>
      </c>
      <c r="AZ429" s="74" t="inlineStr">
        <is>
          <t>Y</t>
        </is>
      </c>
      <c r="BA429" s="62" t="inlineStr">
        <is>
          <t>002768.SZ</t>
        </is>
      </c>
      <c r="BB429" s="72" t="n">
        <v>74.11</v>
      </c>
      <c r="BC429" s="65" t="n">
        <v>62.6783</v>
      </c>
      <c r="BD429" s="79" t="n">
        <v>1.0576</v>
      </c>
      <c r="BE429" s="77">
        <f>IF('BBG Verify'!Q429="","run on terminal",'BBG Verify'!Q429)</f>
        <v/>
      </c>
      <c r="BF429" s="77">
        <f>IF('BBG Verify'!R429="","run on terminal",'BBG Verify'!R429)</f>
        <v/>
      </c>
      <c r="BG429" s="74" t="inlineStr">
        <is>
          <t>China Merchants Securities (HK) Co., Limited</t>
        </is>
      </c>
      <c r="BH429" s="62" t="inlineStr">
        <is>
          <t>China Merchants Securities (HK) Company Limited</t>
        </is>
      </c>
      <c r="BI429" s="62" t="inlineStr">
        <is>
          <t>China Merchants Securities (HK) Co., Limited; CLSA Limited; China International Capital Corporation Hong Kong Securities Limited; Tiger Brokers (HK) Global Limited; Livermore Holdings Limited</t>
        </is>
      </c>
      <c r="BJ429" s="62" t="inlineStr">
        <is>
          <t>China International Capital Corporation Hong Kong Securities Limited; CLSA Limited; CMB International Capital Limited; China Merchants Securities (HK) Company Limited; Livermore Holdings Limited; Tiger Brokers (HK) Global Limited</t>
        </is>
      </c>
      <c r="BK429" s="76">
        <f>HYPERLINK("https://www1.hkexnews.hk/listedco/listconews/sehk/2026/0127/2026012700009.pdf","prospectus")</f>
        <v/>
      </c>
      <c r="BL429" s="76">
        <f>HYPERLINK("https://www1.hkexnews.hk/listedco/listconews/sehk/2026/0203/2026020302602.pdf","allotment")</f>
        <v/>
      </c>
      <c r="BM429" s="62" t="n"/>
      <c r="BN429" s="74" t="n"/>
      <c r="BO429" s="62" t="inlineStr">
        <is>
          <t>greenshoe: end-of-stabilisation notice not located · A/H: Feb 2026 H listing (polymer materials)</t>
        </is>
      </c>
    </row>
    <row r="430" ht="15" customHeight="1">
      <c r="A430" s="61" t="inlineStr">
        <is>
          <t>2677</t>
        </is>
      </c>
      <c r="B430" s="62" t="inlineStr">
        <is>
          <t>DISTINCT HEALTH</t>
        </is>
      </c>
      <c r="C430" s="62" t="inlineStr">
        <is>
          <t>卓正醫療</t>
        </is>
      </c>
      <c r="D430" s="62" t="inlineStr">
        <is>
          <t>Healthcare</t>
        </is>
      </c>
      <c r="E430" s="62" t="inlineStr">
        <is>
          <t>Digital health</t>
        </is>
      </c>
      <c r="F430" s="62" t="inlineStr">
        <is>
          <t>Health Care Services</t>
        </is>
      </c>
      <c r="G430" s="62" t="inlineStr">
        <is>
          <t>Standard</t>
        </is>
      </c>
      <c r="H430" s="63" t="n">
        <v>46059</v>
      </c>
      <c r="I430" s="64" t="n">
        <v>284.53</v>
      </c>
      <c r="J430" s="62" t="inlineStr">
        <is>
          <t>gross (stated)</t>
        </is>
      </c>
      <c r="K430" s="65" t="n">
        <v>57.7</v>
      </c>
      <c r="L430" s="65" t="n">
        <v>66.59999999999999</v>
      </c>
      <c r="M430" s="65" t="n">
        <v>59.9</v>
      </c>
      <c r="N430" s="62" t="inlineStr">
        <is>
          <t>N</t>
        </is>
      </c>
      <c r="O430" s="66" t="n">
        <v>89.90000000000001</v>
      </c>
      <c r="P430" s="66" t="n">
        <v>24.7</v>
      </c>
      <c r="Q430" s="67" t="n">
        <v>3856.6</v>
      </c>
      <c r="R430" s="62" t="inlineStr">
        <is>
          <t>derived:price x shares upon listing</t>
        </is>
      </c>
      <c r="S430" s="68" t="n">
        <v>2730.73</v>
      </c>
      <c r="T430" s="69" t="n">
        <v>5.79</v>
      </c>
      <c r="U430" s="70" t="n">
        <v>29</v>
      </c>
      <c r="V430" s="66" t="n">
        <v>5.24</v>
      </c>
      <c r="W430" s="62" t="inlineStr">
        <is>
          <t>Health Vision Hong Kong Limited; KingMed Diagnostics (Hong Kong) Limited (ਹᏨ᜕ (ಥ)ʮ̡; Mininglamp Technology; Galaxy Dynasty Limited</t>
        </is>
      </c>
      <c r="X430" s="62" t="inlineStr">
        <is>
          <t>health;kingmed;mininglamp;galaxy</t>
        </is>
      </c>
      <c r="Y430" s="66" t="n">
        <v>15</v>
      </c>
      <c r="Z430" s="62" t="inlineStr">
        <is>
          <t>partial</t>
        </is>
      </c>
      <c r="AA430" s="71" t="n">
        <v>13.36</v>
      </c>
      <c r="AB430" s="72" t="n">
        <v>35.23</v>
      </c>
      <c r="AC430" s="72" t="n">
        <v>-16.17</v>
      </c>
      <c r="AD430" s="72" t="n">
        <v>-3.17</v>
      </c>
      <c r="AE430" s="72" t="n">
        <v>9.1</v>
      </c>
      <c r="AF430" s="72" t="n">
        <v>-54.49</v>
      </c>
      <c r="AG430" s="72" t="n">
        <v>-14.58</v>
      </c>
      <c r="AH430" s="72" t="n">
        <v>-3.76</v>
      </c>
      <c r="AI430" s="72" t="n">
        <v>-59.85</v>
      </c>
      <c r="AJ430" s="72" t="n">
        <v>-4.64</v>
      </c>
      <c r="AK430" s="72" t="n">
        <v>14.97</v>
      </c>
      <c r="AL430" s="72" t="n">
        <v>-61.12</v>
      </c>
      <c r="AM430" s="72" t="n">
        <v>2.14</v>
      </c>
      <c r="AN430" s="72" t="n">
        <v>-5.87</v>
      </c>
      <c r="AO430" s="72" t="n">
        <v>-5.9</v>
      </c>
      <c r="AP430" s="62" t="inlineStr">
        <is>
          <t>China Biotech ETF (HS biotech proxy)</t>
        </is>
      </c>
      <c r="AQ430" s="72" t="n">
        <v>-58.46</v>
      </c>
      <c r="AR430" s="63" t="inlineStr">
        <is>
          <t>2026-08-20</t>
        </is>
      </c>
      <c r="AS430" s="64" t="n">
        <v>1054.4</v>
      </c>
      <c r="AT430" s="67" t="n">
        <v>88.2</v>
      </c>
      <c r="AU430" s="62" t="inlineStr">
        <is>
          <t>Y</t>
        </is>
      </c>
      <c r="AV430" s="73" t="n">
        <v>43.7</v>
      </c>
      <c r="AW430" s="73" t="n"/>
      <c r="AX430" s="73" t="n"/>
      <c r="AY430" s="73" t="n">
        <v>3.7</v>
      </c>
      <c r="AZ430" s="74" t="inlineStr">
        <is>
          <t>N</t>
        </is>
      </c>
      <c r="BA430" s="75">
        <f>IF('BBG Verify'!K430="","not filed — run on terminal",'BBG Verify'!K430)</f>
        <v/>
      </c>
      <c r="BB430" s="62" t="inlineStr">
        <is>
          <t>N/A</t>
        </is>
      </c>
      <c r="BC430" s="62" t="inlineStr">
        <is>
          <t>N/A</t>
        </is>
      </c>
      <c r="BD430" s="62" t="inlineStr">
        <is>
          <t>N/A</t>
        </is>
      </c>
      <c r="BE430" s="62" t="inlineStr">
        <is>
          <t>N/A</t>
        </is>
      </c>
      <c r="BF430" s="62" t="inlineStr">
        <is>
          <t>N/A</t>
        </is>
      </c>
      <c r="BG430" s="74" t="inlineStr">
        <is>
          <t>Haitong International Capital Limited; SPDB International Capital Limited; Haitong International Securities Company Limited</t>
        </is>
      </c>
      <c r="BH430" s="62" t="inlineStr">
        <is>
          <t>Haitong International Capital Limited; SPDB International Capital Limited</t>
        </is>
      </c>
      <c r="BI430" s="62" t="inlineStr">
        <is>
          <t>Haitong International Securities Company Limited; SPDB International Capital Limited; CMB International Capital Limited; China Galaxy International Securities (Hong Kong) Co., Limited; CCB International Capital Limited; Central, Hong Kong ICBC International Securities Limited; China Renaissance Securities (Hong Kong) Limited; Futu Securities International (Hong Kong) Limited; Zhongtai International Securities Limited; XCap Partners Limited; Funde Securities Limited; Tiger Brokers (HK) Global Limited</t>
        </is>
      </c>
      <c r="BJ430" s="62" t="inlineStr">
        <is>
          <t>CCB International Capital Limited; China Galaxy International Securities (Hong Kong) Company Limited; CMB International Capital Limited; China Renaissance Securities (Hong Kong) Limited; Funde Securities Limited; Futu Securities International (Hong Kong) Limited; Haitong International Securities Company Limited; ICBC International Securities Limited; SPDB International Capital Limited; Tiger Brokers (HK) Global Limited; XCap Partners Limited; Zhongtai International Securities Limited</t>
        </is>
      </c>
      <c r="BK430" s="76">
        <f>HYPERLINK("https://www1.hkexnews.hk/listedco/listconews/sehk/2026/0129/2026012900021.pdf","prospectus")</f>
        <v/>
      </c>
      <c r="BL430" s="76">
        <f>HYPERLINK("https://www1.hkexnews.hk/listedco/listconews/sehk/2026/0205/2026020501800.pdf","allotment")</f>
        <v/>
      </c>
      <c r="BM430" s="76">
        <f>HYPERLINK("https://www1.hkexnews.hk/listedco/listconews/sehk/2026/0305/2026030502008.pdf","stabilisation")</f>
        <v/>
      </c>
      <c r="BN430" s="74" t="n"/>
      <c r="BO430" s="62" t="inlineStr">
        <is>
          <t>A/H: no A-share listing</t>
        </is>
      </c>
    </row>
    <row r="431" ht="15" customHeight="1">
      <c r="A431" s="61" t="inlineStr">
        <is>
          <t>3200</t>
        </is>
      </c>
      <c r="B431" s="62" t="inlineStr">
        <is>
          <t>HANS CNC</t>
        </is>
      </c>
      <c r="C431" s="62" t="inlineStr">
        <is>
          <t>大族數控</t>
        </is>
      </c>
      <c r="D431" s="62" t="inlineStr">
        <is>
          <t>Industrials</t>
        </is>
      </c>
      <c r="E431" s="62" t="inlineStr">
        <is>
          <t>Capital goods / machinery</t>
        </is>
      </c>
      <c r="F431" s="62" t="inlineStr">
        <is>
          <t>Printed Circuit Boards</t>
        </is>
      </c>
      <c r="G431" s="62" t="inlineStr">
        <is>
          <t>Standard</t>
        </is>
      </c>
      <c r="H431" s="63" t="n">
        <v>46059</v>
      </c>
      <c r="I431" s="64" t="n">
        <v>4833.3</v>
      </c>
      <c r="J431" s="62" t="inlineStr">
        <is>
          <t>gross (stated)</t>
        </is>
      </c>
      <c r="K431" s="65" t="n"/>
      <c r="L431" s="65" t="n">
        <v>95.8</v>
      </c>
      <c r="M431" s="65" t="n">
        <v>95.8</v>
      </c>
      <c r="N431" s="62" t="inlineStr">
        <is>
          <t>Y</t>
        </is>
      </c>
      <c r="O431" s="66" t="n">
        <v>100</v>
      </c>
      <c r="P431" s="66" t="n"/>
      <c r="Q431" s="67" t="n">
        <v>40277.5</v>
      </c>
      <c r="R431" s="62" t="inlineStr">
        <is>
          <t>derived:deal size / offer % of enlarged capital</t>
        </is>
      </c>
      <c r="S431" s="68" t="n">
        <v>446.39</v>
      </c>
      <c r="T431" s="69" t="n">
        <v>21.07</v>
      </c>
      <c r="U431" s="70" t="n">
        <v>50</v>
      </c>
      <c r="V431" s="66" t="n">
        <v>6</v>
      </c>
      <c r="W431" s="62" t="inlineStr">
        <is>
          <t>Schroders; HHLR Advisors (Hillhouse); Limited, Morgan Stanley Asia Limited; Fullgoal Fund; Hongxing International; OmniVision HK; Industrial Bank WM</t>
        </is>
      </c>
      <c r="X431" s="62" t="inlineStr">
        <is>
          <t>schroders;hhlr;morgan;fullgoal;hongxing;omnivision;industrial</t>
        </is>
      </c>
      <c r="Y431" s="66" t="n">
        <v>15</v>
      </c>
      <c r="Z431" s="62" t="inlineStr">
        <is>
          <t>full</t>
        </is>
      </c>
      <c r="AA431" s="71" t="n">
        <v>14.82</v>
      </c>
      <c r="AB431" s="72" t="n">
        <v>10.65</v>
      </c>
      <c r="AC431" s="72" t="n">
        <v>3.77</v>
      </c>
      <c r="AD431" s="72" t="n">
        <v>17.54</v>
      </c>
      <c r="AE431" s="72" t="n">
        <v>21.92</v>
      </c>
      <c r="AF431" s="72" t="n">
        <v>69.42</v>
      </c>
      <c r="AG431" s="72" t="n">
        <v>2.37</v>
      </c>
      <c r="AH431" s="72" t="n">
        <v>6.18</v>
      </c>
      <c r="AI431" s="72" t="n">
        <v>47.55</v>
      </c>
      <c r="AJ431" s="72" t="n">
        <v>18.24</v>
      </c>
      <c r="AK431" s="72" t="n">
        <v>26.5</v>
      </c>
      <c r="AL431" s="72" t="n">
        <v>76.59999999999999</v>
      </c>
      <c r="AM431" s="72" t="n">
        <v>9.92</v>
      </c>
      <c r="AN431" s="72" t="n">
        <v>-4.58</v>
      </c>
      <c r="AO431" s="72" t="n">
        <v>-3.74</v>
      </c>
      <c r="AP431" s="62" t="inlineStr">
        <is>
          <t>Hang Seng Commerce &amp; Industry sub-index</t>
        </is>
      </c>
      <c r="AQ431" s="72" t="n">
        <v>9.390000000000001</v>
      </c>
      <c r="AR431" s="63" t="inlineStr">
        <is>
          <t>2026-08-20</t>
        </is>
      </c>
      <c r="AS431" s="64" t="n">
        <v>3677.4</v>
      </c>
      <c r="AT431" s="67" t="n">
        <v>329.5</v>
      </c>
      <c r="AU431" s="62" t="inlineStr">
        <is>
          <t>Y</t>
        </is>
      </c>
      <c r="AV431" s="73" t="n">
        <v>122.2</v>
      </c>
      <c r="AW431" s="73" t="n">
        <v>50.1</v>
      </c>
      <c r="AX431" s="73" t="n">
        <v>50.2</v>
      </c>
      <c r="AY431" s="73" t="n">
        <v>11</v>
      </c>
      <c r="AZ431" s="74" t="inlineStr">
        <is>
          <t>Y</t>
        </is>
      </c>
      <c r="BA431" s="62" t="inlineStr">
        <is>
          <t>301200.SZ</t>
        </is>
      </c>
      <c r="BB431" s="72" t="n">
        <v>84.04000000000001</v>
      </c>
      <c r="BC431" s="65" t="n">
        <v>176.3149</v>
      </c>
      <c r="BD431" s="79" t="n">
        <v>2.3146</v>
      </c>
      <c r="BE431" s="77">
        <f>IF('BBG Verify'!Q431="","run on terminal",'BBG Verify'!Q431)</f>
        <v/>
      </c>
      <c r="BF431" s="77">
        <f>IF('BBG Verify'!R431="","run on terminal",'BBG Verify'!R431)</f>
        <v/>
      </c>
      <c r="BG431" s="74" t="inlineStr">
        <is>
          <t>China International Capital Corporation Hong Kong Securities Limited</t>
        </is>
      </c>
      <c r="BH431" s="62" t="inlineStr">
        <is>
          <t>China International Capital Corporation Hong Kong Securities Limited</t>
        </is>
      </c>
      <c r="BI431" s="62" t="inlineStr">
        <is>
          <t>China International Capital Corporation Hong Kong Securities Limited; Deutsche Bank AG, Hong Kong Branch; Sinolink Securities (Hong Kong) Company Limited; SDIC Securities (Hong Kong) Limited; ABCI Capital Limited</t>
        </is>
      </c>
      <c r="BJ431" s="62" t="inlineStr">
        <is>
          <t>ABCI Securities Company Limited; China International Capital Corporation Hong Kong Securities Limited; Deutsche Bank AG, Hong Kong Branch; SDIC Securities (Hong Kong) Limited; Sinolink Securities (Hong Kong) Company Limited</t>
        </is>
      </c>
      <c r="BK431" s="76">
        <f>HYPERLINK("https://www1.hkexnews.hk/listedco/listconews/sehk/2026/0129/2026012900019.pdf","prospectus")</f>
        <v/>
      </c>
      <c r="BL431" s="76">
        <f>HYPERLINK("https://www1.hkexnews.hk/listedco/listconews/sehk/2026/0205/2026020502290.pdf","allotment")</f>
        <v/>
      </c>
      <c r="BM431" s="76">
        <f>HYPERLINK("https://www1.hkexnews.hk/listedco/listconews/sehk/2026/0305/2026030501746.pdf","stabilisation")</f>
        <v/>
      </c>
      <c r="BN431" s="74" t="n"/>
      <c r="BO431" s="62" t="inlineStr">
        <is>
          <t>range low: cap-only pricing — the filing publishes a Maximum Offer Price and no indicative floor · A/H: Feb 2026 H listing (PCB drilling equipment)</t>
        </is>
      </c>
    </row>
    <row r="432" ht="15" customHeight="1">
      <c r="A432" s="61" t="inlineStr">
        <is>
          <t>2714</t>
        </is>
      </c>
      <c r="B432" s="62" t="inlineStr">
        <is>
          <t>MUYUAN</t>
        </is>
      </c>
      <c r="C432" s="62" t="inlineStr">
        <is>
          <t>牧原股份</t>
        </is>
      </c>
      <c r="D432" s="62" t="inlineStr">
        <is>
          <t>Consumer</t>
        </is>
      </c>
      <c r="E432" s="62" t="inlineStr">
        <is>
          <t>Beverages / packaged food</t>
        </is>
      </c>
      <c r="F432" s="62" t="inlineStr">
        <is>
          <t>Poultry, Meat and Seafood</t>
        </is>
      </c>
      <c r="G432" s="62" t="inlineStr">
        <is>
          <t>Standard</t>
        </is>
      </c>
      <c r="H432" s="63" t="n">
        <v>46059</v>
      </c>
      <c r="I432" s="64" t="n">
        <v>10684.1</v>
      </c>
      <c r="J432" s="62" t="inlineStr">
        <is>
          <t>gross (stated)</t>
        </is>
      </c>
      <c r="K432" s="65" t="n"/>
      <c r="L432" s="65" t="n">
        <v>39</v>
      </c>
      <c r="M432" s="65" t="n">
        <v>39</v>
      </c>
      <c r="N432" s="62" t="inlineStr">
        <is>
          <t>Y</t>
        </is>
      </c>
      <c r="O432" s="66" t="n">
        <v>100</v>
      </c>
      <c r="P432" s="66" t="n"/>
      <c r="Q432" s="67" t="n">
        <v>286002</v>
      </c>
      <c r="R432" s="62" t="inlineStr">
        <is>
          <t>prospectus:stated market capitalisation</t>
        </is>
      </c>
      <c r="S432" s="68" t="n">
        <v>5.88</v>
      </c>
      <c r="T432" s="69" t="n">
        <v>8.619999999999999</v>
      </c>
      <c r="U432" s="70" t="n">
        <v>50</v>
      </c>
      <c r="V432" s="66" t="n">
        <v>1.87</v>
      </c>
      <c r="W432" s="62" t="inlineStr">
        <is>
          <t>Charoen Pokphand Foods (CPF); Wii Pte Ltd (Wilmar); HPRY Holdings (Wilmar); Sinochem Hong Kong (Group); Hong Kong Henan Agri International; FIL Investment Management (Hong Kong) Limited; RBC Global Asset Management (Asia) Limited; Perseverance Asset Management International (Singapore) Pte. Ltd; Shanghai Gaoyi Asset Management (via HTCI swaps); Ping An of China Asset Management (Hong Kong) Company Limited; Dajia Life Insurance Co., Ltd; UBS Asset Management (Singapore) Ltd; Midea Development Holding (BVI); Integrated Core Strategies (Asia) (Millennium); Jane Street Asia Trading Limited</t>
        </is>
      </c>
      <c r="X432" s="62" t="inlineStr">
        <is>
          <t>charoen;wii;hpry;sinochem;henan;fil;rbc;perseverance;shanghai-gaoyi;ping;dajia;ubs;midea;integrated;jane</t>
        </is>
      </c>
      <c r="Y432" s="66" t="n">
        <v>15</v>
      </c>
      <c r="Z432" s="62" t="inlineStr">
        <is>
          <t>partial</t>
        </is>
      </c>
      <c r="AA432" s="71" t="n">
        <v>3.9</v>
      </c>
      <c r="AB432" s="72" t="n">
        <v>0</v>
      </c>
      <c r="AC432" s="72" t="n">
        <v>3.9</v>
      </c>
      <c r="AD432" s="72" t="n">
        <v>0.51</v>
      </c>
      <c r="AE432" s="72" t="n">
        <v>19.69</v>
      </c>
      <c r="AF432" s="72" t="n">
        <v>0.67</v>
      </c>
      <c r="AG432" s="72" t="n">
        <v>-3.26</v>
      </c>
      <c r="AH432" s="72" t="n">
        <v>15.2</v>
      </c>
      <c r="AI432" s="72" t="n">
        <v>-3.11</v>
      </c>
      <c r="AJ432" s="72" t="n">
        <v>1.21</v>
      </c>
      <c r="AK432" s="72" t="n">
        <v>24.27</v>
      </c>
      <c r="AL432" s="72" t="n">
        <v>7.85</v>
      </c>
      <c r="AM432" s="72" t="n">
        <v>18.94</v>
      </c>
      <c r="AN432" s="72" t="n">
        <v>-4.58</v>
      </c>
      <c r="AO432" s="72" t="n">
        <v>-3.74</v>
      </c>
      <c r="AP432" s="62" t="inlineStr">
        <is>
          <t>Hang Seng Commerce &amp; Industry sub-index</t>
        </is>
      </c>
      <c r="AQ432" s="72" t="n">
        <v>-8.970000000000001</v>
      </c>
      <c r="AR432" s="63" t="inlineStr">
        <is>
          <t>2026-08-20</t>
        </is>
      </c>
      <c r="AS432" s="64" t="n">
        <v>158559.5</v>
      </c>
      <c r="AT432" s="67" t="n">
        <v>16992.9</v>
      </c>
      <c r="AU432" s="62" t="inlineStr">
        <is>
          <t>Y</t>
        </is>
      </c>
      <c r="AV432" s="73" t="n">
        <v>16.8</v>
      </c>
      <c r="AW432" s="73" t="n">
        <v>12.5</v>
      </c>
      <c r="AX432" s="73" t="n">
        <v>9.9</v>
      </c>
      <c r="AY432" s="73" t="n">
        <v>1.8</v>
      </c>
      <c r="AZ432" s="74" t="inlineStr">
        <is>
          <t>Y</t>
        </is>
      </c>
      <c r="BA432" s="62" t="inlineStr">
        <is>
          <t>002714.SZ</t>
        </is>
      </c>
      <c r="BB432" s="72" t="n">
        <v>34.91</v>
      </c>
      <c r="BC432" s="65" t="n">
        <v>52.613</v>
      </c>
      <c r="BD432" s="79" t="n">
        <v>0.3801</v>
      </c>
      <c r="BE432" s="77">
        <f>IF('BBG Verify'!Q432="","run on terminal",'BBG Verify'!Q432)</f>
        <v/>
      </c>
      <c r="BF432" s="77">
        <f>IF('BBG Verify'!R432="","run on terminal",'BBG Verify'!R432)</f>
        <v/>
      </c>
      <c r="BG432" s="74" t="inlineStr">
        <is>
          <t>Morgan Stanley Asia Limited; CITIC Securities (Hong Kong) Limited; Goldman Sachs (Asia) L.L.C</t>
        </is>
      </c>
      <c r="BH432" s="62" t="inlineStr">
        <is>
          <t>Morgan Stanley Asia Limited; Goldman Sachs (Asia) L.L.C.; CITIC Securities (Hong Kong) Limited</t>
        </is>
      </c>
      <c r="BI432" s="62" t="inlineStr">
        <is>
          <t>Morgan Stanley Asia Limited; CLSA Limited; Goldman Sachs (Asia) L.L.C; China International Capital Corporation Hong Kong Securities Limited; Merrill Lynch (Asia Pacific) Limited; CMB International Capital Limited; China Merchants Securities (HK) Co., Limited; ABCI Capital Limited; BOCI Asia Limited; CCB International Capital Limited; BOCOM International Securities Limited</t>
        </is>
      </c>
      <c r="BJ432" s="62" t="inlineStr">
        <is>
          <t>ABCI Securities Company Limited; BOCI Asia Limited; BOCOM International Securities Limited; CCB International Capital Limited; China Everbright Securities (HK) Limited; China Galaxy International Securities (Hong Kong) Company Limited; Changjiang Securities Brokerage (HK) Limited; China International Capital Corporation Hong Kong Securities Limited; CLSA Limited; CMB International Capital Corporation Limited; China Merchants Securities (HK) Company Limited; Futu Securities International (Hong Kong) Limited</t>
        </is>
      </c>
      <c r="BK432" s="76">
        <f>HYPERLINK("https://www1.hkexnews.hk/listedco/listconews/sehk/2026/0129/2026012900023.pdf","prospectus")</f>
        <v/>
      </c>
      <c r="BL432" s="76">
        <f>HYPERLINK("https://www1.hkexnews.hk/listedco/listconews/sehk/2026/0205/2026020502402.pdf","allotment")</f>
        <v/>
      </c>
      <c r="BM432" s="76">
        <f>HYPERLINK("https://www1.hkexnews.hk/listedco/listconews/sehk/2026/0305/2026030501974.pdf","stabilisation")</f>
        <v/>
      </c>
      <c r="BN432" s="74" t="n"/>
      <c r="BO432" s="62" t="inlineStr">
        <is>
          <t>range low: cap-only pricing — the filing publishes a Maximum Offer Price and no indicative floor · A/H: Feb 2026, net proceeds up to HK$12.0bn w/ greenshoe; subdued debut</t>
        </is>
      </c>
    </row>
    <row r="433" ht="15" customHeight="1">
      <c r="A433" s="61" t="inlineStr">
        <is>
          <t>6809</t>
        </is>
      </c>
      <c r="B433" s="62" t="inlineStr">
        <is>
          <t>MONTAGE TECH</t>
        </is>
      </c>
      <c r="C433" s="62" t="inlineStr">
        <is>
          <t>瀾起科技</t>
        </is>
      </c>
      <c r="D433" s="62" t="inlineStr">
        <is>
          <t>Tech/AI</t>
        </is>
      </c>
      <c r="E433" s="62" t="inlineStr">
        <is>
          <t>AI chips &amp; semis</t>
        </is>
      </c>
      <c r="F433" s="62" t="inlineStr">
        <is>
          <t>Semiconductors &amp; Semiconductor Equipment</t>
        </is>
      </c>
      <c r="G433" s="62" t="inlineStr">
        <is>
          <t>Standard</t>
        </is>
      </c>
      <c r="H433" s="63" t="n">
        <v>46062</v>
      </c>
      <c r="I433" s="64" t="n">
        <v>7043</v>
      </c>
      <c r="J433" s="62" t="inlineStr">
        <is>
          <t>gross (stated)</t>
        </is>
      </c>
      <c r="K433" s="65" t="n"/>
      <c r="L433" s="65" t="n">
        <v>106.89</v>
      </c>
      <c r="M433" s="65" t="n">
        <v>106.89</v>
      </c>
      <c r="N433" s="62" t="inlineStr">
        <is>
          <t>Y</t>
        </is>
      </c>
      <c r="O433" s="66" t="n">
        <v>100</v>
      </c>
      <c r="P433" s="66" t="n"/>
      <c r="Q433" s="67" t="n">
        <v>113600.4</v>
      </c>
      <c r="R433" s="62" t="inlineStr">
        <is>
          <t>derived:deal size / offer % of enlarged capital</t>
        </is>
      </c>
      <c r="S433" s="68" t="n">
        <v>707.3</v>
      </c>
      <c r="T433" s="69" t="n">
        <v>37.67</v>
      </c>
      <c r="U433" s="70" t="n">
        <v>49.8</v>
      </c>
      <c r="V433" s="66" t="n">
        <v>3.11</v>
      </c>
      <c r="W433" s="62" t="inlineStr">
        <is>
          <t>J.P. Morgan Asset Management; UBS Asset Management; Yunfeng Capital; Alibaba (Alisoft China); Aspex Management; Janchor Partners; Huaqin Technology</t>
        </is>
      </c>
      <c r="X433" s="62" t="inlineStr">
        <is>
          <t>morgan;ubs;yunfeng;alibaba;aspex;janchor;huaqin</t>
        </is>
      </c>
      <c r="Y433" s="66" t="n">
        <v>15</v>
      </c>
      <c r="Z433" s="62" t="inlineStr">
        <is>
          <t>full</t>
        </is>
      </c>
      <c r="AA433" s="71" t="n">
        <v>63.72</v>
      </c>
      <c r="AB433" s="72" t="n">
        <v>57.17</v>
      </c>
      <c r="AC433" s="72" t="n">
        <v>4.17</v>
      </c>
      <c r="AD433" s="72" t="n">
        <v>97.40000000000001</v>
      </c>
      <c r="AE433" s="72" t="n">
        <v>64.19</v>
      </c>
      <c r="AF433" s="72" t="n">
        <v>312.39</v>
      </c>
      <c r="AG433" s="72" t="n">
        <v>20.57</v>
      </c>
      <c r="AH433" s="72" t="n">
        <v>0.29</v>
      </c>
      <c r="AI433" s="72" t="n">
        <v>151.89</v>
      </c>
      <c r="AJ433" s="72" t="n">
        <v>97.02</v>
      </c>
      <c r="AK433" s="72" t="n">
        <v>71.06999999999999</v>
      </c>
      <c r="AL433" s="72" t="n">
        <v>321.84</v>
      </c>
      <c r="AM433" s="72" t="n">
        <v>8.4</v>
      </c>
      <c r="AN433" s="72" t="n">
        <v>-6.88</v>
      </c>
      <c r="AO433" s="72" t="n">
        <v>-8.109999999999999</v>
      </c>
      <c r="AP433" s="62" t="inlineStr">
        <is>
          <t>HSTECH (Hang Seng TECH ETF)</t>
        </is>
      </c>
      <c r="AQ433" s="72" t="n">
        <v>154.47</v>
      </c>
      <c r="AR433" s="63" t="inlineStr">
        <is>
          <t>2026-08-21</t>
        </is>
      </c>
      <c r="AS433" s="64" t="n">
        <v>4002.8</v>
      </c>
      <c r="AT433" s="67" t="n">
        <v>1474.8</v>
      </c>
      <c r="AU433" s="62" t="inlineStr">
        <is>
          <t>Y</t>
        </is>
      </c>
      <c r="AV433" s="73" t="n">
        <v>77</v>
      </c>
      <c r="AW433" s="73" t="n">
        <v>79.09999999999999</v>
      </c>
      <c r="AX433" s="73" t="n">
        <v>136.4</v>
      </c>
      <c r="AY433" s="73" t="n">
        <v>28.4</v>
      </c>
      <c r="AZ433" s="74" t="inlineStr">
        <is>
          <t>Y</t>
        </is>
      </c>
      <c r="BA433" s="62" t="inlineStr">
        <is>
          <t>688008.SS</t>
        </is>
      </c>
      <c r="BB433" s="72" t="n">
        <v>72.29000000000001</v>
      </c>
      <c r="BC433" s="65" t="n">
        <v>184.1562</v>
      </c>
      <c r="BD433" s="79" t="n">
        <v>-0.1049</v>
      </c>
      <c r="BE433" s="77">
        <f>IF('BBG Verify'!Q433="","run on terminal",'BBG Verify'!Q433)</f>
        <v/>
      </c>
      <c r="BF433" s="77">
        <f>IF('BBG Verify'!R433="","run on terminal",'BBG Verify'!R433)</f>
        <v/>
      </c>
      <c r="BG433" s="74" t="inlineStr">
        <is>
          <t>China International Capital Corporation Hong Kong Securities Limited; Morgan Stanley Asia Limited; UBS Securities Hong Kong Limited</t>
        </is>
      </c>
      <c r="BH433" s="62" t="inlineStr">
        <is>
          <t>China International Capital Corporation Hong Kong Securities Limited; Morgan Stanley Asia Limited; UBS Securities Hong Kong Limited</t>
        </is>
      </c>
      <c r="BI433" s="62" t="inlineStr">
        <is>
          <t>China International Capital Corporation Hong Kong Securities Limited; Morgan Stanley Asia Limited; UBS AG Hong Kong Branch</t>
        </is>
      </c>
      <c r="BJ433" s="62" t="inlineStr">
        <is>
          <t>China International Capital Corporation Hong Kong Securities Limited; CLSA Limited; Goldman Sachs (Asia) L.L.C.; Morgan Stanley Asia Limited; UBS AG Hong Kong Branch</t>
        </is>
      </c>
      <c r="BK433" s="76">
        <f>HYPERLINK("https://www1.hkexnews.hk/listedco/listconews/sehk/2026/0130/2026013000007.pdf","prospectus")</f>
        <v/>
      </c>
      <c r="BL433" s="76">
        <f>HYPERLINK("https://www1.hkexnews.hk/listedco/listconews/sehk/2026/0206/2026020601350.pdf","allotment")</f>
        <v/>
      </c>
      <c r="BM433" s="76">
        <f>HYPERLINK("https://www1.hkexnews.hk/listedco/listconews/sehk/2026/0306/2026030600629.pdf","stabilisation")</f>
        <v/>
      </c>
      <c r="BN433" s="74" t="n"/>
      <c r="BO433" s="62" t="inlineStr">
        <is>
          <t>range low: cap-only pricing — the filing publishes a Maximum Offer Price and no indicative floor · A/H: Feb 2026 H listing (memory interface chips)</t>
        </is>
      </c>
    </row>
    <row r="434" ht="15" customHeight="1">
      <c r="A434" s="61" t="inlineStr">
        <is>
          <t>2720</t>
        </is>
      </c>
      <c r="B434" s="62" t="inlineStr">
        <is>
          <t>RIDGE OUTDOOR</t>
        </is>
      </c>
      <c r="C434" s="62" t="inlineStr">
        <is>
          <t>樂欣戶外</t>
        </is>
      </c>
      <c r="D434" s="62" t="inlineStr">
        <is>
          <t>Consumer</t>
        </is>
      </c>
      <c r="E434" s="62" t="inlineStr">
        <is>
          <t>Retail / distribution</t>
        </is>
      </c>
      <c r="F434" s="62" t="inlineStr">
        <is>
          <t>Leisure Products</t>
        </is>
      </c>
      <c r="G434" s="62" t="inlineStr">
        <is>
          <t>Standard</t>
        </is>
      </c>
      <c r="H434" s="63" t="n">
        <v>46063</v>
      </c>
      <c r="I434" s="64" t="n">
        <v>345.5</v>
      </c>
      <c r="J434" s="62" t="inlineStr">
        <is>
          <t>gross (stated)</t>
        </is>
      </c>
      <c r="K434" s="65" t="n"/>
      <c r="L434" s="65" t="n">
        <v>12.25</v>
      </c>
      <c r="M434" s="65" t="n">
        <v>12.25</v>
      </c>
      <c r="N434" s="62" t="inlineStr">
        <is>
          <t>Y</t>
        </is>
      </c>
      <c r="O434" s="66" t="n">
        <v>100</v>
      </c>
      <c r="P434" s="66" t="n"/>
      <c r="Q434" s="67" t="n">
        <v>1570.5</v>
      </c>
      <c r="R434" s="62" t="inlineStr">
        <is>
          <t>derived:price x shares upon listing</t>
        </is>
      </c>
      <c r="S434" s="68" t="n">
        <v>3654.23</v>
      </c>
      <c r="T434" s="69" t="n">
        <v>2.94</v>
      </c>
      <c r="U434" s="70" t="n">
        <v>37.62</v>
      </c>
      <c r="V434" s="66" t="n">
        <v>13.72</v>
      </c>
      <c r="W434" s="62" t="inlineStr">
        <is>
          <t>Mr. Yang; GreatCast; Taihong; Outrider Partnership; Orbit VC; Huangshan Dejun</t>
        </is>
      </c>
      <c r="X434" s="62" t="inlineStr">
        <is>
          <t>mr-yang;greatcast;taihong;outrider;orbit;huangshan</t>
        </is>
      </c>
      <c r="Y434" s="66" t="n"/>
      <c r="Z434" s="62" t="n"/>
      <c r="AA434" s="71" t="n">
        <v>102.29</v>
      </c>
      <c r="AB434" s="72" t="n">
        <v>96.08</v>
      </c>
      <c r="AC434" s="72" t="n">
        <v>3.17</v>
      </c>
      <c r="AD434" s="72" t="n">
        <v>124.49</v>
      </c>
      <c r="AE434" s="72" t="n">
        <v>112.24</v>
      </c>
      <c r="AF434" s="72" t="n">
        <v>100.82</v>
      </c>
      <c r="AG434" s="72" t="n">
        <v>10.97</v>
      </c>
      <c r="AH434" s="72" t="n">
        <v>4.92</v>
      </c>
      <c r="AI434" s="72" t="n">
        <v>-0.73</v>
      </c>
      <c r="AJ434" s="72" t="n">
        <v>126.89</v>
      </c>
      <c r="AK434" s="72" t="n">
        <v>116.15</v>
      </c>
      <c r="AL434" s="72" t="n">
        <v>108.97</v>
      </c>
      <c r="AM434" s="72" t="n">
        <v>9.609999999999999</v>
      </c>
      <c r="AN434" s="72" t="n">
        <v>-3.91</v>
      </c>
      <c r="AO434" s="72" t="n">
        <v>-4.69</v>
      </c>
      <c r="AP434" s="62" t="inlineStr">
        <is>
          <t>Hang Seng Commerce &amp; Industry sub-index</t>
        </is>
      </c>
      <c r="AQ434" s="72" t="n">
        <v>91.51000000000001</v>
      </c>
      <c r="AR434" s="63" t="inlineStr">
        <is>
          <t>2026-08-20</t>
        </is>
      </c>
      <c r="AS434" s="64" t="n">
        <v>630.8</v>
      </c>
      <c r="AT434" s="67" t="n">
        <v>65.3</v>
      </c>
      <c r="AU434" s="62" t="inlineStr">
        <is>
          <t>Y</t>
        </is>
      </c>
      <c r="AV434" s="73" t="n">
        <v>24.1</v>
      </c>
      <c r="AW434" s="73" t="n"/>
      <c r="AX434" s="73" t="n"/>
      <c r="AY434" s="73" t="n">
        <v>2.5</v>
      </c>
      <c r="AZ434" s="74" t="inlineStr">
        <is>
          <t>N</t>
        </is>
      </c>
      <c r="BA434" s="75">
        <f>IF('BBG Verify'!K434="","not filed — run on terminal",'BBG Verify'!K434)</f>
        <v/>
      </c>
      <c r="BB434" s="62" t="inlineStr">
        <is>
          <t>N/A</t>
        </is>
      </c>
      <c r="BC434" s="62" t="inlineStr">
        <is>
          <t>N/A</t>
        </is>
      </c>
      <c r="BD434" s="62" t="inlineStr">
        <is>
          <t>N/A</t>
        </is>
      </c>
      <c r="BE434" s="62" t="inlineStr">
        <is>
          <t>N/A</t>
        </is>
      </c>
      <c r="BF434" s="62" t="inlineStr">
        <is>
          <t>N/A</t>
        </is>
      </c>
      <c r="BG434" s="74" t="inlineStr">
        <is>
          <t>China International Capital Corporation Hong Kong Securities Limited</t>
        </is>
      </c>
      <c r="BH434" s="62" t="inlineStr">
        <is>
          <t>China International Capital Corporation Hong Kong Securities Limited</t>
        </is>
      </c>
      <c r="BI434" s="62" t="inlineStr">
        <is>
          <t>China International Capital Corporation Hong Kong Securities Limited; Futu Securities International (Hong Kong) Limited; Fuze Securities (International) Limited</t>
        </is>
      </c>
      <c r="BJ434" s="62" t="inlineStr">
        <is>
          <t>China International Capital Corporation Hong Kong Securities Limited; Futu Securities International (Hong Kong) Limited; FUZE SECURITIES (INTERNATIONAL) LIMITED</t>
        </is>
      </c>
      <c r="BK434" s="76">
        <f>HYPERLINK("https://www1.hkexnews.hk/listedco/listconews/sehk/2026/0130/2026013002014.pdf","prospectus")</f>
        <v/>
      </c>
      <c r="BL434" s="76">
        <f>HYPERLINK("https://www1.hkexnews.hk/listedco/listconews/sehk/2026/0209/2026020901096.pdf","allotment")</f>
        <v/>
      </c>
      <c r="BM434" s="62" t="n"/>
      <c r="BN434" s="74" t="n"/>
      <c r="BO434" s="62" t="inlineStr">
        <is>
          <t>greenshoe: no over-allotment option in the offer structure · range low: cap-only pricing — the filing publishes a Maximum Offer Price and no indicative floor · A/H: no A-share listing · greenshoe size: no over-allotment option in the offer structure</t>
        </is>
      </c>
    </row>
    <row r="435" ht="15" customHeight="1">
      <c r="A435" s="61" t="inlineStr">
        <is>
          <t>0600</t>
        </is>
      </c>
      <c r="B435" s="62" t="inlineStr">
        <is>
          <t>AXERA</t>
        </is>
      </c>
      <c r="C435" s="62" t="inlineStr">
        <is>
          <t>愛芯元智</t>
        </is>
      </c>
      <c r="D435" s="62" t="inlineStr">
        <is>
          <t>Tech/AI</t>
        </is>
      </c>
      <c r="E435" s="62" t="inlineStr">
        <is>
          <t>AI chips &amp; semis</t>
        </is>
      </c>
      <c r="F435" s="62" t="inlineStr">
        <is>
          <t>Semiconductors &amp; Semiconductor Equipment</t>
        </is>
      </c>
      <c r="G435" s="62" t="inlineStr">
        <is>
          <t>Standard</t>
        </is>
      </c>
      <c r="H435" s="63" t="n">
        <v>46063</v>
      </c>
      <c r="I435" s="64" t="n">
        <v>2958.6</v>
      </c>
      <c r="J435" s="62" t="inlineStr">
        <is>
          <t>gross (stated)</t>
        </is>
      </c>
      <c r="K435" s="65" t="n"/>
      <c r="L435" s="65" t="n">
        <v>28.2</v>
      </c>
      <c r="M435" s="65" t="n">
        <v>28.2</v>
      </c>
      <c r="N435" s="62" t="inlineStr">
        <is>
          <t>Y</t>
        </is>
      </c>
      <c r="O435" s="66" t="n">
        <v>100</v>
      </c>
      <c r="P435" s="66" t="n"/>
      <c r="Q435" s="67" t="n">
        <v>4000</v>
      </c>
      <c r="R435" s="62" t="inlineStr">
        <is>
          <t>prospectus:stated market capitalisation</t>
        </is>
      </c>
      <c r="S435" s="68" t="n">
        <v>104.82</v>
      </c>
      <c r="T435" s="69" t="n">
        <v>6.8</v>
      </c>
      <c r="U435" s="70" t="n">
        <v>48.76</v>
      </c>
      <c r="V435" s="66" t="n">
        <v>37.9</v>
      </c>
      <c r="W435" s="62" t="inlineStr">
        <is>
          <t>NGS Super Pty Limited; Factorial Master Fund; Hel Ved Master Fund; Alphahill Capital Limited; Jupiter Global Master Fund Ltd.; NonaVerse (Hong Kong) Limited; Jinyi Capital Multi-Strategy Fund SPC Ltd; OmniVision HK; Xin Ma Apparel International Limited; Desay SV Automotive Singapore Pte. Ltd; Valliance Asset Management Limited</t>
        </is>
      </c>
      <c r="X435" s="62" t="inlineStr">
        <is>
          <t>ngs;factorial;hel;alphahill;jupiter;nonaverse;jinyi;omnivision;xin;desay;valliance</t>
        </is>
      </c>
      <c r="Y435" s="66" t="n">
        <v>6</v>
      </c>
      <c r="Z435" s="62" t="n"/>
      <c r="AA435" s="71" t="n">
        <v>0</v>
      </c>
      <c r="AB435" s="72" t="n">
        <v>0</v>
      </c>
      <c r="AC435" s="72" t="n">
        <v>0</v>
      </c>
      <c r="AD435" s="72" t="n">
        <v>20.21</v>
      </c>
      <c r="AE435" s="72" t="n">
        <v>-11.21</v>
      </c>
      <c r="AF435" s="72" t="n">
        <v>-28.01</v>
      </c>
      <c r="AG435" s="72" t="n">
        <v>20.21</v>
      </c>
      <c r="AH435" s="72" t="n">
        <v>-11.21</v>
      </c>
      <c r="AI435" s="72" t="n">
        <v>-28.01</v>
      </c>
      <c r="AJ435" s="72" t="n">
        <v>23.89</v>
      </c>
      <c r="AK435" s="72" t="n">
        <v>-5.51</v>
      </c>
      <c r="AL435" s="72" t="n">
        <v>-17.82</v>
      </c>
      <c r="AM435" s="72" t="n">
        <v>-5.07</v>
      </c>
      <c r="AN435" s="72" t="n">
        <v>-5.7</v>
      </c>
      <c r="AO435" s="72" t="n">
        <v>-6.14</v>
      </c>
      <c r="AP435" s="62" t="inlineStr">
        <is>
          <t>HSTECH (Hang Seng TECH ETF)</t>
        </is>
      </c>
      <c r="AQ435" s="72" t="n">
        <v>-51.28</v>
      </c>
      <c r="AR435" s="63" t="inlineStr">
        <is>
          <t>2026-08-20</t>
        </is>
      </c>
      <c r="AS435" s="64" t="n">
        <v>520.2</v>
      </c>
      <c r="AT435" s="67" t="n">
        <v>-249.7</v>
      </c>
      <c r="AU435" s="62" t="inlineStr">
        <is>
          <t>N</t>
        </is>
      </c>
      <c r="AV435" s="62" t="inlineStr">
        <is>
          <t>n/m</t>
        </is>
      </c>
      <c r="AW435" s="73" t="n"/>
      <c r="AX435" s="73" t="n"/>
      <c r="AY435" s="73" t="n">
        <v>7.7</v>
      </c>
      <c r="AZ435" s="74" t="inlineStr">
        <is>
          <t>N</t>
        </is>
      </c>
      <c r="BA435" s="75">
        <f>IF('BBG Verify'!K435="","not filed — run on terminal",'BBG Verify'!K435)</f>
        <v/>
      </c>
      <c r="BB435" s="62" t="inlineStr">
        <is>
          <t>N/A</t>
        </is>
      </c>
      <c r="BC435" s="62" t="inlineStr">
        <is>
          <t>N/A</t>
        </is>
      </c>
      <c r="BD435" s="62" t="inlineStr">
        <is>
          <t>N/A</t>
        </is>
      </c>
      <c r="BE435" s="62" t="inlineStr">
        <is>
          <t>N/A</t>
        </is>
      </c>
      <c r="BF435" s="62" t="inlineStr">
        <is>
          <t>N/A</t>
        </is>
      </c>
      <c r="BG435" s="74" t="inlineStr">
        <is>
          <t>China International Capital Corporation Hong Kong Securities Limited; Guotai Junan Capital Limited; BOCOM International (Asia) Limited</t>
        </is>
      </c>
      <c r="BH435" s="62" t="inlineStr">
        <is>
          <t>China International Capital Corporation Hong Kong Securities Limited; BOCOM International (Asia) Limited; Guotai Junan Capital Limited</t>
        </is>
      </c>
      <c r="BI435" s="62" t="inlineStr">
        <is>
          <t>China International Capital Corporation Hong Kong Securities Limited; BOCOM International Securities Limited; GF Securities (Hong Kong) Brokerage Limited; Ping An Securities (Hong Kong) Company Limited; Guotai Junan Securities (Hong Kong) Limited; Futu Securities International (Hong Kong) Limited; Livermore Holdings Limited; Golden Continent Securities Co., Limited</t>
        </is>
      </c>
      <c r="BJ435" s="62" t="inlineStr">
        <is>
          <t>BOCOM International Securities Limited; China International Capital Corporation Hong Kong Securities Limited; Guotai Junan Securities (Hong Kong) Limited</t>
        </is>
      </c>
      <c r="BK435" s="76">
        <f>HYPERLINK("https://www1.hkexnews.hk/listedco/listconews/sehk/2026/0130/2026013000009.pdf","prospectus")</f>
        <v/>
      </c>
      <c r="BL435" s="76">
        <f>HYPERLINK("https://www1.hkexnews.hk/listedco/listconews/sehk/2026/0209/2026020901278.pdf","allotment")</f>
        <v/>
      </c>
      <c r="BM435" s="62" t="n"/>
      <c r="BN435" s="74" t="n"/>
      <c r="BO435" s="62" t="inlineStr">
        <is>
          <t>P/E: n/m — loss-making at IPO (use P/S) · greenshoe: end-of-stabilisation notice not located · range low: cap-only pricing — the filing publishes a Maximum Offer Price and no indicative floor · A/H: no A line; closest listed proxy {'code': '603893.SS', 'name': 'Rockchip Electronics', 'rationale': "A-share edge-AI SoC designer — nearest listed comp to Axera's smart-vision/edge inference chips."}</t>
        </is>
      </c>
    </row>
    <row r="436" ht="15" customHeight="1">
      <c r="A436" s="61" t="inlineStr">
        <is>
          <t>0470</t>
        </is>
      </c>
      <c r="B436" s="62" t="inlineStr">
        <is>
          <t>WUXI LEAD</t>
        </is>
      </c>
      <c r="C436" s="62" t="inlineStr">
        <is>
          <t>先導智能</t>
        </is>
      </c>
      <c r="D436" s="62" t="inlineStr">
        <is>
          <t>Industrials</t>
        </is>
      </c>
      <c r="E436" s="62" t="inlineStr">
        <is>
          <t>Capital goods / machinery</t>
        </is>
      </c>
      <c r="F436" s="62" t="inlineStr">
        <is>
          <t>Advanced hardware and software</t>
        </is>
      </c>
      <c r="G436" s="62" t="inlineStr">
        <is>
          <t>Standard</t>
        </is>
      </c>
      <c r="H436" s="63" t="n">
        <v>46064</v>
      </c>
      <c r="I436" s="64" t="n">
        <v>4930.8</v>
      </c>
      <c r="J436" s="62" t="inlineStr">
        <is>
          <t>gross (stated)</t>
        </is>
      </c>
      <c r="K436" s="65" t="n"/>
      <c r="L436" s="65" t="n">
        <v>45.8</v>
      </c>
      <c r="M436" s="65" t="n">
        <v>45.8</v>
      </c>
      <c r="N436" s="62" t="inlineStr">
        <is>
          <t>Y</t>
        </is>
      </c>
      <c r="O436" s="66" t="n">
        <v>100</v>
      </c>
      <c r="P436" s="66" t="n"/>
      <c r="Q436" s="67" t="n">
        <v>275463.7</v>
      </c>
      <c r="R436" s="62" t="inlineStr">
        <is>
          <t>derived:deal size / offer % of enlarged capital</t>
        </is>
      </c>
      <c r="S436" s="68" t="n">
        <v>79.54000000000001</v>
      </c>
      <c r="T436" s="78">
        <f>IF('BBG Verify'!E436="","not filed — run on terminal",'BBG Verify'!E436)</f>
        <v/>
      </c>
      <c r="U436" s="70" t="n">
        <v>43.5</v>
      </c>
      <c r="V436" s="66" t="n">
        <v>1.01</v>
      </c>
      <c r="W436" s="62" t="inlineStr">
        <is>
          <t>Pinpoint; Offshore SP3; Ovata Capital; Millennium ICSA; Oaktree; MY Asian</t>
        </is>
      </c>
      <c r="X436" s="62" t="inlineStr">
        <is>
          <t>pinpoint;offshore;ovata;millennium;oaktree;my</t>
        </is>
      </c>
      <c r="Y436" s="66" t="n">
        <v>15</v>
      </c>
      <c r="Z436" s="62" t="inlineStr">
        <is>
          <t>partial</t>
        </is>
      </c>
      <c r="AA436" s="71" t="n">
        <v>0</v>
      </c>
      <c r="AB436" s="72" t="n">
        <v>1</v>
      </c>
      <c r="AC436" s="72" t="n">
        <v>-0.99</v>
      </c>
      <c r="AD436" s="72" t="n">
        <v>0.61</v>
      </c>
      <c r="AE436" s="72" t="n">
        <v>-9.039999999999999</v>
      </c>
      <c r="AF436" s="72" t="n">
        <v>15.5</v>
      </c>
      <c r="AG436" s="72" t="n">
        <v>0.61</v>
      </c>
      <c r="AH436" s="72" t="n">
        <v>-9.039999999999999</v>
      </c>
      <c r="AI436" s="72" t="n">
        <v>15.5</v>
      </c>
      <c r="AJ436" s="72" t="n">
        <v>1.12</v>
      </c>
      <c r="AK436" s="72" t="n">
        <v>-4.23</v>
      </c>
      <c r="AL436" s="72" t="n">
        <v>24.71</v>
      </c>
      <c r="AM436" s="72" t="n">
        <v>-3.62</v>
      </c>
      <c r="AN436" s="72" t="n">
        <v>-4.81</v>
      </c>
      <c r="AO436" s="72" t="n">
        <v>-5.42</v>
      </c>
      <c r="AP436" s="62" t="inlineStr">
        <is>
          <t>Hang Seng Commerce &amp; Industry sub-index</t>
        </is>
      </c>
      <c r="AQ436" s="72" t="n">
        <v>-33.19</v>
      </c>
      <c r="AR436" s="63" t="inlineStr">
        <is>
          <t>2026-08-20</t>
        </is>
      </c>
      <c r="AS436" s="64" t="n">
        <v>13040.6</v>
      </c>
      <c r="AT436" s="67" t="n"/>
      <c r="AU436" s="62" t="inlineStr">
        <is>
          <t>Y</t>
        </is>
      </c>
      <c r="AV436" s="77">
        <f>IF('BBG Verify'!O436="","not filed — run on terminal",'BBG Verify'!O436)</f>
        <v/>
      </c>
      <c r="AW436" s="73" t="n"/>
      <c r="AX436" s="73" t="n"/>
      <c r="AY436" s="73" t="n">
        <v>21.1</v>
      </c>
      <c r="AZ436" s="74" t="inlineStr">
        <is>
          <t>Y</t>
        </is>
      </c>
      <c r="BA436" s="62" t="inlineStr">
        <is>
          <t>300450.SZ</t>
        </is>
      </c>
      <c r="BB436" s="72" t="n">
        <v>41.82</v>
      </c>
      <c r="BC436" s="65" t="n">
        <v>64.9515</v>
      </c>
      <c r="BD436" s="79" t="n">
        <v>0.2587</v>
      </c>
      <c r="BE436" s="77">
        <f>IF('BBG Verify'!Q436="","run on terminal",'BBG Verify'!Q436)</f>
        <v/>
      </c>
      <c r="BF436" s="77">
        <f>IF('BBG Verify'!R436="","run on terminal",'BBG Verify'!R436)</f>
        <v/>
      </c>
      <c r="BG436" s="74" t="inlineStr">
        <is>
          <t>CITIC Securities (Hong Kong) Limited; J.P. Morgan Securities (Far East) Limited</t>
        </is>
      </c>
      <c r="BH436" s="62" t="inlineStr">
        <is>
          <t>J.P. Morgan Securities (Far East) Limited; CITIC Securities (Hong Kong) Limited</t>
        </is>
      </c>
      <c r="BI436" s="62" t="inlineStr">
        <is>
          <t>CMB International Capital Limited; ICBC International Securities Limited; SPDB International Capital Limited</t>
        </is>
      </c>
      <c r="BJ436" s="62" t="inlineStr">
        <is>
          <t>ABCI Securities Company Limited; BOCI Asia Limited; CLSA Limited; CMB International Capital Limited; Huatai Financial Holdings (Hong Kong) Limited; ICBC International Securities Limited; J.P. Morgan Securities (Asia Pacific) Limited; SPDB International Capital Limited</t>
        </is>
      </c>
      <c r="BK436" s="76">
        <f>HYPERLINK("https://www1.hkexnews.hk/listedco/listconews/sehk/2026/0203/2026020300009.pdf","prospectus")</f>
        <v/>
      </c>
      <c r="BL436" s="76">
        <f>HYPERLINK("https://www1.hkexnews.hk/listedco/listconews/sehk/2026/0210/2026021001338.pdf","allotment")</f>
        <v/>
      </c>
      <c r="BM436" s="76">
        <f>HYPERLINK("https://www1.hkexnews.hk/listedco/listconews/sehk/2026/0308/2026030800191.pdf","stabilisation")</f>
        <v/>
      </c>
      <c r="BN436" s="74" t="n"/>
      <c r="BO436" s="62" t="inlineStr">
        <is>
          <t>intl sub: subscription level not stated in the filing · P/E: withheld — mktcap / net income gives 875x, which fails the 300x plausibility check; the extracted net income (HK$314.7m) is not trustworthy · range low: cap-only pricing — the filing publishes a Maximum Offer Price and no indicative floor · A/H: Feb 2026 H listing (battery-making equipment) · financials: financial tables not machine-extractable and the pre-IPO year is outside AAStocks' 5-year window</t>
        </is>
      </c>
    </row>
    <row r="437" ht="15" customHeight="1">
      <c r="A437" s="61" t="inlineStr">
        <is>
          <t>2706</t>
        </is>
      </c>
      <c r="B437" s="62" t="inlineStr">
        <is>
          <t>HAIZHI TECH GP</t>
        </is>
      </c>
      <c r="C437" s="62" t="inlineStr">
        <is>
          <t>海致科技集團</t>
        </is>
      </c>
      <c r="D437" s="62" t="inlineStr">
        <is>
          <t>Tech/AI</t>
        </is>
      </c>
      <c r="E437" s="62" t="inlineStr">
        <is>
          <t>AI application / agent software</t>
        </is>
      </c>
      <c r="F437" s="62" t="inlineStr">
        <is>
          <t>Advanced hardware and software</t>
        </is>
      </c>
      <c r="G437" s="62" t="inlineStr">
        <is>
          <t>Standard</t>
        </is>
      </c>
      <c r="H437" s="63" t="n">
        <v>46066</v>
      </c>
      <c r="I437" s="64" t="n">
        <v>758.5</v>
      </c>
      <c r="J437" s="62" t="inlineStr">
        <is>
          <t>gross (stated)</t>
        </is>
      </c>
      <c r="K437" s="65" t="n">
        <v>25.6</v>
      </c>
      <c r="L437" s="65" t="n">
        <v>28</v>
      </c>
      <c r="M437" s="65" t="n">
        <v>27.06</v>
      </c>
      <c r="N437" s="62" t="inlineStr">
        <is>
          <t>N</t>
        </is>
      </c>
      <c r="O437" s="66" t="n">
        <v>96.59999999999999</v>
      </c>
      <c r="P437" s="66" t="n">
        <v>60.8</v>
      </c>
      <c r="Q437" s="67" t="n">
        <v>10835.7</v>
      </c>
      <c r="R437" s="62" t="inlineStr">
        <is>
          <t>derived:price x shares upon listing</t>
        </is>
      </c>
      <c r="S437" s="68" t="n">
        <v>5065.06</v>
      </c>
      <c r="T437" s="69" t="n">
        <v>8.390000000000001</v>
      </c>
      <c r="U437" s="70" t="n">
        <v>93</v>
      </c>
      <c r="V437" s="66" t="n">
        <v>0.49</v>
      </c>
      <c r="W437" s="62" t="inlineStr">
        <is>
          <t>Ren Xuyang (任旭陽); Yang Zaifei (楊再飛); LC ELITE LIMITED; BAI GmbH; SKY FINE LIMITED; Yifang Technology Group, Ltd; Shi Youcai (史有才); Yang Juan (楊娟); Wan Pengjiang (萬澎江); I, L.P; Hu Song (胡嵩); TAL China Focus Master Fund; TAL Global Opportunities Master Fund; Alternative Fund, L.P</t>
        </is>
      </c>
      <c r="X437" s="62" t="inlineStr">
        <is>
          <t>ren-xuyang;yang-zaifei;lc;bai-gmbh;sky;yifang;shi-youcai;yang-juan;wan-pengjiang;hu-song;tal;alternative</t>
        </is>
      </c>
      <c r="Y437" s="66" t="n"/>
      <c r="Z437" s="62" t="n"/>
      <c r="AA437" s="71" t="n">
        <v>242.2</v>
      </c>
      <c r="AB437" s="72" t="n">
        <v>204.14</v>
      </c>
      <c r="AC437" s="72" t="n">
        <v>12.51</v>
      </c>
      <c r="AD437" s="72" t="n">
        <v>298.74</v>
      </c>
      <c r="AE437" s="72" t="n">
        <v>204.69</v>
      </c>
      <c r="AF437" s="72" t="n">
        <v>132.45</v>
      </c>
      <c r="AG437" s="72" t="n">
        <v>16.52</v>
      </c>
      <c r="AH437" s="72" t="n">
        <v>-10.96</v>
      </c>
      <c r="AI437" s="72" t="n">
        <v>-32.07</v>
      </c>
      <c r="AJ437" s="72" t="n">
        <v>301.67</v>
      </c>
      <c r="AK437" s="72" t="n">
        <v>212.53</v>
      </c>
      <c r="AL437" s="72" t="n">
        <v>142.63</v>
      </c>
      <c r="AM437" s="72" t="n">
        <v>-4.09</v>
      </c>
      <c r="AN437" s="72" t="n">
        <v>-7.84</v>
      </c>
      <c r="AO437" s="72" t="n">
        <v>-6.87</v>
      </c>
      <c r="AP437" s="62" t="inlineStr">
        <is>
          <t>HSTECH (Hang Seng TECH ETF)</t>
        </is>
      </c>
      <c r="AQ437" s="72" t="n">
        <v>64.81999999999999</v>
      </c>
      <c r="AR437" s="63" t="inlineStr">
        <is>
          <t>2026-08-20</t>
        </is>
      </c>
      <c r="AS437" s="64" t="n">
        <v>553.4</v>
      </c>
      <c r="AT437" s="67" t="n">
        <v>-103.1</v>
      </c>
      <c r="AU437" s="62" t="inlineStr">
        <is>
          <t>N</t>
        </is>
      </c>
      <c r="AV437" s="62" t="inlineStr">
        <is>
          <t>n/m</t>
        </is>
      </c>
      <c r="AW437" s="73" t="n"/>
      <c r="AX437" s="73" t="n"/>
      <c r="AY437" s="73" t="n">
        <v>19.6</v>
      </c>
      <c r="AZ437" s="74" t="inlineStr">
        <is>
          <t>N</t>
        </is>
      </c>
      <c r="BA437" s="75">
        <f>IF('BBG Verify'!K437="","not filed — run on terminal",'BBG Verify'!K437)</f>
        <v/>
      </c>
      <c r="BB437" s="62" t="inlineStr">
        <is>
          <t>N/A</t>
        </is>
      </c>
      <c r="BC437" s="62" t="inlineStr">
        <is>
          <t>N/A</t>
        </is>
      </c>
      <c r="BD437" s="62" t="inlineStr">
        <is>
          <t>N/A</t>
        </is>
      </c>
      <c r="BE437" s="62" t="inlineStr">
        <is>
          <t>N/A</t>
        </is>
      </c>
      <c r="BF437" s="62" t="inlineStr">
        <is>
          <t>N/A</t>
        </is>
      </c>
      <c r="BG437" s="74" t="inlineStr">
        <is>
          <t>CMB International Capital Limited; BOCI Asia Limited; Shenwan Hongyuan Capital (H.K.) Limited</t>
        </is>
      </c>
      <c r="BH437" s="62" t="inlineStr">
        <is>
          <t>CMB International Capital Limited; BOCI Asia Limited; Shenwan Hongyuan Capital (H.K.) Limited</t>
        </is>
      </c>
      <c r="BI437" s="62" t="inlineStr">
        <is>
          <t>CMB International Capital Limited; BOCI Asia Limited; Shenwan Hongyuan Securities (H.K.) Limited; Futu Securities International (Hong Kong) Limited; No. 95 Queensway Admiralty, Hong Kong Tiger Brokers (HK) Global Limited; ABCI Capital Limited; Central, Hong Kong Funde Securities Limited; Admiralty, Hong Kong Huafu International Securities Limited; Central, Hong Kong Livermore Holdings Limited; TradeGo Markets Limited; Central, Hong Kong Eddid Securities and Futures Limited</t>
        </is>
      </c>
      <c r="BJ437" s="62" t="inlineStr">
        <is>
          <t>ABCI Securities Company Limited; BOCI Asia Limited; CMB International Capital Limited; Eddid Securities and Futures Limited; Funde Securities Limited; Futu Securities International (Hong Kong) Limited; Huafu International Securities Limited; Livermore Holdings Limited; Shenwan Hongyuan Securities (H.K.) Limited; Tiger Brokers (HK) Global Limited; TradeGo Markets Limited</t>
        </is>
      </c>
      <c r="BK437" s="76">
        <f>HYPERLINK("https://www1.hkexnews.hk/listedco/listconews/sehk/2026/0205/2026020500037.pdf","prospectus")</f>
        <v/>
      </c>
      <c r="BL437" s="76">
        <f>HYPERLINK("https://www1.hkexnews.hk/listedco/listconews/sehk/2026/0212/2026021201324.pdf","allotment")</f>
        <v/>
      </c>
      <c r="BM437" s="62" t="n"/>
      <c r="BN437" s="74" t="n"/>
      <c r="BO437" s="62" t="inlineStr">
        <is>
          <t>P/E: n/m — loss-making at IPO (use P/S) · greenshoe: no over-allotment option in the offer structure · A/H: no A-share listing · greenshoe size: no over-allotment option in the offer structure</t>
        </is>
      </c>
    </row>
    <row r="438" ht="15" customHeight="1">
      <c r="A438" s="61" t="inlineStr">
        <is>
          <t>9981</t>
        </is>
      </c>
      <c r="B438" s="62" t="inlineStr">
        <is>
          <t>WOER</t>
        </is>
      </c>
      <c r="C438" s="62" t="inlineStr">
        <is>
          <t>沃爾核材</t>
        </is>
      </c>
      <c r="D438" s="62" t="inlineStr">
        <is>
          <t>Materials/Energy</t>
        </is>
      </c>
      <c r="E438" s="62" t="inlineStr">
        <is>
          <t>Chemicals</t>
        </is>
      </c>
      <c r="F438" s="62" t="inlineStr">
        <is>
          <t>Electrical Components &amp; Equipment</t>
        </is>
      </c>
      <c r="G438" s="62" t="inlineStr">
        <is>
          <t>Standard</t>
        </is>
      </c>
      <c r="H438" s="63" t="n">
        <v>46066</v>
      </c>
      <c r="I438" s="64" t="n">
        <v>2812.4</v>
      </c>
      <c r="J438" s="62" t="inlineStr">
        <is>
          <t>gross (stated)</t>
        </is>
      </c>
      <c r="K438" s="65" t="n"/>
      <c r="L438" s="65" t="n">
        <v>20.09</v>
      </c>
      <c r="M438" s="65" t="n">
        <v>20.09</v>
      </c>
      <c r="N438" s="62" t="inlineStr">
        <is>
          <t>Y</t>
        </is>
      </c>
      <c r="O438" s="66" t="n">
        <v>100</v>
      </c>
      <c r="P438" s="66" t="n"/>
      <c r="Q438" s="67" t="n">
        <v>28123.7</v>
      </c>
      <c r="R438" s="62" t="inlineStr">
        <is>
          <t>derived:price x shares upon listing</t>
        </is>
      </c>
      <c r="S438" s="68" t="n">
        <v>569.58</v>
      </c>
      <c r="T438" s="69" t="n">
        <v>8.19</v>
      </c>
      <c r="U438" s="70" t="n">
        <v>34.45</v>
      </c>
      <c r="V438" s="66" t="n">
        <v>6.56</v>
      </c>
      <c r="W438" s="62" t="inlineStr">
        <is>
          <t>HHLR Advisors, Ltd; Shanghai Greenwoods (via Huatai OTC swaps); Jump Trading Pacific Pte. Ltd; Huizhou Huilian Investment Partnership (LP); Jiangxi Copper (via GTJA OTC swaps); Shen Zhen New World Investment (H.K.); Best Cheer Development; RIME Capital Limited; SCV Alpha LP; Yield Royal Investment Holding (Singapore); Guohui (HK) Holdings Co., Limited; Pu Xin (via GTJA OTC swaps); Capchem (Hongkong); Enhanced Investment Products (EIP); Factorial Master Fund</t>
        </is>
      </c>
      <c r="X438" s="62" t="inlineStr">
        <is>
          <t>hhlr;shanghai-greenwoods;jump;huizhou;jiangxi;shen-zhen;best;rime;scv;yield;guohui;pu;capchem;enhanced;factorial</t>
        </is>
      </c>
      <c r="Y438" s="66" t="n"/>
      <c r="Z438" s="62" t="n"/>
      <c r="AA438" s="71" t="n">
        <v>2.94</v>
      </c>
      <c r="AB438" s="72" t="n">
        <v>0.05</v>
      </c>
      <c r="AC438" s="72" t="n">
        <v>2.89</v>
      </c>
      <c r="AD438" s="72" t="n">
        <v>3.04</v>
      </c>
      <c r="AE438" s="72" t="n">
        <v>1.05</v>
      </c>
      <c r="AF438" s="72" t="n">
        <v>-28.07</v>
      </c>
      <c r="AG438" s="72" t="n">
        <v>0.1</v>
      </c>
      <c r="AH438" s="72" t="n">
        <v>-1.84</v>
      </c>
      <c r="AI438" s="72" t="n">
        <v>-30.12</v>
      </c>
      <c r="AJ438" s="72" t="n">
        <v>4.99</v>
      </c>
      <c r="AK438" s="72" t="n">
        <v>7.19</v>
      </c>
      <c r="AL438" s="72" t="n">
        <v>-18.36</v>
      </c>
      <c r="AM438" s="72" t="n">
        <v>2.93</v>
      </c>
      <c r="AN438" s="72" t="n">
        <v>-6.14</v>
      </c>
      <c r="AO438" s="72" t="n">
        <v>-4.77</v>
      </c>
      <c r="AP438" s="62" t="inlineStr">
        <is>
          <t>Hang Seng Commerce &amp; Industry sub-index</t>
        </is>
      </c>
      <c r="AQ438" s="72" t="n">
        <v>-50.52</v>
      </c>
      <c r="AR438" s="63" t="inlineStr">
        <is>
          <t>2026-08-20</t>
        </is>
      </c>
      <c r="AS438" s="64" t="n">
        <v>7612.1</v>
      </c>
      <c r="AT438" s="67" t="n">
        <v>1012.6</v>
      </c>
      <c r="AU438" s="62" t="inlineStr">
        <is>
          <t>Y</t>
        </is>
      </c>
      <c r="AV438" s="73" t="n">
        <v>27.8</v>
      </c>
      <c r="AW438" s="73" t="n">
        <v>19.9</v>
      </c>
      <c r="AX438" s="73" t="n">
        <v>10.1</v>
      </c>
      <c r="AY438" s="73" t="n">
        <v>3.7</v>
      </c>
      <c r="AZ438" s="74" t="inlineStr">
        <is>
          <t>Y</t>
        </is>
      </c>
      <c r="BA438" s="62" t="inlineStr">
        <is>
          <t>002130.SZ</t>
        </is>
      </c>
      <c r="BB438" s="72" t="n">
        <v>58.6</v>
      </c>
      <c r="BC438" s="65" t="n">
        <v>31.8623</v>
      </c>
      <c r="BD438" s="79" t="n">
        <v>0.9172</v>
      </c>
      <c r="BE438" s="77">
        <f>IF('BBG Verify'!Q438="","run on terminal",'BBG Verify'!Q438)</f>
        <v/>
      </c>
      <c r="BF438" s="77">
        <f>IF('BBG Verify'!R438="","run on terminal",'BBG Verify'!R438)</f>
        <v/>
      </c>
      <c r="BG438" s="74" t="inlineStr">
        <is>
          <t>China Merchants Securities (HK) Co., Limited</t>
        </is>
      </c>
      <c r="BH438" s="62" t="inlineStr">
        <is>
          <t>China Securities (International) Corporate Finance Company Limited; China Merchants Securities (HK) Company Limited</t>
        </is>
      </c>
      <c r="BI438" s="62" t="inlineStr">
        <is>
          <t>China Securities (International) Corporate Finance Company Limited; China Merchants Securities (HK) Co., Limited; Central, Hong Kong Shanxi Securities International Limited; DBS Asia Capital Limited; Futu Securities International (Hong Kong) Limited; No. 95 Queensway Admiralty, Hong Kong Tiger Brokers (HK) Global Limited; Admiralty, Hong Kong DBS Asia Capital Limited</t>
        </is>
      </c>
      <c r="BJ438" s="62" t="inlineStr">
        <is>
          <t>China Merchants Securities (HK) Company Limited; China Securities (International) Corporate Finance Company Limited; DBS Asia Capital Limited; Futu Securities International (Hong Kong) Limited; Shanxi Securities International Limited; Tiger Brokers (HK) Global Limited</t>
        </is>
      </c>
      <c r="BK438" s="76">
        <f>HYPERLINK("https://www1.hkexnews.hk/listedco/listconews/sehk/2026/0205/2026020500092.htm","prospectus")</f>
        <v/>
      </c>
      <c r="BL438" s="76">
        <f>HYPERLINK("https://www1.hkexnews.hk/listedco/listconews/sehk/2026/0212/2026021201492.pdf","allotment")</f>
        <v/>
      </c>
      <c r="BM438" s="62" t="n"/>
      <c r="BN438" s="74" t="n"/>
      <c r="BO438" s="62" t="inlineStr">
        <is>
          <t>greenshoe: no over-allotment option in the offer structure · range low: cap-only pricing — the filing publishes a Maximum Offer Price and no indicative floor · A/H: Feb 2026 H listing · greenshoe size: no over-allotment option in the offer structure</t>
        </is>
      </c>
    </row>
    <row r="439" ht="15" customHeight="1">
      <c r="A439" s="61" t="inlineStr">
        <is>
          <t>2715</t>
        </is>
      </c>
      <c r="B439" s="62" t="inlineStr">
        <is>
          <t>ESTUN</t>
        </is>
      </c>
      <c r="C439" s="62" t="inlineStr">
        <is>
          <t>埃斯頓</t>
        </is>
      </c>
      <c r="D439" s="62" t="inlineStr">
        <is>
          <t>Tech/AI</t>
        </is>
      </c>
      <c r="E439" s="62" t="inlineStr">
        <is>
          <t>Robotics &amp; autonomous driving</t>
        </is>
      </c>
      <c r="F439" s="62" t="inlineStr">
        <is>
          <t>Next-generation information technology</t>
        </is>
      </c>
      <c r="G439" s="62" t="inlineStr">
        <is>
          <t>Standard</t>
        </is>
      </c>
      <c r="H439" s="63" t="n">
        <v>46090</v>
      </c>
      <c r="I439" s="64" t="n">
        <v>1486.54</v>
      </c>
      <c r="J439" s="62" t="inlineStr">
        <is>
          <t>gross (stated)</t>
        </is>
      </c>
      <c r="K439" s="65" t="n"/>
      <c r="L439" s="65" t="n">
        <v>17</v>
      </c>
      <c r="M439" s="65" t="n">
        <v>15.36</v>
      </c>
      <c r="N439" s="62" t="inlineStr">
        <is>
          <t>N</t>
        </is>
      </c>
      <c r="O439" s="66" t="n">
        <v>90.40000000000001</v>
      </c>
      <c r="P439" s="66" t="n"/>
      <c r="Q439" s="67" t="n">
        <v>16299.5</v>
      </c>
      <c r="R439" s="62" t="inlineStr">
        <is>
          <t>aastocks:上市市值 at the struck price</t>
        </is>
      </c>
      <c r="S439" s="68" t="n">
        <v>19.67</v>
      </c>
      <c r="T439" s="69" t="n">
        <v>3.34</v>
      </c>
      <c r="U439" s="70" t="n">
        <v>35.1</v>
      </c>
      <c r="V439" s="66" t="n">
        <v>5.92</v>
      </c>
      <c r="W439" s="62" t="inlineStr">
        <is>
          <t>Deep Source Holdings Limited; Dreamee (Hong Kong) Open-ended Fund Company; Haitian Huayuan (Singapore) Pte. Ltd; Harvest Oriental SP; Hengtong Optic-electric International Co., Limited; New Fortune Holdings Group Limited; Qianhai Hezhong Investment Holding Limited</t>
        </is>
      </c>
      <c r="X439" s="62" t="inlineStr">
        <is>
          <t>deep;dreamee;haitian;harvest;hengtong;new-fortune;qianhai</t>
        </is>
      </c>
      <c r="Y439" s="66" t="n">
        <v>5.1</v>
      </c>
      <c r="Z439" s="62" t="inlineStr">
        <is>
          <t>lapsed</t>
        </is>
      </c>
      <c r="AA439" s="71" t="n">
        <v>-16.02</v>
      </c>
      <c r="AB439" s="72" t="n">
        <v>0</v>
      </c>
      <c r="AC439" s="72" t="n">
        <v>-16.02</v>
      </c>
      <c r="AD439" s="72" t="n">
        <v>-16.41</v>
      </c>
      <c r="AE439" s="72" t="n">
        <v>-16.73</v>
      </c>
      <c r="AF439" s="72" t="n">
        <v>8.27</v>
      </c>
      <c r="AG439" s="72" t="n">
        <v>-0.46</v>
      </c>
      <c r="AH439" s="72" t="n">
        <v>-0.85</v>
      </c>
      <c r="AI439" s="72" t="n">
        <v>28.92</v>
      </c>
      <c r="AJ439" s="72" t="n">
        <v>-19.76</v>
      </c>
      <c r="AK439" s="72" t="n">
        <v>-15.12</v>
      </c>
      <c r="AL439" s="72" t="n">
        <v>13.98</v>
      </c>
      <c r="AM439" s="72" t="n">
        <v>0.47</v>
      </c>
      <c r="AN439" s="72" t="n">
        <v>-1.61</v>
      </c>
      <c r="AO439" s="72" t="n">
        <v>-1.32</v>
      </c>
      <c r="AP439" s="62" t="inlineStr">
        <is>
          <t>HSTECH (Hang Seng TECH ETF)</t>
        </is>
      </c>
      <c r="AQ439" s="72" t="n">
        <v>16.15</v>
      </c>
      <c r="AR439" s="63" t="inlineStr">
        <is>
          <t>2026-08-21</t>
        </is>
      </c>
      <c r="AS439" s="64" t="n">
        <v>4409.6</v>
      </c>
      <c r="AT439" s="67" t="n">
        <v>-664.6</v>
      </c>
      <c r="AU439" s="62" t="inlineStr">
        <is>
          <t>N</t>
        </is>
      </c>
      <c r="AV439" s="62" t="inlineStr">
        <is>
          <t>n/m</t>
        </is>
      </c>
      <c r="AW439" s="73" t="n">
        <v>210.8</v>
      </c>
      <c r="AX439" s="73" t="n">
        <v>303.5</v>
      </c>
      <c r="AY439" s="73" t="n">
        <v>3.7</v>
      </c>
      <c r="AZ439" s="74" t="inlineStr">
        <is>
          <t>Y</t>
        </is>
      </c>
      <c r="BA439" s="62" t="inlineStr">
        <is>
          <t>002747.SZ</t>
        </is>
      </c>
      <c r="BB439" s="72" t="n">
        <v>64.04000000000001</v>
      </c>
      <c r="BC439" s="65" t="n">
        <v>25.1964</v>
      </c>
      <c r="BD439" s="79" t="n">
        <v>1.14</v>
      </c>
      <c r="BE439" s="77">
        <f>IF('BBG Verify'!Q439="","run on terminal",'BBG Verify'!Q439)</f>
        <v/>
      </c>
      <c r="BF439" s="77">
        <f>IF('BBG Verify'!R439="","run on terminal",'BBG Verify'!R439)</f>
        <v/>
      </c>
      <c r="BG439" s="74" t="inlineStr">
        <is>
          <t>Huatai Financial Holdings (Hong Kong) Limited</t>
        </is>
      </c>
      <c r="BH439" s="62" t="inlineStr">
        <is>
          <t>Huatai Financial Holdings (Hong Kong) Limited</t>
        </is>
      </c>
      <c r="BI439" s="62" t="inlineStr">
        <is>
          <t>Huatai Financial Holdings (Hong Kong) Limited; GF Securities (Hong Kong) Brokerage Limited; BOCOM International Securities Limited; CMB International Capital Limited; ABCI Capital Limited; BOCI Asia Limited; Futu Securities International (Hong Kong) Limited; Livermore Holdings Limited; TradeGo Markets Limited; Huaan Securities (Hong Kong) Brokerage Limited</t>
        </is>
      </c>
      <c r="BJ439" s="62" t="inlineStr">
        <is>
          <t>ABCI Securities Company Limited; BOCI Asia Limited; BOCOM International Securities Limited; CMB International Capital Limited; Futu Securities International (Hong Kong) Limited; GF Securities (Hong Kong) Brokerage Limited; Huatai Financial Holdings (Hong Kong) Limited; Huaan Securities (Hong Kong) Brokerage Limited; ICBC International Securities Limited; Livermore Holdings Limited; TradeGo Markets Limited</t>
        </is>
      </c>
      <c r="BK439" s="76">
        <f>HYPERLINK("https://www1.hkexnews.hk/listedco/listconews/sehk/2026/0227/2026022700017.pdf","prospectus")</f>
        <v/>
      </c>
      <c r="BL439" s="76">
        <f>HYPERLINK("https://www1.hkexnews.hk/listedco/listconews/sehk/2026/0306/2026030601391.pdf","allotment")</f>
        <v/>
      </c>
      <c r="BM439" s="76">
        <f>HYPERLINK("https://www1.hkexnews.hk/listedco/listconews/sehk/2026/0407/2026040700049.pdf","stabilisation")</f>
        <v/>
      </c>
      <c r="BN439" s="74" t="n"/>
      <c r="BO439" s="62" t="inlineStr">
        <is>
          <t>P/E: n/m — loss-making at IPO (use P/S) · range low: cap-only pricing — the filing publishes a Maximum Offer Price and no indicative floor · A/H: Mar 2026 H listing (industrial robots) · market cap: estimate from deal size / offer % of enlarged capital disagreed with the published listing cap — published figure adopted</t>
        </is>
      </c>
    </row>
    <row r="440" ht="15" customHeight="1">
      <c r="A440" s="61" t="inlineStr">
        <is>
          <t>2649</t>
        </is>
      </c>
      <c r="B440" s="62" t="inlineStr">
        <is>
          <t>ALSCO POOLING</t>
        </is>
      </c>
      <c r="C440" s="62" t="inlineStr">
        <is>
          <t>優樂賽共享</t>
        </is>
      </c>
      <c r="D440" s="62" t="inlineStr">
        <is>
          <t>Industrials</t>
        </is>
      </c>
      <c r="E440" s="62" t="inlineStr">
        <is>
          <t>Logistics</t>
        </is>
      </c>
      <c r="F440" s="62" t="inlineStr">
        <is>
          <t>Metal &amp; Glass &amp; Plastic Packaging</t>
        </is>
      </c>
      <c r="G440" s="62" t="inlineStr">
        <is>
          <t>Standard</t>
        </is>
      </c>
      <c r="H440" s="63" t="n">
        <v>46090</v>
      </c>
      <c r="I440" s="64" t="n">
        <v>223.7</v>
      </c>
      <c r="J440" s="62" t="inlineStr">
        <is>
          <t>gross (stated)</t>
        </is>
      </c>
      <c r="K440" s="65" t="n"/>
      <c r="L440" s="65" t="n">
        <v>11</v>
      </c>
      <c r="M440" s="65" t="n">
        <v>11</v>
      </c>
      <c r="N440" s="62" t="inlineStr">
        <is>
          <t>Y</t>
        </is>
      </c>
      <c r="O440" s="66" t="n">
        <v>100</v>
      </c>
      <c r="P440" s="66" t="n"/>
      <c r="Q440" s="67" t="n">
        <v>993.7</v>
      </c>
      <c r="R440" s="62" t="inlineStr">
        <is>
          <t>derived:price x shares upon listing</t>
        </is>
      </c>
      <c r="S440" s="68" t="n">
        <v>5297.23</v>
      </c>
      <c r="T440" s="69" t="n">
        <v>4.2</v>
      </c>
      <c r="U440" s="70" t="n">
        <v>0</v>
      </c>
      <c r="V440" s="66" t="n">
        <v>22.51</v>
      </c>
      <c r="W440" s="62" t="n"/>
      <c r="X440" s="62" t="n"/>
      <c r="Y440" s="66" t="n">
        <v>15</v>
      </c>
      <c r="Z440" s="62" t="n"/>
      <c r="AA440" s="71" t="n">
        <v>-43.64</v>
      </c>
      <c r="AB440" s="72" t="n">
        <v>-31.82</v>
      </c>
      <c r="AC440" s="72" t="n">
        <v>-17.34</v>
      </c>
      <c r="AD440" s="72" t="n">
        <v>-53.09</v>
      </c>
      <c r="AE440" s="72" t="n">
        <v>-64.55</v>
      </c>
      <c r="AF440" s="72" t="n">
        <v>-64.55</v>
      </c>
      <c r="AG440" s="72" t="n">
        <v>-16.77</v>
      </c>
      <c r="AH440" s="72" t="n">
        <v>-37.1</v>
      </c>
      <c r="AI440" s="72" t="n">
        <v>-37.1</v>
      </c>
      <c r="AJ440" s="72" t="n">
        <v>-55.39</v>
      </c>
      <c r="AK440" s="72" t="n">
        <v>-63.77</v>
      </c>
      <c r="AL440" s="72" t="n">
        <v>-55.82</v>
      </c>
      <c r="AM440" s="72" t="n">
        <v>-37.03</v>
      </c>
      <c r="AN440" s="72" t="n">
        <v>-0.78</v>
      </c>
      <c r="AO440" s="72" t="n">
        <v>-0.07000000000000001</v>
      </c>
      <c r="AP440" s="62" t="inlineStr">
        <is>
          <t>Hang Seng Commerce &amp; Industry sub-index</t>
        </is>
      </c>
      <c r="AQ440" s="72" t="n">
        <v>-64.55</v>
      </c>
      <c r="AR440" s="63" t="inlineStr">
        <is>
          <t>2026-08-21</t>
        </is>
      </c>
      <c r="AS440" s="64" t="n">
        <v>921.4</v>
      </c>
      <c r="AT440" s="67" t="n">
        <v>55.8</v>
      </c>
      <c r="AU440" s="62" t="inlineStr">
        <is>
          <t>Y</t>
        </is>
      </c>
      <c r="AV440" s="73" t="n">
        <v>17.8</v>
      </c>
      <c r="AW440" s="73" t="n"/>
      <c r="AX440" s="73" t="n"/>
      <c r="AY440" s="73" t="n">
        <v>1.1</v>
      </c>
      <c r="AZ440" s="74" t="inlineStr">
        <is>
          <t>N</t>
        </is>
      </c>
      <c r="BA440" s="75">
        <f>IF('BBG Verify'!K440="","not filed — run on terminal",'BBG Verify'!K440)</f>
        <v/>
      </c>
      <c r="BB440" s="62" t="inlineStr">
        <is>
          <t>N/A</t>
        </is>
      </c>
      <c r="BC440" s="62" t="inlineStr">
        <is>
          <t>N/A</t>
        </is>
      </c>
      <c r="BD440" s="62" t="inlineStr">
        <is>
          <t>N/A</t>
        </is>
      </c>
      <c r="BE440" s="62" t="inlineStr">
        <is>
          <t>N/A</t>
        </is>
      </c>
      <c r="BF440" s="62" t="inlineStr">
        <is>
          <t>N/A</t>
        </is>
      </c>
      <c r="BG440" s="74" t="inlineStr">
        <is>
          <t>China Securities (International) Corporate Finance Company Limited</t>
        </is>
      </c>
      <c r="BH440" s="62" t="inlineStr">
        <is>
          <t>China Securities (International) Corporate Finance Company Limited</t>
        </is>
      </c>
      <c r="BI440" s="62" t="inlineStr">
        <is>
          <t>DBS Asia Capital Limited; to our Company DBS Asia Capital Limited; ABCI Capital Limited; CMB International Capital Limited; Futu Securities International (Hong Kong) Limited; Livermore Holdings Limited; SPDB International Capital Limited; TFI Securities and Futures Limited; TradeGo Markets Limited</t>
        </is>
      </c>
      <c r="BJ440" s="62" t="inlineStr">
        <is>
          <t>ABCI Securities Company Limited; CMB International Capital Limited; China Securities (International) Corporate Finance Company Limited; China Sunrise Securities (International) Limited; DBS Asia Capital Limited; Futu Securities International (Hong Kong) Limited; Livermore Holdings Limited; SPDB International Capital Limited; TFI Securities and Futures Limited; TradeGo Markets Limited</t>
        </is>
      </c>
      <c r="BK440" s="76">
        <f>HYPERLINK("https://www1.hkexnews.hk/listedco/listconews/sehk/2026/0227/2026022700013.pdf","prospectus")</f>
        <v/>
      </c>
      <c r="BL440" s="76">
        <f>HYPERLINK("https://www1.hkexnews.hk/listedco/listconews/sehk/2026/0306/2026030601405.pdf","allotment")</f>
        <v/>
      </c>
      <c r="BM440" s="62" t="n"/>
      <c r="BN440" s="74" t="n"/>
      <c r="BO440" s="62" t="inlineStr">
        <is>
          <t>greenshoe: end-of-stabilisation notice not located · price range: fixed-price offering (no indicative range) · range low: cap-only pricing — the filing publishes a Maximum Offer Price and no indicative floor · A/H: no A-share listing · cornerstone list: no cornerstone tranche in this deal</t>
        </is>
      </c>
    </row>
    <row r="441" ht="15" customHeight="1">
      <c r="A441" s="61" t="inlineStr">
        <is>
          <t>2692</t>
        </is>
      </c>
      <c r="B441" s="62" t="inlineStr">
        <is>
          <t>ZHAOWEI</t>
        </is>
      </c>
      <c r="C441" s="62" t="inlineStr">
        <is>
          <t>兆威機電</t>
        </is>
      </c>
      <c r="D441" s="62" t="inlineStr">
        <is>
          <t>Industrials</t>
        </is>
      </c>
      <c r="E441" s="62" t="inlineStr">
        <is>
          <t>Capital goods / machinery</t>
        </is>
      </c>
      <c r="F441" s="62" t="inlineStr">
        <is>
          <t>Industrial Machinery</t>
        </is>
      </c>
      <c r="G441" s="62" t="inlineStr">
        <is>
          <t>Standard</t>
        </is>
      </c>
      <c r="H441" s="63" t="n">
        <v>46090</v>
      </c>
      <c r="I441" s="64" t="n">
        <v>1906.62</v>
      </c>
      <c r="J441" s="62" t="inlineStr">
        <is>
          <t>gross (stated)</t>
        </is>
      </c>
      <c r="K441" s="65" t="n"/>
      <c r="L441" s="65" t="n">
        <v>73.68000000000001</v>
      </c>
      <c r="M441" s="65" t="n">
        <v>71.28</v>
      </c>
      <c r="N441" s="62" t="inlineStr">
        <is>
          <t>N</t>
        </is>
      </c>
      <c r="O441" s="66" t="n">
        <v>96.7</v>
      </c>
      <c r="P441" s="66" t="n"/>
      <c r="Q441" s="67" t="n">
        <v>19066.2</v>
      </c>
      <c r="R441" s="62" t="inlineStr">
        <is>
          <t>derived:price x shares upon listing</t>
        </is>
      </c>
      <c r="S441" s="68" t="n">
        <v>1536.76</v>
      </c>
      <c r="T441" s="69" t="n">
        <v>13.4</v>
      </c>
      <c r="U441" s="70" t="n">
        <v>34.17</v>
      </c>
      <c r="V441" s="66" t="n">
        <v>6.58</v>
      </c>
      <c r="W441" s="62" t="inlineStr">
        <is>
          <t>BeingBoom Capital Limited; Bridge Zone Group Limited; CMBC INTERNATIONAL INVESTMENT (HK) LIMITED; Da Cheng International Asset Management Company Limited; Factorial Master Fund; GF Management Co., Ltd; Hengbang and China Galaxy International Investment Company Limited; HHLR Advisors, Ltd; Jump Trading Pacific Pte. Ltd; Main Source Capital Limited; Mirae Asset Securities (HK) Limited; Mr. He Maoling; Mr. Luo Jie; Oakwise Growth Fund SPC – Global Select Opportunities Fund SP; Perseverance Asset Management International (Singapore) Pte. Ltd; RIME Capital Limited; Suzhou Taihu Golden Valley Construction Development Co., Ltd; TOPSTAR WORLDWIDE GROUP LIMITED; VVC Technology Fund Ltd; W Investment Company Limited</t>
        </is>
      </c>
      <c r="X441" s="62" t="inlineStr">
        <is>
          <t>beingboom;bridge;cmbc;da;factorial;gf;hengbang;hhlr;jump;main;mirae;mr-he;mr-luo;oakwise;perseverance;rime;suzhou;topstar;vvc;investment-company</t>
        </is>
      </c>
      <c r="Y441" s="66" t="n"/>
      <c r="Z441" s="62" t="n"/>
      <c r="AA441" s="71" t="n">
        <v>2.41</v>
      </c>
      <c r="AB441" s="72" t="n">
        <v>9.43</v>
      </c>
      <c r="AC441" s="72" t="n">
        <v>-6.42</v>
      </c>
      <c r="AD441" s="72" t="n">
        <v>11.39</v>
      </c>
      <c r="AE441" s="72" t="n">
        <v>-7.48</v>
      </c>
      <c r="AF441" s="72" t="n">
        <v>-13.09</v>
      </c>
      <c r="AG441" s="72" t="n">
        <v>8.77</v>
      </c>
      <c r="AH441" s="72" t="n">
        <v>-9.66</v>
      </c>
      <c r="AI441" s="72" t="n">
        <v>-15.14</v>
      </c>
      <c r="AJ441" s="72" t="n">
        <v>9.09</v>
      </c>
      <c r="AK441" s="72" t="n">
        <v>-6.7</v>
      </c>
      <c r="AL441" s="72" t="n">
        <v>-4.36</v>
      </c>
      <c r="AM441" s="72" t="n">
        <v>-9.59</v>
      </c>
      <c r="AN441" s="72" t="n">
        <v>-0.78</v>
      </c>
      <c r="AO441" s="72" t="n">
        <v>-0.07000000000000001</v>
      </c>
      <c r="AP441" s="62" t="inlineStr">
        <is>
          <t>Hang Seng Commerce &amp; Industry sub-index</t>
        </is>
      </c>
      <c r="AQ441" s="72" t="n">
        <v>-39.96</v>
      </c>
      <c r="AR441" s="63" t="inlineStr">
        <is>
          <t>2026-08-21</t>
        </is>
      </c>
      <c r="AS441" s="64" t="n">
        <v>1677.1</v>
      </c>
      <c r="AT441" s="67" t="n">
        <v>248</v>
      </c>
      <c r="AU441" s="62" t="inlineStr">
        <is>
          <t>Y</t>
        </is>
      </c>
      <c r="AV441" s="73" t="n">
        <v>76.90000000000001</v>
      </c>
      <c r="AW441" s="73" t="n">
        <v>61</v>
      </c>
      <c r="AX441" s="73" t="n">
        <v>45</v>
      </c>
      <c r="AY441" s="73" t="n">
        <v>11.4</v>
      </c>
      <c r="AZ441" s="74" t="inlineStr">
        <is>
          <t>Y</t>
        </is>
      </c>
      <c r="BA441" s="62" t="inlineStr">
        <is>
          <t>003021.SZ</t>
        </is>
      </c>
      <c r="BB441" s="72" t="n">
        <v>87.19</v>
      </c>
      <c r="BC441" s="65" t="n">
        <v>133.4288</v>
      </c>
      <c r="BD441" s="79" t="n">
        <v>0.8776</v>
      </c>
      <c r="BE441" s="77">
        <f>IF('BBG Verify'!Q441="","run on terminal",'BBG Verify'!Q441)</f>
        <v/>
      </c>
      <c r="BF441" s="77">
        <f>IF('BBG Verify'!R441="","run on terminal",'BBG Verify'!R441)</f>
        <v/>
      </c>
      <c r="BG441" s="74" t="inlineStr">
        <is>
          <t>China Merchants Securities (HK) Co., Limited; Deutsche Securities Asia Limited</t>
        </is>
      </c>
      <c r="BH441" s="62" t="inlineStr">
        <is>
          <t>Deutsche Securities Asia Limited; China Merchants Securities (HK) Company Limited</t>
        </is>
      </c>
      <c r="BI441" s="62" t="inlineStr">
        <is>
          <t>China Merchants Securities (HK) Co., Limited; Deutsche Bank AG, Hong Kong Branch; CLSA Limited; ABCI Capital Limited; BOCOM International Securities Limited; Futu Securities International (Hong Kong) Limited; Y ellow River Securities Limited</t>
        </is>
      </c>
      <c r="BJ441" s="62" t="inlineStr">
        <is>
          <t>ABCI Capital Limited; ABCI Securities Company Limited; BOCOM International Securities Limited; CLSA Limited; China Merchants Securities (HK) Company Limited; Deutsche Bank AG, Hong Kong Branch; Futu Securities International (Hong Kong) Limited; I Win Securities Limited; Open Securities Limited; Yellow River Securities Limited</t>
        </is>
      </c>
      <c r="BK441" s="76">
        <f>HYPERLINK("https://www1.hkexnews.hk/listedco/listconews/sehk/2026/0227/2026022700015.pdf","prospectus")</f>
        <v/>
      </c>
      <c r="BL441" s="76">
        <f>HYPERLINK("https://www1.hkexnews.hk/listedco/listconews/sehk/2026/0306/2026030601575.pdf","allotment")</f>
        <v/>
      </c>
      <c r="BM441" s="62" t="n"/>
      <c r="BN441" s="74" t="n"/>
      <c r="BO441" s="62" t="inlineStr">
        <is>
          <t>greenshoe: no over-allotment option in the offer structure · range low: cap-only pricing — the filing publishes a Maximum Offer Price and no indicative floor · A/H: Mar 2026 H listing (micro drive systems/dexterous hands) · greenshoe size: no over-allotment option in the offer structure</t>
        </is>
      </c>
    </row>
    <row r="442" ht="15" customHeight="1">
      <c r="A442" s="61" t="inlineStr">
        <is>
          <t>3268</t>
        </is>
      </c>
      <c r="B442" s="62" t="inlineStr">
        <is>
          <t>MEIG</t>
        </is>
      </c>
      <c r="C442" s="62" t="inlineStr">
        <is>
          <t>美格智能</t>
        </is>
      </c>
      <c r="D442" s="62" t="inlineStr">
        <is>
          <t>Tech/AI</t>
        </is>
      </c>
      <c r="E442" s="62" t="inlineStr">
        <is>
          <t>Smart hardware / consumer electronics</t>
        </is>
      </c>
      <c r="F442" s="62" t="inlineStr">
        <is>
          <t>Telecommunications &amp; Networking Equipment</t>
        </is>
      </c>
      <c r="G442" s="62" t="inlineStr">
        <is>
          <t>Standard</t>
        </is>
      </c>
      <c r="H442" s="63" t="n">
        <v>46091</v>
      </c>
      <c r="I442" s="64" t="n">
        <v>1161.6</v>
      </c>
      <c r="J442" s="62" t="inlineStr">
        <is>
          <t>gross (stated)</t>
        </is>
      </c>
      <c r="K442" s="65" t="n"/>
      <c r="L442" s="65" t="n">
        <v>28.86</v>
      </c>
      <c r="M442" s="65" t="n">
        <v>28.86</v>
      </c>
      <c r="N442" s="62" t="inlineStr">
        <is>
          <t>Y</t>
        </is>
      </c>
      <c r="O442" s="66" t="n">
        <v>100</v>
      </c>
      <c r="P442" s="66" t="n"/>
      <c r="Q442" s="67" t="n">
        <v>8715.9</v>
      </c>
      <c r="R442" s="62" t="inlineStr">
        <is>
          <t>derived:price x shares upon listing</t>
        </is>
      </c>
      <c r="S442" s="68" t="n">
        <v>174.12</v>
      </c>
      <c r="T442" s="69" t="n">
        <v>4.5</v>
      </c>
      <c r="U442" s="70" t="n">
        <v>42.1</v>
      </c>
      <c r="V442" s="66" t="n">
        <v>7.72</v>
      </c>
      <c r="W442" s="62" t="inlineStr">
        <is>
          <t>China Winning Limited; Jinyi Capital Multi-Strategy Fund SPC Ltd; Meiko Elec. Hong Kong Co., Limited; Mr. Chau Tsang Cheong; Open Wealth Management Limited; Streamax Electronics Limited</t>
        </is>
      </c>
      <c r="X442" s="62" t="inlineStr">
        <is>
          <t>winning;jinyi;meiko;mr-chau;open;streamax</t>
        </is>
      </c>
      <c r="Y442" s="66" t="n"/>
      <c r="Z442" s="62" t="n"/>
      <c r="AA442" s="71" t="n">
        <v>1.52</v>
      </c>
      <c r="AB442" s="72" t="n">
        <v>0.62</v>
      </c>
      <c r="AC442" s="72" t="n">
        <v>0.89</v>
      </c>
      <c r="AD442" s="72" t="n">
        <v>-10.05</v>
      </c>
      <c r="AE442" s="72" t="n">
        <v>-20.03</v>
      </c>
      <c r="AF442" s="72" t="n">
        <v>-29.11</v>
      </c>
      <c r="AG442" s="72" t="n">
        <v>-11.4</v>
      </c>
      <c r="AH442" s="72" t="n">
        <v>-21.23</v>
      </c>
      <c r="AI442" s="72" t="n">
        <v>-30.17</v>
      </c>
      <c r="AJ442" s="72" t="n">
        <v>-13.7</v>
      </c>
      <c r="AK442" s="72" t="n">
        <v>-18</v>
      </c>
      <c r="AL442" s="72" t="n">
        <v>-24.71</v>
      </c>
      <c r="AM442" s="72" t="n">
        <v>-16.75</v>
      </c>
      <c r="AN442" s="72" t="n">
        <v>-2.03</v>
      </c>
      <c r="AO442" s="72" t="n">
        <v>-4.48</v>
      </c>
      <c r="AP442" s="62" t="inlineStr">
        <is>
          <t>HSTECH (Hang Seng TECH ETF)</t>
        </is>
      </c>
      <c r="AQ442" s="72" t="n">
        <v>-37.98</v>
      </c>
      <c r="AR442" s="63" t="inlineStr">
        <is>
          <t>2026-08-20</t>
        </is>
      </c>
      <c r="AS442" s="64" t="n">
        <v>3235.5</v>
      </c>
      <c r="AT442" s="67" t="n">
        <v>147.8</v>
      </c>
      <c r="AU442" s="62" t="inlineStr">
        <is>
          <t>Y</t>
        </is>
      </c>
      <c r="AV442" s="73" t="n">
        <v>59</v>
      </c>
      <c r="AW442" s="73" t="n">
        <v>47.3</v>
      </c>
      <c r="AX442" s="73" t="n">
        <v>28.6</v>
      </c>
      <c r="AY442" s="73" t="n">
        <v>2.7</v>
      </c>
      <c r="AZ442" s="74" t="inlineStr">
        <is>
          <t>Y</t>
        </is>
      </c>
      <c r="BA442" s="62" t="inlineStr">
        <is>
          <t>002881.SZ</t>
        </is>
      </c>
      <c r="BB442" s="72" t="n">
        <v>92.41</v>
      </c>
      <c r="BC442" s="65" t="n">
        <v>55.5283</v>
      </c>
      <c r="BD442" s="79" t="n">
        <v>1.5195</v>
      </c>
      <c r="BE442" s="77">
        <f>IF('BBG Verify'!Q442="","run on terminal",'BBG Verify'!Q442)</f>
        <v/>
      </c>
      <c r="BF442" s="77">
        <f>IF('BBG Verify'!R442="","run on terminal",'BBG Verify'!R442)</f>
        <v/>
      </c>
      <c r="BG442" s="74" t="inlineStr">
        <is>
          <t>China International Capital Corporation Hong Kong Securities Limited</t>
        </is>
      </c>
      <c r="BH442" s="62" t="inlineStr">
        <is>
          <t>China International Capital Corporation Hong Kong Securities Limited</t>
        </is>
      </c>
      <c r="BI442" s="62" t="inlineStr">
        <is>
          <t>China International Capital Corporation Hong Kong Securities Limited; BNP Paribas Securities (Asia) Limited; Futu Securities International (Hong Kong) Limited; Tiger Brokers (HK) Global Limited; Open Securities Limited</t>
        </is>
      </c>
      <c r="BJ442" s="62" t="inlineStr">
        <is>
          <t>BNP Paribas Securities (Asia) Limited; China International Capital Corporation Hong Kong Securities Limited; China Industrial Securities International Capital Limited; Futu Securities International (Hong Kong) Limited; Open Securities Limited; Tiger Brokers (HK) Global Limited</t>
        </is>
      </c>
      <c r="BK442" s="76">
        <f>HYPERLINK("https://www1.hkexnews.hk/listedco/listconews/sehk/2026/0227/2026022700019.pdf","prospectus")</f>
        <v/>
      </c>
      <c r="BL442" s="76">
        <f>HYPERLINK("https://www1.hkexnews.hk/listedco/listconews/sehk/2026/0309/2026030901426.pdf","allotment")</f>
        <v/>
      </c>
      <c r="BM442" s="62" t="n"/>
      <c r="BN442" s="74" t="n"/>
      <c r="BO442" s="62" t="inlineStr">
        <is>
          <t>greenshoe: no over-allotment option in the offer structure · range low: cap-only pricing — the filing publishes a Maximum Offer Price and no indicative floor · A/H: Mar 2026 H listing (IoT modules) · greenshoe size: no over-allotment option in the offer structure</t>
        </is>
      </c>
    </row>
    <row r="443" ht="15" customHeight="1">
      <c r="A443" s="61" t="inlineStr">
        <is>
          <t>1989</t>
        </is>
      </c>
      <c r="B443" s="62" t="inlineStr">
        <is>
          <t>DELTON</t>
        </is>
      </c>
      <c r="C443" s="62" t="inlineStr">
        <is>
          <t>廣合科技</t>
        </is>
      </c>
      <c r="D443" s="62" t="inlineStr">
        <is>
          <t>Tech/AI</t>
        </is>
      </c>
      <c r="E443" s="62" t="inlineStr">
        <is>
          <t>Smart hardware / consumer electronics</t>
        </is>
      </c>
      <c r="F443" s="62" t="inlineStr">
        <is>
          <t>Printed Circuit Boards</t>
        </is>
      </c>
      <c r="G443" s="62" t="inlineStr">
        <is>
          <t>Standard</t>
        </is>
      </c>
      <c r="H443" s="63" t="n">
        <v>46101</v>
      </c>
      <c r="I443" s="64" t="n">
        <v>3306.48</v>
      </c>
      <c r="J443" s="62" t="inlineStr">
        <is>
          <t>gross (stated)</t>
        </is>
      </c>
      <c r="K443" s="65" t="n"/>
      <c r="L443" s="65" t="n">
        <v>71.88</v>
      </c>
      <c r="M443" s="65" t="n">
        <v>71.88</v>
      </c>
      <c r="N443" s="62" t="inlineStr">
        <is>
          <t>Y</t>
        </is>
      </c>
      <c r="O443" s="66" t="n">
        <v>100</v>
      </c>
      <c r="P443" s="66" t="n"/>
      <c r="Q443" s="67" t="n">
        <v>33959.5</v>
      </c>
      <c r="R443" s="62" t="inlineStr">
        <is>
          <t>derived:price x shares upon listing</t>
        </is>
      </c>
      <c r="S443" s="68" t="n">
        <v>1070.72</v>
      </c>
      <c r="T443" s="69" t="n">
        <v>14.64</v>
      </c>
      <c r="U443" s="70" t="n">
        <v>44.94</v>
      </c>
      <c r="V443" s="66" t="n">
        <v>5.36</v>
      </c>
      <c r="W443" s="62" t="inlineStr">
        <is>
          <t>Baring Asset Management (Asia) Limited; CPE Greater China Enterprises Growth Fund及CPE Growth Fund; Dajia Life Insurance Co., Ltd; Eastspring Investments (Singapore) Limited; Greater Bay Area Homeland Investments Limited; Greenwoods Asset Management Hong Kong Limited; ICBC Wealth Management Co., Ltd; MY Asian Opportunities Master Fund, L.P; UBS Asset Management (Singapore) Ltd; Value Partners Hong Kong Limited</t>
        </is>
      </c>
      <c r="X443" s="62" t="inlineStr">
        <is>
          <t>baring;cpe;dajia;eastspring;greater;greenwoods;icbc;my;ubs;value</t>
        </is>
      </c>
      <c r="Y443" s="66" t="n"/>
      <c r="Z443" s="62" t="n"/>
      <c r="AA443" s="71" t="n">
        <v>33.56</v>
      </c>
      <c r="AB443" s="72" t="n">
        <v>32.23</v>
      </c>
      <c r="AC443" s="72" t="n">
        <v>1.01</v>
      </c>
      <c r="AD443" s="72" t="n">
        <v>35.99</v>
      </c>
      <c r="AE443" s="72" t="n">
        <v>111.32</v>
      </c>
      <c r="AF443" s="72" t="n">
        <v>163.63</v>
      </c>
      <c r="AG443" s="72" t="n">
        <v>1.82</v>
      </c>
      <c r="AH443" s="72" t="n">
        <v>58.22</v>
      </c>
      <c r="AI443" s="72" t="n">
        <v>97.39</v>
      </c>
      <c r="AJ443" s="72" t="n">
        <v>40.09</v>
      </c>
      <c r="AK443" s="72" t="n">
        <v>113.82</v>
      </c>
      <c r="AL443" s="72" t="n">
        <v>174.9</v>
      </c>
      <c r="AM443" s="72" t="n">
        <v>58.48</v>
      </c>
      <c r="AN443" s="72" t="n">
        <v>-2.5</v>
      </c>
      <c r="AO443" s="72" t="n">
        <v>-0.26</v>
      </c>
      <c r="AP443" s="62" t="inlineStr">
        <is>
          <t>HSTECH (Hang Seng TECH ETF)</t>
        </is>
      </c>
      <c r="AQ443" s="72" t="n">
        <v>71.12</v>
      </c>
      <c r="AR443" s="63" t="inlineStr">
        <is>
          <t>2026-08-20</t>
        </is>
      </c>
      <c r="AS443" s="64" t="n">
        <v>4107.7</v>
      </c>
      <c r="AT443" s="67" t="n">
        <v>743.7</v>
      </c>
      <c r="AU443" s="62" t="inlineStr">
        <is>
          <t>Y</t>
        </is>
      </c>
      <c r="AV443" s="73" t="n">
        <v>45.7</v>
      </c>
      <c r="AW443" s="73" t="n">
        <v>35.4</v>
      </c>
      <c r="AX443" s="73" t="n">
        <v>38.1</v>
      </c>
      <c r="AY443" s="73" t="n">
        <v>8.300000000000001</v>
      </c>
      <c r="AZ443" s="74" t="inlineStr">
        <is>
          <t>Y</t>
        </is>
      </c>
      <c r="BA443" s="62" t="inlineStr">
        <is>
          <t>001389.SZ</t>
        </is>
      </c>
      <c r="BB443" s="72" t="n">
        <v>83.56</v>
      </c>
      <c r="BC443" s="65" t="n">
        <v>131.9413</v>
      </c>
      <c r="BD443" s="79" t="n">
        <v>0.3763</v>
      </c>
      <c r="BE443" s="77">
        <f>IF('BBG Verify'!Q443="","run on terminal",'BBG Verify'!Q443)</f>
        <v/>
      </c>
      <c r="BF443" s="77">
        <f>IF('BBG Verify'!R443="","run on terminal",'BBG Verify'!R443)</f>
        <v/>
      </c>
      <c r="BG443" s="74" t="inlineStr">
        <is>
          <t>CITIC Securities (Hong Kong) Limited; HSBC Corporate Finance (Hong Kong) Limited</t>
        </is>
      </c>
      <c r="BH443" s="62" t="inlineStr">
        <is>
          <t>CITIC Securities (Hong Kong) Limited</t>
        </is>
      </c>
      <c r="BI443" s="62" t="inlineStr">
        <is>
          <t>CLSA Limited; GF Securities (Hong Kong) Brokerage Limited; Guolian Securities International Capital Market Co., Limited; Huatai Financial Holdings (Hong Kong) Limited; The Hongkong and Shanghai Banking Corporation Limited</t>
        </is>
      </c>
      <c r="BJ443" s="62" t="inlineStr">
        <is>
          <t>CLSA Limited; GF Securities (Hong Kong) Brokerage Limited; Guolian Securities International Capital Market Co., Limited; Huatai Financial Holdings (Hong Kong) Limited; The Hongkong and Shanghai Banking Corporation Limited</t>
        </is>
      </c>
      <c r="BK443" s="76">
        <f>HYPERLINK("https://www1.hkexnews.hk/listedco/listconews/sehk/2026/0312/2026031200003.pdf","prospectus")</f>
        <v/>
      </c>
      <c r="BL443" s="76">
        <f>HYPERLINK("https://www1.hkexnews.hk/listedco/listconews/sehk/2026/0319/2026031901556.pdf","allotment")</f>
        <v/>
      </c>
      <c r="BM443" s="62" t="n"/>
      <c r="BN443" s="74" t="n"/>
      <c r="BO443" s="62" t="inlineStr">
        <is>
          <t>greenshoe: no over-allotment option in the offer structure · range low: cap-only pricing — the filing publishes a Maximum Offer Price and no indicative floor · A/H: Mar 2026 H listing (PCB) · greenshoe size: no over-allotment option in the offer structure</t>
        </is>
      </c>
    </row>
    <row r="444" ht="15" customHeight="1">
      <c r="A444" s="61" t="inlineStr">
        <is>
          <t>2701</t>
        </is>
      </c>
      <c r="B444" s="62" t="inlineStr">
        <is>
          <t>NSING TECH</t>
        </is>
      </c>
      <c r="C444" s="62" t="inlineStr">
        <is>
          <t>國民技術</t>
        </is>
      </c>
      <c r="D444" s="62" t="inlineStr">
        <is>
          <t>Tech/AI</t>
        </is>
      </c>
      <c r="E444" s="62" t="inlineStr">
        <is>
          <t>AI chips &amp; semis</t>
        </is>
      </c>
      <c r="F444" s="62" t="inlineStr">
        <is>
          <t>Semiconductors &amp; Semiconductor Equipment</t>
        </is>
      </c>
      <c r="G444" s="62" t="inlineStr">
        <is>
          <t>Standard</t>
        </is>
      </c>
      <c r="H444" s="63" t="n">
        <v>46104</v>
      </c>
      <c r="I444" s="64" t="n">
        <v>1026</v>
      </c>
      <c r="J444" s="62" t="inlineStr">
        <is>
          <t>gross (stated)</t>
        </is>
      </c>
      <c r="K444" s="65" t="n"/>
      <c r="L444" s="65" t="n">
        <v>10.8</v>
      </c>
      <c r="M444" s="65" t="n">
        <v>10.8</v>
      </c>
      <c r="N444" s="62" t="inlineStr">
        <is>
          <t>Y</t>
        </is>
      </c>
      <c r="O444" s="66" t="n">
        <v>100</v>
      </c>
      <c r="P444" s="66" t="n"/>
      <c r="Q444" s="67" t="n">
        <v>7323.8</v>
      </c>
      <c r="R444" s="62" t="inlineStr">
        <is>
          <t>derived:price x shares upon listing</t>
        </is>
      </c>
      <c r="S444" s="68" t="n">
        <v>131.83</v>
      </c>
      <c r="T444" s="69" t="n">
        <v>2.51</v>
      </c>
      <c r="U444" s="70" t="n">
        <v>13.6</v>
      </c>
      <c r="V444" s="66" t="n">
        <v>12.1</v>
      </c>
      <c r="W444" s="62" t="inlineStr">
        <is>
          <t>Guohua Life Insurance Co., Ltd; Harvest Oriental II SP; Mr. An Jiangbo; Ms. Christine Tai; Sunwoda Treasury (Hong Kong) Limited</t>
        </is>
      </c>
      <c r="X444" s="62" t="inlineStr">
        <is>
          <t>guohua;harvest;mr-an;ms-christine;sunwoda</t>
        </is>
      </c>
      <c r="Y444" s="66" t="n"/>
      <c r="Z444" s="62" t="n"/>
      <c r="AA444" s="71" t="n">
        <v>4.17</v>
      </c>
      <c r="AB444" s="72" t="n">
        <v>32.41</v>
      </c>
      <c r="AC444" s="72" t="n">
        <v>-21.33</v>
      </c>
      <c r="AD444" s="72" t="n">
        <v>21.11</v>
      </c>
      <c r="AE444" s="72" t="n">
        <v>14.54</v>
      </c>
      <c r="AF444" s="72" t="n">
        <v>17.78</v>
      </c>
      <c r="AG444" s="72" t="n">
        <v>16.26</v>
      </c>
      <c r="AH444" s="72" t="n">
        <v>9.949999999999999</v>
      </c>
      <c r="AI444" s="72" t="n">
        <v>13.07</v>
      </c>
      <c r="AJ444" s="72" t="n">
        <v>24.88</v>
      </c>
      <c r="AK444" s="72" t="n">
        <v>13.91</v>
      </c>
      <c r="AL444" s="72" t="n">
        <v>30.15</v>
      </c>
      <c r="AM444" s="72" t="n">
        <v>5.74</v>
      </c>
      <c r="AN444" s="72" t="n">
        <v>0.63</v>
      </c>
      <c r="AO444" s="72" t="n">
        <v>4.21</v>
      </c>
      <c r="AP444" s="62" t="inlineStr">
        <is>
          <t>HSTECH (Hang Seng TECH ETF)</t>
        </is>
      </c>
      <c r="AQ444" s="72" t="n">
        <v>-18.1</v>
      </c>
      <c r="AR444" s="63" t="inlineStr">
        <is>
          <t>2026-08-21</t>
        </is>
      </c>
      <c r="AS444" s="64" t="n">
        <v>1284.3</v>
      </c>
      <c r="AT444" s="67" t="n">
        <v>-281.3</v>
      </c>
      <c r="AU444" s="62" t="inlineStr">
        <is>
          <t>N</t>
        </is>
      </c>
      <c r="AV444" s="62" t="inlineStr">
        <is>
          <t>n/m</t>
        </is>
      </c>
      <c r="AW444" s="73" t="n"/>
      <c r="AX444" s="73" t="n"/>
      <c r="AY444" s="73" t="n">
        <v>5.7</v>
      </c>
      <c r="AZ444" s="74" t="inlineStr">
        <is>
          <t>Y</t>
        </is>
      </c>
      <c r="BA444" s="62" t="inlineStr">
        <is>
          <t>300077.SZ</t>
        </is>
      </c>
      <c r="BB444" s="72" t="n">
        <v>128.98</v>
      </c>
      <c r="BC444" s="65" t="n">
        <v>24.7297</v>
      </c>
      <c r="BD444" s="79" t="n">
        <v>1.6441</v>
      </c>
      <c r="BE444" s="77">
        <f>IF('BBG Verify'!Q444="","run on terminal",'BBG Verify'!Q444)</f>
        <v/>
      </c>
      <c r="BF444" s="77">
        <f>IF('BBG Verify'!R444="","run on terminal",'BBG Verify'!R444)</f>
        <v/>
      </c>
      <c r="BG444" s="74" t="inlineStr">
        <is>
          <t>CITIC Securities (Hong Kong) Limited</t>
        </is>
      </c>
      <c r="BH444" s="62" t="inlineStr">
        <is>
          <t>CITIC Securities (Hong Kong) Limited</t>
        </is>
      </c>
      <c r="BI444" s="62" t="inlineStr">
        <is>
          <t>CLSA Limited; BOCOM International Securities Limited; SPDB International Capital Limited; Jinluo Securities Limited</t>
        </is>
      </c>
      <c r="BJ444" s="62" t="inlineStr">
        <is>
          <t>BOCOM International Securities Limited; CLSA Limited; Futu Securities International (Hong Kong) Limited; Jinluo Securities Limited; SPDB International Capital Limited</t>
        </is>
      </c>
      <c r="BK444" s="76">
        <f>HYPERLINK("https://www1.hkexnews.hk/listedco/listconews/sehk/2026/0313/2026031300049.pdf","prospectus")</f>
        <v/>
      </c>
      <c r="BL444" s="76">
        <f>HYPERLINK("https://www1.hkexnews.hk/listedco/listconews/sehk/2026/0320/2026032001594.pdf","allotment")</f>
        <v/>
      </c>
      <c r="BM444" s="62" t="n"/>
      <c r="BN444" s="74" t="n"/>
      <c r="BO444" s="62" t="inlineStr">
        <is>
          <t>P/E: n/m — loss-making at IPO (use P/S) · greenshoe: no over-allotment option in the offer structure · range low: cap-only pricing — the filing publishes a Maximum Offer Price and no indicative floor · A/H: Mar 2026 H listing (security/MCU chips) · greenshoe size: no over-allotment option in the offer structure</t>
        </is>
      </c>
    </row>
    <row r="445" ht="15" customHeight="1">
      <c r="A445" s="61" t="inlineStr">
        <is>
          <t>3355</t>
        </is>
      </c>
      <c r="B445" s="62" t="inlineStr">
        <is>
          <t>FS.COM</t>
        </is>
      </c>
      <c r="C445" s="62" t="inlineStr">
        <is>
          <t>飛速創新</t>
        </is>
      </c>
      <c r="D445" s="62" t="inlineStr">
        <is>
          <t>Tech/AI</t>
        </is>
      </c>
      <c r="E445" s="62" t="inlineStr">
        <is>
          <t>Smart hardware / consumer electronics</t>
        </is>
      </c>
      <c r="F445" s="62" t="inlineStr">
        <is>
          <t>IT Consulting &amp; Other Services</t>
        </is>
      </c>
      <c r="G445" s="62" t="inlineStr">
        <is>
          <t>Standard</t>
        </is>
      </c>
      <c r="H445" s="63" t="n">
        <v>46104</v>
      </c>
      <c r="I445" s="64" t="n">
        <v>1664</v>
      </c>
      <c r="J445" s="62" t="inlineStr">
        <is>
          <t>gross (price x shares)</t>
        </is>
      </c>
      <c r="K445" s="65" t="n"/>
      <c r="L445" s="65" t="n">
        <v>41.6</v>
      </c>
      <c r="M445" s="65" t="n">
        <v>41.6</v>
      </c>
      <c r="N445" s="62" t="inlineStr">
        <is>
          <t>Y</t>
        </is>
      </c>
      <c r="O445" s="66" t="n">
        <v>100</v>
      </c>
      <c r="P445" s="66" t="n"/>
      <c r="Q445" s="67" t="n">
        <v>16640</v>
      </c>
      <c r="R445" s="62" t="inlineStr">
        <is>
          <t>derived:price x shares upon listing</t>
        </is>
      </c>
      <c r="S445" s="68" t="n">
        <v>1579.71</v>
      </c>
      <c r="T445" s="69" t="n">
        <v>10.92</v>
      </c>
      <c r="U445" s="70" t="n">
        <v>42.3</v>
      </c>
      <c r="V445" s="66" t="n">
        <v>5.77</v>
      </c>
      <c r="W445" s="62" t="inlineStr">
        <is>
          <t>Aether Wave Fund L.P; Caitong Funds SPC – Strategic Equity Fund III SP; Foresight Capital Steady Growth LPF; GF Management Co., Ltd; Great Holding Development Limited; Hao Great China Focus Fund; SCGC Capital Holding Company Limited; Wider Huge Group Limited; WT Asset Management Limited</t>
        </is>
      </c>
      <c r="X445" s="62" t="inlineStr">
        <is>
          <t>aether;caitong;foresight;gf;great-development;hao;scgc;wider;wt</t>
        </is>
      </c>
      <c r="Y445" s="66" t="n">
        <v>15</v>
      </c>
      <c r="Z445" s="62" t="n"/>
      <c r="AA445" s="71" t="n">
        <v>13.46</v>
      </c>
      <c r="AB445" s="72" t="n">
        <v>34.62</v>
      </c>
      <c r="AC445" s="72" t="n">
        <v>-15.72</v>
      </c>
      <c r="AD445" s="72" t="n">
        <v>3.94</v>
      </c>
      <c r="AE445" s="72" t="n">
        <v>7.5</v>
      </c>
      <c r="AF445" s="72" t="n">
        <v>-13.99</v>
      </c>
      <c r="AG445" s="72" t="n">
        <v>-8.390000000000001</v>
      </c>
      <c r="AH445" s="72" t="n">
        <v>-5.25</v>
      </c>
      <c r="AI445" s="72" t="n">
        <v>-24.19</v>
      </c>
      <c r="AJ445" s="72" t="n">
        <v>7.71</v>
      </c>
      <c r="AK445" s="72" t="n">
        <v>6.87</v>
      </c>
      <c r="AL445" s="72" t="n">
        <v>-1.62</v>
      </c>
      <c r="AM445" s="72" t="n">
        <v>-9.460000000000001</v>
      </c>
      <c r="AN445" s="72" t="n">
        <v>0.63</v>
      </c>
      <c r="AO445" s="72" t="n">
        <v>4.21</v>
      </c>
      <c r="AP445" s="62" t="inlineStr">
        <is>
          <t>HSTECH (Hang Seng TECH ETF)</t>
        </is>
      </c>
      <c r="AQ445" s="72" t="n">
        <v>-6.49</v>
      </c>
      <c r="AR445" s="63" t="inlineStr">
        <is>
          <t>2026-08-21</t>
        </is>
      </c>
      <c r="AS445" s="64" t="n">
        <v>2873</v>
      </c>
      <c r="AT445" s="67" t="n">
        <v>437</v>
      </c>
      <c r="AU445" s="62" t="inlineStr">
        <is>
          <t>Y</t>
        </is>
      </c>
      <c r="AV445" s="73" t="n">
        <v>38.1</v>
      </c>
      <c r="AW445" s="73" t="n"/>
      <c r="AX445" s="73" t="n"/>
      <c r="AY445" s="73" t="n">
        <v>5.8</v>
      </c>
      <c r="AZ445" s="74" t="inlineStr">
        <is>
          <t>N</t>
        </is>
      </c>
      <c r="BA445" s="75">
        <f>IF('BBG Verify'!K445="","not filed — run on terminal",'BBG Verify'!K445)</f>
        <v/>
      </c>
      <c r="BB445" s="62" t="inlineStr">
        <is>
          <t>N/A</t>
        </is>
      </c>
      <c r="BC445" s="62" t="inlineStr">
        <is>
          <t>N/A</t>
        </is>
      </c>
      <c r="BD445" s="62" t="inlineStr">
        <is>
          <t>N/A</t>
        </is>
      </c>
      <c r="BE445" s="62" t="inlineStr">
        <is>
          <t>N/A</t>
        </is>
      </c>
      <c r="BF445" s="62" t="inlineStr">
        <is>
          <t>N/A</t>
        </is>
      </c>
      <c r="BG445" s="74" t="n"/>
      <c r="BH445" s="62" t="inlineStr">
        <is>
          <t>China International Capital Corporation Hong Kong Securities Limited; China Securities (International) Corporate Finance Company Limited; China Merchants Securities (HK) Company Limited</t>
        </is>
      </c>
      <c r="BI445" s="62" t="inlineStr">
        <is>
          <t>China International Capital Corporation Hong Kong Securities Limited; China Securities (International) Corporate Finance Company Limited; China Merchants Securities (HK) Co., Limited; BOCI Asia Limited; No. 95 Queensway Admiralty, Hong Kong Tiger Brokers (HK) Global Limited</t>
        </is>
      </c>
      <c r="BJ445" s="62" t="inlineStr">
        <is>
          <t>BOCI Asia Limited; China International Capital Corporation Hong Kong Securities Limited; China Merchants Securities (HK) Company Limited; China Securities (International) Corporate Finance Company Limited; Futu Securities International (Hong Kong) Limited; Tiger Brokers (HK) Global Limited</t>
        </is>
      </c>
      <c r="BK445" s="76">
        <f>HYPERLINK("https://www1.hkexnews.hk/listedco/listconews/sehk/2026/0313/2026031300015.pdf","prospectus")</f>
        <v/>
      </c>
      <c r="BL445" s="76">
        <f>HYPERLINK("https://www1.hkexnews.hk/listedco/listconews/sehk/2026/0320/2026032001750.pdf","allotment")</f>
        <v/>
      </c>
      <c r="BM445" s="62" t="n"/>
      <c r="BN445" s="74" t="n"/>
      <c r="BO445" s="62" t="inlineStr">
        <is>
          <t>greenshoe: end-of-stabilisation notice not located · range low: cap-only pricing — the filing publishes a Maximum Offer Price and no indicative floor · A/H: no A-share listing · sponsor: English name not in the filing text; AAStocks 保薦人 shown</t>
        </is>
      </c>
    </row>
    <row r="446" ht="15" customHeight="1">
      <c r="A446" s="61" t="inlineStr">
        <is>
          <t>2729</t>
        </is>
      </c>
      <c r="B446" s="62" t="inlineStr">
        <is>
          <t>GALAXIS TECH</t>
        </is>
      </c>
      <c r="C446" s="62" t="inlineStr">
        <is>
          <t>凱樂士科技</t>
        </is>
      </c>
      <c r="D446" s="62" t="inlineStr">
        <is>
          <t>Tech/AI</t>
        </is>
      </c>
      <c r="E446" s="62" t="inlineStr">
        <is>
          <t>Robotics &amp; autonomous driving</t>
        </is>
      </c>
      <c r="F446" s="62" t="inlineStr">
        <is>
          <t>Advanced hardware and software</t>
        </is>
      </c>
      <c r="G446" s="62" t="inlineStr">
        <is>
          <t>Standard</t>
        </is>
      </c>
      <c r="H446" s="63" t="n">
        <v>46105</v>
      </c>
      <c r="I446" s="64" t="n">
        <v>613</v>
      </c>
      <c r="J446" s="62" t="inlineStr">
        <is>
          <t>gross (stated)</t>
        </is>
      </c>
      <c r="K446" s="65" t="n"/>
      <c r="L446" s="65" t="n">
        <v>20.4</v>
      </c>
      <c r="M446" s="65" t="n">
        <v>16.66</v>
      </c>
      <c r="N446" s="62" t="inlineStr">
        <is>
          <t>N</t>
        </is>
      </c>
      <c r="O446" s="66" t="n">
        <v>81.7</v>
      </c>
      <c r="P446" s="66" t="n"/>
      <c r="Q446" s="67" t="n">
        <v>7128.5</v>
      </c>
      <c r="R446" s="62" t="inlineStr">
        <is>
          <t>derived:price x shares upon listing</t>
        </is>
      </c>
      <c r="S446" s="68" t="n">
        <v>2153.26</v>
      </c>
      <c r="T446" s="69" t="n">
        <v>3.37</v>
      </c>
      <c r="U446" s="70" t="n">
        <v>0</v>
      </c>
      <c r="V446" s="66" t="n">
        <v>8.6</v>
      </c>
      <c r="W446" s="62" t="n"/>
      <c r="X446" s="62" t="n"/>
      <c r="Y446" s="66" t="n">
        <v>8.800000000000001</v>
      </c>
      <c r="Z446" s="62" t="inlineStr">
        <is>
          <t>lapsed (no over-allocation)</t>
        </is>
      </c>
      <c r="AA446" s="71" t="n">
        <v>84.27</v>
      </c>
      <c r="AB446" s="72" t="n">
        <v>92.08</v>
      </c>
      <c r="AC446" s="72" t="n">
        <v>-4.07</v>
      </c>
      <c r="AD446" s="72" t="n">
        <v>80.19</v>
      </c>
      <c r="AE446" s="72" t="n">
        <v>126.29</v>
      </c>
      <c r="AF446" s="72" t="n">
        <v>79.34999999999999</v>
      </c>
      <c r="AG446" s="72" t="n">
        <v>-2.21</v>
      </c>
      <c r="AH446" s="72" t="n">
        <v>22.8</v>
      </c>
      <c r="AI446" s="72" t="n">
        <v>-2.67</v>
      </c>
      <c r="AJ446" s="72" t="n">
        <v>81.41</v>
      </c>
      <c r="AK446" s="72" t="n">
        <v>121.43</v>
      </c>
      <c r="AL446" s="72" t="n">
        <v>85.81999999999999</v>
      </c>
      <c r="AM446" s="72" t="n">
        <v>20.43</v>
      </c>
      <c r="AN446" s="72" t="n">
        <v>4.86</v>
      </c>
      <c r="AO446" s="72" t="n">
        <v>2.37</v>
      </c>
      <c r="AP446" s="62" t="inlineStr">
        <is>
          <t>HSTECH (Hang Seng TECH ETF)</t>
        </is>
      </c>
      <c r="AQ446" s="72" t="n">
        <v>114.29</v>
      </c>
      <c r="AR446" s="63" t="inlineStr">
        <is>
          <t>2026-08-20</t>
        </is>
      </c>
      <c r="AS446" s="64" t="n">
        <v>793.6</v>
      </c>
      <c r="AT446" s="67" t="n">
        <v>-195.9</v>
      </c>
      <c r="AU446" s="62" t="inlineStr">
        <is>
          <t>N</t>
        </is>
      </c>
      <c r="AV446" s="62" t="inlineStr">
        <is>
          <t>n/m</t>
        </is>
      </c>
      <c r="AW446" s="73" t="n"/>
      <c r="AX446" s="73" t="n"/>
      <c r="AY446" s="73" t="n">
        <v>9</v>
      </c>
      <c r="AZ446" s="74" t="inlineStr">
        <is>
          <t>N</t>
        </is>
      </c>
      <c r="BA446" s="75">
        <f>IF('BBG Verify'!K446="","not filed — run on terminal",'BBG Verify'!K446)</f>
        <v/>
      </c>
      <c r="BB446" s="62" t="inlineStr">
        <is>
          <t>N/A</t>
        </is>
      </c>
      <c r="BC446" s="62" t="inlineStr">
        <is>
          <t>N/A</t>
        </is>
      </c>
      <c r="BD446" s="62" t="inlineStr">
        <is>
          <t>N/A</t>
        </is>
      </c>
      <c r="BE446" s="62" t="inlineStr">
        <is>
          <t>N/A</t>
        </is>
      </c>
      <c r="BF446" s="62" t="inlineStr">
        <is>
          <t>N/A</t>
        </is>
      </c>
      <c r="BG446" s="74" t="inlineStr">
        <is>
          <t>Guotai Junan Capital Limited; CITIC Securities (Hong Kong) Limited</t>
        </is>
      </c>
      <c r="BH446" s="62" t="inlineStr">
        <is>
          <t>CITIC Securities (Hong Kong) Limited; Guotai Junan Capital Limited</t>
        </is>
      </c>
      <c r="BI446" s="62" t="inlineStr">
        <is>
          <t>ICBC International Securities Limited; CCB International Capital Limited; Yunfeng Securities Limited; Livermore Holdings Limited; SPDB International Capital Limited; Shenwan Hongyuan Securities (H.K.) Limited; Yuen Meta (International) Securities Limited; Harmonia Capital Limited</t>
        </is>
      </c>
      <c r="BJ446" s="62" t="inlineStr">
        <is>
          <t>ABCI Securities Company Limited; CCB International Capital Limited; CLSA Limited; CMB International Capital Limited; Guotai Junan Securities (Hong Kong) Limited; Harmonia Capital Limited; ICBC International Securities Limited; Livermore Holdings Limited; Shenwan Hongyuan Securities (H.K.) Limited; SPDB International Capital Limited; Yunfeng Securities Limited; Yuen Meta (International) Securities Limited</t>
        </is>
      </c>
      <c r="BK446" s="76">
        <f>HYPERLINK("https://www1.hkexnews.hk/listedco/listconews/sehk/2026/0316/2026031600013.pdf","prospectus")</f>
        <v/>
      </c>
      <c r="BL446" s="76">
        <f>HYPERLINK("https://www1.hkexnews.hk/listedco/listconews/sehk/2026/0323/2026032301408.pdf","allotment")</f>
        <v/>
      </c>
      <c r="BM446" s="76">
        <f>HYPERLINK("https://www1.hkexnews.hk/listedco/listconews/sehk/2026/0420/2026042000237.pdf","stabilisation")</f>
        <v/>
      </c>
      <c r="BN446" s="74" t="n"/>
      <c r="BO446" s="62" t="inlineStr">
        <is>
          <t>P/E: n/m — loss-making at IPO (use P/S) · range low: cap-only pricing — the filing publishes a Maximum Offer Price and no indicative floor · A/H: no A-share listing · cornerstone list: no cornerstone tranche in this deal</t>
        </is>
      </c>
    </row>
    <row r="447" ht="15" customHeight="1">
      <c r="A447" s="61" t="inlineStr">
        <is>
          <t>2632</t>
        </is>
      </c>
      <c r="B447" s="62" t="inlineStr">
        <is>
          <t>NEW VISION CO</t>
        </is>
      </c>
      <c r="C447" s="62" t="inlineStr">
        <is>
          <t>澤景股份</t>
        </is>
      </c>
      <c r="D447" s="62" t="inlineStr">
        <is>
          <t>Consumer</t>
        </is>
      </c>
      <c r="E447" s="62" t="inlineStr">
        <is>
          <t>Auto parts / supply chain</t>
        </is>
      </c>
      <c r="F447" s="62" t="inlineStr">
        <is>
          <t>Auto Parts &amp; Equipment</t>
        </is>
      </c>
      <c r="G447" s="62" t="inlineStr">
        <is>
          <t>Standard</t>
        </is>
      </c>
      <c r="H447" s="63" t="n">
        <v>46105</v>
      </c>
      <c r="I447" s="64" t="n">
        <v>717.21</v>
      </c>
      <c r="J447" s="62" t="inlineStr">
        <is>
          <t>gross (stated)</t>
        </is>
      </c>
      <c r="K447" s="65" t="n"/>
      <c r="L447" s="65" t="n">
        <v>48</v>
      </c>
      <c r="M447" s="65" t="n">
        <v>44.2</v>
      </c>
      <c r="N447" s="62" t="inlineStr">
        <is>
          <t>N</t>
        </is>
      </c>
      <c r="O447" s="66" t="n">
        <v>92.09999999999999</v>
      </c>
      <c r="P447" s="66" t="n"/>
      <c r="Q447" s="67" t="n">
        <v>5454.1</v>
      </c>
      <c r="R447" s="62" t="inlineStr">
        <is>
          <t>derived:price x shares upon listing</t>
        </is>
      </c>
      <c r="S447" s="68" t="n">
        <v>68.89</v>
      </c>
      <c r="T447" s="69" t="n">
        <v>1.34</v>
      </c>
      <c r="U447" s="70" t="n">
        <v>16.13</v>
      </c>
      <c r="V447" s="66" t="n">
        <v>11.03</v>
      </c>
      <c r="W447" s="62" t="inlineStr">
        <is>
          <t>Yingke No.1 (Hongkong) Limited</t>
        </is>
      </c>
      <c r="X447" s="62" t="inlineStr">
        <is>
          <t>yingke</t>
        </is>
      </c>
      <c r="Y447" s="66" t="n"/>
      <c r="Z447" s="62" t="n"/>
      <c r="AA447" s="71" t="n">
        <v>-36.92</v>
      </c>
      <c r="AB447" s="72" t="n">
        <v>-0.68</v>
      </c>
      <c r="AC447" s="72" t="n">
        <v>-36.49</v>
      </c>
      <c r="AD447" s="72" t="n">
        <v>1.81</v>
      </c>
      <c r="AE447" s="72" t="n">
        <v>94.12</v>
      </c>
      <c r="AF447" s="72" t="n">
        <v>149.1</v>
      </c>
      <c r="AG447" s="72" t="n">
        <v>61.4</v>
      </c>
      <c r="AH447" s="72" t="n">
        <v>207.74</v>
      </c>
      <c r="AI447" s="72" t="n">
        <v>294.9</v>
      </c>
      <c r="AJ447" s="72" t="n">
        <v>2.11</v>
      </c>
      <c r="AK447" s="72" t="n">
        <v>90.3</v>
      </c>
      <c r="AL447" s="72" t="n">
        <v>160.17</v>
      </c>
      <c r="AM447" s="72" t="n">
        <v>206.4</v>
      </c>
      <c r="AN447" s="72" t="n">
        <v>3.82</v>
      </c>
      <c r="AO447" s="72" t="n">
        <v>1.34</v>
      </c>
      <c r="AP447" s="62" t="inlineStr">
        <is>
          <t>Hang Seng Commerce &amp; Industry sub-index</t>
        </is>
      </c>
      <c r="AQ447" s="72" t="n">
        <v>58.82</v>
      </c>
      <c r="AR447" s="63" t="inlineStr">
        <is>
          <t>2026-08-20</t>
        </is>
      </c>
      <c r="AS447" s="64" t="n">
        <v>635.4</v>
      </c>
      <c r="AT447" s="67" t="n">
        <v>-151.6</v>
      </c>
      <c r="AU447" s="62" t="inlineStr">
        <is>
          <t>N</t>
        </is>
      </c>
      <c r="AV447" s="62" t="inlineStr">
        <is>
          <t>n/m</t>
        </is>
      </c>
      <c r="AW447" s="73" t="n"/>
      <c r="AX447" s="73" t="n"/>
      <c r="AY447" s="73" t="n">
        <v>8.6</v>
      </c>
      <c r="AZ447" s="74" t="inlineStr">
        <is>
          <t>N</t>
        </is>
      </c>
      <c r="BA447" s="75">
        <f>IF('BBG Verify'!K447="","not filed — run on terminal",'BBG Verify'!K447)</f>
        <v/>
      </c>
      <c r="BB447" s="62" t="inlineStr">
        <is>
          <t>N/A</t>
        </is>
      </c>
      <c r="BC447" s="62" t="inlineStr">
        <is>
          <t>N/A</t>
        </is>
      </c>
      <c r="BD447" s="62" t="inlineStr">
        <is>
          <t>N/A</t>
        </is>
      </c>
      <c r="BE447" s="62" t="inlineStr">
        <is>
          <t>N/A</t>
        </is>
      </c>
      <c r="BF447" s="62" t="inlineStr">
        <is>
          <t>N/A</t>
        </is>
      </c>
      <c r="BG447" s="74" t="inlineStr">
        <is>
          <t>Haitong International Capital Limited; Central, Hong Kong CITIC Securities (Hong Kong) Limited</t>
        </is>
      </c>
      <c r="BH447" s="62" t="inlineStr">
        <is>
          <t>Haitong International Capital Limited; CITIC Securities (Hong Kong) Limited</t>
        </is>
      </c>
      <c r="BI447" s="62" t="inlineStr">
        <is>
          <t>BOCI Asia Limited; Patrons Securities Limited</t>
        </is>
      </c>
      <c r="BJ447" s="62" t="inlineStr">
        <is>
          <t>BOCI Asia Limited; CLSA Limited; Futu Securities International (Hong Kong) Limited; Haitong International Securities Company Limited; Patrons Securities Limited</t>
        </is>
      </c>
      <c r="BK447" s="76">
        <f>HYPERLINK("https://www1.hkexnews.hk/listedco/listconews/sehk/2026/0316/2026031600011.pdf","prospectus")</f>
        <v/>
      </c>
      <c r="BL447" s="76">
        <f>HYPERLINK("https://www1.hkexnews.hk/listedco/listconews/sehk/2026/0323/2026032301630.pdf","allotment")</f>
        <v/>
      </c>
      <c r="BM447" s="62" t="n"/>
      <c r="BN447" s="74" t="n"/>
      <c r="BO447" s="62"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t>
        </is>
      </c>
    </row>
    <row r="448" ht="15" customHeight="1">
      <c r="A448" s="61" t="inlineStr">
        <is>
          <t>2726</t>
        </is>
      </c>
      <c r="B448" s="62" t="inlineStr">
        <is>
          <t>EPIWORLD</t>
        </is>
      </c>
      <c r="C448" s="62" t="inlineStr">
        <is>
          <t>瀚天天成</t>
        </is>
      </c>
      <c r="D448" s="62" t="inlineStr">
        <is>
          <t>Tech/AI</t>
        </is>
      </c>
      <c r="E448" s="62" t="inlineStr">
        <is>
          <t>AI chips &amp; semis</t>
        </is>
      </c>
      <c r="F448" s="62" t="inlineStr">
        <is>
          <t>Semiconductors &amp; Semiconductor Equipment</t>
        </is>
      </c>
      <c r="G448" s="62" t="inlineStr">
        <is>
          <t>Standard</t>
        </is>
      </c>
      <c r="H448" s="63" t="n">
        <v>46111</v>
      </c>
      <c r="I448" s="64" t="n">
        <v>1640</v>
      </c>
      <c r="J448" s="62" t="inlineStr">
        <is>
          <t>gross (stated)</t>
        </is>
      </c>
      <c r="K448" s="65" t="n"/>
      <c r="L448" s="65" t="n">
        <v>76.26000000000001</v>
      </c>
      <c r="M448" s="65" t="n">
        <v>76.26000000000001</v>
      </c>
      <c r="N448" s="62" t="inlineStr">
        <is>
          <t>Y</t>
        </is>
      </c>
      <c r="O448" s="66" t="n">
        <v>100</v>
      </c>
      <c r="P448" s="66" t="n"/>
      <c r="Q448" s="67" t="n">
        <v>32455.1</v>
      </c>
      <c r="R448" s="62" t="inlineStr">
        <is>
          <t>derived:price x shares upon listing</t>
        </is>
      </c>
      <c r="S448" s="68" t="n">
        <v>50.66</v>
      </c>
      <c r="T448" s="69" t="n">
        <v>1.95</v>
      </c>
      <c r="U448" s="70" t="n">
        <v>47.1</v>
      </c>
      <c r="V448" s="66" t="n">
        <v>2.67</v>
      </c>
      <c r="W448" s="62" t="inlineStr">
        <is>
          <t>Xiamen Advanced Intelligent Manufacturing Industry Investment Limited</t>
        </is>
      </c>
      <c r="X448" s="62" t="inlineStr">
        <is>
          <t>xiamen</t>
        </is>
      </c>
      <c r="Y448" s="66" t="n"/>
      <c r="Z448" s="62" t="n"/>
      <c r="AA448" s="71" t="n">
        <v>35.06</v>
      </c>
      <c r="AB448" s="72" t="n">
        <v>44.24</v>
      </c>
      <c r="AC448" s="72" t="n">
        <v>-6.36</v>
      </c>
      <c r="AD448" s="72" t="n">
        <v>51.19</v>
      </c>
      <c r="AE448" s="72" t="n">
        <v>40.44</v>
      </c>
      <c r="AF448" s="72" t="n">
        <v>31.26</v>
      </c>
      <c r="AG448" s="72" t="n">
        <v>11.94</v>
      </c>
      <c r="AH448" s="72" t="n">
        <v>3.98</v>
      </c>
      <c r="AI448" s="72" t="n">
        <v>-2.81</v>
      </c>
      <c r="AJ448" s="72" t="n">
        <v>50.46</v>
      </c>
      <c r="AK448" s="72" t="n">
        <v>36.29</v>
      </c>
      <c r="AL448" s="72" t="n">
        <v>36.05</v>
      </c>
      <c r="AM448" s="72" t="n">
        <v>-2.21</v>
      </c>
      <c r="AN448" s="72" t="n">
        <v>4.15</v>
      </c>
      <c r="AO448" s="72" t="n">
        <v>6.19</v>
      </c>
      <c r="AP448" s="62" t="inlineStr">
        <is>
          <t>HSTECH (Hang Seng TECH ETF)</t>
        </is>
      </c>
      <c r="AQ448" s="72" t="n">
        <v>34.67</v>
      </c>
      <c r="AR448" s="63" t="inlineStr">
        <is>
          <t>2026-08-21</t>
        </is>
      </c>
      <c r="AS448" s="64" t="n">
        <v>1071.7</v>
      </c>
      <c r="AT448" s="67" t="n">
        <v>181.6</v>
      </c>
      <c r="AU448" s="62" t="inlineStr">
        <is>
          <t>Y</t>
        </is>
      </c>
      <c r="AV448" s="73" t="n">
        <v>178.7</v>
      </c>
      <c r="AW448" s="73" t="n"/>
      <c r="AX448" s="73" t="n"/>
      <c r="AY448" s="73" t="n">
        <v>30.3</v>
      </c>
      <c r="AZ448" s="74" t="inlineStr">
        <is>
          <t>N</t>
        </is>
      </c>
      <c r="BA448" s="75">
        <f>IF('BBG Verify'!K448="","not filed — run on terminal",'BBG Verify'!K448)</f>
        <v/>
      </c>
      <c r="BB448" s="62" t="inlineStr">
        <is>
          <t>N/A</t>
        </is>
      </c>
      <c r="BC448" s="62" t="inlineStr">
        <is>
          <t>N/A</t>
        </is>
      </c>
      <c r="BD448" s="62" t="inlineStr">
        <is>
          <t>N/A</t>
        </is>
      </c>
      <c r="BE448" s="62" t="inlineStr">
        <is>
          <t>N/A</t>
        </is>
      </c>
      <c r="BF448" s="62" t="inlineStr">
        <is>
          <t>N/A</t>
        </is>
      </c>
      <c r="BG448" s="74" t="n"/>
      <c r="BH448" s="62" t="inlineStr">
        <is>
          <t>China International Capital Corporation Hong Kong Securities Limited</t>
        </is>
      </c>
      <c r="BI448" s="62" t="inlineStr">
        <is>
          <t>ABCI Capital Limited; Daokou Securities Limited; China Industrial Securities International Capital Limited; Fuze Securities (International) Limited; Kingston Securities Limited; Yuen Meta (International) Securities Limited</t>
        </is>
      </c>
      <c r="BJ448" s="62" t="inlineStr">
        <is>
          <t>ABCI Securities Company Limited; CCB International Capital Limited; China International Capital Corporation Hong Kong Securities Limited; China Industrial Securities International Capital Limited; China Sunrise Securities (International) Limited; Daokou Securities Limited; Futu Securities International (Hong Kong) Limited; FUZE SECURITIES (INTERNATIONAL) LIMITED; ICBC International Securities Limited; Kingston Securities Limited; Orient Securities (Hong Kong) Limited; Yuen Meta (International) Securities Limited</t>
        </is>
      </c>
      <c r="BK448" s="76">
        <f>HYPERLINK("https://www1.hkexnews.hk/listedco/listconews/sehk/2026/0320/2026032000029.pdf","prospectus")</f>
        <v/>
      </c>
      <c r="BL448" s="76">
        <f>HYPERLINK("https://www1.hkexnews.hk/listedco/listconews/sehk/2026/0327/2026032702128.pdf","allotment")</f>
        <v/>
      </c>
      <c r="BM448" s="62" t="n"/>
      <c r="BN448" s="74" t="n"/>
      <c r="BO448" s="62" t="inlineStr">
        <is>
          <t>greenshoe: no over-allotment option in the offer structure · range low: cap-only pricing — the filing publishes a Maximum Offer Price and no indicative floor · A/H: no A-share listing · sponsor: English name not in the filing text; AAStocks 保薦人 shown · greenshoe size: no over-allotment option in the offer structure</t>
        </is>
      </c>
    </row>
    <row r="449" ht="15" customHeight="1">
      <c r="A449" s="61" t="inlineStr">
        <is>
          <t>2526</t>
        </is>
      </c>
      <c r="B449" s="62" t="inlineStr">
        <is>
          <t>DIAGENS-B</t>
        </is>
      </c>
      <c r="C449" s="62" t="inlineStr">
        <is>
          <t>德適－Ｂ</t>
        </is>
      </c>
      <c r="D449" s="62" t="inlineStr">
        <is>
          <t>Healthcare</t>
        </is>
      </c>
      <c r="E449" s="62" t="inlineStr">
        <is>
          <t>Medical devices</t>
        </is>
      </c>
      <c r="F449" s="62" t="inlineStr">
        <is>
          <t>Biotechnology - Medical Devices</t>
        </is>
      </c>
      <c r="G449" s="62" t="inlineStr">
        <is>
          <t>18A</t>
        </is>
      </c>
      <c r="H449" s="63" t="n">
        <v>46111</v>
      </c>
      <c r="I449" s="64" t="n">
        <v>791.9</v>
      </c>
      <c r="J449" s="62" t="inlineStr">
        <is>
          <t>gross (stated)</t>
        </is>
      </c>
      <c r="K449" s="65" t="n"/>
      <c r="L449" s="65" t="n">
        <v>112.5</v>
      </c>
      <c r="M449" s="65" t="n">
        <v>99</v>
      </c>
      <c r="N449" s="62" t="inlineStr">
        <is>
          <t>N</t>
        </is>
      </c>
      <c r="O449" s="66" t="n">
        <v>88</v>
      </c>
      <c r="P449" s="66" t="n"/>
      <c r="Q449" s="67" t="n">
        <v>8799</v>
      </c>
      <c r="R449" s="62" t="inlineStr">
        <is>
          <t>derived:price x shares upon listing</t>
        </is>
      </c>
      <c r="S449" s="68" t="n">
        <v>1073.37</v>
      </c>
      <c r="T449" s="69" t="n">
        <v>3.45</v>
      </c>
      <c r="U449" s="70" t="n">
        <v>0</v>
      </c>
      <c r="V449" s="66" t="n">
        <v>9</v>
      </c>
      <c r="W449" s="62" t="n"/>
      <c r="X449" s="62" t="n"/>
      <c r="Y449" s="66" t="n"/>
      <c r="Z449" s="62" t="n"/>
      <c r="AA449" s="71" t="n">
        <v>111.72</v>
      </c>
      <c r="AB449" s="72" t="n">
        <v>121.21</v>
      </c>
      <c r="AC449" s="72" t="n">
        <v>-4.29</v>
      </c>
      <c r="AD449" s="72" t="n">
        <v>202.02</v>
      </c>
      <c r="AE449" s="72" t="n">
        <v>234.34</v>
      </c>
      <c r="AF449" s="72" t="n">
        <v>303.03</v>
      </c>
      <c r="AG449" s="72" t="n">
        <v>42.65</v>
      </c>
      <c r="AH449" s="72" t="n">
        <v>57.92</v>
      </c>
      <c r="AI449" s="72" t="n">
        <v>90.36</v>
      </c>
      <c r="AJ449" s="72" t="n">
        <v>196.11</v>
      </c>
      <c r="AK449" s="72" t="n">
        <v>230.63</v>
      </c>
      <c r="AL449" s="72" t="n">
        <v>300.15</v>
      </c>
      <c r="AM449" s="72" t="n">
        <v>54.37</v>
      </c>
      <c r="AN449" s="72" t="n">
        <v>3.71</v>
      </c>
      <c r="AO449" s="72" t="n">
        <v>3.55</v>
      </c>
      <c r="AP449" s="62" t="inlineStr">
        <is>
          <t>China Biotech ETF (HS biotech proxy)</t>
        </is>
      </c>
      <c r="AQ449" s="72" t="n">
        <v>431.31</v>
      </c>
      <c r="AR449" s="63" t="inlineStr">
        <is>
          <t>2026-08-21</t>
        </is>
      </c>
      <c r="AS449" s="64" t="n">
        <v>21.5</v>
      </c>
      <c r="AT449" s="67" t="n">
        <v>-61.7</v>
      </c>
      <c r="AU449" s="62" t="inlineStr">
        <is>
          <t>N</t>
        </is>
      </c>
      <c r="AV449" s="62" t="inlineStr">
        <is>
          <t>n/m</t>
        </is>
      </c>
      <c r="AW449" s="73" t="n"/>
      <c r="AX449" s="73" t="n"/>
      <c r="AY449" s="73" t="n">
        <v>409.3</v>
      </c>
      <c r="AZ449" s="74" t="inlineStr">
        <is>
          <t>N</t>
        </is>
      </c>
      <c r="BA449" s="75">
        <f>IF('BBG Verify'!K449="","not filed — run on terminal",'BBG Verify'!K449)</f>
        <v/>
      </c>
      <c r="BB449" s="62" t="inlineStr">
        <is>
          <t>N/A</t>
        </is>
      </c>
      <c r="BC449" s="62" t="inlineStr">
        <is>
          <t>N/A</t>
        </is>
      </c>
      <c r="BD449" s="62" t="inlineStr">
        <is>
          <t>N/A</t>
        </is>
      </c>
      <c r="BE449" s="62" t="inlineStr">
        <is>
          <t>N/A</t>
        </is>
      </c>
      <c r="BF449" s="62" t="inlineStr">
        <is>
          <t>N/A</t>
        </is>
      </c>
      <c r="BG449" s="74" t="inlineStr">
        <is>
          <t>and Sponsor-overall Coordinator Huatai Financial Holdings (Hong Kong) Limited</t>
        </is>
      </c>
      <c r="BH449" s="62" t="inlineStr">
        <is>
          <t>Huatai Financial Holdings (Hong Kong) Limited</t>
        </is>
      </c>
      <c r="BI449" s="62" t="inlineStr">
        <is>
          <t>Huatai Financial Holdings (Hong Kong) Limited; Futu Securities International (Hong Kong) Limited; ABCI Capital Limited; Central, Hong Kong BOCI Asia Limited; Central, Hong Kong CCB International Capital Limited; Central, Hong Kong China Galaxy International Securities (Hong Kong) Co., Limited; Sheung Wan, Hong Kong Huafu International Securities Limited; Sheung Wan, Hong Kong Y ellow River Securities Limited; Admiralty, Hong Kong Yuen Meta (International) Securities Limited; Wanchai, Hong Kong Yunfeng Securities Limited; Wanchai, Hong Kong Zheshang International Financial Holdings Co., Ltd</t>
        </is>
      </c>
      <c r="BJ449" s="62" t="inlineStr">
        <is>
          <t>ABCI Securities Company Limited; BOCI Asia Limited; CCB International Capital Limited; China Galaxy International Securities (Hong Kong) Company Limited; Futu Securities International (Hong Kong) Limited; Huatai Financial Holdings (Hong Kong) Limited; Huafu International Securities Limited; Yunfeng Securities Limited; Yuen Meta (International) Securities Limited; Yellow River Securities Limited; Zheshang International Financial Holdings Co., Limited</t>
        </is>
      </c>
      <c r="BK449" s="76">
        <f>HYPERLINK("https://www1.hkexnews.hk/listedco/listconews/sehk/2026/0320/2026032000025.pdf","prospectus")</f>
        <v/>
      </c>
      <c r="BL449" s="76">
        <f>HYPERLINK("https://www1.hkexnews.hk/listedco/listconews/sehk/2026/0327/2026032702330.pdf","allotment")</f>
        <v/>
      </c>
      <c r="BM449" s="62" t="n"/>
      <c r="BN449" s="74" t="n"/>
      <c r="BO449" s="62" t="inlineStr">
        <is>
          <t>P/E: n/m — loss-making at IPO (use P/S) · 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 · P/S: 409x on HK$21.5m revenue — effectively pre-revenue; the multiple is shown for completeness, not comparability</t>
        </is>
      </c>
    </row>
    <row r="450" ht="15" customHeight="1">
      <c r="A450" s="61" t="inlineStr">
        <is>
          <t>6636</t>
        </is>
      </c>
      <c r="B450" s="62" t="inlineStr">
        <is>
          <t>EXTREME VISION</t>
        </is>
      </c>
      <c r="C450" s="62" t="inlineStr">
        <is>
          <t>極視角</t>
        </is>
      </c>
      <c r="D450" s="62" t="inlineStr">
        <is>
          <t>Tech/AI</t>
        </is>
      </c>
      <c r="E450" s="62" t="inlineStr">
        <is>
          <t>AI application / agent software</t>
        </is>
      </c>
      <c r="F450" s="62" t="inlineStr">
        <is>
          <t>Next-generation information technology</t>
        </is>
      </c>
      <c r="G450" s="62" t="inlineStr">
        <is>
          <t>Standard</t>
        </is>
      </c>
      <c r="H450" s="63" t="n">
        <v>46111</v>
      </c>
      <c r="I450" s="64" t="n">
        <v>499.2</v>
      </c>
      <c r="J450" s="62" t="inlineStr">
        <is>
          <t>gross (stated)</t>
        </is>
      </c>
      <c r="K450" s="65" t="n"/>
      <c r="L450" s="65" t="n">
        <v>40</v>
      </c>
      <c r="M450" s="65" t="n">
        <v>40</v>
      </c>
      <c r="N450" s="62" t="inlineStr">
        <is>
          <t>Y</t>
        </is>
      </c>
      <c r="O450" s="66" t="n">
        <v>100</v>
      </c>
      <c r="P450" s="66" t="n"/>
      <c r="Q450" s="67" t="n">
        <v>4516.6</v>
      </c>
      <c r="R450" s="62" t="inlineStr">
        <is>
          <t>derived:price x shares upon listing</t>
        </is>
      </c>
      <c r="S450" s="68" t="n">
        <v>4591.37</v>
      </c>
      <c r="T450" s="69" t="n">
        <v>3.41</v>
      </c>
      <c r="U450" s="70" t="n">
        <v>9.460000000000001</v>
      </c>
      <c r="V450" s="66" t="n">
        <v>10.01</v>
      </c>
      <c r="W450" s="62" t="inlineStr">
        <is>
          <t>George Kent International Pte. Ltd; Zhengjin (Hong Kong) International Co., Limited</t>
        </is>
      </c>
      <c r="X450" s="62" t="inlineStr">
        <is>
          <t>george;zhengjin</t>
        </is>
      </c>
      <c r="Y450" s="66" t="n"/>
      <c r="Z450" s="62" t="n"/>
      <c r="AA450" s="71" t="n">
        <v>150</v>
      </c>
      <c r="AB450" s="72" t="n">
        <v>49.88</v>
      </c>
      <c r="AC450" s="72" t="n">
        <v>66.8</v>
      </c>
      <c r="AD450" s="72" t="n">
        <v>164</v>
      </c>
      <c r="AE450" s="72" t="n">
        <v>151.25</v>
      </c>
      <c r="AF450" s="72" t="n">
        <v>112.5</v>
      </c>
      <c r="AG450" s="72" t="n">
        <v>5.6</v>
      </c>
      <c r="AH450" s="72" t="n">
        <v>0.5</v>
      </c>
      <c r="AI450" s="72" t="n">
        <v>-15</v>
      </c>
      <c r="AJ450" s="72" t="n">
        <v>163.27</v>
      </c>
      <c r="AK450" s="72" t="n">
        <v>147.1</v>
      </c>
      <c r="AL450" s="72" t="n">
        <v>117.29</v>
      </c>
      <c r="AM450" s="72" t="n">
        <v>-5.69</v>
      </c>
      <c r="AN450" s="72" t="n">
        <v>4.15</v>
      </c>
      <c r="AO450" s="72" t="n">
        <v>6.19</v>
      </c>
      <c r="AP450" s="62" t="inlineStr">
        <is>
          <t>HSTECH (Hang Seng TECH ETF)</t>
        </is>
      </c>
      <c r="AQ450" s="72" t="n">
        <v>141.12</v>
      </c>
      <c r="AR450" s="63" t="inlineStr">
        <is>
          <t>2026-08-21</t>
        </is>
      </c>
      <c r="AS450" s="64" t="n">
        <v>283</v>
      </c>
      <c r="AT450" s="67" t="n"/>
      <c r="AU450" s="62" t="inlineStr">
        <is>
          <t>Y</t>
        </is>
      </c>
      <c r="AV450" s="77">
        <f>IF('BBG Verify'!O450="","not filed — run on terminal",'BBG Verify'!O450)</f>
        <v/>
      </c>
      <c r="AW450" s="73" t="n"/>
      <c r="AX450" s="73" t="n"/>
      <c r="AY450" s="73" t="n">
        <v>16</v>
      </c>
      <c r="AZ450" s="74" t="inlineStr">
        <is>
          <t>N</t>
        </is>
      </c>
      <c r="BA450" s="75">
        <f>IF('BBG Verify'!K450="","not filed — run on terminal",'BBG Verify'!K450)</f>
        <v/>
      </c>
      <c r="BB450" s="62" t="inlineStr">
        <is>
          <t>N/A</t>
        </is>
      </c>
      <c r="BC450" s="62" t="inlineStr">
        <is>
          <t>N/A</t>
        </is>
      </c>
      <c r="BD450" s="62" t="inlineStr">
        <is>
          <t>N/A</t>
        </is>
      </c>
      <c r="BE450" s="62" t="inlineStr">
        <is>
          <t>N/A</t>
        </is>
      </c>
      <c r="BF450" s="62" t="inlineStr">
        <is>
          <t>N/A</t>
        </is>
      </c>
      <c r="BG450" s="74" t="inlineStr">
        <is>
          <t>CITIC Securities (Hong Kong) Limited</t>
        </is>
      </c>
      <c r="BH450" s="62" t="inlineStr">
        <is>
          <t>CITIC Securities (Hong Kong) Limited</t>
        </is>
      </c>
      <c r="BI450" s="62" t="inlineStr">
        <is>
          <t>CLSA Limited; CMB International Capital Limited; ABCI Capital Limited; SDIC Securities (Hong Kong) Limited; Guosen Securities (HK) Brokerage Company, Limited; Livermore Holdings Limited; China Sunrise Securities (International) Limited</t>
        </is>
      </c>
      <c r="BJ450" s="62" t="inlineStr">
        <is>
          <t>ABCI Securities Company Limited; CLSA Limited; CMB International Capital Limited; China Sunrise Securities (International) Limited; Guosen Securities (HK) Brokerage Company, Limited; Livermore Holdings Limited; SDIC Securities (Hong Kong) Limited</t>
        </is>
      </c>
      <c r="BK450" s="76">
        <f>HYPERLINK("https://www1.hkexnews.hk/listedco/listconews/sehk/2026/0320/2026032000097.pdf","prospectus")</f>
        <v/>
      </c>
      <c r="BL450" s="76">
        <f>HYPERLINK("https://www1.hkexnews.hk/listedco/listconews/sehk/2026/0327/2026032703232.pdf","allotment")</f>
        <v/>
      </c>
      <c r="BM450" s="62" t="n"/>
      <c r="BN450" s="74" t="n"/>
      <c r="BO450" s="62" t="inlineStr">
        <is>
          <t>P/E: withheld — mktcap / net income gives 45,166x, which fails the 300x plausibility check; the extracted net income (HK$0.1m) is not trustworthy · greenshoe: no over-allotment option in the offer structure · range low: cap-only pricing — the filing publishes a Maximum Offer Price and no indicative floor · A/H: no A-share listing · greenshoe size: no over-allotment option in the offer structure · financials: financial tables not machine-extractable and the pre-IPO year is outside AAStocks' 5-year window</t>
        </is>
      </c>
    </row>
    <row r="451" ht="15" customHeight="1">
      <c r="A451" s="61" t="inlineStr">
        <is>
          <t>1021</t>
        </is>
      </c>
      <c r="B451" s="62" t="inlineStr">
        <is>
          <t>HUAYAN ROBOTICS</t>
        </is>
      </c>
      <c r="C451" s="62" t="inlineStr">
        <is>
          <t>華沿機器人</t>
        </is>
      </c>
      <c r="D451" s="62" t="inlineStr">
        <is>
          <t>Tech/AI</t>
        </is>
      </c>
      <c r="E451" s="62" t="inlineStr">
        <is>
          <t>Robotics &amp; autonomous driving</t>
        </is>
      </c>
      <c r="F451" s="62" t="inlineStr">
        <is>
          <t>Advanced hardware and software</t>
        </is>
      </c>
      <c r="G451" s="62" t="inlineStr">
        <is>
          <t>Standard</t>
        </is>
      </c>
      <c r="H451" s="63" t="n">
        <v>46111</v>
      </c>
      <c r="I451" s="64" t="n">
        <v>1579.34</v>
      </c>
      <c r="J451" s="62" t="inlineStr">
        <is>
          <t>gross (stated)</t>
        </is>
      </c>
      <c r="K451" s="65" t="n"/>
      <c r="L451" s="65" t="n">
        <v>17</v>
      </c>
      <c r="M451" s="65" t="n">
        <v>17</v>
      </c>
      <c r="N451" s="62" t="inlineStr">
        <is>
          <t>Y</t>
        </is>
      </c>
      <c r="O451" s="66" t="n">
        <v>100</v>
      </c>
      <c r="P451" s="66" t="n"/>
      <c r="Q451" s="67" t="n">
        <v>8242.9</v>
      </c>
      <c r="R451" s="62" t="inlineStr">
        <is>
          <t>derived:deal size / offer % of enlarged capital</t>
        </is>
      </c>
      <c r="S451" s="68" t="n">
        <v>5059.38</v>
      </c>
      <c r="T451" s="69" t="n">
        <v>16.65</v>
      </c>
      <c r="U451" s="70" t="n">
        <v>48.6</v>
      </c>
      <c r="V451" s="66" t="n">
        <v>9.85</v>
      </c>
      <c r="W451" s="62" t="inlineStr">
        <is>
          <t>Eternal Summer Consulting Company Ltd; HHLR Advisors, Ltd; Huatai Capital Investment Limited; Huatai Securities Co., Ltd; Morgan Stanley &amp; Co. International plc; Richfirm (Hong Kong) Development Limited; Samson Group Limited; Shrewd Pioneer Limited; VVC Technology Fund Ltd</t>
        </is>
      </c>
      <c r="X451" s="62" t="inlineStr">
        <is>
          <t>eternal;hhlr;huatai;morgan;richfirm;samson;shrewd;vvc</t>
        </is>
      </c>
      <c r="Y451" s="66" t="n">
        <v>15</v>
      </c>
      <c r="Z451" s="62" t="n"/>
      <c r="AA451" s="71" t="n">
        <v>8.24</v>
      </c>
      <c r="AB451" s="72" t="n">
        <v>-1.18</v>
      </c>
      <c r="AC451" s="72" t="n">
        <v>9.529999999999999</v>
      </c>
      <c r="AD451" s="72" t="n">
        <v>5.41</v>
      </c>
      <c r="AE451" s="72" t="n">
        <v>16.24</v>
      </c>
      <c r="AF451" s="72" t="n">
        <v>-9.119999999999999</v>
      </c>
      <c r="AG451" s="72" t="n">
        <v>-2.61</v>
      </c>
      <c r="AH451" s="72" t="n">
        <v>7.39</v>
      </c>
      <c r="AI451" s="72" t="n">
        <v>-16.04</v>
      </c>
      <c r="AJ451" s="72" t="n">
        <v>4.68</v>
      </c>
      <c r="AK451" s="72" t="n">
        <v>12.09</v>
      </c>
      <c r="AL451" s="72" t="n">
        <v>-4.33</v>
      </c>
      <c r="AM451" s="72" t="n">
        <v>1.2</v>
      </c>
      <c r="AN451" s="72" t="n">
        <v>4.15</v>
      </c>
      <c r="AO451" s="72" t="n">
        <v>6.19</v>
      </c>
      <c r="AP451" s="62" t="inlineStr">
        <is>
          <t>HSTECH (Hang Seng TECH ETF)</t>
        </is>
      </c>
      <c r="AQ451" s="72" t="n">
        <v>-47.18</v>
      </c>
      <c r="AR451" s="63" t="inlineStr">
        <is>
          <t>2026-08-21</t>
        </is>
      </c>
      <c r="AS451" s="64" t="n">
        <v>341.5</v>
      </c>
      <c r="AT451" s="67" t="n"/>
      <c r="AU451" s="62" t="inlineStr">
        <is>
          <t>Y</t>
        </is>
      </c>
      <c r="AV451" s="77">
        <f>IF('BBG Verify'!O451="","not filed — run on terminal",'BBG Verify'!O451)</f>
        <v/>
      </c>
      <c r="AW451" s="73" t="n"/>
      <c r="AX451" s="73" t="n"/>
      <c r="AY451" s="73" t="n">
        <v>24.1</v>
      </c>
      <c r="AZ451" s="74" t="inlineStr">
        <is>
          <t>N</t>
        </is>
      </c>
      <c r="BA451" s="75">
        <f>IF('BBG Verify'!K451="","not filed — run on terminal",'BBG Verify'!K451)</f>
        <v/>
      </c>
      <c r="BB451" s="62" t="inlineStr">
        <is>
          <t>N/A</t>
        </is>
      </c>
      <c r="BC451" s="62" t="inlineStr">
        <is>
          <t>N/A</t>
        </is>
      </c>
      <c r="BD451" s="62" t="inlineStr">
        <is>
          <t>N/A</t>
        </is>
      </c>
      <c r="BE451" s="62" t="inlineStr">
        <is>
          <t>N/A</t>
        </is>
      </c>
      <c r="BF451" s="62" t="inlineStr">
        <is>
          <t>N/A</t>
        </is>
      </c>
      <c r="BG451" s="74" t="inlineStr">
        <is>
          <t>China International Capital Corporation Hong Kong Securities Limited; Central, Hong Kong Deutsche Securities Asia Limited</t>
        </is>
      </c>
      <c r="BH451" s="62" t="inlineStr">
        <is>
          <t>China International Capital Corporation Hong Kong Securities Limited; Deutsche Securities Asia Limited</t>
        </is>
      </c>
      <c r="BI451" s="62" t="inlineStr">
        <is>
          <t>China International Capital Corporation Hong Kong Securities Limited; Central, Hong Kong Deutsche Bank AG, Hong Kong Branch; Futu Securities International (Hong Kong) Limited; Zheshang International Financial Holdings Co., Limited</t>
        </is>
      </c>
      <c r="BJ451" s="62" t="inlineStr">
        <is>
          <t>China International Capital Corporation Hong Kong Securities Limited; Deutsche Bank AG, Hong Kong Branch; Futu Securities International (Hong Kong) Limited; Zheshang International Financial Holdings Co., Limited</t>
        </is>
      </c>
      <c r="BK451" s="76">
        <f>HYPERLINK("https://www1.hkexnews.hk/listedco/listconews/sehk/2026/0320/2026032000035.pdf","prospectus")</f>
        <v/>
      </c>
      <c r="BL451" s="76">
        <f>HYPERLINK("https://www1.hkexnews.hk/listedco/listconews/sehk/2026/0327/2026032703804.pdf","allotment")</f>
        <v/>
      </c>
      <c r="BM451" s="62" t="n"/>
      <c r="BN451" s="74" t="n"/>
      <c r="BO451" s="62" t="inlineStr">
        <is>
          <t>P/E: withheld — mktcap / net income gives 418x, which fails the 300x plausibility check; the extracted net income (HK$19.7m) is not trustworthy · greenshoe: end-of-stabilisation notice not located · range low: cap-only pricing — the filing publishes a Maximum Offer Price and no indicative floor · A/H: no A-share listing · financials: financial tables not machine-extractable and the pre-IPO year is outside AAStocks' 5-year window</t>
        </is>
      </c>
    </row>
    <row r="452" ht="15" customHeight="1">
      <c r="A452" s="61" t="inlineStr">
        <is>
          <t>0664</t>
        </is>
      </c>
      <c r="B452" s="62" t="inlineStr">
        <is>
          <t>TONGSHIFU</t>
        </is>
      </c>
      <c r="C452" s="62" t="inlineStr">
        <is>
          <t>銅師傅</t>
        </is>
      </c>
      <c r="D452" s="62" t="inlineStr">
        <is>
          <t>Consumer</t>
        </is>
      </c>
      <c r="E452" s="62" t="inlineStr">
        <is>
          <t>Beverages / packaged food</t>
        </is>
      </c>
      <c r="F452" s="62" t="inlineStr">
        <is>
          <t>Leisure Products</t>
        </is>
      </c>
      <c r="G452" s="62" t="inlineStr">
        <is>
          <t>Standard</t>
        </is>
      </c>
      <c r="H452" s="63" t="n">
        <v>46112</v>
      </c>
      <c r="I452" s="64" t="n">
        <v>444.41</v>
      </c>
      <c r="J452" s="62" t="inlineStr">
        <is>
          <t>gross (stated)</t>
        </is>
      </c>
      <c r="K452" s="65" t="n"/>
      <c r="L452" s="65" t="n">
        <v>68</v>
      </c>
      <c r="M452" s="65" t="n">
        <v>60</v>
      </c>
      <c r="N452" s="62" t="inlineStr">
        <is>
          <t>N</t>
        </is>
      </c>
      <c r="O452" s="66" t="n">
        <v>88.2</v>
      </c>
      <c r="P452" s="66" t="n"/>
      <c r="Q452" s="67" t="n">
        <v>3864.4</v>
      </c>
      <c r="R452" s="62" t="inlineStr">
        <is>
          <t>derived:price x shares upon listing</t>
        </is>
      </c>
      <c r="S452" s="68" t="n">
        <v>59.55</v>
      </c>
      <c r="T452" s="69" t="n">
        <v>1.56</v>
      </c>
      <c r="U452" s="70" t="n">
        <v>6.8</v>
      </c>
      <c r="V452" s="66" t="n">
        <v>10.72</v>
      </c>
      <c r="W452" s="62" t="inlineStr">
        <is>
          <t>Jiantou International (Hong Kong) Co., Limited</t>
        </is>
      </c>
      <c r="X452" s="62" t="inlineStr">
        <is>
          <t>jiantou</t>
        </is>
      </c>
      <c r="Y452" s="66" t="n">
        <v>6.75</v>
      </c>
      <c r="Z452" s="62" t="inlineStr">
        <is>
          <t>lapsed</t>
        </is>
      </c>
      <c r="AA452" s="71" t="n">
        <v>-49.17</v>
      </c>
      <c r="AB452" s="72" t="n">
        <v>-40.97</v>
      </c>
      <c r="AC452" s="72" t="n">
        <v>-13.89</v>
      </c>
      <c r="AD452" s="72" t="n">
        <v>-53.17</v>
      </c>
      <c r="AE452" s="72" t="n">
        <v>-62.27</v>
      </c>
      <c r="AF452" s="72" t="n">
        <v>-74.81999999999999</v>
      </c>
      <c r="AG452" s="72" t="n">
        <v>-7.87</v>
      </c>
      <c r="AH452" s="72" t="n">
        <v>-25.77</v>
      </c>
      <c r="AI452" s="72" t="n">
        <v>-50.46</v>
      </c>
      <c r="AJ452" s="72" t="n">
        <v>-56.61</v>
      </c>
      <c r="AK452" s="72" t="n">
        <v>-65.63</v>
      </c>
      <c r="AL452" s="72" t="n">
        <v>-66.55</v>
      </c>
      <c r="AM452" s="72" t="n">
        <v>-29.71</v>
      </c>
      <c r="AN452" s="72" t="n">
        <v>3.36</v>
      </c>
      <c r="AO452" s="72" t="n">
        <v>3.94</v>
      </c>
      <c r="AP452" s="62" t="inlineStr">
        <is>
          <t>Hang Seng Commerce &amp; Industry sub-index</t>
        </is>
      </c>
      <c r="AQ452" s="72" t="n">
        <v>-76.43000000000001</v>
      </c>
      <c r="AR452" s="63" t="inlineStr">
        <is>
          <t>2026-08-20</t>
        </is>
      </c>
      <c r="AS452" s="64" t="n">
        <v>679.1</v>
      </c>
      <c r="AT452" s="67" t="n">
        <v>86.90000000000001</v>
      </c>
      <c r="AU452" s="62" t="inlineStr">
        <is>
          <t>Y</t>
        </is>
      </c>
      <c r="AV452" s="73" t="n">
        <v>44.5</v>
      </c>
      <c r="AW452" s="73" t="n"/>
      <c r="AX452" s="73" t="n"/>
      <c r="AY452" s="73" t="n">
        <v>5.7</v>
      </c>
      <c r="AZ452" s="74" t="inlineStr">
        <is>
          <t>N</t>
        </is>
      </c>
      <c r="BA452" s="75">
        <f>IF('BBG Verify'!K452="","not filed — run on terminal",'BBG Verify'!K452)</f>
        <v/>
      </c>
      <c r="BB452" s="62" t="inlineStr">
        <is>
          <t>N/A</t>
        </is>
      </c>
      <c r="BC452" s="62" t="inlineStr">
        <is>
          <t>N/A</t>
        </is>
      </c>
      <c r="BD452" s="62" t="inlineStr">
        <is>
          <t>N/A</t>
        </is>
      </c>
      <c r="BE452" s="62" t="inlineStr">
        <is>
          <t>N/A</t>
        </is>
      </c>
      <c r="BF452" s="62" t="inlineStr">
        <is>
          <t>N/A</t>
        </is>
      </c>
      <c r="BG452" s="74" t="inlineStr">
        <is>
          <t>CMB International Capital Limited</t>
        </is>
      </c>
      <c r="BH452" s="62" t="inlineStr">
        <is>
          <t>CMB International Capital Limited</t>
        </is>
      </c>
      <c r="BI452" s="62" t="inlineStr">
        <is>
          <t>CMB International Capital Limited; Central, Hong Kong CLSA Limited; ABCI Capital Limited; China Everbright Securities (HK) Limited; Futu Securities International (Hong Kong) Limited; Patrons Securities Limited</t>
        </is>
      </c>
      <c r="BJ452" s="62" t="inlineStr">
        <is>
          <t>ABCI Securities Company Limited; China Everbright Securities (HK) Limited; CLSA Limited; CMB International Capital Limited; Futu Securities International (Hong Kong) Limited; Livermore Holdings Limited; Patrons Securities Limited</t>
        </is>
      </c>
      <c r="BK452" s="76">
        <f>HYPERLINK("https://www1.hkexnews.hk/listedco/listconews/sehk/2026/0323/2026032300037.pdf","prospectus")</f>
        <v/>
      </c>
      <c r="BL452" s="76">
        <f>HYPERLINK("https://www1.hkexnews.hk/listedco/listconews/sehk/2026/0330/2026033003120.pdf","allotment")</f>
        <v/>
      </c>
      <c r="BM452" s="76">
        <f>HYPERLINK("https://www1.hkexnews.hk/listedco/listconews/sehk/2026/0430/2026043004704.pdf","stabilisation")</f>
        <v/>
      </c>
      <c r="BN452" s="74" t="n"/>
      <c r="BO452" s="62" t="inlineStr">
        <is>
          <t>range low: cap-only pricing — the filing publishes a Maximum Offer Price and no indicative floor · A/H: no A-share listing · cornerstone: table parse read 50% but the institutional total implies 7% — parse rejected, the filed aggregate-amount sentence used (6.8%)</t>
        </is>
      </c>
    </row>
    <row r="453" ht="15" customHeight="1">
      <c r="A453" s="61" t="inlineStr">
        <is>
          <t>3625</t>
        </is>
      </c>
      <c r="B453" s="62" t="inlineStr">
        <is>
          <t>FOURSEMI</t>
        </is>
      </c>
      <c r="C453" s="62" t="inlineStr">
        <is>
          <t>傅里葉</t>
        </is>
      </c>
      <c r="D453" s="62" t="inlineStr">
        <is>
          <t>Tech/AI</t>
        </is>
      </c>
      <c r="E453" s="62" t="inlineStr">
        <is>
          <t>AI chips &amp; semis</t>
        </is>
      </c>
      <c r="F453" s="62" t="inlineStr">
        <is>
          <t>Semiconductors &amp; Semiconductor Equipment</t>
        </is>
      </c>
      <c r="G453" s="62" t="inlineStr">
        <is>
          <t>Standard</t>
        </is>
      </c>
      <c r="H453" s="63" t="n">
        <v>46112</v>
      </c>
      <c r="I453" s="64" t="n">
        <v>480</v>
      </c>
      <c r="J453" s="62" t="inlineStr">
        <is>
          <t>gross (stated)</t>
        </is>
      </c>
      <c r="K453" s="65" t="n"/>
      <c r="L453" s="65" t="n">
        <v>50</v>
      </c>
      <c r="M453" s="65" t="n">
        <v>40</v>
      </c>
      <c r="N453" s="62" t="inlineStr">
        <is>
          <t>N</t>
        </is>
      </c>
      <c r="O453" s="66" t="n">
        <v>80</v>
      </c>
      <c r="P453" s="66" t="n"/>
      <c r="Q453" s="67" t="n">
        <v>4480</v>
      </c>
      <c r="R453" s="62" t="inlineStr">
        <is>
          <t>derived:price x shares upon listing</t>
        </is>
      </c>
      <c r="S453" s="68" t="n">
        <v>3118.43</v>
      </c>
      <c r="T453" s="69" t="n">
        <v>2.93</v>
      </c>
      <c r="U453" s="70" t="n">
        <v>0</v>
      </c>
      <c r="V453" s="66" t="n">
        <v>10.71</v>
      </c>
      <c r="W453" s="62" t="n"/>
      <c r="X453" s="62" t="n"/>
      <c r="Y453" s="66" t="n">
        <v>5.72</v>
      </c>
      <c r="Z453" s="62" t="n"/>
      <c r="AA453" s="71" t="n">
        <v>100</v>
      </c>
      <c r="AB453" s="72" t="n">
        <v>112.62</v>
      </c>
      <c r="AC453" s="72" t="n">
        <v>-5.94</v>
      </c>
      <c r="AD453" s="72" t="n">
        <v>226.25</v>
      </c>
      <c r="AE453" s="72" t="n">
        <v>244.75</v>
      </c>
      <c r="AF453" s="72" t="n">
        <v>125</v>
      </c>
      <c r="AG453" s="72" t="n">
        <v>63.13</v>
      </c>
      <c r="AH453" s="72" t="n">
        <v>72.37</v>
      </c>
      <c r="AI453" s="72" t="n">
        <v>12.5</v>
      </c>
      <c r="AJ453" s="72" t="n">
        <v>222.59</v>
      </c>
      <c r="AK453" s="72" t="n">
        <v>239.78</v>
      </c>
      <c r="AL453" s="72" t="n">
        <v>128.75</v>
      </c>
      <c r="AM453" s="72" t="n">
        <v>66.48</v>
      </c>
      <c r="AN453" s="72" t="n">
        <v>4.97</v>
      </c>
      <c r="AO453" s="72" t="n">
        <v>5.89</v>
      </c>
      <c r="AP453" s="62" t="inlineStr">
        <is>
          <t>HSTECH (Hang Seng TECH ETF)</t>
        </is>
      </c>
      <c r="AQ453" s="72" t="n">
        <v>137.5</v>
      </c>
      <c r="AR453" s="63" t="inlineStr">
        <is>
          <t>2026-08-20</t>
        </is>
      </c>
      <c r="AS453" s="64" t="n">
        <v>390.7</v>
      </c>
      <c r="AT453" s="67" t="n">
        <v>-62.5</v>
      </c>
      <c r="AU453" s="62" t="inlineStr">
        <is>
          <t>N</t>
        </is>
      </c>
      <c r="AV453" s="62" t="inlineStr">
        <is>
          <t>n/m</t>
        </is>
      </c>
      <c r="AW453" s="73" t="n"/>
      <c r="AX453" s="73" t="n"/>
      <c r="AY453" s="73" t="n">
        <v>11.5</v>
      </c>
      <c r="AZ453" s="74" t="inlineStr">
        <is>
          <t>N</t>
        </is>
      </c>
      <c r="BA453" s="75">
        <f>IF('BBG Verify'!K453="","not filed — run on terminal",'BBG Verify'!K453)</f>
        <v/>
      </c>
      <c r="BB453" s="62" t="inlineStr">
        <is>
          <t>N/A</t>
        </is>
      </c>
      <c r="BC453" s="62" t="inlineStr">
        <is>
          <t>N/A</t>
        </is>
      </c>
      <c r="BD453" s="62" t="inlineStr">
        <is>
          <t>N/A</t>
        </is>
      </c>
      <c r="BE453" s="62" t="inlineStr">
        <is>
          <t>N/A</t>
        </is>
      </c>
      <c r="BF453" s="62" t="inlineStr">
        <is>
          <t>N/A</t>
        </is>
      </c>
      <c r="BG453" s="74" t="inlineStr">
        <is>
          <t>Guotai Junan Capital Limited; Orient Capital (Hong Kong) Limited</t>
        </is>
      </c>
      <c r="BH453" s="62" t="inlineStr">
        <is>
          <t>Guotai Junan Capital Limited; Orient Capital (Hong Kong) Limited</t>
        </is>
      </c>
      <c r="BI453" s="62" t="inlineStr">
        <is>
          <t>Guotai Junan Securities (Hong Kong) Limited; Orient Securities (Hong Kong) Limited; Central, Hong Kong CCB International Capital Limited; ABCI Capital Limited; Futu Securities International (Hong Kong) Limited; Y ellow River Securities Limited; Admiralty, Hong Kong Shenwan Hongyuan Securities (H.K.) Limited; Livermore Holdings Limited; Huafu International Securities Limited; Wanchai, Hong Kong Zheshang International Financial Holdings Co., Limited</t>
        </is>
      </c>
      <c r="BJ453" s="62" t="inlineStr">
        <is>
          <t>ABCI Securities Company Limited; CCB International Capital Limited; Futu Securities International (Hong Kong) Limited; Guotai Junan Securities (Hong Kong) Limited; Huafu International Securities Limited; Livermore Holdings Limited; Orient Securities (Hong Kong) Limited; Shenwan Hongyuan Securities (H.K.) Limited; Yuen Meta (International) Securities Limited; Yellow River Securities Limited; Zheshang International Financial Holdings Co., Limited</t>
        </is>
      </c>
      <c r="BK453" s="76">
        <f>HYPERLINK("https://www1.hkexnews.hk/listedco/listconews/sehk/2026/0323/2026032300023.pdf","prospectus")</f>
        <v/>
      </c>
      <c r="BL453" s="76">
        <f>HYPERLINK("https://www1.hkexnews.hk/listedco/listconews/sehk/2026/0330/2026033003564.pdf","allotment")</f>
        <v/>
      </c>
      <c r="BM453" s="62" t="n"/>
      <c r="BN453" s="74" t="n"/>
      <c r="BO453" s="62" t="inlineStr">
        <is>
          <t>P/E: n/m — loss-making at IPO (use P/S) · greenshoe: end-of-stabilisation notice not located · range low: cap-only pricing — the filing publishes a Maximum Offer Price and no indicative floor · A/H: no A-share listing · cornerstone list: no cornerstone tranche in this deal</t>
        </is>
      </c>
    </row>
    <row r="454" ht="15" customHeight="1">
      <c r="A454" s="61" t="inlineStr">
        <is>
          <t>6656</t>
        </is>
      </c>
      <c r="B454" s="62" t="inlineStr">
        <is>
          <t>SIGENERGY</t>
        </is>
      </c>
      <c r="C454" s="62" t="inlineStr">
        <is>
          <t>思格新能源</t>
        </is>
      </c>
      <c r="D454" s="62" t="inlineStr">
        <is>
          <t>Industrials</t>
        </is>
      </c>
      <c r="E454" s="62" t="inlineStr">
        <is>
          <t>Batteries / energy storage</t>
        </is>
      </c>
      <c r="F454" s="62" t="inlineStr">
        <is>
          <t>New energy and environmental protection</t>
        </is>
      </c>
      <c r="G454" s="62" t="inlineStr">
        <is>
          <t>Standard</t>
        </is>
      </c>
      <c r="H454" s="63" t="n">
        <v>46128</v>
      </c>
      <c r="I454" s="64" t="n">
        <v>4400.7</v>
      </c>
      <c r="J454" s="62" t="inlineStr">
        <is>
          <t>gross (stated)</t>
        </is>
      </c>
      <c r="K454" s="65" t="n"/>
      <c r="L454" s="65" t="n">
        <v>324.2</v>
      </c>
      <c r="M454" s="65" t="n">
        <v>324.2</v>
      </c>
      <c r="N454" s="62" t="inlineStr">
        <is>
          <t>Y</t>
        </is>
      </c>
      <c r="O454" s="66" t="n">
        <v>100</v>
      </c>
      <c r="P454" s="66" t="n"/>
      <c r="Q454" s="67" t="n">
        <v>80011.60000000001</v>
      </c>
      <c r="R454" s="62" t="inlineStr">
        <is>
          <t>prospectus:stated market capitalisation</t>
        </is>
      </c>
      <c r="S454" s="68" t="n">
        <v>1102.05</v>
      </c>
      <c r="T454" s="69" t="n">
        <v>31.2</v>
      </c>
      <c r="U454" s="70" t="n">
        <v>49.6</v>
      </c>
      <c r="V454" s="66" t="n">
        <v>2.77</v>
      </c>
      <c r="W454" s="62" t="inlineStr">
        <is>
          <t>3W Fund Management Limited; Aranda Investments Pte. Ltd; AXA Investment Managers UK Limited; Baring Asset Management (Asia) Limited; Charoen Pokphand Robot Limited; CPE Energy Investment Limited; CPIC Investment Management (H.K.) Company Limited; Fullgoal Asset Management (HK) Limited; Fullgoal Fund Management Co., Ltd; Goldman Sachs Asset Management (Hong Kong) Limited; Greenwoods Asset Management Hong Kong Limited; HHLR Advisors, Ltd; Hillhouse Investment Management, Ltd; Huadeng Technology Space Ventures Ltd; ICBC Wealth Management Co., Ltd; Lazurite Hime L.P; Perseverance Asset Management International (Singapore) Pte. Ltd; Scene Cloud Global Limited; Shanghai Lujiazui (Group) Co., Ltd; Tropical Terrain Limited; UBS Asset Management (Singapore) Ltd</t>
        </is>
      </c>
      <c r="X454" s="62" t="inlineStr">
        <is>
          <t>3w;aranda;axa;baring;charoen;cpe;cpic;fullgoal;goldman;greenwoods;hhlr;hillhouse;huadeng;icbc;lazurite;perseverance;scene;shanghai-lujiazui;tropical;ubs</t>
        </is>
      </c>
      <c r="Y454" s="66" t="n">
        <v>15</v>
      </c>
      <c r="Z454" s="62" t="inlineStr">
        <is>
          <t>full</t>
        </is>
      </c>
      <c r="AA454" s="71" t="n">
        <v>103.42</v>
      </c>
      <c r="AB454" s="72" t="n">
        <v>79.20999999999999</v>
      </c>
      <c r="AC454" s="72" t="n">
        <v>13.51</v>
      </c>
      <c r="AD454" s="72" t="n">
        <v>73.66</v>
      </c>
      <c r="AE454" s="72" t="n">
        <v>64.40000000000001</v>
      </c>
      <c r="AF454" s="72" t="n">
        <v>-14.68</v>
      </c>
      <c r="AG454" s="72" t="n">
        <v>-14.63</v>
      </c>
      <c r="AH454" s="72" t="n">
        <v>-19.18</v>
      </c>
      <c r="AI454" s="72" t="n">
        <v>-58.06</v>
      </c>
      <c r="AJ454" s="72" t="n">
        <v>74.03</v>
      </c>
      <c r="AK454" s="72" t="n">
        <v>66.81</v>
      </c>
      <c r="AL454" s="72" t="n">
        <v>-9.630000000000001</v>
      </c>
      <c r="AM454" s="72" t="n">
        <v>-14.28</v>
      </c>
      <c r="AN454" s="72" t="n">
        <v>-2.41</v>
      </c>
      <c r="AO454" s="72" t="n">
        <v>-4.9</v>
      </c>
      <c r="AP454" s="62" t="inlineStr">
        <is>
          <t>Hang Seng Commerce &amp; Industry sub-index</t>
        </is>
      </c>
      <c r="AQ454" s="72" t="n">
        <v>2.28</v>
      </c>
      <c r="AR454" s="63" t="inlineStr">
        <is>
          <t>2026-08-24</t>
        </is>
      </c>
      <c r="AS454" s="64" t="n">
        <v>9900.6</v>
      </c>
      <c r="AT454" s="67" t="n">
        <v>3210.7</v>
      </c>
      <c r="AU454" s="62" t="inlineStr">
        <is>
          <t>Y</t>
        </is>
      </c>
      <c r="AV454" s="73" t="n">
        <v>24.9</v>
      </c>
      <c r="AW454" s="73" t="n"/>
      <c r="AX454" s="73" t="n"/>
      <c r="AY454" s="73" t="n">
        <v>8.1</v>
      </c>
      <c r="AZ454" s="74" t="inlineStr">
        <is>
          <t>N</t>
        </is>
      </c>
      <c r="BA454" s="75">
        <f>IF('BBG Verify'!K454="","not filed — run on terminal",'BBG Verify'!K454)</f>
        <v/>
      </c>
      <c r="BB454" s="62" t="inlineStr">
        <is>
          <t>N/A</t>
        </is>
      </c>
      <c r="BC454" s="62" t="inlineStr">
        <is>
          <t>N/A</t>
        </is>
      </c>
      <c r="BD454" s="62" t="inlineStr">
        <is>
          <t>N/A</t>
        </is>
      </c>
      <c r="BE454" s="62" t="inlineStr">
        <is>
          <t>N/A</t>
        </is>
      </c>
      <c r="BF454" s="62" t="inlineStr">
        <is>
          <t>N/A</t>
        </is>
      </c>
      <c r="BG454" s="74" t="inlineStr">
        <is>
          <t>CITIC Securities (Hong Kong) Limited; BNP Paribas Securities (Asia) Limited</t>
        </is>
      </c>
      <c r="BH454" s="62" t="inlineStr">
        <is>
          <t>CITIC Securities (Hong Kong) Limited; BNP Paribas Securities (Asia) Limited</t>
        </is>
      </c>
      <c r="BI454" s="62" t="inlineStr">
        <is>
          <t>CLSA Limited; BNP Paribas Securities (Asia) Limited; China International Capital Corporation Hong Kong Securities Limited</t>
        </is>
      </c>
      <c r="BJ454" s="62" t="inlineStr">
        <is>
          <t>BNP Paribas Securities (Asia) Limited; China International Capital Corporation Hong Kong Securities Limited; CLSA Limited</t>
        </is>
      </c>
      <c r="BK454" s="76">
        <f>HYPERLINK("https://www1.hkexnews.hk/listedco/listconews/sehk/2026/0408/2026040800017.pdf","prospectus")</f>
        <v/>
      </c>
      <c r="BL454" s="76">
        <f>HYPERLINK("https://www1.hkexnews.hk/listedco/listconews/sehk/2026/0415/2026041501574.pdf","allotment")</f>
        <v/>
      </c>
      <c r="BM454" s="76">
        <f>HYPERLINK("https://www1.hkexnews.hk/listedco/listconews/sehk/2026/0513/2026051301292.pdf","stabilisation")</f>
        <v/>
      </c>
      <c r="BN454" s="74" t="n"/>
      <c r="BO454" s="62" t="inlineStr">
        <is>
          <t>range low: cap-only pricing — the filing publishes a Maximum Offer Price and no indicative floor · A/H: no A-share listing</t>
        </is>
      </c>
    </row>
    <row r="455" ht="15" customHeight="1">
      <c r="A455" s="61" t="inlineStr">
        <is>
          <t>0068</t>
        </is>
      </c>
      <c r="B455" s="62" t="inlineStr">
        <is>
          <t>MANYCORE TECH</t>
        </is>
      </c>
      <c r="C455" s="62" t="inlineStr">
        <is>
          <t>MANYCORE TECH</t>
        </is>
      </c>
      <c r="D455" s="62" t="inlineStr">
        <is>
          <t>Tech/AI</t>
        </is>
      </c>
      <c r="E455" s="62" t="inlineStr">
        <is>
          <t>SaaS / enterprise software</t>
        </is>
      </c>
      <c r="F455" s="62" t="inlineStr">
        <is>
          <t>Advanced hardware and software</t>
        </is>
      </c>
      <c r="G455" s="62" t="inlineStr">
        <is>
          <t>Standard</t>
        </is>
      </c>
      <c r="H455" s="63" t="n">
        <v>46129</v>
      </c>
      <c r="I455" s="64" t="n">
        <v>1223.9</v>
      </c>
      <c r="J455" s="62" t="inlineStr">
        <is>
          <t>gross (stated)</t>
        </is>
      </c>
      <c r="K455" s="65" t="n"/>
      <c r="L455" s="65" t="n">
        <v>7.62</v>
      </c>
      <c r="M455" s="65" t="n">
        <v>7.62</v>
      </c>
      <c r="N455" s="62" t="inlineStr">
        <is>
          <t>Y</t>
        </is>
      </c>
      <c r="O455" s="66" t="n">
        <v>100</v>
      </c>
      <c r="P455" s="66" t="n"/>
      <c r="Q455" s="67" t="n">
        <v>11400</v>
      </c>
      <c r="R455" s="62" t="inlineStr">
        <is>
          <t>prospectus:stated market capitalisation</t>
        </is>
      </c>
      <c r="S455" s="68" t="n">
        <v>1590.56</v>
      </c>
      <c r="T455" s="69" t="n">
        <v>14.46</v>
      </c>
      <c r="U455" s="70" t="n">
        <v>37.14</v>
      </c>
      <c r="V455" s="66" t="n">
        <v>6.75</v>
      </c>
      <c r="W455" s="62" t="inlineStr">
        <is>
          <t>CR Construction Group Holdings Limited; Guohui (HK) Holdings Co., Limited; Hesai Hong Kong Limited; Mirae Asset Securities (HK) Limited; REDWOOD ELITE LIMITED; RIME Capital Limited; Sunshine Life Insurance Corporation Limited; Taikang Life Insurance Co., Ltd</t>
        </is>
      </c>
      <c r="X455" s="62" t="inlineStr">
        <is>
          <t>cr;guohui;hesai;mirae;redwood;rime;sunshine;taikang</t>
        </is>
      </c>
      <c r="Y455" s="66" t="n">
        <v>15</v>
      </c>
      <c r="Z455" s="62" t="n"/>
      <c r="AA455" s="71" t="n">
        <v>144.09</v>
      </c>
      <c r="AB455" s="72" t="n">
        <v>171.65</v>
      </c>
      <c r="AC455" s="72" t="n">
        <v>-10.15</v>
      </c>
      <c r="AD455" s="72" t="n">
        <v>273.75</v>
      </c>
      <c r="AE455" s="72" t="n">
        <v>142.91</v>
      </c>
      <c r="AF455" s="72" t="n">
        <v>16.54</v>
      </c>
      <c r="AG455" s="72" t="n">
        <v>53.12</v>
      </c>
      <c r="AH455" s="72" t="n">
        <v>-0.48</v>
      </c>
      <c r="AI455" s="72" t="n">
        <v>-52.26</v>
      </c>
      <c r="AJ455" s="72" t="n">
        <v>277.63</v>
      </c>
      <c r="AK455" s="72" t="n">
        <v>147.6</v>
      </c>
      <c r="AL455" s="72" t="n">
        <v>21.99</v>
      </c>
      <c r="AM455" s="72" t="n">
        <v>3.09</v>
      </c>
      <c r="AN455" s="72" t="n">
        <v>-4.69</v>
      </c>
      <c r="AO455" s="72" t="n">
        <v>-3.57</v>
      </c>
      <c r="AP455" s="62" t="inlineStr">
        <is>
          <t>HSTECH (Hang Seng TECH ETF)</t>
        </is>
      </c>
      <c r="AQ455" s="72" t="n">
        <v>11.42</v>
      </c>
      <c r="AR455" s="63" t="inlineStr">
        <is>
          <t>2026-08-20</t>
        </is>
      </c>
      <c r="AS455" s="64" t="n">
        <v>902</v>
      </c>
      <c r="AT455" s="67" t="n">
        <v>-470.7</v>
      </c>
      <c r="AU455" s="62" t="inlineStr">
        <is>
          <t>N</t>
        </is>
      </c>
      <c r="AV455" s="62" t="inlineStr">
        <is>
          <t>n/m</t>
        </is>
      </c>
      <c r="AW455" s="73" t="n"/>
      <c r="AX455" s="73" t="n"/>
      <c r="AY455" s="73" t="n">
        <v>12.6</v>
      </c>
      <c r="AZ455" s="74" t="inlineStr">
        <is>
          <t>N</t>
        </is>
      </c>
      <c r="BA455" s="75">
        <f>IF('BBG Verify'!K455="","not filed — run on terminal",'BBG Verify'!K455)</f>
        <v/>
      </c>
      <c r="BB455" s="62" t="inlineStr">
        <is>
          <t>N/A</t>
        </is>
      </c>
      <c r="BC455" s="62" t="inlineStr">
        <is>
          <t>N/A</t>
        </is>
      </c>
      <c r="BD455" s="62" t="inlineStr">
        <is>
          <t>N/A</t>
        </is>
      </c>
      <c r="BE455" s="62" t="inlineStr">
        <is>
          <t>N/A</t>
        </is>
      </c>
      <c r="BF455" s="62" t="inlineStr">
        <is>
          <t>N/A</t>
        </is>
      </c>
      <c r="BG455" s="74" t="inlineStr">
        <is>
          <t>J.P. Morgan Securities (Far East) Limited; CCB International Capital Limited</t>
        </is>
      </c>
      <c r="BH455" s="62" t="inlineStr">
        <is>
          <t>CCB International Capital Limited; J.P. Morgan Securities (Far East) Limited</t>
        </is>
      </c>
      <c r="BI455" s="62" t="inlineStr">
        <is>
          <t>J.P. Morgan Securities (Asia Pacific) Limited; CCB International Capital Limited; Tiger Brokers (HK) Global Limited; ABCI Capital Limited; BOCI Asia Limited</t>
        </is>
      </c>
      <c r="BJ455" s="62" t="inlineStr">
        <is>
          <t>ABCI Securities Company Limited; BOCI Asia Limited; CCB International Capital Limited; Futu Securities International (Hong Kong) Limited; J.P. Morgan Securities (Asia Pacific) Limited; Tiger Brokers (HK) Global Limited</t>
        </is>
      </c>
      <c r="BK455" s="76">
        <f>HYPERLINK("https://www1.hkexnews.hk/listedco/listconews/sehk/2026/0409/2026040900025.pdf","prospectus")</f>
        <v/>
      </c>
      <c r="BL455" s="76">
        <f>HYPERLINK("https://www1.hkexnews.hk/listedco/listconews/sehk/2026/0416/2026041601684.pdf","allotment")</f>
        <v/>
      </c>
      <c r="BM455" s="62" t="n"/>
      <c r="BN455" s="74" t="n"/>
      <c r="BO455" s="62" t="inlineStr">
        <is>
          <t>P/E: n/m — loss-making at IPO (use P/S) · greenshoe: end-of-stabilisation notice not located · range low: cap-only pricing — the filing publishes a Maximum Offer Price and no indicative floor · A/H: no A-share listing</t>
        </is>
      </c>
    </row>
    <row r="456" ht="15" customHeight="1">
      <c r="A456" s="61" t="inlineStr">
        <is>
          <t>3277</t>
        </is>
      </c>
      <c r="B456" s="62" t="inlineStr">
        <is>
          <t>GPIXEL</t>
        </is>
      </c>
      <c r="C456" s="62" t="inlineStr">
        <is>
          <t>長光辰芯</t>
        </is>
      </c>
      <c r="D456" s="62" t="inlineStr">
        <is>
          <t>Tech/AI</t>
        </is>
      </c>
      <c r="E456" s="62" t="inlineStr">
        <is>
          <t>AI chips &amp; semis</t>
        </is>
      </c>
      <c r="F456" s="62" t="inlineStr">
        <is>
          <t>Electronic Equipment &amp; Instruments</t>
        </is>
      </c>
      <c r="G456" s="62" t="inlineStr">
        <is>
          <t>Standard</t>
        </is>
      </c>
      <c r="H456" s="63" t="n">
        <v>46129</v>
      </c>
      <c r="I456" s="64" t="n">
        <v>2603.9</v>
      </c>
      <c r="J456" s="62" t="inlineStr">
        <is>
          <t>gross (stated)</t>
        </is>
      </c>
      <c r="K456" s="65" t="n"/>
      <c r="L456" s="65" t="n">
        <v>39.88</v>
      </c>
      <c r="M456" s="65" t="n">
        <v>39.88</v>
      </c>
      <c r="N456" s="62" t="inlineStr">
        <is>
          <t>Y</t>
        </is>
      </c>
      <c r="O456" s="66" t="n">
        <v>100</v>
      </c>
      <c r="P456" s="66" t="n"/>
      <c r="Q456" s="67" t="n">
        <v>11600</v>
      </c>
      <c r="R456" s="62" t="inlineStr">
        <is>
          <t>prospectus:stated market capitalisation</t>
        </is>
      </c>
      <c r="S456" s="68" t="n">
        <v>1138.21</v>
      </c>
      <c r="T456" s="69" t="n">
        <v>22.69</v>
      </c>
      <c r="U456" s="70" t="n">
        <v>25.3</v>
      </c>
      <c r="V456" s="66" t="n">
        <v>16.77</v>
      </c>
      <c r="W456" s="62" t="inlineStr">
        <is>
          <t>3W Fund Management Limited; Arc Avenue Asset Management Pte. Ltd; Boyu Capital Management (Singapore) Pte. Ltd; China Asset Management (Hong Kong) Limited; CPE Peepal Investment Limited; E Fund Management (Hong Kong) Co., Ltd; Eastern Bell Capital VIII Investment Limited; Fullgoal Asset Management (HK) Limited; Fullgoal Fund Management Co., Ltd; GF Fund Management Co., Ltd; GF International Investment Management Limited; Greenwoods Asset Management Hong Kong Limited; HHLR Advisors, Ltd; ICBC Wealth Management Co., Ltd; Mirae Asset Securities (HK) Limited; Panjing Harbourview Investment Fund; Perseverance Asset Management International (Singapore) Pte. Ltd; Protium Capital Limited; Source Code Super Holdings Co; UBS Asset Management (Singapore) Ltd; Value Partners Hong Kong Limited; Voyage42 Master Fund; WT Asset Management Limited</t>
        </is>
      </c>
      <c r="X456" s="62" t="inlineStr">
        <is>
          <t>3w;arc;boyu;china-asset;cpe;fund-management;eastern-bell;fullgoal;gf;greenwoods;hhlr;icbc;mirae;panjing;perseverance;protium;source;ubs;value;voyage42;wt</t>
        </is>
      </c>
      <c r="Y456" s="66" t="n">
        <v>18.29</v>
      </c>
      <c r="Z456" s="62" t="inlineStr">
        <is>
          <t>full</t>
        </is>
      </c>
      <c r="AA456" s="71" t="n">
        <v>75.53</v>
      </c>
      <c r="AB456" s="72" t="n">
        <v>80.54000000000001</v>
      </c>
      <c r="AC456" s="72" t="n">
        <v>-2.78</v>
      </c>
      <c r="AD456" s="72" t="n">
        <v>112.39</v>
      </c>
      <c r="AE456" s="72" t="n">
        <v>107.62</v>
      </c>
      <c r="AF456" s="72" t="n">
        <v>81.42</v>
      </c>
      <c r="AG456" s="72" t="n">
        <v>21</v>
      </c>
      <c r="AH456" s="72" t="n">
        <v>18.28</v>
      </c>
      <c r="AI456" s="72" t="n">
        <v>3.36</v>
      </c>
      <c r="AJ456" s="72" t="n">
        <v>116.27</v>
      </c>
      <c r="AK456" s="72" t="n">
        <v>112.31</v>
      </c>
      <c r="AL456" s="72" t="n">
        <v>86.87</v>
      </c>
      <c r="AM456" s="72" t="n">
        <v>21.85</v>
      </c>
      <c r="AN456" s="72" t="n">
        <v>-4.69</v>
      </c>
      <c r="AO456" s="72" t="n">
        <v>-3.57</v>
      </c>
      <c r="AP456" s="62" t="inlineStr">
        <is>
          <t>HSTECH (Hang Seng TECH ETF)</t>
        </is>
      </c>
      <c r="AQ456" s="72" t="n">
        <v>73.77</v>
      </c>
      <c r="AR456" s="63" t="inlineStr">
        <is>
          <t>2026-08-20</t>
        </is>
      </c>
      <c r="AS456" s="64" t="n">
        <v>942.2</v>
      </c>
      <c r="AT456" s="67" t="n">
        <v>322.5</v>
      </c>
      <c r="AU456" s="62" t="inlineStr">
        <is>
          <t>Y</t>
        </is>
      </c>
      <c r="AV456" s="73" t="n">
        <v>36</v>
      </c>
      <c r="AW456" s="73" t="n"/>
      <c r="AX456" s="73" t="n"/>
      <c r="AY456" s="73" t="n">
        <v>12.3</v>
      </c>
      <c r="AZ456" s="74" t="inlineStr">
        <is>
          <t>N</t>
        </is>
      </c>
      <c r="BA456" s="75">
        <f>IF('BBG Verify'!K456="","not filed — run on terminal",'BBG Verify'!K456)</f>
        <v/>
      </c>
      <c r="BB456" s="62" t="inlineStr">
        <is>
          <t>N/A</t>
        </is>
      </c>
      <c r="BC456" s="62" t="inlineStr">
        <is>
          <t>N/A</t>
        </is>
      </c>
      <c r="BD456" s="62" t="inlineStr">
        <is>
          <t>N/A</t>
        </is>
      </c>
      <c r="BE456" s="62" t="inlineStr">
        <is>
          <t>N/A</t>
        </is>
      </c>
      <c r="BF456" s="62" t="inlineStr">
        <is>
          <t>N/A</t>
        </is>
      </c>
      <c r="BG456" s="74" t="inlineStr">
        <is>
          <t>CITIC Securities (Hong Kong) Limited; Guotai Junan Capital Limited</t>
        </is>
      </c>
      <c r="BH456" s="62" t="inlineStr">
        <is>
          <t>CITIC Securities (Hong Kong) Limited; Guotai Junan Capital Limited</t>
        </is>
      </c>
      <c r="BI456" s="62" t="inlineStr">
        <is>
          <t>CLSA Limited; Guotai Junan Securities (Hong Kong) Limited</t>
        </is>
      </c>
      <c r="BJ456" s="62" t="inlineStr">
        <is>
          <t>CLSA Limited; Guotai Junan Securities (Hong Kong) Limited</t>
        </is>
      </c>
      <c r="BK456" s="76">
        <f>HYPERLINK("https://www1.hkexnews.hk/listedco/listconews/sehk/2026/0409/2026040900047.pdf","prospectus")</f>
        <v/>
      </c>
      <c r="BL456" s="76">
        <f>HYPERLINK("https://www1.hkexnews.hk/listedco/listconews/sehk/2026/0416/2026041602158.pdf","allotment")</f>
        <v/>
      </c>
      <c r="BM456" s="76">
        <f>HYPERLINK("https://www1.hkexnews.hk/listedco/listconews/sehk/2026/0514/2026051400392.pdf","stabilisation")</f>
        <v/>
      </c>
      <c r="BN456" s="74" t="n"/>
      <c r="BO456" s="62" t="inlineStr">
        <is>
          <t>range low: cap-only pricing — the filing publishes a Maximum Offer Price and no indicative floor · A/H: no A-share listing · cornerstone: AAStocks institutional table includes non-cornerstone orders (superset) — cornerstone % is from the prospectus</t>
        </is>
      </c>
    </row>
    <row r="457" ht="15" customHeight="1">
      <c r="A457" s="61" t="inlineStr">
        <is>
          <t>2476</t>
        </is>
      </c>
      <c r="B457" s="62" t="inlineStr">
        <is>
          <t>VGT</t>
        </is>
      </c>
      <c r="C457" s="62" t="inlineStr">
        <is>
          <t>勝宏科技</t>
        </is>
      </c>
      <c r="D457" s="62" t="inlineStr">
        <is>
          <t>Tech/AI</t>
        </is>
      </c>
      <c r="E457" s="62" t="inlineStr">
        <is>
          <t>Smart hardware / consumer electronics</t>
        </is>
      </c>
      <c r="F457" s="62" t="inlineStr">
        <is>
          <t>Printed Circuit Boards</t>
        </is>
      </c>
      <c r="G457" s="62" t="inlineStr">
        <is>
          <t>Standard</t>
        </is>
      </c>
      <c r="H457" s="63" t="n">
        <v>46133</v>
      </c>
      <c r="I457" s="64" t="n">
        <v>20117</v>
      </c>
      <c r="J457" s="62" t="inlineStr">
        <is>
          <t>gross (stated)</t>
        </is>
      </c>
      <c r="K457" s="65" t="n"/>
      <c r="L457" s="65" t="n">
        <v>209.88</v>
      </c>
      <c r="M457" s="65" t="n">
        <v>209.88</v>
      </c>
      <c r="N457" s="62" t="inlineStr">
        <is>
          <t>Y</t>
        </is>
      </c>
      <c r="O457" s="66" t="n">
        <v>100</v>
      </c>
      <c r="P457" s="66" t="n"/>
      <c r="Q457" s="67" t="n">
        <v>203202</v>
      </c>
      <c r="R457" s="62" t="inlineStr">
        <is>
          <t>derived:deal size / offer % of enlarged capital</t>
        </is>
      </c>
      <c r="S457" s="68" t="n">
        <v>431.15</v>
      </c>
      <c r="T457" s="69" t="n">
        <v>18.5</v>
      </c>
      <c r="U457" s="70" t="n">
        <v>33.7</v>
      </c>
      <c r="V457" s="66" t="n">
        <v>6.56</v>
      </c>
      <c r="W457" s="62" t="inlineStr">
        <is>
          <t>Black Dragon AP SPV1; Bosera Asset Management (International) Co., Limited; CloudAlpha Capital Management Limited; Cloudview Capital Limited; CNCB (Hong Kong) Investment Limited; CPE Rosewood Investment Limited; Deliante Holdings Co., Ltd; Foresight Global Superior Choice SPC; Golden K2 Falcon Open-ended Fund Company; Greenwoods Asset Management Hong Kong Limited; HHLR Advisors, Ltd; Hong Kong Mason Electronics Co., Ltd; HQ TELECOM SINGAPORE PTE. LTD; Huizhou Huilian Investment Partnership (Limited Partnership); Janchor Partners Pan-Asian Master Fund; Jump Trading Pacific Pte. Ltd; Mega Prime Development Limited; Metazone Link (HK) Limited; Mirae Asset Securities (HK) Limited; Morgan Stanley &amp; Co. International plc; Mr. Ye Guofu; MY Asian Opportunities Master Fund, L.P; New Alternative Limited; New Golden Future Limited; Ovata Capital Management Limited</t>
        </is>
      </c>
      <c r="X457" s="62" t="inlineStr">
        <is>
          <t>black;bosera;cloudalpha;cloudview;cncb;cpe;deliante;foresight;golden-k2;greenwoods;hhlr;mason;hq;huizhou;janchor;jump;mega;metazone;mirae;morgan;mr-ye;my;new-alternative;new-golden;ovata</t>
        </is>
      </c>
      <c r="Y457" s="66" t="n">
        <v>15</v>
      </c>
      <c r="Z457" s="62" t="inlineStr">
        <is>
          <t>full</t>
        </is>
      </c>
      <c r="AA457" s="71" t="n">
        <v>50.09</v>
      </c>
      <c r="AB457" s="72" t="n">
        <v>57.23</v>
      </c>
      <c r="AC457" s="72" t="n">
        <v>-4.54</v>
      </c>
      <c r="AD457" s="72" t="n">
        <v>42.94</v>
      </c>
      <c r="AE457" s="72" t="n">
        <v>64.95</v>
      </c>
      <c r="AF457" s="72" t="n">
        <v>9.59</v>
      </c>
      <c r="AG457" s="72" t="n">
        <v>-4.76</v>
      </c>
      <c r="AH457" s="72" t="n">
        <v>9.9</v>
      </c>
      <c r="AI457" s="72" t="n">
        <v>-26.98</v>
      </c>
      <c r="AJ457" s="72" t="n">
        <v>47.47</v>
      </c>
      <c r="AK457" s="72" t="n">
        <v>70.65000000000001</v>
      </c>
      <c r="AL457" s="72" t="n">
        <v>16.46</v>
      </c>
      <c r="AM457" s="72" t="n">
        <v>15.71</v>
      </c>
      <c r="AN457" s="72" t="n">
        <v>-5.7</v>
      </c>
      <c r="AO457" s="72" t="n">
        <v>-5.81</v>
      </c>
      <c r="AP457" s="62" t="inlineStr">
        <is>
          <t>HSTECH (Hang Seng TECH ETF)</t>
        </is>
      </c>
      <c r="AQ457" s="72" t="n">
        <v>8.06</v>
      </c>
      <c r="AR457" s="63" t="inlineStr">
        <is>
          <t>2026-08-20</t>
        </is>
      </c>
      <c r="AS457" s="64" t="n">
        <v>21221.5</v>
      </c>
      <c r="AT457" s="67" t="n">
        <v>1269.9</v>
      </c>
      <c r="AU457" s="62" t="inlineStr">
        <is>
          <t>Y</t>
        </is>
      </c>
      <c r="AV457" s="73" t="n">
        <v>160</v>
      </c>
      <c r="AW457" s="73" t="n"/>
      <c r="AX457" s="73" t="n"/>
      <c r="AY457" s="73" t="n">
        <v>9.6</v>
      </c>
      <c r="AZ457" s="74" t="inlineStr">
        <is>
          <t>Y</t>
        </is>
      </c>
      <c r="BA457" s="62" t="inlineStr">
        <is>
          <t>300476.SZ</t>
        </is>
      </c>
      <c r="BB457" s="72" t="n">
        <v>87.67</v>
      </c>
      <c r="BC457" s="65" t="n">
        <v>393.8878</v>
      </c>
      <c r="BD457" s="79" t="n">
        <v>0.2816</v>
      </c>
      <c r="BE457" s="77">
        <f>IF('BBG Verify'!Q457="","run on terminal",'BBG Verify'!Q457)</f>
        <v/>
      </c>
      <c r="BF457" s="77">
        <f>IF('BBG Verify'!R457="","run on terminal",'BBG Verify'!R457)</f>
        <v/>
      </c>
      <c r="BG457" s="74" t="inlineStr">
        <is>
          <t>J.P. Morgan Securities (Far East) Limited; China Securities (International) Corporate Finance Company Limited; Central, Hong Kong GF Capital (Hong Kong) Limited</t>
        </is>
      </c>
      <c r="BH457" s="62" t="inlineStr">
        <is>
          <t>J.P. Morgan Securities (Far East) Limited; GF Capital (Hong Kong) Limited; China Securities (International) Corporate Finance Company Limited</t>
        </is>
      </c>
      <c r="BI457" s="62" t="inlineStr">
        <is>
          <t>ABCI Securities Company Limited; China International Capital Corporation Hong Kong Securities Limited; China Securities (International) Corporate Finance Company Limited; GF Securities (Hong Kong) Brokerage Limited; Huatai Financial Holdings (Hong Kong) Limited; J.P. Morgan Securities (Asia Pacific) Limited</t>
        </is>
      </c>
      <c r="BJ457" s="62" t="inlineStr">
        <is>
          <t>ABCI Securities Company Limited; China International Capital Corporation Hong Kong Securities Limited; China Securities (International) Corporate Finance Company Limited; GF Securities (Hong Kong) Brokerage Limited; Huatai Financial Holdings (Hong Kong) Limited; J.P. Morgan Securities (Asia Pacific) Limited</t>
        </is>
      </c>
      <c r="BK457" s="76">
        <f>HYPERLINK("https://www1.hkexnews.hk/listedco/listconews/sehk/2026/0413/2026041300005.pdf","prospectus")</f>
        <v/>
      </c>
      <c r="BL457" s="76">
        <f>HYPERLINK("https://www1.hkexnews.hk/listedco/listconews/sehk/2026/0420/2026042001650.pdf","allotment")</f>
        <v/>
      </c>
      <c r="BM457" s="76">
        <f>HYPERLINK("https://www1.hkexnews.hk/listedco/listconews/sehk/2026/0518/2026051800452.pdf","stabilisation")</f>
        <v/>
      </c>
      <c r="BN457" s="74" t="n"/>
      <c r="BO457" s="62" t="inlineStr">
        <is>
          <t>range low: cap-only pricing — the filing publishes a Maximum Offer Price and no indicative floor · A/H: Apr 2026, HK$20.1bn (~US$2.57bn); +60% debut — Nvidia AI-PCB supplier</t>
        </is>
      </c>
    </row>
    <row r="458" ht="15" customHeight="1">
      <c r="A458" s="61" t="inlineStr">
        <is>
          <t>3296</t>
        </is>
      </c>
      <c r="B458" s="62" t="inlineStr">
        <is>
          <t>HUAQIN</t>
        </is>
      </c>
      <c r="C458" s="62" t="inlineStr">
        <is>
          <t>華勤技術</t>
        </is>
      </c>
      <c r="D458" s="62" t="inlineStr">
        <is>
          <t>Tech/AI</t>
        </is>
      </c>
      <c r="E458" s="62" t="inlineStr">
        <is>
          <t>Smart hardware / consumer electronics</t>
        </is>
      </c>
      <c r="F458" s="62" t="inlineStr">
        <is>
          <t>Telecommunications &amp; Networking Equipment</t>
        </is>
      </c>
      <c r="G458" s="62" t="inlineStr">
        <is>
          <t>Standard</t>
        </is>
      </c>
      <c r="H458" s="63" t="n">
        <v>46135</v>
      </c>
      <c r="I458" s="64" t="n">
        <v>4549.2</v>
      </c>
      <c r="J458" s="62" t="inlineStr">
        <is>
          <t>gross (stated)</t>
        </is>
      </c>
      <c r="K458" s="65" t="n"/>
      <c r="L458" s="65" t="n">
        <v>77.7</v>
      </c>
      <c r="M458" s="65" t="n">
        <v>77.7</v>
      </c>
      <c r="N458" s="62" t="inlineStr">
        <is>
          <t>Y</t>
        </is>
      </c>
      <c r="O458" s="66" t="n">
        <v>100</v>
      </c>
      <c r="P458" s="66" t="n"/>
      <c r="Q458" s="67" t="n">
        <v>73138.3</v>
      </c>
      <c r="R458" s="62" t="inlineStr">
        <is>
          <t>derived:deal size / offer % of enlarged capital</t>
        </is>
      </c>
      <c r="S458" s="68" t="n">
        <v>531.33</v>
      </c>
      <c r="T458" s="69" t="n">
        <v>13.34</v>
      </c>
      <c r="U458" s="70" t="n">
        <v>49.7</v>
      </c>
      <c r="V458" s="66" t="n">
        <v>3.13</v>
      </c>
      <c r="W458" s="62" t="inlineStr">
        <is>
          <t>3W Fund Management Limited; Aurora SF; Awinic Technology Limited; CICC Financial Trading Limited; Cloud Map Holdings Limited; Everbright Wealth Management Co., Ltd; Green Better; Hongxing International Technology Limited; Ingenic Semiconductor (HongKong) Group Limited; IvyRock Asset Management (HK) Limited; Jinyi Capital Multi-Strategy Fund SPC Ltd; JPMorgan Asset Management (Asia Pacific) Limited; Kingboard Investments Limited; New China Asset Management (Hong Kong) Limited; Perseverance Asset Management International (Singapore) Pte. Ltd; Taikang Life Insurance Co., Ltd; UBS Asset Management (Singapore) Ltd</t>
        </is>
      </c>
      <c r="X458" s="62" t="inlineStr">
        <is>
          <t>3w;aurora;awinic;china-international;cloud;everbright;green;hongxing;ingenic;ivyrock;jinyi;jpmorgan;kingboard;new;perseverance;taikang;ubs</t>
        </is>
      </c>
      <c r="Y458" s="66" t="n">
        <v>15</v>
      </c>
      <c r="Z458" s="62" t="inlineStr">
        <is>
          <t>full</t>
        </is>
      </c>
      <c r="AA458" s="71" t="n">
        <v>13.26</v>
      </c>
      <c r="AB458" s="72" t="n">
        <v>12.68</v>
      </c>
      <c r="AC458" s="72" t="n">
        <v>0.51</v>
      </c>
      <c r="AD458" s="72" t="n">
        <v>17.12</v>
      </c>
      <c r="AE458" s="72" t="n">
        <v>52.16</v>
      </c>
      <c r="AF458" s="72" t="n">
        <v>21.17</v>
      </c>
      <c r="AG458" s="72" t="n">
        <v>3.41</v>
      </c>
      <c r="AH458" s="72" t="n">
        <v>34.35</v>
      </c>
      <c r="AI458" s="72" t="n">
        <v>6.98</v>
      </c>
      <c r="AJ458" s="72" t="n">
        <v>18.81</v>
      </c>
      <c r="AK458" s="72" t="n">
        <v>52.53</v>
      </c>
      <c r="AL458" s="72" t="n">
        <v>26.15</v>
      </c>
      <c r="AM458" s="72" t="n">
        <v>32.62</v>
      </c>
      <c r="AN458" s="72" t="n">
        <v>-0.37</v>
      </c>
      <c r="AO458" s="72" t="n">
        <v>1.73</v>
      </c>
      <c r="AP458" s="62" t="inlineStr">
        <is>
          <t>HSTECH (Hang Seng TECH ETF)</t>
        </is>
      </c>
      <c r="AQ458" s="72" t="n">
        <v>28.74</v>
      </c>
      <c r="AR458" s="63" t="inlineStr">
        <is>
          <t>2026-08-24</t>
        </is>
      </c>
      <c r="AS458" s="64" t="n">
        <v>188580.6</v>
      </c>
      <c r="AT458" s="67" t="n">
        <v>4544.7</v>
      </c>
      <c r="AU458" s="62" t="inlineStr">
        <is>
          <t>Y</t>
        </is>
      </c>
      <c r="AV458" s="73" t="n">
        <v>16.1</v>
      </c>
      <c r="AW458" s="73" t="n">
        <v>19.2</v>
      </c>
      <c r="AX458" s="73" t="n">
        <v>23.6</v>
      </c>
      <c r="AY458" s="73" t="n">
        <v>0.4</v>
      </c>
      <c r="AZ458" s="74" t="inlineStr">
        <is>
          <t>Y</t>
        </is>
      </c>
      <c r="BA458" s="62" t="inlineStr">
        <is>
          <t>603296.SS</t>
        </is>
      </c>
      <c r="BB458" s="72" t="n">
        <v>55.23</v>
      </c>
      <c r="BC458" s="65" t="n">
        <v>120.6149</v>
      </c>
      <c r="BD458" s="79" t="n">
        <v>0.228</v>
      </c>
      <c r="BE458" s="77">
        <f>IF('BBG Verify'!Q458="","run on terminal",'BBG Verify'!Q458)</f>
        <v/>
      </c>
      <c r="BF458" s="77">
        <f>IF('BBG Verify'!R458="","run on terminal",'BBG Verify'!R458)</f>
        <v/>
      </c>
      <c r="BG458" s="74" t="inlineStr">
        <is>
          <t>CICC; BofA Securities</t>
        </is>
      </c>
      <c r="BH458" s="62" t="inlineStr">
        <is>
          <t>China International Capital Corporation Hong Kong Securities Limited; Merrill Lynch (Asia Pacific) Limited</t>
        </is>
      </c>
      <c r="BI458" s="62" t="inlineStr">
        <is>
          <t>ABCI Capital Limited; Tiger Brokers (HK) Global Limited</t>
        </is>
      </c>
      <c r="BJ458" s="62" t="inlineStr">
        <is>
          <t>ABCI Securities Company Limited; China International Capital Corporation Hong Kong Securities Limited; CLSA Limited; Futu Securities International (Hong Kong) Limited; Goldman Sachs (Asia) L.L.C.; Merrill Lynch (Asia Pacific) Limited; Tiger Brokers (HK) Global Limited</t>
        </is>
      </c>
      <c r="BK458" s="76">
        <f>HYPERLINK("https://www1.hkexnews.hk/listedco/listconews/sehk/2026/0415/2026041500011.pdf","prospectus")</f>
        <v/>
      </c>
      <c r="BL458" s="76">
        <f>HYPERLINK("https://www1.hkexnews.hk/listedco/listconews/sehk/2026/0422/2026042202072.pdf","allotment")</f>
        <v/>
      </c>
      <c r="BM458" s="76">
        <f>HYPERLINK("https://www1.hkexnews.hk/listedco/listconews/sehk/2026/0520/2026052001304.pdf","stabilisation")</f>
        <v/>
      </c>
      <c r="BN458" s="74" t="n"/>
      <c r="BO458" s="62" t="inlineStr">
        <is>
          <t>range low: cap-only pricing — the filing publishes a Maximum Offer Price and no indicative floor · A/H: Apr 2026 H listing (smart-hardware ODM)</t>
        </is>
      </c>
    </row>
    <row r="459" ht="15" customHeight="1">
      <c r="A459" s="61" t="inlineStr">
        <is>
          <t>2493</t>
        </is>
      </c>
      <c r="B459" s="62" t="inlineStr">
        <is>
          <t>MABWELL-B</t>
        </is>
      </c>
      <c r="C459" s="62" t="inlineStr">
        <is>
          <t>邁威生物－Ｂ</t>
        </is>
      </c>
      <c r="D459" s="62" t="inlineStr">
        <is>
          <t>Healthcare</t>
        </is>
      </c>
      <c r="E459" s="62" t="inlineStr">
        <is>
          <t>Biotech pre-revenue (18A)</t>
        </is>
      </c>
      <c r="F459" s="62" t="inlineStr">
        <is>
          <t>Biotechnology - Pharmaceuticals</t>
        </is>
      </c>
      <c r="G459" s="62" t="inlineStr">
        <is>
          <t>18A</t>
        </is>
      </c>
      <c r="H459" s="63" t="n">
        <v>46140</v>
      </c>
      <c r="I459" s="64" t="n">
        <v>1302.7</v>
      </c>
      <c r="J459" s="62" t="inlineStr">
        <is>
          <t>gross (price x shares)</t>
        </is>
      </c>
      <c r="K459" s="65" t="n">
        <v>27.64</v>
      </c>
      <c r="L459" s="65" t="n">
        <v>30.71</v>
      </c>
      <c r="M459" s="65" t="n">
        <v>27.64</v>
      </c>
      <c r="N459" s="62" t="inlineStr">
        <is>
          <t>N</t>
        </is>
      </c>
      <c r="O459" s="66" t="n">
        <v>90</v>
      </c>
      <c r="P459" s="66" t="n">
        <v>0</v>
      </c>
      <c r="Q459" s="67" t="n">
        <v>12347.6</v>
      </c>
      <c r="R459" s="62" t="inlineStr">
        <is>
          <t>derived:price x shares upon listing</t>
        </is>
      </c>
      <c r="S459" s="68" t="n">
        <v>481.71</v>
      </c>
      <c r="T459" s="69" t="n">
        <v>3.46</v>
      </c>
      <c r="U459" s="70" t="n">
        <v>31.7</v>
      </c>
      <c r="V459" s="66" t="n">
        <v>7.21</v>
      </c>
      <c r="W459" s="62" t="inlineStr">
        <is>
          <t>Charm Harvest International Limited; Guohui (HK) Holdings Co., Limited; Junshi Hong Kong Limited; Sanjin International CO., LTD; Splendid Zhonghe (Tianjin) Investment Management Co., Ltd; WuXi Biologics HealthCare Venture</t>
        </is>
      </c>
      <c r="X459" s="62" t="inlineStr">
        <is>
          <t>charm;guohui;junshi;sanjin;splendid;wuxi</t>
        </is>
      </c>
      <c r="Y459" s="66" t="n"/>
      <c r="Z459" s="62" t="n"/>
      <c r="AA459" s="71" t="n">
        <v>0.58</v>
      </c>
      <c r="AB459" s="72" t="n">
        <v>2.39</v>
      </c>
      <c r="AC459" s="72" t="n">
        <v>-1.77</v>
      </c>
      <c r="AD459" s="72" t="n">
        <v>-2.03</v>
      </c>
      <c r="AE459" s="72" t="n">
        <v>-17.58</v>
      </c>
      <c r="AF459" s="72" t="n">
        <v>-24.17</v>
      </c>
      <c r="AG459" s="72" t="n">
        <v>-2.59</v>
      </c>
      <c r="AH459" s="72" t="n">
        <v>-18.06</v>
      </c>
      <c r="AI459" s="72" t="n">
        <v>-24.61</v>
      </c>
      <c r="AJ459" s="72" t="n">
        <v>-2.78</v>
      </c>
      <c r="AK459" s="72" t="n">
        <v>-11.23</v>
      </c>
      <c r="AL459" s="72" t="n">
        <v>-23.18</v>
      </c>
      <c r="AM459" s="72" t="n">
        <v>-10.99</v>
      </c>
      <c r="AN459" s="72" t="n">
        <v>-6.35</v>
      </c>
      <c r="AO459" s="72" t="n">
        <v>-7.07</v>
      </c>
      <c r="AP459" s="62" t="inlineStr">
        <is>
          <t>China Biotech ETF (HS biotech proxy)</t>
        </is>
      </c>
      <c r="AQ459" s="72" t="n">
        <v>-20.62</v>
      </c>
      <c r="AR459" s="63" t="inlineStr">
        <is>
          <t>2026-08-21</t>
        </is>
      </c>
      <c r="AS459" s="64" t="n">
        <v>724.6</v>
      </c>
      <c r="AT459" s="67" t="n">
        <v>-1069.5</v>
      </c>
      <c r="AU459" s="62" t="inlineStr">
        <is>
          <t>N</t>
        </is>
      </c>
      <c r="AV459" s="62" t="inlineStr">
        <is>
          <t>n/m</t>
        </is>
      </c>
      <c r="AW459" s="73" t="n"/>
      <c r="AX459" s="73" t="n"/>
      <c r="AY459" s="73" t="n">
        <v>17</v>
      </c>
      <c r="AZ459" s="74" t="inlineStr">
        <is>
          <t>Y</t>
        </is>
      </c>
      <c r="BA459" s="62" t="inlineStr">
        <is>
          <t>688062.SS</t>
        </is>
      </c>
      <c r="BB459" s="72" t="n">
        <v>53.53</v>
      </c>
      <c r="BC459" s="65" t="n">
        <v>42.4365</v>
      </c>
      <c r="BD459" s="79" t="n">
        <v>0.5888</v>
      </c>
      <c r="BE459" s="77">
        <f>IF('BBG Verify'!Q459="","run on terminal",'BBG Verify'!Q459)</f>
        <v/>
      </c>
      <c r="BF459" s="77">
        <f>IF('BBG Verify'!R459="","run on terminal",'BBG Verify'!R459)</f>
        <v/>
      </c>
      <c r="BG459" s="74" t="inlineStr">
        <is>
          <t>CITIC Securities (Hong Kong) Limited; Haitong International Capital Limited</t>
        </is>
      </c>
      <c r="BH459" s="62" t="inlineStr">
        <is>
          <t>Haitong International Capital Limited; CITIC Securities (Hong Kong) Limited</t>
        </is>
      </c>
      <c r="BI459" s="62" t="inlineStr">
        <is>
          <t>CLSA Limited; Haitong International Securities Company Limited; CMB International Capital Limited; ABCI Capital Limited</t>
        </is>
      </c>
      <c r="BJ459" s="62" t="inlineStr">
        <is>
          <t>ABCI Securities Company Limited; Bowlea Securities Limited; CCB International Capital Limited; China Industrial Securities International Capital Limited; CLSA Limited; CMB International Capital Limited; Futu Securities International (Hong Kong) Limited; Guosen Securities (HK) Brokerage Company, Limited; Haitong International Securities Company Limited</t>
        </is>
      </c>
      <c r="BK459" s="76">
        <f>HYPERLINK("https://www1.hkexnews.hk/listedco/listconews/sehk/2026/0420/2026042000011.pdf","prospectus")</f>
        <v/>
      </c>
      <c r="BL459" s="76">
        <f>HYPERLINK("https://www1.hkexnews.hk/listedco/listconews/sehk/2026/0427/2026042703128.pdf","allotment")</f>
        <v/>
      </c>
      <c r="BM459" s="62" t="n"/>
      <c r="BN459" s="74" t="n"/>
      <c r="BO459" s="62" t="inlineStr">
        <is>
          <t>P/E: n/m — loss-making at IPO (use P/S) · greenshoe: no over-allotment option in the offer structure · A/H: Apr 2026 H listing (ADC biotech); A+H on STAR · greenshoe size: no over-allotment option in the offer structure</t>
        </is>
      </c>
    </row>
    <row r="460" ht="15" customHeight="1">
      <c r="A460" s="61" t="inlineStr">
        <is>
          <t>1879</t>
        </is>
      </c>
      <c r="B460" s="62" t="inlineStr">
        <is>
          <t>XIZHI TECH-P</t>
        </is>
      </c>
      <c r="C460" s="62" t="inlineStr">
        <is>
          <t>曦智科技－Ｐ</t>
        </is>
      </c>
      <c r="D460" s="62" t="inlineStr">
        <is>
          <t>Tech/AI</t>
        </is>
      </c>
      <c r="E460" s="62" t="inlineStr">
        <is>
          <t>AI application / agent software</t>
        </is>
      </c>
      <c r="F460" s="62" t="inlineStr">
        <is>
          <t>Advanced hardware and software</t>
        </is>
      </c>
      <c r="G460" s="62" t="inlineStr">
        <is>
          <t>18C</t>
        </is>
      </c>
      <c r="H460" s="63" t="n">
        <v>46140</v>
      </c>
      <c r="I460" s="64" t="n">
        <v>2527.3</v>
      </c>
      <c r="J460" s="62" t="inlineStr">
        <is>
          <t>gross (stated)</t>
        </is>
      </c>
      <c r="K460" s="65" t="n">
        <v>166.6</v>
      </c>
      <c r="L460" s="65" t="n">
        <v>183.2</v>
      </c>
      <c r="M460" s="65" t="n">
        <v>183.2</v>
      </c>
      <c r="N460" s="62" t="inlineStr">
        <is>
          <t>Y</t>
        </is>
      </c>
      <c r="O460" s="66" t="n">
        <v>100</v>
      </c>
      <c r="P460" s="66" t="n">
        <v>100</v>
      </c>
      <c r="Q460" s="67" t="n">
        <v>14981</v>
      </c>
      <c r="R460" s="62" t="inlineStr">
        <is>
          <t>derived:deal size / offer % of enlarged capital</t>
        </is>
      </c>
      <c r="S460" s="68" t="n">
        <v>5784.7</v>
      </c>
      <c r="T460" s="69" t="n">
        <v>53.83</v>
      </c>
      <c r="U460" s="70" t="n">
        <v>65.06</v>
      </c>
      <c r="V460" s="66" t="n">
        <v>5.89</v>
      </c>
      <c r="W460" s="62" t="inlineStr">
        <is>
          <t>3W Fund Management Limited; Alibaba Investment Limited; Aspex Master Fund; Baillie Gifford Overseas Limited及Baillie Gifford &amp; Co; BlackRock, Inc; CPE Fir Investment Limited; FIL Investment Management (Hong Kong) Limited; GF Management Co., Ltd; GIC Private Limited; Greenwoods Asset Management Hong Kong Limited; HHLR Advisors, Ltd; ICBC Wealth Management Co., Ltd; Lenovo Group Limited; Mirae Asset Securities (HK) Limited; Ping An of China Asset Management (Hong Kong) Company Limited; Schroder Investment Management (Singapore) Ltd; Shanghai CM Digital Transformation Investment Fund, L.P; UBS Asset Management (Singapore) Ltd; ZTE (H.K.) Limited</t>
        </is>
      </c>
      <c r="X460" s="62" t="inlineStr">
        <is>
          <t>3w;alibaba;aspex;baillie;blackrock;cpe;fil;gf;gic;greenwoods;hhlr;icbc;lenovo;mirae;ping;schroder;shanghai-cm;ubs;zte</t>
        </is>
      </c>
      <c r="Y460" s="66" t="n">
        <v>15</v>
      </c>
      <c r="Z460" s="62" t="n"/>
      <c r="AA460" s="71" t="n">
        <v>383.62</v>
      </c>
      <c r="AB460" s="72" t="n">
        <v>380.35</v>
      </c>
      <c r="AC460" s="72" t="n">
        <v>0.68</v>
      </c>
      <c r="AD460" s="72" t="n">
        <v>384.99</v>
      </c>
      <c r="AE460" s="72" t="n">
        <v>236.24</v>
      </c>
      <c r="AF460" s="72" t="n">
        <v>27.29</v>
      </c>
      <c r="AG460" s="72" t="n">
        <v>0.28</v>
      </c>
      <c r="AH460" s="72" t="n">
        <v>-30.47</v>
      </c>
      <c r="AI460" s="72" t="n">
        <v>-73.68000000000001</v>
      </c>
      <c r="AJ460" s="72" t="n">
        <v>384.16</v>
      </c>
      <c r="AK460" s="72" t="n">
        <v>237.19</v>
      </c>
      <c r="AL460" s="72" t="n">
        <v>29.61</v>
      </c>
      <c r="AM460" s="72" t="n">
        <v>-31.7</v>
      </c>
      <c r="AN460" s="72" t="n">
        <v>-0.95</v>
      </c>
      <c r="AO460" s="72" t="n">
        <v>1.23</v>
      </c>
      <c r="AP460" s="62" t="inlineStr">
        <is>
          <t>HSTECH (Hang Seng TECH ETF)</t>
        </is>
      </c>
      <c r="AQ460" s="72" t="n">
        <v>65.28</v>
      </c>
      <c r="AR460" s="63" t="inlineStr">
        <is>
          <t>2026-08-20</t>
        </is>
      </c>
      <c r="AS460" s="64" t="n">
        <v>117</v>
      </c>
      <c r="AT460" s="67" t="n">
        <v>-808.8</v>
      </c>
      <c r="AU460" s="62" t="inlineStr">
        <is>
          <t>N</t>
        </is>
      </c>
      <c r="AV460" s="62" t="inlineStr">
        <is>
          <t>n/m</t>
        </is>
      </c>
      <c r="AW460" s="73" t="n"/>
      <c r="AX460" s="73" t="n"/>
      <c r="AY460" s="73" t="n">
        <v>128</v>
      </c>
      <c r="AZ460" s="74" t="inlineStr">
        <is>
          <t>N</t>
        </is>
      </c>
      <c r="BA460" s="75">
        <f>IF('BBG Verify'!K460="","not filed — run on terminal",'BBG Verify'!K460)</f>
        <v/>
      </c>
      <c r="BB460" s="62" t="inlineStr">
        <is>
          <t>N/A</t>
        </is>
      </c>
      <c r="BC460" s="62" t="inlineStr">
        <is>
          <t>N/A</t>
        </is>
      </c>
      <c r="BD460" s="62" t="inlineStr">
        <is>
          <t>N/A</t>
        </is>
      </c>
      <c r="BE460" s="62" t="inlineStr">
        <is>
          <t>N/A</t>
        </is>
      </c>
      <c r="BF460" s="62" t="inlineStr">
        <is>
          <t>N/A</t>
        </is>
      </c>
      <c r="BG460" s="74" t="inlineStr">
        <is>
          <t>China International Capital Corporation Hong Kong Securities Limited; Haitong International Capital Limited</t>
        </is>
      </c>
      <c r="BH460" s="62" t="inlineStr">
        <is>
          <t>China International Capital Corporation Hong Kong Securities Limited; Haitong International Capital Limited</t>
        </is>
      </c>
      <c r="BI460" s="62" t="inlineStr">
        <is>
          <t>China International Capital Corporation Hong Kong Securities Limited; Haitong International Securities Company Limited; The Hongkong and Shanghai Banking Corporation Limited; Futu Securities International (Hong Kong) Limited; Shenwan Hongyuan Securities (H.K.) Limited</t>
        </is>
      </c>
      <c r="BJ460" s="62" t="inlineStr">
        <is>
          <t>China International Capital Corporation Hong Kong Securities Limited; Futu Securities International (Hong Kong) Limited; Haitong International Securities Company Limited; The Hongkong and Shanghai Banking Corporation Limited; Shenwan Hongyuan Securities (H.K.) Limited</t>
        </is>
      </c>
      <c r="BK460" s="76">
        <f>HYPERLINK("https://www1.hkexnews.hk/listedco/listconews/sehk/2026/0420/2026042000021.pdf","prospectus")</f>
        <v/>
      </c>
      <c r="BL460" s="76">
        <f>HYPERLINK("https://www1.hkexnews.hk/listedco/listconews/sehk/2026/0427/2026042703526.pdf","allotment")</f>
        <v/>
      </c>
      <c r="BM460" s="62" t="n"/>
      <c r="BN460" s="74" t="n"/>
      <c r="BO460" s="62" t="inlineStr">
        <is>
          <t>P/E: n/m — loss-making at IPO (use P/S) · greenshoe: end-of-stabilisation notice not located · A/H: no A-share listing</t>
        </is>
      </c>
    </row>
    <row r="461" ht="15" customHeight="1">
      <c r="A461" s="61" t="inlineStr">
        <is>
          <t>6810</t>
        </is>
      </c>
      <c r="B461" s="62" t="inlineStr">
        <is>
          <t>SUNMI TECH-W</t>
        </is>
      </c>
      <c r="C461" s="62" t="inlineStr">
        <is>
          <t>商米科技－Ｗ</t>
        </is>
      </c>
      <c r="D461" s="62" t="inlineStr">
        <is>
          <t>Tech/AI</t>
        </is>
      </c>
      <c r="E461" s="62" t="inlineStr">
        <is>
          <t>Smart hardware / consumer electronics</t>
        </is>
      </c>
      <c r="F461" s="62" t="inlineStr">
        <is>
          <t>Computer Storage &amp; Peripherals</t>
        </is>
      </c>
      <c r="G461" s="62" t="inlineStr">
        <is>
          <t>WVR</t>
        </is>
      </c>
      <c r="H461" s="63" t="n">
        <v>46141</v>
      </c>
      <c r="I461" s="64" t="n">
        <v>1059.7</v>
      </c>
      <c r="J461" s="62" t="inlineStr">
        <is>
          <t>gross (stated)</t>
        </is>
      </c>
      <c r="K461" s="65" t="n"/>
      <c r="L461" s="65" t="n">
        <v>24.86</v>
      </c>
      <c r="M461" s="65" t="n">
        <v>24.86</v>
      </c>
      <c r="N461" s="62" t="inlineStr">
        <is>
          <t>Y</t>
        </is>
      </c>
      <c r="O461" s="66" t="n">
        <v>100</v>
      </c>
      <c r="P461" s="66" t="n"/>
      <c r="Q461" s="67" t="n">
        <v>10009.3</v>
      </c>
      <c r="R461" s="62" t="inlineStr">
        <is>
          <t>derived:price x shares upon listing</t>
        </is>
      </c>
      <c r="S461" s="68" t="n">
        <v>2003.16</v>
      </c>
      <c r="T461" s="69" t="n">
        <v>7.91</v>
      </c>
      <c r="U461" s="70" t="n">
        <v>26.9</v>
      </c>
      <c r="V461" s="66" t="n">
        <v>7.74</v>
      </c>
      <c r="W461" s="62" t="inlineStr">
        <is>
          <t>XINWUTANG CO., LIMITED</t>
        </is>
      </c>
      <c r="X461" s="62" t="inlineStr">
        <is>
          <t>xinwutang</t>
        </is>
      </c>
      <c r="Y461" s="66" t="n">
        <v>15</v>
      </c>
      <c r="Z461" s="62" t="n"/>
      <c r="AA461" s="71" t="n">
        <v>241.11</v>
      </c>
      <c r="AB461" s="72" t="n">
        <v>292.2</v>
      </c>
      <c r="AC461" s="72" t="n">
        <v>-13.03</v>
      </c>
      <c r="AD461" s="72" t="n">
        <v>216.57</v>
      </c>
      <c r="AE461" s="72" t="n">
        <v>201.49</v>
      </c>
      <c r="AF461" s="72" t="n">
        <v>136.73</v>
      </c>
      <c r="AG461" s="72" t="n">
        <v>-7.19</v>
      </c>
      <c r="AH461" s="72" t="n">
        <v>-11.62</v>
      </c>
      <c r="AI461" s="72" t="n">
        <v>-30.6</v>
      </c>
      <c r="AJ461" s="72" t="n">
        <v>210.56</v>
      </c>
      <c r="AK461" s="72" t="n">
        <v>198.53</v>
      </c>
      <c r="AL461" s="72" t="n">
        <v>136.65</v>
      </c>
      <c r="AM461" s="72" t="n">
        <v>-12.78</v>
      </c>
      <c r="AN461" s="72" t="n">
        <v>2.96</v>
      </c>
      <c r="AO461" s="72" t="n">
        <v>1.16</v>
      </c>
      <c r="AP461" s="62" t="inlineStr">
        <is>
          <t>HSTECH (Hang Seng TECH ETF)</t>
        </is>
      </c>
      <c r="AQ461" s="72" t="n">
        <v>126.67</v>
      </c>
      <c r="AR461" s="63" t="inlineStr">
        <is>
          <t>2026-08-20</t>
        </is>
      </c>
      <c r="AS461" s="64" t="n">
        <v>4193</v>
      </c>
      <c r="AT461" s="67" t="n">
        <v>244.9</v>
      </c>
      <c r="AU461" s="62" t="inlineStr">
        <is>
          <t>Y</t>
        </is>
      </c>
      <c r="AV461" s="73" t="n">
        <v>40.9</v>
      </c>
      <c r="AW461" s="73" t="n"/>
      <c r="AX461" s="73" t="n"/>
      <c r="AY461" s="73" t="n">
        <v>2.4</v>
      </c>
      <c r="AZ461" s="74" t="inlineStr">
        <is>
          <t>N</t>
        </is>
      </c>
      <c r="BA461" s="75">
        <f>IF('BBG Verify'!K461="","not filed — run on terminal",'BBG Verify'!K461)</f>
        <v/>
      </c>
      <c r="BB461" s="62" t="inlineStr">
        <is>
          <t>N/A</t>
        </is>
      </c>
      <c r="BC461" s="62" t="inlineStr">
        <is>
          <t>N/A</t>
        </is>
      </c>
      <c r="BD461" s="62" t="inlineStr">
        <is>
          <t>N/A</t>
        </is>
      </c>
      <c r="BE461" s="62" t="inlineStr">
        <is>
          <t>N/A</t>
        </is>
      </c>
      <c r="BF461" s="62" t="inlineStr">
        <is>
          <t>N/A</t>
        </is>
      </c>
      <c r="BG461" s="74" t="inlineStr">
        <is>
          <t>Deutsche Securities Asia Limited; CITIC Securities (Hong Kong) Limited; ABCI Capital Limited</t>
        </is>
      </c>
      <c r="BH461" s="62" t="inlineStr">
        <is>
          <t>CITIC Securities (Hong Kong) Limited; Deutsche Securities Asia Limited; ABCI Capital Limited</t>
        </is>
      </c>
      <c r="BI461" s="62" t="inlineStr">
        <is>
          <t>Deutsche Bank AG, Hong Kong Branch; CLSA Limited; ABCI Capital Limited; CMB International Capital Limited; Shenwan Hongyuan Securities (H.K.) Limited; Yue Xiu Securities Company Limited; Admiralty, Hong Kong Tiger Brokers (HK) Global Limited; Futu Securities International (Hong Kong) Limited; No.95 Queensway, Admiralty, Hong Kong Tianda Securities Limited; Webull Securities Limited; Yuen Meta (International) Securities Limited; Wanchai, Hong Kong West Bull Securities Limited</t>
        </is>
      </c>
      <c r="BJ461" s="62" t="inlineStr">
        <is>
          <t>ABCI Securities Company Limited; CLSA Limited; CMB International Capital Limited; Deutsche Bank AG, Hong Kong Branch; Futu Securities International (Hong Kong) Limited; Livermore Holdings Limited; Shenwan Hongyuan Securities (H.K.) Limited; Tiger Brokers (HK) Global Limited; Tianda Securities Limited; West Bull Securities Limited; Webull Securities Limited; Yuen Meta (International) Securities Limited</t>
        </is>
      </c>
      <c r="BK461" s="76">
        <f>HYPERLINK("https://www1.hkexnews.hk/listedco/listconews/sehk/2026/0421/2026042100017.pdf","prospectus")</f>
        <v/>
      </c>
      <c r="BL461" s="76">
        <f>HYPERLINK("https://www1.hkexnews.hk/listedco/listconews/sehk/2026/0428/2026042804737.pdf","allotment")</f>
        <v/>
      </c>
      <c r="BM461" s="62" t="n"/>
      <c r="BN461" s="74" t="n"/>
      <c r="BO461" s="62" t="inlineStr">
        <is>
          <t>greenshoe: end-of-stabilisation notice not located · range low: cap-only pricing — the filing publishes a Maximum Offer Price and no indicative floor · A/H: no A-share listing</t>
        </is>
      </c>
    </row>
    <row r="462" ht="15" customHeight="1">
      <c r="A462" s="61" t="inlineStr">
        <is>
          <t>1609</t>
        </is>
      </c>
      <c r="B462" s="62" t="inlineStr">
        <is>
          <t>STAR SPORTS MED</t>
        </is>
      </c>
      <c r="C462" s="62" t="inlineStr">
        <is>
          <t>天星醫療</t>
        </is>
      </c>
      <c r="D462" s="62" t="inlineStr">
        <is>
          <t>Healthcare</t>
        </is>
      </c>
      <c r="E462" s="62" t="inlineStr">
        <is>
          <t>Medical devices</t>
        </is>
      </c>
      <c r="F462" s="62" t="inlineStr">
        <is>
          <t>Health Care Equipment</t>
        </is>
      </c>
      <c r="G462" s="62" t="inlineStr">
        <is>
          <t>Standard</t>
        </is>
      </c>
      <c r="H462" s="63" t="n">
        <v>46147</v>
      </c>
      <c r="I462" s="64" t="n">
        <v>829.6</v>
      </c>
      <c r="J462" s="62" t="inlineStr">
        <is>
          <t>gross (stated)</t>
        </is>
      </c>
      <c r="K462" s="65" t="n"/>
      <c r="L462" s="65" t="n">
        <v>98.5</v>
      </c>
      <c r="M462" s="65" t="n">
        <v>98.5</v>
      </c>
      <c r="N462" s="62" t="inlineStr">
        <is>
          <t>Y</t>
        </is>
      </c>
      <c r="O462" s="66" t="n">
        <v>100</v>
      </c>
      <c r="P462" s="66" t="n"/>
      <c r="Q462" s="67" t="n">
        <v>5400.9</v>
      </c>
      <c r="R462" s="62" t="inlineStr">
        <is>
          <t>derived:price x shares upon listing</t>
        </is>
      </c>
      <c r="S462" s="68" t="n">
        <v>7823.13</v>
      </c>
      <c r="T462" s="69" t="n">
        <v>10.41</v>
      </c>
      <c r="U462" s="70" t="n">
        <v>34.71</v>
      </c>
      <c r="V462" s="66" t="n">
        <v>10.03</v>
      </c>
      <c r="W462" s="62" t="inlineStr">
        <is>
          <t>JSC International Investment Fund SPC; Mega Prime Development Limited; OAP IV (HK) Limited; Poly Platinum Enterprises Limited</t>
        </is>
      </c>
      <c r="X462" s="62" t="inlineStr">
        <is>
          <t>jsc;mega;oap;poly</t>
        </is>
      </c>
      <c r="Y462" s="66" t="n"/>
      <c r="Z462" s="62" t="n"/>
      <c r="AA462" s="71" t="n">
        <v>118.27</v>
      </c>
      <c r="AB462" s="72" t="n">
        <v>192.39</v>
      </c>
      <c r="AC462" s="72" t="n">
        <v>-25.35</v>
      </c>
      <c r="AD462" s="72" t="n">
        <v>102.44</v>
      </c>
      <c r="AE462" s="72" t="n">
        <v>94.31</v>
      </c>
      <c r="AF462" s="72" t="n">
        <v>26.4</v>
      </c>
      <c r="AG462" s="72" t="n">
        <v>-7.25</v>
      </c>
      <c r="AH462" s="72" t="n">
        <v>-10.98</v>
      </c>
      <c r="AI462" s="72" t="n">
        <v>-42.09</v>
      </c>
      <c r="AJ462" s="72" t="n">
        <v>102.24</v>
      </c>
      <c r="AK462" s="72" t="n">
        <v>108.17</v>
      </c>
      <c r="AL462" s="72" t="n">
        <v>25.77</v>
      </c>
      <c r="AM462" s="72" t="n">
        <v>2.43</v>
      </c>
      <c r="AN462" s="72" t="n">
        <v>-13.86</v>
      </c>
      <c r="AO462" s="72" t="n">
        <v>-13.41</v>
      </c>
      <c r="AP462" s="62" t="inlineStr">
        <is>
          <t>China Biotech ETF (HS biotech proxy)</t>
        </is>
      </c>
      <c r="AQ462" s="72" t="n">
        <v>46.29</v>
      </c>
      <c r="AR462" s="63" t="inlineStr">
        <is>
          <t>2026-08-20</t>
        </is>
      </c>
      <c r="AS462" s="64" t="n">
        <v>443</v>
      </c>
      <c r="AT462" s="67" t="n">
        <v>150.7</v>
      </c>
      <c r="AU462" s="62" t="inlineStr">
        <is>
          <t>Y</t>
        </is>
      </c>
      <c r="AV462" s="73" t="n">
        <v>35.8</v>
      </c>
      <c r="AW462" s="73" t="n"/>
      <c r="AX462" s="73" t="n"/>
      <c r="AY462" s="73" t="n">
        <v>12.2</v>
      </c>
      <c r="AZ462" s="74" t="inlineStr">
        <is>
          <t>N</t>
        </is>
      </c>
      <c r="BA462" s="75">
        <f>IF('BBG Verify'!K462="","not filed — run on terminal",'BBG Verify'!K462)</f>
        <v/>
      </c>
      <c r="BB462" s="62" t="inlineStr">
        <is>
          <t>N/A</t>
        </is>
      </c>
      <c r="BC462" s="62" t="inlineStr">
        <is>
          <t>N/A</t>
        </is>
      </c>
      <c r="BD462" s="62" t="inlineStr">
        <is>
          <t>N/A</t>
        </is>
      </c>
      <c r="BE462" s="62" t="inlineStr">
        <is>
          <t>N/A</t>
        </is>
      </c>
      <c r="BF462" s="62" t="inlineStr">
        <is>
          <t>N/A</t>
        </is>
      </c>
      <c r="BG462" s="74" t="inlineStr">
        <is>
          <t>CITIC Securities (Hong Kong) Limited; CCB International Capital Limited</t>
        </is>
      </c>
      <c r="BH462" s="62" t="inlineStr">
        <is>
          <t>CCB International Capital Limited; CITIC Securities (Hong Kong) Limited</t>
        </is>
      </c>
      <c r="BI462" s="62" t="inlineStr">
        <is>
          <t>CLSA Limited; CCB International Capital Limited; (Hong Kong) Co., Limited; CMBC Securities Company Limited; Open Securities Limited; Zheshang International Financial Holdings Co., Limited</t>
        </is>
      </c>
      <c r="BJ462" s="62" t="inlineStr">
        <is>
          <t>CCB International Capital Limited; China Galaxy International Securities (Hong Kong) Company Limited; CLSA Limited; CMBC Securities Company Limited; Futu Securities International (Hong Kong) Limited; Open Securities Limited; Orient Securities (Hong Kong) Limited; Zheshang International Financial Holdings Co., Limited</t>
        </is>
      </c>
      <c r="BK462" s="76">
        <f>HYPERLINK("https://www1.hkexnews.hk/listedco/listconews/sehk/2026/0424/2026042400053.pdf","prospectus")</f>
        <v/>
      </c>
      <c r="BL462" s="76">
        <f>HYPERLINK("https://www1.hkexnews.hk/listedco/listconews/sehk/2026/0504/2026050403728.pdf","allotment")</f>
        <v/>
      </c>
      <c r="BM462" s="62" t="n"/>
      <c r="BN462" s="74" t="n"/>
      <c r="BO462" s="62" t="inlineStr">
        <is>
          <t>greenshoe: no over-allotment option in the offer structure · range low: cap-only pricing — the filing publishes a Maximum Offer Price and no indicative floor · A/H: no A-share listing · greenshoe size: no over-allotment option in the offer structure</t>
        </is>
      </c>
    </row>
    <row r="463" ht="15" customHeight="1">
      <c r="A463" s="61" t="inlineStr">
        <is>
          <t>1187</t>
        </is>
      </c>
      <c r="B463" s="62" t="inlineStr">
        <is>
          <t>COFOE MEDICAL</t>
        </is>
      </c>
      <c r="C463" s="62" t="inlineStr">
        <is>
          <t>可孚醫療</t>
        </is>
      </c>
      <c r="D463" s="62" t="inlineStr">
        <is>
          <t>Healthcare</t>
        </is>
      </c>
      <c r="E463" s="62" t="inlineStr">
        <is>
          <t>Medical devices</t>
        </is>
      </c>
      <c r="F463" s="62" t="inlineStr">
        <is>
          <t>Health Care Equipment</t>
        </is>
      </c>
      <c r="G463" s="62" t="inlineStr">
        <is>
          <t>Standard</t>
        </is>
      </c>
      <c r="H463" s="63" t="n">
        <v>46148</v>
      </c>
      <c r="I463" s="64" t="n">
        <v>1062</v>
      </c>
      <c r="J463" s="62" t="inlineStr">
        <is>
          <t>gross (stated)</t>
        </is>
      </c>
      <c r="K463" s="65" t="n"/>
      <c r="L463" s="65" t="n">
        <v>39.33</v>
      </c>
      <c r="M463" s="65" t="n">
        <v>39.33</v>
      </c>
      <c r="N463" s="62" t="inlineStr">
        <is>
          <t>Y</t>
        </is>
      </c>
      <c r="O463" s="66" t="n">
        <v>100</v>
      </c>
      <c r="P463" s="66" t="n"/>
      <c r="Q463" s="67" t="n">
        <v>9277.799999999999</v>
      </c>
      <c r="R463" s="62" t="inlineStr">
        <is>
          <t>derived:price x shares upon listing</t>
        </is>
      </c>
      <c r="S463" s="68" t="n">
        <v>399.08</v>
      </c>
      <c r="T463" s="69" t="n">
        <v>3.4</v>
      </c>
      <c r="U463" s="70" t="n">
        <v>35.76</v>
      </c>
      <c r="V463" s="66" t="n">
        <v>7.35</v>
      </c>
      <c r="W463" s="62" t="inlineStr">
        <is>
          <t>Changsha Yufeng Technology Co., Ltd; Da Cheng International Asset Management Company Limited; FR M CONSULTING CO., LTD; HongKong HQD Industry Limited; LENS TECHNOLOGY (HK) CO., LIMITED; Mr. Dai Junan; Mr. Huang Xuelin; Ms. Lu Qinchao; ODI TRUST LIMITED; Panjing Harbourview Investment Fund; Sinohealth Technology Holdings Limited</t>
        </is>
      </c>
      <c r="X463" s="62" t="inlineStr">
        <is>
          <t>changsha;da;fr;hongkong;lens;mr-dai;mr-huang;ms-lu;odi;panjing;sinohealth</t>
        </is>
      </c>
      <c r="Y463" s="66" t="n"/>
      <c r="Z463" s="62" t="n"/>
      <c r="AA463" s="71" t="n">
        <v>-1.09</v>
      </c>
      <c r="AB463" s="72" t="n">
        <v>1.3</v>
      </c>
      <c r="AC463" s="72" t="n">
        <v>-2.36</v>
      </c>
      <c r="AD463" s="72" t="n">
        <v>-6.69</v>
      </c>
      <c r="AE463" s="72" t="n">
        <v>-16.09</v>
      </c>
      <c r="AF463" s="72" t="n">
        <v>-17.72</v>
      </c>
      <c r="AG463" s="72" t="n">
        <v>-5.66</v>
      </c>
      <c r="AH463" s="72" t="n">
        <v>-15.17</v>
      </c>
      <c r="AI463" s="72" t="n">
        <v>-16.81</v>
      </c>
      <c r="AJ463" s="72" t="n">
        <v>-6.32</v>
      </c>
      <c r="AK463" s="72" t="n">
        <v>-2.1</v>
      </c>
      <c r="AL463" s="72" t="n">
        <v>-18.53</v>
      </c>
      <c r="AM463" s="72" t="n">
        <v>-1.23</v>
      </c>
      <c r="AN463" s="72" t="n">
        <v>-13.99</v>
      </c>
      <c r="AO463" s="72" t="n">
        <v>-13.94</v>
      </c>
      <c r="AP463" s="62" t="inlineStr">
        <is>
          <t>China Biotech ETF (HS biotech proxy)</t>
        </is>
      </c>
      <c r="AQ463" s="72" t="n">
        <v>-19.09</v>
      </c>
      <c r="AR463" s="63" t="inlineStr">
        <is>
          <t>2026-08-20</t>
        </is>
      </c>
      <c r="AS463" s="64" t="n">
        <v>3726.2</v>
      </c>
      <c r="AT463" s="67" t="n">
        <v>-1.5</v>
      </c>
      <c r="AU463" s="62" t="inlineStr">
        <is>
          <t>N</t>
        </is>
      </c>
      <c r="AV463" s="62" t="inlineStr">
        <is>
          <t>n/m</t>
        </is>
      </c>
      <c r="AW463" s="73" t="n">
        <v>18.8</v>
      </c>
      <c r="AX463" s="73" t="n">
        <v>15.1</v>
      </c>
      <c r="AY463" s="73" t="n">
        <v>2.5</v>
      </c>
      <c r="AZ463" s="74" t="inlineStr">
        <is>
          <t>Y</t>
        </is>
      </c>
      <c r="BA463" s="62" t="inlineStr">
        <is>
          <t>301087.SZ</t>
        </is>
      </c>
      <c r="BB463" s="72" t="n">
        <v>54.6</v>
      </c>
      <c r="BC463" s="65" t="n">
        <v>60.8041</v>
      </c>
      <c r="BD463" s="79" t="n">
        <v>0.747</v>
      </c>
      <c r="BE463" s="77">
        <f>IF('BBG Verify'!Q463="","run on terminal",'BBG Verify'!Q463)</f>
        <v/>
      </c>
      <c r="BF463" s="77">
        <f>IF('BBG Verify'!R463="","run on terminal",'BBG Verify'!R463)</f>
        <v/>
      </c>
      <c r="BG463" s="74" t="inlineStr">
        <is>
          <t>Huatai Financial Holdings (Hong Kong) Limited; BNP Paribas Securities (Asia) Limited</t>
        </is>
      </c>
      <c r="BH463" s="62" t="inlineStr">
        <is>
          <t>Huatai Financial Holdings (Hong Kong) Limited; BNP Paribas Securities (Asia) Limited</t>
        </is>
      </c>
      <c r="BI463" s="62" t="inlineStr">
        <is>
          <t>BNP Paribas Securities (Asia) Limited; Futu Securities International (Hong Kong) Limited; Huatai Financial Holdings (Hong Kong) Limited</t>
        </is>
      </c>
      <c r="BJ463" s="62" t="inlineStr">
        <is>
          <t>BNP Paribas Securities (Asia) Limited; Futu Securities International (Hong Kong) Limited; Huatai Financial Holdings (Hong Kong) Limited</t>
        </is>
      </c>
      <c r="BK463" s="76">
        <f>HYPERLINK("https://www1.hkexnews.hk/listedco/listconews/sehk/2026/0427/2026042700013.pdf","prospectus")</f>
        <v/>
      </c>
      <c r="BL463" s="76">
        <f>HYPERLINK("https://www1.hkexnews.hk/listedco/listconews/sehk/2026/0505/2026050501942.pdf","allotment")</f>
        <v/>
      </c>
      <c r="BM463" s="62" t="n"/>
      <c r="BN463" s="74" t="n"/>
      <c r="BO463" s="62" t="inlineStr">
        <is>
          <t>P/E: n/m — loss-making at IPO (use P/S) · greenshoe: no over-allotment option in the offer structure · range low: cap-only pricing — the filing publishes a Maximum Offer Price and no indicative floor · A/H: May 2026 H listing (home medical devices) · greenshoe size: no over-allotment option in the offer structure</t>
        </is>
      </c>
    </row>
    <row r="464" ht="15" customHeight="1">
      <c r="A464" s="61" t="inlineStr">
        <is>
          <t>1236</t>
        </is>
      </c>
      <c r="B464" s="62" t="inlineStr">
        <is>
          <t>LDROBOT</t>
        </is>
      </c>
      <c r="C464" s="62" t="inlineStr">
        <is>
          <t>樂動機器人</t>
        </is>
      </c>
      <c r="D464" s="62" t="inlineStr">
        <is>
          <t>Tech/AI</t>
        </is>
      </c>
      <c r="E464" s="62" t="inlineStr">
        <is>
          <t>Robotics &amp; autonomous driving</t>
        </is>
      </c>
      <c r="F464" s="62" t="inlineStr">
        <is>
          <t>Advanced hardware and software</t>
        </is>
      </c>
      <c r="G464" s="62" t="inlineStr">
        <is>
          <t>Standard</t>
        </is>
      </c>
      <c r="H464" s="63" t="n">
        <v>46153</v>
      </c>
      <c r="I464" s="64" t="n">
        <v>878.7</v>
      </c>
      <c r="J464" s="62" t="inlineStr">
        <is>
          <t>gross (stated)</t>
        </is>
      </c>
      <c r="K464" s="65" t="n">
        <v>24</v>
      </c>
      <c r="L464" s="65" t="n">
        <v>30</v>
      </c>
      <c r="M464" s="65" t="n">
        <v>26.36</v>
      </c>
      <c r="N464" s="62" t="inlineStr">
        <is>
          <t>N</t>
        </is>
      </c>
      <c r="O464" s="66" t="n">
        <v>87.90000000000001</v>
      </c>
      <c r="P464" s="66" t="n">
        <v>39.3</v>
      </c>
      <c r="Q464" s="67" t="n">
        <v>7776.1</v>
      </c>
      <c r="R464" s="62" t="inlineStr">
        <is>
          <t>derived:deal size / offer % of enlarged capital</t>
        </is>
      </c>
      <c r="S464" s="68" t="n">
        <v>6707.66</v>
      </c>
      <c r="T464" s="69" t="n">
        <v>9.539999999999999</v>
      </c>
      <c r="U464" s="70" t="n">
        <v>31.52</v>
      </c>
      <c r="V464" s="66" t="n">
        <v>7.74</v>
      </c>
      <c r="W464" s="62" t="inlineStr">
        <is>
          <t>KCH Vision Investment Limited</t>
        </is>
      </c>
      <c r="X464" s="62" t="inlineStr">
        <is>
          <t>kch</t>
        </is>
      </c>
      <c r="Y464" s="66" t="n">
        <v>13.41</v>
      </c>
      <c r="Z464" s="62" t="n"/>
      <c r="AA464" s="71" t="n">
        <v>127.62</v>
      </c>
      <c r="AB464" s="72" t="n">
        <v>102.96</v>
      </c>
      <c r="AC464" s="72" t="n">
        <v>12.15</v>
      </c>
      <c r="AD464" s="72" t="n">
        <v>56.68</v>
      </c>
      <c r="AE464" s="72" t="n">
        <v>54.86</v>
      </c>
      <c r="AF464" s="72" t="n">
        <v>48.71</v>
      </c>
      <c r="AG464" s="72" t="n">
        <v>-31.17</v>
      </c>
      <c r="AH464" s="72" t="n">
        <v>-31.97</v>
      </c>
      <c r="AI464" s="72" t="n">
        <v>-34.67</v>
      </c>
      <c r="AJ464" s="72" t="n">
        <v>61.92</v>
      </c>
      <c r="AK464" s="72" t="n">
        <v>62.14</v>
      </c>
      <c r="AL464" s="72" t="n">
        <v>53.95</v>
      </c>
      <c r="AM464" s="72" t="n">
        <v>-24.69</v>
      </c>
      <c r="AN464" s="72" t="n">
        <v>-7.28</v>
      </c>
      <c r="AO464" s="72" t="n">
        <v>-7.28</v>
      </c>
      <c r="AP464" s="62" t="inlineStr">
        <is>
          <t>HSTECH (Hang Seng TECH ETF)</t>
        </is>
      </c>
      <c r="AQ464" s="72" t="n">
        <v>41.5</v>
      </c>
      <c r="AR464" s="63" t="inlineStr">
        <is>
          <t>2026-08-21</t>
        </is>
      </c>
      <c r="AS464" s="64" t="n">
        <v>150.6</v>
      </c>
      <c r="AT464" s="67" t="n">
        <v>-68.8</v>
      </c>
      <c r="AU464" s="62" t="inlineStr">
        <is>
          <t>N</t>
        </is>
      </c>
      <c r="AV464" s="62" t="inlineStr">
        <is>
          <t>n/m</t>
        </is>
      </c>
      <c r="AW464" s="73" t="n"/>
      <c r="AX464" s="73" t="n"/>
      <c r="AY464" s="73" t="n">
        <v>51.6</v>
      </c>
      <c r="AZ464" s="74" t="inlineStr">
        <is>
          <t>N</t>
        </is>
      </c>
      <c r="BA464" s="75">
        <f>IF('BBG Verify'!K464="","not filed — run on terminal",'BBG Verify'!K464)</f>
        <v/>
      </c>
      <c r="BB464" s="62" t="inlineStr">
        <is>
          <t>N/A</t>
        </is>
      </c>
      <c r="BC464" s="62" t="inlineStr">
        <is>
          <t>N/A</t>
        </is>
      </c>
      <c r="BD464" s="62" t="inlineStr">
        <is>
          <t>N/A</t>
        </is>
      </c>
      <c r="BE464" s="62" t="inlineStr">
        <is>
          <t>N/A</t>
        </is>
      </c>
      <c r="BF464" s="62" t="inlineStr">
        <is>
          <t>N/A</t>
        </is>
      </c>
      <c r="BG464" s="74" t="inlineStr">
        <is>
          <t>Haitong International Capital Limited; Central, Hong Kong Guotai Junan Capital Limited</t>
        </is>
      </c>
      <c r="BH464" s="62" t="inlineStr">
        <is>
          <t>Haitong International Capital Limited; Guotai Junan Capital Limited</t>
        </is>
      </c>
      <c r="BI464" s="62" t="inlineStr">
        <is>
          <t>No. 95 Queensway, Admiralty, Hong Kong Orient Securities (Hong Kong) Limited; Central, Hong Kong Yuet Sheung International Securities Limited; Sheung Wan, Hong Kong Goldbridge Securities Limited</t>
        </is>
      </c>
      <c r="BJ464" s="62" t="inlineStr">
        <is>
          <t>China International Capital Corporation Hong Kong Securities Limited; CMBC Securities Company Limited; Futu Securities International (Hong Kong) Limited; Goldbridge Securities Limited; Guotai Junan Securities (Hong Kong) Limited; Haitong International Securities Company Limited; Orient Securities (Hong Kong) Limited; SDIC Securities (Hong Kong) Limited; Yuet Sheung International Securities Limited</t>
        </is>
      </c>
      <c r="BK464" s="76">
        <f>HYPERLINK("https://www1.hkexnews.hk/listedco/listconews/sehk/2026/0430/2026043000099.pdf","prospectus")</f>
        <v/>
      </c>
      <c r="BL464" s="76">
        <f>HYPERLINK("https://www1.hkexnews.hk/listedco/listconews/sehk/2026/0508/2026050801854.pdf","allotment")</f>
        <v/>
      </c>
      <c r="BM464" s="62" t="n"/>
      <c r="BN464" s="74" t="n"/>
      <c r="BO464" s="62" t="inlineStr">
        <is>
          <t>P/E: n/m — loss-making at IPO (use P/S) · greenshoe: end-of-stabilisation notice not located · A/H: no A-share listing</t>
        </is>
      </c>
    </row>
    <row r="465" ht="15" customHeight="1">
      <c r="A465" s="61" t="inlineStr">
        <is>
          <t>7630</t>
        </is>
      </c>
      <c r="B465" s="62" t="inlineStr">
        <is>
          <t>IMPACT THERAP-B</t>
        </is>
      </c>
      <c r="C465" s="62" t="inlineStr">
        <is>
          <t>英派藥業－Ｂ</t>
        </is>
      </c>
      <c r="D465" s="62" t="inlineStr">
        <is>
          <t>Healthcare</t>
        </is>
      </c>
      <c r="E465" s="62" t="inlineStr">
        <is>
          <t>Biotech pre-revenue (18A)</t>
        </is>
      </c>
      <c r="F465" s="62" t="inlineStr">
        <is>
          <t>Biotechnology - Pharmaceuticals</t>
        </is>
      </c>
      <c r="G465" s="62" t="inlineStr">
        <is>
          <t>18A</t>
        </is>
      </c>
      <c r="H465" s="63" t="n">
        <v>46155</v>
      </c>
      <c r="I465" s="64" t="n">
        <v>843.7</v>
      </c>
      <c r="J465" s="62" t="inlineStr">
        <is>
          <t>gross (stated)</t>
        </is>
      </c>
      <c r="K465" s="65" t="n">
        <v>19.75</v>
      </c>
      <c r="L465" s="65" t="n">
        <v>21.75</v>
      </c>
      <c r="M465" s="65" t="n">
        <v>20.1</v>
      </c>
      <c r="N465" s="62" t="inlineStr">
        <is>
          <t>N</t>
        </is>
      </c>
      <c r="O465" s="66" t="n">
        <v>92.40000000000001</v>
      </c>
      <c r="P465" s="66" t="n">
        <v>17.5</v>
      </c>
      <c r="Q465" s="67" t="n">
        <v>4933.9</v>
      </c>
      <c r="R465" s="62" t="inlineStr">
        <is>
          <t>derived:deal size / offer % of enlarged capital</t>
        </is>
      </c>
      <c r="S465" s="68" t="n">
        <v>2282.4</v>
      </c>
      <c r="T465" s="69" t="n">
        <v>24.58</v>
      </c>
      <c r="U465" s="70" t="n">
        <v>33.19</v>
      </c>
      <c r="V465" s="66" t="n">
        <v>11.42</v>
      </c>
      <c r="W465" s="62" t="inlineStr">
        <is>
          <t>First Quarter Moon OFC — Phecda Fund; Foresight Global Superior Choice SPC — Vision Fund 1 SP; Foresight Global Superior Choice SPC — Horizon Fund 1 SP; Foresight Global Superior Choice SPC — Horizon Next Fund SP; Huang River Investment Limited; LAV Star Opportunities Limited; Prosper High Holding Limited; Worldwide Healthcare Partners LLC</t>
        </is>
      </c>
      <c r="X465" s="62" t="inlineStr">
        <is>
          <t>first-quarter;foresight;huang-river;lav;prosper;healthcare</t>
        </is>
      </c>
      <c r="Y465" s="66" t="n">
        <v>8.529999999999999</v>
      </c>
      <c r="Z465" s="62" t="inlineStr">
        <is>
          <t>full</t>
        </is>
      </c>
      <c r="AA465" s="71" t="n">
        <v>108.26</v>
      </c>
      <c r="AB465" s="72" t="n">
        <v>76.62</v>
      </c>
      <c r="AC465" s="72" t="n">
        <v>17.91</v>
      </c>
      <c r="AD465" s="72" t="n">
        <v>86.27</v>
      </c>
      <c r="AE465" s="72" t="n">
        <v>81.09</v>
      </c>
      <c r="AF465" s="72" t="n">
        <v>-39.75</v>
      </c>
      <c r="AG465" s="72" t="n">
        <v>-10.56</v>
      </c>
      <c r="AH465" s="72" t="n">
        <v>-13.05</v>
      </c>
      <c r="AI465" s="72" t="n">
        <v>-71.06999999999999</v>
      </c>
      <c r="AJ465" s="72" t="n">
        <v>93.78</v>
      </c>
      <c r="AK465" s="72" t="n">
        <v>95.55</v>
      </c>
      <c r="AL465" s="72" t="n">
        <v>-48.04</v>
      </c>
      <c r="AM465" s="72" t="n">
        <v>0.47</v>
      </c>
      <c r="AN465" s="72" t="n">
        <v>-14.46</v>
      </c>
      <c r="AO465" s="72" t="n">
        <v>-13.52</v>
      </c>
      <c r="AP465" s="62" t="inlineStr">
        <is>
          <t>China Biotech ETF (HS biotech proxy)</t>
        </is>
      </c>
      <c r="AQ465" s="72" t="n">
        <v>-39.55</v>
      </c>
      <c r="AR465" s="63" t="inlineStr">
        <is>
          <t>2026-08-20</t>
        </is>
      </c>
      <c r="AS465" s="64" t="n">
        <v>42.1</v>
      </c>
      <c r="AT465" s="67" t="n">
        <v>-325.5</v>
      </c>
      <c r="AU465" s="62" t="inlineStr">
        <is>
          <t>N</t>
        </is>
      </c>
      <c r="AV465" s="62" t="inlineStr">
        <is>
          <t>n/m</t>
        </is>
      </c>
      <c r="AW465" s="73" t="n"/>
      <c r="AX465" s="73" t="n"/>
      <c r="AY465" s="73" t="n">
        <v>117.2</v>
      </c>
      <c r="AZ465" s="74" t="inlineStr">
        <is>
          <t>N</t>
        </is>
      </c>
      <c r="BA465" s="75">
        <f>IF('BBG Verify'!K465="","not filed — run on terminal",'BBG Verify'!K465)</f>
        <v/>
      </c>
      <c r="BB465" s="62" t="inlineStr">
        <is>
          <t>N/A</t>
        </is>
      </c>
      <c r="BC465" s="62" t="inlineStr">
        <is>
          <t>N/A</t>
        </is>
      </c>
      <c r="BD465" s="62" t="inlineStr">
        <is>
          <t>N/A</t>
        </is>
      </c>
      <c r="BE465" s="62" t="inlineStr">
        <is>
          <t>N/A</t>
        </is>
      </c>
      <c r="BF465" s="62" t="inlineStr">
        <is>
          <t>N/A</t>
        </is>
      </c>
      <c r="BG465" s="74" t="n"/>
      <c r="BH465" s="62" t="inlineStr">
        <is>
          <t>China International Capital Corporation Hong Kong Securities Limited; Goldman Sachs (Asia) L.L.C.</t>
        </is>
      </c>
      <c r="BI465" s="62" t="inlineStr">
        <is>
          <t>China International Capital Corporation Hong Kong Securities Limited; CMB International Capital Limited; Goldman Sachs (Asia) L.L.C.; Tiger Brokers (HK) Global Limited</t>
        </is>
      </c>
      <c r="BJ465" s="62" t="inlineStr">
        <is>
          <t>China International Capital Corporation Hong Kong Securities Limited; CMB International Capital Limited; Goldman Sachs (Asia) L.L.C.; Tiger Brokers (HK) Global Limited</t>
        </is>
      </c>
      <c r="BK465" s="76">
        <f>HYPERLINK("https://www1.hkexnews.hk/listedco/listconews/sehk/2026/0505/2026050500023.pdf","prospectus")</f>
        <v/>
      </c>
      <c r="BL465" s="76">
        <f>HYPERLINK("https://www1.hkexnews.hk/listedco/listconews/sehk/2026/0512/2026051201406.pdf","allotment")</f>
        <v/>
      </c>
      <c r="BM465" s="76">
        <f>HYPERLINK("https://www1.hkexnews.hk/listedco/listconews/sehk/2026/0608/2026060800490.pdf","stabilisation")</f>
        <v/>
      </c>
      <c r="BN465" s="74" t="n"/>
      <c r="BO465" s="62" t="inlineStr">
        <is>
          <t>P/E: n/m — loss-making at IPO (use P/S) · A/H: no A-share listing · sponsor: English name not in the filing text; AAStocks 保薦人 shown</t>
        </is>
      </c>
    </row>
    <row r="466" ht="15" customHeight="1">
      <c r="A466" s="61" t="inlineStr">
        <is>
          <t>7666</t>
        </is>
      </c>
      <c r="B466" s="62" t="inlineStr">
        <is>
          <t>METIS TECHBIO-P</t>
        </is>
      </c>
      <c r="C466" s="62" t="inlineStr">
        <is>
          <t>劑泰科技－Ｐ</t>
        </is>
      </c>
      <c r="D466" s="62" t="inlineStr">
        <is>
          <t>Healthcare</t>
        </is>
      </c>
      <c r="E466" s="62" t="inlineStr">
        <is>
          <t>Biotech pre-revenue (18A)</t>
        </is>
      </c>
      <c r="F466" s="62" t="inlineStr">
        <is>
          <t>Advanced materials</t>
        </is>
      </c>
      <c r="G466" s="62" t="inlineStr">
        <is>
          <t>18C</t>
        </is>
      </c>
      <c r="H466" s="63" t="n">
        <v>46155</v>
      </c>
      <c r="I466" s="64" t="n">
        <v>2112.9</v>
      </c>
      <c r="J466" s="62" t="inlineStr">
        <is>
          <t>gross (stated)</t>
        </is>
      </c>
      <c r="K466" s="65" t="n"/>
      <c r="L466" s="65" t="n">
        <v>10.5</v>
      </c>
      <c r="M466" s="65" t="n">
        <v>10.5</v>
      </c>
      <c r="N466" s="62" t="inlineStr">
        <is>
          <t>Y</t>
        </is>
      </c>
      <c r="O466" s="66" t="n">
        <v>100</v>
      </c>
      <c r="P466" s="66" t="n"/>
      <c r="Q466" s="67" t="n">
        <v>12101.4</v>
      </c>
      <c r="R466" s="62" t="inlineStr">
        <is>
          <t>prospectus:stated market capitalisation</t>
        </is>
      </c>
      <c r="S466" s="68" t="n">
        <v>6910.96</v>
      </c>
      <c r="T466" s="69" t="n">
        <v>33.86</v>
      </c>
      <c r="U466" s="70" t="n">
        <v>54.87</v>
      </c>
      <c r="V466" s="66" t="n">
        <v>7.88</v>
      </c>
      <c r="W466" s="62" t="inlineStr">
        <is>
          <t>Arc Avenue Asset Management Pte. Ltd; BlackRock, Inc; China Asset Management (Hong Kong) Limited; China Venture Capital Innovation Investment Fund Co., Ltd; Deerfield Management Company, L.P; Fullgoal Fund Management Co., Ltd; GF Fund Management Co., Ltd; HHLR Advisors, Ltd; Huadeng Technology Piovt Ventures Ltd; ICBC UBS Asset Management Co., Ltd; ICBC Wealth Management Co., Ltd; Isometry Global Master Fund, L.P; Lake Bleu Prime Healthcare Master Fund Limited; Mirae Asset Securities (HK) Limited; ORIX Asia Asset Management Limited; RTW Master Fund, Ltd; Sage Partners Master Fund; UBS Asset Management (Singapore) Ltd</t>
        </is>
      </c>
      <c r="X466" s="62" t="inlineStr">
        <is>
          <t>arc;blackrock;china-asset;venture;deerfield;fullgoal;gf;hhlr;huadeng;icbc;isometry;lake;mirae;orix;rtw;sage;ubs</t>
        </is>
      </c>
      <c r="Y466" s="66" t="n">
        <v>15</v>
      </c>
      <c r="Z466" s="62" t="inlineStr">
        <is>
          <t>full</t>
        </is>
      </c>
      <c r="AA466" s="71" t="n">
        <v>126.67</v>
      </c>
      <c r="AB466" s="72" t="n">
        <v>173.14</v>
      </c>
      <c r="AC466" s="72" t="n">
        <v>-17.01</v>
      </c>
      <c r="AD466" s="72" t="n">
        <v>71.43000000000001</v>
      </c>
      <c r="AE466" s="72" t="n">
        <v>25.62</v>
      </c>
      <c r="AF466" s="72" t="n">
        <v>25.62</v>
      </c>
      <c r="AG466" s="72" t="n">
        <v>-24.37</v>
      </c>
      <c r="AH466" s="72" t="n">
        <v>-44.58</v>
      </c>
      <c r="AI466" s="72" t="n">
        <v>-44.58</v>
      </c>
      <c r="AJ466" s="72" t="n">
        <v>78.94</v>
      </c>
      <c r="AK466" s="72" t="n">
        <v>40.08</v>
      </c>
      <c r="AL466" s="72" t="n">
        <v>17.33</v>
      </c>
      <c r="AM466" s="72" t="n">
        <v>-31.06</v>
      </c>
      <c r="AN466" s="72" t="n">
        <v>-14.46</v>
      </c>
      <c r="AO466" s="72" t="n">
        <v>-13.52</v>
      </c>
      <c r="AP466" s="62" t="inlineStr">
        <is>
          <t>China Biotech ETF (HS biotech proxy)</t>
        </is>
      </c>
      <c r="AQ466" s="72" t="n">
        <v>42.86</v>
      </c>
      <c r="AR466" s="63" t="inlineStr">
        <is>
          <t>2026-08-20</t>
        </is>
      </c>
      <c r="AS466" s="64" t="n">
        <v>115.5</v>
      </c>
      <c r="AT466" s="67" t="n">
        <v>-431</v>
      </c>
      <c r="AU466" s="62" t="inlineStr">
        <is>
          <t>N</t>
        </is>
      </c>
      <c r="AV466" s="62" t="inlineStr">
        <is>
          <t>n/m</t>
        </is>
      </c>
      <c r="AW466" s="73" t="n"/>
      <c r="AX466" s="73" t="n"/>
      <c r="AY466" s="73" t="n">
        <v>104.8</v>
      </c>
      <c r="AZ466" s="74" t="inlineStr">
        <is>
          <t>N</t>
        </is>
      </c>
      <c r="BA466" s="75">
        <f>IF('BBG Verify'!K466="","not filed — run on terminal",'BBG Verify'!K466)</f>
        <v/>
      </c>
      <c r="BB466" s="62" t="inlineStr">
        <is>
          <t>N/A</t>
        </is>
      </c>
      <c r="BC466" s="62" t="inlineStr">
        <is>
          <t>N/A</t>
        </is>
      </c>
      <c r="BD466" s="62" t="inlineStr">
        <is>
          <t>N/A</t>
        </is>
      </c>
      <c r="BE466" s="62" t="inlineStr">
        <is>
          <t>N/A</t>
        </is>
      </c>
      <c r="BF466" s="62" t="inlineStr">
        <is>
          <t>N/A</t>
        </is>
      </c>
      <c r="BG466" s="74" t="inlineStr">
        <is>
          <t>Jefferies Hong Kong Limited; Deutsche Securities Asia Limited; CITIC Securities (Hong Kong) Limited</t>
        </is>
      </c>
      <c r="BH466" s="62" t="inlineStr">
        <is>
          <t>Jefferies Hong Kong Limited; CITIC Securities (Hong Kong) Limited; Deutsche Securities Asia Limited</t>
        </is>
      </c>
      <c r="BI466" s="62" t="inlineStr">
        <is>
          <t>Futu Securities International (Hong Kong) Limited</t>
        </is>
      </c>
      <c r="BJ466" s="62" t="inlineStr">
        <is>
          <t>CLSA Limited; CMB International Capital Limited; Deutsche Bank AG, Hong Kong Branch; Futu Securities International (Hong Kong) Limited; Jefferies Hong Kong Limited</t>
        </is>
      </c>
      <c r="BK466" s="76">
        <f>HYPERLINK("https://www1.hkexnews.hk/listedco/listconews/sehk/2026/0505/2026050500019.pdf","prospectus")</f>
        <v/>
      </c>
      <c r="BL466" s="76">
        <f>HYPERLINK("https://www1.hkexnews.hk/listedco/listconews/sehk/2026/0512/2026051201482.pdf","allotment")</f>
        <v/>
      </c>
      <c r="BM466" s="76">
        <f>HYPERLINK("https://www1.hkexnews.hk/listedco/listconews/sehk/2026/0605/2026060501450.pdf","stabilisation")</f>
        <v/>
      </c>
      <c r="BN466" s="74" t="n"/>
      <c r="BO466" s="62" t="inlineStr">
        <is>
          <t>P/E: n/m — loss-making at IPO (use P/S) · price range: fixed-price offering (no indicative range) · range low: cap-only pricing — the filing publishes a Maximum Offer Price and no indicative floor · A/H: no A-share listing</t>
        </is>
      </c>
    </row>
    <row r="467" ht="15" customHeight="1">
      <c r="A467" s="61" t="inlineStr">
        <is>
          <t>6871</t>
        </is>
      </c>
      <c r="B467" s="62" t="inlineStr">
        <is>
          <t>ROBOTPHOENIX</t>
        </is>
      </c>
      <c r="C467" s="62" t="inlineStr">
        <is>
          <t>翼菲科技</t>
        </is>
      </c>
      <c r="D467" s="62" t="inlineStr">
        <is>
          <t>Tech/AI</t>
        </is>
      </c>
      <c r="E467" s="62" t="inlineStr">
        <is>
          <t>Robotics &amp; autonomous driving</t>
        </is>
      </c>
      <c r="F467" s="62" t="inlineStr">
        <is>
          <t>Advanced hardware and software</t>
        </is>
      </c>
      <c r="G467" s="62" t="inlineStr">
        <is>
          <t>Standard</t>
        </is>
      </c>
      <c r="H467" s="63" t="n">
        <v>46160</v>
      </c>
      <c r="I467" s="64" t="n">
        <v>750.3</v>
      </c>
      <c r="J467" s="62" t="inlineStr">
        <is>
          <t>gross (stated)</t>
        </is>
      </c>
      <c r="K467" s="65" t="n"/>
      <c r="L467" s="65" t="n">
        <v>30.5</v>
      </c>
      <c r="M467" s="65" t="n">
        <v>30.5</v>
      </c>
      <c r="N467" s="62" t="inlineStr">
        <is>
          <t>Y</t>
        </is>
      </c>
      <c r="O467" s="66" t="n">
        <v>100</v>
      </c>
      <c r="P467" s="66" t="n"/>
      <c r="Q467" s="67" t="n">
        <v>7471.1</v>
      </c>
      <c r="R467" s="62" t="inlineStr">
        <is>
          <t>derived:price x shares upon listing</t>
        </is>
      </c>
      <c r="S467" s="68" t="n">
        <v>14855.4</v>
      </c>
      <c r="T467" s="69" t="n">
        <v>9.77</v>
      </c>
      <c r="U467" s="70" t="n">
        <v>0</v>
      </c>
      <c r="V467" s="66" t="n">
        <v>10.04</v>
      </c>
      <c r="W467" s="62" t="n"/>
      <c r="X467" s="62" t="n"/>
      <c r="Y467" s="66" t="n"/>
      <c r="Z467" s="62" t="n"/>
      <c r="AA467" s="71" t="n">
        <v>76.23</v>
      </c>
      <c r="AB467" s="72" t="n">
        <v>79.18000000000001</v>
      </c>
      <c r="AC467" s="72" t="n">
        <v>-1.65</v>
      </c>
      <c r="AD467" s="72" t="n">
        <v>12.72</v>
      </c>
      <c r="AE467" s="72" t="n">
        <v>23.28</v>
      </c>
      <c r="AF467" s="72" t="n">
        <v>7.54</v>
      </c>
      <c r="AG467" s="72" t="n">
        <v>-36.04</v>
      </c>
      <c r="AH467" s="72" t="n">
        <v>-30.05</v>
      </c>
      <c r="AI467" s="72" t="n">
        <v>-38.98</v>
      </c>
      <c r="AJ467" s="72" t="n">
        <v>12.51</v>
      </c>
      <c r="AK467" s="72" t="n">
        <v>28.75</v>
      </c>
      <c r="AL467" s="72" t="n">
        <v>11.23</v>
      </c>
      <c r="AM467" s="72" t="n">
        <v>-26.46</v>
      </c>
      <c r="AN467" s="72" t="n">
        <v>-5.47</v>
      </c>
      <c r="AO467" s="72" t="n">
        <v>-3.59</v>
      </c>
      <c r="AP467" s="62" t="inlineStr">
        <is>
          <t>HSTECH (Hang Seng TECH ETF)</t>
        </is>
      </c>
      <c r="AQ467" s="72" t="n">
        <v>-4.79</v>
      </c>
      <c r="AR467" s="63" t="inlineStr">
        <is>
          <t>2026-08-21</t>
        </is>
      </c>
      <c r="AS467" s="64" t="n">
        <v>426.1</v>
      </c>
      <c r="AT467" s="67" t="n">
        <v>-168.2</v>
      </c>
      <c r="AU467" s="62" t="inlineStr">
        <is>
          <t>N</t>
        </is>
      </c>
      <c r="AV467" s="62" t="inlineStr">
        <is>
          <t>n/m</t>
        </is>
      </c>
      <c r="AW467" s="73" t="n"/>
      <c r="AX467" s="73" t="n"/>
      <c r="AY467" s="73" t="n">
        <v>17.5</v>
      </c>
      <c r="AZ467" s="74" t="inlineStr">
        <is>
          <t>N</t>
        </is>
      </c>
      <c r="BA467" s="75">
        <f>IF('BBG Verify'!K467="","not filed — run on terminal",'BBG Verify'!K467)</f>
        <v/>
      </c>
      <c r="BB467" s="62" t="inlineStr">
        <is>
          <t>N/A</t>
        </is>
      </c>
      <c r="BC467" s="62" t="inlineStr">
        <is>
          <t>N/A</t>
        </is>
      </c>
      <c r="BD467" s="62" t="inlineStr">
        <is>
          <t>N/A</t>
        </is>
      </c>
      <c r="BE467" s="62" t="inlineStr">
        <is>
          <t>N/A</t>
        </is>
      </c>
      <c r="BF467" s="62" t="inlineStr">
        <is>
          <t>N/A</t>
        </is>
      </c>
      <c r="BG467" s="74" t="inlineStr">
        <is>
          <t>ABCI Capital Limited; Sponsor-OC ABCI Capital Limited</t>
        </is>
      </c>
      <c r="BH467" s="62" t="inlineStr">
        <is>
          <t>ABCI Capital Limited</t>
        </is>
      </c>
      <c r="BI467" s="62" t="inlineStr">
        <is>
          <t>ABCI Capital Limited; CLSA Limited; Ping An Securities (Hong Kong) Company Limited; China Industrial Securities International Capital Limited; Sheung Wan, Hong Kong CMBC Securities Company Limited; Wanchai, Hong Kong Huafu International Securities Limited; Shenwan Hongyuan Securities (H.K.) Limited; SPDB International Capital Limited</t>
        </is>
      </c>
      <c r="BJ467" s="62" t="inlineStr">
        <is>
          <t>ABCI Securities Company Limited; China Industrial Securities International Capital Limited; CLSA Limited; CMBC Securities Company Limited; Emperor Securities Limited; Futu Securities International (Hong Kong) Limited; Huafu International Securities Limited; Livermore Holdings Limited; Ping An Securities (Hong Kong) Company Limited; Shenwan Hongyuan Securities (H.K.) Limited; SPDB International Capital Limited; Tiger Brokers (HK) Global Limited</t>
        </is>
      </c>
      <c r="BK467" s="76">
        <f>HYPERLINK("https://www1.hkexnews.hk/listedco/listconews/sehk/2026/0508/2026050800015.pdf","prospectus")</f>
        <v/>
      </c>
      <c r="BL467" s="76">
        <f>HYPERLINK("https://www1.hkexnews.hk/listedco/listconews/sehk/2026/0515/2026051502141.pdf","allotment")</f>
        <v/>
      </c>
      <c r="BM467" s="62" t="n"/>
      <c r="BN467" s="74" t="n"/>
      <c r="BO467" s="62" t="inlineStr">
        <is>
          <t>P/E: n/m — loss-making at IPO (use P/S) · 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t>
        </is>
      </c>
    </row>
    <row r="468" ht="15" customHeight="1">
      <c r="A468" s="61" t="inlineStr">
        <is>
          <t>1511</t>
        </is>
      </c>
      <c r="B468" s="62" t="inlineStr">
        <is>
          <t>UISEE TECH</t>
        </is>
      </c>
      <c r="C468" s="62" t="inlineStr">
        <is>
          <t>馭勢科技</t>
        </is>
      </c>
      <c r="D468" s="62" t="inlineStr">
        <is>
          <t>Tech/AI</t>
        </is>
      </c>
      <c r="E468" s="62" t="inlineStr">
        <is>
          <t>Robotics &amp; autonomous driving</t>
        </is>
      </c>
      <c r="F468" s="62" t="inlineStr">
        <is>
          <t>Advanced hardware and software</t>
        </is>
      </c>
      <c r="G468" s="62" t="inlineStr">
        <is>
          <t>Standard</t>
        </is>
      </c>
      <c r="H468" s="63" t="n">
        <v>46162</v>
      </c>
      <c r="I468" s="64" t="n">
        <v>872</v>
      </c>
      <c r="J468" s="62" t="inlineStr">
        <is>
          <t>gross (stated)</t>
        </is>
      </c>
      <c r="K468" s="65" t="n"/>
      <c r="L468" s="65" t="n">
        <v>60.3</v>
      </c>
      <c r="M468" s="65" t="n">
        <v>60.3</v>
      </c>
      <c r="N468" s="62" t="inlineStr">
        <is>
          <t>Y</t>
        </is>
      </c>
      <c r="O468" s="66" t="n">
        <v>100</v>
      </c>
      <c r="P468" s="66" t="n"/>
      <c r="Q468" s="67" t="n">
        <v>9797.799999999999</v>
      </c>
      <c r="R468" s="62" t="inlineStr">
        <is>
          <t>derived:price x shares upon listing</t>
        </is>
      </c>
      <c r="S468" s="68" t="n">
        <v>6777.29</v>
      </c>
      <c r="T468" s="69" t="n">
        <v>5.66</v>
      </c>
      <c r="U468" s="70" t="n">
        <v>29.96</v>
      </c>
      <c r="V468" s="66" t="n">
        <v>6.23</v>
      </c>
      <c r="W468" s="62" t="inlineStr">
        <is>
          <t>CYGG Holding Limited; Starwin International A LPF; Xiongan Autonomous Driving Limited</t>
        </is>
      </c>
      <c r="X468" s="62" t="inlineStr">
        <is>
          <t>cygg;starwin;xiongan</t>
        </is>
      </c>
      <c r="Y468" s="66" t="n"/>
      <c r="Z468" s="62" t="n"/>
      <c r="AA468" s="71" t="n">
        <v>-4.64</v>
      </c>
      <c r="AB468" s="72" t="n">
        <v>-7.13</v>
      </c>
      <c r="AC468" s="72" t="n">
        <v>2.68</v>
      </c>
      <c r="AD468" s="72" t="n">
        <v>22.31</v>
      </c>
      <c r="AE468" s="72" t="n">
        <v>68.66</v>
      </c>
      <c r="AF468" s="72" t="n">
        <v>-0.83</v>
      </c>
      <c r="AG468" s="72" t="n">
        <v>28.26</v>
      </c>
      <c r="AH468" s="72" t="n">
        <v>76.87</v>
      </c>
      <c r="AI468" s="72" t="n">
        <v>4</v>
      </c>
      <c r="AJ468" s="72" t="n">
        <v>21.85</v>
      </c>
      <c r="AK468" s="72" t="n">
        <v>74.88</v>
      </c>
      <c r="AL468" s="72" t="n">
        <v>2.41</v>
      </c>
      <c r="AM468" s="72" t="n">
        <v>83.29000000000001</v>
      </c>
      <c r="AN468" s="72" t="n">
        <v>-6.22</v>
      </c>
      <c r="AO468" s="72" t="n">
        <v>-6.42</v>
      </c>
      <c r="AP468" s="62" t="inlineStr">
        <is>
          <t>HSTECH (Hang Seng TECH ETF)</t>
        </is>
      </c>
      <c r="AQ468" s="72" t="n">
        <v>-0.83</v>
      </c>
      <c r="AR468" s="63" t="inlineStr">
        <is>
          <t>2026-08-20</t>
        </is>
      </c>
      <c r="AS468" s="64" t="n">
        <v>161.3</v>
      </c>
      <c r="AT468" s="67" t="n">
        <v>-253.2</v>
      </c>
      <c r="AU468" s="62" t="inlineStr">
        <is>
          <t>N</t>
        </is>
      </c>
      <c r="AV468" s="62" t="inlineStr">
        <is>
          <t>n/m</t>
        </is>
      </c>
      <c r="AW468" s="73" t="n"/>
      <c r="AX468" s="73" t="n"/>
      <c r="AY468" s="73" t="n">
        <v>60.7</v>
      </c>
      <c r="AZ468" s="74" t="inlineStr">
        <is>
          <t>N</t>
        </is>
      </c>
      <c r="BA468" s="75">
        <f>IF('BBG Verify'!K468="","not filed — run on terminal",'BBG Verify'!K468)</f>
        <v/>
      </c>
      <c r="BB468" s="62" t="inlineStr">
        <is>
          <t>N/A</t>
        </is>
      </c>
      <c r="BC468" s="62" t="inlineStr">
        <is>
          <t>N/A</t>
        </is>
      </c>
      <c r="BD468" s="62" t="inlineStr">
        <is>
          <t>N/A</t>
        </is>
      </c>
      <c r="BE468" s="62" t="inlineStr">
        <is>
          <t>N/A</t>
        </is>
      </c>
      <c r="BF468" s="62" t="inlineStr">
        <is>
          <t>N/A</t>
        </is>
      </c>
      <c r="BG468" s="74" t="inlineStr">
        <is>
          <t>CITIC Securities (Hong Kong) Limited</t>
        </is>
      </c>
      <c r="BH468" s="62" t="inlineStr">
        <is>
          <t>CITIC Securities (Hong Kong) Limited</t>
        </is>
      </c>
      <c r="BI468" s="62" t="inlineStr">
        <is>
          <t>Hong Tai Securities Limited; Futu Securities International (Hong Kong) Limited; CEB International Capital Corporation Limited; uSmart Securities Limited; Quam Securities Limited; Lego Securities Limited; Patrons Securities Limited; SBI China Capital Financial Services Limited; CLSA Limited; BOCOM International Securities Limited; DBS Asia Capital Limited; China Galaxy International Securities (Hong Kong) Co., Limited</t>
        </is>
      </c>
      <c r="BJ468" s="62" t="inlineStr">
        <is>
          <t>BOCOM International Securities Limited; CEB International Capital Corporation Limited; China Galaxy International Securities (Hong Kong) Company Limited; CLSA Limited; CNCB (Hong Kong) Capital Limited; DBS Asia Capital Limited; Futu Securities International (Hong Kong) Limited; Hong Tai Securities Limited; Lego Securities Limited; Patrons Securities Limited; Quam Securities Limited; SBI China Capital Financial Services Limited</t>
        </is>
      </c>
      <c r="BK468" s="76">
        <f>HYPERLINK("https://www1.hkexnews.hk/listedco/listconews/sehk/2026/0512/2026051200147.pdf","prospectus")</f>
        <v/>
      </c>
      <c r="BL468" s="76">
        <f>HYPERLINK("https://www1.hkexnews.hk/listedco/listconews/sehk/2026/0519/2026051901257.pdf","allotment")</f>
        <v/>
      </c>
      <c r="BM468" s="62" t="n"/>
      <c r="BN468" s="74" t="n"/>
      <c r="BO468" s="62"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t>
        </is>
      </c>
    </row>
    <row r="469" ht="15" customHeight="1">
      <c r="A469" s="61" t="inlineStr">
        <is>
          <t>7688</t>
        </is>
      </c>
      <c r="B469" s="62" t="inlineStr">
        <is>
          <t>TOPNC</t>
        </is>
      </c>
      <c r="C469" s="62" t="inlineStr">
        <is>
          <t>拓璞數控</t>
        </is>
      </c>
      <c r="D469" s="62" t="inlineStr">
        <is>
          <t>Industrials</t>
        </is>
      </c>
      <c r="E469" s="62" t="inlineStr">
        <is>
          <t>Capital goods / machinery</t>
        </is>
      </c>
      <c r="F469" s="62" t="inlineStr">
        <is>
          <t>Electrical Components &amp; Equipment</t>
        </is>
      </c>
      <c r="G469" s="62" t="inlineStr">
        <is>
          <t>Standard</t>
        </is>
      </c>
      <c r="H469" s="63" t="n">
        <v>46162</v>
      </c>
      <c r="I469" s="64" t="n">
        <v>1724</v>
      </c>
      <c r="J469" s="62" t="inlineStr">
        <is>
          <t>gross (stated)</t>
        </is>
      </c>
      <c r="K469" s="65" t="n"/>
      <c r="L469" s="65" t="n">
        <v>26.39</v>
      </c>
      <c r="M469" s="65" t="n">
        <v>26.39</v>
      </c>
      <c r="N469" s="62" t="inlineStr">
        <is>
          <t>Y</t>
        </is>
      </c>
      <c r="O469" s="66" t="n">
        <v>100</v>
      </c>
      <c r="P469" s="66" t="n"/>
      <c r="Q469" s="67" t="n">
        <v>9631.299999999999</v>
      </c>
      <c r="R469" s="62" t="inlineStr">
        <is>
          <t>derived:deal size / offer % of enlarged capital</t>
        </is>
      </c>
      <c r="S469" s="68" t="n">
        <v>3764.63</v>
      </c>
      <c r="T469" s="69" t="n">
        <v>30.46</v>
      </c>
      <c r="U469" s="70" t="n">
        <v>50</v>
      </c>
      <c r="V469" s="66" t="n">
        <v>8.949999999999999</v>
      </c>
      <c r="W469" s="62" t="inlineStr">
        <is>
          <t>3W Fund Management Limited; Boyu Capital Management (Singapore) Pte. Ltd; CDH Global Frontier Ventures Limited; China Asset Management (Hong Kong) Limited; Fullgoal Asset Management (HK) Limited; Fullgoal Fund Management Co., Ltd; Goldman Sachs Asset Management (Hong Kong) Limited; HHLRA Advisors, Ltd; Mirae Asset Securities (HK) Limited; RBC China Equity Fund; Shanghai Minhang Financial Investment Development Co., Ltd; UBS Asset Management (Singapore) Ltd</t>
        </is>
      </c>
      <c r="X469" s="62" t="inlineStr">
        <is>
          <t>3w;boyu;cdh;china-asset;fullgoal;goldman;hhlra;mirae;rbc;shanghai-minhang;ubs</t>
        </is>
      </c>
      <c r="Y469" s="66" t="n">
        <v>15</v>
      </c>
      <c r="Z469" s="62" t="inlineStr">
        <is>
          <t>full</t>
        </is>
      </c>
      <c r="AA469" s="71" t="n">
        <v>79.98999999999999</v>
      </c>
      <c r="AB469" s="72" t="n">
        <v>40.2</v>
      </c>
      <c r="AC469" s="72" t="n">
        <v>28.38</v>
      </c>
      <c r="AD469" s="72" t="n">
        <v>35.66</v>
      </c>
      <c r="AE469" s="72" t="n">
        <v>11.25</v>
      </c>
      <c r="AF469" s="72" t="n">
        <v>-38.8</v>
      </c>
      <c r="AG469" s="72" t="n">
        <v>-24.63</v>
      </c>
      <c r="AH469" s="72" t="n">
        <v>-38.19</v>
      </c>
      <c r="AI469" s="72" t="n">
        <v>-66</v>
      </c>
      <c r="AJ469" s="72" t="n">
        <v>39.23</v>
      </c>
      <c r="AK469" s="72" t="n">
        <v>21.16</v>
      </c>
      <c r="AL469" s="72" t="n">
        <v>-37.74</v>
      </c>
      <c r="AM469" s="72" t="n">
        <v>-28.59</v>
      </c>
      <c r="AN469" s="72" t="n">
        <v>-9.91</v>
      </c>
      <c r="AO469" s="72" t="n">
        <v>-9.6</v>
      </c>
      <c r="AP469" s="62" t="inlineStr">
        <is>
          <t>Hang Seng Commerce &amp; Industry sub-index</t>
        </is>
      </c>
      <c r="AQ469" s="72" t="n">
        <v>-38.8</v>
      </c>
      <c r="AR469" s="63" t="inlineStr">
        <is>
          <t>2026-08-20</t>
        </is>
      </c>
      <c r="AS469" s="64" t="n">
        <v>635.8</v>
      </c>
      <c r="AT469" s="67" t="n"/>
      <c r="AU469" s="62" t="inlineStr">
        <is>
          <t>Y</t>
        </is>
      </c>
      <c r="AV469" s="77">
        <f>IF('BBG Verify'!O469="","not filed — run on terminal",'BBG Verify'!O469)</f>
        <v/>
      </c>
      <c r="AW469" s="73" t="n"/>
      <c r="AX469" s="73" t="n"/>
      <c r="AY469" s="73" t="n">
        <v>15.1</v>
      </c>
      <c r="AZ469" s="74" t="inlineStr">
        <is>
          <t>N</t>
        </is>
      </c>
      <c r="BA469" s="75">
        <f>IF('BBG Verify'!K469="","not filed — run on terminal",'BBG Verify'!K469)</f>
        <v/>
      </c>
      <c r="BB469" s="62" t="inlineStr">
        <is>
          <t>N/A</t>
        </is>
      </c>
      <c r="BC469" s="62" t="inlineStr">
        <is>
          <t>N/A</t>
        </is>
      </c>
      <c r="BD469" s="62" t="inlineStr">
        <is>
          <t>N/A</t>
        </is>
      </c>
      <c r="BE469" s="62" t="inlineStr">
        <is>
          <t>N/A</t>
        </is>
      </c>
      <c r="BF469" s="62" t="inlineStr">
        <is>
          <t>N/A</t>
        </is>
      </c>
      <c r="BG469" s="74" t="inlineStr">
        <is>
          <t>Guotai Junan Capital Limited; CCB International Capital Limited</t>
        </is>
      </c>
      <c r="BH469" s="62" t="inlineStr">
        <is>
          <t>CCB International Capital Limited; Guotai Junan Capital Limited</t>
        </is>
      </c>
      <c r="BI469" s="62" t="inlineStr">
        <is>
          <t>Guotai Junan Securities (Hong Kong) Limited; CCB International Capital Limited; SBI China Capital Financial Services Limited; BOCI Asia Limited; Central, Hong Kong CMB International Capital Limited</t>
        </is>
      </c>
      <c r="BJ469" s="62" t="inlineStr">
        <is>
          <t>BOCI Asia Limited; CCB International Capital Limited; CMB International Capital Limited; Guotai Junan Securities (Hong Kong) Limited; SBI China Capital Financial Services Limited</t>
        </is>
      </c>
      <c r="BK469" s="76">
        <f>HYPERLINK("https://www1.hkexnews.hk/listedco/listconews/sehk/2026/0512/2026051200017.pdf","prospectus")</f>
        <v/>
      </c>
      <c r="BL469" s="76">
        <f>HYPERLINK("https://www1.hkexnews.hk/listedco/listconews/sehk/2026/0519/2026051901261.pdf","allotment")</f>
        <v/>
      </c>
      <c r="BM469" s="76">
        <f>HYPERLINK("https://www1.hkexnews.hk/listedco/listconews/sehk/2026/0614/2026061400165.pdf","stabilisation")</f>
        <v/>
      </c>
      <c r="BN469" s="74" t="n"/>
      <c r="BO469" s="62" t="inlineStr">
        <is>
          <t>P/E: withheld — mktcap / net income gives 32,104x, which fails the 300x plausibility check; the extracted net income (HK$0.3m) is not trustworthy · range low: cap-only pricing — the filing publishes a Maximum Offer Price and no indicative floor · A/H: no A-share listing · financials: financial tables not machine-extractable and the pre-IPO year is outside AAStocks' 5-year window</t>
        </is>
      </c>
    </row>
    <row r="470" ht="15" customHeight="1">
      <c r="A470" s="61" t="inlineStr">
        <is>
          <t>6872</t>
        </is>
      </c>
      <c r="B470" s="62" t="inlineStr">
        <is>
          <t>TENNOR THERAP-B</t>
        </is>
      </c>
      <c r="C470" s="62" t="inlineStr">
        <is>
          <t>丹諾醫藥－B</t>
        </is>
      </c>
      <c r="D470" s="62" t="inlineStr">
        <is>
          <t>Healthcare</t>
        </is>
      </c>
      <c r="E470" s="62" t="inlineStr">
        <is>
          <t>Biotech pre-revenue (18A)</t>
        </is>
      </c>
      <c r="F470" s="62" t="inlineStr">
        <is>
          <t>Pharmaceuticals</t>
        </is>
      </c>
      <c r="G470" s="62" t="inlineStr">
        <is>
          <t>18A</t>
        </is>
      </c>
      <c r="H470" s="63" t="n">
        <v>46164</v>
      </c>
      <c r="I470" s="64" t="n">
        <v>670.4</v>
      </c>
      <c r="J470" s="62" t="inlineStr">
        <is>
          <t>gross (stated)</t>
        </is>
      </c>
      <c r="K470" s="65" t="n"/>
      <c r="L470" s="65" t="n">
        <v>75.7</v>
      </c>
      <c r="M470" s="65" t="n">
        <v>75.7</v>
      </c>
      <c r="N470" s="62" t="inlineStr">
        <is>
          <t>Y</t>
        </is>
      </c>
      <c r="O470" s="66" t="n">
        <v>100</v>
      </c>
      <c r="P470" s="66" t="n"/>
      <c r="Q470" s="67" t="n">
        <v>3961.3</v>
      </c>
      <c r="R470" s="62" t="inlineStr">
        <is>
          <t>derived:price x shares upon listing</t>
        </is>
      </c>
      <c r="S470" s="68" t="n">
        <v>9015.110000000001</v>
      </c>
      <c r="T470" s="69" t="n">
        <v>9.24</v>
      </c>
      <c r="U470" s="70" t="n">
        <v>34.81</v>
      </c>
      <c r="V470" s="66" t="n">
        <v>11.03</v>
      </c>
      <c r="W470" s="62" t="inlineStr">
        <is>
          <t>AMR Action Fund, L.P; AMR Action Fund, SCSp; Hua Yuan International Limited; June Star Global Limited; Orient Asset Management (Hong Kong) Limited</t>
        </is>
      </c>
      <c r="X470" s="62" t="inlineStr">
        <is>
          <t>amr;hua;june;orient</t>
        </is>
      </c>
      <c r="Y470" s="66" t="n">
        <v>5.5</v>
      </c>
      <c r="Z470" s="62" t="n"/>
      <c r="AA470" s="71" t="n">
        <v>178.73</v>
      </c>
      <c r="AB470" s="72" t="n">
        <v>98.15000000000001</v>
      </c>
      <c r="AC470" s="72" t="n">
        <v>40.67</v>
      </c>
      <c r="AD470" s="72" t="n">
        <v>166.84</v>
      </c>
      <c r="AE470" s="72" t="n">
        <v>248.22</v>
      </c>
      <c r="AF470" s="72" t="n">
        <v>164.99</v>
      </c>
      <c r="AG470" s="72" t="n">
        <v>-4.27</v>
      </c>
      <c r="AH470" s="72" t="n">
        <v>24.93</v>
      </c>
      <c r="AI470" s="72" t="n">
        <v>-4.93</v>
      </c>
      <c r="AJ470" s="72" t="n">
        <v>169.52</v>
      </c>
      <c r="AK470" s="72" t="n">
        <v>256.1</v>
      </c>
      <c r="AL470" s="72" t="n"/>
      <c r="AM470" s="72" t="n">
        <v>31.94</v>
      </c>
      <c r="AN470" s="72" t="n">
        <v>-7.88</v>
      </c>
      <c r="AO470" s="72" t="n">
        <v>-7.01</v>
      </c>
      <c r="AP470" s="62" t="inlineStr">
        <is>
          <t>China Biotech ETF (HS biotech proxy)</t>
        </is>
      </c>
      <c r="AQ470" s="72" t="n">
        <v>153.63</v>
      </c>
      <c r="AR470" s="63" t="inlineStr">
        <is>
          <t>2026-08-20</t>
        </is>
      </c>
      <c r="AS470" s="64" t="n">
        <v>0</v>
      </c>
      <c r="AT470" s="67" t="n">
        <v>-168.5</v>
      </c>
      <c r="AU470" s="62" t="inlineStr">
        <is>
          <t>N</t>
        </is>
      </c>
      <c r="AV470" s="62" t="inlineStr">
        <is>
          <t>n/m</t>
        </is>
      </c>
      <c r="AW470" s="73" t="n"/>
      <c r="AX470" s="73" t="n"/>
      <c r="AY470" s="62" t="inlineStr">
        <is>
          <t>pre-rev</t>
        </is>
      </c>
      <c r="AZ470" s="74" t="inlineStr">
        <is>
          <t>N</t>
        </is>
      </c>
      <c r="BA470" s="75">
        <f>IF('BBG Verify'!K470="","not filed — run on terminal",'BBG Verify'!K470)</f>
        <v/>
      </c>
      <c r="BB470" s="62" t="inlineStr">
        <is>
          <t>N/A</t>
        </is>
      </c>
      <c r="BC470" s="62" t="inlineStr">
        <is>
          <t>N/A</t>
        </is>
      </c>
      <c r="BD470" s="62" t="inlineStr">
        <is>
          <t>N/A</t>
        </is>
      </c>
      <c r="BE470" s="62" t="inlineStr">
        <is>
          <t>N/A</t>
        </is>
      </c>
      <c r="BF470" s="62" t="inlineStr">
        <is>
          <t>N/A</t>
        </is>
      </c>
      <c r="BG470" s="74" t="inlineStr">
        <is>
          <t>CITIC Securities (Hong Kong) Limited; ABCI Capital Limited</t>
        </is>
      </c>
      <c r="BH470" s="62" t="inlineStr">
        <is>
          <t>CITIC Securities (Hong Kong) Limited; ABCI Capital Limited</t>
        </is>
      </c>
      <c r="BI470" s="62" t="inlineStr">
        <is>
          <t>CLSA Limited; ABCI Capital Limited; China Renaissance Securities (Hong Kong) Limited</t>
        </is>
      </c>
      <c r="BJ470" s="62" t="inlineStr">
        <is>
          <t>ABCI Securities Company Limited; CLSA Limited; China Renaissance Securities (Hong Kong) Limited; Futu Securities International (Hong Kong) Limited; Tiger Brokers (HK) Global Limited</t>
        </is>
      </c>
      <c r="BK470" s="76">
        <f>HYPERLINK("https://www1.hkexnews.hk/listedco/listconews/sehk/2026/0514/2026051400013.pdf","prospectus")</f>
        <v/>
      </c>
      <c r="BL470" s="76">
        <f>HYPERLINK("https://www1.hkexnews.hk/listedco/listconews/sehk/2026/0521/2026052101298.pdf","allotment")</f>
        <v/>
      </c>
      <c r="BM470" s="62" t="n"/>
      <c r="BN470" s="74" t="n"/>
      <c r="BO470" s="62" t="inlineStr">
        <is>
          <t>P/E: n/m — loss-making at IPO (use P/S) · greenshoe: end-of-stabilisation notice not located · range low: cap-only pricing — the filing publishes a Maximum Offer Price and no indicative floor · A/H: no A-share listing · P/S: no revenue line in the filed P&amp;L (pre-revenue issuer) — no sales multiple can exist; the cell reads pre-rev, not blank · alpha/index: 3m return is on file but the sector index had no bar for that window</t>
        </is>
      </c>
    </row>
    <row r="471" ht="15" customHeight="1">
      <c r="A471" s="61" t="inlineStr">
        <is>
          <t>3310</t>
        </is>
      </c>
      <c r="B471" s="62" t="inlineStr">
        <is>
          <t>VIEWTRIX TECH</t>
        </is>
      </c>
      <c r="C471" s="62" t="inlineStr">
        <is>
          <t>雲英谷科技</t>
        </is>
      </c>
      <c r="D471" s="62" t="inlineStr">
        <is>
          <t>Tech/AI</t>
        </is>
      </c>
      <c r="E471" s="62" t="inlineStr">
        <is>
          <t>AI chips &amp; semis</t>
        </is>
      </c>
      <c r="F471" s="62" t="inlineStr">
        <is>
          <t>Semiconductors &amp; Semiconductor Equipment</t>
        </is>
      </c>
      <c r="G471" s="62" t="inlineStr">
        <is>
          <t>Standard</t>
        </is>
      </c>
      <c r="H471" s="63" t="n">
        <v>46169</v>
      </c>
      <c r="I471" s="64" t="n">
        <v>1100</v>
      </c>
      <c r="J471" s="62" t="inlineStr">
        <is>
          <t>gross (stated)</t>
        </is>
      </c>
      <c r="K471" s="65" t="n"/>
      <c r="L471" s="65" t="n">
        <v>20.81</v>
      </c>
      <c r="M471" s="65" t="n">
        <v>20.81</v>
      </c>
      <c r="N471" s="62" t="inlineStr">
        <is>
          <t>Y</t>
        </is>
      </c>
      <c r="O471" s="66" t="n">
        <v>100</v>
      </c>
      <c r="P471" s="66" t="n"/>
      <c r="Q471" s="67" t="n">
        <v>7857.1</v>
      </c>
      <c r="R471" s="62" t="inlineStr">
        <is>
          <t>derived:deal size / offer % of enlarged capital</t>
        </is>
      </c>
      <c r="S471" s="68" t="n">
        <v>3559.68</v>
      </c>
      <c r="T471" s="69" t="n">
        <v>7.05</v>
      </c>
      <c r="U471" s="70" t="n">
        <v>35.37</v>
      </c>
      <c r="V471" s="66" t="n">
        <v>9.050000000000001</v>
      </c>
      <c r="W471" s="62" t="inlineStr">
        <is>
          <t>Digital Vista GD Investment LP; SpreadCom Limited</t>
        </is>
      </c>
      <c r="X471" s="62" t="inlineStr">
        <is>
          <t>digital;spreadcom</t>
        </is>
      </c>
      <c r="Y471" s="66" t="n">
        <v>15</v>
      </c>
      <c r="Z471" s="62" t="inlineStr">
        <is>
          <t>full</t>
        </is>
      </c>
      <c r="AA471" s="71" t="n">
        <v>91.73</v>
      </c>
      <c r="AB471" s="72" t="n">
        <v>22.44</v>
      </c>
      <c r="AC471" s="72" t="n">
        <v>56.59</v>
      </c>
      <c r="AD471" s="72" t="n">
        <v>66.94</v>
      </c>
      <c r="AE471" s="72" t="n">
        <v>60.98</v>
      </c>
      <c r="AF471" s="72" t="n"/>
      <c r="AG471" s="72" t="n">
        <v>-12.93</v>
      </c>
      <c r="AH471" s="72" t="n">
        <v>-16.04</v>
      </c>
      <c r="AI471" s="72" t="n"/>
      <c r="AJ471" s="72" t="n">
        <v>64.67</v>
      </c>
      <c r="AK471" s="72" t="n">
        <v>74.62</v>
      </c>
      <c r="AL471" s="72" t="n"/>
      <c r="AM471" s="72" t="n">
        <v>-3.09</v>
      </c>
      <c r="AN471" s="72" t="n">
        <v>-13.64</v>
      </c>
      <c r="AO471" s="72" t="n">
        <v>-12.95</v>
      </c>
      <c r="AP471" s="62" t="inlineStr">
        <is>
          <t>HSTECH (Hang Seng TECH ETF)</t>
        </is>
      </c>
      <c r="AQ471" s="72" t="n">
        <v>34.45</v>
      </c>
      <c r="AR471" s="63" t="inlineStr">
        <is>
          <t>2026-08-20</t>
        </is>
      </c>
      <c r="AS471" s="64" t="n">
        <v>980.4</v>
      </c>
      <c r="AT471" s="67" t="n">
        <v>-253.4</v>
      </c>
      <c r="AU471" s="62" t="inlineStr">
        <is>
          <t>N</t>
        </is>
      </c>
      <c r="AV471" s="62" t="inlineStr">
        <is>
          <t>n/m</t>
        </is>
      </c>
      <c r="AW471" s="73" t="n"/>
      <c r="AX471" s="73" t="n"/>
      <c r="AY471" s="73" t="n">
        <v>8</v>
      </c>
      <c r="AZ471" s="74" t="inlineStr">
        <is>
          <t>N</t>
        </is>
      </c>
      <c r="BA471" s="75">
        <f>IF('BBG Verify'!K471="","not filed — run on terminal",'BBG Verify'!K471)</f>
        <v/>
      </c>
      <c r="BB471" s="62" t="inlineStr">
        <is>
          <t>N/A</t>
        </is>
      </c>
      <c r="BC471" s="62" t="inlineStr">
        <is>
          <t>N/A</t>
        </is>
      </c>
      <c r="BD471" s="62" t="inlineStr">
        <is>
          <t>N/A</t>
        </is>
      </c>
      <c r="BE471" s="62" t="inlineStr">
        <is>
          <t>N/A</t>
        </is>
      </c>
      <c r="BF471" s="62" t="inlineStr">
        <is>
          <t>N/A</t>
        </is>
      </c>
      <c r="BG471" s="74" t="inlineStr">
        <is>
          <t>China International Capital Corporation Hong Kong Securities Limited; CITIC Securities (Hong Kong) Limited</t>
        </is>
      </c>
      <c r="BH471" s="62" t="inlineStr">
        <is>
          <t>China International Capital Corporation Hong Kong Securities Limited; CITIC Securities (Hong Kong) Limited</t>
        </is>
      </c>
      <c r="BI471" s="62" t="inlineStr">
        <is>
          <t>CLSA Limited; GF Securities (Hong Kong) Brokerage Limited; A VICT Global Asset Management Limited; Webull Securities Limited</t>
        </is>
      </c>
      <c r="BJ471" s="62" t="inlineStr">
        <is>
          <t>AVICT Global Asset Management Limited; China International Capital Corporation Hong Kong Securities Limited; CLSA Limited; GF Securities (Hong Kong) Brokerage Limited; Webull Securities Limited</t>
        </is>
      </c>
      <c r="BK471" s="76">
        <f>HYPERLINK("https://www1.hkexnews.hk/listedco/listconews/sehk/2026/0518/2026051800021.pdf","prospectus")</f>
        <v/>
      </c>
      <c r="BL471" s="76">
        <f>HYPERLINK("https://www1.hkexnews.hk/listedco/listconews/sehk/2026/0526/2026052601908.pdf","allotment")</f>
        <v/>
      </c>
      <c r="BM471" s="76">
        <f>HYPERLINK("https://www1.hkexnews.hk/listedco/listconews/sehk/2026/0621/2026062100023.pdf","stabilisation")</f>
        <v/>
      </c>
      <c r="BN471" s="74" t="n"/>
      <c r="BO471" s="62" t="inlineStr">
        <is>
          <t>P/E: n/m — loss-making at IPO (use P/S) · range low: cap-only pricing — the filing publishes a Maximum Offer Price and no indicative floor · A/H: no A-share listing · 3m: listed less than 3m ago · alpha/index: 3m alpha needs the 3m return first — window has not elapsed yet</t>
        </is>
      </c>
    </row>
    <row r="472" ht="15" customHeight="1">
      <c r="A472" s="61" t="inlineStr">
        <is>
          <t>2723</t>
        </is>
      </c>
      <c r="B472" s="62" t="inlineStr">
        <is>
          <t>DEEPZERO</t>
        </is>
      </c>
      <c r="C472" s="62" t="inlineStr">
        <is>
          <t>深演智能</t>
        </is>
      </c>
      <c r="D472" s="62" t="inlineStr">
        <is>
          <t>Tech/AI</t>
        </is>
      </c>
      <c r="E472" s="62" t="inlineStr">
        <is>
          <t>AI application / agent software</t>
        </is>
      </c>
      <c r="F472" s="62" t="inlineStr">
        <is>
          <t>Next-generation information technology</t>
        </is>
      </c>
      <c r="G472" s="62" t="inlineStr">
        <is>
          <t>Standard</t>
        </is>
      </c>
      <c r="H472" s="63" t="n">
        <v>46169</v>
      </c>
      <c r="I472" s="64" t="n">
        <v>503.3</v>
      </c>
      <c r="J472" s="62" t="inlineStr">
        <is>
          <t>gross (stated)</t>
        </is>
      </c>
      <c r="K472" s="65" t="n">
        <v>43.5</v>
      </c>
      <c r="L472" s="65" t="n">
        <v>55.5</v>
      </c>
      <c r="M472" s="65" t="n">
        <v>55.5</v>
      </c>
      <c r="N472" s="62" t="inlineStr">
        <is>
          <t>Y</t>
        </is>
      </c>
      <c r="O472" s="66" t="n">
        <v>100</v>
      </c>
      <c r="P472" s="66" t="n">
        <v>100</v>
      </c>
      <c r="Q472" s="67" t="n">
        <v>5032.7</v>
      </c>
      <c r="R472" s="62" t="inlineStr">
        <is>
          <t>derived:price x shares upon listing</t>
        </is>
      </c>
      <c r="S472" s="68" t="n">
        <v>5480.23</v>
      </c>
      <c r="T472" s="69" t="n">
        <v>3.41</v>
      </c>
      <c r="U472" s="70" t="n">
        <v>0</v>
      </c>
      <c r="V472" s="66" t="n">
        <v>10</v>
      </c>
      <c r="W472" s="62" t="n"/>
      <c r="X472" s="62" t="n"/>
      <c r="Y472" s="66" t="n"/>
      <c r="Z472" s="62" t="n"/>
      <c r="AA472" s="71" t="n">
        <v>265.77</v>
      </c>
      <c r="AB472" s="72" t="n">
        <v>179.28</v>
      </c>
      <c r="AC472" s="72" t="n">
        <v>30.97</v>
      </c>
      <c r="AD472" s="72" t="n">
        <v>543.24</v>
      </c>
      <c r="AE472" s="72" t="n">
        <v>484.14</v>
      </c>
      <c r="AF472" s="72" t="n"/>
      <c r="AG472" s="72" t="n">
        <v>75.86</v>
      </c>
      <c r="AH472" s="72" t="n">
        <v>59.7</v>
      </c>
      <c r="AI472" s="72" t="n"/>
      <c r="AJ472" s="72" t="n">
        <v>540.97</v>
      </c>
      <c r="AK472" s="72" t="n">
        <v>497.78</v>
      </c>
      <c r="AL472" s="72" t="n"/>
      <c r="AM472" s="72" t="n">
        <v>72.65000000000001</v>
      </c>
      <c r="AN472" s="72" t="n">
        <v>-13.64</v>
      </c>
      <c r="AO472" s="72" t="n">
        <v>-12.95</v>
      </c>
      <c r="AP472" s="62" t="inlineStr">
        <is>
          <t>HSTECH (Hang Seng TECH ETF)</t>
        </is>
      </c>
      <c r="AQ472" s="72" t="n">
        <v>998.2</v>
      </c>
      <c r="AR472" s="63" t="inlineStr">
        <is>
          <t>2026-08-20</t>
        </is>
      </c>
      <c r="AS472" s="64" t="n">
        <v>634.2</v>
      </c>
      <c r="AT472" s="67" t="n"/>
      <c r="AU472" s="62" t="inlineStr">
        <is>
          <t>Y</t>
        </is>
      </c>
      <c r="AV472" s="77">
        <f>IF('BBG Verify'!O472="","not filed — run on terminal",'BBG Verify'!O472)</f>
        <v/>
      </c>
      <c r="AW472" s="73" t="n"/>
      <c r="AX472" s="73" t="n">
        <v>4730.6</v>
      </c>
      <c r="AY472" s="73" t="n">
        <v>7.9</v>
      </c>
      <c r="AZ472" s="74" t="inlineStr">
        <is>
          <t>N</t>
        </is>
      </c>
      <c r="BA472" s="75">
        <f>IF('BBG Verify'!K472="","not filed — run on terminal",'BBG Verify'!K472)</f>
        <v/>
      </c>
      <c r="BB472" s="62" t="inlineStr">
        <is>
          <t>N/A</t>
        </is>
      </c>
      <c r="BC472" s="62" t="inlineStr">
        <is>
          <t>N/A</t>
        </is>
      </c>
      <c r="BD472" s="62" t="inlineStr">
        <is>
          <t>N/A</t>
        </is>
      </c>
      <c r="BE472" s="62" t="inlineStr">
        <is>
          <t>N/A</t>
        </is>
      </c>
      <c r="BF472" s="62" t="inlineStr">
        <is>
          <t>N/A</t>
        </is>
      </c>
      <c r="BG472" s="74" t="inlineStr">
        <is>
          <t>ICBC International Capital Limited</t>
        </is>
      </c>
      <c r="BH472" s="62" t="inlineStr">
        <is>
          <t>ICBC International Capital Limited</t>
        </is>
      </c>
      <c r="BI472" s="62" t="inlineStr">
        <is>
          <t>ICBC International Securities Limited; CCB International Capital Limited; BOCOM International Securities Limited; Victory Securities Company Limited; Guolian Securities International Capital Co., Limited; Zhongtai International Securities Limited; Futu Securities International (Hong Kong) Limited; Tiger Brokers (HK) Global Limited; Yuen Meta (International) Securities Limited; South China Securities Limited</t>
        </is>
      </c>
      <c r="BJ472" s="62" t="inlineStr">
        <is>
          <t>BOCOM International Securities Limited; CCB International Capital Limited; Futu Securities International (Hong Kong) Limited; Get Nice Securities Limited; Guolian Securities International Capital Market Co., Limited; ICBC International Securities Limited; South China Securities Limited; Tiger Brokers (HK) Global Limited; Victory Securities Company Limited; Yuen Meta (International) Securities Limited; Zhongtai International Securities Limited</t>
        </is>
      </c>
      <c r="BK472" s="76">
        <f>HYPERLINK("https://www1.hkexnews.hk/listedco/listconews/sehk/2026/0518/2026051800023.pdf","prospectus")</f>
        <v/>
      </c>
      <c r="BL472" s="76">
        <f>HYPERLINK("https://www1.hkexnews.hk/listedco/listconews/sehk/2026/0526/2026052602298.pdf","allotment")</f>
        <v/>
      </c>
      <c r="BM472" s="62" t="n"/>
      <c r="BN472" s="74" t="n"/>
      <c r="BO472" s="62" t="inlineStr">
        <is>
          <t>P/E: withheld — mktcap / net income gives 498x, which fails the 300x plausibility check; the extracted net income (HK$10.1m) is not trustworthy · greenshoe: no over-allotment option in the offer structure · A/H: no A-share listing · 3m: listed less than 3m ago · cornerstone list: no cornerstone tranche in this deal · greenshoe size: no over-allotment option in the offer structure · financials: financial tables not machine-extractable and the pre-IPO year is outside AAStocks' 5-year window · alpha/index: 3m alpha needs the 3m return first — window has not elapsed yet</t>
        </is>
      </c>
    </row>
    <row r="473" ht="15" customHeight="1">
      <c r="A473" s="61" t="inlineStr">
        <is>
          <t>0901</t>
        </is>
      </c>
      <c r="B473" s="62" t="inlineStr">
        <is>
          <t>SDMC</t>
        </is>
      </c>
      <c r="C473" s="62" t="inlineStr">
        <is>
          <t>華曦達</t>
        </is>
      </c>
      <c r="D473" s="62" t="inlineStr">
        <is>
          <t>Tech/AI</t>
        </is>
      </c>
      <c r="E473" s="62" t="inlineStr">
        <is>
          <t>Smart hardware / consumer electronics</t>
        </is>
      </c>
      <c r="F473" s="62" t="inlineStr">
        <is>
          <t>Advanced hardware and software</t>
        </is>
      </c>
      <c r="G473" s="62" t="inlineStr">
        <is>
          <t>Standard</t>
        </is>
      </c>
      <c r="H473" s="63" t="n">
        <v>46169</v>
      </c>
      <c r="I473" s="64" t="n">
        <v>630</v>
      </c>
      <c r="J473" s="62" t="inlineStr">
        <is>
          <t>gross (price x shares)</t>
        </is>
      </c>
      <c r="K473" s="65" t="n"/>
      <c r="L473" s="65" t="n">
        <v>32.8</v>
      </c>
      <c r="M473" s="65" t="n">
        <v>32.8</v>
      </c>
      <c r="N473" s="62" t="inlineStr">
        <is>
          <t>Y</t>
        </is>
      </c>
      <c r="O473" s="66" t="n">
        <v>100</v>
      </c>
      <c r="P473" s="66" t="n"/>
      <c r="Q473" s="67" t="n">
        <v>6872.9</v>
      </c>
      <c r="R473" s="62" t="inlineStr">
        <is>
          <t>prospectus:stated market capitalisation</t>
        </is>
      </c>
      <c r="S473" s="68" t="n">
        <v>1972</v>
      </c>
      <c r="T473" s="78">
        <f>IF('BBG Verify'!E473="","not filed — run on terminal",'BBG Verify'!E473)</f>
        <v/>
      </c>
      <c r="U473" s="70" t="n">
        <v>0</v>
      </c>
      <c r="V473" s="66" t="n">
        <v>9.17</v>
      </c>
      <c r="W473" s="62" t="n"/>
      <c r="X473" s="62" t="n"/>
      <c r="Y473" s="66" t="n">
        <v>15</v>
      </c>
      <c r="Z473" s="62" t="n"/>
      <c r="AA473" s="71" t="n">
        <v>86.59</v>
      </c>
      <c r="AB473" s="72" t="n">
        <v>100.61</v>
      </c>
      <c r="AC473" s="72" t="n">
        <v>-6.99</v>
      </c>
      <c r="AD473" s="72" t="n">
        <v>104.57</v>
      </c>
      <c r="AE473" s="72" t="n">
        <v>96.19</v>
      </c>
      <c r="AF473" s="72" t="n"/>
      <c r="AG473" s="72" t="n">
        <v>9.640000000000001</v>
      </c>
      <c r="AH473" s="72" t="n">
        <v>5.14</v>
      </c>
      <c r="AI473" s="72" t="n"/>
      <c r="AJ473" s="72" t="n">
        <v>102.3</v>
      </c>
      <c r="AK473" s="72" t="n">
        <v>109.83</v>
      </c>
      <c r="AL473" s="72" t="n"/>
      <c r="AM473" s="72" t="n">
        <v>18.09</v>
      </c>
      <c r="AN473" s="72" t="n">
        <v>-13.64</v>
      </c>
      <c r="AO473" s="72" t="n">
        <v>-12.95</v>
      </c>
      <c r="AP473" s="62" t="inlineStr">
        <is>
          <t>HSTECH (Hang Seng TECH ETF)</t>
        </is>
      </c>
      <c r="AQ473" s="72" t="n">
        <v>150.3</v>
      </c>
      <c r="AR473" s="63" t="inlineStr">
        <is>
          <t>2026-08-20</t>
        </is>
      </c>
      <c r="AS473" s="64" t="n">
        <v>3704.4</v>
      </c>
      <c r="AT473" s="67" t="n">
        <v>263.1</v>
      </c>
      <c r="AU473" s="62" t="inlineStr">
        <is>
          <t>Y</t>
        </is>
      </c>
      <c r="AV473" s="73" t="n">
        <v>26.1</v>
      </c>
      <c r="AW473" s="73" t="n"/>
      <c r="AX473" s="73" t="n"/>
      <c r="AY473" s="73" t="n">
        <v>1.9</v>
      </c>
      <c r="AZ473" s="74" t="inlineStr">
        <is>
          <t>N</t>
        </is>
      </c>
      <c r="BA473" s="75">
        <f>IF('BBG Verify'!K473="","not filed — run on terminal",'BBG Verify'!K473)</f>
        <v/>
      </c>
      <c r="BB473" s="62" t="inlineStr">
        <is>
          <t>N/A</t>
        </is>
      </c>
      <c r="BC473" s="62" t="inlineStr">
        <is>
          <t>N/A</t>
        </is>
      </c>
      <c r="BD473" s="62" t="inlineStr">
        <is>
          <t>N/A</t>
        </is>
      </c>
      <c r="BE473" s="62" t="inlineStr">
        <is>
          <t>N/A</t>
        </is>
      </c>
      <c r="BF473" s="62" t="inlineStr">
        <is>
          <t>N/A</t>
        </is>
      </c>
      <c r="BG473" s="74" t="n"/>
      <c r="BH473" s="62" t="inlineStr">
        <is>
          <t>China Securities (International) Corporate Finance Company Limited</t>
        </is>
      </c>
      <c r="BI473" s="62" t="inlineStr">
        <is>
          <t>China Securities (International) Corporate Finance Company Limited; CMB International Capital Limited; CCB International Capital Limited; ABCI Capital Limited; CNCB (Hong Kong) Capital Limited; Get Nice Securities Limited; Forthright Securities Company Limited; DIRECTORS AND P ARTIES INVOLVED IN THE GLOBAL OFFERING Roofer Securities Limited</t>
        </is>
      </c>
      <c r="BJ473" s="62" t="inlineStr">
        <is>
          <t>ABCI Securities Company Limited; CCB International Capital Limited; CMB International Capital Limited; CNCB (Hong Kong) Capital Limited; China Securities (International) Corporate Finance Company Limited; Forthright Securities Company Limited; Get Nice Securities Limited; Roofer Securities Limited</t>
        </is>
      </c>
      <c r="BK473" s="76">
        <f>HYPERLINK("https://www1.hkexnews.hk/listedco/listconews/sehk/2026/0518/2026051800027.pdf","prospectus")</f>
        <v/>
      </c>
      <c r="BL473" s="76">
        <f>HYPERLINK("https://www1.hkexnews.hk/listedco/listconews/sehk/2026/0526/2026052602392.pdf","allotment")</f>
        <v/>
      </c>
      <c r="BM473" s="62" t="n"/>
      <c r="BN473" s="74" t="n"/>
      <c r="BO473" s="62" t="inlineStr">
        <is>
          <t>intl sub: subscription level not stated in the filing · greenshoe: end-of-stabilisation notice not located · range low: cap-only pricing — the filing publishes a Maximum Offer Price and no indicative floor · A/H: no A-share listing · 3m: listed less than 3m ago · sponsor: English name not in the filing text; AAStocks 保薦人 shown · cornerstone list: no cornerstone tranche in this deal · alpha/index: 3m alpha needs the 3m return first — window has not elapsed yet</t>
        </is>
      </c>
    </row>
    <row r="474" ht="15" customHeight="1">
      <c r="A474" s="61" t="inlineStr">
        <is>
          <t>3388</t>
        </is>
      </c>
      <c r="B474" s="62" t="inlineStr">
        <is>
          <t>CREALITY</t>
        </is>
      </c>
      <c r="C474" s="62" t="inlineStr">
        <is>
          <t>創想三維</t>
        </is>
      </c>
      <c r="D474" s="62" t="inlineStr">
        <is>
          <t>Tech/AI</t>
        </is>
      </c>
      <c r="E474" s="62" t="inlineStr">
        <is>
          <t>Smart hardware / consumer electronics</t>
        </is>
      </c>
      <c r="F474" s="62" t="inlineStr">
        <is>
          <t>Computer Storage &amp; Peripherals</t>
        </is>
      </c>
      <c r="G474" s="62" t="inlineStr">
        <is>
          <t>Standard</t>
        </is>
      </c>
      <c r="H474" s="63" t="n">
        <v>46171</v>
      </c>
      <c r="I474" s="64" t="n">
        <v>1380.44</v>
      </c>
      <c r="J474" s="62" t="inlineStr">
        <is>
          <t>gross (stated)</t>
        </is>
      </c>
      <c r="K474" s="65" t="n"/>
      <c r="L474" s="65" t="n">
        <v>18.8</v>
      </c>
      <c r="M474" s="65" t="n">
        <v>18.8</v>
      </c>
      <c r="N474" s="62" t="inlineStr">
        <is>
          <t>Y</t>
        </is>
      </c>
      <c r="O474" s="66" t="n">
        <v>100</v>
      </c>
      <c r="P474" s="66" t="n"/>
      <c r="Q474" s="67" t="n">
        <v>8776.6</v>
      </c>
      <c r="R474" s="62" t="inlineStr">
        <is>
          <t>prospectus:stated market capitalisation</t>
        </is>
      </c>
      <c r="S474" s="68" t="n">
        <v>3829.42</v>
      </c>
      <c r="T474" s="69" t="n">
        <v>26.8</v>
      </c>
      <c r="U474" s="70" t="n">
        <v>49.9</v>
      </c>
      <c r="V474" s="66" t="n">
        <v>7.88</v>
      </c>
      <c r="W474" s="62" t="inlineStr">
        <is>
          <t>Apex Insight Investment L.P; CITIC Industrial International Investment Limited; Colloway Group Limited; CPE Greater China Enterprises Growth Fund; Dingxin (Securities) Limited; GBA Homeland Limited; Hong Kong BoYue International Investment Fund Co., Limited; Integrated Core Strategies (Asia) Pte. Ltd; Jump Trading Pacific Pte. Ltd; Martis Fund, L.P; Oasis Investments II Master Fund Ltd; Optimas ACM Fund LP; Polymer Asia Fund LP; Seven Grand Managers, LLC; Taikang Life Insurance Co., Ltd</t>
        </is>
      </c>
      <c r="X474" s="62" t="inlineStr">
        <is>
          <t>apex;citic;colloway;cpe;dingxin;gba;boyue;integrated;jump;martis;oasis;optimas;polymer;seven;taikang</t>
        </is>
      </c>
      <c r="Y474" s="66" t="n">
        <v>15</v>
      </c>
      <c r="Z474" s="62" t="inlineStr">
        <is>
          <t>full</t>
        </is>
      </c>
      <c r="AA474" s="71" t="n">
        <v>21.28</v>
      </c>
      <c r="AB474" s="72" t="n">
        <v>80.20999999999999</v>
      </c>
      <c r="AC474" s="72" t="n">
        <v>-32.7</v>
      </c>
      <c r="AD474" s="72" t="n">
        <v>11.17</v>
      </c>
      <c r="AE474" s="72" t="n">
        <v>38.72</v>
      </c>
      <c r="AF474" s="72" t="n"/>
      <c r="AG474" s="72" t="n">
        <v>-8.34</v>
      </c>
      <c r="AH474" s="72" t="n">
        <v>14.38</v>
      </c>
      <c r="AI474" s="72" t="n"/>
      <c r="AJ474" s="72" t="n">
        <v>11.09</v>
      </c>
      <c r="AK474" s="72" t="n">
        <v>46.92</v>
      </c>
      <c r="AL474" s="72" t="n"/>
      <c r="AM474" s="72" t="n">
        <v>22.62</v>
      </c>
      <c r="AN474" s="72" t="n">
        <v>-8.199999999999999</v>
      </c>
      <c r="AO474" s="72" t="n">
        <v>-8.24</v>
      </c>
      <c r="AP474" s="62" t="inlineStr">
        <is>
          <t>HSTECH (Hang Seng TECH ETF)</t>
        </is>
      </c>
      <c r="AQ474" s="72" t="n">
        <v>37.55</v>
      </c>
      <c r="AR474" s="63" t="inlineStr">
        <is>
          <t>2026-08-20</t>
        </is>
      </c>
      <c r="AS474" s="64" t="n">
        <v>3439.7</v>
      </c>
      <c r="AT474" s="67" t="n">
        <v>-226.9</v>
      </c>
      <c r="AU474" s="62" t="inlineStr">
        <is>
          <t>N</t>
        </is>
      </c>
      <c r="AV474" s="62" t="inlineStr">
        <is>
          <t>n/m</t>
        </is>
      </c>
      <c r="AW474" s="73" t="n"/>
      <c r="AX474" s="73" t="n"/>
      <c r="AY474" s="73" t="n">
        <v>2.6</v>
      </c>
      <c r="AZ474" s="74" t="inlineStr">
        <is>
          <t>N</t>
        </is>
      </c>
      <c r="BA474" s="75">
        <f>IF('BBG Verify'!K474="","not filed — run on terminal",'BBG Verify'!K474)</f>
        <v/>
      </c>
      <c r="BB474" s="62" t="inlineStr">
        <is>
          <t>N/A</t>
        </is>
      </c>
      <c r="BC474" s="62" t="inlineStr">
        <is>
          <t>N/A</t>
        </is>
      </c>
      <c r="BD474" s="62" t="inlineStr">
        <is>
          <t>N/A</t>
        </is>
      </c>
      <c r="BE474" s="62" t="inlineStr">
        <is>
          <t>N/A</t>
        </is>
      </c>
      <c r="BF474" s="62" t="inlineStr">
        <is>
          <t>N/A</t>
        </is>
      </c>
      <c r="BG474" s="74" t="n"/>
      <c r="BH474" s="62" t="inlineStr">
        <is>
          <t>China International Capital Corporation Hong Kong Securities Limited</t>
        </is>
      </c>
      <c r="BI474" s="62" t="inlineStr">
        <is>
          <t>China International Capital Corporation Hong Kong Securities Limited; A VICT Global Asset Management Limited; Deutsche Bank AG, Hong Kong Branch; ABCI Capital Limited; BOCI Asia Limited; CCB International Capital Limited; SPDB International Capital Limited; Livermore Holdings Limited; ABCI Securities Company Limited</t>
        </is>
      </c>
      <c r="BJ474" s="62" t="inlineStr">
        <is>
          <t>ABCI Securities Company Limited; AVICT Global Asset Management Limited; BOCI Asia Limited; CCB International Capital Limited; China International Capital Corporation Hong Kong Securities Limited; Deutsche Bank AG, Hong Kong Branch; Livermore Holdings Limited; SPDB International Capital Limited</t>
        </is>
      </c>
      <c r="BK474" s="76">
        <f>HYPERLINK("https://www1.hkexnews.hk/listedco/listconews/sehk/2026/0520/2026052000023.pdf","prospectus")</f>
        <v/>
      </c>
      <c r="BL474" s="76">
        <f>HYPERLINK("https://www1.hkexnews.hk/listedco/listconews/sehk/2026/0528/2026052802543.pdf","allotment")</f>
        <v/>
      </c>
      <c r="BM474" s="76">
        <f>HYPERLINK("https://www1.hkexnews.hk/listedco/listconews/sehk/2026/0625/2026062502150.pdf","stabilisation")</f>
        <v/>
      </c>
      <c r="BN474" s="74" t="n"/>
      <c r="BO474" s="62" t="inlineStr">
        <is>
          <t>P/E: n/m — loss-making at IPO (use P/S) · range low: cap-only pricing — the filing publishes a Maximum Offer Price and no indicative floor · A/H: no A-share listing · 3m: listed less than 3m ago · sponsor: English name not in the filing text; AAStocks 保薦人 shown · alpha/index: 3m alpha needs the 3m return first — window has not elapsed yet</t>
        </is>
      </c>
    </row>
    <row r="475" ht="15" customHeight="1">
      <c r="A475" s="61" t="inlineStr">
        <is>
          <t>2553</t>
        </is>
      </c>
      <c r="B475" s="62" t="inlineStr">
        <is>
          <t>SHOUGANG LANZA</t>
        </is>
      </c>
      <c r="C475" s="62" t="inlineStr">
        <is>
          <t>首鋼朗澤</t>
        </is>
      </c>
      <c r="D475" s="62" t="inlineStr">
        <is>
          <t>Materials/Energy</t>
        </is>
      </c>
      <c r="E475" s="62" t="inlineStr">
        <is>
          <t>Chemicals</t>
        </is>
      </c>
      <c r="F475" s="62" t="inlineStr">
        <is>
          <t>Diversified Chemicals</t>
        </is>
      </c>
      <c r="G475" s="62" t="inlineStr">
        <is>
          <t>Standard</t>
        </is>
      </c>
      <c r="H475" s="63" t="n">
        <v>46176</v>
      </c>
      <c r="I475" s="64" t="n">
        <v>584</v>
      </c>
      <c r="J475" s="62" t="inlineStr">
        <is>
          <t>gross (stated)</t>
        </is>
      </c>
      <c r="K475" s="65" t="n"/>
      <c r="L475" s="65" t="n">
        <v>17.1</v>
      </c>
      <c r="M475" s="65" t="n">
        <v>14.6</v>
      </c>
      <c r="N475" s="62" t="inlineStr">
        <is>
          <t>N</t>
        </is>
      </c>
      <c r="O475" s="66" t="n">
        <v>85.40000000000001</v>
      </c>
      <c r="P475" s="66" t="n"/>
      <c r="Q475" s="67" t="n">
        <v>5840</v>
      </c>
      <c r="R475" s="62" t="inlineStr">
        <is>
          <t>derived:price x shares upon listing</t>
        </is>
      </c>
      <c r="S475" s="68" t="n">
        <v>1421.54</v>
      </c>
      <c r="T475" s="69" t="n">
        <v>0.95</v>
      </c>
      <c r="U475" s="70" t="n">
        <v>0</v>
      </c>
      <c r="V475" s="66" t="n">
        <v>10</v>
      </c>
      <c r="W475" s="62" t="n"/>
      <c r="X475" s="62" t="n"/>
      <c r="Y475" s="66" t="n">
        <v>15.9</v>
      </c>
      <c r="Z475" s="62" t="inlineStr">
        <is>
          <t>lapsed (no over-allocation)</t>
        </is>
      </c>
      <c r="AA475" s="71" t="n">
        <v>44.25</v>
      </c>
      <c r="AB475" s="72" t="n">
        <v>91.78</v>
      </c>
      <c r="AC475" s="72" t="n">
        <v>-24.78</v>
      </c>
      <c r="AD475" s="72" t="n">
        <v>115.75</v>
      </c>
      <c r="AE475" s="72" t="n">
        <v>193.84</v>
      </c>
      <c r="AF475" s="72" t="n"/>
      <c r="AG475" s="72" t="n">
        <v>49.57</v>
      </c>
      <c r="AH475" s="72" t="n">
        <v>103.7</v>
      </c>
      <c r="AI475" s="72" t="n"/>
      <c r="AJ475" s="72" t="n">
        <v>123.08</v>
      </c>
      <c r="AK475" s="72" t="n">
        <v>205.32</v>
      </c>
      <c r="AL475" s="72" t="n"/>
      <c r="AM475" s="72" t="n">
        <v>113.29</v>
      </c>
      <c r="AN475" s="72" t="n">
        <v>-11.48</v>
      </c>
      <c r="AO475" s="72" t="n">
        <v>-9.59</v>
      </c>
      <c r="AP475" s="62" t="inlineStr">
        <is>
          <t>Hang Seng Commerce &amp; Industry sub-index</t>
        </is>
      </c>
      <c r="AQ475" s="72" t="n">
        <v>64.11</v>
      </c>
      <c r="AR475" s="63" t="inlineStr">
        <is>
          <t>2026-08-20</t>
        </is>
      </c>
      <c r="AS475" s="64" t="n">
        <v>573.9</v>
      </c>
      <c r="AT475" s="67" t="n">
        <v>-357.4</v>
      </c>
      <c r="AU475" s="62" t="inlineStr">
        <is>
          <t>N</t>
        </is>
      </c>
      <c r="AV475" s="62" t="inlineStr">
        <is>
          <t>n/m</t>
        </is>
      </c>
      <c r="AW475" s="73" t="n"/>
      <c r="AX475" s="73" t="n"/>
      <c r="AY475" s="73" t="n">
        <v>10.2</v>
      </c>
      <c r="AZ475" s="74" t="inlineStr">
        <is>
          <t>N</t>
        </is>
      </c>
      <c r="BA475" s="75">
        <f>IF('BBG Verify'!K475="","not filed — run on terminal",'BBG Verify'!K475)</f>
        <v/>
      </c>
      <c r="BB475" s="62" t="inlineStr">
        <is>
          <t>N/A</t>
        </is>
      </c>
      <c r="BC475" s="62" t="inlineStr">
        <is>
          <t>N/A</t>
        </is>
      </c>
      <c r="BD475" s="62" t="inlineStr">
        <is>
          <t>N/A</t>
        </is>
      </c>
      <c r="BE475" s="62" t="inlineStr">
        <is>
          <t>N/A</t>
        </is>
      </c>
      <c r="BF475" s="62" t="inlineStr">
        <is>
          <t>N/A</t>
        </is>
      </c>
      <c r="BG475" s="74" t="inlineStr">
        <is>
          <t>Yue Xiu Capital Limited</t>
        </is>
      </c>
      <c r="BH475" s="62" t="inlineStr">
        <is>
          <t>Yue Xiu Capital Limited</t>
        </is>
      </c>
      <c r="BI475" s="62" t="inlineStr">
        <is>
          <t>Yue Xiu Securities Company Limited; Mango Financial Limited; Maxa Asset Management Limited; Sheung Wan, Hong Kong CCB International Capital Limited; Central, Hong Kong Skyvast Securities Limited; Central, Hong Kong GEO Securities Limited; Central, Hong Kong uSmart Securities Limited; CMBC Securities Company Limited; Central, Hong Kong Futu Securities International (Hong Kong) Limited; No. 95 Queensway Admiralty, Hong Kong Livermore Holdings Limited</t>
        </is>
      </c>
      <c r="BJ475" s="62" t="inlineStr">
        <is>
          <t>CCB International Capital Limited; CMBC Securities Company Limited; Futu Securities International (Hong Kong) Limited; GEO Securities Limited; Livermore Holdings Limited; Maxa Asset Management Limited; Mango Financial Limited; Skyvast Securities Limited</t>
        </is>
      </c>
      <c r="BK475" s="76">
        <f>HYPERLINK("https://www1.hkexnews.hk/listedco/listconews/sehk/2026/0526/2026052600047.pdf","prospectus")</f>
        <v/>
      </c>
      <c r="BL475" s="76">
        <f>HYPERLINK("https://www1.hkexnews.hk/listedco/listconews/sehk/2026/0602/2026060202644.pdf","allotment")</f>
        <v/>
      </c>
      <c r="BM475" s="76">
        <f>HYPERLINK("https://www1.hkexnews.hk/listedco/listconews/sehk/2026/0630/2026063000051.pdf","stabilisation")</f>
        <v/>
      </c>
      <c r="BN475" s="74" t="n"/>
      <c r="BO475" s="62" t="inlineStr">
        <is>
          <t>P/E: n/m — loss-making at IPO (use P/S) · range low: cap-only pricing — the filing publishes a Maximum Offer Price and no indicative floor · A/H: no A-share listing · 3m: listed less than 3m ago · cornerstone list: no cornerstone tranche in this deal · alpha/index: 3m alpha needs the 3m return first — window has not elapsed yet</t>
        </is>
      </c>
    </row>
    <row r="476" ht="15" customHeight="1">
      <c r="A476" s="61" t="inlineStr">
        <is>
          <t>2290</t>
        </is>
      </c>
      <c r="B476" s="62" t="inlineStr">
        <is>
          <t>LUNG FUNG GROUP</t>
        </is>
      </c>
      <c r="C476" s="62" t="inlineStr">
        <is>
          <t>龍豐集團</t>
        </is>
      </c>
      <c r="D476" s="62" t="inlineStr">
        <is>
          <t>Consumer</t>
        </is>
      </c>
      <c r="E476" s="62" t="inlineStr">
        <is>
          <t>Retail / distribution</t>
        </is>
      </c>
      <c r="F476" s="62" t="inlineStr">
        <is>
          <t>Beauty &amp; Toiletries Products Retail</t>
        </is>
      </c>
      <c r="G476" s="62" t="inlineStr">
        <is>
          <t>Standard</t>
        </is>
      </c>
      <c r="H476" s="63" t="n">
        <v>46178</v>
      </c>
      <c r="I476" s="64" t="n">
        <v>647.5</v>
      </c>
      <c r="J476" s="62" t="inlineStr">
        <is>
          <t>gross (stated)</t>
        </is>
      </c>
      <c r="K476" s="65" t="n"/>
      <c r="L476" s="65" t="n">
        <v>6.38</v>
      </c>
      <c r="M476" s="65" t="n">
        <v>5.18</v>
      </c>
      <c r="N476" s="62" t="inlineStr">
        <is>
          <t>N</t>
        </is>
      </c>
      <c r="O476" s="66" t="n">
        <v>81.2</v>
      </c>
      <c r="P476" s="66" t="n"/>
      <c r="Q476" s="67" t="n">
        <v>2590</v>
      </c>
      <c r="R476" s="62" t="inlineStr">
        <is>
          <t>derived:price x shares upon listing</t>
        </is>
      </c>
      <c r="S476" s="68" t="n">
        <v>664.92</v>
      </c>
      <c r="T476" s="69" t="n">
        <v>3.18</v>
      </c>
      <c r="U476" s="70" t="n"/>
      <c r="V476" s="66" t="n">
        <v>25</v>
      </c>
      <c r="W476" s="62" t="n"/>
      <c r="X476" s="62" t="n"/>
      <c r="Y476" s="66" t="n">
        <v>15</v>
      </c>
      <c r="Z476" s="62" t="n"/>
      <c r="AA476" s="71" t="n">
        <v>-45.75</v>
      </c>
      <c r="AB476" s="72" t="n">
        <v>-16.6</v>
      </c>
      <c r="AC476" s="72" t="n">
        <v>-34.95</v>
      </c>
      <c r="AD476" s="72" t="n">
        <v>-47.49</v>
      </c>
      <c r="AE476" s="72" t="n">
        <v>-28.57</v>
      </c>
      <c r="AF476" s="72" t="n"/>
      <c r="AG476" s="72" t="n">
        <v>-3.21</v>
      </c>
      <c r="AH476" s="72" t="n">
        <v>31.67</v>
      </c>
      <c r="AI476" s="72" t="n"/>
      <c r="AJ476" s="72" t="n">
        <v>-43.71</v>
      </c>
      <c r="AK476" s="72" t="n">
        <v>-23.07</v>
      </c>
      <c r="AL476" s="72" t="n"/>
      <c r="AM476" s="72" t="n">
        <v>35.88</v>
      </c>
      <c r="AN476" s="72" t="n">
        <v>-5.5</v>
      </c>
      <c r="AO476" s="72" t="n">
        <v>-4.21</v>
      </c>
      <c r="AP476" s="62" t="inlineStr">
        <is>
          <t>Hang Seng Commerce &amp; Industry sub-index</t>
        </is>
      </c>
      <c r="AQ476" s="72" t="n">
        <v>-24.42</v>
      </c>
      <c r="AR476" s="63" t="inlineStr">
        <is>
          <t>2026-08-20</t>
        </is>
      </c>
      <c r="AS476" s="64" t="n">
        <v>2460.5</v>
      </c>
      <c r="AT476" s="67" t="n">
        <v>-27.1</v>
      </c>
      <c r="AU476" s="62" t="inlineStr">
        <is>
          <t>N</t>
        </is>
      </c>
      <c r="AV476" s="62" t="inlineStr">
        <is>
          <t>n/m</t>
        </is>
      </c>
      <c r="AW476" s="73" t="n"/>
      <c r="AX476" s="73" t="n"/>
      <c r="AY476" s="73" t="n">
        <v>1.1</v>
      </c>
      <c r="AZ476" s="74" t="inlineStr">
        <is>
          <t>N</t>
        </is>
      </c>
      <c r="BA476" s="75">
        <f>IF('BBG Verify'!K476="","not filed — run on terminal",'BBG Verify'!K476)</f>
        <v/>
      </c>
      <c r="BB476" s="62" t="inlineStr">
        <is>
          <t>N/A</t>
        </is>
      </c>
      <c r="BC476" s="62" t="inlineStr">
        <is>
          <t>N/A</t>
        </is>
      </c>
      <c r="BD476" s="62" t="inlineStr">
        <is>
          <t>N/A</t>
        </is>
      </c>
      <c r="BE476" s="62" t="inlineStr">
        <is>
          <t>N/A</t>
        </is>
      </c>
      <c r="BF476" s="62" t="inlineStr">
        <is>
          <t>N/A</t>
        </is>
      </c>
      <c r="BG476" s="74" t="inlineStr">
        <is>
          <t>DBS Asia Capital Limited; Industry consultant Frost &amp; Sullivan Limited; AVISTA Valuation Advisory Limited; Wan Chai, Hong Kong Receiving bank DBS Bank (Hong Kong) Limited; Bank of China (Hong Kong) Limited; KY1-1111 Cayman Islands Hong Kong Share Registrar Tricor Investor Services Limited; Principal banks DBS Bank (Hong Kong) Limited; Hang Seng Bank, Limited; The Hongkong and Shanghai Banking Corporation Limited; Chong Hing Bank Limited</t>
        </is>
      </c>
      <c r="BH476" s="62" t="inlineStr">
        <is>
          <t>DBS Asia Capital Limited</t>
        </is>
      </c>
      <c r="BI476" s="62" t="inlineStr">
        <is>
          <t>CMB International Capital Limited; DBS Asia Capital Limited; Phillip Securities (Hong Kong) Limited; SPDB International Capital Limited</t>
        </is>
      </c>
      <c r="BJ476" s="62" t="inlineStr">
        <is>
          <t>CMB International Capital Limited; DBS Asia Capital Limited; Phillip Securities (Hong Kong) Limited; SPDB International Capital Limited</t>
        </is>
      </c>
      <c r="BK476" s="76">
        <f>HYPERLINK("https://www1.hkexnews.hk/listedco/listconews/sehk/2026/0528/2026052800031.pdf","prospectus")</f>
        <v/>
      </c>
      <c r="BL476" s="76">
        <f>HYPERLINK("https://www1.hkexnews.hk/listedco/listconews/sehk/2026/0604/2026060402521.pdf","allotment")</f>
        <v/>
      </c>
      <c r="BM476" s="62" t="n"/>
      <c r="BN476" s="74" t="n"/>
      <c r="BO476" s="62" t="inlineStr">
        <is>
          <t>P/E: n/m — loss-making at IPO (use P/S) · greenshoe: end-of-stabilisation notice not located · range low: cap-only pricing — the filing publishes a Maximum Offer Price and no indicative floor · A/H: no A-share listing · 3m: listed less than 3m ago · cornerstone list: cornerstone section not machine-extractable — see the prospectus link · cornerstone %: cornerstone aggregate not stated in the filing · alpha/index: 3m alpha needs the 3m return first — window has not elapsed yet</t>
        </is>
      </c>
    </row>
    <row r="477" ht="15" customHeight="1">
      <c r="A477" s="61" t="inlineStr">
        <is>
          <t>1081</t>
        </is>
      </c>
      <c r="B477" s="62" t="inlineStr">
        <is>
          <t>DAJIN</t>
        </is>
      </c>
      <c r="C477" s="62" t="inlineStr">
        <is>
          <t>大金重工</t>
        </is>
      </c>
      <c r="D477" s="62" t="inlineStr">
        <is>
          <t>Industrials</t>
        </is>
      </c>
      <c r="E477" s="62" t="inlineStr">
        <is>
          <t>Solar / wind supply chain</t>
        </is>
      </c>
      <c r="F477" s="62" t="inlineStr">
        <is>
          <t>Environmental Goods</t>
        </is>
      </c>
      <c r="G477" s="62" t="inlineStr">
        <is>
          <t>Standard</t>
        </is>
      </c>
      <c r="H477" s="63" t="n">
        <v>46178</v>
      </c>
      <c r="I477" s="64" t="n">
        <v>6640.7</v>
      </c>
      <c r="J477" s="62" t="inlineStr">
        <is>
          <t>gross (stated)</t>
        </is>
      </c>
      <c r="K477" s="65" t="n"/>
      <c r="L477" s="65" t="n">
        <v>66.40000000000001</v>
      </c>
      <c r="M477" s="65" t="n">
        <v>66.40000000000001</v>
      </c>
      <c r="N477" s="62" t="inlineStr">
        <is>
          <t>Y</t>
        </is>
      </c>
      <c r="O477" s="66" t="n">
        <v>100</v>
      </c>
      <c r="P477" s="66" t="n"/>
      <c r="Q477" s="67" t="n">
        <v>64686.6</v>
      </c>
      <c r="R477" s="62" t="inlineStr">
        <is>
          <t>prospectus:stated market capitalisation</t>
        </is>
      </c>
      <c r="S477" s="68" t="n">
        <v>134.39</v>
      </c>
      <c r="T477" s="69" t="n">
        <v>10.68</v>
      </c>
      <c r="U477" s="70" t="n">
        <v>48.54</v>
      </c>
      <c r="V477" s="66" t="n">
        <v>5.28</v>
      </c>
      <c r="W477" s="62" t="inlineStr">
        <is>
          <t>CPE Juniper Investment Limited; Eastspring Investments (Hong Kong) Limited; Eastspring Investments (Singapore) Limited; Fullgoal Asset Management (HK) Limited; Fullgoal Fund Management Co., Ltd; GIC Private Limited; HHLR Advisors, Ltd; Hillhouse Investment Management, Ltd; ICBC Wealth Management Co., Ltd; Marshall Wace Asia Limited; Millennium Capital Management (Singapore) Pte. Ltd; Pinpoint Asset Management Limited; PSBC Wealth Management Co., Ltd; Taikang Life Insurance Co., Ltd; UBS Asset Management (Singapore) Ltd</t>
        </is>
      </c>
      <c r="X477" s="62" t="inlineStr">
        <is>
          <t>cpe;eastspring;fullgoal;gic;hhlr;hillhouse;icbc;marshall;millennium;pinpoint;psbc;taikang;ubs</t>
        </is>
      </c>
      <c r="Y477" s="66" t="n">
        <v>15</v>
      </c>
      <c r="Z477" s="62" t="inlineStr">
        <is>
          <t>partial</t>
        </is>
      </c>
      <c r="AA477" s="71" t="n">
        <v>0</v>
      </c>
      <c r="AB477" s="72" t="n">
        <v>0</v>
      </c>
      <c r="AC477" s="72" t="n">
        <v>0</v>
      </c>
      <c r="AD477" s="72" t="n">
        <v>-3.69</v>
      </c>
      <c r="AE477" s="72" t="n">
        <v>-30.72</v>
      </c>
      <c r="AF477" s="72" t="n"/>
      <c r="AG477" s="72" t="n">
        <v>-3.69</v>
      </c>
      <c r="AH477" s="72" t="n">
        <v>-30.72</v>
      </c>
      <c r="AI477" s="72" t="n"/>
      <c r="AJ477" s="72" t="n">
        <v>0.09</v>
      </c>
      <c r="AK477" s="72" t="n">
        <v>-25.22</v>
      </c>
      <c r="AL477" s="72" t="n"/>
      <c r="AM477" s="72" t="n">
        <v>-26.51</v>
      </c>
      <c r="AN477" s="72" t="n">
        <v>-5.5</v>
      </c>
      <c r="AO477" s="72" t="n">
        <v>-4.21</v>
      </c>
      <c r="AP477" s="62" t="inlineStr">
        <is>
          <t>Hang Seng Commerce &amp; Industry sub-index</t>
        </is>
      </c>
      <c r="AQ477" s="72" t="n">
        <v>-50.36</v>
      </c>
      <c r="AR477" s="63" t="inlineStr">
        <is>
          <t>2026-08-20</t>
        </is>
      </c>
      <c r="AS477" s="64" t="n">
        <v>6790.9</v>
      </c>
      <c r="AT477" s="67" t="n">
        <v>1213.6</v>
      </c>
      <c r="AU477" s="62" t="inlineStr">
        <is>
          <t>Y</t>
        </is>
      </c>
      <c r="AV477" s="73" t="n">
        <v>53.3</v>
      </c>
      <c r="AW477" s="73" t="n">
        <v>33.2</v>
      </c>
      <c r="AX477" s="73" t="n">
        <v>17.8</v>
      </c>
      <c r="AY477" s="73" t="n">
        <v>9.5</v>
      </c>
      <c r="AZ477" s="74" t="inlineStr">
        <is>
          <t>Y</t>
        </is>
      </c>
      <c r="BA477" s="62" t="inlineStr">
        <is>
          <t>002487.SZ</t>
        </is>
      </c>
      <c r="BB477" s="72" t="n">
        <v>17.8</v>
      </c>
      <c r="BC477" s="65" t="n">
        <v>78.2184</v>
      </c>
      <c r="BD477" s="79" t="n">
        <v>0.3943</v>
      </c>
      <c r="BE477" s="77">
        <f>IF('BBG Verify'!Q477="","run on terminal",'BBG Verify'!Q477)</f>
        <v/>
      </c>
      <c r="BF477" s="77">
        <f>IF('BBG Verify'!R477="","run on terminal",'BBG Verify'!R477)</f>
        <v/>
      </c>
      <c r="BG477" s="74" t="inlineStr">
        <is>
          <t>Huatai Financial Holdings (Hong Kong) Limited; China Merchants Securities (HK) Co., Limited</t>
        </is>
      </c>
      <c r="BH477" s="62" t="inlineStr">
        <is>
          <t>Huatai Financial Holdings (Hong Kong) Limited; China Merchants Securities (HK) Company Limited</t>
        </is>
      </c>
      <c r="BI477" s="62" t="inlineStr">
        <is>
          <t>CCB International Capital Limited; China International Capital Corporation Hong Kong Securities Limited; China Merchants Securities (HK) Company Limited; Huatai Financial Holdings (Hong Kong) Limited; Ping An Securities (Hong Kong) Company Limited</t>
        </is>
      </c>
      <c r="BJ477" s="62" t="inlineStr">
        <is>
          <t>CCB International Capital Limited; China International Capital Corporation Hong Kong Securities Limited; China Merchants Securities (HK) Company Limited; Huatai Financial Holdings (Hong Kong) Limited; Ping An Securities (Hong Kong) Company Limited</t>
        </is>
      </c>
      <c r="BK477" s="76">
        <f>HYPERLINK("https://www1.hkexnews.hk/listedco/listconews/sehk/2026/0528/2026052800019.pdf","prospectus")</f>
        <v/>
      </c>
      <c r="BL477" s="76">
        <f>HYPERLINK("https://www1.hkexnews.hk/listedco/listconews/sehk/2026/0604/2026060402919.pdf","allotment")</f>
        <v/>
      </c>
      <c r="BM477" s="76">
        <f>HYPERLINK("https://www1.hkexnews.hk/listedco/listconews/sehk/2026/0702/2026070203999.pdf","stabilisation")</f>
        <v/>
      </c>
      <c r="BN477" s="74" t="n"/>
      <c r="BO477" s="62" t="inlineStr">
        <is>
          <t>range low: cap-only pricing — the filing publishes a Maximum Offer Price and no indicative floor · A/H: Jun 2026 H listing (offshore wind towers/monopiles) · 3m: listed less than 3m ago · alpha/index: 3m alpha needs the 3m return first — window has not elapsed yet</t>
        </is>
      </c>
    </row>
    <row r="478" ht="15" customHeight="1">
      <c r="A478" s="61" t="inlineStr">
        <is>
          <t>1779</t>
        </is>
      </c>
      <c r="B478" s="62" t="inlineStr">
        <is>
          <t>LONGBIO-B</t>
        </is>
      </c>
      <c r="C478" s="62" t="inlineStr">
        <is>
          <t>天辰生物－Ｂ</t>
        </is>
      </c>
      <c r="D478" s="62" t="inlineStr">
        <is>
          <t>Healthcare</t>
        </is>
      </c>
      <c r="E478" s="62" t="inlineStr">
        <is>
          <t>Biotech pre-revenue (18A)</t>
        </is>
      </c>
      <c r="F478" s="62" t="inlineStr">
        <is>
          <t>Biotechnology - Pharmaceuticals</t>
        </is>
      </c>
      <c r="G478" s="62" t="inlineStr">
        <is>
          <t>18A</t>
        </is>
      </c>
      <c r="H478" s="63" t="n">
        <v>46178</v>
      </c>
      <c r="I478" s="64" t="n">
        <v>1363.4</v>
      </c>
      <c r="J478" s="62" t="inlineStr">
        <is>
          <t>gross (stated)</t>
        </is>
      </c>
      <c r="K478" s="65" t="n"/>
      <c r="L478" s="65" t="n">
        <v>96.06</v>
      </c>
      <c r="M478" s="65" t="n">
        <v>96.06</v>
      </c>
      <c r="N478" s="62" t="inlineStr">
        <is>
          <t>Y</t>
        </is>
      </c>
      <c r="O478" s="66" t="n">
        <v>100</v>
      </c>
      <c r="P478" s="66" t="n"/>
      <c r="Q478" s="67" t="n">
        <v>7127</v>
      </c>
      <c r="R478" s="62" t="inlineStr">
        <is>
          <t>prospectus:stated market capitalisation</t>
        </is>
      </c>
      <c r="S478" s="68" t="n">
        <v>4762.58</v>
      </c>
      <c r="T478" s="69" t="n">
        <v>10.94</v>
      </c>
      <c r="U478" s="70" t="n">
        <v>49.96</v>
      </c>
      <c r="V478" s="66" t="n">
        <v>9.57</v>
      </c>
      <c r="W478" s="62" t="inlineStr">
        <is>
          <t>Foresight Global Superior Choice SPC — Horizon Fund 1 SP; Foresight Global Superior Choice SPC — Horizon Next Fund SP; Foresight Global Superior Choice SPC — Vision Fund 1 SP; FR M CONSULTING CO., LTD; Fullgoal Asset Management (HK) Limited; Fullgoal Fund Management Co., Ltd; Mega Prime Development Limited; OrbiMed Genesis Master Fund, L.P; Shanghai Gaoyi Asset Management Partnership (Limited Partnership); The Biotech Growth Trust PLC; TruMed Health Innovation Fund LP; TruMed Healthcare Master Fund; Value Partners Hong Kong Limited; Wisdomshire Asset Management Co., Ltd; Yuanfeng Future Growth Fund and CGII</t>
        </is>
      </c>
      <c r="X478" s="62" t="inlineStr">
        <is>
          <t>foresight;fr;fullgoal;mega;orbimed;shanghai-gaoyi;biotech;trumed;value;wisdomshire;yuanfeng</t>
        </is>
      </c>
      <c r="Y478" s="66" t="n">
        <v>5.73</v>
      </c>
      <c r="Z478" s="62" t="inlineStr">
        <is>
          <t>full</t>
        </is>
      </c>
      <c r="AA478" s="71" t="n">
        <v>37.21</v>
      </c>
      <c r="AB478" s="72" t="n">
        <v>50.22</v>
      </c>
      <c r="AC478" s="72" t="n">
        <v>-8.66</v>
      </c>
      <c r="AD478" s="72" t="n">
        <v>49.8</v>
      </c>
      <c r="AE478" s="72" t="n">
        <v>-1.05</v>
      </c>
      <c r="AF478" s="72" t="n"/>
      <c r="AG478" s="72" t="n">
        <v>9.18</v>
      </c>
      <c r="AH478" s="72" t="n">
        <v>-27.88</v>
      </c>
      <c r="AI478" s="72" t="n"/>
      <c r="AJ478" s="72" t="n">
        <v>50.3</v>
      </c>
      <c r="AK478" s="72" t="n">
        <v>-9.859999999999999</v>
      </c>
      <c r="AL478" s="72" t="n"/>
      <c r="AM478" s="72" t="n">
        <v>-37.41</v>
      </c>
      <c r="AN478" s="72" t="n">
        <v>8.81</v>
      </c>
      <c r="AO478" s="72" t="n">
        <v>9.529999999999999</v>
      </c>
      <c r="AP478" s="62" t="inlineStr">
        <is>
          <t>China Biotech ETF (HS biotech proxy)</t>
        </is>
      </c>
      <c r="AQ478" s="72" t="n">
        <v>21.17</v>
      </c>
      <c r="AR478" s="63" t="inlineStr">
        <is>
          <t>2026-08-20</t>
        </is>
      </c>
      <c r="AS478" s="64" t="n">
        <v>2.2</v>
      </c>
      <c r="AT478" s="67" t="n">
        <v>-151.1</v>
      </c>
      <c r="AU478" s="62" t="inlineStr">
        <is>
          <t>N</t>
        </is>
      </c>
      <c r="AV478" s="62" t="inlineStr">
        <is>
          <t>n/m</t>
        </is>
      </c>
      <c r="AW478" s="73" t="n"/>
      <c r="AX478" s="73" t="n"/>
      <c r="AY478" s="73" t="n">
        <v>3239.5</v>
      </c>
      <c r="AZ478" s="74" t="inlineStr">
        <is>
          <t>N</t>
        </is>
      </c>
      <c r="BA478" s="75">
        <f>IF('BBG Verify'!K478="","not filed — run on terminal",'BBG Verify'!K478)</f>
        <v/>
      </c>
      <c r="BB478" s="62" t="inlineStr">
        <is>
          <t>N/A</t>
        </is>
      </c>
      <c r="BC478" s="62" t="inlineStr">
        <is>
          <t>N/A</t>
        </is>
      </c>
      <c r="BD478" s="62" t="inlineStr">
        <is>
          <t>N/A</t>
        </is>
      </c>
      <c r="BE478" s="62" t="inlineStr">
        <is>
          <t>N/A</t>
        </is>
      </c>
      <c r="BF478" s="62" t="inlineStr">
        <is>
          <t>N/A</t>
        </is>
      </c>
      <c r="BG478" s="74" t="inlineStr">
        <is>
          <t>Sinolink Securities (Hong Kong) Company Limited</t>
        </is>
      </c>
      <c r="BH478" s="62" t="inlineStr">
        <is>
          <t>Sinolink Securities (Hong Kong) Company Limited</t>
        </is>
      </c>
      <c r="BI478" s="62" t="inlineStr">
        <is>
          <t>GF Securities (Hong Kong) Brokerage Limited; Wan Chai, Hong Kong ABCI Capital Limited; ABCI Securities Company Limited</t>
        </is>
      </c>
      <c r="BJ478" s="62" t="inlineStr">
        <is>
          <t>ABCI Securities Company Limited; CCB International Capital Limited; GF Securities (Hong Kong) Brokerage Limited; Sinolink Securities (Hong Kong) Company Limited; Shanxi Securities International Limited; TradeGo Markets Limited</t>
        </is>
      </c>
      <c r="BK478" s="76">
        <f>HYPERLINK("https://www1.hkexnews.hk/listedco/listconews/sehk/2026/0528/2026052800023.pdf","prospectus")</f>
        <v/>
      </c>
      <c r="BL478" s="76">
        <f>HYPERLINK("https://www1.hkexnews.hk/listedco/listconews/sehk/2026/0604/2026060402923.pdf","allotment")</f>
        <v/>
      </c>
      <c r="BM478" s="76">
        <f>HYPERLINK("https://www1.hkexnews.hk/listedco/listconews/sehk/2026/0702/2026070203309.pdf","stabilisation")</f>
        <v/>
      </c>
      <c r="BN478" s="74" t="n"/>
      <c r="BO478" s="62" t="inlineStr">
        <is>
          <t>P/E: n/m — loss-making at IPO (use P/S) · range low: cap-only pricing — the filing publishes a Maximum Offer Price and no indicative floor · A/H: no A-share listing · 3m: listed less than 3m ago · P/S: 3,240x on HK$2.2m revenue — effectively pre-revenue; the multiple is shown for completeness, not comparability · alpha/index: 3m alpha needs the 3m return first — window has not elapsed yet</t>
        </is>
      </c>
    </row>
    <row r="479" ht="15" customHeight="1">
      <c r="A479" s="61" t="inlineStr">
        <is>
          <t>6658</t>
        </is>
      </c>
      <c r="B479" s="62" t="inlineStr">
        <is>
          <t>LIULIUMEI</t>
        </is>
      </c>
      <c r="C479" s="62" t="inlineStr">
        <is>
          <t>溜溜梅</t>
        </is>
      </c>
      <c r="D479" s="62" t="inlineStr">
        <is>
          <t>Consumer</t>
        </is>
      </c>
      <c r="E479" s="62" t="inlineStr">
        <is>
          <t>Beverages / packaged food</t>
        </is>
      </c>
      <c r="F479" s="62" t="inlineStr">
        <is>
          <t>Packaged Foods</t>
        </is>
      </c>
      <c r="G479" s="62" t="inlineStr">
        <is>
          <t>Standard</t>
        </is>
      </c>
      <c r="H479" s="63" t="n">
        <v>46188</v>
      </c>
      <c r="I479" s="64" t="n">
        <v>499.6</v>
      </c>
      <c r="J479" s="62" t="inlineStr">
        <is>
          <t>gross (stated)</t>
        </is>
      </c>
      <c r="K479" s="65" t="n"/>
      <c r="L479" s="65" t="n">
        <v>43.58</v>
      </c>
      <c r="M479" s="65" t="n">
        <v>43.58</v>
      </c>
      <c r="N479" s="62" t="inlineStr">
        <is>
          <t>Y</t>
        </is>
      </c>
      <c r="O479" s="66" t="n">
        <v>100</v>
      </c>
      <c r="P479" s="66" t="n"/>
      <c r="Q479" s="67" t="n">
        <v>3434.6</v>
      </c>
      <c r="R479" s="62" t="inlineStr">
        <is>
          <t>derived:price x shares upon listing</t>
        </is>
      </c>
      <c r="S479" s="68" t="n">
        <v>6586.73</v>
      </c>
      <c r="T479" s="69" t="n">
        <v>2.64</v>
      </c>
      <c r="U479" s="70" t="n">
        <v>29.55</v>
      </c>
      <c r="V479" s="66" t="n">
        <v>10.25</v>
      </c>
      <c r="W479" s="62" t="inlineStr">
        <is>
          <t>Top New Development Limited</t>
        </is>
      </c>
      <c r="X479" s="62" t="inlineStr">
        <is>
          <t>top</t>
        </is>
      </c>
      <c r="Y479" s="66" t="n">
        <v>11.9</v>
      </c>
      <c r="Z479" s="62" t="n"/>
      <c r="AA479" s="71" t="n">
        <v>193.71</v>
      </c>
      <c r="AB479" s="72" t="n">
        <v>117.99</v>
      </c>
      <c r="AC479" s="72" t="n">
        <v>34.74</v>
      </c>
      <c r="AD479" s="72" t="n">
        <v>225.61</v>
      </c>
      <c r="AE479" s="72" t="n">
        <v>277.93</v>
      </c>
      <c r="AF479" s="72" t="n"/>
      <c r="AG479" s="72" t="n">
        <v>10.86</v>
      </c>
      <c r="AH479" s="72" t="n">
        <v>28.67</v>
      </c>
      <c r="AI479" s="72" t="n"/>
      <c r="AJ479" s="72" t="n">
        <v>233.32</v>
      </c>
      <c r="AK479" s="72" t="n">
        <v>275.73</v>
      </c>
      <c r="AL479" s="72" t="n"/>
      <c r="AM479" s="72" t="n">
        <v>26.76</v>
      </c>
      <c r="AN479" s="72" t="n">
        <v>2.2</v>
      </c>
      <c r="AO479" s="72" t="n">
        <v>1.91</v>
      </c>
      <c r="AP479" s="62" t="inlineStr">
        <is>
          <t>Hang Seng Commerce &amp; Industry sub-index</t>
        </is>
      </c>
      <c r="AQ479" s="72" t="n">
        <v>244.88</v>
      </c>
      <c r="AR479" s="63" t="inlineStr">
        <is>
          <t>2026-08-21</t>
        </is>
      </c>
      <c r="AS479" s="64" t="n">
        <v>1881.8</v>
      </c>
      <c r="AT479" s="67" t="n">
        <v>200.3</v>
      </c>
      <c r="AU479" s="62" t="inlineStr">
        <is>
          <t>Y</t>
        </is>
      </c>
      <c r="AV479" s="73" t="n">
        <v>17.1</v>
      </c>
      <c r="AW479" s="73" t="n"/>
      <c r="AX479" s="73" t="n"/>
      <c r="AY479" s="73" t="n">
        <v>1.8</v>
      </c>
      <c r="AZ479" s="74" t="inlineStr">
        <is>
          <t>N</t>
        </is>
      </c>
      <c r="BA479" s="75">
        <f>IF('BBG Verify'!K479="","not filed — run on terminal",'BBG Verify'!K479)</f>
        <v/>
      </c>
      <c r="BB479" s="62" t="inlineStr">
        <is>
          <t>N/A</t>
        </is>
      </c>
      <c r="BC479" s="62" t="inlineStr">
        <is>
          <t>N/A</t>
        </is>
      </c>
      <c r="BD479" s="62" t="inlineStr">
        <is>
          <t>N/A</t>
        </is>
      </c>
      <c r="BE479" s="62" t="inlineStr">
        <is>
          <t>N/A</t>
        </is>
      </c>
      <c r="BF479" s="62" t="inlineStr">
        <is>
          <t>N/A</t>
        </is>
      </c>
      <c r="BG479" s="74" t="inlineStr">
        <is>
          <t>CITIC Securities (Hong Kong) Limited; Guoyuan Capital (Hong Kong) Limited</t>
        </is>
      </c>
      <c r="BH479" s="62" t="inlineStr">
        <is>
          <t>CITIC Securities (Hong Kong) Limited; Guoyuan Capital (Hong Kong) Limited</t>
        </is>
      </c>
      <c r="BI479" s="62" t="inlineStr">
        <is>
          <t>CLSA Limited; Guoyuan Securities Brokerage (Hong Kong) Limited; Central, Hong Kong Zhongtai International Securities Limited; Central, Hong Kong Soochow Securities International Brokerage Limited; CEB International Capital Corporation Limited; Wan Chai, Hong Kong Huafu International Securities Limited; Sheung Wan, Hong Kong Orient Securities (Hong Kong) Limited</t>
        </is>
      </c>
      <c r="BJ479" s="62" t="inlineStr">
        <is>
          <t>CEB International Capital Corporation Limited; CLSA Limited; Guoyuan Securities Brokerage (Hong Kong) Limited; Huafu International Securities Limited; Orient Securities (Hong Kong) Limited; Soochow Securities International Brokerage Limited; Zhongtai International Securities Limited</t>
        </is>
      </c>
      <c r="BK479" s="76">
        <f>HYPERLINK("https://www1.hkexnews.hk/listedco/listconews/sehk/2026/0605/2026060500023.pdf","prospectus")</f>
        <v/>
      </c>
      <c r="BL479" s="76">
        <f>HYPERLINK("https://www1.hkexnews.hk/listedco/listconews/sehk/2026/0612/2026061202100.pdf","allotment")</f>
        <v/>
      </c>
      <c r="BM479" s="62" t="n"/>
      <c r="BN479" s="74" t="n"/>
      <c r="BO479" s="62" t="inlineStr">
        <is>
          <t>greenshoe: end-of-stabilisation notice not located · range low: cap-only pricing — the filing publishes a Maximum Offer Price and no indicative floor · A/H: no A-share listing · 3m: listed less than 3m ago · alpha/index: 3m alpha needs the 3m return first — window has not elapsed yet</t>
        </is>
      </c>
    </row>
    <row r="480" ht="15" customHeight="1">
      <c r="A480" s="61" t="inlineStr">
        <is>
          <t>6675</t>
        </is>
      </c>
      <c r="B480" s="62" t="inlineStr">
        <is>
          <t>SENASIC</t>
        </is>
      </c>
      <c r="C480" s="62" t="inlineStr">
        <is>
          <t>SENASIC</t>
        </is>
      </c>
      <c r="D480" s="62" t="inlineStr">
        <is>
          <t>Tech/AI</t>
        </is>
      </c>
      <c r="E480" s="62" t="inlineStr">
        <is>
          <t>AI chips &amp; semis</t>
        </is>
      </c>
      <c r="F480" s="62" t="inlineStr">
        <is>
          <t>Semiconductors &amp; Semiconductor Equipment</t>
        </is>
      </c>
      <c r="G480" s="62" t="inlineStr">
        <is>
          <t>Standard</t>
        </is>
      </c>
      <c r="H480" s="63" t="n">
        <v>46190</v>
      </c>
      <c r="I480" s="64" t="n">
        <v>980.55</v>
      </c>
      <c r="J480" s="62" t="inlineStr">
        <is>
          <t>gross (stated)</t>
        </is>
      </c>
      <c r="K480" s="65" t="n"/>
      <c r="L480" s="65" t="n">
        <v>18.36</v>
      </c>
      <c r="M480" s="65" t="n">
        <v>18.36</v>
      </c>
      <c r="N480" s="62" t="inlineStr">
        <is>
          <t>Y</t>
        </is>
      </c>
      <c r="O480" s="66" t="n">
        <v>100</v>
      </c>
      <c r="P480" s="66" t="n"/>
      <c r="Q480" s="67" t="n">
        <v>6178.6</v>
      </c>
      <c r="R480" s="62" t="inlineStr">
        <is>
          <t>derived:deal size / offer % of enlarged capital</t>
        </is>
      </c>
      <c r="S480" s="68" t="n">
        <v>5144.97</v>
      </c>
      <c r="T480" s="69" t="n">
        <v>4.44</v>
      </c>
      <c r="U480" s="70" t="n">
        <v>28.86</v>
      </c>
      <c r="V480" s="66" t="n">
        <v>11.29</v>
      </c>
      <c r="W480" s="62" t="inlineStr">
        <is>
          <t>Chample International Limited; Libra Fixed Income One SP; Longwei Hong Kong Company Limited; Mr. Andrew Y Yan; Oakwise Growth Fund SPC - Greater China Fund SP; RIME Capital Limited; Sunwoda Treasury (Hong Kong) Limited; Tembusu Limited; Thalassa Capital Dynamics SPC</t>
        </is>
      </c>
      <c r="X480" s="62" t="inlineStr">
        <is>
          <t>chample;libra;longwei;mr-andrew;oakwise;rime;sunwoda;tembusu;thalassa</t>
        </is>
      </c>
      <c r="Y480" s="66" t="n">
        <v>5.3</v>
      </c>
      <c r="Z480" s="62" t="inlineStr">
        <is>
          <t>partial</t>
        </is>
      </c>
      <c r="AA480" s="71" t="n">
        <v>127.12</v>
      </c>
      <c r="AB480" s="72" t="n">
        <v>72.11</v>
      </c>
      <c r="AC480" s="72" t="n">
        <v>31.96</v>
      </c>
      <c r="AD480" s="72" t="n">
        <v>105.88</v>
      </c>
      <c r="AE480" s="72" t="n">
        <v>10.02</v>
      </c>
      <c r="AF480" s="72" t="n"/>
      <c r="AG480" s="72" t="n">
        <v>-9.35</v>
      </c>
      <c r="AH480" s="72" t="n">
        <v>-51.56</v>
      </c>
      <c r="AI480" s="72" t="n"/>
      <c r="AJ480" s="72" t="n">
        <v>110.97</v>
      </c>
      <c r="AK480" s="72" t="n">
        <v>8.09</v>
      </c>
      <c r="AL480" s="72" t="n"/>
      <c r="AM480" s="72" t="n">
        <v>-53.4</v>
      </c>
      <c r="AN480" s="72" t="n">
        <v>1.93</v>
      </c>
      <c r="AO480" s="72" t="n">
        <v>1.84</v>
      </c>
      <c r="AP480" s="62" t="inlineStr">
        <is>
          <t>HSTECH (Hang Seng TECH ETF)</t>
        </is>
      </c>
      <c r="AQ480" s="72" t="n">
        <v>71.02</v>
      </c>
      <c r="AR480" s="63" t="inlineStr">
        <is>
          <t>2026-08-20</t>
        </is>
      </c>
      <c r="AS480" s="64" t="n">
        <v>525.6</v>
      </c>
      <c r="AT480" s="67" t="n">
        <v>-386.5</v>
      </c>
      <c r="AU480" s="62" t="inlineStr">
        <is>
          <t>N</t>
        </is>
      </c>
      <c r="AV480" s="62" t="inlineStr">
        <is>
          <t>n/m</t>
        </is>
      </c>
      <c r="AW480" s="73" t="n"/>
      <c r="AX480" s="73" t="n"/>
      <c r="AY480" s="73" t="n">
        <v>11.8</v>
      </c>
      <c r="AZ480" s="74" t="inlineStr">
        <is>
          <t>N</t>
        </is>
      </c>
      <c r="BA480" s="75">
        <f>IF('BBG Verify'!K480="","not filed — run on terminal",'BBG Verify'!K480)</f>
        <v/>
      </c>
      <c r="BB480" s="62" t="inlineStr">
        <is>
          <t>N/A</t>
        </is>
      </c>
      <c r="BC480" s="62" t="inlineStr">
        <is>
          <t>N/A</t>
        </is>
      </c>
      <c r="BD480" s="62" t="inlineStr">
        <is>
          <t>N/A</t>
        </is>
      </c>
      <c r="BE480" s="62" t="inlineStr">
        <is>
          <t>N/A</t>
        </is>
      </c>
      <c r="BF480" s="62" t="inlineStr">
        <is>
          <t>N/A</t>
        </is>
      </c>
      <c r="BG480" s="74" t="inlineStr">
        <is>
          <t>China International Capital Corporation Hong Kong Securities Limited; Guotai Junan Capital Limited; OCs China International Capital Corporation Hong Kong Securities Limited; Guotai Junan Securities (Hong Kong) Limited</t>
        </is>
      </c>
      <c r="BH480" s="62" t="inlineStr">
        <is>
          <t>China International Capital Corporation Hong Kong Securities Limited; Guotai Junan Capital Limited</t>
        </is>
      </c>
      <c r="BI480" s="62" t="inlineStr">
        <is>
          <t>China International Capital Corporation Hong Kong Securities Limited; Guotai Junan Securities (Hong Kong) Limited; GF Securities (Hong Kong) Brokerage Limited; Daiwa Capital Markets Hong Kong Limited; ABCI Capital Limited; Futu Securities International (Hong Kong) Limited; Tiger Brokers (HK) Global Limited; SPDB International Capital Limited; CMBC Securities Company Limited; Shanxi Securities International Limited</t>
        </is>
      </c>
      <c r="BJ480" s="62" t="inlineStr">
        <is>
          <t>ABCI Securities Company Limited; China International Capital Corporation Hong Kong Securities Limited; CMBC Securities Company Limited; Daiwa Capital Markets Hong Kong Limited; Futu Securities International (Hong Kong) Limited; GF Securities (Hong Kong) Brokerage Limited; Guotai Junan Securities (Hong Kong) Limited; Shanxi Securities International Capital Limited; SPDB International Capital Limited; Tiger Brokers (HK) Global Limited</t>
        </is>
      </c>
      <c r="BK480" s="76">
        <f>HYPERLINK("https://www1.hkexnews.hk/listedco/listconews/sehk/2026/0609/2026060900029.pdf","prospectus")</f>
        <v/>
      </c>
      <c r="BL480" s="76">
        <f>HYPERLINK("https://www1.hkexnews.hk/listedco/listconews/sehk/2026/0616/2026061601760.pdf","allotment")</f>
        <v/>
      </c>
      <c r="BM480" s="76">
        <f>HYPERLINK("https://www1.hkexnews.hk/listedco/listconews/sehk/2026/0712/2026071200003.pdf","stabilisation")</f>
        <v/>
      </c>
      <c r="BN480" s="74" t="n"/>
      <c r="BO480" s="62" t="inlineStr">
        <is>
          <t>P/E: n/m — loss-making at IPO (use P/S) · range low: cap-only pricing — the filing publishes a Maximum Offer Price and no indicative floor · A/H: no A-share listing · 3m: listed less than 3m ago · alpha/index: 3m alpha needs the 3m return first — window has not elapsed yet</t>
        </is>
      </c>
    </row>
    <row r="481" ht="15" customHeight="1">
      <c r="A481" s="61" t="inlineStr">
        <is>
          <t>1392</t>
        </is>
      </c>
      <c r="B481" s="62" t="inlineStr">
        <is>
          <t>HQVT</t>
        </is>
      </c>
      <c r="C481" s="62" t="inlineStr">
        <is>
          <t>海清智元</t>
        </is>
      </c>
      <c r="D481" s="62" t="inlineStr">
        <is>
          <t>Tech/AI</t>
        </is>
      </c>
      <c r="E481" s="62" t="inlineStr">
        <is>
          <t>AI application / agent software</t>
        </is>
      </c>
      <c r="F481" s="62" t="inlineStr">
        <is>
          <t>Next-generation information technology</t>
        </is>
      </c>
      <c r="G481" s="62" t="inlineStr">
        <is>
          <t>Standard</t>
        </is>
      </c>
      <c r="H481" s="63" t="n">
        <v>46195</v>
      </c>
      <c r="I481" s="64" t="n">
        <v>613.17</v>
      </c>
      <c r="J481" s="62" t="inlineStr">
        <is>
          <t>gross (stated)</t>
        </is>
      </c>
      <c r="K481" s="65" t="n"/>
      <c r="L481" s="65" t="n">
        <v>7.2</v>
      </c>
      <c r="M481" s="65" t="n">
        <v>7.2</v>
      </c>
      <c r="N481" s="62" t="inlineStr">
        <is>
          <t>Y</t>
        </is>
      </c>
      <c r="O481" s="66" t="n">
        <v>100</v>
      </c>
      <c r="P481" s="66" t="n"/>
      <c r="Q481" s="67" t="n">
        <v>5574.3</v>
      </c>
      <c r="R481" s="62" t="inlineStr">
        <is>
          <t>derived:price x shares upon listing</t>
        </is>
      </c>
      <c r="S481" s="68" t="n">
        <v>7181.21</v>
      </c>
      <c r="T481" s="69" t="n">
        <v>4.81</v>
      </c>
      <c r="U481" s="70" t="n"/>
      <c r="V481" s="66" t="n">
        <v>11</v>
      </c>
      <c r="W481" s="62" t="n"/>
      <c r="X481" s="62" t="n"/>
      <c r="Y481" s="66" t="n"/>
      <c r="Z481" s="62" t="n"/>
      <c r="AA481" s="71" t="n">
        <v>270.83</v>
      </c>
      <c r="AB481" s="72" t="n">
        <v>302.78</v>
      </c>
      <c r="AC481" s="72" t="n">
        <v>-7.93</v>
      </c>
      <c r="AD481" s="72" t="n">
        <v>143.75</v>
      </c>
      <c r="AE481" s="72" t="n">
        <v>95.83</v>
      </c>
      <c r="AF481" s="72" t="n"/>
      <c r="AG481" s="72" t="n">
        <v>-34.27</v>
      </c>
      <c r="AH481" s="72" t="n">
        <v>-47.19</v>
      </c>
      <c r="AI481" s="72" t="n"/>
      <c r="AJ481" s="72" t="n">
        <v>148.27</v>
      </c>
      <c r="AK481" s="72" t="n">
        <v>94.31999999999999</v>
      </c>
      <c r="AL481" s="72" t="n"/>
      <c r="AM481" s="72" t="n">
        <v>-49.79</v>
      </c>
      <c r="AN481" s="72" t="n">
        <v>1.51</v>
      </c>
      <c r="AO481" s="72" t="n">
        <v>2.6</v>
      </c>
      <c r="AP481" s="62" t="inlineStr">
        <is>
          <t>HSTECH (Hang Seng TECH ETF)</t>
        </is>
      </c>
      <c r="AQ481" s="72" t="n">
        <v>189.72</v>
      </c>
      <c r="AR481" s="63" t="inlineStr">
        <is>
          <t>2026-08-21</t>
        </is>
      </c>
      <c r="AS481" s="64" t="n">
        <v>735.4</v>
      </c>
      <c r="AT481" s="67" t="n">
        <v>32.3</v>
      </c>
      <c r="AU481" s="62" t="inlineStr">
        <is>
          <t>Y</t>
        </is>
      </c>
      <c r="AV481" s="73" t="n">
        <v>172.6</v>
      </c>
      <c r="AW481" s="73" t="n"/>
      <c r="AX481" s="73" t="n"/>
      <c r="AY481" s="73" t="n">
        <v>7.6</v>
      </c>
      <c r="AZ481" s="74" t="inlineStr">
        <is>
          <t>N</t>
        </is>
      </c>
      <c r="BA481" s="75">
        <f>IF('BBG Verify'!K481="","not filed — run on terminal",'BBG Verify'!K481)</f>
        <v/>
      </c>
      <c r="BB481" s="62" t="inlineStr">
        <is>
          <t>N/A</t>
        </is>
      </c>
      <c r="BC481" s="62" t="inlineStr">
        <is>
          <t>N/A</t>
        </is>
      </c>
      <c r="BD481" s="62" t="inlineStr">
        <is>
          <t>N/A</t>
        </is>
      </c>
      <c r="BE481" s="62" t="inlineStr">
        <is>
          <t>N/A</t>
        </is>
      </c>
      <c r="BF481" s="62" t="inlineStr">
        <is>
          <t>N/A</t>
        </is>
      </c>
      <c r="BG481" s="74" t="inlineStr">
        <is>
          <t>CMBC International Capital Limited; Central, Hong Kong SPDB International Capital Limited</t>
        </is>
      </c>
      <c r="BH481" s="62" t="inlineStr">
        <is>
          <t>CMBC International Capital Limited; SPDB International Capital Limited</t>
        </is>
      </c>
      <c r="BI481" s="62" t="inlineStr">
        <is>
          <t>Livermore Holdings Limited; CCB International Capital Limited; Wanchai, Hong Kong CMB International Capital Limited; Central, Hong Kong DL Securities (HK) Limited; Central, Hong Kong Huafu International Securities Limited; Sheung Wan, Hong Kong Skyvast Securities Limited; Central, Hong Kong Somerley Capital Limited; Yuen Meta (International) Securities Limited; Wanchai, Hong Kong Yunfeng Securities Limited; Wanchai, Hong Kong Zheshang International Financial Holdings Co., Limited; Sheung Wan, Hong Kong Zhongtai International Securities Limited</t>
        </is>
      </c>
      <c r="BJ481" s="62" t="inlineStr">
        <is>
          <t>CCB International Capital Limited; CEB International Capital Corporation Limited; China Harbour International Securities Limited; CMBC Securities Company Limited; CMB International Capital Limited; DL Securities (HK) Limited; Huafu International Securities Limited; Livermore Holdings Limited; Somerley Capital Limited; SPDB International Capital Limited; Skyvast Securities Limited; Yunfeng Securities Limited</t>
        </is>
      </c>
      <c r="BK481" s="76">
        <f>HYPERLINK("https://www1.hkexnews.hk/listedco/listconews/sehk/2026/0611/2026061100015.pdf","prospectus")</f>
        <v/>
      </c>
      <c r="BL481" s="76">
        <f>HYPERLINK("https://www1.hkexnews.hk/listedco/listconews/sehk/2026/0618/2026061802066.pdf","allotment")</f>
        <v/>
      </c>
      <c r="BM481" s="62" t="n"/>
      <c r="BN481" s="74" t="n"/>
      <c r="BO481" s="62" t="inlineStr">
        <is>
          <t>greenshoe: no over-allotment option in the offer structure · range low: cap-only pricing — the filing publishes a Maximum Offer Price and no indicative floor · A/H: no A-share listing · 3m: listed less than 3m ago · cornerstone list: cornerstone section not machine-extractable — see the prospectus link · cornerstone %: cornerstone aggregate not stated in the filing · greenshoe size: no over-allotment option in the offer structure · alpha/index: 3m alpha needs the 3m return first — window has not elapsed yet</t>
        </is>
      </c>
    </row>
    <row r="482" ht="15" customHeight="1">
      <c r="A482" s="61" t="inlineStr">
        <is>
          <t>6132</t>
        </is>
      </c>
      <c r="B482" s="62" t="inlineStr">
        <is>
          <t>HJ SCIENCE-B</t>
        </is>
      </c>
      <c r="C482" s="62" t="inlineStr">
        <is>
          <t>華健未來－Ｂ</t>
        </is>
      </c>
      <c r="D482" s="62" t="inlineStr">
        <is>
          <t>Healthcare</t>
        </is>
      </c>
      <c r="E482" s="62" t="inlineStr">
        <is>
          <t>Biotech pre-revenue (18A)</t>
        </is>
      </c>
      <c r="F482" s="62" t="inlineStr">
        <is>
          <t>Biotechnology - Pharmaceuticals</t>
        </is>
      </c>
      <c r="G482" s="62" t="inlineStr">
        <is>
          <t>18A</t>
        </is>
      </c>
      <c r="H482" s="63" t="n">
        <v>46196</v>
      </c>
      <c r="I482" s="64" t="n">
        <v>1112.5</v>
      </c>
      <c r="J482" s="62" t="inlineStr">
        <is>
          <t>gross (stated)</t>
        </is>
      </c>
      <c r="K482" s="65" t="n"/>
      <c r="L482" s="65" t="n">
        <v>81.8</v>
      </c>
      <c r="M482" s="65" t="n">
        <v>81.8</v>
      </c>
      <c r="N482" s="62" t="inlineStr">
        <is>
          <t>Y</t>
        </is>
      </c>
      <c r="O482" s="66" t="n">
        <v>100</v>
      </c>
      <c r="P482" s="66" t="n"/>
      <c r="Q482" s="67" t="n">
        <v>6020</v>
      </c>
      <c r="R482" s="62" t="inlineStr">
        <is>
          <t>press:eastmoney 2026-06: 总市值60.20亿 at HK$81.80</t>
        </is>
      </c>
      <c r="S482" s="68" t="n">
        <v>2007.6</v>
      </c>
      <c r="T482" s="69" t="n">
        <v>7</v>
      </c>
      <c r="U482" s="70" t="n">
        <v>34.66</v>
      </c>
      <c r="V482" s="66" t="n">
        <v>12.07</v>
      </c>
      <c r="W482" s="62" t="inlineStr">
        <is>
          <t>Foresight Fund Management Company Limited; Key Broad Future Limited; LBC HK Opportunity Fund Limited; Panjing Harbourview Investment Fund; Sage Partners Master Fund; Taikang Life Insurance Co., Ltd</t>
        </is>
      </c>
      <c r="X482" s="62" t="inlineStr">
        <is>
          <t>foresight;key;lbc;panjing;sage;taikang</t>
        </is>
      </c>
      <c r="Y482" s="66" t="n">
        <v>7.5</v>
      </c>
      <c r="Z482" s="62" t="inlineStr">
        <is>
          <t>lapsed</t>
        </is>
      </c>
      <c r="AA482" s="71" t="n">
        <v>-56.89</v>
      </c>
      <c r="AB482" s="72" t="n">
        <v>0</v>
      </c>
      <c r="AC482" s="72" t="n">
        <v>-56.89</v>
      </c>
      <c r="AD482" s="72" t="n">
        <v>-56.14</v>
      </c>
      <c r="AE482" s="72" t="n">
        <v>-42.52</v>
      </c>
      <c r="AF482" s="72" t="n"/>
      <c r="AG482" s="72" t="n">
        <v>1.74</v>
      </c>
      <c r="AH482" s="72" t="n">
        <v>33.33</v>
      </c>
      <c r="AI482" s="72" t="n"/>
      <c r="AJ482" s="72" t="n">
        <v>-64.12</v>
      </c>
      <c r="AK482" s="72" t="n">
        <v>-61.81</v>
      </c>
      <c r="AL482" s="72" t="n"/>
      <c r="AM482" s="72" t="n">
        <v>14.16</v>
      </c>
      <c r="AN482" s="72" t="n">
        <v>19.29</v>
      </c>
      <c r="AO482" s="72" t="n">
        <v>19.17</v>
      </c>
      <c r="AP482" s="62" t="inlineStr">
        <is>
          <t>China Biotech ETF (HS biotech proxy)</t>
        </is>
      </c>
      <c r="AQ482" s="72" t="n">
        <v>-52.64</v>
      </c>
      <c r="AR482" s="63" t="inlineStr">
        <is>
          <t>2026-08-20</t>
        </is>
      </c>
      <c r="AS482" s="64" t="n">
        <v>14.3</v>
      </c>
      <c r="AT482" s="67" t="n">
        <v>-148.6</v>
      </c>
      <c r="AU482" s="62" t="inlineStr">
        <is>
          <t>N</t>
        </is>
      </c>
      <c r="AV482" s="62" t="inlineStr">
        <is>
          <t>n/m</t>
        </is>
      </c>
      <c r="AW482" s="73" t="n"/>
      <c r="AX482" s="73" t="n"/>
      <c r="AY482" s="73" t="n">
        <v>421</v>
      </c>
      <c r="AZ482" s="74" t="inlineStr">
        <is>
          <t>N</t>
        </is>
      </c>
      <c r="BA482" s="75">
        <f>IF('BBG Verify'!K482="","not filed — run on terminal",'BBG Verify'!K482)</f>
        <v/>
      </c>
      <c r="BB482" s="62" t="inlineStr">
        <is>
          <t>N/A</t>
        </is>
      </c>
      <c r="BC482" s="62" t="inlineStr">
        <is>
          <t>N/A</t>
        </is>
      </c>
      <c r="BD482" s="62" t="inlineStr">
        <is>
          <t>N/A</t>
        </is>
      </c>
      <c r="BE482" s="62" t="inlineStr">
        <is>
          <t>N/A</t>
        </is>
      </c>
      <c r="BF482" s="62" t="inlineStr">
        <is>
          <t>N/A</t>
        </is>
      </c>
      <c r="BG482" s="74" t="inlineStr">
        <is>
          <t>CITIC Securities (Hong Kong) Limited</t>
        </is>
      </c>
      <c r="BH482" s="62" t="inlineStr">
        <is>
          <t>CITIC Securities (Hong Kong) Limited</t>
        </is>
      </c>
      <c r="BI482" s="62" t="inlineStr">
        <is>
          <t>CLSA Limited</t>
        </is>
      </c>
      <c r="BJ482" s="62" t="inlineStr">
        <is>
          <t>CLSA Limited</t>
        </is>
      </c>
      <c r="BK482" s="76">
        <f>HYPERLINK("https://www1.hkexnews.hk/listedco/listconews/sehk/2026/0612/2026061200083.pdf","prospectus")</f>
        <v/>
      </c>
      <c r="BL482" s="76">
        <f>HYPERLINK("https://www1.hkexnews.hk/listedco/listconews/sehk/2026/0622/2026062201627.pdf","allotment")</f>
        <v/>
      </c>
      <c r="BM482" s="76">
        <f>HYPERLINK("https://www1.hkexnews.hk/listedco/listconews/sehk/2026/0717/2026071700724.pdf","stabilisation")</f>
        <v/>
      </c>
      <c r="BN482" s="74" t="n"/>
      <c r="BO482" s="62" t="inlineStr">
        <is>
          <t>P/E: n/m — loss-making at IPO (use P/S) · range low: cap-only pricing — the filing publishes a Maximum Offer Price and no indicative floor · A/H: no A-share listing · 3m: listed less than 3m ago · P/S: 421x on HK$14.3m revenue — effectively pre-revenue; the multiple is shown for completeness, not comparability · alpha/index: 3m alpha needs the 3m return first — window has not elapsed yet</t>
        </is>
      </c>
    </row>
    <row r="483" ht="15" customHeight="1">
      <c r="A483" s="61" t="inlineStr">
        <is>
          <t>6067</t>
        </is>
      </c>
      <c r="B483" s="62" t="inlineStr">
        <is>
          <t>SENIOR MATERIAL</t>
        </is>
      </c>
      <c r="C483" s="62" t="inlineStr">
        <is>
          <t>星源材質</t>
        </is>
      </c>
      <c r="D483" s="62" t="inlineStr">
        <is>
          <t>Industrials</t>
        </is>
      </c>
      <c r="E483" s="62" t="inlineStr">
        <is>
          <t>Batteries / energy storage</t>
        </is>
      </c>
      <c r="F483" s="62" t="inlineStr">
        <is>
          <t>Battery Products</t>
        </is>
      </c>
      <c r="G483" s="62" t="inlineStr">
        <is>
          <t>Standard</t>
        </is>
      </c>
      <c r="H483" s="63" t="n">
        <v>46196</v>
      </c>
      <c r="I483" s="64" t="n">
        <v>1342.7</v>
      </c>
      <c r="J483" s="62" t="inlineStr">
        <is>
          <t>gross (stated)</t>
        </is>
      </c>
      <c r="K483" s="65" t="n"/>
      <c r="L483" s="65" t="n">
        <v>8.98</v>
      </c>
      <c r="M483" s="65" t="n">
        <v>8.98</v>
      </c>
      <c r="N483" s="62" t="inlineStr">
        <is>
          <t>Y</t>
        </is>
      </c>
      <c r="O483" s="66" t="n">
        <v>100</v>
      </c>
      <c r="P483" s="66" t="n"/>
      <c r="Q483" s="67" t="n">
        <v>13427.2</v>
      </c>
      <c r="R483" s="62" t="inlineStr">
        <is>
          <t>derived:price x shares upon listing</t>
        </is>
      </c>
      <c r="S483" s="68" t="n">
        <v>1563.16</v>
      </c>
      <c r="T483" s="69" t="n">
        <v>14.34</v>
      </c>
      <c r="U483" s="70" t="n">
        <v>45.14</v>
      </c>
      <c r="V483" s="66" t="n">
        <v>5.49</v>
      </c>
      <c r="W483" s="62" t="inlineStr">
        <is>
          <t>Bona Star Consultant Limited; CICC Financial Trading Limited; Fullgoal Fund Management Co., Ltd; GF Fund Management Co., Ltd; Harvest International Premium Value (Secondary Market) Fund SPC; JINKOSOLAR INVESTMENT LIMITED; Mondeomax Limited; Mr. Chen Feng; SHEEN NATION HOLDINGS LIMITED; SINSANWA HOLDINGS (H.K.) CO., LIMITED; Springs Capital (Hong Kong) Limited; Sunwoda Treasury (Hong Kong) Limited; Taikang Life Insurance Co., Ltd</t>
        </is>
      </c>
      <c r="X483" s="62" t="inlineStr">
        <is>
          <t>bona;china-international;fullgoal;gf;harvest;jinkosolar;mondeomax;mr-chen;sheen;sinsanwa;springs;sunwoda;taikang</t>
        </is>
      </c>
      <c r="Y483" s="66" t="n"/>
      <c r="Z483" s="62" t="n"/>
      <c r="AA483" s="71" t="n">
        <v>22.49</v>
      </c>
      <c r="AB483" s="72" t="n">
        <v>38.42</v>
      </c>
      <c r="AC483" s="72" t="n">
        <v>-11.51</v>
      </c>
      <c r="AD483" s="72" t="n">
        <v>10.24</v>
      </c>
      <c r="AE483" s="72" t="n">
        <v>-12.25</v>
      </c>
      <c r="AF483" s="72" t="n"/>
      <c r="AG483" s="72" t="n">
        <v>-10</v>
      </c>
      <c r="AH483" s="72" t="n">
        <v>-28.36</v>
      </c>
      <c r="AI483" s="72" t="n"/>
      <c r="AJ483" s="72" t="n">
        <v>13.81</v>
      </c>
      <c r="AK483" s="72" t="n">
        <v>-18.87</v>
      </c>
      <c r="AL483" s="72" t="n"/>
      <c r="AM483" s="72" t="n">
        <v>-38.07</v>
      </c>
      <c r="AN483" s="72" t="n">
        <v>6.62</v>
      </c>
      <c r="AO483" s="72" t="n">
        <v>9.710000000000001</v>
      </c>
      <c r="AP483" s="62" t="inlineStr">
        <is>
          <t>Hang Seng Commerce &amp; Industry sub-index</t>
        </is>
      </c>
      <c r="AQ483" s="72" t="n">
        <v>-12.47</v>
      </c>
      <c r="AR483" s="63" t="inlineStr">
        <is>
          <t>2026-08-20</t>
        </is>
      </c>
      <c r="AS483" s="64" t="n">
        <v>4484.5</v>
      </c>
      <c r="AT483" s="67" t="n">
        <v>157.4</v>
      </c>
      <c r="AU483" s="62" t="inlineStr">
        <is>
          <t>Y</t>
        </is>
      </c>
      <c r="AV483" s="73" t="n">
        <v>85.3</v>
      </c>
      <c r="AW483" s="73" t="n">
        <v>297.2</v>
      </c>
      <c r="AX483" s="73" t="n">
        <v>224.7</v>
      </c>
      <c r="AY483" s="73" t="n">
        <v>3</v>
      </c>
      <c r="AZ483" s="74" t="inlineStr">
        <is>
          <t>Y</t>
        </is>
      </c>
      <c r="BA483" s="62" t="inlineStr">
        <is>
          <t>300568.SZ</t>
        </is>
      </c>
      <c r="BB483" s="72" t="n">
        <v>162.05</v>
      </c>
      <c r="BC483" s="65" t="n">
        <v>23.5319</v>
      </c>
      <c r="BD483" s="79" t="n">
        <v>1.1825</v>
      </c>
      <c r="BE483" s="77">
        <f>IF('BBG Verify'!Q483="","run on terminal",'BBG Verify'!Q483)</f>
        <v/>
      </c>
      <c r="BF483" s="77">
        <f>IF('BBG Verify'!R483="","run on terminal",'BBG Verify'!R483)</f>
        <v/>
      </c>
      <c r="BG483" s="74" t="inlineStr">
        <is>
          <t>China Securities (International) Corporate Finance Company Limited</t>
        </is>
      </c>
      <c r="BH483" s="62" t="inlineStr">
        <is>
          <t>China Securities (International) Corporate Finance Company Limited</t>
        </is>
      </c>
      <c r="BI483" s="62" t="inlineStr">
        <is>
          <t>CMBC Securities Company Limited; Jinluo Securities Limited; New Industrial Financial Holdings Limited; China Industrial Securities International Capital Limited; Futu Securities International (Hong Kong) Limited; Tiger Brokers (HK) Global Limited; China Securities (International) Corporate Finance Company Limited; Huatai Financial Holdings (Hong Kong) Limited; ICBC International Securities Limited</t>
        </is>
      </c>
      <c r="BJ483" s="62" t="inlineStr">
        <is>
          <t>China International Capital Corporation Hong Kong Securities Limited; China Industrial Securities International Capital Limited; CMBC Securities Company Limited; China Securities (International) Corporate Finance Company Limited; Futu Securities International (Hong Kong) Limited; Huatai Financial Holdings (Hong Kong) Limited; ICBC International Securities Limited; Jinluo Securities Limited; New Industrial Financial Holdings Limited; Tiger Brokers (HK) Global Limited; Vast Harbour Securities Limited</t>
        </is>
      </c>
      <c r="BK483" s="76">
        <f>HYPERLINK("https://www1.hkexnews.hk/listedco/listconews/sehk/2026/0612/2026061200031.pdf","prospectus")</f>
        <v/>
      </c>
      <c r="BL483" s="76">
        <f>HYPERLINK("https://www1.hkexnews.hk/listedco/listconews/sehk/2026/0622/2026062202141.pdf","allotment")</f>
        <v/>
      </c>
      <c r="BM483" s="62" t="n"/>
      <c r="BN483" s="74" t="n"/>
      <c r="BO483" s="62" t="inlineStr">
        <is>
          <t>greenshoe: no over-allotment option in the offer structure · range low: cap-only pricing — the filing publishes a Maximum Offer Price and no indicative floor · A/H: Jun 2026 H listing (battery separators) · 3m: listed less than 3m ago · greenshoe size: no over-allotment option in the offer structure · alpha/index: 3m alpha needs the 3m return first — window has not elapsed yet</t>
        </is>
      </c>
    </row>
    <row r="484" ht="15" customHeight="1">
      <c r="A484" s="61" t="inlineStr">
        <is>
          <t>2335</t>
        </is>
      </c>
      <c r="B484" s="62" t="inlineStr">
        <is>
          <t>MICOT PHARMA-B</t>
        </is>
      </c>
      <c r="C484" s="62" t="inlineStr">
        <is>
          <t>麥科醫藥－Ｂ</t>
        </is>
      </c>
      <c r="D484" s="62" t="inlineStr">
        <is>
          <t>Healthcare</t>
        </is>
      </c>
      <c r="E484" s="62" t="inlineStr">
        <is>
          <t>Biotech pre-revenue (18A)</t>
        </is>
      </c>
      <c r="F484" s="62" t="inlineStr">
        <is>
          <t>Biotechnology - Pharmaceuticals</t>
        </is>
      </c>
      <c r="G484" s="62" t="inlineStr">
        <is>
          <t>18A</t>
        </is>
      </c>
      <c r="H484" s="63" t="n">
        <v>46197</v>
      </c>
      <c r="I484" s="64" t="n">
        <v>1056.6</v>
      </c>
      <c r="J484" s="62" t="inlineStr">
        <is>
          <t>gross (stated)</t>
        </is>
      </c>
      <c r="K484" s="65" t="n">
        <v>18.2</v>
      </c>
      <c r="L484" s="65" t="n">
        <v>21</v>
      </c>
      <c r="M484" s="65" t="n">
        <v>18.2</v>
      </c>
      <c r="N484" s="62" t="inlineStr">
        <is>
          <t>N</t>
        </is>
      </c>
      <c r="O484" s="66" t="n">
        <v>86.7</v>
      </c>
      <c r="P484" s="66" t="n">
        <v>0</v>
      </c>
      <c r="Q484" s="67" t="n">
        <v>6037.7</v>
      </c>
      <c r="R484" s="62" t="inlineStr">
        <is>
          <t>derived:price x shares upon listing</t>
        </is>
      </c>
      <c r="S484" s="68" t="n">
        <v>1181.46</v>
      </c>
      <c r="T484" s="69" t="n">
        <v>2.52</v>
      </c>
      <c r="U484" s="70" t="n">
        <v>42.51</v>
      </c>
      <c r="V484" s="66" t="n">
        <v>10.06</v>
      </c>
      <c r="W484" s="62" t="inlineStr">
        <is>
          <t>Everest Medicines Limited; Qiyuan High-tech Innovation Investment (Hong Kong) Limited; Summit Capital Limited</t>
        </is>
      </c>
      <c r="X484" s="62" t="inlineStr">
        <is>
          <t>everest;qiyuan;summit</t>
        </is>
      </c>
      <c r="Y484" s="66" t="n">
        <v>8.24</v>
      </c>
      <c r="Z484" s="62" t="n"/>
      <c r="AA484" s="71" t="n">
        <v>102.75</v>
      </c>
      <c r="AB484" s="72" t="n">
        <v>86.92</v>
      </c>
      <c r="AC484" s="72" t="n">
        <v>8.470000000000001</v>
      </c>
      <c r="AD484" s="72" t="n">
        <v>97.58</v>
      </c>
      <c r="AE484" s="72" t="n">
        <v>86.81</v>
      </c>
      <c r="AF484" s="72" t="n"/>
      <c r="AG484" s="72" t="n">
        <v>-2.55</v>
      </c>
      <c r="AH484" s="72" t="n">
        <v>-7.86</v>
      </c>
      <c r="AI484" s="72" t="n"/>
      <c r="AJ484" s="72" t="n">
        <v>86.28</v>
      </c>
      <c r="AK484" s="72" t="n">
        <v>70.06</v>
      </c>
      <c r="AL484" s="72" t="n"/>
      <c r="AM484" s="72" t="n">
        <v>-21.18</v>
      </c>
      <c r="AN484" s="72" t="n">
        <v>16.75</v>
      </c>
      <c r="AO484" s="72" t="n">
        <v>13.32</v>
      </c>
      <c r="AP484" s="62" t="inlineStr">
        <is>
          <t>China Biotech ETF (HS biotech proxy)</t>
        </is>
      </c>
      <c r="AQ484" s="72" t="n">
        <v>65.93000000000001</v>
      </c>
      <c r="AR484" s="63" t="inlineStr">
        <is>
          <t>2026-08-20</t>
        </is>
      </c>
      <c r="AS484" s="64" t="n">
        <v>2.2</v>
      </c>
      <c r="AT484" s="67" t="n">
        <v>-203.4</v>
      </c>
      <c r="AU484" s="62" t="inlineStr">
        <is>
          <t>N</t>
        </is>
      </c>
      <c r="AV484" s="62" t="inlineStr">
        <is>
          <t>n/m</t>
        </is>
      </c>
      <c r="AW484" s="73" t="n"/>
      <c r="AX484" s="73" t="n"/>
      <c r="AY484" s="73" t="n">
        <v>2744.4</v>
      </c>
      <c r="AZ484" s="74" t="inlineStr">
        <is>
          <t>N</t>
        </is>
      </c>
      <c r="BA484" s="75">
        <f>IF('BBG Verify'!K484="","not filed — run on terminal",'BBG Verify'!K484)</f>
        <v/>
      </c>
      <c r="BB484" s="62" t="inlineStr">
        <is>
          <t>N/A</t>
        </is>
      </c>
      <c r="BC484" s="62" t="inlineStr">
        <is>
          <t>N/A</t>
        </is>
      </c>
      <c r="BD484" s="62" t="inlineStr">
        <is>
          <t>N/A</t>
        </is>
      </c>
      <c r="BE484" s="62" t="inlineStr">
        <is>
          <t>N/A</t>
        </is>
      </c>
      <c r="BF484" s="62" t="inlineStr">
        <is>
          <t>N/A</t>
        </is>
      </c>
      <c r="BG484" s="74" t="n"/>
      <c r="BH484" s="62" t="inlineStr">
        <is>
          <t>CCB International Capital Limited; China Merchants Securities (HK) Company Limited</t>
        </is>
      </c>
      <c r="BI484" s="62" t="inlineStr">
        <is>
          <t>CCB International Capital Limited; China Merchants Securities (HK) Company Limited; Jakota Securities Group Limited; Ruibang Securities Limited; Sinolink Securities (Hong Kong) Company Limited; Somerley Capital Limited</t>
        </is>
      </c>
      <c r="BJ484" s="62" t="inlineStr">
        <is>
          <t>CCB International Capital Limited; China Merchants Securities (HK) Company Limited; Jakota Securities Group Limited; Ruibang Securities Limited; Sinolink Securities (Hong Kong) Company Limited; Somerley Capital Limited; Skyvast Securities Limited; Tiger Brokers (HK) Global Limited</t>
        </is>
      </c>
      <c r="BK484" s="76">
        <f>HYPERLINK("https://www1.hkexnews.hk/listedco/listconews/sehk/2026/0615/2026061500009.pdf","prospectus")</f>
        <v/>
      </c>
      <c r="BL484" s="76">
        <f>HYPERLINK("https://www1.hkexnews.hk/listedco/listconews/sehk/2026/0623/2026062301227.pdf","allotment")</f>
        <v/>
      </c>
      <c r="BM484" s="62" t="n"/>
      <c r="BN484" s="74" t="n"/>
      <c r="BO484" s="62" t="inlineStr">
        <is>
          <t>P/E: n/m — loss-making at IPO (use P/S) · greenshoe: end-of-stabilisation notice not located · A/H: no A-share listing · 3m: listed less than 3m ago · sponsor: English name not in the filing text; AAStocks 保薦人 shown · P/S: 2,744x on HK$2.2m revenue — effectively pre-revenue; the multiple is shown for completeness, not comparability · alpha/index: 3m alpha needs the 3m return first — window has not elapsed yet</t>
        </is>
      </c>
    </row>
    <row r="485" ht="15" customHeight="1">
      <c r="A485" s="61" t="inlineStr">
        <is>
          <t>6106</t>
        </is>
      </c>
      <c r="B485" s="62" t="inlineStr">
        <is>
          <t>SEER TECH</t>
        </is>
      </c>
      <c r="C485" s="62" t="inlineStr">
        <is>
          <t>仙工智能</t>
        </is>
      </c>
      <c r="D485" s="62" t="inlineStr">
        <is>
          <t>Tech/AI</t>
        </is>
      </c>
      <c r="E485" s="62" t="inlineStr">
        <is>
          <t>Robotics &amp; autonomous driving</t>
        </is>
      </c>
      <c r="F485" s="62" t="inlineStr">
        <is>
          <t>Advanced hardware and software</t>
        </is>
      </c>
      <c r="G485" s="62" t="inlineStr">
        <is>
          <t>Standard</t>
        </is>
      </c>
      <c r="H485" s="63" t="n">
        <v>46197</v>
      </c>
      <c r="I485" s="64" t="n">
        <v>1066.5</v>
      </c>
      <c r="J485" s="62" t="inlineStr">
        <is>
          <t>gross (stated)</t>
        </is>
      </c>
      <c r="K485" s="65" t="n"/>
      <c r="L485" s="65" t="n">
        <v>101.6</v>
      </c>
      <c r="M485" s="65" t="n">
        <v>101.6</v>
      </c>
      <c r="N485" s="62" t="inlineStr">
        <is>
          <t>Y</t>
        </is>
      </c>
      <c r="O485" s="66" t="n">
        <v>100</v>
      </c>
      <c r="P485" s="66" t="n"/>
      <c r="Q485" s="67" t="n">
        <v>9902.5</v>
      </c>
      <c r="R485" s="62" t="inlineStr">
        <is>
          <t>derived:deal size / offer % of enlarged capital</t>
        </is>
      </c>
      <c r="S485" s="68" t="n">
        <v>5934.56</v>
      </c>
      <c r="T485" s="69" t="n">
        <v>21.29</v>
      </c>
      <c r="U485" s="70" t="n">
        <v>43.2</v>
      </c>
      <c r="V485" s="66" t="n">
        <v>6.12</v>
      </c>
      <c r="W485" s="62" t="inlineStr">
        <is>
          <t>3W Fund Management Limited; GF Fund Management Co., Ltd; HHLR Advisors, Ltd; Nova Kerry Inc; Ruihua (International) Investment Limited; Splendid Zhonghe (Tianjin) Investment Management Co., Ltd; Yishao Capital Management (HK) Limited; Yuanbao Family Office Limited</t>
        </is>
      </c>
      <c r="X485" s="62" t="inlineStr">
        <is>
          <t>3w;gf;hhlr;nova;ruihua;splendid;yishao;yuanbao</t>
        </is>
      </c>
      <c r="Y485" s="66" t="n">
        <v>15</v>
      </c>
      <c r="Z485" s="62" t="inlineStr">
        <is>
          <t>lapsed</t>
        </is>
      </c>
      <c r="AA485" s="71" t="n">
        <v>4.33</v>
      </c>
      <c r="AB485" s="72" t="n">
        <v>0</v>
      </c>
      <c r="AC485" s="72" t="n">
        <v>4.33</v>
      </c>
      <c r="AD485" s="72" t="n">
        <v>-19.54</v>
      </c>
      <c r="AE485" s="72" t="n">
        <v>-44.69</v>
      </c>
      <c r="AF485" s="72" t="n"/>
      <c r="AG485" s="72" t="n">
        <v>-22.88</v>
      </c>
      <c r="AH485" s="72" t="n">
        <v>-46.99</v>
      </c>
      <c r="AI485" s="72" t="n"/>
      <c r="AJ485" s="72" t="n">
        <v>-20.7</v>
      </c>
      <c r="AK485" s="72" t="n">
        <v>-49.98</v>
      </c>
      <c r="AL485" s="72" t="n"/>
      <c r="AM485" s="72" t="n">
        <v>-50.23</v>
      </c>
      <c r="AN485" s="72" t="n">
        <v>5.29</v>
      </c>
      <c r="AO485" s="72" t="n">
        <v>3.24</v>
      </c>
      <c r="AP485" s="62" t="inlineStr">
        <is>
          <t>HSTECH (Hang Seng TECH ETF)</t>
        </is>
      </c>
      <c r="AQ485" s="72" t="n">
        <v>-37.7</v>
      </c>
      <c r="AR485" s="63" t="inlineStr">
        <is>
          <t>2026-08-20</t>
        </is>
      </c>
      <c r="AS485" s="64" t="n">
        <v>486.1</v>
      </c>
      <c r="AT485" s="67" t="n">
        <v>-51.8</v>
      </c>
      <c r="AU485" s="62" t="inlineStr">
        <is>
          <t>N</t>
        </is>
      </c>
      <c r="AV485" s="62" t="inlineStr">
        <is>
          <t>n/m</t>
        </is>
      </c>
      <c r="AW485" s="73" t="n"/>
      <c r="AX485" s="73" t="n"/>
      <c r="AY485" s="73" t="n">
        <v>20.4</v>
      </c>
      <c r="AZ485" s="74" t="inlineStr">
        <is>
          <t>N</t>
        </is>
      </c>
      <c r="BA485" s="75">
        <f>IF('BBG Verify'!K485="","not filed — run on terminal",'BBG Verify'!K485)</f>
        <v/>
      </c>
      <c r="BB485" s="62" t="inlineStr">
        <is>
          <t>N/A</t>
        </is>
      </c>
      <c r="BC485" s="62" t="inlineStr">
        <is>
          <t>N/A</t>
        </is>
      </c>
      <c r="BD485" s="62" t="inlineStr">
        <is>
          <t>N/A</t>
        </is>
      </c>
      <c r="BE485" s="62" t="inlineStr">
        <is>
          <t>N/A</t>
        </is>
      </c>
      <c r="BF485" s="62" t="inlineStr">
        <is>
          <t>N/A</t>
        </is>
      </c>
      <c r="BG485" s="74" t="n"/>
      <c r="BH485" s="62" t="inlineStr">
        <is>
          <t>China International Capital Corporation Hong Kong Securities Limited</t>
        </is>
      </c>
      <c r="BI485" s="62" t="inlineStr">
        <is>
          <t>Kong Securities Limited; CMB International Capital Limited; Soochow Securities International Brokerage Limited; BOCI Asia Limited; Futu Securities International (Hong Kong) Limited; Tiger Brokers (HK) Global Limited; Central, Hong Kong Zheshang International Financial Holdings Co., Limited; ABCI Capital Limited; ABCI Securities Company Limited</t>
        </is>
      </c>
      <c r="BJ485" s="62" t="inlineStr">
        <is>
          <t>ABCI Securities Company Limited; BOCI Asia Limited; China International Capital Corporation Hong Kong Securities Limited; CMB International Capital Limited; Futu Securities International (Hong Kong) Limited; Soochow Securities International Brokerage Limited; Tiger Brokers (HK) Global Limited; Zheshang International Financial Holdings Co., Limited</t>
        </is>
      </c>
      <c r="BK485" s="76">
        <f>HYPERLINK("https://www1.hkexnews.hk/listedco/listconews/sehk/2026/0615/2026061500013.pdf","prospectus")</f>
        <v/>
      </c>
      <c r="BL485" s="76">
        <f>HYPERLINK("https://www1.hkexnews.hk/listedco/listconews/sehk/2026/0623/2026062302143.pdf","allotment")</f>
        <v/>
      </c>
      <c r="BM485" s="76">
        <f>HYPERLINK("https://www1.hkexnews.hk/listedco/listconews/sehk/2026/0719/2026071900001.pdf","stabilisation")</f>
        <v/>
      </c>
      <c r="BN485" s="74" t="n"/>
      <c r="BO485" s="62" t="inlineStr">
        <is>
          <t>P/E: n/m — loss-making at IPO (use P/S) · range low: cap-only pricing — the filing publishes a Maximum Offer Price and no indicative floor · A/H: no A-share listing · 3m: listed less than 3m ago · sponsor: English name not in the filing text; AAStocks 保薦人 shown · alpha/index: 3m alpha needs the 3m return first — window has not elapsed yet</t>
        </is>
      </c>
    </row>
    <row r="486" ht="15" customHeight="1">
      <c r="A486" s="61" t="inlineStr">
        <is>
          <t>2272</t>
        </is>
      </c>
      <c r="B486" s="62" t="inlineStr">
        <is>
          <t>KEYTOP PARKING</t>
        </is>
      </c>
      <c r="C486" s="62" t="inlineStr">
        <is>
          <t>科拓股份</t>
        </is>
      </c>
      <c r="D486" s="62" t="inlineStr">
        <is>
          <t>Tech/AI</t>
        </is>
      </c>
      <c r="E486" s="62" t="inlineStr">
        <is>
          <t>SaaS / enterprise software</t>
        </is>
      </c>
      <c r="F486" s="62" t="inlineStr">
        <is>
          <t>Application Software</t>
        </is>
      </c>
      <c r="G486" s="62" t="inlineStr">
        <is>
          <t>Standard</t>
        </is>
      </c>
      <c r="H486" s="63" t="n">
        <v>46199</v>
      </c>
      <c r="I486" s="64" t="n">
        <v>399.9</v>
      </c>
      <c r="J486" s="62" t="inlineStr">
        <is>
          <t>gross (stated)</t>
        </is>
      </c>
      <c r="K486" s="65" t="n"/>
      <c r="L486" s="65" t="n">
        <v>39.55</v>
      </c>
      <c r="M486" s="65" t="n">
        <v>39.55</v>
      </c>
      <c r="N486" s="62" t="inlineStr">
        <is>
          <t>Y</t>
        </is>
      </c>
      <c r="O486" s="66" t="n">
        <v>100</v>
      </c>
      <c r="P486" s="66" t="n"/>
      <c r="Q486" s="67" t="n">
        <v>3999.4</v>
      </c>
      <c r="R486" s="62" t="inlineStr">
        <is>
          <t>derived:price x shares upon listing</t>
        </is>
      </c>
      <c r="S486" s="68" t="n">
        <v>2115.21</v>
      </c>
      <c r="T486" s="69" t="n">
        <v>5.56</v>
      </c>
      <c r="U486" s="70" t="n">
        <v>0</v>
      </c>
      <c r="V486" s="66" t="n">
        <v>10</v>
      </c>
      <c r="W486" s="62" t="n"/>
      <c r="X486" s="62" t="n"/>
      <c r="Y486" s="66" t="n">
        <v>10</v>
      </c>
      <c r="Z486" s="62" t="n"/>
      <c r="AA486" s="71" t="n">
        <v>203.92</v>
      </c>
      <c r="AB486" s="72" t="n">
        <v>178.38</v>
      </c>
      <c r="AC486" s="72" t="n">
        <v>9.17</v>
      </c>
      <c r="AD486" s="72" t="n">
        <v>199.87</v>
      </c>
      <c r="AE486" s="72" t="n">
        <v>176.86</v>
      </c>
      <c r="AF486" s="72" t="n"/>
      <c r="AG486" s="72" t="n">
        <v>-1.33</v>
      </c>
      <c r="AH486" s="72" t="n">
        <v>-8.9</v>
      </c>
      <c r="AI486" s="72" t="n"/>
      <c r="AJ486" s="72" t="n">
        <v>196.96</v>
      </c>
      <c r="AK486" s="72" t="n">
        <v>169.61</v>
      </c>
      <c r="AL486" s="72" t="n"/>
      <c r="AM486" s="72" t="n">
        <v>-19.99</v>
      </c>
      <c r="AN486" s="72" t="n">
        <v>7.25</v>
      </c>
      <c r="AO486" s="72" t="n">
        <v>11.09</v>
      </c>
      <c r="AP486" s="62" t="inlineStr">
        <is>
          <t>HSTECH (Hang Seng TECH ETF)</t>
        </is>
      </c>
      <c r="AQ486" s="72" t="n">
        <v>167.76</v>
      </c>
      <c r="AR486" s="63" t="inlineStr">
        <is>
          <t>2026-08-20</t>
        </is>
      </c>
      <c r="AS486" s="64" t="n">
        <v>913.7</v>
      </c>
      <c r="AT486" s="67" t="n">
        <v>103</v>
      </c>
      <c r="AU486" s="62" t="inlineStr">
        <is>
          <t>Y</t>
        </is>
      </c>
      <c r="AV486" s="73" t="n">
        <v>38.8</v>
      </c>
      <c r="AW486" s="73" t="n"/>
      <c r="AX486" s="73" t="n"/>
      <c r="AY486" s="73" t="n">
        <v>4.4</v>
      </c>
      <c r="AZ486" s="74" t="inlineStr">
        <is>
          <t>N</t>
        </is>
      </c>
      <c r="BA486" s="75">
        <f>IF('BBG Verify'!K486="","not filed — run on terminal",'BBG Verify'!K486)</f>
        <v/>
      </c>
      <c r="BB486" s="62" t="inlineStr">
        <is>
          <t>N/A</t>
        </is>
      </c>
      <c r="BC486" s="62" t="inlineStr">
        <is>
          <t>N/A</t>
        </is>
      </c>
      <c r="BD486" s="62" t="inlineStr">
        <is>
          <t>N/A</t>
        </is>
      </c>
      <c r="BE486" s="62" t="inlineStr">
        <is>
          <t>N/A</t>
        </is>
      </c>
      <c r="BF486" s="62" t="inlineStr">
        <is>
          <t>N/A</t>
        </is>
      </c>
      <c r="BG486" s="74" t="inlineStr">
        <is>
          <t>China International Capital Corporation Hong Kong Securities Limited; Sponsor-OCs China International Capital Corporation Hong Kong Securities Limited; CMBC Securities Company Limited</t>
        </is>
      </c>
      <c r="BH486" s="62" t="inlineStr">
        <is>
          <t>China International Capital Corporation Hong Kong Securities Limited; CMBC International Capital Limited</t>
        </is>
      </c>
      <c r="BI486" s="62" t="inlineStr">
        <is>
          <t>CMB International Capital Limited; Shenwan Hongyuan Securities (H.K.) Limited; CCB International Capital Limited; Somerley Capital Limited; Huafu International Securities Limited; Yue Xiu Securities Company Limited; Yuen Meta (International) Securities Limited; TFI Securities and Futures Limited</t>
        </is>
      </c>
      <c r="BJ486" s="62" t="inlineStr">
        <is>
          <t>CCB International Capital Limited; China International Capital Corporation Hong Kong Securities Limited; CMBC Securities Company Limited; CMB International Capital Limited; Futu Securities International (Hong Kong) Limited; Huafu International Securities Limited; New Industrial Financial Holdings Limited; Patrons Securities Limited; SDIC Securities (Hong Kong) Limited; Shenwan Hongyuan Securities (H.K.) Limited; Somerley Capital Limited; Skyvast Securities Limited</t>
        </is>
      </c>
      <c r="BK486" s="76">
        <f>HYPERLINK("https://www1.hkexnews.hk/listedco/listconews/sehk/2026/0617/2026061700071.pdf","prospectus")</f>
        <v/>
      </c>
      <c r="BL486" s="76">
        <f>HYPERLINK("https://www1.hkexnews.hk/listedco/listconews/sehk/2026/0625/2026062501916.pdf","allotment")</f>
        <v/>
      </c>
      <c r="BM486" s="62" t="n"/>
      <c r="BN486" s="74" t="n"/>
      <c r="BO486" s="62" t="inlineStr">
        <is>
          <t>greenshoe: end-of-stabilisation notice not located · range low: cap-only pricing — the filing publishes a Maximum Offer Price and no indicative floor · A/H: no A-share listing · 3m: listed less than 3m ago · cornerstone list: no cornerstone tranche in this deal · alpha/index: 3m alpha needs the 3m return first — window has not elapsed yet</t>
        </is>
      </c>
    </row>
    <row r="487" ht="15" customHeight="1">
      <c r="A487" s="61" t="inlineStr">
        <is>
          <t>1956</t>
        </is>
      </c>
      <c r="B487" s="62" t="inlineStr">
        <is>
          <t>WENGE AI</t>
        </is>
      </c>
      <c r="C487" s="62" t="inlineStr">
        <is>
          <t>中科聞歌</t>
        </is>
      </c>
      <c r="D487" s="62" t="inlineStr">
        <is>
          <t>Tech/AI</t>
        </is>
      </c>
      <c r="E487" s="62" t="inlineStr">
        <is>
          <t>AI application / agent software</t>
        </is>
      </c>
      <c r="F487" s="62" t="inlineStr">
        <is>
          <t>Advanced hardware and software</t>
        </is>
      </c>
      <c r="G487" s="62" t="inlineStr">
        <is>
          <t>Standard</t>
        </is>
      </c>
      <c r="H487" s="63" t="n">
        <v>46199</v>
      </c>
      <c r="I487" s="64" t="n">
        <v>900.5</v>
      </c>
      <c r="J487" s="62" t="inlineStr">
        <is>
          <t>gross (stated)</t>
        </is>
      </c>
      <c r="K487" s="65" t="n"/>
      <c r="L487" s="65" t="n">
        <v>60.7</v>
      </c>
      <c r="M487" s="65" t="n">
        <v>60.7</v>
      </c>
      <c r="N487" s="62" t="inlineStr">
        <is>
          <t>Y</t>
        </is>
      </c>
      <c r="O487" s="66" t="n">
        <v>100</v>
      </c>
      <c r="P487" s="66" t="n"/>
      <c r="Q487" s="67" t="n">
        <v>10507.6</v>
      </c>
      <c r="R487" s="62" t="inlineStr">
        <is>
          <t>derived:deal size / offer % of enlarged capital</t>
        </is>
      </c>
      <c r="S487" s="68" t="n">
        <v>5966.78</v>
      </c>
      <c r="T487" s="69" t="n">
        <v>20.7</v>
      </c>
      <c r="U487" s="70" t="n">
        <v>26.97</v>
      </c>
      <c r="V487" s="66" t="n">
        <v>6.26</v>
      </c>
      <c r="W487" s="62" t="inlineStr">
        <is>
          <t>China Orient Enhanced Income Fund; CMBC INTERNATIONAL INVESTMENT (HK) LIMITED; First Seafront Asset Management Limited; Guohui (HK) Holdings Co., Limited; Harvest Global Investments Limited; Huatai Capital Investment Limited</t>
        </is>
      </c>
      <c r="X487" s="62" t="inlineStr">
        <is>
          <t>orient;cmbc;first-seafront;guohui;harvest;huatai</t>
        </is>
      </c>
      <c r="Y487" s="66" t="n">
        <v>20</v>
      </c>
      <c r="Z487" s="62" t="inlineStr">
        <is>
          <t>partial</t>
        </is>
      </c>
      <c r="AA487" s="71" t="n">
        <v>84.02</v>
      </c>
      <c r="AB487" s="72" t="n">
        <v>81.22</v>
      </c>
      <c r="AC487" s="72" t="n">
        <v>1.55</v>
      </c>
      <c r="AD487" s="72" t="n">
        <v>30.07</v>
      </c>
      <c r="AE487" s="72" t="n">
        <v>0.99</v>
      </c>
      <c r="AF487" s="72" t="n"/>
      <c r="AG487" s="72" t="n">
        <v>-29.32</v>
      </c>
      <c r="AH487" s="72" t="n">
        <v>-45.12</v>
      </c>
      <c r="AI487" s="72" t="n"/>
      <c r="AJ487" s="72" t="n">
        <v>27.16</v>
      </c>
      <c r="AK487" s="72" t="n">
        <v>-6.26</v>
      </c>
      <c r="AL487" s="72" t="n"/>
      <c r="AM487" s="72" t="n">
        <v>-56.21</v>
      </c>
      <c r="AN487" s="72" t="n">
        <v>7.25</v>
      </c>
      <c r="AO487" s="72" t="n">
        <v>11.09</v>
      </c>
      <c r="AP487" s="62" t="inlineStr">
        <is>
          <t>HSTECH (Hang Seng TECH ETF)</t>
        </is>
      </c>
      <c r="AQ487" s="72" t="n">
        <v>39.04</v>
      </c>
      <c r="AR487" s="63" t="inlineStr">
        <is>
          <t>2026-08-20</t>
        </is>
      </c>
      <c r="AS487" s="64" t="n">
        <v>445.8</v>
      </c>
      <c r="AT487" s="67" t="n">
        <v>-172.8</v>
      </c>
      <c r="AU487" s="62" t="inlineStr">
        <is>
          <t>N</t>
        </is>
      </c>
      <c r="AV487" s="62" t="inlineStr">
        <is>
          <t>n/m</t>
        </is>
      </c>
      <c r="AW487" s="73" t="n"/>
      <c r="AX487" s="73" t="n"/>
      <c r="AY487" s="73" t="n">
        <v>23.6</v>
      </c>
      <c r="AZ487" s="74" t="inlineStr">
        <is>
          <t>N</t>
        </is>
      </c>
      <c r="BA487" s="75">
        <f>IF('BBG Verify'!K487="","not filed — run on terminal",'BBG Verify'!K487)</f>
        <v/>
      </c>
      <c r="BB487" s="62" t="inlineStr">
        <is>
          <t>N/A</t>
        </is>
      </c>
      <c r="BC487" s="62" t="inlineStr">
        <is>
          <t>N/A</t>
        </is>
      </c>
      <c r="BD487" s="62" t="inlineStr">
        <is>
          <t>N/A</t>
        </is>
      </c>
      <c r="BE487" s="62" t="inlineStr">
        <is>
          <t>N/A</t>
        </is>
      </c>
      <c r="BF487" s="62" t="inlineStr">
        <is>
          <t>N/A</t>
        </is>
      </c>
      <c r="BG487" s="74" t="n"/>
      <c r="BH487" s="62" t="inlineStr">
        <is>
          <t>China International Capital Corporation Hong Kong Securities Limited</t>
        </is>
      </c>
      <c r="BI487" s="62" t="inlineStr">
        <is>
          <t>China International Capital Corporation Hong Kong Securities Limited; ABCI Capital Limited; China Galaxy International Securities (Hong Kong) Co., Limited; SPDB International Capital Limited; CCB International Capital Limited; Futu Securities International (Hong Kong) Limited; CMB International Capital Limited; Tiger Brokers (HK) Global Limited; Livermore Holdings Limited</t>
        </is>
      </c>
      <c r="BJ487" s="62" t="inlineStr">
        <is>
          <t>ABCI Securities Company Limited; CCB International Capital Limited; China Galaxy International Securities (Hong Kong) Company Limited; China International Capital Corporation Hong Kong Securities Limited; CMB International Capital Limited; Futu Securities International (Hong Kong) Limited; Livermore Holdings Limited; SPDB International Capital Limited; Tiger Brokers (HK) Global Limited; TFI Securities and Futures Limited</t>
        </is>
      </c>
      <c r="BK487" s="76">
        <f>HYPERLINK("https://www1.hkexnews.hk/listedco/listconews/sehk/2026/0617/2026061700025.pdf","prospectus")</f>
        <v/>
      </c>
      <c r="BL487" s="76">
        <f>HYPERLINK("https://www1.hkexnews.hk/listedco/listconews/sehk/2026/0625/2026062501938.pdf","allotment")</f>
        <v/>
      </c>
      <c r="BM487" s="76">
        <f>HYPERLINK("https://www1.hkexnews.hk/listedco/listconews/sehk/2026/0724/2026072401850.pdf","stabilisation")</f>
        <v/>
      </c>
      <c r="BN487" s="74" t="n"/>
      <c r="BO487" s="62" t="inlineStr">
        <is>
          <t>P/E: n/m — loss-making at IPO (use P/S) · range low: cap-only pricing — the filing publishes a Maximum Offer Price and no indicative floor · A/H: no A line; closest listed proxy {'code': '300229.SZ', 'name': 'TRS Information Technology', 'rationale': "A-share NLP/big-data software house serving media and government analytics — same niche as Wenge's decision-intelligence LLM stack."} · 3m: listed less than 3m ago · sponsor: English name not in the filing text; AAStocks 保薦人 shown · alpha/index: 3m alpha needs the 3m return first — window has not elapsed yet</t>
        </is>
      </c>
    </row>
    <row r="488" ht="15" customHeight="1">
      <c r="A488" s="61" t="inlineStr">
        <is>
          <t>3661</t>
        </is>
      </c>
      <c r="B488" s="62" t="inlineStr">
        <is>
          <t>SG MICRO</t>
        </is>
      </c>
      <c r="C488" s="62" t="inlineStr">
        <is>
          <t>聖邦股份</t>
        </is>
      </c>
      <c r="D488" s="62" t="inlineStr">
        <is>
          <t>Tech/AI</t>
        </is>
      </c>
      <c r="E488" s="62" t="inlineStr">
        <is>
          <t>AI chips &amp; semis</t>
        </is>
      </c>
      <c r="F488" s="62" t="inlineStr">
        <is>
          <t>Semiconductors &amp; Semiconductor Equipment</t>
        </is>
      </c>
      <c r="G488" s="62" t="inlineStr">
        <is>
          <t>Standard</t>
        </is>
      </c>
      <c r="H488" s="63" t="n">
        <v>46199</v>
      </c>
      <c r="I488" s="64" t="n">
        <v>4600.9</v>
      </c>
      <c r="J488" s="62" t="inlineStr">
        <is>
          <t>gross (stated)</t>
        </is>
      </c>
      <c r="K488" s="65" t="n"/>
      <c r="L488" s="65" t="n">
        <v>85.2</v>
      </c>
      <c r="M488" s="65" t="n">
        <v>85.2</v>
      </c>
      <c r="N488" s="62" t="inlineStr">
        <is>
          <t>Y</t>
        </is>
      </c>
      <c r="O488" s="66" t="n">
        <v>100</v>
      </c>
      <c r="P488" s="66" t="n"/>
      <c r="Q488" s="80">
        <f>IF('BBG Verify'!M488="","not filed — run on terminal",'BBG Verify'!M488)</f>
        <v/>
      </c>
      <c r="R488" s="62" t="n"/>
      <c r="S488" s="68" t="n">
        <v>251.73</v>
      </c>
      <c r="T488" s="69" t="n">
        <v>23.5</v>
      </c>
      <c r="U488" s="70" t="n">
        <v>49.89</v>
      </c>
      <c r="V488" s="66" t="n"/>
      <c r="W488" s="62" t="inlineStr">
        <is>
          <t>CPE Ginkgo Investment Limited; Da Cheng International Asset Management Company Limited; Dajia Life Insurance Co., Ltd; Dymon Asia Multi-Strategy Investment Master Fund; First Sentier Investors (Hong Kong) Limited; GF Fund Management Co., Ltd; GF International Investment Management Limited; GIC Private Limited; Harvest Global Investments Limited; HHLR Advisors, Ltd; HQ TELECOM SINGAPORE PTE. LTD; Huadeng Tech Ace Investment Ltd; ICBC Wealth Management Co., Ltd; JPMorgan Asset Management (Asia Pacific) Limited; LMR Multi-Strategy Master Fund Limited; Millennium Capital Management (Singapore) Pte. Ltd; Ninety One Asia Pte. Limited; Ocean Fine Industrial Limited; PSBC Wealth Management Co., Ltd; Sungrow Power (Hong Kong) Co., Limited; Taikang Life Insurance Co., Ltd; Value Partners Hong Kong Limited</t>
        </is>
      </c>
      <c r="X488" s="62" t="inlineStr">
        <is>
          <t>cpe;da;dajia;dymon;first-sentier;gf;gic;harvest;hhlr;hq;huadeng;icbc;jpmorgan;lmr;millennium;ninety;ocean;psbc;sungrow;taikang;value</t>
        </is>
      </c>
      <c r="Y488" s="66" t="n">
        <v>15</v>
      </c>
      <c r="Z488" s="62" t="inlineStr">
        <is>
          <t>full</t>
        </is>
      </c>
      <c r="AA488" s="71" t="n">
        <v>47.07</v>
      </c>
      <c r="AB488" s="72" t="n">
        <v>23.36</v>
      </c>
      <c r="AC488" s="72" t="n">
        <v>19.22</v>
      </c>
      <c r="AD488" s="72" t="n">
        <v>37.91</v>
      </c>
      <c r="AE488" s="72" t="n">
        <v>4.93</v>
      </c>
      <c r="AF488" s="72" t="n"/>
      <c r="AG488" s="72" t="n">
        <v>-6.23</v>
      </c>
      <c r="AH488" s="72" t="n">
        <v>-28.65</v>
      </c>
      <c r="AI488" s="72" t="n"/>
      <c r="AJ488" s="72" t="n">
        <v>35</v>
      </c>
      <c r="AK488" s="72" t="n">
        <v>-2.32</v>
      </c>
      <c r="AL488" s="72" t="n"/>
      <c r="AM488" s="72" t="n">
        <v>-39.74</v>
      </c>
      <c r="AN488" s="72" t="n">
        <v>7.25</v>
      </c>
      <c r="AO488" s="72" t="n">
        <v>11.09</v>
      </c>
      <c r="AP488" s="62" t="inlineStr">
        <is>
          <t>HSTECH (Hang Seng TECH ETF)</t>
        </is>
      </c>
      <c r="AQ488" s="72" t="n">
        <v>13.09</v>
      </c>
      <c r="AR488" s="63" t="inlineStr">
        <is>
          <t>2026-08-20</t>
        </is>
      </c>
      <c r="AS488" s="64" t="n">
        <v>4287.9</v>
      </c>
      <c r="AT488" s="67" t="n">
        <v>587.8</v>
      </c>
      <c r="AU488" s="62" t="inlineStr">
        <is>
          <t>Y</t>
        </is>
      </c>
      <c r="AV488" s="73" t="n">
        <v>122.6</v>
      </c>
      <c r="AW488" s="73" t="n">
        <v>122.6</v>
      </c>
      <c r="AX488" s="73" t="n">
        <v>102.3</v>
      </c>
      <c r="AY488" s="73" t="n"/>
      <c r="AZ488" s="74" t="inlineStr">
        <is>
          <t>Y</t>
        </is>
      </c>
      <c r="BA488" s="62" t="inlineStr">
        <is>
          <t>300661.SZ</t>
        </is>
      </c>
      <c r="BB488" s="72" t="n">
        <v>87.31999999999999</v>
      </c>
      <c r="BC488" s="65" t="n">
        <v>159.5961</v>
      </c>
      <c r="BD488" s="79" t="n">
        <v>0.3953</v>
      </c>
      <c r="BE488" s="77">
        <f>IF('BBG Verify'!Q488="","run on terminal",'BBG Verify'!Q488)</f>
        <v/>
      </c>
      <c r="BF488" s="77">
        <f>IF('BBG Verify'!R488="","run on terminal",'BBG Verify'!R488)</f>
        <v/>
      </c>
      <c r="BG488" s="74" t="inlineStr">
        <is>
          <t>Huatai Financial Holdings (Hong Kong) Limited</t>
        </is>
      </c>
      <c r="BH488" s="62" t="inlineStr">
        <is>
          <t>China International Capital Corporation Hong Kong Securities Limited; Huatai Financial Holdings (Hong Kong) Limited</t>
        </is>
      </c>
      <c r="BI488" s="62" t="inlineStr">
        <is>
          <t>China International Capital Corporation Hong Kong Securities Limited; Huatai Financial Holdings (Hong Kong) Limited</t>
        </is>
      </c>
      <c r="BJ488" s="62" t="inlineStr">
        <is>
          <t>China International Capital Corporation Hong Kong Securities Limited; Huatai Financial Holdings (Hong Kong) Limited</t>
        </is>
      </c>
      <c r="BK488" s="76">
        <f>HYPERLINK("https://www1.hkexnews.hk/listedco/listconews/sehk/2026/0617/2026061700162.htm","prospectus")</f>
        <v/>
      </c>
      <c r="BL488" s="76">
        <f>HYPERLINK("https://www1.hkexnews.hk/listedco/listconews/sehk/2026/0625/2026062502076.pdf","allotment")</f>
        <v/>
      </c>
      <c r="BM488" s="76">
        <f>HYPERLINK("https://www1.hkexnews.hk/listedco/listconews/sehk/2026/0723/2026072301288.pdf","stabilisation")</f>
        <v/>
      </c>
      <c r="BN488" s="74" t="n"/>
      <c r="BO488" s="62" t="inlineStr">
        <is>
          <t>P/E: from Bloomberg (trailing-12m EPS at listing) — the prospectus-FY multiple was not derivable · price range: fixed-price offering (no indicative range) · range low: cap-only pricing — the filing publishes a Maximum Offer Price and no indicative floor · A/H: Jun 2026 H listing (analog chips) · 3m: listed less than 3m ago · market cap: no share count, offer-%-of-capital or published listing cap available · P/S: market cap not derivable — P/S cannot be formed · alpha/index: 3m alpha needs the 3m return first — window has not elapsed yet</t>
        </is>
      </c>
    </row>
    <row r="489" ht="15" customHeight="1">
      <c r="A489" s="61" t="inlineStr">
        <is>
          <t>1688</t>
        </is>
      </c>
      <c r="B489" s="62" t="inlineStr">
        <is>
          <t>LINGYI ITECH</t>
        </is>
      </c>
      <c r="C489" s="62" t="inlineStr">
        <is>
          <t>領益智造</t>
        </is>
      </c>
      <c r="D489" s="62" t="inlineStr">
        <is>
          <t>Tech/AI</t>
        </is>
      </c>
      <c r="E489" s="62" t="inlineStr">
        <is>
          <t>Smart hardware / consumer electronics</t>
        </is>
      </c>
      <c r="F489" s="62" t="inlineStr">
        <is>
          <t>Electrical Components &amp; Equipment</t>
        </is>
      </c>
      <c r="G489" s="62" t="inlineStr">
        <is>
          <t>Standard</t>
        </is>
      </c>
      <c r="H489" s="63" t="n">
        <v>46199</v>
      </c>
      <c r="I489" s="64" t="n">
        <v>8264.200000000001</v>
      </c>
      <c r="J489" s="62" t="inlineStr">
        <is>
          <t>gross (stated)</t>
        </is>
      </c>
      <c r="K489" s="65" t="n"/>
      <c r="L489" s="65" t="n">
        <v>10.18</v>
      </c>
      <c r="M489" s="65" t="n">
        <v>10.18</v>
      </c>
      <c r="N489" s="62" t="inlineStr">
        <is>
          <t>Y</t>
        </is>
      </c>
      <c r="O489" s="66" t="n">
        <v>100</v>
      </c>
      <c r="P489" s="66" t="n"/>
      <c r="Q489" s="67" t="n">
        <v>82661.7</v>
      </c>
      <c r="R489" s="62" t="inlineStr">
        <is>
          <t>derived:price x shares upon listing</t>
        </is>
      </c>
      <c r="S489" s="68" t="n">
        <v>96.16</v>
      </c>
      <c r="T489" s="69" t="n">
        <v>10.27</v>
      </c>
      <c r="U489" s="70" t="n">
        <v>38.59</v>
      </c>
      <c r="V489" s="66" t="n">
        <v>6.14</v>
      </c>
      <c r="W489" s="62" t="inlineStr">
        <is>
          <t>3W Fund Management Limited; Da Cheng International Asset Management Company Limited; Deliante Holdings Co., Ltd; Everbright Wealth Management Co., Ltd; GF Fund Management Co., Ltd; GF International Investment Management Limited; GRANITE ASIA IX VCC; Greenwoods Asset Management Hong Kong Limited; Hongxing International Technology Limited; Honor Information Technology Limited; Jain Global Master Fund Ltd; Kaide Global Investment Ltd; Morgan Stanley &amp; Co. International plc; Qube Master Fund Ltd; Seven Grand Managers, LLC; Sunny Optical Capital Limited; Taikang Life Insurance Co., Ltd; Ti-Capital (HK) Pioneer Fund III; Value Partners Hong Kong Limited; Verition Fund Management LLC</t>
        </is>
      </c>
      <c r="X489" s="62" t="inlineStr">
        <is>
          <t>3w;da;deliante;everbright;gf;granite;greenwoods;hongxing;honor;jain;kaide;morgan;qube;seven;sunny;taikang;ti;value;verition</t>
        </is>
      </c>
      <c r="Y489" s="66" t="n">
        <v>15</v>
      </c>
      <c r="Z489" s="62" t="n"/>
      <c r="AA489" s="71" t="n">
        <v>-4.62</v>
      </c>
      <c r="AB489" s="72" t="n">
        <v>6.09</v>
      </c>
      <c r="AC489" s="72" t="n">
        <v>-10.1</v>
      </c>
      <c r="AD489" s="72" t="n">
        <v>-5.11</v>
      </c>
      <c r="AE489" s="72" t="n">
        <v>-37.23</v>
      </c>
      <c r="AF489" s="72" t="n"/>
      <c r="AG489" s="72" t="n">
        <v>-0.51</v>
      </c>
      <c r="AH489" s="72" t="n">
        <v>-34.19</v>
      </c>
      <c r="AI489" s="72" t="n"/>
      <c r="AJ489" s="72" t="n">
        <v>-8.02</v>
      </c>
      <c r="AK489" s="72" t="n">
        <v>-44.48</v>
      </c>
      <c r="AL489" s="72" t="n"/>
      <c r="AM489" s="72" t="n">
        <v>-45.28</v>
      </c>
      <c r="AN489" s="72" t="n">
        <v>7.25</v>
      </c>
      <c r="AO489" s="72" t="n">
        <v>11.09</v>
      </c>
      <c r="AP489" s="62" t="inlineStr">
        <is>
          <t>HSTECH (Hang Seng TECH ETF)</t>
        </is>
      </c>
      <c r="AQ489" s="72" t="n">
        <v>-39.39</v>
      </c>
      <c r="AR489" s="63" t="inlineStr">
        <is>
          <t>2026-08-20</t>
        </is>
      </c>
      <c r="AS489" s="64" t="n">
        <v>56571.8</v>
      </c>
      <c r="AT489" s="67" t="n">
        <v>2559.5</v>
      </c>
      <c r="AU489" s="62" t="inlineStr">
        <is>
          <t>Y</t>
        </is>
      </c>
      <c r="AV489" s="73" t="n">
        <v>32.3</v>
      </c>
      <c r="AW489" s="73" t="n">
        <v>28.8</v>
      </c>
      <c r="AX489" s="73" t="n">
        <v>19.6</v>
      </c>
      <c r="AY489" s="73" t="n">
        <v>1.5</v>
      </c>
      <c r="AZ489" s="74" t="inlineStr">
        <is>
          <t>Y</t>
        </is>
      </c>
      <c r="BA489" s="62" t="inlineStr">
        <is>
          <t>002600.SZ</t>
        </is>
      </c>
      <c r="BB489" s="72" t="n">
        <v>102.71</v>
      </c>
      <c r="BC489" s="65" t="n">
        <v>20.6362</v>
      </c>
      <c r="BD489" s="79" t="n">
        <v>1.28</v>
      </c>
      <c r="BE489" s="77">
        <f>IF('BBG Verify'!Q489="","run on terminal",'BBG Verify'!Q489)</f>
        <v/>
      </c>
      <c r="BF489" s="77">
        <f>IF('BBG Verify'!R489="","run on terminal",'BBG Verify'!R489)</f>
        <v/>
      </c>
      <c r="BG489" s="74" t="inlineStr">
        <is>
          <t>Guotai Junan Capital Limited</t>
        </is>
      </c>
      <c r="BH489" s="62" t="inlineStr">
        <is>
          <t>Guotai Junan Capital Limited</t>
        </is>
      </c>
      <c r="BI489" s="62" t="inlineStr">
        <is>
          <t>Guotai Junan Securities (Hong Kong) Limited; CLSA Limited; J.P. Morgan Securities (Asia Pacific) Limited; Citigroup Global Markets Asia Limited; Futu Securities International (Hong Kong) Limited; Tiger Brokers (HK) Global Limited</t>
        </is>
      </c>
      <c r="BJ489" s="62" t="inlineStr">
        <is>
          <t>Citigroup Global Markets Asia Limited; CLSA Limited; Futu Securities International (Hong Kong) Limited; Guotai Junan Securities (Hong Kong) Limited; J.P. Morgan Securities (Asia Pacific) Limited; Tiger Brokers (HK) Global Limited</t>
        </is>
      </c>
      <c r="BK489" s="76">
        <f>HYPERLINK("https://www1.hkexnews.hk/listedco/listconews/sehk/2026/0617/2026061700029.pdf","prospectus")</f>
        <v/>
      </c>
      <c r="BL489" s="76">
        <f>HYPERLINK("https://www1.hkexnews.hk/listedco/listconews/sehk/2026/0625/2026062502292.pdf","allotment")</f>
        <v/>
      </c>
      <c r="BM489" s="62" t="n"/>
      <c r="BN489" s="74" t="n"/>
      <c r="BO489" s="62" t="inlineStr">
        <is>
          <t>greenshoe: end-of-stabilisation notice not located · range low: cap-only pricing — the filing publishes a Maximum Offer Price and no indicative floor · A/H: Jun 2026 H listing (consumer-electronics precision parts) · 3m: listed less than 3m ago · alpha/index: 3m alpha needs the 3m return first — window has not elapsed yet</t>
        </is>
      </c>
    </row>
    <row r="490" ht="15" customHeight="1">
      <c r="A490" s="61" t="inlineStr">
        <is>
          <t>9630</t>
        </is>
      </c>
      <c r="B490" s="62" t="inlineStr">
        <is>
          <t>CFMEE</t>
        </is>
      </c>
      <c r="C490" s="62" t="inlineStr">
        <is>
          <t>芯碁微裝</t>
        </is>
      </c>
      <c r="D490" s="62" t="inlineStr">
        <is>
          <t>Tech/AI</t>
        </is>
      </c>
      <c r="E490" s="62" t="inlineStr">
        <is>
          <t>AI chips &amp; semis</t>
        </is>
      </c>
      <c r="F490" s="62" t="inlineStr">
        <is>
          <t>Next-generation information technology</t>
        </is>
      </c>
      <c r="G490" s="62" t="inlineStr">
        <is>
          <t>Standard</t>
        </is>
      </c>
      <c r="H490" s="63" t="n">
        <v>46199</v>
      </c>
      <c r="I490" s="64" t="n">
        <v>3244.7</v>
      </c>
      <c r="J490" s="62" t="inlineStr">
        <is>
          <t>gross (stated)</t>
        </is>
      </c>
      <c r="K490" s="65" t="n"/>
      <c r="L490" s="65" t="n">
        <v>252.73</v>
      </c>
      <c r="M490" s="65" t="n">
        <v>252.73</v>
      </c>
      <c r="N490" s="62" t="inlineStr">
        <is>
          <t>Y</t>
        </is>
      </c>
      <c r="O490" s="66" t="n">
        <v>100</v>
      </c>
      <c r="P490" s="66" t="n"/>
      <c r="Q490" s="67" t="n">
        <v>32189.5</v>
      </c>
      <c r="R490" s="62" t="inlineStr">
        <is>
          <t>derived:deal size / offer % of enlarged capital</t>
        </is>
      </c>
      <c r="S490" s="68" t="n">
        <v>1007.22</v>
      </c>
      <c r="T490" s="69" t="n">
        <v>27.22</v>
      </c>
      <c r="U490" s="70" t="n">
        <v>48.5</v>
      </c>
      <c r="V490" s="66" t="n">
        <v>5.19</v>
      </c>
      <c r="W490" s="62" t="inlineStr">
        <is>
          <t>Bosera Asset Management (International) Co., Limited; China Universal Asset Management (Hong Kong) Company Limited; CICC Financial Trading Limited; CPE Chestnut Investment Limited; GF Fund Management Co., Ltd; Hefei Jianhui Zhanxin Cornerstone Investment Company Limited; HHLR Advisors, Ltd; HK Yonglian Investment Development Co., Limited; Hong Kong Xinyao Investment Limited; Huadeng Victorious Way Limited; JPMorgan Asset Management (Asia Pacific) Limited; Lion Global Investors Limited; Montage Hong Kong Holdings Company Limited; Monterey Park Finance Limited; Nexchip Semiconductor Hong Kong Corporation Limited; Ocean Fine Industrial Limited; Sungrow Power (Hong Kong) Co., Limited; Victory Giant Technology Holdings (Hong Kong) Limited</t>
        </is>
      </c>
      <c r="X490" s="62" t="inlineStr">
        <is>
          <t>bosera;universal;china-international;cpe;gf;hefei;hhlr;yonglian;xinyao;huadeng;jpmorgan;lion;montage;monterey;nexchip;ocean;sungrow;victory</t>
        </is>
      </c>
      <c r="Y490" s="66" t="n">
        <v>8.880000000000001</v>
      </c>
      <c r="Z490" s="62" t="inlineStr">
        <is>
          <t>full</t>
        </is>
      </c>
      <c r="AA490" s="71" t="n">
        <v>103.77</v>
      </c>
      <c r="AB490" s="72" t="n">
        <v>73.7</v>
      </c>
      <c r="AC490" s="72" t="n">
        <v>17.31</v>
      </c>
      <c r="AD490" s="72" t="n">
        <v>55.11</v>
      </c>
      <c r="AE490" s="72" t="n">
        <v>30.26</v>
      </c>
      <c r="AF490" s="72" t="n"/>
      <c r="AG490" s="72" t="n">
        <v>-23.88</v>
      </c>
      <c r="AH490" s="72" t="n">
        <v>-36.07</v>
      </c>
      <c r="AI490" s="72" t="n"/>
      <c r="AJ490" s="72" t="n">
        <v>52.2</v>
      </c>
      <c r="AK490" s="72" t="n">
        <v>23.01</v>
      </c>
      <c r="AL490" s="72" t="n"/>
      <c r="AM490" s="72" t="n">
        <v>-47.16</v>
      </c>
      <c r="AN490" s="72" t="n">
        <v>7.25</v>
      </c>
      <c r="AO490" s="72" t="n">
        <v>11.09</v>
      </c>
      <c r="AP490" s="62" t="inlineStr">
        <is>
          <t>HSTECH (Hang Seng TECH ETF)</t>
        </is>
      </c>
      <c r="AQ490" s="72" t="n">
        <v>31.52</v>
      </c>
      <c r="AR490" s="63" t="inlineStr">
        <is>
          <t>2026-08-24</t>
        </is>
      </c>
      <c r="AS490" s="64" t="n">
        <v>1548.9</v>
      </c>
      <c r="AT490" s="67" t="n">
        <v>318.9</v>
      </c>
      <c r="AU490" s="62" t="inlineStr">
        <is>
          <t>Y</t>
        </is>
      </c>
      <c r="AV490" s="73" t="n">
        <v>100.9</v>
      </c>
      <c r="AW490" s="73" t="n">
        <v>202.5</v>
      </c>
      <c r="AX490" s="73" t="n">
        <v>147.3</v>
      </c>
      <c r="AY490" s="73" t="n">
        <v>20.8</v>
      </c>
      <c r="AZ490" s="74" t="inlineStr">
        <is>
          <t>Y</t>
        </is>
      </c>
      <c r="BA490" s="62" t="inlineStr">
        <is>
          <t>688630.SS</t>
        </is>
      </c>
      <c r="BB490" s="72" t="n">
        <v>153.68</v>
      </c>
      <c r="BC490" s="65" t="n">
        <v>641.1315</v>
      </c>
      <c r="BD490" s="79" t="n">
        <v>0.4954</v>
      </c>
      <c r="BE490" s="77">
        <f>IF('BBG Verify'!Q490="","run on terminal",'BBG Verify'!Q490)</f>
        <v/>
      </c>
      <c r="BF490" s="77">
        <f>IF('BBG Verify'!R490="","run on terminal",'BBG Verify'!R490)</f>
        <v/>
      </c>
      <c r="BG490" s="74" t="n"/>
      <c r="BH490" s="62" t="inlineStr">
        <is>
          <t>China International Capital Corporation Hong Kong Securities Limited</t>
        </is>
      </c>
      <c r="BI490" s="62" t="inlineStr">
        <is>
          <t>BOCI Asia Limited</t>
        </is>
      </c>
      <c r="BJ490" s="62" t="inlineStr">
        <is>
          <t>BOCI Asia Limited; China International Capital Corporation Hong Kong Securities Limited; CMB International Capital Limited; Futu Securities International (Hong Kong) Limited; Guoyuan Securities Brokerage (Hong Kong) Limited</t>
        </is>
      </c>
      <c r="BK490" s="76">
        <f>HYPERLINK("https://www1.hkexnews.hk/listedco/listconews/sehk/2026/0617/2026061700039.pdf","prospectus")</f>
        <v/>
      </c>
      <c r="BL490" s="76">
        <f>HYPERLINK("https://www1.hkexnews.hk/listedco/listconews/sehk/2026/0625/2026062502296.pdf","allotment")</f>
        <v/>
      </c>
      <c r="BM490" s="76">
        <f>HYPERLINK("https://www1.hkexnews.hk/listedco/listconews/sehk/2026/0723/2026072300312.pdf","stabilisation")</f>
        <v/>
      </c>
      <c r="BN490" s="74" t="n"/>
      <c r="BO490" s="62" t="inlineStr">
        <is>
          <t>range low: cap-only pricing — the filing publishes a Maximum Offer Price and no indicative floor · A/H: Jun 2026 H listing (direct-write lithography equipment) · 3m: listed less than 3m ago · sponsor: English name not in the filing text; AAStocks 保薦人 shown · alpha/index: 3m alpha needs the 3m return first — window has not elapsed yet</t>
        </is>
      </c>
    </row>
    <row r="491" ht="15" customHeight="1">
      <c r="A491" s="61" t="inlineStr">
        <is>
          <t>6228</t>
        </is>
      </c>
      <c r="B491" s="62" t="inlineStr">
        <is>
          <t>MERDEKAGOLD-DRS</t>
        </is>
      </c>
      <c r="C491" s="62" t="inlineStr">
        <is>
          <t>自由黃金－ＤＲＳ</t>
        </is>
      </c>
      <c r="D491" s="62" t="inlineStr">
        <is>
          <t>Materials/Energy</t>
        </is>
      </c>
      <c r="E491" s="62" t="inlineStr">
        <is>
          <t>Mining / metals</t>
        </is>
      </c>
      <c r="F491" s="62" t="inlineStr">
        <is>
          <t>Gold &amp; Precious Metals</t>
        </is>
      </c>
      <c r="G491" s="62" t="inlineStr">
        <is>
          <t>Standard</t>
        </is>
      </c>
      <c r="H491" s="63" t="n">
        <v>46199</v>
      </c>
      <c r="I491" s="64" t="n">
        <v>2385.18</v>
      </c>
      <c r="J491" s="62" t="inlineStr">
        <is>
          <t>gross (stated)</t>
        </is>
      </c>
      <c r="K491" s="65" t="n"/>
      <c r="L491" s="65" t="n">
        <v>26.6</v>
      </c>
      <c r="M491" s="65" t="n">
        <v>26.6</v>
      </c>
      <c r="N491" s="62" t="inlineStr">
        <is>
          <t>Y</t>
        </is>
      </c>
      <c r="O491" s="66" t="n">
        <v>100</v>
      </c>
      <c r="P491" s="66" t="n"/>
      <c r="Q491" s="67" t="n">
        <v>34074</v>
      </c>
      <c r="R491" s="62" t="inlineStr">
        <is>
          <t>derived:deal size / offer % of enlarged capital</t>
        </is>
      </c>
      <c r="S491" s="68" t="n">
        <v>4.42</v>
      </c>
      <c r="T491" s="69" t="n">
        <v>7.67</v>
      </c>
      <c r="U491" s="70" t="n">
        <v>49.9</v>
      </c>
      <c r="V491" s="66" t="n">
        <v>3.51</v>
      </c>
      <c r="W491" s="62" t="inlineStr">
        <is>
          <t>CNGR Hong Kong Material Science &amp; Technology Co., Limited; Dymon Asia Multi-Strategy Investment Master Fund; GF Fund Management Co., Ltd; Glencore International AG; Intera Mining Investment Limited; Mercuria Holdings (Singapore) Pte. Ltd; ORIX Asia Asset Management Limited; Ping An of China Asset Management (Hong Kong) Company Limited; Trafigura Group Pte. Ltd; Wanguo Gold Group Limited; Wind Sabre Fund SPC</t>
        </is>
      </c>
      <c r="X491" s="62" t="inlineStr">
        <is>
          <t>cngr;dymon;gf;glencore;intera;mercuria;orix;ping;trafigura;wanguo;wind</t>
        </is>
      </c>
      <c r="Y491" s="66" t="n">
        <v>15</v>
      </c>
      <c r="Z491" s="62" t="inlineStr">
        <is>
          <t>partial</t>
        </is>
      </c>
      <c r="AA491" s="71" t="n">
        <v>-6.54</v>
      </c>
      <c r="AB491" s="72" t="n">
        <v>0</v>
      </c>
      <c r="AC491" s="72" t="n">
        <v>-6.54</v>
      </c>
      <c r="AD491" s="72" t="n">
        <v>-2.26</v>
      </c>
      <c r="AE491" s="72" t="n">
        <v>-0.38</v>
      </c>
      <c r="AF491" s="72" t="n"/>
      <c r="AG491" s="72" t="n">
        <v>4.58</v>
      </c>
      <c r="AH491" s="72" t="n">
        <v>6.59</v>
      </c>
      <c r="AI491" s="72" t="n"/>
      <c r="AJ491" s="72" t="n">
        <v>-6.28</v>
      </c>
      <c r="AK491" s="72" t="n">
        <v>-10.75</v>
      </c>
      <c r="AL491" s="72" t="n"/>
      <c r="AM491" s="72" t="n">
        <v>-6.32</v>
      </c>
      <c r="AN491" s="72" t="n">
        <v>10.37</v>
      </c>
      <c r="AO491" s="72" t="n">
        <v>12.91</v>
      </c>
      <c r="AP491" s="62" t="inlineStr">
        <is>
          <t>Hang Seng Commerce &amp; Industry sub-index</t>
        </is>
      </c>
      <c r="AQ491" s="72" t="n">
        <v>34.44</v>
      </c>
      <c r="AR491" s="63" t="inlineStr">
        <is>
          <t>2026-08-20</t>
        </is>
      </c>
      <c r="AS491" s="64" t="n">
        <v>1</v>
      </c>
      <c r="AT491" s="67" t="n">
        <v>-214.4</v>
      </c>
      <c r="AU491" s="62" t="inlineStr">
        <is>
          <t>N</t>
        </is>
      </c>
      <c r="AV491" s="62" t="inlineStr">
        <is>
          <t>n/m</t>
        </is>
      </c>
      <c r="AW491" s="73" t="n"/>
      <c r="AX491" s="73" t="n"/>
      <c r="AY491" s="73" t="n">
        <v>34074</v>
      </c>
      <c r="AZ491" s="74" t="inlineStr">
        <is>
          <t>N</t>
        </is>
      </c>
      <c r="BA491" s="75">
        <f>IF('BBG Verify'!K491="","not filed — run on terminal",'BBG Verify'!K491)</f>
        <v/>
      </c>
      <c r="BB491" s="62" t="inlineStr">
        <is>
          <t>N/A</t>
        </is>
      </c>
      <c r="BC491" s="62" t="inlineStr">
        <is>
          <t>N/A</t>
        </is>
      </c>
      <c r="BD491" s="62" t="inlineStr">
        <is>
          <t>N/A</t>
        </is>
      </c>
      <c r="BE491" s="62" t="inlineStr">
        <is>
          <t>N/A</t>
        </is>
      </c>
      <c r="BF491" s="62" t="inlineStr">
        <is>
          <t>N/A</t>
        </is>
      </c>
      <c r="BG491" s="74" t="inlineStr">
        <is>
          <t>UBS Securities Hong Kong Limited; CITIC Securities (Hong Kong) Limited</t>
        </is>
      </c>
      <c r="BH491" s="62" t="inlineStr">
        <is>
          <t>UBS Securities Hong Kong Limited; CITIC Securities (Hong Kong) Limited</t>
        </is>
      </c>
      <c r="BI491" s="62" t="inlineStr">
        <is>
          <t>UBS AG Hong Kong Branch; DIRECTORS, COMMISSIONERS AND PARTIES INVOLVED IN THE GLOBAL OFFERING CLSA Limited; Morgan Stanley Asia Limited; The Hongkong and Shanghai Banking Corporation Limited; China International Capital Corporation Hong Kong Securities Limited; Macquarie Capital Limited; CLSA Limited; Morgan Stanley &amp; Co. International plc; DBS Asia Capital Limited; Mizuho Securities Asia Limited; Natixis Hong Kong Branch; Oversea-Chinese Banking Corporation Limited</t>
        </is>
      </c>
      <c r="BJ491" s="62" t="inlineStr">
        <is>
          <t>Credit Agricole Corporate and Investment Bank; China International Capital Corporation Hong Kong Securities Limited; CLSA Limited; DBS Asia Capital Limited; The Hongkong and Shanghai Banking Corporation Limited; Macquarie Capital Limited; Morgan Stanley Asia Limited; Mizuho Securities Asia Limited; NATIXIS; Oversea-Chinese Banking Corporation Limited; Societe Generale; UBS AG Hong Kong Branch</t>
        </is>
      </c>
      <c r="BK491" s="76">
        <f>HYPERLINK("https://www1.hkexnews.hk/listedco/listconews/sehk/2026/0617/2026061700075.pdf","prospectus")</f>
        <v/>
      </c>
      <c r="BL491" s="76">
        <f>HYPERLINK("https://www1.hkexnews.hk/listedco/listconews/sehk/2026/0625/2026062502338.pdf","allotment")</f>
        <v/>
      </c>
      <c r="BM491" s="76">
        <f>HYPERLINK("https://www1.hkexnews.hk/listedco/listconews/sehk/2026/0723/2026072301404.pdf","stabilisation")</f>
        <v/>
      </c>
      <c r="BN491" s="74" t="n"/>
      <c r="BO491" s="62" t="inlineStr">
        <is>
          <t>P/E: n/m — loss-making at IPO (use P/S) · range low: cap-only pricing — the filing publishes a Maximum Offer Price and no indicative floor · A/H: no A-share listing · 3m: listed less than 3m ago · P/S: 34,074x on HK$1.0m revenue — effectively pre-revenue; the multiple is shown for completeness, not comparability · alpha/index: 3m alpha needs the 3m return first — window has not elapsed yet</t>
        </is>
      </c>
    </row>
    <row r="492" ht="15" customHeight="1">
      <c r="A492" s="61" t="inlineStr">
        <is>
          <t>2672</t>
        </is>
      </c>
      <c r="B492" s="62" t="inlineStr">
        <is>
          <t>BAIGE DIGITAL</t>
        </is>
      </c>
      <c r="C492" s="62" t="inlineStr">
        <is>
          <t>白鴿在線（廈門）數字科技</t>
        </is>
      </c>
      <c r="D492" s="62" t="inlineStr">
        <is>
          <t>Financials</t>
        </is>
      </c>
      <c r="E492" s="62" t="inlineStr">
        <is>
          <t>Insurance</t>
        </is>
      </c>
      <c r="F492" s="62" t="inlineStr">
        <is>
          <t>Application Software</t>
        </is>
      </c>
      <c r="G492" s="62" t="inlineStr">
        <is>
          <t>Standard</t>
        </is>
      </c>
      <c r="H492" s="63" t="n">
        <v>46202</v>
      </c>
      <c r="I492" s="64" t="n">
        <v>520.2</v>
      </c>
      <c r="J492" s="62" t="inlineStr">
        <is>
          <t>gross (price x shares)</t>
        </is>
      </c>
      <c r="K492" s="65" t="n"/>
      <c r="L492" s="65" t="n">
        <v>20.28</v>
      </c>
      <c r="M492" s="65" t="n">
        <v>15.6</v>
      </c>
      <c r="N492" s="62" t="inlineStr">
        <is>
          <t>N</t>
        </is>
      </c>
      <c r="O492" s="66" t="n">
        <v>76.90000000000001</v>
      </c>
      <c r="P492" s="66" t="n"/>
      <c r="Q492" s="67" t="n">
        <v>5001.7</v>
      </c>
      <c r="R492" s="62" t="inlineStr">
        <is>
          <t>derived:price x shares upon listing</t>
        </is>
      </c>
      <c r="S492" s="68" t="n">
        <v>242.05</v>
      </c>
      <c r="T492" s="69" t="n">
        <v>2.44</v>
      </c>
      <c r="U492" s="70" t="n">
        <v>3.84</v>
      </c>
      <c r="V492" s="66" t="n">
        <v>10</v>
      </c>
      <c r="W492" s="62" t="inlineStr">
        <is>
          <t>GLY New Mobility 2. LP; Mr. Ke Jiaqi</t>
        </is>
      </c>
      <c r="X492" s="62" t="inlineStr">
        <is>
          <t>gly;mr-ke</t>
        </is>
      </c>
      <c r="Y492" s="66" t="n">
        <v>11.8</v>
      </c>
      <c r="Z492" s="62" t="n"/>
      <c r="AA492" s="71" t="n">
        <v>367.95</v>
      </c>
      <c r="AB492" s="72" t="n">
        <v>291.67</v>
      </c>
      <c r="AC492" s="72" t="n">
        <v>19.48</v>
      </c>
      <c r="AD492" s="72" t="n">
        <v>295.19</v>
      </c>
      <c r="AE492" s="72" t="n">
        <v>280.77</v>
      </c>
      <c r="AF492" s="72" t="n"/>
      <c r="AG492" s="72" t="n">
        <v>-15.55</v>
      </c>
      <c r="AH492" s="72" t="n">
        <v>-18.63</v>
      </c>
      <c r="AI492" s="72" t="n"/>
      <c r="AJ492" s="72" t="n">
        <v>294.57</v>
      </c>
      <c r="AK492" s="72" t="n">
        <v>269.3</v>
      </c>
      <c r="AL492" s="72" t="n"/>
      <c r="AM492" s="72" t="n">
        <v>-29.49</v>
      </c>
      <c r="AN492" s="72" t="n">
        <v>11.47</v>
      </c>
      <c r="AO492" s="72" t="n">
        <v>10.86</v>
      </c>
      <c r="AP492" s="62" t="inlineStr">
        <is>
          <t>Hang Seng Finance sub-index</t>
        </is>
      </c>
      <c r="AQ492" s="72" t="n">
        <v>306.73</v>
      </c>
      <c r="AR492" s="63" t="inlineStr">
        <is>
          <t>2026-08-21</t>
        </is>
      </c>
      <c r="AS492" s="64" t="n">
        <v>1349.8</v>
      </c>
      <c r="AT492" s="67" t="n">
        <v>-51.3</v>
      </c>
      <c r="AU492" s="62" t="inlineStr">
        <is>
          <t>N</t>
        </is>
      </c>
      <c r="AV492" s="62" t="inlineStr">
        <is>
          <t>n/m</t>
        </is>
      </c>
      <c r="AW492" s="73" t="n"/>
      <c r="AX492" s="73" t="n"/>
      <c r="AY492" s="73" t="n">
        <v>3.7</v>
      </c>
      <c r="AZ492" s="74" t="inlineStr">
        <is>
          <t>N</t>
        </is>
      </c>
      <c r="BA492" s="75">
        <f>IF('BBG Verify'!K492="","not filed — run on terminal",'BBG Verify'!K492)</f>
        <v/>
      </c>
      <c r="BB492" s="62" t="inlineStr">
        <is>
          <t>N/A</t>
        </is>
      </c>
      <c r="BC492" s="62" t="inlineStr">
        <is>
          <t>N/A</t>
        </is>
      </c>
      <c r="BD492" s="62" t="inlineStr">
        <is>
          <t>N/A</t>
        </is>
      </c>
      <c r="BE492" s="62" t="inlineStr">
        <is>
          <t>N/A</t>
        </is>
      </c>
      <c r="BF492" s="62" t="inlineStr">
        <is>
          <t>N/A</t>
        </is>
      </c>
      <c r="BG492" s="74" t="inlineStr">
        <is>
          <t>CMBC International Capital Limited; BOCI Asia Limited</t>
        </is>
      </c>
      <c r="BH492" s="62" t="inlineStr">
        <is>
          <t>BOCI Asia Limited; CMBC International Capital Limited</t>
        </is>
      </c>
      <c r="BI492" s="62" t="inlineStr">
        <is>
          <t>ICBC International Securities Limited</t>
        </is>
      </c>
      <c r="BJ492" s="62" t="inlineStr">
        <is>
          <t>ABCI Securities Company Limited; BOCI Asia Limited; CMBC Securities Company Limited; CMB International Capital Limited; Fortune (HK) Securities Limited; Futu Securities International (Hong Kong) Limited; Guoyuan Securities Brokerage (Hong Kong) Limited; Harmonia Capital Limited; Huafu International Securities Limited; ICBC International Securities Limited; SPDB International Capital Limited; Tiger Brokers (HK) Global Limited</t>
        </is>
      </c>
      <c r="BK492" s="76">
        <f>HYPERLINK("https://www1.hkexnews.hk/listedco/listconews/sehk/2026/0618/2026061800045.pdf","prospectus")</f>
        <v/>
      </c>
      <c r="BL492" s="76">
        <f>HYPERLINK("https://www1.hkexnews.hk/listedco/listconews/sehk/2026/0626/2026062602363.pdf","allotment")</f>
        <v/>
      </c>
      <c r="BM492" s="62" t="n"/>
      <c r="BN492" s="74" t="n"/>
      <c r="BO492" s="62" t="inlineStr">
        <is>
          <t>P/E: n/m — loss-making at IPO (use P/S) · greenshoe: end-of-stabilisation notice not located · range low: cap-only pricing — the filing publishes a Maximum Offer Price and no indicative floor · A/H: no A-share listing · 3m: listed less than 3m ago · alpha/index: 3m alpha needs the 3m return first — window has not elapsed yet</t>
        </is>
      </c>
    </row>
    <row r="493" ht="15" customHeight="1">
      <c r="A493" s="61" t="inlineStr">
        <is>
          <t>1191</t>
        </is>
      </c>
      <c r="B493" s="62" t="inlineStr">
        <is>
          <t>CREALIGHTS</t>
        </is>
      </c>
      <c r="C493" s="62" t="inlineStr">
        <is>
          <t>海光芯正</t>
        </is>
      </c>
      <c r="D493" s="62" t="inlineStr">
        <is>
          <t>Tech/AI</t>
        </is>
      </c>
      <c r="E493" s="62" t="inlineStr">
        <is>
          <t>Smart hardware / consumer electronics</t>
        </is>
      </c>
      <c r="F493" s="62" t="inlineStr">
        <is>
          <t>Telecommunications &amp; Networking Equipment</t>
        </is>
      </c>
      <c r="G493" s="62" t="inlineStr">
        <is>
          <t>Standard</t>
        </is>
      </c>
      <c r="H493" s="63" t="n">
        <v>46202</v>
      </c>
      <c r="I493" s="64" t="n">
        <v>1531.19</v>
      </c>
      <c r="J493" s="62" t="inlineStr">
        <is>
          <t>gross (stated)</t>
        </is>
      </c>
      <c r="K493" s="65" t="n"/>
      <c r="L493" s="65" t="n">
        <v>114</v>
      </c>
      <c r="M493" s="65" t="n">
        <v>114</v>
      </c>
      <c r="N493" s="62" t="inlineStr">
        <is>
          <t>Y</t>
        </is>
      </c>
      <c r="O493" s="66" t="n">
        <v>100</v>
      </c>
      <c r="P493" s="66" t="n"/>
      <c r="Q493" s="67" t="n">
        <v>4000</v>
      </c>
      <c r="R493" s="62" t="inlineStr">
        <is>
          <t>prospectus:stated market capitalisation</t>
        </is>
      </c>
      <c r="S493" s="68" t="n">
        <v>1296.89</v>
      </c>
      <c r="T493" s="69" t="n">
        <v>15.51</v>
      </c>
      <c r="U493" s="70" t="n">
        <v>49.85</v>
      </c>
      <c r="V493" s="66" t="n">
        <v>19.2</v>
      </c>
      <c r="W493" s="62" t="inlineStr">
        <is>
          <t>E Fund Management Co., Ltd; JSC International Investment Fund SPC; Kingsoft Cloud Network Corporation Limited; Perseverance Asset Management International (Singapore) Pte. Ltd; UBS Asset Management (Singapore) Ltd; Winwin Technology Investment Co., Limited</t>
        </is>
      </c>
      <c r="X493" s="62" t="inlineStr">
        <is>
          <t>fund-management;jsc;kingsoft;perseverance;ubs;winwin</t>
        </is>
      </c>
      <c r="Y493" s="66" t="n">
        <v>15</v>
      </c>
      <c r="Z493" s="62" t="n"/>
      <c r="AA493" s="71" t="n">
        <v>44.74</v>
      </c>
      <c r="AB493" s="72" t="n">
        <v>75.34999999999999</v>
      </c>
      <c r="AC493" s="72" t="n">
        <v>-17.46</v>
      </c>
      <c r="AD493" s="72" t="n">
        <v>60.53</v>
      </c>
      <c r="AE493" s="72" t="n">
        <v>-41.67</v>
      </c>
      <c r="AF493" s="72" t="n"/>
      <c r="AG493" s="72" t="n">
        <v>10.91</v>
      </c>
      <c r="AH493" s="72" t="n">
        <v>-59.7</v>
      </c>
      <c r="AI493" s="72" t="n"/>
      <c r="AJ493" s="72" t="n">
        <v>54.84</v>
      </c>
      <c r="AK493" s="72" t="n">
        <v>-55.74</v>
      </c>
      <c r="AL493" s="72" t="n"/>
      <c r="AM493" s="72" t="n">
        <v>-70.38</v>
      </c>
      <c r="AN493" s="72" t="n">
        <v>14.07</v>
      </c>
      <c r="AO493" s="72" t="n">
        <v>10.68</v>
      </c>
      <c r="AP493" s="62" t="inlineStr">
        <is>
          <t>HSTECH (Hang Seng TECH ETF)</t>
        </is>
      </c>
      <c r="AQ493" s="72" t="n">
        <v>-8.859999999999999</v>
      </c>
      <c r="AR493" s="63" t="inlineStr">
        <is>
          <t>2026-08-21</t>
        </is>
      </c>
      <c r="AS493" s="64" t="n">
        <v>1343.2</v>
      </c>
      <c r="AT493" s="67" t="n">
        <v>-110.2</v>
      </c>
      <c r="AU493" s="62" t="inlineStr">
        <is>
          <t>N</t>
        </is>
      </c>
      <c r="AV493" s="62" t="inlineStr">
        <is>
          <t>n/m</t>
        </is>
      </c>
      <c r="AW493" s="73" t="n"/>
      <c r="AX493" s="73" t="n"/>
      <c r="AY493" s="73" t="n">
        <v>3</v>
      </c>
      <c r="AZ493" s="74" t="inlineStr">
        <is>
          <t>N</t>
        </is>
      </c>
      <c r="BA493" s="75">
        <f>IF('BBG Verify'!K493="","not filed — run on terminal",'BBG Verify'!K493)</f>
        <v/>
      </c>
      <c r="BB493" s="62" t="inlineStr">
        <is>
          <t>N/A</t>
        </is>
      </c>
      <c r="BC493" s="62" t="inlineStr">
        <is>
          <t>N/A</t>
        </is>
      </c>
      <c r="BD493" s="62" t="inlineStr">
        <is>
          <t>N/A</t>
        </is>
      </c>
      <c r="BE493" s="62" t="inlineStr">
        <is>
          <t>N/A</t>
        </is>
      </c>
      <c r="BF493" s="62" t="inlineStr">
        <is>
          <t>N/A</t>
        </is>
      </c>
      <c r="BG493" s="74" t="inlineStr">
        <is>
          <t>Frost &amp; Sullivan (Beijing) Inc., Shanghai Branch; Transfer Pricing Consultant Grant Thornton Singapore Pte Ltd; Bank of China (Hong Kong) Limited; China CITIC Bank International Limited; Wan Chai, Hong Kong Principal Bank Agricultural Bank of China Suzhou Qingjianhu Branch</t>
        </is>
      </c>
      <c r="BH493" s="62" t="inlineStr">
        <is>
          <t>Huatai Financial Holdings (Hong Kong) Limited</t>
        </is>
      </c>
      <c r="BI493" s="62" t="inlineStr">
        <is>
          <t>Huatai Financial Holdings (Hong Kong) Limited</t>
        </is>
      </c>
      <c r="BJ493" s="62" t="inlineStr">
        <is>
          <t>Huatai Financial Holdings (Hong Kong) Limited</t>
        </is>
      </c>
      <c r="BK493" s="76">
        <f>HYPERLINK("https://www1.hkexnews.hk/listedco/listconews/sehk/2026/0618/2026061800079.pdf","prospectus")</f>
        <v/>
      </c>
      <c r="BL493" s="76">
        <f>HYPERLINK("https://www1.hkexnews.hk/listedco/listconews/sehk/2026/0626/2026062602599.pdf","allotment")</f>
        <v/>
      </c>
      <c r="BM493" s="62" t="n"/>
      <c r="BN493" s="74" t="n"/>
      <c r="BO493" s="62" t="inlineStr">
        <is>
          <t>P/E: n/m — loss-making at IPO (use P/S) · greenshoe: end-of-stabilisation notice not located · range low: cap-only pricing — the filing publishes a Maximum Offer Price and no indicative floor · A/H: no A-share listing · 3m: listed less than 3m ago · alpha/index: 3m alpha needs the 3m return first — window has not elapsed yet</t>
        </is>
      </c>
    </row>
    <row r="494" ht="15" customHeight="1">
      <c r="A494" s="61" t="inlineStr">
        <is>
          <t>9637</t>
        </is>
      </c>
      <c r="B494" s="62" t="inlineStr">
        <is>
          <t>ALEBUND-B</t>
        </is>
      </c>
      <c r="C494" s="62" t="inlineStr">
        <is>
          <t>禮邦醫藥－Ｂ</t>
        </is>
      </c>
      <c r="D494" s="62" t="inlineStr">
        <is>
          <t>Healthcare</t>
        </is>
      </c>
      <c r="E494" s="62" t="inlineStr">
        <is>
          <t>Biotech pre-revenue (18A)</t>
        </is>
      </c>
      <c r="F494" s="62" t="inlineStr">
        <is>
          <t>Biotechnology - Pharmaceuticals</t>
        </is>
      </c>
      <c r="G494" s="62" t="inlineStr">
        <is>
          <t>18A</t>
        </is>
      </c>
      <c r="H494" s="63" t="n">
        <v>46202</v>
      </c>
      <c r="I494" s="64" t="n">
        <v>1282.7</v>
      </c>
      <c r="J494" s="62" t="inlineStr">
        <is>
          <t>gross (stated)</t>
        </is>
      </c>
      <c r="K494" s="65" t="n"/>
      <c r="L494" s="65" t="n">
        <v>22.6</v>
      </c>
      <c r="M494" s="65" t="n">
        <v>22.6</v>
      </c>
      <c r="N494" s="62" t="inlineStr">
        <is>
          <t>Y</t>
        </is>
      </c>
      <c r="O494" s="66" t="n">
        <v>100</v>
      </c>
      <c r="P494" s="66" t="n"/>
      <c r="Q494" s="67" t="n">
        <v>6859.4</v>
      </c>
      <c r="R494" s="62" t="inlineStr">
        <is>
          <t>derived:deal size / offer % of enlarged capital</t>
        </is>
      </c>
      <c r="S494" s="68" t="n">
        <v>963.5599999999999</v>
      </c>
      <c r="T494" s="69" t="n">
        <v>19.77</v>
      </c>
      <c r="U494" s="70" t="n">
        <v>49.78</v>
      </c>
      <c r="V494" s="66" t="n">
        <v>9.390000000000001</v>
      </c>
      <c r="W494" s="62" t="inlineStr">
        <is>
          <t>China Universal Asset Management (Hong Kong) Company Limited; Cormorant Global Healthcare Master Fund, LP; Dymon Asia Multi-Strategy Investment Master Fund; E Fund Management (Hong Kong) Co., Ltd; GF Fund Management Co., Ltd; GF International Investment Management Limited; GIC Private Limited; Golden Valley Global Limited; Golden Valley Value Select Master Fund; Huang River Investment Limited; Loomis Sayles Trust Company, LLC; Loomis, Sayles &amp; Company, L.P; Loyal Valley Capital Advantage Fund III LP; Perfect Ten Holding Limited; RTW Biotech Opportunities Ltd; RTW Innovation Master Fund, Ltd; RTW Master Fund, Ltd; SymBiosis II, LLC</t>
        </is>
      </c>
      <c r="X494" s="62" t="inlineStr">
        <is>
          <t>universal;cormorant;dymon;fund-management;gf;gic;golden-valley;huang-river;loomis;loyal;perfect;rtw;symbiosis</t>
        </is>
      </c>
      <c r="Y494" s="66" t="n">
        <v>7.9</v>
      </c>
      <c r="Z494" s="62" t="inlineStr">
        <is>
          <t>full</t>
        </is>
      </c>
      <c r="AA494" s="71" t="n">
        <v>103.54</v>
      </c>
      <c r="AB494" s="72" t="n">
        <v>85.84</v>
      </c>
      <c r="AC494" s="72" t="n">
        <v>9.52</v>
      </c>
      <c r="AD494" s="72" t="n">
        <v>29.12</v>
      </c>
      <c r="AE494" s="72" t="n">
        <v>19.47</v>
      </c>
      <c r="AF494" s="72" t="n"/>
      <c r="AG494" s="72" t="n">
        <v>-36.56</v>
      </c>
      <c r="AH494" s="72" t="n">
        <v>-41.3</v>
      </c>
      <c r="AI494" s="72" t="n"/>
      <c r="AJ494" s="72" t="n">
        <v>16.76</v>
      </c>
      <c r="AK494" s="72" t="n">
        <v>2.47</v>
      </c>
      <c r="AL494" s="72" t="n"/>
      <c r="AM494" s="72" t="n">
        <v>-49.96</v>
      </c>
      <c r="AN494" s="72" t="n">
        <v>17</v>
      </c>
      <c r="AO494" s="72" t="n">
        <v>8.66</v>
      </c>
      <c r="AP494" s="62" t="inlineStr">
        <is>
          <t>China Biotech ETF (HS biotech proxy)</t>
        </is>
      </c>
      <c r="AQ494" s="72" t="n">
        <v>46.55</v>
      </c>
      <c r="AR494" s="63" t="inlineStr">
        <is>
          <t>2026-08-21</t>
        </is>
      </c>
      <c r="AS494" s="64" t="n">
        <v>33.6</v>
      </c>
      <c r="AT494" s="67" t="n">
        <v>-827</v>
      </c>
      <c r="AU494" s="62" t="inlineStr">
        <is>
          <t>N</t>
        </is>
      </c>
      <c r="AV494" s="62" t="inlineStr">
        <is>
          <t>n/m</t>
        </is>
      </c>
      <c r="AW494" s="73" t="n"/>
      <c r="AX494" s="73" t="n"/>
      <c r="AY494" s="73" t="n">
        <v>204.1</v>
      </c>
      <c r="AZ494" s="74" t="inlineStr">
        <is>
          <t>N</t>
        </is>
      </c>
      <c r="BA494" s="75">
        <f>IF('BBG Verify'!K494="","not filed — run on terminal",'BBG Verify'!K494)</f>
        <v/>
      </c>
      <c r="BB494" s="62" t="inlineStr">
        <is>
          <t>N/A</t>
        </is>
      </c>
      <c r="BC494" s="62" t="inlineStr">
        <is>
          <t>N/A</t>
        </is>
      </c>
      <c r="BD494" s="62" t="inlineStr">
        <is>
          <t>N/A</t>
        </is>
      </c>
      <c r="BE494" s="62" t="inlineStr">
        <is>
          <t>N/A</t>
        </is>
      </c>
      <c r="BF494" s="62" t="inlineStr">
        <is>
          <t>N/A</t>
        </is>
      </c>
      <c r="BG494" s="74" t="n"/>
      <c r="BH494" s="62" t="inlineStr">
        <is>
          <t>Jefferies Hong Kong Limited; Merrill Lynch (Asia Pacific) Limited; Huatai Financial Holdings (Hong Kong) Limited</t>
        </is>
      </c>
      <c r="BI494" s="62" t="inlineStr">
        <is>
          <t>BOCI Asia Limited</t>
        </is>
      </c>
      <c r="BJ494" s="62" t="inlineStr">
        <is>
          <t>BOCI Asia Limited; CLSA Limited; Huatai Financial Holdings (Hong Kong) Limited; Jefferies Hong Kong Limited; Merrill Lynch (Asia Pacific) Limited</t>
        </is>
      </c>
      <c r="BK494" s="76">
        <f>HYPERLINK("https://www1.hkexnews.hk/listedco/listconews/sehk/2026/0618/2026061800025.pdf","prospectus")</f>
        <v/>
      </c>
      <c r="BL494" s="76">
        <f>HYPERLINK("https://www1.hkexnews.hk/listedco/listconews/sehk/2026/0626/2026062603033.pdf","allotment")</f>
        <v/>
      </c>
      <c r="BM494" s="76">
        <f>HYPERLINK("https://www1.hkexnews.hk/listedco/listconews/sehk/2026/0724/2026072400262.pdf","stabilisation")</f>
        <v/>
      </c>
      <c r="BN494" s="74" t="n"/>
      <c r="BO494" s="62" t="inlineStr">
        <is>
          <t>P/E: n/m — loss-making at IPO (use P/S) · range low: cap-only pricing — the filing publishes a Maximum Offer Price and no indicative floor · A/H: no A-share listing · 3m: listed less than 3m ago · sponsor: English name not in the filing text; AAStocks 保薦人 shown · alpha/index: 3m alpha needs the 3m return first — window has not elapsed yet</t>
        </is>
      </c>
    </row>
    <row r="495" ht="15" customHeight="1">
      <c r="A495" s="61" t="inlineStr">
        <is>
          <t>2697</t>
        </is>
      </c>
      <c r="B495" s="62" t="inlineStr">
        <is>
          <t>TH MEDICAL-B</t>
        </is>
      </c>
      <c r="C495" s="62" t="inlineStr">
        <is>
          <t>真健康醫療－Ｂ</t>
        </is>
      </c>
      <c r="D495" s="62" t="inlineStr">
        <is>
          <t>Healthcare</t>
        </is>
      </c>
      <c r="E495" s="62" t="inlineStr">
        <is>
          <t>Medical devices</t>
        </is>
      </c>
      <c r="F495" s="62" t="inlineStr">
        <is>
          <t>Biotechnology - Medical Devices</t>
        </is>
      </c>
      <c r="G495" s="62" t="inlineStr">
        <is>
          <t>18A</t>
        </is>
      </c>
      <c r="H495" s="63" t="n">
        <v>46203</v>
      </c>
      <c r="I495" s="64" t="n">
        <v>449.9</v>
      </c>
      <c r="J495" s="62" t="inlineStr">
        <is>
          <t>gross (stated)</t>
        </is>
      </c>
      <c r="K495" s="65" t="n"/>
      <c r="L495" s="65" t="n">
        <v>135.4</v>
      </c>
      <c r="M495" s="65" t="n">
        <v>126.2</v>
      </c>
      <c r="N495" s="62" t="inlineStr">
        <is>
          <t>N</t>
        </is>
      </c>
      <c r="O495" s="66" t="n">
        <v>93.2</v>
      </c>
      <c r="P495" s="66" t="n"/>
      <c r="Q495" s="67" t="n">
        <v>4498.7</v>
      </c>
      <c r="R495" s="62" t="inlineStr">
        <is>
          <t>derived:price x shares upon listing</t>
        </is>
      </c>
      <c r="S495" s="68" t="n">
        <v>1790.4</v>
      </c>
      <c r="T495" s="69" t="n">
        <v>2.2</v>
      </c>
      <c r="U495" s="70" t="n">
        <v>0</v>
      </c>
      <c r="V495" s="66" t="n">
        <v>10</v>
      </c>
      <c r="W495" s="62" t="n"/>
      <c r="X495" s="62" t="n"/>
      <c r="Y495" s="66" t="n">
        <v>14.5</v>
      </c>
      <c r="Z495" s="62" t="n"/>
      <c r="AA495" s="71" t="n">
        <v>216.96</v>
      </c>
      <c r="AB495" s="72" t="n">
        <v>159.27</v>
      </c>
      <c r="AC495" s="72" t="n">
        <v>22.25</v>
      </c>
      <c r="AD495" s="72" t="n">
        <v>202.22</v>
      </c>
      <c r="AE495" s="72" t="n">
        <v>325.91</v>
      </c>
      <c r="AF495" s="72" t="n"/>
      <c r="AG495" s="72" t="n">
        <v>-4.65</v>
      </c>
      <c r="AH495" s="72" t="n">
        <v>34.37</v>
      </c>
      <c r="AI495" s="72" t="n"/>
      <c r="AJ495" s="72" t="n">
        <v>199.84</v>
      </c>
      <c r="AK495" s="72" t="n">
        <v>319.19</v>
      </c>
      <c r="AL495" s="72" t="n"/>
      <c r="AM495" s="72" t="n">
        <v>26.64</v>
      </c>
      <c r="AN495" s="72" t="n">
        <v>6.72</v>
      </c>
      <c r="AO495" s="72" t="n">
        <v>7.73</v>
      </c>
      <c r="AP495" s="62" t="inlineStr">
        <is>
          <t>China Biotech ETF (HS biotech proxy)</t>
        </is>
      </c>
      <c r="AQ495" s="72" t="n">
        <v>403.17</v>
      </c>
      <c r="AR495" s="63" t="inlineStr">
        <is>
          <t>2026-08-20</t>
        </is>
      </c>
      <c r="AS495" s="64" t="n">
        <v>13.4</v>
      </c>
      <c r="AT495" s="67" t="n">
        <v>-99.09999999999999</v>
      </c>
      <c r="AU495" s="62" t="inlineStr">
        <is>
          <t>N</t>
        </is>
      </c>
      <c r="AV495" s="62" t="inlineStr">
        <is>
          <t>n/m</t>
        </is>
      </c>
      <c r="AW495" s="73" t="n"/>
      <c r="AX495" s="73" t="n"/>
      <c r="AY495" s="73" t="n">
        <v>335.7</v>
      </c>
      <c r="AZ495" s="74" t="inlineStr">
        <is>
          <t>N</t>
        </is>
      </c>
      <c r="BA495" s="75">
        <f>IF('BBG Verify'!K495="","not filed — run on terminal",'BBG Verify'!K495)</f>
        <v/>
      </c>
      <c r="BB495" s="62" t="inlineStr">
        <is>
          <t>N/A</t>
        </is>
      </c>
      <c r="BC495" s="62" t="inlineStr">
        <is>
          <t>N/A</t>
        </is>
      </c>
      <c r="BD495" s="62" t="inlineStr">
        <is>
          <t>N/A</t>
        </is>
      </c>
      <c r="BE495" s="62" t="inlineStr">
        <is>
          <t>N/A</t>
        </is>
      </c>
      <c r="BF495" s="62" t="inlineStr">
        <is>
          <t>N/A</t>
        </is>
      </c>
      <c r="BG495" s="74" t="inlineStr">
        <is>
          <t>China International Capital Corporation Hong Kong Securities Limited; DBS Asia Capital Limited</t>
        </is>
      </c>
      <c r="BH495" s="62" t="inlineStr">
        <is>
          <t>China International Capital Corporation Hong Kong Securities Limited; DBS Asia Capital Limited</t>
        </is>
      </c>
      <c r="BI495" s="62" t="inlineStr">
        <is>
          <t>China International Capital Corporation Hong Kong Securities Limited; DBS Asia Capital Limited; ABCI Capital Limited; Funde Securities Limited; CMBC Securities Company Limited; Livermore Holdings Limited; Open Securities Limited; SPDB International Capital Limited</t>
        </is>
      </c>
      <c r="BJ495" s="62" t="inlineStr">
        <is>
          <t>ABCI Securities Company Limited; China International Capital Corporation Hong Kong Securities Limited; CMBC Securities Company Limited; DBS Asia Capital Limited; Funde Securities Limited; Livermore Holdings Limited; Open Securities Limited; South China Securities Limited; SPDB International Capital Limited</t>
        </is>
      </c>
      <c r="BK495" s="76">
        <f>HYPERLINK("https://www1.hkexnews.hk/listedco/listconews/sehk/2026/0622/2026062200041.pdf","prospectus")</f>
        <v/>
      </c>
      <c r="BL495" s="76">
        <f>HYPERLINK("https://www1.hkexnews.hk/listedco/listconews/sehk/2026/0629/2026062901959.pdf","allotment")</f>
        <v/>
      </c>
      <c r="BM495" s="62" t="n"/>
      <c r="BN495" s="74" t="n"/>
      <c r="BO495" s="62" t="inlineStr">
        <is>
          <t>P/E: n/m — loss-making at IPO (use P/S) · greenshoe: end-of-stabilisation notice not located · range low: cap-only pricing — the filing publishes a Maximum Offer Price and no indicative floor · A/H: no A-share listing · 3m: listed less than 3m ago · cornerstone list: no cornerstone tranche in this deal · P/S: 336x on HK$13.4m revenue — effectively pre-revenue; the multiple is shown for completeness, not comparability · alpha/index: 3m alpha needs the 3m return first — window has not elapsed yet</t>
        </is>
      </c>
    </row>
    <row r="496" ht="15" customHeight="1">
      <c r="A496" s="61" t="inlineStr">
        <is>
          <t>6915</t>
        </is>
      </c>
      <c r="B496" s="62" t="inlineStr">
        <is>
          <t>JIANGXI BIO</t>
        </is>
      </c>
      <c r="C496" s="62" t="inlineStr">
        <is>
          <t>江西生物</t>
        </is>
      </c>
      <c r="D496" s="62" t="inlineStr">
        <is>
          <t>Healthcare</t>
        </is>
      </c>
      <c r="E496" s="62" t="inlineStr">
        <is>
          <t>Biopharma commercial</t>
        </is>
      </c>
      <c r="F496" s="62" t="inlineStr">
        <is>
          <t>Biotechnology - Pharmaceuticals</t>
        </is>
      </c>
      <c r="G496" s="62" t="inlineStr">
        <is>
          <t>Standard</t>
        </is>
      </c>
      <c r="H496" s="63" t="n">
        <v>46203</v>
      </c>
      <c r="I496" s="64" t="n">
        <v>405.83</v>
      </c>
      <c r="J496" s="62" t="inlineStr">
        <is>
          <t>gross (stated)</t>
        </is>
      </c>
      <c r="K496" s="65" t="n">
        <v>9.33</v>
      </c>
      <c r="L496" s="65" t="n">
        <v>13.06</v>
      </c>
      <c r="M496" s="65" t="n">
        <v>11.2</v>
      </c>
      <c r="N496" s="62" t="inlineStr">
        <is>
          <t>N</t>
        </is>
      </c>
      <c r="O496" s="66" t="n">
        <v>85.8</v>
      </c>
      <c r="P496" s="66" t="n">
        <v>50.1</v>
      </c>
      <c r="Q496" s="67" t="n">
        <v>3453.9</v>
      </c>
      <c r="R496" s="62" t="inlineStr">
        <is>
          <t>derived:deal size / offer % of enlarged capital</t>
        </is>
      </c>
      <c r="S496" s="68" t="n">
        <v>476.56</v>
      </c>
      <c r="T496" s="69" t="n">
        <v>4.25</v>
      </c>
      <c r="U496" s="70" t="n">
        <v>13.07</v>
      </c>
      <c r="V496" s="66" t="n">
        <v>10.21</v>
      </c>
      <c r="W496" s="62" t="inlineStr">
        <is>
          <t>Wealth Strategy Holding Limited</t>
        </is>
      </c>
      <c r="X496" s="62" t="inlineStr">
        <is>
          <t>wealth</t>
        </is>
      </c>
      <c r="Y496" s="66" t="n">
        <v>15</v>
      </c>
      <c r="Z496" s="62" t="inlineStr">
        <is>
          <t>lapsed</t>
        </is>
      </c>
      <c r="AA496" s="71" t="n">
        <v>-12.68</v>
      </c>
      <c r="AB496" s="72" t="n">
        <v>-33.93</v>
      </c>
      <c r="AC496" s="72" t="n">
        <v>32.16</v>
      </c>
      <c r="AD496" s="72" t="n">
        <v>-62.41</v>
      </c>
      <c r="AE496" s="72" t="n">
        <v>24.82</v>
      </c>
      <c r="AF496" s="72" t="n"/>
      <c r="AG496" s="72" t="n">
        <v>-56.95</v>
      </c>
      <c r="AH496" s="72" t="n">
        <v>42.95</v>
      </c>
      <c r="AI496" s="72" t="n"/>
      <c r="AJ496" s="72" t="n">
        <v>-64.79000000000001</v>
      </c>
      <c r="AK496" s="72" t="n">
        <v>18.1</v>
      </c>
      <c r="AL496" s="72" t="n"/>
      <c r="AM496" s="72" t="n">
        <v>35.22</v>
      </c>
      <c r="AN496" s="72" t="n">
        <v>6.72</v>
      </c>
      <c r="AO496" s="72" t="n">
        <v>7.73</v>
      </c>
      <c r="AP496" s="62" t="inlineStr">
        <is>
          <t>China Biotech ETF (HS biotech proxy)</t>
        </is>
      </c>
      <c r="AQ496" s="72" t="n">
        <v>36.43</v>
      </c>
      <c r="AR496" s="63" t="inlineStr">
        <is>
          <t>2026-08-20</t>
        </is>
      </c>
      <c r="AS496" s="64" t="n">
        <v>242.8</v>
      </c>
      <c r="AT496" s="67" t="n">
        <v>104.3</v>
      </c>
      <c r="AU496" s="62" t="inlineStr">
        <is>
          <t>Y</t>
        </is>
      </c>
      <c r="AV496" s="73" t="n">
        <v>33.1</v>
      </c>
      <c r="AW496" s="73" t="n"/>
      <c r="AX496" s="73" t="n"/>
      <c r="AY496" s="73" t="n">
        <v>14.2</v>
      </c>
      <c r="AZ496" s="74" t="inlineStr">
        <is>
          <t>N</t>
        </is>
      </c>
      <c r="BA496" s="75">
        <f>IF('BBG Verify'!K496="","not filed — run on terminal",'BBG Verify'!K496)</f>
        <v/>
      </c>
      <c r="BB496" s="62" t="inlineStr">
        <is>
          <t>N/A</t>
        </is>
      </c>
      <c r="BC496" s="62" t="inlineStr">
        <is>
          <t>N/A</t>
        </is>
      </c>
      <c r="BD496" s="62" t="inlineStr">
        <is>
          <t>N/A</t>
        </is>
      </c>
      <c r="BE496" s="62" t="inlineStr">
        <is>
          <t>N/A</t>
        </is>
      </c>
      <c r="BF496" s="62" t="inlineStr">
        <is>
          <t>N/A</t>
        </is>
      </c>
      <c r="BG496" s="74" t="inlineStr">
        <is>
          <t>China Merchants Securities (HK) Co., Limited</t>
        </is>
      </c>
      <c r="BH496" s="62" t="inlineStr">
        <is>
          <t>China International Capital Corporation Hong Kong Securities Limited; China Merchants Securities (HK) Company Limited</t>
        </is>
      </c>
      <c r="BI496" s="62" t="inlineStr">
        <is>
          <t>China Merchants Securities (HK) Co., Limited; Futu Securities International (Hong Kong) Limited; CMBC Securities Company Limited; Arta Asset Management Limited</t>
        </is>
      </c>
      <c r="BJ496" s="62" t="inlineStr">
        <is>
          <t>Arta Asset Management Limited; China International Capital Corporation Hong Kong Securities Limited; CMBC Securities Company Limited; China Merchants Securities (HK) Company Limited; Futu Securities International (Hong Kong) Limited; Guosen Securities (HK) Brokerage Company, Limited</t>
        </is>
      </c>
      <c r="BK496" s="76">
        <f>HYPERLINK("https://www1.hkexnews.hk/listedco/listconews/sehk/2026/0622/2026062200065.pdf","prospectus")</f>
        <v/>
      </c>
      <c r="BL496" s="76">
        <f>HYPERLINK("https://www1.hkexnews.hk/listedco/listconews/sehk/2026/0629/2026062902075.pdf","allotment")</f>
        <v/>
      </c>
      <c r="BM496" s="76">
        <f>HYPERLINK("https://www1.hkexnews.hk/listedco/listconews/sehk/2026/0726/2026072600027.pdf","stabilisation")</f>
        <v/>
      </c>
      <c r="BN496" s="74" t="n"/>
      <c r="BO496" s="62" t="inlineStr">
        <is>
          <t>A/H: no A-share listing · 3m: listed less than 3m ago · alpha/index: 3m alpha needs the 3m return first — window has not elapsed yet</t>
        </is>
      </c>
    </row>
    <row r="497" ht="15" customHeight="1">
      <c r="A497" s="61" t="inlineStr">
        <is>
          <t>3952</t>
        </is>
      </c>
      <c r="B497" s="62" t="inlineStr">
        <is>
          <t>LAIFUAL</t>
        </is>
      </c>
      <c r="C497" s="62" t="inlineStr">
        <is>
          <t>來福諧波</t>
        </is>
      </c>
      <c r="D497" s="62" t="inlineStr">
        <is>
          <t>Industrials</t>
        </is>
      </c>
      <c r="E497" s="62" t="inlineStr">
        <is>
          <t>Capital goods / machinery</t>
        </is>
      </c>
      <c r="F497" s="62" t="inlineStr">
        <is>
          <t>Advanced hardware and software</t>
        </is>
      </c>
      <c r="G497" s="62" t="inlineStr">
        <is>
          <t>Standard</t>
        </is>
      </c>
      <c r="H497" s="63" t="n">
        <v>46203</v>
      </c>
      <c r="I497" s="64" t="n">
        <v>1149.3</v>
      </c>
      <c r="J497" s="62" t="inlineStr">
        <is>
          <t>gross (stated)</t>
        </is>
      </c>
      <c r="K497" s="65" t="n"/>
      <c r="L497" s="65" t="n">
        <v>85.5</v>
      </c>
      <c r="M497" s="65" t="n">
        <v>85.5</v>
      </c>
      <c r="N497" s="62" t="inlineStr">
        <is>
          <t>Y</t>
        </is>
      </c>
      <c r="O497" s="66" t="n">
        <v>100</v>
      </c>
      <c r="P497" s="66" t="n"/>
      <c r="Q497" s="67" t="n">
        <v>7818.4</v>
      </c>
      <c r="R497" s="62" t="inlineStr">
        <is>
          <t>derived:deal size / offer % of enlarged capital</t>
        </is>
      </c>
      <c r="S497" s="68" t="n">
        <v>4571.99</v>
      </c>
      <c r="T497" s="69" t="n">
        <v>7.89</v>
      </c>
      <c r="U497" s="70" t="n">
        <v>42.8</v>
      </c>
      <c r="V497" s="66" t="n">
        <v>8.41</v>
      </c>
      <c r="W497" s="62" t="inlineStr">
        <is>
          <t>Alphahill Capital Limited; CDH Global Frontier Ventures Limited; Dreamee (Hong Kong) Open-ended Fund Company; Eurus Holdings SPC; Factorial Master Fund; Harvest Global Investments Limited; LBC HK Opportunity Fund Limited; Oaktree Capital Management, L.P; Oasis Investments II Master Fund Ltd</t>
        </is>
      </c>
      <c r="X497" s="62" t="inlineStr">
        <is>
          <t>alphahill;cdh;dreamee;eurus;factorial;harvest;lbc;oaktree;oasis</t>
        </is>
      </c>
      <c r="Y497" s="66" t="n">
        <v>8.699999999999999</v>
      </c>
      <c r="Z497" s="62" t="inlineStr">
        <is>
          <t>partial</t>
        </is>
      </c>
      <c r="AA497" s="71" t="n">
        <v>-14.62</v>
      </c>
      <c r="AB497" s="72" t="n">
        <v>3.16</v>
      </c>
      <c r="AC497" s="72" t="n">
        <v>-17.24</v>
      </c>
      <c r="AD497" s="72" t="n">
        <v>21.87</v>
      </c>
      <c r="AE497" s="72" t="n">
        <v>-42.22</v>
      </c>
      <c r="AF497" s="72" t="n"/>
      <c r="AG497" s="72" t="n">
        <v>42.74</v>
      </c>
      <c r="AH497" s="72" t="n">
        <v>-32.33</v>
      </c>
      <c r="AI497" s="72" t="n"/>
      <c r="AJ497" s="72" t="n">
        <v>14.78</v>
      </c>
      <c r="AK497" s="72" t="n">
        <v>-55.12</v>
      </c>
      <c r="AL497" s="72" t="n"/>
      <c r="AM497" s="72" t="n">
        <v>-45.4</v>
      </c>
      <c r="AN497" s="72" t="n">
        <v>12.9</v>
      </c>
      <c r="AO497" s="72" t="n">
        <v>13.07</v>
      </c>
      <c r="AP497" s="62" t="inlineStr">
        <is>
          <t>Hang Seng Commerce &amp; Industry sub-index</t>
        </is>
      </c>
      <c r="AQ497" s="72" t="n">
        <v>-28.07</v>
      </c>
      <c r="AR497" s="63" t="inlineStr">
        <is>
          <t>2026-08-20</t>
        </is>
      </c>
      <c r="AS497" s="64" t="n">
        <v>287</v>
      </c>
      <c r="AT497" s="67" t="n">
        <v>-185.7</v>
      </c>
      <c r="AU497" s="62" t="inlineStr">
        <is>
          <t>N</t>
        </is>
      </c>
      <c r="AV497" s="62" t="inlineStr">
        <is>
          <t>n/m</t>
        </is>
      </c>
      <c r="AW497" s="73" t="n"/>
      <c r="AX497" s="73" t="n"/>
      <c r="AY497" s="73" t="n">
        <v>27.2</v>
      </c>
      <c r="AZ497" s="74" t="inlineStr">
        <is>
          <t>N</t>
        </is>
      </c>
      <c r="BA497" s="75">
        <f>IF('BBG Verify'!K497="","not filed — run on terminal",'BBG Verify'!K497)</f>
        <v/>
      </c>
      <c r="BB497" s="62" t="inlineStr">
        <is>
          <t>N/A</t>
        </is>
      </c>
      <c r="BC497" s="62" t="inlineStr">
        <is>
          <t>N/A</t>
        </is>
      </c>
      <c r="BD497" s="62" t="inlineStr">
        <is>
          <t>N/A</t>
        </is>
      </c>
      <c r="BE497" s="62" t="inlineStr">
        <is>
          <t>N/A</t>
        </is>
      </c>
      <c r="BF497" s="62" t="inlineStr">
        <is>
          <t>N/A</t>
        </is>
      </c>
      <c r="BG497" s="74" t="inlineStr">
        <is>
          <t>CMB International Capital Limited</t>
        </is>
      </c>
      <c r="BH497" s="62" t="inlineStr">
        <is>
          <t>CMB International Capital Limited</t>
        </is>
      </c>
      <c r="BI497" s="62" t="inlineStr">
        <is>
          <t>CMB International Capital Limited</t>
        </is>
      </c>
      <c r="BJ497" s="62" t="inlineStr">
        <is>
          <t>CMB International Capital Limited</t>
        </is>
      </c>
      <c r="BK497" s="76">
        <f>HYPERLINK("https://www1.hkexnews.hk/listedco/listconews/sehk/2026/0622/2026062200047.pdf","prospectus")</f>
        <v/>
      </c>
      <c r="BL497" s="76">
        <f>HYPERLINK("https://www1.hkexnews.hk/listedco/listconews/sehk/2026/0629/2026062902089.pdf","allotment")</f>
        <v/>
      </c>
      <c r="BM497" s="76">
        <f>HYPERLINK("https://www1.hkexnews.hk/listedco/listconews/sehk/2026/0726/2026072600013.pdf","stabilisation")</f>
        <v/>
      </c>
      <c r="BN497" s="74" t="n"/>
      <c r="BO497" s="62" t="inlineStr">
        <is>
          <t>P/E: n/m — loss-making at IPO (use P/S) · range low: cap-only pricing — the filing publishes a Maximum Offer Price and no indicative floor · A/H: no A-share listing · 3m: listed less than 3m ago · cornerstone %: AAStocks institutional-order total / deal size — an upper bound; the table can include non-cornerstone orders · alpha/index: 3m alpha needs the 3m return first — window has not elapsed yet</t>
        </is>
      </c>
    </row>
    <row r="498" ht="15" customHeight="1">
      <c r="A498" s="61" t="inlineStr">
        <is>
          <t>6715</t>
        </is>
      </c>
      <c r="B498" s="62" t="inlineStr">
        <is>
          <t>XUNLONG SCITECH</t>
        </is>
      </c>
      <c r="C498" s="62" t="inlineStr">
        <is>
          <t>鱘龍科技</t>
        </is>
      </c>
      <c r="D498" s="62" t="inlineStr">
        <is>
          <t>Consumer</t>
        </is>
      </c>
      <c r="E498" s="62" t="inlineStr">
        <is>
          <t>Beverages / packaged food</t>
        </is>
      </c>
      <c r="F498" s="62" t="inlineStr">
        <is>
          <t>Poultry, Meat and Seafood</t>
        </is>
      </c>
      <c r="G498" s="62" t="inlineStr">
        <is>
          <t>Standard</t>
        </is>
      </c>
      <c r="H498" s="63" t="n">
        <v>46203</v>
      </c>
      <c r="I498" s="64" t="n">
        <v>1233.1</v>
      </c>
      <c r="J498" s="62" t="inlineStr">
        <is>
          <t>gross (stated)</t>
        </is>
      </c>
      <c r="K498" s="65" t="n"/>
      <c r="L498" s="65" t="n">
        <v>75.5</v>
      </c>
      <c r="M498" s="65" t="n">
        <v>75.5</v>
      </c>
      <c r="N498" s="62" t="inlineStr">
        <is>
          <t>Y</t>
        </is>
      </c>
      <c r="O498" s="66" t="n">
        <v>100</v>
      </c>
      <c r="P498" s="66" t="n"/>
      <c r="Q498" s="67" t="n">
        <v>8220</v>
      </c>
      <c r="R498" s="62" t="inlineStr">
        <is>
          <t>press:10jqka 2026-06-30: 开盘涨36.42% 总市值112.15亿</t>
        </is>
      </c>
      <c r="S498" s="68" t="n">
        <v>2134.81</v>
      </c>
      <c r="T498" s="69" t="n">
        <v>19.87</v>
      </c>
      <c r="U498" s="70" t="n">
        <v>49.7</v>
      </c>
      <c r="V498" s="66" t="n">
        <v>7.55</v>
      </c>
      <c r="W498" s="62" t="inlineStr">
        <is>
          <t>Baring Asset Management (Asia) Limited; BlackRock, Inc; ICBC Wealth Management Co., Ltd; Mirae Asset Securities (HK) Limited; Nova Kerry Inc; Taikang Life Insurance Co., Ltd</t>
        </is>
      </c>
      <c r="X498" s="62" t="inlineStr">
        <is>
          <t>baring;blackrock;icbc;mirae;nova;taikang</t>
        </is>
      </c>
      <c r="Y498" s="66" t="n">
        <v>15</v>
      </c>
      <c r="Z498" s="62" t="inlineStr">
        <is>
          <t>lapsed</t>
        </is>
      </c>
      <c r="AA498" s="71" t="n">
        <v>50.99</v>
      </c>
      <c r="AB498" s="72" t="n">
        <v>36.42</v>
      </c>
      <c r="AC498" s="72" t="n">
        <v>10.68</v>
      </c>
      <c r="AD498" s="72" t="n">
        <v>3.97</v>
      </c>
      <c r="AE498" s="72" t="n">
        <v>-22.72</v>
      </c>
      <c r="AF498" s="72" t="n"/>
      <c r="AG498" s="72" t="n">
        <v>-31.14</v>
      </c>
      <c r="AH498" s="72" t="n">
        <v>-48.82</v>
      </c>
      <c r="AI498" s="72" t="n"/>
      <c r="AJ498" s="72" t="n">
        <v>-3.12</v>
      </c>
      <c r="AK498" s="72" t="n">
        <v>-35.62</v>
      </c>
      <c r="AL498" s="72" t="n"/>
      <c r="AM498" s="72" t="n">
        <v>-61.89</v>
      </c>
      <c r="AN498" s="72" t="n">
        <v>12.9</v>
      </c>
      <c r="AO498" s="72" t="n">
        <v>13.07</v>
      </c>
      <c r="AP498" s="62" t="inlineStr">
        <is>
          <t>Hang Seng Commerce &amp; Industry sub-index</t>
        </is>
      </c>
      <c r="AQ498" s="72" t="n">
        <v>-10.86</v>
      </c>
      <c r="AR498" s="63" t="inlineStr">
        <is>
          <t>2026-08-20</t>
        </is>
      </c>
      <c r="AS498" s="64" t="n">
        <v>845.9</v>
      </c>
      <c r="AT498" s="67" t="n">
        <v>399.7</v>
      </c>
      <c r="AU498" s="62" t="inlineStr">
        <is>
          <t>Y</t>
        </is>
      </c>
      <c r="AV498" s="73" t="n">
        <v>20.6</v>
      </c>
      <c r="AW498" s="73" t="n"/>
      <c r="AX498" s="73" t="n"/>
      <c r="AY498" s="73" t="n">
        <v>9.699999999999999</v>
      </c>
      <c r="AZ498" s="74" t="inlineStr">
        <is>
          <t>N</t>
        </is>
      </c>
      <c r="BA498" s="75">
        <f>IF('BBG Verify'!K498="","not filed — run on terminal",'BBG Verify'!K498)</f>
        <v/>
      </c>
      <c r="BB498" s="62" t="inlineStr">
        <is>
          <t>N/A</t>
        </is>
      </c>
      <c r="BC498" s="62" t="inlineStr">
        <is>
          <t>N/A</t>
        </is>
      </c>
      <c r="BD498" s="62" t="inlineStr">
        <is>
          <t>N/A</t>
        </is>
      </c>
      <c r="BE498" s="62" t="inlineStr">
        <is>
          <t>N/A</t>
        </is>
      </c>
      <c r="BF498" s="62" t="inlineStr">
        <is>
          <t>N/A</t>
        </is>
      </c>
      <c r="BG498" s="74" t="inlineStr">
        <is>
          <t>CITIC Securities (Hong Kong) Limited; China Securities (Internat ional) Corporate Finance Company Limited; CLSA Limited</t>
        </is>
      </c>
      <c r="BH498" s="62" t="inlineStr">
        <is>
          <t>CITIC Securities (Hong Kong) Limited; China Securities (International) Corporate Finance Company Limited</t>
        </is>
      </c>
      <c r="BI498" s="62" t="inlineStr">
        <is>
          <t>China Industrial Securities International Capital Limited; CLSA Limited; China Securities (International) Corporate Finance Company Limited; Huafu International Securities Limited</t>
        </is>
      </c>
      <c r="BJ498" s="62" t="inlineStr">
        <is>
          <t>China Industrial Securities International Capital Limited; CLSA Limited; China Securities (International) Corporate Finance Company Limited; Huafu International Securities Limited</t>
        </is>
      </c>
      <c r="BK498" s="76">
        <f>HYPERLINK("https://www1.hkexnews.hk/listedco/listconews/sehk/2026/0622/2026062200025.pdf","prospectus")</f>
        <v/>
      </c>
      <c r="BL498" s="76">
        <f>HYPERLINK("https://www1.hkexnews.hk/listedco/listconews/sehk/2026/0629/2026062902679.pdf","allotment")</f>
        <v/>
      </c>
      <c r="BM498" s="76">
        <f>HYPERLINK("https://www1.hkexnews.hk/listedco/listconews/sehk/2026/0726/2026072600021.pdf","stabilisation")</f>
        <v/>
      </c>
      <c r="BN498" s="74" t="n"/>
      <c r="BO498" s="62" t="inlineStr">
        <is>
          <t>range low: cap-only pricing — the filing publishes a Maximum Offer Price and no indicative floor · A/H: no A-share listing · 3m: listed less than 3m ago · alpha/index: 3m alpha needs the 3m return first — window has not elapsed yet</t>
        </is>
      </c>
    </row>
    <row r="499" ht="15" customHeight="1">
      <c r="A499" s="61" t="inlineStr">
        <is>
          <t>0668</t>
        </is>
      </c>
      <c r="B499" s="62" t="inlineStr">
        <is>
          <t>ANKER</t>
        </is>
      </c>
      <c r="C499" s="62" t="inlineStr">
        <is>
          <t>安克創新</t>
        </is>
      </c>
      <c r="D499" s="62" t="inlineStr">
        <is>
          <t>Tech/AI</t>
        </is>
      </c>
      <c r="E499" s="62" t="inlineStr">
        <is>
          <t>Smart hardware / consumer electronics</t>
        </is>
      </c>
      <c r="F499" s="62" t="inlineStr">
        <is>
          <t>Consumer Electronics</t>
        </is>
      </c>
      <c r="G499" s="62" t="inlineStr">
        <is>
          <t>Standard</t>
        </is>
      </c>
      <c r="H499" s="63" t="n">
        <v>46205</v>
      </c>
      <c r="I499" s="64" t="n">
        <v>4631.6</v>
      </c>
      <c r="J499" s="62" t="inlineStr">
        <is>
          <t>gross (stated)</t>
        </is>
      </c>
      <c r="K499" s="65" t="n"/>
      <c r="L499" s="65" t="n">
        <v>99.31999999999999</v>
      </c>
      <c r="M499" s="65" t="n">
        <v>99.31999999999999</v>
      </c>
      <c r="N499" s="62" t="inlineStr">
        <is>
          <t>Y</t>
        </is>
      </c>
      <c r="O499" s="66" t="n">
        <v>100</v>
      </c>
      <c r="P499" s="66" t="n"/>
      <c r="Q499" s="67" t="n">
        <v>385966.7</v>
      </c>
      <c r="R499" s="62" t="inlineStr">
        <is>
          <t>derived:deal size / offer % of enlarged capital</t>
        </is>
      </c>
      <c r="S499" s="68" t="n">
        <v>27.57</v>
      </c>
      <c r="T499" s="69" t="n">
        <v>10.24</v>
      </c>
      <c r="U499" s="70" t="n">
        <v>49.9</v>
      </c>
      <c r="V499" s="66" t="n">
        <v>0.6</v>
      </c>
      <c r="W499" s="62" t="inlineStr">
        <is>
          <t>Aspex Master Fund; Franklin Templeton Sealand Fund Management Co., Ltd; Greenwoods Asset Management Hong Kong Limited; HACF, L.P; Jane Street Asia Trading Limited; Principal Asset Management Company (Asia) Limited; Schroder Investment Management (Singapore) Ltd; Shanghai Greenwoods Asset Management Co., Ltd; Taikang Life Insurance Co., Ltd; UBS Asset Management (Singapore) Ltd; Value Partners Hong Kong Limited; WT Asset Management Limited</t>
        </is>
      </c>
      <c r="X499" s="62" t="inlineStr">
        <is>
          <t>aspex;franklin;greenwoods;hacf;jane;principal;schroder;shanghai-greenwoods;taikang;ubs;value;wt</t>
        </is>
      </c>
      <c r="Y499" s="66" t="n">
        <v>15</v>
      </c>
      <c r="Z499" s="62" t="n"/>
      <c r="AA499" s="71" t="n">
        <v>15.69</v>
      </c>
      <c r="AB499" s="72" t="n">
        <v>-0.02</v>
      </c>
      <c r="AC499" s="72" t="n">
        <v>15.71</v>
      </c>
      <c r="AD499" s="72" t="n">
        <v>1.29</v>
      </c>
      <c r="AE499" s="72" t="n">
        <v>10.55</v>
      </c>
      <c r="AF499" s="72" t="n"/>
      <c r="AG499" s="72" t="n">
        <v>-12.45</v>
      </c>
      <c r="AH499" s="72" t="n">
        <v>-4.44</v>
      </c>
      <c r="AI499" s="72" t="n"/>
      <c r="AJ499" s="72" t="n">
        <v>-4.4</v>
      </c>
      <c r="AK499" s="72" t="n">
        <v>2.81</v>
      </c>
      <c r="AL499" s="72" t="n"/>
      <c r="AM499" s="72" t="n">
        <v>-12.82</v>
      </c>
      <c r="AN499" s="72" t="n">
        <v>7.74</v>
      </c>
      <c r="AO499" s="72" t="n">
        <v>8.380000000000001</v>
      </c>
      <c r="AP499" s="62" t="inlineStr">
        <is>
          <t>HSTECH (Hang Seng TECH ETF)</t>
        </is>
      </c>
      <c r="AQ499" s="72" t="n">
        <v>20.42</v>
      </c>
      <c r="AR499" s="63" t="inlineStr">
        <is>
          <t>2026-08-24</t>
        </is>
      </c>
      <c r="AS499" s="64" t="n">
        <v>33565.8</v>
      </c>
      <c r="AT499" s="67" t="n">
        <v>2878.9</v>
      </c>
      <c r="AU499" s="62" t="inlineStr">
        <is>
          <t>Y</t>
        </is>
      </c>
      <c r="AV499" s="73" t="n">
        <v>134.1</v>
      </c>
      <c r="AW499" s="73" t="n"/>
      <c r="AX499" s="73" t="n"/>
      <c r="AY499" s="73" t="n">
        <v>11.5</v>
      </c>
      <c r="AZ499" s="74" t="inlineStr">
        <is>
          <t>Y</t>
        </is>
      </c>
      <c r="BA499" s="62" t="inlineStr">
        <is>
          <t>300866.SZ</t>
        </is>
      </c>
      <c r="BB499" s="72" t="n">
        <v>25.2</v>
      </c>
      <c r="BC499" s="65" t="n">
        <v>124.3512</v>
      </c>
      <c r="BD499" s="79" t="n">
        <v>0.1257</v>
      </c>
      <c r="BE499" s="77">
        <f>IF('BBG Verify'!Q499="","run on terminal",'BBG Verify'!Q499)</f>
        <v/>
      </c>
      <c r="BF499" s="77">
        <f>IF('BBG Verify'!R499="","run on terminal",'BBG Verify'!R499)</f>
        <v/>
      </c>
      <c r="BG499" s="74" t="inlineStr">
        <is>
          <t>China International Capital Corporation Hong Kong Securities Limited; Goldman Sachs (Asia) L.L.C.; J.P. Morgan Securities (Far East) Limited</t>
        </is>
      </c>
      <c r="BH499" s="62" t="inlineStr">
        <is>
          <t>China International Capital Corporation Hong Kong Securities Limited; J.P. Morgan Securities (Far East) Limited; Goldman Sachs (Asia) L.L.C.</t>
        </is>
      </c>
      <c r="BI499" s="62" t="inlineStr">
        <is>
          <t>China International Capital Corporation Hong Kong Securities Limited; Goldman Sachs (Asia) L.L.C.; J.P. Morgan Securities (Asia Pacific) Limited</t>
        </is>
      </c>
      <c r="BJ499" s="62" t="inlineStr">
        <is>
          <t>China International Capital Corporation Hong Kong Securities Limited; Goldman Sachs (Asia) L.L.C.; J.P. Morgan Securities (Asia Pacific) Limited</t>
        </is>
      </c>
      <c r="BK499" s="76">
        <f>HYPERLINK("https://www1.hkexnews.hk/listedco/listconews/sehk/2026/0623/2026062300037.pdf","prospectus")</f>
        <v/>
      </c>
      <c r="BL499" s="76">
        <f>HYPERLINK("https://www1.hkexnews.hk/listedco/listconews/sehk/2026/0630/2026063003481.pdf","allotment")</f>
        <v/>
      </c>
      <c r="BM499" s="62" t="n"/>
      <c r="BN499" s="74" t="n"/>
      <c r="BO499" s="62" t="inlineStr">
        <is>
          <t>greenshoe: end-of-stabilisation notice not located · range low: cap-only pricing — the filing publishes a Maximum Offer Price and no indicative floor · A/H: Jun 2026 H listing (consumer charging/power brands) · 3m: listed less than 3m ago · alpha/index: 3m alpha needs the 3m return first — window has not elapsed yet</t>
        </is>
      </c>
    </row>
    <row r="500" ht="15" customHeight="1">
      <c r="A500" s="61" t="inlineStr">
        <is>
          <t>2667</t>
        </is>
      </c>
      <c r="B500" s="62" t="inlineStr">
        <is>
          <t>TONGRENTANGCARE</t>
        </is>
      </c>
      <c r="C500" s="62" t="inlineStr">
        <is>
          <t>同仁堂醫養</t>
        </is>
      </c>
      <c r="D500" s="62" t="inlineStr">
        <is>
          <t>Healthcare</t>
        </is>
      </c>
      <c r="E500" s="62" t="inlineStr">
        <is>
          <t>TCM</t>
        </is>
      </c>
      <c r="F500" s="62" t="inlineStr">
        <is>
          <t>Health Care Services</t>
        </is>
      </c>
      <c r="G500" s="62" t="inlineStr">
        <is>
          <t>Standard</t>
        </is>
      </c>
      <c r="H500" s="63" t="n">
        <v>46210</v>
      </c>
      <c r="I500" s="64" t="n">
        <v>594.8</v>
      </c>
      <c r="J500" s="62" t="inlineStr">
        <is>
          <t>gross (stated)</t>
        </is>
      </c>
      <c r="K500" s="65" t="n"/>
      <c r="L500" s="65" t="n">
        <v>6.21</v>
      </c>
      <c r="M500" s="65" t="n">
        <v>5.5</v>
      </c>
      <c r="N500" s="62" t="inlineStr">
        <is>
          <t>N</t>
        </is>
      </c>
      <c r="O500" s="66" t="n">
        <v>88.59999999999999</v>
      </c>
      <c r="P500" s="66" t="n"/>
      <c r="Q500" s="67" t="n">
        <v>2550.2</v>
      </c>
      <c r="R500" s="62" t="inlineStr">
        <is>
          <t>prospectus:stated market capitalisation</t>
        </is>
      </c>
      <c r="S500" s="68" t="n">
        <v>251.74</v>
      </c>
      <c r="T500" s="69" t="n">
        <v>2.84</v>
      </c>
      <c r="U500" s="70" t="n">
        <v>44.08</v>
      </c>
      <c r="V500" s="66" t="n">
        <v>13.04</v>
      </c>
      <c r="W500" s="62" t="inlineStr">
        <is>
          <t>AIRPORT TECHNOLOGY CAPITAL (HONG KONG) CO., LIMITED; Aurora SF; CICC Financial Trading Limited</t>
        </is>
      </c>
      <c r="X500" s="62" t="inlineStr">
        <is>
          <t>airport;aurora;china-international</t>
        </is>
      </c>
      <c r="Y500" s="66" t="n">
        <v>15</v>
      </c>
      <c r="Z500" s="62" t="inlineStr">
        <is>
          <t>lapsed</t>
        </is>
      </c>
      <c r="AA500" s="71" t="n">
        <v>-39.09</v>
      </c>
      <c r="AB500" s="72" t="n">
        <v>-13.45</v>
      </c>
      <c r="AC500" s="72" t="n">
        <v>-29.62</v>
      </c>
      <c r="AD500" s="72" t="n">
        <v>-44.73</v>
      </c>
      <c r="AE500" s="72" t="n">
        <v>-49.09</v>
      </c>
      <c r="AF500" s="72" t="n"/>
      <c r="AG500" s="72" t="n">
        <v>-9.26</v>
      </c>
      <c r="AH500" s="72" t="n">
        <v>-16.42</v>
      </c>
      <c r="AI500" s="72" t="n"/>
      <c r="AJ500" s="72" t="n">
        <v>-43.95</v>
      </c>
      <c r="AK500" s="72" t="n">
        <v>-50.53</v>
      </c>
      <c r="AL500" s="72" t="n"/>
      <c r="AM500" s="72" t="n">
        <v>-21.75</v>
      </c>
      <c r="AN500" s="72" t="n">
        <v>1.44</v>
      </c>
      <c r="AO500" s="72" t="n">
        <v>5.33</v>
      </c>
      <c r="AP500" s="62" t="inlineStr">
        <is>
          <t>China Biotech ETF (HS biotech proxy)</t>
        </is>
      </c>
      <c r="AQ500" s="72" t="n">
        <v>-51.73</v>
      </c>
      <c r="AR500" s="63" t="inlineStr">
        <is>
          <t>2026-08-20</t>
        </is>
      </c>
      <c r="AS500" s="64" t="n">
        <v>1288.4</v>
      </c>
      <c r="AT500" s="67" t="n">
        <v>37.1</v>
      </c>
      <c r="AU500" s="62" t="inlineStr">
        <is>
          <t>Y</t>
        </is>
      </c>
      <c r="AV500" s="73" t="n">
        <v>68.7</v>
      </c>
      <c r="AW500" s="73" t="n"/>
      <c r="AX500" s="73" t="n"/>
      <c r="AY500" s="73" t="n">
        <v>2</v>
      </c>
      <c r="AZ500" s="74" t="inlineStr">
        <is>
          <t>N</t>
        </is>
      </c>
      <c r="BA500" s="75">
        <f>IF('BBG Verify'!K500="","not filed — run on terminal",'BBG Verify'!K500)</f>
        <v/>
      </c>
      <c r="BB500" s="62" t="inlineStr">
        <is>
          <t>N/A</t>
        </is>
      </c>
      <c r="BC500" s="62" t="inlineStr">
        <is>
          <t>N/A</t>
        </is>
      </c>
      <c r="BD500" s="62" t="inlineStr">
        <is>
          <t>N/A</t>
        </is>
      </c>
      <c r="BE500" s="62" t="inlineStr">
        <is>
          <t>N/A</t>
        </is>
      </c>
      <c r="BF500" s="62" t="inlineStr">
        <is>
          <t>N/A</t>
        </is>
      </c>
      <c r="BG500" s="74" t="n"/>
      <c r="BH500" s="62" t="inlineStr">
        <is>
          <t>China International Capital Corporation Hong Kong Securities Limited</t>
        </is>
      </c>
      <c r="BI500" s="62" t="inlineStr">
        <is>
          <t>China International Capital Corporation Hong Kong Securities Limited; ICBC International Securities Limited; Kong GF Securities (Hong Kong) Brokerage Limited; Chai, Hong Kong ABCI Capital Limited; West Bull Securities Limited; V oeux Rd Central, Sheung Wan, Hong Kong Patrons Securities Limited</t>
        </is>
      </c>
      <c r="BJ500" s="62" t="inlineStr">
        <is>
          <t>ABCI Securities Company Limited; China International Capital Corporation Hong Kong Securities Limited; Futu Securities International (Hong Kong) Limited; GF Securities (Hong Kong) Brokerage Limited; ICBC International Securities Limited; Livermore Holdings Limited; Patrons Securities Limited; Tiger Brokers (HK) Global Limited; West Bull Securities Limited</t>
        </is>
      </c>
      <c r="BK500" s="76">
        <f>HYPERLINK("https://www1.hkexnews.hk/listedco/listconews/sehk/2026/0626/2026062600021.pdf","prospectus")</f>
        <v/>
      </c>
      <c r="BL500" s="76">
        <f>HYPERLINK("https://www1.hkexnews.hk/listedco/listconews/sehk/2026/0706/2026070602117.pdf","allotment")</f>
        <v/>
      </c>
      <c r="BM500" s="76">
        <f>HYPERLINK("https://www1.hkexnews.hk/listedco/listconews/sehk/2026/0803/2026080301376.pdf","stabilisation")</f>
        <v/>
      </c>
      <c r="BN500" s="74" t="n"/>
      <c r="BO500" s="62" t="inlineStr">
        <is>
          <t>range low: cap-only pricing — the filing publishes a Maximum Offer Price and no indicative floor · A/H: no A-share listing · 3m: listed less than 3m ago · sponsor: English name not in the filing text; AAStocks 保薦人 shown · alpha/index: 3m alpha needs the 3m return first — window has not elapsed yet</t>
        </is>
      </c>
    </row>
    <row r="501" ht="15" customHeight="1">
      <c r="A501" s="61" t="inlineStr">
        <is>
          <t>7656</t>
        </is>
      </c>
      <c r="B501" s="62" t="inlineStr">
        <is>
          <t>RECONOVA</t>
        </is>
      </c>
      <c r="C501" s="62" t="inlineStr">
        <is>
          <t>瑞為技術</t>
        </is>
      </c>
      <c r="D501" s="62" t="inlineStr">
        <is>
          <t>Tech/AI</t>
        </is>
      </c>
      <c r="E501" s="62" t="inlineStr">
        <is>
          <t>AI application / agent software</t>
        </is>
      </c>
      <c r="F501" s="62" t="inlineStr">
        <is>
          <t>Advanced hardware and software</t>
        </is>
      </c>
      <c r="G501" s="62" t="inlineStr">
        <is>
          <t>Standard</t>
        </is>
      </c>
      <c r="H501" s="63" t="n">
        <v>46211</v>
      </c>
      <c r="I501" s="64" t="n">
        <v>608.4</v>
      </c>
      <c r="J501" s="62" t="inlineStr">
        <is>
          <t>gross (stated)</t>
        </is>
      </c>
      <c r="K501" s="65" t="n"/>
      <c r="L501" s="65" t="n">
        <v>21.66</v>
      </c>
      <c r="M501" s="65" t="n">
        <v>21.66</v>
      </c>
      <c r="N501" s="62" t="inlineStr">
        <is>
          <t>Y</t>
        </is>
      </c>
      <c r="O501" s="66" t="n">
        <v>100</v>
      </c>
      <c r="P501" s="66" t="n"/>
      <c r="Q501" s="67" t="n">
        <v>6612.6</v>
      </c>
      <c r="R501" s="62" t="inlineStr">
        <is>
          <t>derived:price x shares upon listing</t>
        </is>
      </c>
      <c r="S501" s="68" t="n">
        <v>3646.06</v>
      </c>
      <c r="T501" s="69" t="n">
        <v>3.08</v>
      </c>
      <c r="U501" s="70" t="n">
        <v>0</v>
      </c>
      <c r="V501" s="66" t="n">
        <v>9.199999999999999</v>
      </c>
      <c r="W501" s="62" t="n"/>
      <c r="X501" s="62" t="n"/>
      <c r="Y501" s="66" t="n"/>
      <c r="Z501" s="62" t="n"/>
      <c r="AA501" s="71" t="n">
        <v>-3.05</v>
      </c>
      <c r="AB501" s="72" t="n">
        <v>-16.9</v>
      </c>
      <c r="AC501" s="72" t="n">
        <v>16.67</v>
      </c>
      <c r="AD501" s="72" t="n">
        <v>31.12</v>
      </c>
      <c r="AE501" s="72" t="n">
        <v>53.74</v>
      </c>
      <c r="AF501" s="72" t="n"/>
      <c r="AG501" s="72" t="n">
        <v>35.24</v>
      </c>
      <c r="AH501" s="72" t="n">
        <v>58.58</v>
      </c>
      <c r="AI501" s="72" t="n"/>
      <c r="AJ501" s="72" t="n">
        <v>25.91</v>
      </c>
      <c r="AK501" s="72" t="n">
        <v>46.59</v>
      </c>
      <c r="AL501" s="72" t="n"/>
      <c r="AM501" s="72" t="n">
        <v>56.55</v>
      </c>
      <c r="AN501" s="72" t="n">
        <v>7.15</v>
      </c>
      <c r="AO501" s="72" t="n">
        <v>2.03</v>
      </c>
      <c r="AP501" s="62" t="inlineStr">
        <is>
          <t>HSTECH (Hang Seng TECH ETF)</t>
        </is>
      </c>
      <c r="AQ501" s="72" t="n">
        <v>28.72</v>
      </c>
      <c r="AR501" s="63" t="inlineStr">
        <is>
          <t>2026-08-20</t>
        </is>
      </c>
      <c r="AS501" s="64" t="n">
        <v>487.3</v>
      </c>
      <c r="AT501" s="67" t="n">
        <v>-75</v>
      </c>
      <c r="AU501" s="62" t="inlineStr">
        <is>
          <t>N</t>
        </is>
      </c>
      <c r="AV501" s="62" t="inlineStr">
        <is>
          <t>n/m</t>
        </is>
      </c>
      <c r="AW501" s="73" t="n"/>
      <c r="AX501" s="73" t="n"/>
      <c r="AY501" s="73" t="n">
        <v>13.6</v>
      </c>
      <c r="AZ501" s="74" t="inlineStr">
        <is>
          <t>N</t>
        </is>
      </c>
      <c r="BA501" s="75">
        <f>IF('BBG Verify'!K501="","not filed — run on terminal",'BBG Verify'!K501)</f>
        <v/>
      </c>
      <c r="BB501" s="62" t="inlineStr">
        <is>
          <t>N/A</t>
        </is>
      </c>
      <c r="BC501" s="62" t="inlineStr">
        <is>
          <t>N/A</t>
        </is>
      </c>
      <c r="BD501" s="62" t="inlineStr">
        <is>
          <t>N/A</t>
        </is>
      </c>
      <c r="BE501" s="62" t="inlineStr">
        <is>
          <t>N/A</t>
        </is>
      </c>
      <c r="BF501" s="62" t="inlineStr">
        <is>
          <t>N/A</t>
        </is>
      </c>
      <c r="BG501" s="74" t="inlineStr">
        <is>
          <t>and Joint Sponsor-OCs Huatai Financial Holdings (Hong Kong) Limited; CCB International Capital Limited; Central, Hong Kong ABCI Capital Limited</t>
        </is>
      </c>
      <c r="BH501" s="62" t="inlineStr">
        <is>
          <t>CCB International Capital Limited; Huatai Financial Holdings (Hong Kong) Limited; ABCI Capital Limited</t>
        </is>
      </c>
      <c r="BI501" s="62" t="inlineStr">
        <is>
          <t>Huatai Financial Holdings (Hong Kong) Limited; CCB International Capital Limited; Central, Hong Kong ABCI Capital Limited; CMBC Securities Company Limited; Huafu International Securities Limited; Sheung Wan, Hong Kong Shenwan Hongyuan Securities (H.K.) Limited; Sunfund Securities Limited; Futu Securities International (Hong Kong) Limited; Admiralty, Hong Kong Yuet Sheung International Securities Limited</t>
        </is>
      </c>
      <c r="BJ501" s="62" t="inlineStr">
        <is>
          <t>ABCI Securities Company Limited; CCB International Capital Limited; CMBC Securities Company Limited; Futu Securities International (Hong Kong) Limited; Huatai Financial Holdings (Hong Kong) Limited; Huafu International Securities Limited; Shenwan Hongyuan Securities (H.K.) Limited; Sunfund Securities Limited; Yuet Sheung International Securities Limited</t>
        </is>
      </c>
      <c r="BK501" s="76">
        <f>HYPERLINK("https://www1.hkexnews.hk/listedco/listconews/sehk/2026/0629/2026062900145.pdf","prospectus")</f>
        <v/>
      </c>
      <c r="BL501" s="76">
        <f>HYPERLINK("https://www1.hkexnews.hk/listedco/listconews/sehk/2026/0707/2026070701895.pdf","allotment")</f>
        <v/>
      </c>
      <c r="BM501" s="62" t="n"/>
      <c r="BN501" s="74" t="n"/>
      <c r="BO501" s="62" t="inlineStr">
        <is>
          <t>P/E: n/m — loss-making at IPO (use P/S) · greenshoe: no over-allotment option in the offer structure · range low: cap-only pricing — the filing publishes a Maximum Offer Price and no indicative floor · A/H: no A-share listing · 3m: listed less than 3m ago · cornerstone list: no cornerstone tranche in this deal · greenshoe size: no over-allotment option in the offer structure · alpha/index: 3m alpha needs the 3m return first — window has not elapsed yet</t>
        </is>
      </c>
    </row>
    <row r="502" ht="15" customHeight="1">
      <c r="A502" s="61" t="inlineStr">
        <is>
          <t>9971</t>
        </is>
      </c>
      <c r="B502" s="62" t="inlineStr">
        <is>
          <t>BASICSEMI</t>
        </is>
      </c>
      <c r="C502" s="62" t="inlineStr">
        <is>
          <t>基本半導體</t>
        </is>
      </c>
      <c r="D502" s="62" t="inlineStr">
        <is>
          <t>Tech/AI</t>
        </is>
      </c>
      <c r="E502" s="62" t="inlineStr">
        <is>
          <t>AI chips &amp; semis</t>
        </is>
      </c>
      <c r="F502" s="62" t="inlineStr">
        <is>
          <t>Semiconductors &amp; Semiconductor Equipment</t>
        </is>
      </c>
      <c r="G502" s="62" t="inlineStr">
        <is>
          <t>Standard</t>
        </is>
      </c>
      <c r="H502" s="63" t="n">
        <v>46211</v>
      </c>
      <c r="I502" s="64" t="n">
        <v>865.95</v>
      </c>
      <c r="J502" s="62" t="inlineStr">
        <is>
          <t>gross (stated)</t>
        </is>
      </c>
      <c r="K502" s="65" t="n"/>
      <c r="L502" s="65" t="n">
        <v>31.62</v>
      </c>
      <c r="M502" s="65" t="n">
        <v>31.62</v>
      </c>
      <c r="N502" s="62" t="inlineStr">
        <is>
          <t>Y</t>
        </is>
      </c>
      <c r="O502" s="66" t="n">
        <v>100</v>
      </c>
      <c r="P502" s="66" t="n"/>
      <c r="Q502" s="67" t="n">
        <v>9621.6</v>
      </c>
      <c r="R502" s="62" t="inlineStr">
        <is>
          <t>derived:price x shares upon listing</t>
        </is>
      </c>
      <c r="S502" s="68" t="n">
        <v>4812.72</v>
      </c>
      <c r="T502" s="69" t="n">
        <v>2.98</v>
      </c>
      <c r="U502" s="70" t="n"/>
      <c r="V502" s="66" t="n">
        <v>9</v>
      </c>
      <c r="W502" s="62" t="n"/>
      <c r="X502" s="62" t="n"/>
      <c r="Y502" s="66" t="n">
        <v>17.41</v>
      </c>
      <c r="Z502" s="62" t="inlineStr">
        <is>
          <t>lapsed (no over-allocation)</t>
        </is>
      </c>
      <c r="AA502" s="71" t="n">
        <v>5.06</v>
      </c>
      <c r="AB502" s="72" t="n">
        <v>7.91</v>
      </c>
      <c r="AC502" s="72" t="n">
        <v>-2.64</v>
      </c>
      <c r="AD502" s="72" t="n">
        <v>33.71</v>
      </c>
      <c r="AE502" s="72" t="n">
        <v>74.89</v>
      </c>
      <c r="AF502" s="72" t="n"/>
      <c r="AG502" s="72" t="n">
        <v>27.27</v>
      </c>
      <c r="AH502" s="72" t="n">
        <v>66.47</v>
      </c>
      <c r="AI502" s="72" t="n"/>
      <c r="AJ502" s="72" t="n">
        <v>28.5</v>
      </c>
      <c r="AK502" s="72" t="n">
        <v>67.73999999999999</v>
      </c>
      <c r="AL502" s="72" t="n"/>
      <c r="AM502" s="72" t="n">
        <v>64.44</v>
      </c>
      <c r="AN502" s="72" t="n">
        <v>7.15</v>
      </c>
      <c r="AO502" s="72" t="n">
        <v>2.03</v>
      </c>
      <c r="AP502" s="62" t="inlineStr">
        <is>
          <t>HSTECH (Hang Seng TECH ETF)</t>
        </is>
      </c>
      <c r="AQ502" s="72" t="n">
        <v>115.05</v>
      </c>
      <c r="AR502" s="63" t="inlineStr">
        <is>
          <t>2026-08-20</t>
        </is>
      </c>
      <c r="AS502" s="64" t="n">
        <v>342.3</v>
      </c>
      <c r="AT502" s="67" t="n">
        <v>-260.8</v>
      </c>
      <c r="AU502" s="62" t="inlineStr">
        <is>
          <t>N</t>
        </is>
      </c>
      <c r="AV502" s="62" t="inlineStr">
        <is>
          <t>n/m</t>
        </is>
      </c>
      <c r="AW502" s="73" t="n"/>
      <c r="AX502" s="73" t="n"/>
      <c r="AY502" s="73" t="n">
        <v>28.1</v>
      </c>
      <c r="AZ502" s="74" t="inlineStr">
        <is>
          <t>N</t>
        </is>
      </c>
      <c r="BA502" s="75">
        <f>IF('BBG Verify'!K502="","not filed — run on terminal",'BBG Verify'!K502)</f>
        <v/>
      </c>
      <c r="BB502" s="62" t="inlineStr">
        <is>
          <t>N/A</t>
        </is>
      </c>
      <c r="BC502" s="62" t="inlineStr">
        <is>
          <t>N/A</t>
        </is>
      </c>
      <c r="BD502" s="62" t="inlineStr">
        <is>
          <t>N/A</t>
        </is>
      </c>
      <c r="BE502" s="62" t="inlineStr">
        <is>
          <t>N/A</t>
        </is>
      </c>
      <c r="BF502" s="62" t="inlineStr">
        <is>
          <t>N/A</t>
        </is>
      </c>
      <c r="BG502" s="74" t="inlineStr">
        <is>
          <t>Sinolink Securities (Hong Kong) Company Limited; Sheung Wan, Hong Kong BOCI Asia Limited</t>
        </is>
      </c>
      <c r="BH502" s="62" t="inlineStr">
        <is>
          <t>BOCI Asia Limited; Sinolink Securities (Hong Kong) Company Limited</t>
        </is>
      </c>
      <c r="BI502" s="62" t="inlineStr">
        <is>
          <t>Fortune (HK) Securities Limited; Futu Securities International (Hong Kong) Limited; Guosen Securities (HK) Capital Company Limited; Patrons Securities Limited; Tiger Brokers (HK) Global Limited; TradeGo Markets Limited; Yue Xiu Securities Company Limited</t>
        </is>
      </c>
      <c r="BJ502" s="62" t="inlineStr">
        <is>
          <t>BOCI Asia Limited; Fortune (HK) Securities Limited; Futu Securities International (Hong Kong) Limited; Guosen Securities (HK) Capital Company Limited; Patrons Securities Limited; Sinolink Securities (Hong Kong) Company Limited; Tiger Brokers (HK) Global Limited; TradeGo Markets Limited; Yue Xiu Securities Company Limited</t>
        </is>
      </c>
      <c r="BK502" s="76">
        <f>HYPERLINK("https://www1.hkexnews.hk/listedco/listconews/sehk/2026/0629/2026062900049.pdf","prospectus")</f>
        <v/>
      </c>
      <c r="BL502" s="76">
        <f>HYPERLINK("https://www1.hkexnews.hk/listedco/listconews/sehk/2026/0707/2026070701913.pdf","allotment")</f>
        <v/>
      </c>
      <c r="BM502" s="76">
        <f>HYPERLINK("https://www1.hkexnews.hk/listedco/listconews/sehk/2026/0803/2026080300057.pdf","stabilisation")</f>
        <v/>
      </c>
      <c r="BN502" s="74" t="n"/>
      <c r="BO502" s="62" t="inlineStr">
        <is>
          <t>P/E: n/m — loss-making at IPO (use P/S) · range low: cap-only pricing — the filing publishes a Maximum Offer Price and no indicative floor · A/H: no A-share listing · 3m: listed less than 3m ago · cornerstone list: cornerstone section not machine-extractable — see the prospectus link · cornerstone %: cornerstone aggregate not stated in the filing · alpha/index: 3m alpha needs the 3m return first — window has not elapsed yet</t>
        </is>
      </c>
    </row>
    <row r="503" ht="15" customHeight="1">
      <c r="A503" s="61" t="inlineStr">
        <is>
          <t>6880</t>
        </is>
      </c>
      <c r="B503" s="62" t="inlineStr">
        <is>
          <t>MOMENTA-W</t>
        </is>
      </c>
      <c r="C503" s="62" t="inlineStr">
        <is>
          <t>MOMENTA-W</t>
        </is>
      </c>
      <c r="D503" s="62" t="inlineStr">
        <is>
          <t>Tech/AI</t>
        </is>
      </c>
      <c r="E503" s="62" t="inlineStr">
        <is>
          <t>Robotics &amp; autonomous driving</t>
        </is>
      </c>
      <c r="F503" s="62" t="inlineStr">
        <is>
          <t>Advanced hardware and software</t>
        </is>
      </c>
      <c r="G503" s="62" t="inlineStr">
        <is>
          <t>WVR</t>
        </is>
      </c>
      <c r="H503" s="63" t="n">
        <v>46211</v>
      </c>
      <c r="I503" s="64" t="n">
        <v>5893.8</v>
      </c>
      <c r="J503" s="62" t="inlineStr">
        <is>
          <t>gross (stated)</t>
        </is>
      </c>
      <c r="K503" s="65" t="n"/>
      <c r="L503" s="65" t="n">
        <v>295.6</v>
      </c>
      <c r="M503" s="65" t="n">
        <v>295.6</v>
      </c>
      <c r="N503" s="62" t="inlineStr">
        <is>
          <t>Y</t>
        </is>
      </c>
      <c r="O503" s="66" t="n">
        <v>100</v>
      </c>
      <c r="P503" s="66" t="n"/>
      <c r="Q503" s="67" t="n">
        <v>10000</v>
      </c>
      <c r="R503" s="62" t="inlineStr">
        <is>
          <t>prospectus:stated market capitalisation</t>
        </is>
      </c>
      <c r="S503" s="68" t="n">
        <v>413.63</v>
      </c>
      <c r="T503" s="69" t="n">
        <v>20.31</v>
      </c>
      <c r="U503" s="70" t="n">
        <v>49.95</v>
      </c>
      <c r="V503" s="66" t="n">
        <v>29.5</v>
      </c>
      <c r="W503" s="62" t="inlineStr">
        <is>
          <t>BlackRock, Inc; Boyu Group, LLC; China Asset Management (Hong Kong) Limited; CPIC Investment Management (H.K.) Company Limited; FIL Investment Management (Hong Kong) Limited; GF Fund Management Co., Ltd; GIC Private Limited; GigaDevice Semiconductor (HK) Limited; Golden Link Worldwide Limited; Mercedes-Benz AG; Oaktree Capital Management, L.P; Suzhou Mosu Technology Co., Ltd; Templeton Asset Management Ltd</t>
        </is>
      </c>
      <c r="X503" s="62" t="inlineStr">
        <is>
          <t>blackrock;boyu;china-asset;cpic;fil;gf;gic;gigadevice;golden-link;mercedes;oaktree;suzhou;templeton</t>
        </is>
      </c>
      <c r="Y503" s="66" t="n">
        <v>15</v>
      </c>
      <c r="Z503" s="62" t="n"/>
      <c r="AA503" s="71" t="n">
        <v>0</v>
      </c>
      <c r="AB503" s="72" t="n">
        <v>1.83</v>
      </c>
      <c r="AC503" s="72" t="n">
        <v>-1.8</v>
      </c>
      <c r="AD503" s="72" t="n">
        <v>0.27</v>
      </c>
      <c r="AE503" s="72" t="n">
        <v>-10.08</v>
      </c>
      <c r="AF503" s="72" t="n"/>
      <c r="AG503" s="72" t="n">
        <v>0.27</v>
      </c>
      <c r="AH503" s="72" t="n">
        <v>-10.08</v>
      </c>
      <c r="AI503" s="72" t="n"/>
      <c r="AJ503" s="72" t="n">
        <v>-4.94</v>
      </c>
      <c r="AK503" s="72" t="n">
        <v>-17.23</v>
      </c>
      <c r="AL503" s="72" t="n"/>
      <c r="AM503" s="72" t="n">
        <v>-12.11</v>
      </c>
      <c r="AN503" s="72" t="n">
        <v>7.15</v>
      </c>
      <c r="AO503" s="72" t="n">
        <v>2.03</v>
      </c>
      <c r="AP503" s="62" t="inlineStr">
        <is>
          <t>HSTECH (Hang Seng TECH ETF)</t>
        </is>
      </c>
      <c r="AQ503" s="72" t="n">
        <v>-7.1</v>
      </c>
      <c r="AR503" s="63" t="inlineStr">
        <is>
          <t>2026-08-20</t>
        </is>
      </c>
      <c r="AS503" s="64" t="n">
        <v>2653.8</v>
      </c>
      <c r="AT503" s="67" t="n">
        <v>-3803.7</v>
      </c>
      <c r="AU503" s="62" t="inlineStr">
        <is>
          <t>N</t>
        </is>
      </c>
      <c r="AV503" s="62" t="inlineStr">
        <is>
          <t>n/m</t>
        </is>
      </c>
      <c r="AW503" s="73" t="n"/>
      <c r="AX503" s="73" t="n"/>
      <c r="AY503" s="73" t="n">
        <v>3.8</v>
      </c>
      <c r="AZ503" s="74" t="inlineStr">
        <is>
          <t>N</t>
        </is>
      </c>
      <c r="BA503" s="75">
        <f>IF('BBG Verify'!K503="","not filed — run on terminal",'BBG Verify'!K503)</f>
        <v/>
      </c>
      <c r="BB503" s="62" t="inlineStr">
        <is>
          <t>N/A</t>
        </is>
      </c>
      <c r="BC503" s="62" t="inlineStr">
        <is>
          <t>N/A</t>
        </is>
      </c>
      <c r="BD503" s="62" t="inlineStr">
        <is>
          <t>N/A</t>
        </is>
      </c>
      <c r="BE503" s="62" t="inlineStr">
        <is>
          <t>N/A</t>
        </is>
      </c>
      <c r="BF503" s="62" t="inlineStr">
        <is>
          <t>N/A</t>
        </is>
      </c>
      <c r="BG503" s="74" t="inlineStr">
        <is>
          <t>China International Capital Corporation Hong Kong Securities Limited; Deutsche Securities Asia Limited</t>
        </is>
      </c>
      <c r="BH503" s="62" t="inlineStr">
        <is>
          <t>China International Capital Corporation Hong Kong Securities Limited; Deutsche Securities Asia Limited</t>
        </is>
      </c>
      <c r="BI503" s="62" t="inlineStr">
        <is>
          <t>No. 95 Queensway Admiralty, Hong Kong Tiger Brokers (HK) Global Limited</t>
        </is>
      </c>
      <c r="BJ503" s="62" t="inlineStr">
        <is>
          <t>China International Capital Corporation Hong Kong Securities Limited; Deutsche Bank AG, Hong Kong Branch; Futu Securities International (Hong Kong) Limited; J.P. Morgan Securities (Asia Pacific) Limited; Tiger Brokers (HK) Global Limited</t>
        </is>
      </c>
      <c r="BK503" s="76">
        <f>HYPERLINK("https://www1.hkexnews.hk/listedco/listconews/sehk/2026/0629/2026062900057.pdf","prospectus")</f>
        <v/>
      </c>
      <c r="BL503" s="76">
        <f>HYPERLINK("https://www1.hkexnews.hk/listedco/listconews/sehk/2026/0707/2026070701963.pdf","allotment")</f>
        <v/>
      </c>
      <c r="BM503" s="62" t="n"/>
      <c r="BN503" s="74" t="n"/>
      <c r="BO503" s="62" t="inlineStr">
        <is>
          <t>P/E: n/m — loss-making at IPO (use P/S) · greenshoe: end-of-stabilisation notice not located · range low: cap-only pricing — the filing publishes a Maximum Offer Price and no indicative floor · A/H: no A-share listing · 3m: listed less than 3m ago · alpha/index: 3m alpha needs the 3m return first — window has not elapsed yet</t>
        </is>
      </c>
    </row>
    <row r="504" ht="15" customHeight="1">
      <c r="A504" s="61" t="inlineStr">
        <is>
          <t>7687</t>
        </is>
      </c>
      <c r="B504" s="62" t="inlineStr">
        <is>
          <t>EACON</t>
        </is>
      </c>
      <c r="C504" s="62" t="inlineStr">
        <is>
          <t>易控智駕</t>
        </is>
      </c>
      <c r="D504" s="62" t="inlineStr">
        <is>
          <t>Tech/AI</t>
        </is>
      </c>
      <c r="E504" s="62" t="inlineStr">
        <is>
          <t>Robotics &amp; autonomous driving</t>
        </is>
      </c>
      <c r="F504" s="62" t="inlineStr">
        <is>
          <t>Advanced hardware and software</t>
        </is>
      </c>
      <c r="G504" s="62" t="inlineStr">
        <is>
          <t>Standard</t>
        </is>
      </c>
      <c r="H504" s="63" t="n">
        <v>46211</v>
      </c>
      <c r="I504" s="64" t="n">
        <v>2297.53</v>
      </c>
      <c r="J504" s="62" t="inlineStr">
        <is>
          <t>gross (stated)</t>
        </is>
      </c>
      <c r="K504" s="65" t="n">
        <v>81.16</v>
      </c>
      <c r="L504" s="65" t="n">
        <v>87.92</v>
      </c>
      <c r="M504" s="65" t="n">
        <v>87.92</v>
      </c>
      <c r="N504" s="62" t="inlineStr">
        <is>
          <t>Y</t>
        </is>
      </c>
      <c r="O504" s="66" t="n">
        <v>100</v>
      </c>
      <c r="P504" s="66" t="n">
        <v>100</v>
      </c>
      <c r="Q504" s="67" t="n">
        <v>11603.7</v>
      </c>
      <c r="R504" s="62" t="inlineStr">
        <is>
          <t>derived:deal size / offer % of enlarged capital</t>
        </is>
      </c>
      <c r="S504" s="68" t="n">
        <v>157.82</v>
      </c>
      <c r="T504" s="69" t="n">
        <v>10.5</v>
      </c>
      <c r="U504" s="70" t="n">
        <v>49.79</v>
      </c>
      <c r="V504" s="66" t="n">
        <v>9.94</v>
      </c>
      <c r="W504" s="62" t="inlineStr">
        <is>
          <t>Aurora SF; Baring Asset Management (Asia) Limited; CDH Golden River, L.P; FIL Investment Management (Hong Kong) Limited; GF Fund Management Co., Ltd; Indus Select Master Fund, Ltd. and Vitruvius SICAV-Asian Equity; Jain Global Master Fund Ltd; JPMorgan Asset Management (Asia Pacific) Limited; Regal Partners Holdings Pty Limited; Seven Grand Managers, LLC; ZIJINNING Limited Partnership</t>
        </is>
      </c>
      <c r="X504" s="62" t="inlineStr">
        <is>
          <t>aurora;baring;cdh;fil;gf;indus;jain;jpmorgan;regal;seven;zijinning</t>
        </is>
      </c>
      <c r="Y504" s="66" t="n">
        <v>6.2</v>
      </c>
      <c r="Z504" s="62" t="inlineStr">
        <is>
          <t>partial</t>
        </is>
      </c>
      <c r="AA504" s="71" t="n">
        <v>9.99</v>
      </c>
      <c r="AB504" s="72" t="n">
        <v>3.5</v>
      </c>
      <c r="AC504" s="72" t="n">
        <v>6.27</v>
      </c>
      <c r="AD504" s="72" t="n">
        <v>2.59</v>
      </c>
      <c r="AE504" s="72" t="n">
        <v>-5.6</v>
      </c>
      <c r="AF504" s="72" t="n"/>
      <c r="AG504" s="72" t="n">
        <v>-6.73</v>
      </c>
      <c r="AH504" s="72" t="n">
        <v>-14.17</v>
      </c>
      <c r="AI504" s="72" t="n"/>
      <c r="AJ504" s="72" t="n">
        <v>-2.62</v>
      </c>
      <c r="AK504" s="72" t="n">
        <v>-12.75</v>
      </c>
      <c r="AL504" s="72" t="n"/>
      <c r="AM504" s="72" t="n">
        <v>-16.2</v>
      </c>
      <c r="AN504" s="72" t="n">
        <v>7.15</v>
      </c>
      <c r="AO504" s="72" t="n">
        <v>2.03</v>
      </c>
      <c r="AP504" s="62" t="inlineStr">
        <is>
          <t>HSTECH (Hang Seng TECH ETF)</t>
        </is>
      </c>
      <c r="AQ504" s="72" t="n">
        <v>-6.22</v>
      </c>
      <c r="AR504" s="63" t="inlineStr">
        <is>
          <t>2026-08-20</t>
        </is>
      </c>
      <c r="AS504" s="64" t="n">
        <v>1578.8</v>
      </c>
      <c r="AT504" s="67" t="n">
        <v>-567.1</v>
      </c>
      <c r="AU504" s="62" t="inlineStr">
        <is>
          <t>N</t>
        </is>
      </c>
      <c r="AV504" s="62" t="inlineStr">
        <is>
          <t>n/m</t>
        </is>
      </c>
      <c r="AW504" s="73" t="n"/>
      <c r="AX504" s="73" t="n"/>
      <c r="AY504" s="73" t="n">
        <v>7.3</v>
      </c>
      <c r="AZ504" s="74" t="inlineStr">
        <is>
          <t>N</t>
        </is>
      </c>
      <c r="BA504" s="75">
        <f>IF('BBG Verify'!K504="","not filed — run on terminal",'BBG Verify'!K504)</f>
        <v/>
      </c>
      <c r="BB504" s="62" t="inlineStr">
        <is>
          <t>N/A</t>
        </is>
      </c>
      <c r="BC504" s="62" t="inlineStr">
        <is>
          <t>N/A</t>
        </is>
      </c>
      <c r="BD504" s="62" t="inlineStr">
        <is>
          <t>N/A</t>
        </is>
      </c>
      <c r="BE504" s="62" t="inlineStr">
        <is>
          <t>N/A</t>
        </is>
      </c>
      <c r="BF504" s="62" t="inlineStr">
        <is>
          <t>N/A</t>
        </is>
      </c>
      <c r="BG504" s="74" t="inlineStr">
        <is>
          <t>Haitong International Capital Limited</t>
        </is>
      </c>
      <c r="BH504" s="62" t="inlineStr">
        <is>
          <t>Haitong International Capital Limited</t>
        </is>
      </c>
      <c r="BI504" s="62" t="inlineStr">
        <is>
          <t>Haitong International Securities Company Limited; Macquarie Capital Limited; CLSA Limited; CMB International Capital Limited; China Industrial Securities International Capital Limited; Mizuho Securities Asia Limited; Futu Securities International (Hong Kong) Limited; Tiger Brokers (HK) Global Limited</t>
        </is>
      </c>
      <c r="BJ504" s="62" t="inlineStr">
        <is>
          <t>China Industrial Securities International Capital Limited; CLSA Limited; CMB International Capital Limited; Futu Securities International (Hong Kong) Limited; Haitong International Securities Company Limited; Macquarie Capital Limited; Mizuho Securities Asia Limited; Tiger Brokers (HK) Global Limited</t>
        </is>
      </c>
      <c r="BK504" s="76">
        <f>HYPERLINK("https://www1.hkexnews.hk/listedco/listconews/sehk/2026/0629/2026062900135.pdf","prospectus")</f>
        <v/>
      </c>
      <c r="BL504" s="76">
        <f>HYPERLINK("https://www1.hkexnews.hk/listedco/listconews/sehk/2026/0707/2026070702043.pdf","allotment")</f>
        <v/>
      </c>
      <c r="BM504" s="76">
        <f>HYPERLINK("https://www1.hkexnews.hk/listedco/listconews/sehk/2026/0802/2026080200017.pdf","stabilisation")</f>
        <v/>
      </c>
      <c r="BN504" s="74" t="n"/>
      <c r="BO504" s="62" t="inlineStr">
        <is>
          <t>P/E: n/m — loss-making at IPO (use P/S) · A/H: no A-share listing · 3m: listed less than 3m ago · alpha/index: 3m alpha needs the 3m return first — window has not elapsed yet</t>
        </is>
      </c>
    </row>
    <row r="505" ht="15" customHeight="1">
      <c r="A505" s="61" t="inlineStr">
        <is>
          <t>2797</t>
        </is>
      </c>
      <c r="B505" s="62" t="inlineStr">
        <is>
          <t>QIYUNSHAN FOOD</t>
        </is>
      </c>
      <c r="C505" s="62" t="inlineStr">
        <is>
          <t>齊雲山食品</t>
        </is>
      </c>
      <c r="D505" s="62" t="inlineStr">
        <is>
          <t>Consumer</t>
        </is>
      </c>
      <c r="E505" s="62" t="inlineStr">
        <is>
          <t>Beverages / packaged food</t>
        </is>
      </c>
      <c r="F505" s="62" t="inlineStr">
        <is>
          <t>Packaged Foods</t>
        </is>
      </c>
      <c r="G505" s="62" t="inlineStr">
        <is>
          <t>Standard</t>
        </is>
      </c>
      <c r="H505" s="63" t="n">
        <v>46212</v>
      </c>
      <c r="I505" s="64" t="n">
        <v>200</v>
      </c>
      <c r="J505" s="62" t="inlineStr">
        <is>
          <t>gross (stated)</t>
        </is>
      </c>
      <c r="K505" s="65" t="n"/>
      <c r="L505" s="65" t="n">
        <v>8</v>
      </c>
      <c r="M505" s="65" t="n">
        <v>8</v>
      </c>
      <c r="N505" s="62" t="inlineStr">
        <is>
          <t>Y</t>
        </is>
      </c>
      <c r="O505" s="66" t="n">
        <v>100</v>
      </c>
      <c r="P505" s="66" t="n"/>
      <c r="Q505" s="67" t="n">
        <v>800</v>
      </c>
      <c r="R505" s="62" t="inlineStr">
        <is>
          <t>derived:price x shares upon listing</t>
        </is>
      </c>
      <c r="S505" s="68" t="n">
        <v>1688.1</v>
      </c>
      <c r="T505" s="69" t="n">
        <v>1.51</v>
      </c>
      <c r="U505" s="70" t="n">
        <v>0</v>
      </c>
      <c r="V505" s="66" t="n">
        <v>25</v>
      </c>
      <c r="W505" s="62" t="n"/>
      <c r="X505" s="62" t="n"/>
      <c r="Y505" s="66" t="n">
        <v>15</v>
      </c>
      <c r="Z505" s="62" t="inlineStr">
        <is>
          <t>lapsed (no over-allocation)</t>
        </is>
      </c>
      <c r="AA505" s="71" t="n">
        <v>162.5</v>
      </c>
      <c r="AB505" s="72" t="n">
        <v>100</v>
      </c>
      <c r="AC505" s="72" t="n">
        <v>31.25</v>
      </c>
      <c r="AD505" s="72" t="n">
        <v>267.5</v>
      </c>
      <c r="AE505" s="72" t="n">
        <v>1146.88</v>
      </c>
      <c r="AF505" s="72" t="n"/>
      <c r="AG505" s="72" t="n">
        <v>40</v>
      </c>
      <c r="AH505" s="72" t="n">
        <v>375</v>
      </c>
      <c r="AI505" s="72" t="n"/>
      <c r="AJ505" s="72" t="n">
        <v>263.44</v>
      </c>
      <c r="AK505" s="72" t="n">
        <v>1140.07</v>
      </c>
      <c r="AL505" s="72" t="n"/>
      <c r="AM505" s="72" t="n">
        <v>367.59</v>
      </c>
      <c r="AN505" s="72" t="n">
        <v>6.81</v>
      </c>
      <c r="AO505" s="72" t="n">
        <v>7.41</v>
      </c>
      <c r="AP505" s="62" t="inlineStr">
        <is>
          <t>Hang Seng Commerce &amp; Industry sub-index</t>
        </is>
      </c>
      <c r="AQ505" s="72" t="n">
        <v>1275</v>
      </c>
      <c r="AR505" s="63" t="inlineStr">
        <is>
          <t>2026-08-20</t>
        </is>
      </c>
      <c r="AS505" s="64" t="n">
        <v>345.1</v>
      </c>
      <c r="AT505" s="67" t="n">
        <v>53.8</v>
      </c>
      <c r="AU505" s="62" t="inlineStr">
        <is>
          <t>Y</t>
        </is>
      </c>
      <c r="AV505" s="73" t="n">
        <v>14.9</v>
      </c>
      <c r="AW505" s="73" t="n"/>
      <c r="AX505" s="73" t="n"/>
      <c r="AY505" s="73" t="n">
        <v>2.3</v>
      </c>
      <c r="AZ505" s="74" t="inlineStr">
        <is>
          <t>N</t>
        </is>
      </c>
      <c r="BA505" s="75">
        <f>IF('BBG Verify'!K505="","not filed — run on terminal",'BBG Verify'!K505)</f>
        <v/>
      </c>
      <c r="BB505" s="62" t="inlineStr">
        <is>
          <t>N/A</t>
        </is>
      </c>
      <c r="BC505" s="62" t="inlineStr">
        <is>
          <t>N/A</t>
        </is>
      </c>
      <c r="BD505" s="62" t="inlineStr">
        <is>
          <t>N/A</t>
        </is>
      </c>
      <c r="BE505" s="62" t="inlineStr">
        <is>
          <t>N/A</t>
        </is>
      </c>
      <c r="BF505" s="62" t="inlineStr">
        <is>
          <t>N/A</t>
        </is>
      </c>
      <c r="BG505" s="74" t="inlineStr">
        <is>
          <t>Zhongtai Inte rnational Capital Limited</t>
        </is>
      </c>
      <c r="BH505" s="62" t="inlineStr">
        <is>
          <t>Zhongtai International Capital Limited</t>
        </is>
      </c>
      <c r="BI505" s="62" t="inlineStr">
        <is>
          <t>CCB International Capital Limited; ABCI Capital Limited</t>
        </is>
      </c>
      <c r="BJ505" s="62" t="inlineStr">
        <is>
          <t>ABCI Securities Company Limited; CCB International Capital Limited; CMBC Securities Company Limited; Eddid Securities and Futures Limited; First Shanghai Securities Limited; Futu Securities International (Hong Kong) Limited; Get Nice Securities Limited; Ping An Securities (Hong Kong) Company Limited; South China Securities Limited; Shenwan Hongyuan Securities (H.K.) Limited; SPDB International Capital Limited; Shanxi Securities International Limited</t>
        </is>
      </c>
      <c r="BK505" s="76">
        <f>HYPERLINK("https://www1.hkexnews.hk/listedco/listconews/sehk/2026/0630/2026063000055.pdf","prospectus")</f>
        <v/>
      </c>
      <c r="BL505" s="76">
        <f>HYPERLINK("https://www1.hkexnews.hk/listedco/listconews/sehk/2026/0708/2026070801132.pdf","allotment")</f>
        <v/>
      </c>
      <c r="BM505" s="76">
        <f>HYPERLINK("https://www1.hkexnews.hk/listedco/listconews/sehk/2026/0805/2026080501400.pdf","stabilisation")</f>
        <v/>
      </c>
      <c r="BN505" s="74" t="n"/>
      <c r="BO505" s="62" t="inlineStr">
        <is>
          <t>range low: cap-only pricing — the filing publishes a Maximum Offer Price and no indicative floor · A/H: no A-share listing · 3m: listed less than 3m ago · cornerstone list: no cornerstone tranche in this deal · alpha/index: 3m alpha needs the 3m return first — window has not elapsed yet</t>
        </is>
      </c>
    </row>
    <row r="506" ht="15" customHeight="1">
      <c r="A506" s="61" t="inlineStr">
        <is>
          <t>1770</t>
        </is>
      </c>
      <c r="B506" s="62" t="inlineStr">
        <is>
          <t>DKE</t>
        </is>
      </c>
      <c r="C506" s="62" t="inlineStr">
        <is>
          <t>東方科脈</t>
        </is>
      </c>
      <c r="D506" s="62" t="inlineStr">
        <is>
          <t>Tech/AI</t>
        </is>
      </c>
      <c r="E506" s="62" t="inlineStr">
        <is>
          <t>Smart hardware / consumer electronics</t>
        </is>
      </c>
      <c r="F506" s="62" t="inlineStr">
        <is>
          <t>Electrical Components &amp; Equipment</t>
        </is>
      </c>
      <c r="G506" s="62" t="inlineStr">
        <is>
          <t>Standard</t>
        </is>
      </c>
      <c r="H506" s="63" t="n">
        <v>46212</v>
      </c>
      <c r="I506" s="64" t="n">
        <v>402.53</v>
      </c>
      <c r="J506" s="62" t="inlineStr">
        <is>
          <t>gross (stated)</t>
        </is>
      </c>
      <c r="K506" s="65" t="n"/>
      <c r="L506" s="65" t="n">
        <v>101.11</v>
      </c>
      <c r="M506" s="65" t="n">
        <v>78.64</v>
      </c>
      <c r="N506" s="62" t="inlineStr">
        <is>
          <t>N</t>
        </is>
      </c>
      <c r="O506" s="66" t="n">
        <v>77.8</v>
      </c>
      <c r="P506" s="66" t="n"/>
      <c r="Q506" s="67" t="n">
        <v>4025.2</v>
      </c>
      <c r="R506" s="62" t="inlineStr">
        <is>
          <t>derived:price x shares upon listing</t>
        </is>
      </c>
      <c r="S506" s="68" t="n">
        <v>1067.54</v>
      </c>
      <c r="T506" s="69" t="n">
        <v>3.69</v>
      </c>
      <c r="U506" s="70" t="n">
        <v>0</v>
      </c>
      <c r="V506" s="66" t="n">
        <v>10</v>
      </c>
      <c r="W506" s="62" t="n"/>
      <c r="X506" s="62" t="n"/>
      <c r="Y506" s="66" t="n">
        <v>10</v>
      </c>
      <c r="Z506" s="62" t="inlineStr">
        <is>
          <t>lapsed (no over-allocation)</t>
        </is>
      </c>
      <c r="AA506" s="71" t="n">
        <v>1.73</v>
      </c>
      <c r="AB506" s="72" t="n">
        <v>-1.89</v>
      </c>
      <c r="AC506" s="72" t="n">
        <v>3.69</v>
      </c>
      <c r="AD506" s="72" t="n">
        <v>-1.2</v>
      </c>
      <c r="AE506" s="72" t="n">
        <v>42.42</v>
      </c>
      <c r="AF506" s="72" t="n"/>
      <c r="AG506" s="72" t="n">
        <v>-2.88</v>
      </c>
      <c r="AH506" s="72" t="n">
        <v>40</v>
      </c>
      <c r="AI506" s="72" t="n"/>
      <c r="AJ506" s="72" t="n">
        <v>-3.53</v>
      </c>
      <c r="AK506" s="72" t="n">
        <v>39.7</v>
      </c>
      <c r="AL506" s="72" t="n"/>
      <c r="AM506" s="72" t="n">
        <v>37.28</v>
      </c>
      <c r="AN506" s="72" t="n">
        <v>2.72</v>
      </c>
      <c r="AO506" s="72" t="n">
        <v>2.72</v>
      </c>
      <c r="AP506" s="62" t="inlineStr">
        <is>
          <t>HSTECH (Hang Seng TECH ETF)</t>
        </is>
      </c>
      <c r="AQ506" s="72" t="n">
        <v>33.01</v>
      </c>
      <c r="AR506" s="63" t="inlineStr">
        <is>
          <t>2026-08-20</t>
        </is>
      </c>
      <c r="AS506" s="64" t="n">
        <v>571.6</v>
      </c>
      <c r="AT506" s="67" t="n">
        <v>88.3</v>
      </c>
      <c r="AU506" s="62" t="inlineStr">
        <is>
          <t>Y</t>
        </is>
      </c>
      <c r="AV506" s="73" t="n">
        <v>45.6</v>
      </c>
      <c r="AW506" s="73" t="n"/>
      <c r="AX506" s="73" t="n"/>
      <c r="AY506" s="73" t="n">
        <v>7</v>
      </c>
      <c r="AZ506" s="74" t="inlineStr">
        <is>
          <t>N</t>
        </is>
      </c>
      <c r="BA506" s="75">
        <f>IF('BBG Verify'!K506="","not filed — run on terminal",'BBG Verify'!K506)</f>
        <v/>
      </c>
      <c r="BB506" s="62" t="inlineStr">
        <is>
          <t>N/A</t>
        </is>
      </c>
      <c r="BC506" s="62" t="inlineStr">
        <is>
          <t>N/A</t>
        </is>
      </c>
      <c r="BD506" s="62" t="inlineStr">
        <is>
          <t>N/A</t>
        </is>
      </c>
      <c r="BE506" s="62" t="inlineStr">
        <is>
          <t>N/A</t>
        </is>
      </c>
      <c r="BF506" s="62" t="inlineStr">
        <is>
          <t>N/A</t>
        </is>
      </c>
      <c r="BG506" s="74" t="inlineStr">
        <is>
          <t>CITIC Securities (Hong Kong) Limited</t>
        </is>
      </c>
      <c r="BH506" s="62" t="inlineStr">
        <is>
          <t>CITIC Securities (Hong Kong) Limited</t>
        </is>
      </c>
      <c r="BI506" s="62" t="inlineStr">
        <is>
          <t>Wanchai, Hong Kong CMBC Securities Company Limited; JA Securities Limited</t>
        </is>
      </c>
      <c r="BJ506" s="62" t="inlineStr">
        <is>
          <t>China Harbour International Securities Limited; CLSA Limited; CMBC Securities Company Limited; JA Securities Limited; SPDB International Capital Limited</t>
        </is>
      </c>
      <c r="BK506" s="76">
        <f>HYPERLINK("https://www1.hkexnews.hk/listedco/listconews/sehk/2026/0629/2026062900101.pdf","prospectus")</f>
        <v/>
      </c>
      <c r="BL506" s="76">
        <f>HYPERLINK("https://www1.hkexnews.hk/listedco/listconews/sehk/2026/0708/2026070801214.pdf","allotment")</f>
        <v/>
      </c>
      <c r="BM506" s="76">
        <f>HYPERLINK("https://www1.hkexnews.hk/listedco/listconews/sehk/2026/0803/2026080303735.pdf","stabilisation")</f>
        <v/>
      </c>
      <c r="BN506" s="74" t="n"/>
      <c r="BO506" s="62" t="inlineStr">
        <is>
          <t>range low: cap-only pricing — the filing publishes a Maximum Offer Price and no indicative floor · A/H: no A-share listing · 3m: listed less than 3m ago · cornerstone list: no cornerstone tranche in this deal · alpha/index: 3m alpha needs the 3m return first — window has not elapsed yet</t>
        </is>
      </c>
    </row>
    <row r="507" ht="15" customHeight="1">
      <c r="A507" s="61" t="inlineStr">
        <is>
          <t>3752</t>
        </is>
      </c>
      <c r="B507" s="62" t="inlineStr">
        <is>
          <t>ROKAE ROBOTICS</t>
        </is>
      </c>
      <c r="C507" s="62" t="inlineStr">
        <is>
          <t>珞石機器人</t>
        </is>
      </c>
      <c r="D507" s="62" t="inlineStr">
        <is>
          <t>Tech/AI</t>
        </is>
      </c>
      <c r="E507" s="62" t="inlineStr">
        <is>
          <t>Robotics &amp; autonomous driving</t>
        </is>
      </c>
      <c r="F507" s="62" t="inlineStr">
        <is>
          <t>Advanced hardware and software</t>
        </is>
      </c>
      <c r="G507" s="62" t="inlineStr">
        <is>
          <t>Standard</t>
        </is>
      </c>
      <c r="H507" s="63" t="n">
        <v>46212</v>
      </c>
      <c r="I507" s="64" t="n">
        <v>875.2</v>
      </c>
      <c r="J507" s="62" t="inlineStr">
        <is>
          <t>gross (stated)</t>
        </is>
      </c>
      <c r="K507" s="65" t="n"/>
      <c r="L507" s="65" t="n">
        <v>38</v>
      </c>
      <c r="M507" s="65" t="n">
        <v>38</v>
      </c>
      <c r="N507" s="62" t="inlineStr">
        <is>
          <t>Y</t>
        </is>
      </c>
      <c r="O507" s="66" t="n">
        <v>100</v>
      </c>
      <c r="P507" s="66" t="n"/>
      <c r="Q507" s="67" t="n">
        <v>9950</v>
      </c>
      <c r="R507" s="62" t="inlineStr">
        <is>
          <t>prospectus:stated market capitalisation</t>
        </is>
      </c>
      <c r="S507" s="68" t="n">
        <v>156.58</v>
      </c>
      <c r="T507" s="69" t="n">
        <v>11.96</v>
      </c>
      <c r="U507" s="70" t="n">
        <v>31.4</v>
      </c>
      <c r="V507" s="66" t="n">
        <v>6.03</v>
      </c>
      <c r="W507" s="62" t="inlineStr">
        <is>
          <t>All View Focus Fund LPF; Beijing Financial Street Capital Operation Group Co., Ltd; GF Management Co., Ltd; Huatai Capital Investment Limited; Yishao Capital Management (HK) Limited</t>
        </is>
      </c>
      <c r="X507" s="62" t="inlineStr">
        <is>
          <t>all;beijing-financial;gf;huatai;yishao</t>
        </is>
      </c>
      <c r="Y507" s="66" t="n">
        <v>15</v>
      </c>
      <c r="Z507" s="62" t="inlineStr">
        <is>
          <t>full</t>
        </is>
      </c>
      <c r="AA507" s="71" t="n">
        <v>15.21</v>
      </c>
      <c r="AB507" s="72" t="n">
        <v>0.05</v>
      </c>
      <c r="AC507" s="72" t="n">
        <v>15.15</v>
      </c>
      <c r="AD507" s="72" t="n">
        <v>28.63</v>
      </c>
      <c r="AE507" s="72" t="n">
        <v>88.95</v>
      </c>
      <c r="AF507" s="72" t="n"/>
      <c r="AG507" s="72" t="n">
        <v>11.65</v>
      </c>
      <c r="AH507" s="72" t="n">
        <v>64</v>
      </c>
      <c r="AI507" s="72" t="n"/>
      <c r="AJ507" s="72" t="n">
        <v>26.3</v>
      </c>
      <c r="AK507" s="72" t="n">
        <v>86.23</v>
      </c>
      <c r="AL507" s="72" t="n"/>
      <c r="AM507" s="72" t="n">
        <v>61.28</v>
      </c>
      <c r="AN507" s="72" t="n">
        <v>2.72</v>
      </c>
      <c r="AO507" s="72" t="n">
        <v>2.72</v>
      </c>
      <c r="AP507" s="62" t="inlineStr">
        <is>
          <t>HSTECH (Hang Seng TECH ETF)</t>
        </is>
      </c>
      <c r="AQ507" s="72" t="n">
        <v>86.84</v>
      </c>
      <c r="AR507" s="63" t="inlineStr">
        <is>
          <t>2026-08-20</t>
        </is>
      </c>
      <c r="AS507" s="64" t="n">
        <v>573.9</v>
      </c>
      <c r="AT507" s="67" t="n">
        <v>-197.2</v>
      </c>
      <c r="AU507" s="62" t="inlineStr">
        <is>
          <t>N</t>
        </is>
      </c>
      <c r="AV507" s="62" t="inlineStr">
        <is>
          <t>n/m</t>
        </is>
      </c>
      <c r="AW507" s="73" t="n"/>
      <c r="AX507" s="73" t="n"/>
      <c r="AY507" s="73" t="n">
        <v>17.3</v>
      </c>
      <c r="AZ507" s="74" t="inlineStr">
        <is>
          <t>N</t>
        </is>
      </c>
      <c r="BA507" s="75">
        <f>IF('BBG Verify'!K507="","not filed — run on terminal",'BBG Verify'!K507)</f>
        <v/>
      </c>
      <c r="BB507" s="62" t="inlineStr">
        <is>
          <t>N/A</t>
        </is>
      </c>
      <c r="BC507" s="62" t="inlineStr">
        <is>
          <t>N/A</t>
        </is>
      </c>
      <c r="BD507" s="62" t="inlineStr">
        <is>
          <t>N/A</t>
        </is>
      </c>
      <c r="BE507" s="62" t="inlineStr">
        <is>
          <t>N/A</t>
        </is>
      </c>
      <c r="BF507" s="62" t="inlineStr">
        <is>
          <t>N/A</t>
        </is>
      </c>
      <c r="BG507" s="74" t="inlineStr">
        <is>
          <t>China International Capital Corporation Hong Kong Securities Limited; Guotai Junan Capital Limited</t>
        </is>
      </c>
      <c r="BH507" s="62" t="inlineStr">
        <is>
          <t>China International Capital Corporation Hong Kong Securities Limited; Guotai Junan Capital Limited</t>
        </is>
      </c>
      <c r="BI507" s="62" t="inlineStr">
        <is>
          <t>China International Capital Corporation Hong Kong Securities Limited; Guotai Junan Securities (Hong Kong) Limited; Guosen Securities (HK) Brokerage Company, Limited; Futu Securities International (Hong Kong) Limited; Kingsway Financial Services Group Limited</t>
        </is>
      </c>
      <c r="BJ507" s="62" t="inlineStr">
        <is>
          <t>China International Capital Corporation Hong Kong Securities Limited; Futu Securities International (Hong Kong) Limited; Guotai Junan Securities (Hong Kong) Limited; Guosen Securities (HK) Brokerage Company, Limited; Kingsway Financial Services Group Limited</t>
        </is>
      </c>
      <c r="BK507" s="76">
        <f>HYPERLINK("https://www1.hkexnews.hk/listedco/listconews/sehk/2026/0630/2026063000033.pdf","prospectus")</f>
        <v/>
      </c>
      <c r="BL507" s="76">
        <f>HYPERLINK("https://www1.hkexnews.hk/listedco/listconews/sehk/2026/0708/2026070801234.pdf","allotment")</f>
        <v/>
      </c>
      <c r="BM507" s="76">
        <f>HYPERLINK("https://www1.hkexnews.hk/listedco/listconews/sehk/2026/0805/2026080501829.pdf","stabilisation")</f>
        <v/>
      </c>
      <c r="BN507" s="74" t="n"/>
      <c r="BO507" s="62" t="inlineStr">
        <is>
          <t>P/E: n/m — loss-making at IPO (use P/S) · range low: cap-only pricing — the filing publishes a Maximum Offer Price and no indicative floor · A/H: no A-share listing · 3m: listed less than 3m ago · alpha/index: 3m alpha needs the 3m return first — window has not elapsed yet</t>
        </is>
      </c>
    </row>
    <row r="508" ht="15" customHeight="1">
      <c r="A508" s="61" t="inlineStr">
        <is>
          <t>0537</t>
        </is>
      </c>
      <c r="B508" s="62" t="inlineStr">
        <is>
          <t>RIGOL</t>
        </is>
      </c>
      <c r="C508" s="62" t="inlineStr">
        <is>
          <t>普源精電</t>
        </is>
      </c>
      <c r="D508" s="62" t="inlineStr">
        <is>
          <t>Industrials</t>
        </is>
      </c>
      <c r="E508" s="62" t="inlineStr">
        <is>
          <t>Capital goods / machinery</t>
        </is>
      </c>
      <c r="F508" s="62" t="inlineStr">
        <is>
          <t>Electronic Equipment &amp; Instruments</t>
        </is>
      </c>
      <c r="G508" s="62" t="inlineStr">
        <is>
          <t>Standard</t>
        </is>
      </c>
      <c r="H508" s="63" t="n">
        <v>46212</v>
      </c>
      <c r="I508" s="64" t="n">
        <v>1140.4</v>
      </c>
      <c r="J508" s="62" t="inlineStr">
        <is>
          <t>gross (stated)</t>
        </is>
      </c>
      <c r="K508" s="65" t="n"/>
      <c r="L508" s="65" t="n">
        <v>45.98</v>
      </c>
      <c r="M508" s="65" t="n">
        <v>45.98</v>
      </c>
      <c r="N508" s="62" t="inlineStr">
        <is>
          <t>Y</t>
        </is>
      </c>
      <c r="O508" s="66" t="n">
        <v>100</v>
      </c>
      <c r="P508" s="66" t="n"/>
      <c r="Q508" s="67" t="n">
        <v>10054.8</v>
      </c>
      <c r="R508" s="62" t="inlineStr">
        <is>
          <t>derived:price x shares upon listing</t>
        </is>
      </c>
      <c r="S508" s="68" t="n">
        <v>356.86</v>
      </c>
      <c r="T508" s="69" t="n">
        <v>9.17</v>
      </c>
      <c r="U508" s="70" t="n">
        <v>42.11</v>
      </c>
      <c r="V508" s="66" t="n">
        <v>6.57</v>
      </c>
      <c r="W508" s="62" t="inlineStr">
        <is>
          <t>CITIC-Prudential Fund Management Company Ltd; CPE Hemlock Investment Limited; HHLR Advisors, Ltd; Hua Yuan International Limited; Purple Diamond Ltd; Sungrow Power (Hong Kong) Co., Limited; Suzhou Taihu Golden Valley Construction and Development Co., Ltd</t>
        </is>
      </c>
      <c r="X508" s="62" t="inlineStr">
        <is>
          <t>citic;cpe;hhlr;hua;purple;sungrow;suzhou</t>
        </is>
      </c>
      <c r="Y508" s="66" t="n"/>
      <c r="Z508" s="62" t="n"/>
      <c r="AA508" s="71" t="n">
        <v>-37.36</v>
      </c>
      <c r="AB508" s="72" t="n">
        <v>-18.75</v>
      </c>
      <c r="AC508" s="72" t="n">
        <v>-22.9</v>
      </c>
      <c r="AD508" s="72" t="n">
        <v>-44.32</v>
      </c>
      <c r="AE508" s="72" t="n">
        <v>-45.06</v>
      </c>
      <c r="AF508" s="72" t="n"/>
      <c r="AG508" s="72" t="n">
        <v>-11.11</v>
      </c>
      <c r="AH508" s="72" t="n">
        <v>-12.29</v>
      </c>
      <c r="AI508" s="72" t="n"/>
      <c r="AJ508" s="72" t="n">
        <v>-48.38</v>
      </c>
      <c r="AK508" s="72" t="n">
        <v>-51.87</v>
      </c>
      <c r="AL508" s="72" t="n"/>
      <c r="AM508" s="72" t="n">
        <v>-19.7</v>
      </c>
      <c r="AN508" s="72" t="n">
        <v>6.81</v>
      </c>
      <c r="AO508" s="72" t="n">
        <v>7.41</v>
      </c>
      <c r="AP508" s="62" t="inlineStr">
        <is>
          <t>Hang Seng Commerce &amp; Industry sub-index</t>
        </is>
      </c>
      <c r="AQ508" s="72" t="n">
        <v>-44.85</v>
      </c>
      <c r="AR508" s="63" t="inlineStr">
        <is>
          <t>2026-08-20</t>
        </is>
      </c>
      <c r="AS508" s="64" t="n">
        <v>853.4</v>
      </c>
      <c r="AT508" s="67" t="n">
        <v>94.7</v>
      </c>
      <c r="AU508" s="62" t="inlineStr">
        <is>
          <t>Y</t>
        </is>
      </c>
      <c r="AV508" s="73" t="n">
        <v>106.2</v>
      </c>
      <c r="AW508" s="73" t="n"/>
      <c r="AX508" s="73" t="n"/>
      <c r="AY508" s="73" t="n">
        <v>11.8</v>
      </c>
      <c r="AZ508" s="74" t="inlineStr">
        <is>
          <t>Y</t>
        </is>
      </c>
      <c r="BA508" s="62" t="inlineStr">
        <is>
          <t>688337.SS</t>
        </is>
      </c>
      <c r="BB508" s="72" t="n">
        <v>43.58</v>
      </c>
      <c r="BC508" s="65" t="n">
        <v>66.0176</v>
      </c>
      <c r="BD508" s="79" t="n">
        <v>1.0859</v>
      </c>
      <c r="BE508" s="77">
        <f>IF('BBG Verify'!Q508="","run on terminal",'BBG Verify'!Q508)</f>
        <v/>
      </c>
      <c r="BF508" s="77">
        <f>IF('BBG Verify'!R508="","run on terminal",'BBG Verify'!R508)</f>
        <v/>
      </c>
      <c r="BG508" s="74" t="inlineStr">
        <is>
          <t>CITIC Securities (Hong Kong) Limited</t>
        </is>
      </c>
      <c r="BH508" s="62" t="inlineStr">
        <is>
          <t>CITIC Securities (Hong Kong) Limited</t>
        </is>
      </c>
      <c r="BI508" s="62" t="inlineStr">
        <is>
          <t>CLSA Limited; CMB International Capital Limited; ICBC International Securities Limited</t>
        </is>
      </c>
      <c r="BJ508" s="62" t="inlineStr">
        <is>
          <t>CLSA Limited; CMB International Capital Limited; ICBC International Securities Limited</t>
        </is>
      </c>
      <c r="BK508" s="76">
        <f>HYPERLINK("https://www1.hkexnews.hk/listedco/listconews/sehk/2026/0630/2026063000023.pdf","prospectus")</f>
        <v/>
      </c>
      <c r="BL508" s="76">
        <f>HYPERLINK("https://www1.hkexnews.hk/listedco/listconews/sehk/2026/0708/2026070801336.pdf","allotment")</f>
        <v/>
      </c>
      <c r="BM508" s="62" t="n"/>
      <c r="BN508" s="74" t="n"/>
      <c r="BO508" s="62" t="inlineStr">
        <is>
          <t>greenshoe: no over-allotment option in the offer structure · range low: cap-only pricing — the filing publishes a Maximum Offer Price and no indicative floor · A/H: Jul 2026 H listing (electronic test &amp; measurement) · 3m: listed less than 3m ago · greenshoe size: no over-allotment option in the offer structure · alpha/index: 3m alpha needs the 3m return first — window has not elapsed yet</t>
        </is>
      </c>
    </row>
    <row r="509" ht="15" customHeight="1">
      <c r="A509" s="61" t="inlineStr">
        <is>
          <t>2475</t>
        </is>
      </c>
      <c r="B509" s="62" t="inlineStr">
        <is>
          <t>LUXSHARE ICT</t>
        </is>
      </c>
      <c r="C509" s="62" t="inlineStr">
        <is>
          <t>立訊精密</t>
        </is>
      </c>
      <c r="D509" s="62" t="inlineStr">
        <is>
          <t>Tech/AI</t>
        </is>
      </c>
      <c r="E509" s="62" t="inlineStr">
        <is>
          <t>Smart hardware / consumer electronics</t>
        </is>
      </c>
      <c r="F509" s="62" t="inlineStr">
        <is>
          <t>Telecommunications &amp; Networking Equipment</t>
        </is>
      </c>
      <c r="G509" s="62" t="inlineStr">
        <is>
          <t>Standard</t>
        </is>
      </c>
      <c r="H509" s="63" t="n">
        <v>46212</v>
      </c>
      <c r="I509" s="64" t="n">
        <v>24266.2</v>
      </c>
      <c r="J509" s="62" t="inlineStr">
        <is>
          <t>gross (stated)</t>
        </is>
      </c>
      <c r="K509" s="65" t="n"/>
      <c r="L509" s="65" t="n">
        <v>63.28</v>
      </c>
      <c r="M509" s="65" t="n">
        <v>63.28</v>
      </c>
      <c r="N509" s="62" t="inlineStr">
        <is>
          <t>Y</t>
        </is>
      </c>
      <c r="O509" s="66" t="n">
        <v>100</v>
      </c>
      <c r="P509" s="66" t="n"/>
      <c r="Q509" s="80">
        <f>IF('BBG Verify'!M509="","not filed — run on terminal",'BBG Verify'!M509)</f>
        <v/>
      </c>
      <c r="R509" s="62" t="n"/>
      <c r="S509" s="68" t="n">
        <v>3.78</v>
      </c>
      <c r="T509" s="69" t="n">
        <v>9.460000000000001</v>
      </c>
      <c r="U509" s="70" t="n">
        <v>48.4</v>
      </c>
      <c r="V509" s="66" t="n"/>
      <c r="W509" s="62" t="inlineStr">
        <is>
          <t>Bosera Asset Management (International) Co., Limited; China Universal Asset Management (Hong Kong) Company Limited; CPE Neem Investment Limited; CPP Investments; Eastspring Investments (Hong Kong) Limited; Eastspring Investments (Singapore) Limited; FIL Investment Management (Hong Kong) Limited; First Sentier Investors (Hong Kong) Limited; First Sentier Investors (Singapore); Foresight Global Superior Choice SPC—Global Superior Choice Fund 1 SP; GF Fund Management Co., Ltd; GF International Investment Management Limited; GIC Private Limited; Greenwoods Asset Management Hong Kong Limited; Harvest Global Investments Limited; HHLR Advisors, Ltd; Huang River Investment Limited; Jane Street Asia Trading Limited; Millennium Capital Management (Singapore) Pte. Ltd; Mirae Asset Financial Group; Mirae Asset Securities (HK) Limited; MY Asian Opportunities Master Fund, L.P; Perseverance Asset Management International (Singapore) Pte. Ltd; Polymer Asia Fund LP; Prosper High Holding Limited</t>
        </is>
      </c>
      <c r="X509" s="62" t="inlineStr">
        <is>
          <t>bosera;universal;cpe;cpp;eastspring;fil;first-sentier;foresight;gf;gic;greenwoods;harvest;hhlr;huang-river;jane;millennium;mirae;my;perseverance;polymer;prosper</t>
        </is>
      </c>
      <c r="Y509" s="66" t="n">
        <v>15</v>
      </c>
      <c r="Z509" s="62" t="inlineStr">
        <is>
          <t>partial</t>
        </is>
      </c>
      <c r="AA509" s="71" t="n">
        <v>-1.55</v>
      </c>
      <c r="AB509" s="72" t="n">
        <v>-0.05</v>
      </c>
      <c r="AC509" s="72" t="n">
        <v>-1.5</v>
      </c>
      <c r="AD509" s="72" t="n">
        <v>-5.18</v>
      </c>
      <c r="AE509" s="72" t="n">
        <v>0.11</v>
      </c>
      <c r="AF509" s="72" t="n"/>
      <c r="AG509" s="72" t="n">
        <v>-3.69</v>
      </c>
      <c r="AH509" s="72" t="n">
        <v>1.69</v>
      </c>
      <c r="AI509" s="72" t="n"/>
      <c r="AJ509" s="72" t="n">
        <v>-7.51</v>
      </c>
      <c r="AK509" s="72" t="n">
        <v>-2.61</v>
      </c>
      <c r="AL509" s="72" t="n"/>
      <c r="AM509" s="72" t="n">
        <v>-1.03</v>
      </c>
      <c r="AN509" s="72" t="n">
        <v>2.72</v>
      </c>
      <c r="AO509" s="72" t="n">
        <v>2.72</v>
      </c>
      <c r="AP509" s="62" t="inlineStr">
        <is>
          <t>HSTECH (Hang Seng TECH ETF)</t>
        </is>
      </c>
      <c r="AQ509" s="72" t="n">
        <v>-6.29</v>
      </c>
      <c r="AR509" s="63" t="inlineStr">
        <is>
          <t>2026-08-20</t>
        </is>
      </c>
      <c r="AS509" s="64" t="n">
        <v>365578.9</v>
      </c>
      <c r="AT509" s="67" t="n">
        <v>19987.3</v>
      </c>
      <c r="AU509" s="62" t="inlineStr">
        <is>
          <t>Y</t>
        </is>
      </c>
      <c r="AV509" s="73" t="n">
        <v>22.8</v>
      </c>
      <c r="AW509" s="73" t="n">
        <v>22.8</v>
      </c>
      <c r="AX509" s="73" t="n">
        <v>23</v>
      </c>
      <c r="AY509" s="73" t="n"/>
      <c r="AZ509" s="74" t="inlineStr">
        <is>
          <t>Y</t>
        </is>
      </c>
      <c r="BA509" s="62" t="inlineStr">
        <is>
          <t>002475.SZ</t>
        </is>
      </c>
      <c r="BB509" s="72" t="n">
        <v>13.94</v>
      </c>
      <c r="BC509" s="65" t="n">
        <v>72.09999999999999</v>
      </c>
      <c r="BD509" s="79" t="n">
        <v>0.06469999999999999</v>
      </c>
      <c r="BE509" s="77">
        <f>IF('BBG Verify'!Q509="","run on terminal",'BBG Verify'!Q509)</f>
        <v/>
      </c>
      <c r="BF509" s="77">
        <f>IF('BBG Verify'!R509="","run on terminal",'BBG Verify'!R509)</f>
        <v/>
      </c>
      <c r="BG509" s="74" t="inlineStr">
        <is>
          <t>CITIC Securities (Hong Kong) Limited; Goldman Sachs (Asia) L.L.C; China International Capital Corporation Hong Kong Securities Limited</t>
        </is>
      </c>
      <c r="BH509" s="62" t="inlineStr">
        <is>
          <t>China International Capital Corporation Hong Kong Securities Limited; Goldman Sachs (Asia) L.L.C.; CITIC Securities (Hong Kong) Limited</t>
        </is>
      </c>
      <c r="BI509" s="62" t="inlineStr">
        <is>
          <t>China International Capital Corporation Hong Kong Securities Limited; CLSA Limited; GF Securities (Hong Kong) Brokerage Limited; Goldman Sachs (Asia) L.L.C.; Guosen Securities (HK) Capital Company Limited; The Hongkong and Shanghai Banking Corporation Limited</t>
        </is>
      </c>
      <c r="BJ509" s="62" t="inlineStr">
        <is>
          <t>China International Capital Corporation Hong Kong Securities Limited; CLSA Limited; GF Securities (Hong Kong) Brokerage Limited; Goldman Sachs (Asia) L.L.C.; Guosen Securities (HK) Capital Company Limited; The Hongkong and Shanghai Banking Corporation Limited</t>
        </is>
      </c>
      <c r="BK509" s="76">
        <f>HYPERLINK("https://www1.hkexnews.hk/listedco/listconews/sehk/2026/0630/2026063000097.pdf","prospectus")</f>
        <v/>
      </c>
      <c r="BL509" s="76">
        <f>HYPERLINK("https://www1.hkexnews.hk/listedco/listconews/sehk/2026/0708/2026070801342.pdf","allotment")</f>
        <v/>
      </c>
      <c r="BM509" s="76">
        <f>HYPERLINK("https://www1.hkexnews.hk/listedco/listconews/sehk/2026/0805/2026080501907.pdf","stabilisation")</f>
        <v/>
      </c>
      <c r="BN509" s="74" t="n"/>
      <c r="BO509" s="62" t="inlineStr">
        <is>
          <t>P/E: from Bloomberg (trailing-12m EPS at listing) — the prospectus-FY multiple was not derivable · range low: cap-only pricing — the filing publishes a Maximum Offer Price and no indicative floor · A/H: Jul 2026, ~US$3.1bn — largest HK IPO of 2026 until Innolight · 3m: listed less than 3m ago · market cap: no share count, offer-%-of-capital or published listing cap available · P/S: market cap not derivable — P/S cannot be formed · alpha/index: 3m alpha needs the 3m return first — window has not elapsed yet</t>
        </is>
      </c>
    </row>
    <row r="510" ht="15" customHeight="1">
      <c r="A510" s="61" t="inlineStr">
        <is>
          <t>6951</t>
        </is>
      </c>
      <c r="B510" s="62" t="inlineStr">
        <is>
          <t>CCTC</t>
        </is>
      </c>
      <c r="C510" s="62" t="inlineStr">
        <is>
          <t>三環集團</t>
        </is>
      </c>
      <c r="D510" s="62" t="inlineStr">
        <is>
          <t>Tech/AI</t>
        </is>
      </c>
      <c r="E510" s="62" t="inlineStr">
        <is>
          <t>Smart hardware / consumer electronics</t>
        </is>
      </c>
      <c r="F510" s="62" t="inlineStr">
        <is>
          <t>Electronic Components</t>
        </is>
      </c>
      <c r="G510" s="62" t="inlineStr">
        <is>
          <t>Standard</t>
        </is>
      </c>
      <c r="H510" s="63" t="n">
        <v>46212</v>
      </c>
      <c r="I510" s="64" t="n">
        <v>7157.8</v>
      </c>
      <c r="J510" s="62" t="inlineStr">
        <is>
          <t>gross (stated)</t>
        </is>
      </c>
      <c r="K510" s="65" t="n"/>
      <c r="L510" s="65" t="n">
        <v>100.3</v>
      </c>
      <c r="M510" s="65" t="n">
        <v>100.3</v>
      </c>
      <c r="N510" s="62" t="inlineStr">
        <is>
          <t>Y</t>
        </is>
      </c>
      <c r="O510" s="66" t="n">
        <v>100</v>
      </c>
      <c r="P510" s="66" t="n"/>
      <c r="Q510" s="80">
        <f>IF('BBG Verify'!M510="","not filed — run on terminal",'BBG Verify'!M510)</f>
        <v/>
      </c>
      <c r="R510" s="62" t="n"/>
      <c r="S510" s="68" t="n">
        <v>327.49</v>
      </c>
      <c r="T510" s="69" t="n">
        <v>16.24</v>
      </c>
      <c r="U510" s="70" t="n">
        <v>49.81</v>
      </c>
      <c r="V510" s="66" t="n"/>
      <c r="W510" s="62" t="inlineStr">
        <is>
          <t>Alibaba Investment Limited; Bosera Asset Management (International) Co., Limited; China Universal Asset Management Company Limited; CPE River Investment Limited; Goldman Sachs Asset Management (Hong Kong) Limited; Greater Bay Area Homeland Investments Limited; Huang River Investment Limited; ICBC Wealth Management Co., Ltd; IvyRock Asset Management (HK) Limited; JPMorgan Asset Management (Asia Pacific) Limited; Manulife Investment Management (Hong Kong) Limited; Metazone Link (HK) Limited; Ninety One Asia Pte. Limited; Taikang Life Insurance Co., Ltd; Verition Multi-Strategy Master Fund Ltd</t>
        </is>
      </c>
      <c r="X510" s="62" t="inlineStr">
        <is>
          <t>alibaba;bosera;universal;cpe;goldman;greater;huang-river;icbc;ivyrock;jpmorgan;manulife;metazone;ninety;taikang;verition</t>
        </is>
      </c>
      <c r="Y510" s="66" t="n">
        <v>15</v>
      </c>
      <c r="Z510" s="62" t="inlineStr">
        <is>
          <t>partial</t>
        </is>
      </c>
      <c r="AA510" s="71" t="n">
        <v>4.69</v>
      </c>
      <c r="AB510" s="72" t="n">
        <v>0</v>
      </c>
      <c r="AC510" s="72" t="n">
        <v>4.69</v>
      </c>
      <c r="AD510" s="72" t="n">
        <v>-2.29</v>
      </c>
      <c r="AE510" s="72" t="n">
        <v>6.68</v>
      </c>
      <c r="AF510" s="72" t="n"/>
      <c r="AG510" s="72" t="n">
        <v>-6.67</v>
      </c>
      <c r="AH510" s="72" t="n">
        <v>1.9</v>
      </c>
      <c r="AI510" s="72" t="n"/>
      <c r="AJ510" s="72" t="n">
        <v>-4.62</v>
      </c>
      <c r="AK510" s="72" t="n">
        <v>3.96</v>
      </c>
      <c r="AL510" s="72" t="n"/>
      <c r="AM510" s="72" t="n">
        <v>-0.82</v>
      </c>
      <c r="AN510" s="72" t="n">
        <v>2.72</v>
      </c>
      <c r="AO510" s="72" t="n">
        <v>2.72</v>
      </c>
      <c r="AP510" s="62" t="inlineStr">
        <is>
          <t>HSTECH (Hang Seng TECH ETF)</t>
        </is>
      </c>
      <c r="AQ510" s="72" t="n">
        <v>9.869999999999999</v>
      </c>
      <c r="AR510" s="63" t="inlineStr">
        <is>
          <t>2026-08-20</t>
        </is>
      </c>
      <c r="AS510" s="64" t="n">
        <v>9755.4</v>
      </c>
      <c r="AT510" s="67" t="n">
        <v>2878.7</v>
      </c>
      <c r="AU510" s="62" t="inlineStr">
        <is>
          <t>Y</t>
        </is>
      </c>
      <c r="AV510" s="73" t="n">
        <v>66.3</v>
      </c>
      <c r="AW510" s="73" t="n">
        <v>66.3</v>
      </c>
      <c r="AX510" s="73" t="n">
        <v>79.90000000000001</v>
      </c>
      <c r="AY510" s="73" t="n"/>
      <c r="AZ510" s="74" t="inlineStr">
        <is>
          <t>Y</t>
        </is>
      </c>
      <c r="BA510" s="62" t="inlineStr">
        <is>
          <t>300408.SZ</t>
        </is>
      </c>
      <c r="BB510" s="72" t="n">
        <v>50.09</v>
      </c>
      <c r="BC510" s="65" t="n">
        <v>150.5363</v>
      </c>
      <c r="BD510" s="79" t="n">
        <v>0.2069</v>
      </c>
      <c r="BE510" s="77">
        <f>IF('BBG Verify'!Q510="","run on terminal",'BBG Verify'!Q510)</f>
        <v/>
      </c>
      <c r="BF510" s="77">
        <f>IF('BBG Verify'!R510="","run on terminal",'BBG Verify'!R510)</f>
        <v/>
      </c>
      <c r="BG510" s="74" t="inlineStr">
        <is>
          <t>China Galaxy International Securities (Hong Kong) Co., Limited</t>
        </is>
      </c>
      <c r="BH510" s="62" t="inlineStr">
        <is>
          <t>China Galaxy International Securities (Hong Kong) Company Limited</t>
        </is>
      </c>
      <c r="BI510" s="62" t="inlineStr">
        <is>
          <t>CCB International Capital Limited</t>
        </is>
      </c>
      <c r="BJ510" s="62" t="inlineStr">
        <is>
          <t>BOCI Asia Limited; CCB International Capital Limited; China Galaxy International Securities (Hong Kong) Company Limited; Huatai Financial Holdings (Hong Kong) Limited; ICBC International Securities Limited</t>
        </is>
      </c>
      <c r="BK510" s="76">
        <f>HYPERLINK("https://www1.hkexnews.hk/listedco/listconews/sehk/2026/0630/2026063000323.pdf","prospectus")</f>
        <v/>
      </c>
      <c r="BL510" s="76">
        <f>HYPERLINK("https://www1.hkexnews.hk/listedco/listconews/sehk/2026/0708/2026070801348.pdf","allotment")</f>
        <v/>
      </c>
      <c r="BM510" s="76">
        <f>HYPERLINK("https://www1.hkexnews.hk/listedco/listconews/sehk/2026/0805/2026080501999.pdf","stabilisation")</f>
        <v/>
      </c>
      <c r="BN510" s="74" t="n"/>
      <c r="BO510" s="62" t="inlineStr">
        <is>
          <t>P/E: from Bloomberg (trailing-12m EPS at listing) — the prospectus-FY multiple was not derivable · range low: cap-only pricing — the filing publishes a Maximum Offer Price and no indicative floor · A/H: Jul 2026 H listing (ceramic components; targeted ~US$1bn) · 3m: listed less than 3m ago · market cap: no share count, offer-%-of-capital or published listing cap available · P/S: market cap not derivable — P/S cannot be formed · alpha/index: 3m alpha needs the 3m return first — window has not elapsed yet</t>
        </is>
      </c>
    </row>
    <row r="511" ht="15" customHeight="1">
      <c r="A511" s="61" t="inlineStr">
        <is>
          <t>1377</t>
        </is>
      </c>
      <c r="B511" s="62" t="inlineStr">
        <is>
          <t>DTECH</t>
        </is>
      </c>
      <c r="C511" s="62" t="inlineStr">
        <is>
          <t>鼎泰高科</t>
        </is>
      </c>
      <c r="D511" s="62" t="inlineStr">
        <is>
          <t>Tech/AI</t>
        </is>
      </c>
      <c r="E511" s="62" t="inlineStr">
        <is>
          <t>Smart hardware / consumer electronics</t>
        </is>
      </c>
      <c r="F511" s="62" t="inlineStr">
        <is>
          <t>Industrial Machinery</t>
        </is>
      </c>
      <c r="G511" s="62" t="inlineStr">
        <is>
          <t>Standard</t>
        </is>
      </c>
      <c r="H511" s="63" t="n">
        <v>46212</v>
      </c>
      <c r="I511" s="64" t="n">
        <v>4800.2</v>
      </c>
      <c r="J511" s="62" t="inlineStr">
        <is>
          <t>gross (stated)</t>
        </is>
      </c>
      <c r="K511" s="65" t="n"/>
      <c r="L511" s="65" t="n">
        <v>380</v>
      </c>
      <c r="M511" s="65" t="n">
        <v>380</v>
      </c>
      <c r="N511" s="62" t="inlineStr">
        <is>
          <t>Y</t>
        </is>
      </c>
      <c r="O511" s="66" t="n">
        <v>100</v>
      </c>
      <c r="P511" s="66" t="n"/>
      <c r="Q511" s="67" t="n">
        <v>161137.1</v>
      </c>
      <c r="R511" s="62" t="inlineStr">
        <is>
          <t>derived:price x shares upon listing</t>
        </is>
      </c>
      <c r="S511" s="68" t="n">
        <v>354.64</v>
      </c>
      <c r="T511" s="69" t="n">
        <v>24.5</v>
      </c>
      <c r="U511" s="70" t="n">
        <v>41.45</v>
      </c>
      <c r="V511" s="66" t="n">
        <v>1.74</v>
      </c>
      <c r="W511" s="62" t="inlineStr">
        <is>
          <t>Aspex Master Fund; Athos Capital Limited; Baring Asset Management (Asia) Limited; CloudAlpha Capital Management Limited; CPE Investment XVI Limited; Dynamic Holding Co., Ltd; E Fund Management (Hong Kong) Co., Ltd; Hel Ved Master Fund; HHLR Advisors, Ltd; IFUND SPC– Vision IX SP; Kingboard Investments Limited; Martis Fund, L.P; Millennium Capital Management (Singapore) Pte. Ltd; Taikang Life Insurance Co., Ltd; Verition Multi-Strategy Master Fund Ltd; Victory Giant Technology Holdings (Hong Kong) Limited</t>
        </is>
      </c>
      <c r="X511" s="62" t="inlineStr">
        <is>
          <t>aspex;athos;baring;cloudalpha;cpe;dynamic;fund-management;hel;hhlr;ifund;kingboard;martis;millennium;taikang;verition;victory</t>
        </is>
      </c>
      <c r="Y511" s="66" t="n">
        <v>15</v>
      </c>
      <c r="Z511" s="62" t="n"/>
      <c r="AA511" s="71" t="n">
        <v>-1.79</v>
      </c>
      <c r="AB511" s="72" t="n">
        <v>-13.16</v>
      </c>
      <c r="AC511" s="72" t="n">
        <v>13.09</v>
      </c>
      <c r="AD511" s="72" t="n">
        <v>9.949999999999999</v>
      </c>
      <c r="AE511" s="72" t="n">
        <v>2.63</v>
      </c>
      <c r="AF511" s="72" t="n"/>
      <c r="AG511" s="72" t="n">
        <v>11.95</v>
      </c>
      <c r="AH511" s="72" t="n">
        <v>4.5</v>
      </c>
      <c r="AI511" s="72" t="n"/>
      <c r="AJ511" s="72" t="n">
        <v>7.62</v>
      </c>
      <c r="AK511" s="72" t="n">
        <v>-0.09</v>
      </c>
      <c r="AL511" s="72" t="n"/>
      <c r="AM511" s="72" t="n">
        <v>1.78</v>
      </c>
      <c r="AN511" s="72" t="n">
        <v>2.72</v>
      </c>
      <c r="AO511" s="72" t="n">
        <v>2.72</v>
      </c>
      <c r="AP511" s="62" t="inlineStr">
        <is>
          <t>HSTECH (Hang Seng TECH ETF)</t>
        </is>
      </c>
      <c r="AQ511" s="72" t="n">
        <v>-12.79</v>
      </c>
      <c r="AR511" s="63" t="inlineStr">
        <is>
          <t>2026-08-20</t>
        </is>
      </c>
      <c r="AS511" s="64" t="n"/>
      <c r="AT511" s="67" t="n">
        <v>474.8</v>
      </c>
      <c r="AU511" s="62" t="inlineStr">
        <is>
          <t>Y</t>
        </is>
      </c>
      <c r="AV511" s="73" t="n">
        <v>339.4</v>
      </c>
      <c r="AW511" s="73" t="n">
        <v>305.7</v>
      </c>
      <c r="AX511" s="73" t="n">
        <v>301.2</v>
      </c>
      <c r="AY511" s="73" t="n"/>
      <c r="AZ511" s="74" t="inlineStr">
        <is>
          <t>Y</t>
        </is>
      </c>
      <c r="BA511" s="62" t="inlineStr">
        <is>
          <t>301377.SZ</t>
        </is>
      </c>
      <c r="BB511" s="72" t="n">
        <v>43.69</v>
      </c>
      <c r="BC511" s="65" t="n">
        <v>546.0071</v>
      </c>
      <c r="BD511" s="79" t="n">
        <v>0.3173</v>
      </c>
      <c r="BE511" s="77">
        <f>IF('BBG Verify'!Q511="","run on terminal",'BBG Verify'!Q511)</f>
        <v/>
      </c>
      <c r="BF511" s="77">
        <f>IF('BBG Verify'!R511="","run on terminal",'BBG Verify'!R511)</f>
        <v/>
      </c>
      <c r="BG511" s="74" t="inlineStr">
        <is>
          <t>CITIC Securities (Hong Kong) Limited; HSBC Corporate Finance (Hong Kong) Limited</t>
        </is>
      </c>
      <c r="BH511" s="62" t="inlineStr">
        <is>
          <t>HSBC Corporate Finance (Hong Kong) Limited; CITIC Securities (Hong Kong) Limited</t>
        </is>
      </c>
      <c r="BI511" s="62" t="inlineStr">
        <is>
          <t>CLSA Limited; The Hongkong and Shanghai Banking Corporation Limited; ABCI Capital Limited; GF Securities (Hong Kong) Brokerage Limited; Huatai Financial Holdings (Hong Kong) Limited</t>
        </is>
      </c>
      <c r="BJ511" s="62" t="inlineStr">
        <is>
          <t>ABCI Securities Company Limited; BOCI Asia Limited; China Galaxy International Securities (Hong Kong) Company Limited; CLSA Limited; CMBC Securities Company Limited; CMB International Capital Limited; GF Securities (Hong Kong) Brokerage Limited; Guosen Securities (HK) Brokerage Company, Limited; Huatai Financial Holdings (Hong Kong) Limited; The Hongkong and Shanghai Banking Corporation Limited</t>
        </is>
      </c>
      <c r="BK511" s="76">
        <f>HYPERLINK("https://www1.hkexnews.hk/listedco/listconews/sehk/2026/0630/2026063000041.pdf","prospectus")</f>
        <v/>
      </c>
      <c r="BL511" s="76">
        <f>HYPERLINK("https://www1.hkexnews.hk/listedco/listconews/sehk/2026/0708/2026070801372.pdf","allotment")</f>
        <v/>
      </c>
      <c r="BM511" s="62" t="n"/>
      <c r="BN511" s="74" t="n"/>
      <c r="BO511" s="62" t="inlineStr">
        <is>
          <t>P/E: extreme but REAL — trailing multiple at the offer; Bloomberg prints 306x at listing · greenshoe: end-of-stabilisation notice not located · range low: cap-only pricing — the filing publishes a Maximum Offer Price and no indicative floor · A/H: Jul 2026 H listing (PCB drilling tools) · 3m: listed less than 3m ago · P/S: revenue not extractable · financials: financial tables not machine-extractable and the pre-IPO year is outside AAStocks' 5-year window · alpha/index: 3m alpha needs the 3m return first — window has not elapsed yet</t>
        </is>
      </c>
    </row>
    <row r="512" ht="15" customHeight="1">
      <c r="A512" s="61" t="inlineStr">
        <is>
          <t>6745</t>
        </is>
      </c>
      <c r="B512" s="62" t="inlineStr">
        <is>
          <t>BEFAR GROUP</t>
        </is>
      </c>
      <c r="C512" s="62" t="inlineStr">
        <is>
          <t>濱化股份</t>
        </is>
      </c>
      <c r="D512" s="62" t="inlineStr">
        <is>
          <t>Materials/Energy</t>
        </is>
      </c>
      <c r="E512" s="62" t="inlineStr">
        <is>
          <t>Chemicals</t>
        </is>
      </c>
      <c r="F512" s="62" t="inlineStr">
        <is>
          <t>Diversified Chemicals</t>
        </is>
      </c>
      <c r="G512" s="62" t="inlineStr">
        <is>
          <t>Standard</t>
        </is>
      </c>
      <c r="H512" s="63" t="n">
        <v>46213</v>
      </c>
      <c r="I512" s="64" t="n">
        <v>1225.4</v>
      </c>
      <c r="J512" s="62" t="inlineStr">
        <is>
          <t>gross (stated)</t>
        </is>
      </c>
      <c r="K512" s="65" t="n"/>
      <c r="L512" s="65" t="n">
        <v>3.59</v>
      </c>
      <c r="M512" s="65" t="n">
        <v>3.48</v>
      </c>
      <c r="N512" s="62" t="inlineStr">
        <is>
          <t>N</t>
        </is>
      </c>
      <c r="O512" s="66" t="n">
        <v>96.90000000000001</v>
      </c>
      <c r="P512" s="66" t="n"/>
      <c r="Q512" s="67" t="n">
        <v>8608.299999999999</v>
      </c>
      <c r="R512" s="62" t="inlineStr">
        <is>
          <t>aastocks:上市市值 at the struck price</t>
        </is>
      </c>
      <c r="S512" s="68" t="n">
        <v>227.58</v>
      </c>
      <c r="T512" s="69" t="n">
        <v>4.26</v>
      </c>
      <c r="U512" s="70" t="n">
        <v>30.91</v>
      </c>
      <c r="V512" s="66" t="n">
        <v>9.84</v>
      </c>
      <c r="W512" s="62" t="inlineStr">
        <is>
          <t>Aurora SF; Beijing Yian Capital Management Co. Ltd; China Hongqiao Group Limited; Hyperion Venture Capital Partners Limited; Luhua Daosheng Group Co., Ltd; Safewell Equipment Limited; Tianto Technology Limited</t>
        </is>
      </c>
      <c r="X512" s="62" t="inlineStr">
        <is>
          <t>aurora;beijing-yian;hongqiao;hyperion;luhua;safewell;tianto</t>
        </is>
      </c>
      <c r="Y512" s="66" t="n"/>
      <c r="Z512" s="62" t="n"/>
      <c r="AA512" s="71" t="n">
        <v>-18.68</v>
      </c>
      <c r="AB512" s="72" t="n">
        <v>-21.26</v>
      </c>
      <c r="AC512" s="72" t="n">
        <v>3.28</v>
      </c>
      <c r="AD512" s="72" t="n">
        <v>-13.22</v>
      </c>
      <c r="AE512" s="72" t="n">
        <v>-3.16</v>
      </c>
      <c r="AF512" s="72" t="n"/>
      <c r="AG512" s="72" t="n">
        <v>6.71</v>
      </c>
      <c r="AH512" s="72" t="n">
        <v>19.09</v>
      </c>
      <c r="AI512" s="72" t="n"/>
      <c r="AJ512" s="72" t="n">
        <v>-14.88</v>
      </c>
      <c r="AK512" s="72" t="n">
        <v>-11.99</v>
      </c>
      <c r="AL512" s="72" t="n"/>
      <c r="AM512" s="72" t="n">
        <v>10.86</v>
      </c>
      <c r="AN512" s="72" t="n">
        <v>8.83</v>
      </c>
      <c r="AO512" s="72" t="n">
        <v>8.23</v>
      </c>
      <c r="AP512" s="62" t="inlineStr">
        <is>
          <t>Hang Seng Commerce &amp; Industry sub-index</t>
        </is>
      </c>
      <c r="AQ512" s="72" t="n">
        <v>-12.36</v>
      </c>
      <c r="AR512" s="63" t="inlineStr">
        <is>
          <t>2026-08-20</t>
        </is>
      </c>
      <c r="AS512" s="64" t="n">
        <v>16320.1</v>
      </c>
      <c r="AT512" s="67" t="n">
        <v>918.8</v>
      </c>
      <c r="AU512" s="62" t="inlineStr">
        <is>
          <t>Y</t>
        </is>
      </c>
      <c r="AV512" s="73" t="n">
        <v>9.4</v>
      </c>
      <c r="AW512" s="73" t="n">
        <v>16</v>
      </c>
      <c r="AX512" s="73" t="n">
        <v>17.8</v>
      </c>
      <c r="AY512" s="73" t="n">
        <v>0.5</v>
      </c>
      <c r="AZ512" s="74" t="inlineStr">
        <is>
          <t>Y</t>
        </is>
      </c>
      <c r="BA512" s="62" t="inlineStr">
        <is>
          <t>601678.SS</t>
        </is>
      </c>
      <c r="BB512" s="72" t="n">
        <v>90.03</v>
      </c>
      <c r="BC512" s="65" t="n">
        <v>6.6132</v>
      </c>
      <c r="BD512" s="79" t="n">
        <v>1.4131</v>
      </c>
      <c r="BE512" s="77">
        <f>IF('BBG Verify'!Q512="","run on terminal",'BBG Verify'!Q512)</f>
        <v/>
      </c>
      <c r="BF512" s="77">
        <f>IF('BBG Verify'!R512="","run on terminal",'BBG Verify'!R512)</f>
        <v/>
      </c>
      <c r="BG512" s="74" t="inlineStr">
        <is>
          <t>Huatai Financial Holdings (Hong Kong) Limited; CCB International Capital Limited</t>
        </is>
      </c>
      <c r="BH512" s="62" t="inlineStr">
        <is>
          <t>CCB International Capital Limited; Huatai Financial Holdings (Hong Kong) Limited</t>
        </is>
      </c>
      <c r="BI512" s="62" t="inlineStr">
        <is>
          <t>Huafu International Securities Limited; Central China International Securities Co., Limited; CMB International Capital Limited; Huatai Financial Holdings (Hong Kong) Limited; CCB International Capital Limited; Zhongtai International Securities Limited</t>
        </is>
      </c>
      <c r="BJ512" s="62" t="inlineStr">
        <is>
          <t>CCB International Capital Limited; Central China International Securities Co., Limited; CMB International Capital Limited; Huatai Financial Holdings (Hong Kong) Limited; Huafu International Securities Limited; Zhongtai International Securities Limited</t>
        </is>
      </c>
      <c r="BK512" s="76">
        <f>HYPERLINK("https://www1.hkexnews.hk/listedco/listconews/sehk/2026/0630/2026063000101.pdf","prospectus")</f>
        <v/>
      </c>
      <c r="BL512" s="76">
        <f>HYPERLINK("https://www1.hkexnews.hk/listedco/listconews/sehk/2026/0709/2026070901273.pdf","allotment")</f>
        <v/>
      </c>
      <c r="BM512" s="62" t="n"/>
      <c r="BN512" s="74" t="n"/>
      <c r="BO512" s="62" t="inlineStr">
        <is>
          <t>greenshoe: no over-allotment option in the offer structure · range low: cap-only pricing — the filing publishes a Maximum Offer Price and no indicative floor · A/H: Jul 2026 H listing (chlor-alkali/chemicals) · 3m: listed less than 3m ago · greenshoe size: no over-allotment option in the offer structure · alpha/index: 3m alpha needs the 3m return first — window has not elapsed yet</t>
        </is>
      </c>
    </row>
    <row r="513" ht="15" customHeight="1">
      <c r="A513" s="61" t="inlineStr">
        <is>
          <t>2249</t>
        </is>
      </c>
      <c r="B513" s="62" t="inlineStr">
        <is>
          <t>NEXCHIP</t>
        </is>
      </c>
      <c r="C513" s="62" t="inlineStr">
        <is>
          <t>晶合集成</t>
        </is>
      </c>
      <c r="D513" s="62" t="inlineStr">
        <is>
          <t>Tech/AI</t>
        </is>
      </c>
      <c r="E513" s="62" t="inlineStr">
        <is>
          <t>AI chips &amp; semis</t>
        </is>
      </c>
      <c r="F513" s="62" t="inlineStr">
        <is>
          <t>Semiconductors &amp; Semiconductor Equipment</t>
        </is>
      </c>
      <c r="G513" s="62" t="inlineStr">
        <is>
          <t>Standard</t>
        </is>
      </c>
      <c r="H513" s="63" t="n">
        <v>46213</v>
      </c>
      <c r="I513" s="64" t="n">
        <v>6982.19</v>
      </c>
      <c r="J513" s="62" t="inlineStr">
        <is>
          <t>gross (stated)</t>
        </is>
      </c>
      <c r="K513" s="65" t="n"/>
      <c r="L513" s="65" t="n">
        <v>32.3</v>
      </c>
      <c r="M513" s="65" t="n">
        <v>32.3</v>
      </c>
      <c r="N513" s="62" t="inlineStr">
        <is>
          <t>Y</t>
        </is>
      </c>
      <c r="O513" s="66" t="n">
        <v>100</v>
      </c>
      <c r="P513" s="66" t="n"/>
      <c r="Q513" s="67" t="n">
        <v>72179.10000000001</v>
      </c>
      <c r="R513" s="62" t="inlineStr">
        <is>
          <t>aastocks:上市市值 at the struck price</t>
        </is>
      </c>
      <c r="S513" s="68" t="n">
        <v>344.26</v>
      </c>
      <c r="T513" s="69" t="n">
        <v>14.62</v>
      </c>
      <c r="U513" s="70" t="n">
        <v>48.1</v>
      </c>
      <c r="V513" s="66" t="n">
        <v>5.02</v>
      </c>
      <c r="W513" s="62" t="inlineStr">
        <is>
          <t>Chery Automobile HongKong Trade Co., Limited; China Universal Asset Management (Hong Kong) Company Limited; CICC Financial Trading Limited; Da Cheng International Asset Management Company Limited; GF Fund Management Co., Ltd; Goertek (HongKong) Co., Limited; Harvest Global Investments Limited; Hefei Chipone (Hong Kong) Co., Limited; HHLR Advisors, Ltd; ICBC Wealth Management Co., Ltd; IvyRock Asset Management (HK) Limited; NGS Super Pty Limited; Perseverance Asset Management International (Singapore) Pte. Ltd; Pinpoint Asset Management Limited; PSBC Wealth Management Co., Ltd; Puxin Technology Limited; Smartsens Technology (HK) Co., Limited; Taikang Life Insurance Co., Ltd; Verition Multi-Strategy Master Fund Ltd; WT Asset Management Limited</t>
        </is>
      </c>
      <c r="X513" s="62" t="inlineStr">
        <is>
          <t>chery;universal;china-international;da;gf;goertek;harvest;hefei;hhlr;icbc;ivyrock;ngs;perseverance;pinpoint;psbc;puxin;smartsens;taikang;verition;wt</t>
        </is>
      </c>
      <c r="Y513" s="66" t="n">
        <v>15</v>
      </c>
      <c r="Z513" s="62" t="inlineStr">
        <is>
          <t>partial</t>
        </is>
      </c>
      <c r="AA513" s="71" t="n">
        <v>0</v>
      </c>
      <c r="AB513" s="72" t="n">
        <v>11.46</v>
      </c>
      <c r="AC513" s="72" t="n">
        <v>-10.28</v>
      </c>
      <c r="AD513" s="72" t="n">
        <v>-9.66</v>
      </c>
      <c r="AE513" s="72" t="n">
        <v>-0.12</v>
      </c>
      <c r="AF513" s="72" t="n"/>
      <c r="AG513" s="72" t="n">
        <v>-9.66</v>
      </c>
      <c r="AH513" s="72" t="n">
        <v>-0.12</v>
      </c>
      <c r="AI513" s="72" t="n"/>
      <c r="AJ513" s="72" t="n">
        <v>-7.38</v>
      </c>
      <c r="AK513" s="72" t="n">
        <v>-4</v>
      </c>
      <c r="AL513" s="72" t="n"/>
      <c r="AM513" s="72" t="n">
        <v>-4.14</v>
      </c>
      <c r="AN513" s="72" t="n">
        <v>3.88</v>
      </c>
      <c r="AO513" s="72" t="n">
        <v>4.02</v>
      </c>
      <c r="AP513" s="62" t="inlineStr">
        <is>
          <t>HSTECH (Hang Seng TECH ETF)</t>
        </is>
      </c>
      <c r="AQ513" s="72" t="n">
        <v>-5.57</v>
      </c>
      <c r="AR513" s="63" t="inlineStr">
        <is>
          <t>2026-08-20</t>
        </is>
      </c>
      <c r="AS513" s="64" t="n">
        <v>11427.1</v>
      </c>
      <c r="AT513" s="67" t="n">
        <v>513.1</v>
      </c>
      <c r="AU513" s="62" t="inlineStr">
        <is>
          <t>Y</t>
        </is>
      </c>
      <c r="AV513" s="73" t="n">
        <v>140.7</v>
      </c>
      <c r="AW513" s="73" t="n">
        <v>77.3</v>
      </c>
      <c r="AX513" s="73" t="n">
        <v>87.3</v>
      </c>
      <c r="AY513" s="73" t="n">
        <v>6.3</v>
      </c>
      <c r="AZ513" s="74" t="inlineStr">
        <is>
          <t>Y</t>
        </is>
      </c>
      <c r="BA513" s="62" t="inlineStr">
        <is>
          <t>688249.SS</t>
        </is>
      </c>
      <c r="BB513" s="72" t="n">
        <v>132.6</v>
      </c>
      <c r="BC513" s="65" t="n">
        <v>75.1297</v>
      </c>
      <c r="BD513" s="79" t="n">
        <v>0.547</v>
      </c>
      <c r="BE513" s="77">
        <f>IF('BBG Verify'!Q513="","run on terminal",'BBG Verify'!Q513)</f>
        <v/>
      </c>
      <c r="BF513" s="77">
        <f>IF('BBG Verify'!R513="","run on terminal",'BBG Verify'!R513)</f>
        <v/>
      </c>
      <c r="BG513" s="74" t="inlineStr">
        <is>
          <t>CICC</t>
        </is>
      </c>
      <c r="BH513" s="62" t="inlineStr">
        <is>
          <t>China International Capital Corporation Hong Kong Securities Limited</t>
        </is>
      </c>
      <c r="BI513" s="62" t="inlineStr">
        <is>
          <t>BOCI Asia Limited; ICBC International Securities Limited; Futu Securities International (Hong Kong) Limited</t>
        </is>
      </c>
      <c r="BJ513" s="62" t="inlineStr">
        <is>
          <t>BOCI Asia Limited; China International Capital Corporation Hong Kong Securities Limited; CLSA Limited; CMB International Capital Limited; Futu Securities International (Hong Kong) Limited; Huatai Financial Holdings (Hong Kong) Limited; ICBC International Securities Limited</t>
        </is>
      </c>
      <c r="BK513" s="76">
        <f>HYPERLINK("https://www1.hkexnews.hk/listedco/listconews/sehk/2026/0630/2026063000123.pdf","prospectus")</f>
        <v/>
      </c>
      <c r="BL513" s="76">
        <f>HYPERLINK("https://www1.hkexnews.hk/listedco/listconews/sehk/2026/0709/2026070901289.pdf","allotment")</f>
        <v/>
      </c>
      <c r="BM513" s="76">
        <f>HYPERLINK("https://www1.hkexnews.hk/listedco/listconews/sehk/2026/0806/2026080602039.pdf","stabilisation")</f>
        <v/>
      </c>
      <c r="BN513" s="74" t="n"/>
      <c r="BO513" s="62" t="inlineStr">
        <is>
          <t>range low: cap-only pricing — the filing publishes a Maximum Offer Price and no indicative floor · A/H: Jul 2026 H listing (foundry) · 3m: listed less than 3m ago · market cap: estimate from deal size / offer % of enlarged capital disagreed with the published listing cap — published figure adopted · alpha/index: 3m alpha needs the 3m return first — window has not elapsed yet</t>
        </is>
      </c>
    </row>
    <row r="514" ht="15" customHeight="1">
      <c r="A514" s="61" t="inlineStr">
        <is>
          <t>3308</t>
        </is>
      </c>
      <c r="B514" s="62" t="inlineStr">
        <is>
          <t>ZJ INNOLIGHT</t>
        </is>
      </c>
      <c r="C514" s="62" t="inlineStr">
        <is>
          <t>中際旭創</t>
        </is>
      </c>
      <c r="D514" s="62" t="inlineStr">
        <is>
          <t>Tech/AI</t>
        </is>
      </c>
      <c r="E514" s="62" t="inlineStr">
        <is>
          <t>Smart hardware / consumer electronics</t>
        </is>
      </c>
      <c r="F514" s="62" t="inlineStr">
        <is>
          <t>Telecommunications &amp; Networking Equipment</t>
        </is>
      </c>
      <c r="G514" s="62" t="inlineStr">
        <is>
          <t>Standard</t>
        </is>
      </c>
      <c r="H514" s="63" t="n">
        <v>46233</v>
      </c>
      <c r="I514" s="64" t="n">
        <v>53410</v>
      </c>
      <c r="J514" s="62" t="inlineStr">
        <is>
          <t>gross (stated)</t>
        </is>
      </c>
      <c r="K514" s="65" t="n"/>
      <c r="L514" s="65" t="n">
        <v>1010</v>
      </c>
      <c r="M514" s="65" t="n">
        <v>980</v>
      </c>
      <c r="N514" s="62" t="inlineStr">
        <is>
          <t>N</t>
        </is>
      </c>
      <c r="O514" s="66" t="n">
        <v>97</v>
      </c>
      <c r="P514" s="66" t="n"/>
      <c r="Q514" s="67" t="n">
        <v>1577300</v>
      </c>
      <c r="R514" s="62" t="inlineStr">
        <is>
          <t>prospectus:stated market capitalisation</t>
        </is>
      </c>
      <c r="S514" s="68" t="n">
        <v>16.84</v>
      </c>
      <c r="T514" s="69" t="n">
        <v>9.73</v>
      </c>
      <c r="U514" s="70" t="n">
        <v>50</v>
      </c>
      <c r="V514" s="66" t="n">
        <v>1.69</v>
      </c>
      <c r="W514" s="62" t="inlineStr">
        <is>
          <t>Alibaba Investment Limited; Aspex Master Fund; Athos Capital Limited; BCC Asia Aggregator, L.P; Black Dragon CP Fund SPC; BlackRock, Inc; Boyu Capital Opportunities Master Fund; Burkehill Global Management, LP; Canada Pension Plan Investment Board; Chow Tai Fook Enterprises Limited; CloudAlpha Capital Management Limited; CPE Hawthorn Investment Limited; General Atlantic Singapore SPV 68 Pte. Ltd; Hao Advisors Management Limited; HHLR Advisors, Ltd; Huadeng Tech Vision Investment Ltd; Huang River Investment Limited; IDG Capital Project Fund Rhododendron L.P; Indus Select Master Fund, Ltd. and Vitruvius SICAV-Asian Equity; J.P. Morgan Investment Management Inc; JPMorgan Asset Management (Asia Pacific) Limited; Mirae Asset Securities (HK) Limited; NGS Super Pty Limited; Ninety One Asia Pte. Limited; Oaktree Capital Management, L.P</t>
        </is>
      </c>
      <c r="X514" s="62" t="inlineStr">
        <is>
          <t>alibaba;aspex;athos;bcc;black;blackrock;boyu;burkehill;canada;chow;cloudalpha;cpe;general;hao;hhlr;huadeng;huang-river;idg;indus;morgan;jpmorgan;mirae;ngs;ninety;oaktree</t>
        </is>
      </c>
      <c r="Y514" s="66" t="n">
        <v>15</v>
      </c>
      <c r="Z514" s="62" t="n"/>
      <c r="AA514" s="71" t="n">
        <v>-2.04</v>
      </c>
      <c r="AB514" s="72" t="n">
        <v>-0.92</v>
      </c>
      <c r="AC514" s="72" t="n">
        <v>-1.13</v>
      </c>
      <c r="AD514" s="72" t="n">
        <v>17.45</v>
      </c>
      <c r="AE514" s="72" t="n"/>
      <c r="AF514" s="72" t="n"/>
      <c r="AG514" s="72" t="n">
        <v>19.9</v>
      </c>
      <c r="AH514" s="72" t="n"/>
      <c r="AI514" s="72" t="n"/>
      <c r="AJ514" s="72" t="n">
        <v>18.16</v>
      </c>
      <c r="AK514" s="72" t="n"/>
      <c r="AL514" s="72" t="n"/>
      <c r="AM514" s="72" t="n"/>
      <c r="AN514" s="72" t="n"/>
      <c r="AO514" s="72" t="n"/>
      <c r="AP514" s="62" t="inlineStr">
        <is>
          <t>HSTECH (Hang Seng TECH ETF)</t>
        </is>
      </c>
      <c r="AQ514" s="72" t="n">
        <v>12.14</v>
      </c>
      <c r="AR514" s="63" t="inlineStr">
        <is>
          <t>2026-08-20</t>
        </is>
      </c>
      <c r="AS514" s="64" t="n">
        <v>42063.9</v>
      </c>
      <c r="AT514" s="67" t="n">
        <v>12737.7</v>
      </c>
      <c r="AU514" s="62" t="inlineStr">
        <is>
          <t>Y</t>
        </is>
      </c>
      <c r="AV514" s="73" t="n">
        <v>123.8</v>
      </c>
      <c r="AW514" s="73" t="n">
        <v>85.09999999999999</v>
      </c>
      <c r="AX514" s="73" t="n">
        <v>112.4</v>
      </c>
      <c r="AY514" s="73" t="n">
        <v>37.5</v>
      </c>
      <c r="AZ514" s="74" t="inlineStr">
        <is>
          <t>Y</t>
        </is>
      </c>
      <c r="BA514" s="62" t="inlineStr">
        <is>
          <t>300308.SZ</t>
        </is>
      </c>
      <c r="BB514" s="72" t="n">
        <v>12.36</v>
      </c>
      <c r="BC514" s="65" t="n">
        <v>1101.1724</v>
      </c>
      <c r="BD514" s="79" t="n">
        <v>0.004</v>
      </c>
      <c r="BE514" s="77">
        <f>IF('BBG Verify'!Q514="","run on terminal",'BBG Verify'!Q514)</f>
        <v/>
      </c>
      <c r="BF514" s="77">
        <f>IF('BBG Verify'!R514="","run on terminal",'BBG Verify'!R514)</f>
        <v/>
      </c>
      <c r="BG514" s="74" t="inlineStr">
        <is>
          <t>Goldman Sachs (Asia) L.L.C; China International Capital Corporation Hong Kong Securities Limited; Morgan Stanley Asia Limited; GF Capital (Hong Kong) Limited</t>
        </is>
      </c>
      <c r="BH514" s="62" t="inlineStr">
        <is>
          <t>China International Capital Corporation Hong Kong Securities Limited; Morgan Stanley Asia Limited; Goldman Sachs (Asia) L.L.C.; GF Capital (Hong Kong) Limited</t>
        </is>
      </c>
      <c r="BI514" s="62" t="inlineStr">
        <is>
          <t>Goldman Sachs (Asia) L.L.C; China International Capital Corporation Hong Kong Securities Limited; Morgan Stanley Asia Limited; GF Securities (Hong Kong) Brokerage Limited; Citigroup Global Markets Asia Limited; Citigroup Global Markets Limited; Corporation Limited; China Galaxy International Securities (Hong Kong) Co., Limited; Zhongtai International Securities Limited; Zero2IPO Securities Limited; DBS Asia Capital Limited; Haitong International Securities Company Limited</t>
        </is>
      </c>
      <c r="BJ514" s="62" t="inlineStr">
        <is>
          <t>ABCI Securities Company Limited; China Galaxy International Securities (Hong Kong) Company Limited; Citigroup Global Markets Asia Limited; China International Capital Corporation Hong Kong Securities Limited; GF Securities (Hong Kong) Brokerage Limited; Goldman Sachs (Asia) L.L.C.; Haitong International Securities Company Limited; The Hongkong and Shanghai Banking Corporation Limited; Morgan Stanley Asia Limited; Zero2IPO Securities Limited; Zhongtai International Securities Limited</t>
        </is>
      </c>
      <c r="BK514" s="76">
        <f>HYPERLINK("https://www1.hkexnews.hk/listedco/listconews/sehk/2026/0722/2026072200013.pdf","prospectus")</f>
        <v/>
      </c>
      <c r="BL514" s="76">
        <f>HYPERLINK("https://www1.hkexnews.hk/listedco/listconews/sehk/2026/0729/2026072901629.pdf","allotment")</f>
        <v/>
      </c>
      <c r="BM514" s="62" t="n"/>
      <c r="BN514" s="74" t="n"/>
      <c r="BO514" s="62" t="inlineStr">
        <is>
          <t>greenshoe: stabilisation window still open (listed &lt;40 days ago) · range low: cap-only pricing — the filing publishes a Maximum Offer Price and no indicative floor · A/H: Jul 2026 — Hong Kong's largest IPO in seven years (optical transceivers for AI datacenters) · 1m: listed less than 1m ago · 3m: listed less than 3m ago · alpha/index: 1m alpha needs the 1m return first — window has not elapsed yet</t>
        </is>
      </c>
    </row>
    <row r="515" ht="15" customHeight="1">
      <c r="A515" s="61" t="inlineStr">
        <is>
          <t>2261</t>
        </is>
      </c>
      <c r="B515" s="62" t="inlineStr">
        <is>
          <t>NASN TECH</t>
        </is>
      </c>
      <c r="C515" s="62" t="inlineStr">
        <is>
          <t>拿森科技</t>
        </is>
      </c>
      <c r="D515" s="62" t="inlineStr">
        <is>
          <t>Consumer</t>
        </is>
      </c>
      <c r="E515" s="62" t="inlineStr">
        <is>
          <t>Auto parts / supply chain</t>
        </is>
      </c>
      <c r="F515" s="62" t="inlineStr">
        <is>
          <t>Auto Parts &amp; Equipment</t>
        </is>
      </c>
      <c r="G515" s="62" t="inlineStr">
        <is>
          <t>Standard</t>
        </is>
      </c>
      <c r="H515" s="63" t="n">
        <v>46241</v>
      </c>
      <c r="I515" s="64" t="n">
        <v>600.1</v>
      </c>
      <c r="J515" s="62" t="inlineStr">
        <is>
          <t>gross (price x shares)</t>
        </is>
      </c>
      <c r="K515" s="65" t="n"/>
      <c r="L515" s="65" t="n">
        <v>11.18</v>
      </c>
      <c r="M515" s="65" t="n">
        <v>10.42</v>
      </c>
      <c r="N515" s="62" t="inlineStr">
        <is>
          <t>N</t>
        </is>
      </c>
      <c r="O515" s="66" t="n">
        <v>93.2</v>
      </c>
      <c r="P515" s="66" t="n"/>
      <c r="Q515" s="67" t="n">
        <v>6199.7</v>
      </c>
      <c r="R515" s="62" t="inlineStr">
        <is>
          <t>derived:price x shares upon listing</t>
        </is>
      </c>
      <c r="S515" s="68" t="n">
        <v>2513.54</v>
      </c>
      <c r="T515" s="69" t="n">
        <v>2.12</v>
      </c>
      <c r="U515" s="70" t="n">
        <v>0</v>
      </c>
      <c r="V515" s="66" t="n">
        <v>9.68</v>
      </c>
      <c r="W515" s="62" t="n"/>
      <c r="X515" s="62" t="n"/>
      <c r="Y515" s="66" t="n">
        <v>10.12</v>
      </c>
      <c r="Z515" s="62" t="n"/>
      <c r="AA515" s="71" t="n">
        <v>64.11</v>
      </c>
      <c r="AB515" s="72" t="n">
        <v>62.19</v>
      </c>
      <c r="AC515" s="72" t="n">
        <v>1.18</v>
      </c>
      <c r="AD515" s="72" t="n">
        <v>45.3</v>
      </c>
      <c r="AE515" s="72" t="n"/>
      <c r="AF515" s="72" t="n"/>
      <c r="AG515" s="72" t="n">
        <v>-11.46</v>
      </c>
      <c r="AH515" s="72" t="n"/>
      <c r="AI515" s="72" t="n"/>
      <c r="AJ515" s="72" t="n">
        <v>47.27</v>
      </c>
      <c r="AK515" s="72" t="n"/>
      <c r="AL515" s="72" t="n"/>
      <c r="AM515" s="72" t="n"/>
      <c r="AN515" s="72" t="n"/>
      <c r="AO515" s="72" t="n"/>
      <c r="AP515" s="62" t="inlineStr">
        <is>
          <t>Hang Seng Commerce &amp; Industry sub-index</t>
        </is>
      </c>
      <c r="AQ515" s="72" t="n">
        <v>44.05</v>
      </c>
      <c r="AR515" s="63" t="inlineStr">
        <is>
          <t>2026-08-20</t>
        </is>
      </c>
      <c r="AS515" s="64" t="n">
        <v>676</v>
      </c>
      <c r="AT515" s="67" t="n">
        <v>-208.5</v>
      </c>
      <c r="AU515" s="62" t="inlineStr">
        <is>
          <t>N</t>
        </is>
      </c>
      <c r="AV515" s="62" t="inlineStr">
        <is>
          <t>n/m</t>
        </is>
      </c>
      <c r="AW515" s="73" t="n"/>
      <c r="AX515" s="73" t="n"/>
      <c r="AY515" s="73" t="n">
        <v>9.199999999999999</v>
      </c>
      <c r="AZ515" s="74" t="inlineStr">
        <is>
          <t>N</t>
        </is>
      </c>
      <c r="BA515" s="75">
        <f>IF('BBG Verify'!K515="","not filed — run on terminal",'BBG Verify'!K515)</f>
        <v/>
      </c>
      <c r="BB515" s="62" t="inlineStr">
        <is>
          <t>N/A</t>
        </is>
      </c>
      <c r="BC515" s="62" t="inlineStr">
        <is>
          <t>N/A</t>
        </is>
      </c>
      <c r="BD515" s="62" t="inlineStr">
        <is>
          <t>N/A</t>
        </is>
      </c>
      <c r="BE515" s="62" t="inlineStr">
        <is>
          <t>N/A</t>
        </is>
      </c>
      <c r="BF515" s="62" t="inlineStr">
        <is>
          <t>N/A</t>
        </is>
      </c>
      <c r="BG515" s="74" t="inlineStr">
        <is>
          <t>Haitong International Capital Limited; BOCI Asia Limited</t>
        </is>
      </c>
      <c r="BH515" s="62" t="inlineStr">
        <is>
          <t>Haitong International Capital Limited; BOCI Asia Limited</t>
        </is>
      </c>
      <c r="BI515" s="62" t="inlineStr">
        <is>
          <t>Haitong International Securities Company Limited; BOCI Asia Limited; SDIC Securities (Hong Kong) Limited; Orient Securities (Hong Kong) Limited; TradeMaster Securities (Hong Kong) Limited; SPDB International Capital Limited</t>
        </is>
      </c>
      <c r="BJ515" s="62" t="inlineStr">
        <is>
          <t>BOCI Asia Limited; Futu Securities International (Hong Kong) Limited; Haitong International Securities Company Limited; Orient Securities (Hong Kong) Limited; SDIC Securities (Hong Kong) Limited; SPDB International Capital Limited; TradeMaster Securities (Hong Kong) Limited</t>
        </is>
      </c>
      <c r="BK515" s="76">
        <f>HYPERLINK("https://www1.hkexnews.hk/listedco/listconews/sehk/2026/0730/2026073000009.pdf","prospectus")</f>
        <v/>
      </c>
      <c r="BL515" s="76">
        <f>HYPERLINK("https://www1.hkexnews.hk/listedco/listconews/sehk/2026/0806/2026080602047.pdf","allotment")</f>
        <v/>
      </c>
      <c r="BM515" s="62" t="n"/>
      <c r="BN515" s="74" t="n"/>
      <c r="BO515" s="62" t="inlineStr">
        <is>
          <t>P/E: n/m — loss-making at IPO (use P/S) · greenshoe: stabilisation window still open (listed &lt;40 days ago) · range low: cap-only pricing — the filing publishes a Maximum Offer Price and no indicative floor · A/H: no A-share listing · 1m: listed less than 1m ago · 3m: listed less than 3m ago · cornerstone list: no cornerstone tranche in this deal · alpha/index: 1m alpha needs the 1m return first — window has not elapsed yet</t>
        </is>
      </c>
    </row>
  </sheetData>
  <autoFilter ref="A4:BO515"/>
  <mergeCells count="8">
    <mergeCell ref="AA3:AR3"/>
    <mergeCell ref="S3:Z3"/>
    <mergeCell ref="A3:H3"/>
    <mergeCell ref="BN3:BO3"/>
    <mergeCell ref="AZ3:BF3"/>
    <mergeCell ref="I3:R3"/>
    <mergeCell ref="BG3:BM3"/>
    <mergeCell ref="AS3:AY3"/>
  </mergeCells>
  <conditionalFormatting sqref="A5:BO515">
    <cfRule type="expression" priority="20" dxfId="2" stopIfTrue="0">
      <formula>MOD(ROW(),2)=0</formula>
    </cfRule>
  </conditionalFormatting>
  <conditionalFormatting sqref="AA5:AA515">
    <cfRule type="colorScale" priority="1">
      <colorScale>
        <cfvo type="num" val="-60"/>
        <cfvo type="num" val="0"/>
        <cfvo type="num" val="60"/>
        <color rgb="00F8696B"/>
        <color rgb="00FFFFFF"/>
        <color rgb="0063BE7B"/>
      </colorScale>
    </cfRule>
  </conditionalFormatting>
  <conditionalFormatting sqref="AB5:AB515">
    <cfRule type="colorScale" priority="2">
      <colorScale>
        <cfvo type="num" val="-60"/>
        <cfvo type="num" val="0"/>
        <cfvo type="num" val="60"/>
        <color rgb="00F8696B"/>
        <color rgb="00FFFFFF"/>
        <color rgb="0063BE7B"/>
      </colorScale>
    </cfRule>
  </conditionalFormatting>
  <conditionalFormatting sqref="AC5:AC515">
    <cfRule type="colorScale" priority="3">
      <colorScale>
        <cfvo type="num" val="-60"/>
        <cfvo type="num" val="0"/>
        <cfvo type="num" val="60"/>
        <color rgb="00F8696B"/>
        <color rgb="00FFFFFF"/>
        <color rgb="0063BE7B"/>
      </colorScale>
    </cfRule>
  </conditionalFormatting>
  <conditionalFormatting sqref="AD5:AD515">
    <cfRule type="colorScale" priority="4">
      <colorScale>
        <cfvo type="num" val="-60"/>
        <cfvo type="num" val="0"/>
        <cfvo type="num" val="60"/>
        <color rgb="00F8696B"/>
        <color rgb="00FFFFFF"/>
        <color rgb="0063BE7B"/>
      </colorScale>
    </cfRule>
  </conditionalFormatting>
  <conditionalFormatting sqref="AE5:AE515">
    <cfRule type="colorScale" priority="5">
      <colorScale>
        <cfvo type="num" val="-60"/>
        <cfvo type="num" val="0"/>
        <cfvo type="num" val="60"/>
        <color rgb="00F8696B"/>
        <color rgb="00FFFFFF"/>
        <color rgb="0063BE7B"/>
      </colorScale>
    </cfRule>
  </conditionalFormatting>
  <conditionalFormatting sqref="AF5:AF515">
    <cfRule type="colorScale" priority="6">
      <colorScale>
        <cfvo type="num" val="-60"/>
        <cfvo type="num" val="0"/>
        <cfvo type="num" val="60"/>
        <color rgb="00F8696B"/>
        <color rgb="00FFFFFF"/>
        <color rgb="0063BE7B"/>
      </colorScale>
    </cfRule>
  </conditionalFormatting>
  <conditionalFormatting sqref="AG5:AG515">
    <cfRule type="colorScale" priority="7">
      <colorScale>
        <cfvo type="num" val="-60"/>
        <cfvo type="num" val="0"/>
        <cfvo type="num" val="60"/>
        <color rgb="00F8696B"/>
        <color rgb="00FFFFFF"/>
        <color rgb="0063BE7B"/>
      </colorScale>
    </cfRule>
  </conditionalFormatting>
  <conditionalFormatting sqref="AH5:AH515">
    <cfRule type="colorScale" priority="8">
      <colorScale>
        <cfvo type="num" val="-60"/>
        <cfvo type="num" val="0"/>
        <cfvo type="num" val="60"/>
        <color rgb="00F8696B"/>
        <color rgb="00FFFFFF"/>
        <color rgb="0063BE7B"/>
      </colorScale>
    </cfRule>
  </conditionalFormatting>
  <conditionalFormatting sqref="AI5:AI515">
    <cfRule type="colorScale" priority="9">
      <colorScale>
        <cfvo type="num" val="-60"/>
        <cfvo type="num" val="0"/>
        <cfvo type="num" val="60"/>
        <color rgb="00F8696B"/>
        <color rgb="00FFFFFF"/>
        <color rgb="0063BE7B"/>
      </colorScale>
    </cfRule>
  </conditionalFormatting>
  <conditionalFormatting sqref="AK5:AK515">
    <cfRule type="colorScale" priority="10">
      <colorScale>
        <cfvo type="num" val="-60"/>
        <cfvo type="num" val="0"/>
        <cfvo type="num" val="60"/>
        <color rgb="00F8696B"/>
        <color rgb="00FFFFFF"/>
        <color rgb="0063BE7B"/>
      </colorScale>
    </cfRule>
  </conditionalFormatting>
  <conditionalFormatting sqref="AM5:AM515">
    <cfRule type="colorScale" priority="11">
      <colorScale>
        <cfvo type="num" val="-60"/>
        <cfvo type="num" val="0"/>
        <cfvo type="num" val="60"/>
        <color rgb="00F8696B"/>
        <color rgb="00FFFFFF"/>
        <color rgb="0063BE7B"/>
      </colorScale>
    </cfRule>
  </conditionalFormatting>
  <conditionalFormatting sqref="AQ5:AQ515">
    <cfRule type="colorScale" priority="12">
      <colorScale>
        <cfvo type="num" val="-60"/>
        <cfvo type="num" val="0"/>
        <cfvo type="num" val="60"/>
        <color rgb="00F8696B"/>
        <color rgb="00FFFFFF"/>
        <color rgb="0063BE7B"/>
      </colorScale>
    </cfRule>
  </conditionalFormatting>
  <conditionalFormatting sqref="BB5:BB515">
    <cfRule type="colorScale" priority="13">
      <colorScale>
        <cfvo type="num" val="-60"/>
        <cfvo type="num" val="0"/>
        <cfvo type="num" val="60"/>
        <color rgb="00F8696B"/>
        <color rgb="00FFFFFF"/>
        <color rgb="0063BE7B"/>
      </colorScale>
    </cfRule>
  </conditionalFormatting>
  <conditionalFormatting sqref="BD5:BD515">
    <cfRule type="colorScale" priority="14">
      <colorScale>
        <cfvo type="num" val="-60"/>
        <cfvo type="num" val="0"/>
        <cfvo type="num" val="60"/>
        <color rgb="00F8696B"/>
        <color rgb="00FFFFFF"/>
        <color rgb="0063BE7B"/>
      </colorScale>
    </cfRule>
  </conditionalFormatting>
  <conditionalFormatting sqref="I5:I515">
    <cfRule type="dataBar" priority="15">
      <dataBar showValue="1">
        <cfvo type="min"/>
        <cfvo type="max"/>
        <color rgb="004472C4"/>
      </dataBar>
    </cfRule>
  </conditionalFormatting>
  <conditionalFormatting sqref="Q5:Q515">
    <cfRule type="dataBar" priority="16">
      <dataBar showValue="1">
        <cfvo type="min"/>
        <cfvo type="max"/>
        <color rgb="008FAADC"/>
      </dataBar>
    </cfRule>
  </conditionalFormatting>
  <conditionalFormatting sqref="S5:S515">
    <cfRule type="dataBar" priority="17">
      <dataBar showValue="1">
        <cfvo type="min"/>
        <cfvo type="max"/>
        <color rgb="00ED7D31"/>
      </dataBar>
    </cfRule>
  </conditionalFormatting>
  <conditionalFormatting sqref="T5:T515">
    <cfRule type="dataBar" priority="18">
      <dataBar showValue="1">
        <cfvo type="min"/>
        <cfvo type="max"/>
        <color rgb="00F4B183"/>
      </dataBar>
    </cfRule>
  </conditionalFormatting>
  <conditionalFormatting sqref="U5:U515">
    <cfRule type="dataBar" priority="19">
      <dataBar showValue="1">
        <cfvo type="min"/>
        <cfvo type="max"/>
        <color rgb="00A9D08E"/>
      </dataBar>
    </cfRule>
  </conditionalFormatting>
  <pageMargins left="0.75" right="0.75" top="1" bottom="1" header="0.5" footer="0.5"/>
  <ignoredErrors>
    <ignoredError sqref="A5:A600" numberStoredAsText="1"/>
  </ignoredErrors>
</worksheet>
</file>

<file path=xl/worksheets/sheet3.xml><?xml version="1.0" encoding="utf-8"?>
<worksheet xmlns="http://schemas.openxmlformats.org/spreadsheetml/2006/main">
  <sheetPr>
    <tabColor rgb="001BAF7A"/>
    <outlinePr summaryBelow="1" summaryRight="1"/>
    <pageSetUpPr/>
  </sheetPr>
  <dimension ref="A1:AA66"/>
  <sheetViews>
    <sheetView showGridLines="0" workbookViewId="0">
      <selection activeCell="A1" sqref="A1"/>
    </sheetView>
  </sheetViews>
  <sheetFormatPr baseColWidth="8" defaultRowHeight="15"/>
  <cols>
    <col width="8" customWidth="1" min="1" max="1"/>
    <col width="24" customWidth="1" min="2" max="2"/>
    <col width="12" customWidth="1" min="3" max="3"/>
    <col width="12" customWidth="1" min="4" max="4"/>
    <col width="22" customWidth="1" min="5" max="5"/>
    <col width="13" customWidth="1" min="6" max="6"/>
    <col width="10" customWidth="1" min="7" max="7"/>
    <col width="10" customWidth="1" min="8" max="8"/>
    <col width="26" customWidth="1" min="9" max="9"/>
    <col width="9" customWidth="1" min="10" max="10"/>
    <col width="9" customWidth="1" min="11" max="11"/>
    <col width="10" customWidth="1" min="12" max="12"/>
    <col width="11" customWidth="1" min="13" max="13"/>
    <col width="20" customWidth="1" min="14" max="14"/>
    <col width="11" customWidth="1" min="15" max="15"/>
    <col width="11" customWidth="1" min="16" max="16"/>
    <col width="8" customWidth="1" min="17" max="17"/>
    <col width="7" customWidth="1" min="18" max="18"/>
    <col width="11" customWidth="1" min="19" max="19"/>
    <col width="9" customWidth="1" min="20" max="20"/>
    <col width="9" customWidth="1" min="21" max="21"/>
    <col width="10" customWidth="1" min="22" max="22"/>
    <col width="12" customWidth="1" min="23" max="23"/>
    <col width="26" customWidth="1" min="24" max="24"/>
    <col width="11" customWidth="1" min="25" max="25"/>
    <col width="46" customWidth="1" min="26" max="26"/>
    <col width="40" customWidth="1" min="27" max="27"/>
  </cols>
  <sheetData>
    <row r="1">
      <c r="A1" s="1" t="inlineStr">
        <is>
          <t>ACTIVE PIPELINE</t>
        </is>
      </c>
    </row>
    <row r="2">
      <c r="A2" s="2" t="inlineStr">
        <is>
          <t>expected size/timing are INPUT-BLUE — update as terms firm up; screener reads columns D/E/F/J/K/L</t>
        </is>
      </c>
    </row>
    <row r="3"/>
    <row r="4">
      <c r="A4" s="62" t="inlineStr"/>
    </row>
    <row r="5">
      <c r="A5" s="12" t="inlineStr">
        <is>
          <t>Code</t>
        </is>
      </c>
      <c r="B5" s="12" t="inlineStr">
        <is>
          <t>Name</t>
        </is>
      </c>
      <c r="C5" s="12" t="inlineStr">
        <is>
          <t>Name (CN)</t>
        </is>
      </c>
      <c r="D5" s="12" t="inlineStr">
        <is>
          <t>Sector</t>
        </is>
      </c>
      <c r="E5" s="12" t="inlineStr">
        <is>
          <t>Subsector</t>
        </is>
      </c>
      <c r="F5" s="12" t="inlineStr">
        <is>
          <t>Expected size (HK$m)</t>
        </is>
      </c>
      <c r="G5" s="12" t="inlineStr">
        <is>
          <t>Size lo (US$m)</t>
        </is>
      </c>
      <c r="H5" s="12" t="inlineStr">
        <is>
          <t>Size hi (US$m)</t>
        </is>
      </c>
      <c r="I5" s="12" t="inlineStr">
        <is>
          <t>Size basis</t>
        </is>
      </c>
      <c r="J5" s="12" t="inlineStr">
        <is>
          <t>Range lo (HK$)</t>
        </is>
      </c>
      <c r="K5" s="12" t="inlineStr">
        <is>
          <t>Max/cap (HK$)</t>
        </is>
      </c>
      <c r="L5" s="12" t="inlineStr">
        <is>
          <t>Expected P/E</t>
        </is>
      </c>
      <c r="M5" s="12" t="inlineStr">
        <is>
          <t>Cornerstone %</t>
        </is>
      </c>
      <c r="N5" s="12" t="inlineStr">
        <is>
          <t>Offer period</t>
        </is>
      </c>
      <c r="O5" s="12" t="inlineStr">
        <is>
          <t>Status</t>
        </is>
      </c>
      <c r="P5" s="12" t="inlineStr">
        <is>
          <t>Expected timing</t>
        </is>
      </c>
      <c r="Q5" s="12" t="inlineStr">
        <is>
          <t>Profitable</t>
        </is>
      </c>
      <c r="R5" s="12" t="inlineStr">
        <is>
          <t>H-share</t>
        </is>
      </c>
      <c r="S5" s="12" t="inlineStr">
        <is>
          <t>A-share code</t>
        </is>
      </c>
      <c r="T5" s="12" t="inlineStr">
        <is>
          <t>A px now</t>
        </is>
      </c>
      <c r="U5" s="12" t="inlineStr">
        <is>
          <t>A P/E (TTM)</t>
        </is>
      </c>
      <c r="V5" s="12" t="inlineStr">
        <is>
          <t>H cap vs A</t>
        </is>
      </c>
      <c r="W5" s="12" t="inlineStr">
        <is>
          <t>A prem vs H cap</t>
        </is>
      </c>
      <c r="X5" s="12" t="inlineStr">
        <is>
          <t>Sponsors</t>
        </is>
      </c>
      <c r="Y5" s="12" t="inlineStr">
        <is>
          <t>Prospectus</t>
        </is>
      </c>
      <c r="Z5" s="12" t="inlineStr">
        <is>
          <t>Business</t>
        </is>
      </c>
      <c r="AA5" s="12" t="inlineStr">
        <is>
          <t>Valuation notes</t>
        </is>
      </c>
    </row>
    <row r="6" ht="15" customHeight="1">
      <c r="A6" s="81" t="inlineStr">
        <is>
          <t>0625</t>
        </is>
      </c>
      <c r="B6" s="81" t="inlineStr">
        <is>
          <t>SHEIN Global Holdings Limited</t>
        </is>
      </c>
      <c r="C6" s="81" t="inlineStr">
        <is>
          <t>希音國際控股有限公司</t>
        </is>
      </c>
      <c r="D6" s="81" t="inlineStr">
        <is>
          <t>Tech/AI</t>
        </is>
      </c>
      <c r="E6" s="7" t="inlineStr">
        <is>
          <t>Internet platform / e-commerce</t>
        </is>
      </c>
      <c r="F6" s="19" t="n">
        <v>15600</v>
      </c>
      <c r="G6" s="19" t="n">
        <v>2000</v>
      </c>
      <c r="H6" s="19" t="n">
        <v>2800</v>
      </c>
      <c r="I6" s="81" t="inlineStr">
        <is>
          <t>estimated (press report: Bloomberg, 2026-08-17)</t>
        </is>
      </c>
      <c r="J6" s="82" t="n">
        <v>47.6</v>
      </c>
      <c r="K6" s="82" t="n">
        <v>49.5</v>
      </c>
      <c r="L6" s="83" t="n"/>
      <c r="M6" s="84" t="n">
        <v>22.5</v>
      </c>
      <c r="N6" s="81" t="inlineStr">
        <is>
          <t>2026-08-24 - 2026-08-27</t>
        </is>
      </c>
      <c r="O6" s="7" t="inlineStr">
        <is>
          <t>OFFERING — closes 2026-08-27</t>
        </is>
      </c>
      <c r="P6" s="7" t="inlineStr">
        <is>
          <t>2026-09-01</t>
        </is>
      </c>
      <c r="Q6" s="81" t="n"/>
      <c r="R6" s="81" t="inlineStr">
        <is>
          <t>N</t>
        </is>
      </c>
      <c r="S6" s="81" t="n"/>
      <c r="T6" s="82" t="n"/>
      <c r="U6" s="83" t="n"/>
      <c r="V6" s="85" t="n"/>
      <c r="W6" s="85" t="n"/>
      <c r="X6" s="81" t="inlineStr">
        <is>
          <t>Goldman Sachs; Morgan Stanley; J.P. Morgan</t>
        </is>
      </c>
      <c r="Y6" s="86">
        <f>HYPERLINK("https://www1.hkexnews.hk/listedco/listconews/sehk/2026/0824/2026082400019.pdf","filing")</f>
        <v/>
      </c>
      <c r="Z6" s="81" t="inlineStr">
        <is>
          <t>We are a global online fashion and lifestyle company serving approximately 273 million active customers in approximately 160 markets in 2025. We have reimagined the pursuit of fashion by offering a large, inclusive selection of constantly refreshed products that satisfy consumers’ diverse needs, with great value for money. We help people around the world access fashion and celebrate their individuality. We are a global company with operations across multiple jurisdictions. Our journey started in China in 2012 and the brand “SHEIN” was introduced in 2013.</t>
        </is>
      </c>
      <c r="AA6" s="81" t="inlineStr">
        <is>
          <t>Targeting USD 30-40bn valuation (Reuters); syndicate pitching below USD 30bn to ~35bn per SCMP; far below the ~USD 100bn 2022 round. Existing shareholders may sell up to about half the deal.</t>
        </is>
      </c>
    </row>
    <row r="7" ht="15" customHeight="1">
      <c r="A7" s="62" t="n"/>
      <c r="B7" s="62" t="inlineStr">
        <is>
          <t>Xiaohongshu (RedNote)</t>
        </is>
      </c>
      <c r="C7" s="62" t="inlineStr">
        <is>
          <t>小红书</t>
        </is>
      </c>
      <c r="D7" s="62" t="inlineStr">
        <is>
          <t>Tech/AI</t>
        </is>
      </c>
      <c r="E7" s="7" t="inlineStr">
        <is>
          <t>Internet platform / e-commerce</t>
        </is>
      </c>
      <c r="F7" s="19" t="n"/>
      <c r="G7" s="19" t="n"/>
      <c r="H7" s="19" t="n"/>
      <c r="I7" s="62" t="n"/>
      <c r="J7" s="65" t="n"/>
      <c r="K7" s="65" t="n"/>
      <c r="L7" s="73" t="n"/>
      <c r="M7" s="66" t="n"/>
      <c r="N7" s="62" t="n"/>
      <c r="O7" s="7" t="inlineStr">
        <is>
          <t>A1 filed</t>
        </is>
      </c>
      <c r="P7" s="7" t="inlineStr">
        <is>
          <t>2026 H2, as early as year-end 2026</t>
        </is>
      </c>
      <c r="Q7" s="62" t="n"/>
      <c r="R7" s="62" t="inlineStr">
        <is>
          <t>N</t>
        </is>
      </c>
      <c r="S7" s="62" t="n"/>
      <c r="T7" s="65" t="n"/>
      <c r="U7" s="73" t="n"/>
      <c r="V7" s="72" t="n"/>
      <c r="W7" s="72" t="n"/>
      <c r="X7" s="62" t="inlineStr">
        <is>
          <t>Goldman Sachs; CICC</t>
        </is>
      </c>
      <c r="Y7" s="62" t="n"/>
      <c r="Z7" s="62" t="n"/>
      <c r="AA7" s="62" t="inlineStr">
        <is>
          <t>Targeting &gt;USD 70bn valuation (WSJ via The Standard, 2026-06); above the ~USD 50bn seen in recent private secondary trades; would be one of HK's largest tech IPOs. Company publicly denied some IPO rumours amid compliance dispute (The Standard, 2026-07).</t>
        </is>
      </c>
    </row>
    <row r="8" ht="15" customHeight="1">
      <c r="A8" s="62" t="n"/>
      <c r="B8" s="62" t="inlineStr">
        <is>
          <t>AgiBot (AgiBot Innovation / Zhiyuan Robotics)</t>
        </is>
      </c>
      <c r="C8" s="62" t="inlineStr">
        <is>
          <t>智元机器人</t>
        </is>
      </c>
      <c r="D8" s="62" t="inlineStr">
        <is>
          <t>Tech/AI</t>
        </is>
      </c>
      <c r="E8" s="7" t="inlineStr">
        <is>
          <t>Robotics &amp; autonomous driving</t>
        </is>
      </c>
      <c r="F8" s="19" t="n">
        <v>7800</v>
      </c>
      <c r="G8" s="19" t="n">
        <v>1000</v>
      </c>
      <c r="H8" s="19" t="n">
        <v>1000</v>
      </c>
      <c r="I8" s="62" t="n"/>
      <c r="J8" s="65" t="n"/>
      <c r="K8" s="65" t="n"/>
      <c r="L8" s="73" t="n"/>
      <c r="M8" s="66" t="n"/>
      <c r="N8" s="62" t="n"/>
      <c r="O8" s="7" t="inlineStr">
        <is>
          <t>A1 filed</t>
        </is>
      </c>
      <c r="P8" s="7" t="inlineStr">
        <is>
          <t>2026 H2 (possibly as early as Aug-Sep 2026)</t>
        </is>
      </c>
      <c r="Q8" s="62" t="n"/>
      <c r="R8" s="62" t="inlineStr">
        <is>
          <t>N</t>
        </is>
      </c>
      <c r="S8" s="62" t="n"/>
      <c r="T8" s="65" t="n"/>
      <c r="U8" s="73" t="n"/>
      <c r="V8" s="72" t="n"/>
      <c r="W8" s="72" t="n"/>
      <c r="X8" s="62" t="inlineStr">
        <is>
          <t>CITIC Securities; CICC; Morgan Stanley</t>
        </is>
      </c>
      <c r="Y8" s="62" t="n"/>
      <c r="Z8" s="62" t="n"/>
      <c r="AA8" s="62" t="inlineStr">
        <is>
          <t>Cornerstone/valuation target HK$40-50bn (~USD 5.1-6.4bn); plans to sell 15-25% of shares, potentially raising &gt;USD 1bn. Last private rounds valued it above RMB 20bn (~USD 3bn) per Caixin.</t>
        </is>
      </c>
    </row>
    <row r="9" ht="15" customHeight="1">
      <c r="A9" s="62" t="n"/>
      <c r="B9" s="62" t="inlineStr">
        <is>
          <t>Moonshot AI</t>
        </is>
      </c>
      <c r="C9" s="62" t="inlineStr">
        <is>
          <t>月之暗面</t>
        </is>
      </c>
      <c r="D9" s="62" t="inlineStr">
        <is>
          <t>Tech/AI</t>
        </is>
      </c>
      <c r="E9" s="7" t="inlineStr">
        <is>
          <t>LLM / foundation model</t>
        </is>
      </c>
      <c r="F9" s="19" t="n"/>
      <c r="G9" s="19" t="n"/>
      <c r="H9" s="19" t="n"/>
      <c r="I9" s="62" t="n"/>
      <c r="J9" s="65" t="n"/>
      <c r="K9" s="65" t="n"/>
      <c r="L9" s="73" t="n"/>
      <c r="M9" s="66" t="n"/>
      <c r="N9" s="62" t="n"/>
      <c r="O9" s="7" t="n"/>
      <c r="P9" s="7" t="inlineStr">
        <is>
          <t>filing 2026 H2; listing as early as end-2026</t>
        </is>
      </c>
      <c r="Q9" s="62" t="n"/>
      <c r="R9" s="62" t="inlineStr">
        <is>
          <t>N</t>
        </is>
      </c>
      <c r="S9" s="62" t="n"/>
      <c r="T9" s="65" t="n"/>
      <c r="U9" s="73" t="n"/>
      <c r="V9" s="72" t="n"/>
      <c r="W9" s="72" t="n"/>
      <c r="X9" s="62" t="n"/>
      <c r="Y9" s="62" t="n"/>
      <c r="Z9" s="62" t="n"/>
      <c r="AA9" s="62" t="inlineStr">
        <is>
          <t>Closed USD 3.5bn round at USD 35bn valuation (Bloomberg, 2026-07-29), up from ~USD 4bn end-2025; in talks for a final pre-IPO round at USD 50bn pre-money (Bloomberg, 2026-07-21).</t>
        </is>
      </c>
    </row>
    <row r="10" ht="15" customHeight="1">
      <c r="A10" s="62" t="n"/>
      <c r="B10" s="62" t="inlineStr">
        <is>
          <t>Sungrow Power Supply</t>
        </is>
      </c>
      <c r="C10" s="62" t="inlineStr">
        <is>
          <t>阳光电源</t>
        </is>
      </c>
      <c r="D10" s="62" t="inlineStr">
        <is>
          <t>Industrials</t>
        </is>
      </c>
      <c r="E10" s="7" t="inlineStr">
        <is>
          <t>Solar / wind supply chain</t>
        </is>
      </c>
      <c r="F10" s="19" t="n"/>
      <c r="G10" s="19" t="n"/>
      <c r="H10" s="19" t="n"/>
      <c r="I10" s="62" t="n"/>
      <c r="J10" s="65" t="n"/>
      <c r="K10" s="65" t="n"/>
      <c r="L10" s="73" t="n"/>
      <c r="M10" s="66" t="n"/>
      <c r="N10" s="62" t="n"/>
      <c r="O10" s="7" t="inlineStr">
        <is>
          <t>A1 filed</t>
        </is>
      </c>
      <c r="P10" s="7" t="inlineStr">
        <is>
          <t>2026 H2 (application refiled Apr 2026, 6-month validity)</t>
        </is>
      </c>
      <c r="Q10" s="62" t="n"/>
      <c r="R10" s="62" t="inlineStr">
        <is>
          <t>Y</t>
        </is>
      </c>
      <c r="S10" s="62" t="inlineStr">
        <is>
          <t>300274.SZ</t>
        </is>
      </c>
      <c r="T10" s="65" t="n"/>
      <c r="U10" s="73" t="n"/>
      <c r="V10" s="72" t="n"/>
      <c r="W10" s="72" t="n"/>
      <c r="X10" s="62" t="inlineStr">
        <is>
          <t>CICC</t>
        </is>
      </c>
      <c r="Y10" s="62" t="n"/>
      <c r="Z10" s="62" t="n"/>
      <c r="AA10" s="62" t="inlineStr">
        <is>
          <t>A-share market cap ~RMB 277-330bn (USD 40-47bn) in Apr 2026. Early reports cited a HK$987m (USD 126.7m) raise target from the Oct-2025 filing — treat with caution, small vs peers' A+H raises; no updated size disclosed on the Apr 2026 refiling.</t>
        </is>
      </c>
    </row>
    <row r="11" ht="15" customHeight="1">
      <c r="A11" s="81" t="inlineStr">
        <is>
          <t>9615</t>
        </is>
      </c>
      <c r="B11" s="81" t="inlineStr">
        <is>
          <t>Mech-Mind Robotics Technologies Co., Ltd.</t>
        </is>
      </c>
      <c r="C11" s="81" t="inlineStr">
        <is>
          <t>梅卡曼德（雄安）機器人科技股份有限公司</t>
        </is>
      </c>
      <c r="D11" s="81" t="inlineStr">
        <is>
          <t>Tech/AI</t>
        </is>
      </c>
      <c r="E11" s="7" t="inlineStr">
        <is>
          <t>Robotics &amp; autonomous driving</t>
        </is>
      </c>
      <c r="F11" s="19" t="n">
        <v>2340</v>
      </c>
      <c r="G11" s="19" t="n"/>
      <c r="H11" s="19" t="n"/>
      <c r="I11" s="81" t="inlineStr">
        <is>
          <t>estimated (press report: HKEJ, 2026-08-14)</t>
        </is>
      </c>
      <c r="J11" s="82" t="n">
        <v>95.3</v>
      </c>
      <c r="K11" s="82" t="n">
        <v>101.7</v>
      </c>
      <c r="L11" s="83" t="n"/>
      <c r="M11" s="84" t="n"/>
      <c r="N11" s="81" t="inlineStr">
        <is>
          <t>2026-08-24 - 2026-08-27</t>
        </is>
      </c>
      <c r="O11" s="7" t="inlineStr">
        <is>
          <t>OFFERING — closes 2026-08-27</t>
        </is>
      </c>
      <c r="P11" s="7" t="inlineStr">
        <is>
          <t>2026-09-01</t>
        </is>
      </c>
      <c r="Q11" s="81" t="inlineStr">
        <is>
          <t>N</t>
        </is>
      </c>
      <c r="R11" s="81" t="n"/>
      <c r="S11" s="81" t="n"/>
      <c r="T11" s="82" t="n"/>
      <c r="U11" s="83" t="n"/>
      <c r="V11" s="85" t="n"/>
      <c r="W11" s="85" t="n"/>
      <c r="X11" s="81" t="n"/>
      <c r="Y11" s="86">
        <f>HYPERLINK("https://www1.hkexnews.hk/listedco/listconews/sehk/2026/0824/2026082400017.pdf","filing")</f>
        <v/>
      </c>
      <c r="Z11" s="81" t="inlineStr">
        <is>
          <t>We are a provider of intelligent robot components, with our products deployed in equipment used in our end customers’ production and operational processes. Our systems leverage 3D vision technologies to capture point cloud data for accurate spatial perception, and deep learning-based AI algorithms trained on extensive industrial data to enable autonomous recognition, decision-making and motion planning under complex conditions such as random stacking, reflective surfaces, and partial occlusion — without reliance on manual programming.</t>
        </is>
      </c>
      <c r="AA11" s="81" t="n"/>
    </row>
    <row r="12" ht="15" customHeight="1">
      <c r="A12" s="62" t="inlineStr">
        <is>
          <t>2523</t>
        </is>
      </c>
      <c r="B12" s="62" t="inlineStr">
        <is>
          <t>EKH LIMITED</t>
        </is>
      </c>
      <c r="C12" s="62" t="n"/>
      <c r="D12" s="62" t="inlineStr">
        <is>
          <t>Industrials</t>
        </is>
      </c>
      <c r="E12" s="7" t="inlineStr">
        <is>
          <t>Logistics</t>
        </is>
      </c>
      <c r="F12" s="19" t="n">
        <v>126</v>
      </c>
      <c r="G12" s="19" t="n"/>
      <c r="H12" s="19" t="n"/>
      <c r="I12" s="62" t="inlineStr">
        <is>
          <t>prospectus: net proceeds at the maximum price</t>
        </is>
      </c>
      <c r="J12" s="65" t="n">
        <v>2.2</v>
      </c>
      <c r="K12" s="65" t="n">
        <v>2.68</v>
      </c>
      <c r="L12" s="73" t="n">
        <v>73.3</v>
      </c>
      <c r="M12" s="66" t="n"/>
      <c r="N12" s="62" t="n"/>
      <c r="O12" s="7" t="inlineStr">
        <is>
          <t>WITHDRAWN — offering pulled 2026-07-08</t>
        </is>
      </c>
      <c r="P12" s="7" t="n"/>
      <c r="Q12" s="62" t="inlineStr">
        <is>
          <t>Y</t>
        </is>
      </c>
      <c r="R12" s="62" t="n"/>
      <c r="S12" s="62" t="n"/>
      <c r="T12" s="65" t="n"/>
      <c r="U12" s="73" t="n"/>
      <c r="V12" s="72" t="n"/>
      <c r="W12" s="72" t="n"/>
      <c r="X12" s="62" t="n"/>
      <c r="Y12" s="62" t="n"/>
      <c r="Z12" s="62" t="inlineStr">
        <is>
          <t>We provide services and products to both ends of the shipping supply chain including container shipping lines and direct customers (as well as those i n the middle such as freight forwarders). As such, we play different roles in the various logistic services we provide resulting in the overlap of some of our customers and suppliers. For example, we provide container depot services to container shipping lines and container leasing companies (as our customer) and they may sell us used containers in respect of our container sales services (as our supplier).</t>
        </is>
      </c>
      <c r="AA12" s="62" t="n"/>
    </row>
    <row r="13" ht="15" customHeight="1">
      <c r="A13" s="81" t="inlineStr">
        <is>
          <t>3223</t>
        </is>
      </c>
      <c r="B13" s="81" t="inlineStr">
        <is>
          <t>Ingenic Semiconductor Co., Ltd.</t>
        </is>
      </c>
      <c r="C13" s="81" t="inlineStr">
        <is>
          <t>北京君正集成電路股份有限公司</t>
        </is>
      </c>
      <c r="D13" s="81" t="inlineStr">
        <is>
          <t>Tech/AI</t>
        </is>
      </c>
      <c r="E13" s="7" t="inlineStr">
        <is>
          <t>AI chips &amp; semis</t>
        </is>
      </c>
      <c r="F13" s="19" t="n">
        <v>3141.2</v>
      </c>
      <c r="G13" s="19" t="n"/>
      <c r="H13" s="19" t="n"/>
      <c r="I13" s="81" t="inlineStr">
        <is>
          <t>prospectus: net proceeds at the maximum price</t>
        </is>
      </c>
      <c r="J13" s="82" t="n"/>
      <c r="K13" s="82" t="n">
        <v>102.8</v>
      </c>
      <c r="L13" s="83" t="n">
        <v>109.6</v>
      </c>
      <c r="M13" s="84" t="n">
        <v>46.74</v>
      </c>
      <c r="N13" s="81" t="inlineStr">
        <is>
          <t>2026-08-17 - 2026-08-20</t>
        </is>
      </c>
      <c r="O13" s="7" t="inlineStr">
        <is>
          <t>OFFERING — closes 2026-08-20</t>
        </is>
      </c>
      <c r="P13" s="7" t="inlineStr">
        <is>
          <t>2026-08-25</t>
        </is>
      </c>
      <c r="Q13" s="81" t="inlineStr">
        <is>
          <t>Y</t>
        </is>
      </c>
      <c r="R13" s="81" t="inlineStr">
        <is>
          <t>Y</t>
        </is>
      </c>
      <c r="S13" s="81" t="inlineStr">
        <is>
          <t>300223.SZ</t>
        </is>
      </c>
      <c r="T13" s="82" t="n">
        <v>133.66</v>
      </c>
      <c r="U13" s="83" t="n">
        <v>166.18</v>
      </c>
      <c r="V13" s="85" t="n">
        <v>-34</v>
      </c>
      <c r="W13" s="85" t="n">
        <v>51.52</v>
      </c>
      <c r="X13" s="81" t="n"/>
      <c r="Y13" s="86">
        <f>HYPERLINK("https://www1.hkexnews.hk/listedco/listconews/sehk/2026/0817/2026081700003.pdf","filing")</f>
        <v/>
      </c>
      <c r="Z13" s="81" t="inlineStr">
        <is>
          <t>We design analog ICs for the automotive electronics, industrial, and home appliances in lighting, touch, sound, power, and control applications. We also offer multi-function Combo ICs that combine microcontroller units (“ MCUs ”), LED drivers, power management, and communication interfaces (e.g., controller area network (“ CAN”) or local interconnect network (“ LIN”)) into a single chip. RESEARCH AND DEVELOPMENT Research and development are essential to maintaining our competitive position and driving the long-term growth of our business by enabling us to meet the evolving demands of downstream applications.</t>
        </is>
      </c>
      <c r="AA13" s="81" t="n"/>
    </row>
    <row r="14" ht="15" customHeight="1">
      <c r="A14" s="62" t="n"/>
      <c r="B14" s="62" t="inlineStr">
        <is>
          <t>Excelland Robotics (Wuxi) Co. Ltd.</t>
        </is>
      </c>
      <c r="C14" s="62" t="n"/>
      <c r="D14" s="62" t="inlineStr">
        <is>
          <t>Tech/AI</t>
        </is>
      </c>
      <c r="E14" s="7" t="inlineStr">
        <is>
          <t>Robotics &amp; autonomous driving</t>
        </is>
      </c>
      <c r="F14" s="19" t="n"/>
      <c r="G14" s="19" t="n"/>
      <c r="H14" s="19" t="n"/>
      <c r="I14" s="62" t="n"/>
      <c r="J14" s="65" t="n"/>
      <c r="K14" s="65" t="n"/>
      <c r="L14" s="73" t="n"/>
      <c r="M14" s="66" t="n"/>
      <c r="N14" s="62" t="n"/>
      <c r="O14" s="7" t="inlineStr">
        <is>
          <t>PHIP — hearing cleared</t>
        </is>
      </c>
      <c r="P14" s="7" t="inlineStr">
        <is>
          <t>PHIP 2026-08-24</t>
        </is>
      </c>
      <c r="Q14" s="62" t="inlineStr">
        <is>
          <t>N</t>
        </is>
      </c>
      <c r="R14" s="62" t="n"/>
      <c r="S14" s="62" t="n"/>
      <c r="T14" s="65" t="n"/>
      <c r="U14" s="73" t="n"/>
      <c r="V14" s="72" t="n"/>
      <c r="W14" s="72" t="n"/>
      <c r="X14" s="62" t="inlineStr">
        <is>
          <t>Silver Nile Global Investments Limited</t>
        </is>
      </c>
      <c r="Y14" s="76">
        <f>HYPERLINK("https://www1.hkexnews.hk/app/sehk/2026/108814/documents/sehk26082401690.pdf","filing")</f>
        <v/>
      </c>
      <c r="Z14" s="62" t="inlineStr">
        <is>
          <t>We operate in an emerging market and market acceptance of our commercial service robotic products and solutions and AI vision model solutions remains uncertain. We operate in emerging markets characterised by significant technological, commercial and regulatory and uncertainties. The markets for commercial service robotic products and solutions and AI vision model solutions for industry applications are still developing, and their long-term market acceptance, commercialization pathways and growth potential remain uncertain.</t>
        </is>
      </c>
      <c r="AA14" s="62" t="inlineStr">
        <is>
          <t>subsector via keyword classifier (provisional); expected size not yet public (PHIP stage) — type it in the blue cell to rank comps on size</t>
        </is>
      </c>
    </row>
    <row r="15" ht="15" customHeight="1">
      <c r="A15" s="62" t="n"/>
      <c r="B15" s="62" t="inlineStr">
        <is>
          <t>Shenzhen Longsys Electronics Co., Ltd.</t>
        </is>
      </c>
      <c r="C15" s="62" t="n"/>
      <c r="D15" s="62" t="inlineStr">
        <is>
          <t>Tech/AI</t>
        </is>
      </c>
      <c r="E15" s="7" t="inlineStr">
        <is>
          <t>Smart hardware / consumer electronics</t>
        </is>
      </c>
      <c r="F15" s="19" t="n"/>
      <c r="G15" s="19" t="n"/>
      <c r="H15" s="19" t="n"/>
      <c r="I15" s="62" t="n"/>
      <c r="J15" s="65" t="n"/>
      <c r="K15" s="65" t="n"/>
      <c r="L15" s="73" t="n"/>
      <c r="M15" s="66" t="n"/>
      <c r="N15" s="62" t="n"/>
      <c r="O15" s="7" t="inlineStr">
        <is>
          <t>PHIP — hearing cleared</t>
        </is>
      </c>
      <c r="P15" s="7" t="inlineStr">
        <is>
          <t>PHIP 2026-08-23</t>
        </is>
      </c>
      <c r="Q15" s="62" t="inlineStr">
        <is>
          <t>N</t>
        </is>
      </c>
      <c r="R15" s="62" t="inlineStr">
        <is>
          <t>Y</t>
        </is>
      </c>
      <c r="S15" s="62" t="n"/>
      <c r="T15" s="65" t="n"/>
      <c r="U15" s="73" t="n"/>
      <c r="V15" s="72" t="n"/>
      <c r="W15" s="72" t="n"/>
      <c r="X15" s="62" t="inlineStr">
        <is>
          <t>CLSA Limited; Citigroup Global Markets Asia Limited</t>
        </is>
      </c>
      <c r="Y15" s="76">
        <f>HYPERLINK("https://www1.hkexnews.hk/app/sehk/2026/108594/documents/sehk26082300062.pdf","filing")</f>
        <v/>
      </c>
      <c r="Z15" s="62" t="inlineStr">
        <is>
          <t>We design, back-end manufacture and sell a broad range of memory and storage products to meet diverse customer needs. Our portfolio comprises four major product lines:  Embedded storage solutions that integrate memory directly into the main systems of electronic products such as smartphones, smart wearables, automotive electronics, tablets and other consumer electronics;  SSDs , which are standalone storage devices known for fast data access speeds, high reliability and ease of replacement, serving servers, computers, data centers and other applications;</t>
        </is>
      </c>
      <c r="AA15" s="62" t="inlineStr">
        <is>
          <t>A-share listed on the Shenzhen Stock Exchange; the PHIP does not print the code — confirm on the terminal; subsector via keyword classifier (provisional); expected size not yet public (PHIP stage) — type it in the blue cell to rank comps on size</t>
        </is>
      </c>
    </row>
    <row r="16" ht="15" customHeight="1">
      <c r="A16" s="62" t="n"/>
      <c r="B16" s="62" t="inlineStr">
        <is>
          <t>Medcaptain Medical Technology Co., Ltd.</t>
        </is>
      </c>
      <c r="C16" s="62" t="n"/>
      <c r="D16" s="62" t="inlineStr">
        <is>
          <t>Healthcare</t>
        </is>
      </c>
      <c r="E16" s="7" t="inlineStr">
        <is>
          <t>Medical devices</t>
        </is>
      </c>
      <c r="F16" s="19" t="n"/>
      <c r="G16" s="19" t="n"/>
      <c r="H16" s="19" t="n"/>
      <c r="I16" s="62" t="n"/>
      <c r="J16" s="65" t="n"/>
      <c r="K16" s="65" t="n"/>
      <c r="L16" s="73" t="n"/>
      <c r="M16" s="66" t="n"/>
      <c r="N16" s="62" t="n"/>
      <c r="O16" s="7" t="inlineStr">
        <is>
          <t>PHIP — hearing cleared</t>
        </is>
      </c>
      <c r="P16" s="7" t="inlineStr">
        <is>
          <t>PHIP 2026-08-20</t>
        </is>
      </c>
      <c r="Q16" s="62" t="inlineStr">
        <is>
          <t>Y</t>
        </is>
      </c>
      <c r="R16" s="62" t="n"/>
      <c r="S16" s="62" t="n"/>
      <c r="T16" s="65" t="n"/>
      <c r="U16" s="73" t="n"/>
      <c r="V16" s="72" t="n"/>
      <c r="W16" s="72" t="n"/>
      <c r="X16" s="62" t="n"/>
      <c r="Y16" s="76">
        <f>HYPERLINK("https://www1.hkexnews.hk/app/sehk/2026/108289/documents/sehk26082001648.pdf","filing")</f>
        <v/>
      </c>
      <c r="Z16" s="62" t="inlineStr">
        <is>
          <t>We produce and assemble our products primarily at our manufacturing facilities. During the Track Record Period, we operated six major manufacturing centers in Shenzhen Guangming, Shenzhen Pingshan, Abingdon, Oxford, U.K., Jiangsu Changzhou, Shanghai Chongming, and Hunan Changsha, each specializing in specific areas of expertise. For details, see “Business — Manufacturing.” Our production capacity is designed to be flexible and we periodically reallocate resources based on our internal assessment of sales performance in the prior year, expected order volumes, distributor engagement, and overall business planning.</t>
        </is>
      </c>
      <c r="AA16" s="62" t="inlineStr">
        <is>
          <t>subsector via analyst label; expected size not yet public (PHIP stage) — type it in the blue cell to rank comps on size</t>
        </is>
      </c>
    </row>
    <row r="17" ht="15" customHeight="1">
      <c r="A17" s="62" t="n"/>
      <c r="B17" s="62" t="inlineStr">
        <is>
          <t>Direct Drive Tech Limited</t>
        </is>
      </c>
      <c r="C17" s="62" t="inlineStr">
        <is>
          <t>本末動力（北京）科技股份有限公司</t>
        </is>
      </c>
      <c r="D17" s="62" t="inlineStr">
        <is>
          <t>Tech/AI</t>
        </is>
      </c>
      <c r="E17" s="7" t="inlineStr">
        <is>
          <t>Robotics &amp; autonomous driving</t>
        </is>
      </c>
      <c r="F17" s="19" t="n"/>
      <c r="G17" s="19" t="n"/>
      <c r="H17" s="19" t="n"/>
      <c r="I17" s="62" t="n"/>
      <c r="J17" s="65" t="n"/>
      <c r="K17" s="65" t="n"/>
      <c r="L17" s="73" t="n"/>
      <c r="M17" s="66" t="n"/>
      <c r="N17" s="62" t="n"/>
      <c r="O17" s="7" t="inlineStr">
        <is>
          <t>PHIP — hearing cleared</t>
        </is>
      </c>
      <c r="P17" s="7" t="inlineStr">
        <is>
          <t>PHIP 2026-06-29</t>
        </is>
      </c>
      <c r="Q17" s="62" t="inlineStr">
        <is>
          <t>N</t>
        </is>
      </c>
      <c r="R17" s="62" t="n"/>
      <c r="S17" s="62" t="n"/>
      <c r="T17" s="65" t="n"/>
      <c r="U17" s="73" t="n"/>
      <c r="V17" s="72" t="n"/>
      <c r="W17" s="72" t="n"/>
      <c r="X17" s="62" t="inlineStr">
        <is>
          <t>CLSA Limited</t>
        </is>
      </c>
      <c r="Y17" s="76">
        <f>HYPERLINK("https://www1.hkexnews.hk/app/sehk/2026/108691/documents/sehk26062901536.pdf","filing")</f>
        <v/>
      </c>
      <c r="Z17" s="62" t="inlineStr">
        <is>
          <t>We operate in (i) PRC consumer robotic actuator module industry, a sub-segment representing 26.3% of PRC robotic actuator module industry and (ii) PRC wheel-legged and PRC dual-wheel-legged robot industry in China, sub-segments representing less than 1.0% of the PRC robot industry. The following sets forth our highlights: Š Robotic actuator module. By revenue in 2025, we ranked (i) eighth with a market share of 2.4% in the PRC consumer robotic actuator module industry, and (ii) first with a market share of 61.1% in PRC consumer robotic direct drive actuator module industry, a sub-segment representing 3.9% of the PRC consumer robotic actuator module industry, according to Frost &amp; Sullivan.</t>
        </is>
      </c>
      <c r="AA17" s="62" t="inlineStr">
        <is>
          <t>subsector via analyst label; expected size not yet public (PHIP stage) — type it in the blue cell to rank comps on size</t>
        </is>
      </c>
    </row>
    <row r="18" ht="15" customHeight="1">
      <c r="A18" s="62" t="n"/>
      <c r="B18" s="62" t="inlineStr">
        <is>
          <t>Tanboer Group Co., Ltd.</t>
        </is>
      </c>
      <c r="C18" s="62" t="n"/>
      <c r="D18" s="62" t="inlineStr">
        <is>
          <t>Consumer</t>
        </is>
      </c>
      <c r="E18" s="7" t="inlineStr">
        <is>
          <t>Apparel / luxury</t>
        </is>
      </c>
      <c r="F18" s="19" t="n">
        <v>780</v>
      </c>
      <c r="G18" s="19" t="n"/>
      <c r="H18" s="19" t="n"/>
      <c r="I18" s="62" t="inlineStr">
        <is>
          <t>estimated (press report: Bamboo Works 2025-10 / Smartkarma 2026)</t>
        </is>
      </c>
      <c r="J18" s="65" t="n"/>
      <c r="K18" s="65" t="n"/>
      <c r="L18" s="73" t="n"/>
      <c r="M18" s="66" t="n"/>
      <c r="N18" s="62" t="n"/>
      <c r="O18" s="7" t="inlineStr">
        <is>
          <t>PHIP — hearing cleared</t>
        </is>
      </c>
      <c r="P18" s="7" t="inlineStr">
        <is>
          <t>PHIP 2026-06-21</t>
        </is>
      </c>
      <c r="Q18" s="62" t="inlineStr">
        <is>
          <t>Y</t>
        </is>
      </c>
      <c r="R18" s="62" t="n"/>
      <c r="S18" s="62" t="n"/>
      <c r="T18" s="65" t="n"/>
      <c r="U18" s="73" t="n"/>
      <c r="V18" s="72" t="n"/>
      <c r="W18" s="72" t="n"/>
      <c r="X18" s="62" t="inlineStr">
        <is>
          <t>China International Capital Corporation Hong Kong Securities Limited</t>
        </is>
      </c>
      <c r="Y18" s="76">
        <f>HYPERLINK("https://www1.hkexnews.hk/app/sehk/2026/108483/documents/sehk26062100126.pdf","filing")</f>
        <v/>
      </c>
      <c r="Z18" s="62" t="inlineStr">
        <is>
          <t>We operate our offline stores through two models to maximize market presence and adapt to consumer demands. Our permanent stores provide consistent brand presence in prime retail locations, offering our full product range throughout the year. In contrast, our seasonal offline stores are strategically opened during peak sales periods, primarily in the first and fourth quarters of each year.</t>
        </is>
      </c>
      <c r="AA18" s="62" t="inlineStr">
        <is>
          <t>subsector via analyst label; expected size not yet public (PHIP stage) — type it in the blue cell to rank comps on size</t>
        </is>
      </c>
    </row>
    <row r="19"/>
    <row r="20">
      <c r="A20" s="2" t="inlineStr">
        <is>
          <t>BLUE = yours to edit. Type/adjust EXPECTED SIZE (HK$m) and SUBSECTOR here — the Screener reads these cells LIVE, so comps re-rank the moment you type. HKD size = midpoint of US$ range × 7.8 where not explicitly reported.</t>
        </is>
      </c>
    </row>
    <row r="21"/>
    <row r="22">
      <c r="A22" s="14" t="inlineStr">
        <is>
          <t>LIVE HKEX APPLICATION QUEUE (from the exchange's own AP &amp; PHIP feed)</t>
        </is>
      </c>
    </row>
    <row r="23">
      <c r="A23" s="2" t="inlineStr">
        <is>
          <t>PHIP posted = listing hearing CLEARED, typically days-to-weeks from launch. Refreshed every time you run refresh.</t>
        </is>
      </c>
    </row>
    <row r="24">
      <c r="A24" s="12" t="inlineStr">
        <is>
          <t>Applicant</t>
        </is>
      </c>
      <c r="B24" s="12" t="inlineStr">
        <is>
          <t>Stage</t>
        </is>
      </c>
      <c r="C24" s="12" t="inlineStr">
        <is>
          <t>First filed</t>
        </is>
      </c>
      <c r="D24" s="12" t="inlineStr">
        <is>
          <t>Latest filing</t>
        </is>
      </c>
      <c r="E24" s="12" t="inlineStr">
        <is>
          <t>Days in process</t>
        </is>
      </c>
      <c r="F24" s="12" t="inlineStr">
        <is>
          <t>Document</t>
        </is>
      </c>
    </row>
    <row r="25">
      <c r="A25" s="87" t="inlineStr">
        <is>
          <t>Excelland Robotics (Wuxi) Co. Ltd.</t>
        </is>
      </c>
      <c r="B25" s="16" t="inlineStr">
        <is>
          <t>PHIP posted (hearing cleared)</t>
        </is>
      </c>
      <c r="C25" s="16" t="inlineStr">
        <is>
          <t>2026-08-24</t>
        </is>
      </c>
      <c r="D25" s="16" t="inlineStr">
        <is>
          <t>2026-08-24</t>
        </is>
      </c>
      <c r="E25" s="88" t="n">
        <v>0</v>
      </c>
      <c r="F25" s="76">
        <f>HYPERLINK("https://www1.hkexnews.hk/app/sehk/2026/108814/documents/sehk26082401690.pdf","open filing")</f>
        <v/>
      </c>
    </row>
    <row r="26">
      <c r="A26" s="87" t="inlineStr">
        <is>
          <t>Shenzhen Longsys Electronics Co., Ltd.</t>
        </is>
      </c>
      <c r="B26" s="16" t="inlineStr">
        <is>
          <t>PHIP posted (hearing cleared)</t>
        </is>
      </c>
      <c r="C26" s="16" t="inlineStr">
        <is>
          <t>2026-08-23</t>
        </is>
      </c>
      <c r="D26" s="16" t="inlineStr">
        <is>
          <t>2026-08-23</t>
        </is>
      </c>
      <c r="E26" s="88" t="n">
        <v>1</v>
      </c>
      <c r="F26" s="76">
        <f>HYPERLINK("https://www1.hkexnews.hk/app/sehk/2026/108594/documents/sehk26082300062.pdf","open filing")</f>
        <v/>
      </c>
    </row>
    <row r="27">
      <c r="A27" s="87" t="inlineStr">
        <is>
          <t>Medcaptain Medical Technology Co., Ltd.</t>
        </is>
      </c>
      <c r="B27" s="16" t="inlineStr">
        <is>
          <t>PHIP posted (hearing cleared)</t>
        </is>
      </c>
      <c r="C27" s="16" t="inlineStr">
        <is>
          <t>2026-08-20</t>
        </is>
      </c>
      <c r="D27" s="16" t="inlineStr">
        <is>
          <t>2026-08-20</t>
        </is>
      </c>
      <c r="E27" s="88" t="n">
        <v>4</v>
      </c>
      <c r="F27" s="76">
        <f>HYPERLINK("https://www1.hkexnews.hk/app/sehk/2026/108289/documents/sehk26082001648.pdf","open filing")</f>
        <v/>
      </c>
    </row>
    <row r="28">
      <c r="A28" s="87" t="inlineStr">
        <is>
          <t>Mech-Mind Robotics Technologies Co., Ltd.</t>
        </is>
      </c>
      <c r="B28" s="16" t="inlineStr">
        <is>
          <t>PHIP posted (hearing cleared)</t>
        </is>
      </c>
      <c r="C28" s="16" t="inlineStr">
        <is>
          <t>2026-08-16</t>
        </is>
      </c>
      <c r="D28" s="16" t="inlineStr">
        <is>
          <t>2026-08-16</t>
        </is>
      </c>
      <c r="E28" s="88" t="n">
        <v>8</v>
      </c>
      <c r="F28" s="76">
        <f>HYPERLINK("https://www1.hkexnews.hk/app/sehk/2026/108796/documents/sehk26081600030.pdf","open filing")</f>
        <v/>
      </c>
    </row>
    <row r="29">
      <c r="A29" s="87" t="inlineStr">
        <is>
          <t>Ingenic Semiconductor Co., Ltd.</t>
        </is>
      </c>
      <c r="B29" s="16" t="inlineStr">
        <is>
          <t>PHIP posted (hearing cleared)</t>
        </is>
      </c>
      <c r="C29" s="16" t="inlineStr">
        <is>
          <t>2026-08-09</t>
        </is>
      </c>
      <c r="D29" s="16" t="inlineStr">
        <is>
          <t>2026-08-09</t>
        </is>
      </c>
      <c r="E29" s="88" t="n">
        <v>15</v>
      </c>
      <c r="F29" s="76">
        <f>HYPERLINK("https://www1.hkexnews.hk/app/sehk/2026/108571/documents/sehk26080900032.pdf","open filing")</f>
        <v/>
      </c>
    </row>
    <row r="30">
      <c r="A30" s="87" t="inlineStr">
        <is>
          <t>Glorysoft (Shanghai) Co., Ltd.</t>
        </is>
      </c>
      <c r="B30" s="89" t="inlineStr">
        <is>
          <t>PHIP posted (hearing cleared)  [SPONSOR TERMINATED]</t>
        </is>
      </c>
      <c r="C30" s="16" t="inlineStr">
        <is>
          <t>2026-08-07</t>
        </is>
      </c>
      <c r="D30" s="16" t="inlineStr">
        <is>
          <t>2026-08-07</t>
        </is>
      </c>
      <c r="E30" s="88" t="n">
        <v>17</v>
      </c>
      <c r="F30" s="76">
        <f>HYPERLINK("https://www1.hkexnews.hk/app/sehk/2026/108262/documents/sehk26062301714.pdf","open filing")</f>
        <v/>
      </c>
    </row>
    <row r="31">
      <c r="A31" s="87" t="inlineStr">
        <is>
          <t>SHEIN Global Holdings Limited (formerly known as Elite Depot Limited) - W</t>
        </is>
      </c>
      <c r="B31" s="16" t="inlineStr">
        <is>
          <t>PHIP posted (hearing cleared)</t>
        </is>
      </c>
      <c r="C31" s="16" t="inlineStr">
        <is>
          <t>2026-07-26</t>
        </is>
      </c>
      <c r="D31" s="16" t="inlineStr">
        <is>
          <t>2026-07-26</t>
        </is>
      </c>
      <c r="E31" s="88" t="n">
        <v>29</v>
      </c>
      <c r="F31" s="76">
        <f>HYPERLINK("https://www1.hkexnews.hk/app/sehk/2026/108766/documents/sehk26072600126.pdf","open filing")</f>
        <v/>
      </c>
    </row>
    <row r="32">
      <c r="A32" s="87" t="inlineStr">
        <is>
          <t>Direct Drive Tech Limited</t>
        </is>
      </c>
      <c r="B32" s="16" t="inlineStr">
        <is>
          <t>PHIP posted (hearing cleared)</t>
        </is>
      </c>
      <c r="C32" s="16" t="inlineStr">
        <is>
          <t>2026-06-29</t>
        </is>
      </c>
      <c r="D32" s="16" t="inlineStr">
        <is>
          <t>2026-06-29</t>
        </is>
      </c>
      <c r="E32" s="88" t="n">
        <v>56</v>
      </c>
      <c r="F32" s="76">
        <f>HYPERLINK("https://www1.hkexnews.hk/app/sehk/2026/108691/documents/sehk26062901536.pdf","open filing")</f>
        <v/>
      </c>
    </row>
    <row r="33">
      <c r="A33" s="87" t="inlineStr">
        <is>
          <t>EKH Limited</t>
        </is>
      </c>
      <c r="B33" s="16" t="inlineStr">
        <is>
          <t>PHIP posted (hearing cleared)</t>
        </is>
      </c>
      <c r="C33" s="16" t="inlineStr">
        <is>
          <t>2026-06-26</t>
        </is>
      </c>
      <c r="D33" s="16" t="inlineStr">
        <is>
          <t>2026-06-26</t>
        </is>
      </c>
      <c r="E33" s="88" t="n">
        <v>59</v>
      </c>
      <c r="F33" s="76">
        <f>HYPERLINK("https://www1.hkexnews.hk/app/sehk/2026/108390/documents/sehk26062603258.pdf","open filing")</f>
        <v/>
      </c>
    </row>
    <row r="34">
      <c r="A34" s="87" t="inlineStr">
        <is>
          <t>Tanboer Group Co., Ltd.</t>
        </is>
      </c>
      <c r="B34" s="16" t="inlineStr">
        <is>
          <t>PHIP posted (hearing cleared)</t>
        </is>
      </c>
      <c r="C34" s="16" t="inlineStr">
        <is>
          <t>2026-06-21</t>
        </is>
      </c>
      <c r="D34" s="16" t="inlineStr">
        <is>
          <t>2026-06-21</t>
        </is>
      </c>
      <c r="E34" s="88" t="n">
        <v>64</v>
      </c>
      <c r="F34" s="76">
        <f>HYPERLINK("https://www1.hkexnews.hk/app/sehk/2026/108483/documents/sehk26062100126.pdf","open filing")</f>
        <v/>
      </c>
    </row>
    <row r="35">
      <c r="A35" s="16" t="inlineStr">
        <is>
          <t>Zhejiang Rongtai Electric Material Co., Ltd.</t>
        </is>
      </c>
      <c r="B35" s="16" t="inlineStr">
        <is>
          <t>Application Proof only</t>
        </is>
      </c>
      <c r="C35" s="16" t="inlineStr">
        <is>
          <t>2026-08-24</t>
        </is>
      </c>
      <c r="D35" s="16" t="inlineStr">
        <is>
          <t>2026-08-24</t>
        </is>
      </c>
      <c r="E35" s="88" t="n">
        <v>0</v>
      </c>
      <c r="F35" s="76">
        <f>HYPERLINK("https://www1.hkexnews.hk/app/sehk/2026/108815/documents/sehk26082401772.pdf","open filing")</f>
        <v/>
      </c>
    </row>
    <row r="36">
      <c r="A36" s="16" t="inlineStr">
        <is>
          <t>Shanghai Eigencomm Technologies Co., Ltd.</t>
        </is>
      </c>
      <c r="B36" s="16" t="inlineStr">
        <is>
          <t>Application Proof only</t>
        </is>
      </c>
      <c r="C36" s="16" t="inlineStr">
        <is>
          <t>2026-08-24</t>
        </is>
      </c>
      <c r="D36" s="16" t="inlineStr">
        <is>
          <t>2026-08-24</t>
        </is>
      </c>
      <c r="E36" s="88" t="n">
        <v>0</v>
      </c>
      <c r="F36" s="76">
        <f>HYPERLINK("https://www1.hkexnews.hk/app/sehk/2026/108816/documents/sehk26082402034.pdf","open filing")</f>
        <v/>
      </c>
    </row>
    <row r="37">
      <c r="A37" s="16" t="inlineStr">
        <is>
          <t>RelyEZ Energy Storage Technology Co., Ltd.</t>
        </is>
      </c>
      <c r="B37" s="16" t="inlineStr">
        <is>
          <t>Application Proof only</t>
        </is>
      </c>
      <c r="C37" s="16" t="inlineStr">
        <is>
          <t>2026-08-21</t>
        </is>
      </c>
      <c r="D37" s="16" t="inlineStr">
        <is>
          <t>2026-08-21</t>
        </is>
      </c>
      <c r="E37" s="88" t="n">
        <v>3</v>
      </c>
      <c r="F37" s="76">
        <f>HYPERLINK("https://www1.hkexnews.hk/app/sehk/2026/108790/documents/sehk26080900120.pdf","open filing")</f>
        <v/>
      </c>
    </row>
    <row r="38">
      <c r="A38" s="16" t="inlineStr">
        <is>
          <t>SSI New Material (Zhenjiang) Co., Ltd.</t>
        </is>
      </c>
      <c r="B38" s="16" t="inlineStr">
        <is>
          <t>Application Proof only</t>
        </is>
      </c>
      <c r="C38" s="16" t="inlineStr">
        <is>
          <t>2026-08-21</t>
        </is>
      </c>
      <c r="D38" s="16" t="inlineStr">
        <is>
          <t>2026-08-21</t>
        </is>
      </c>
      <c r="E38" s="88" t="n">
        <v>3</v>
      </c>
      <c r="F38" s="76">
        <f>HYPERLINK("https://www1.hkexnews.hk/app/sehk/2026/108805/documents/sehk26082101576.pdf","open filing")</f>
        <v/>
      </c>
    </row>
    <row r="39">
      <c r="A39" s="16" t="inlineStr">
        <is>
          <t>Qdama International Holding Ltd.</t>
        </is>
      </c>
      <c r="B39" s="16" t="inlineStr">
        <is>
          <t>Application Proof only</t>
        </is>
      </c>
      <c r="C39" s="16" t="inlineStr">
        <is>
          <t>2026-08-21</t>
        </is>
      </c>
      <c r="D39" s="16" t="inlineStr">
        <is>
          <t>2026-08-21</t>
        </is>
      </c>
      <c r="E39" s="88" t="n">
        <v>3</v>
      </c>
      <c r="F39" s="76">
        <f>HYPERLINK("https://www1.hkexnews.hk/app/sehk/2026/108804/documents/sehk26082101862.pdf","open filing")</f>
        <v/>
      </c>
    </row>
    <row r="40">
      <c r="A40" s="16" t="inlineStr">
        <is>
          <t>InventisBio Co., Limited - B</t>
        </is>
      </c>
      <c r="B40" s="16" t="inlineStr">
        <is>
          <t>Application Proof only</t>
        </is>
      </c>
      <c r="C40" s="16" t="inlineStr">
        <is>
          <t>2026-08-21</t>
        </is>
      </c>
      <c r="D40" s="16" t="inlineStr">
        <is>
          <t>2026-08-21</t>
        </is>
      </c>
      <c r="E40" s="88" t="n">
        <v>3</v>
      </c>
      <c r="F40" s="76">
        <f>HYPERLINK("https://www1.hkexnews.hk/app/sehk/2026/108806/documents/sehk26082101888.pdf","open filing")</f>
        <v/>
      </c>
    </row>
    <row r="41">
      <c r="A41" s="16" t="inlineStr">
        <is>
          <t>Tyligand Bioscience Ltd. - B</t>
        </is>
      </c>
      <c r="B41" s="16" t="inlineStr">
        <is>
          <t>Application Proof only</t>
        </is>
      </c>
      <c r="C41" s="16" t="inlineStr">
        <is>
          <t>2026-08-21</t>
        </is>
      </c>
      <c r="D41" s="16" t="inlineStr">
        <is>
          <t>2026-08-21</t>
        </is>
      </c>
      <c r="E41" s="88" t="n">
        <v>3</v>
      </c>
      <c r="F41" s="76">
        <f>HYPERLINK("https://www1.hkexnews.hk/app/sehk/2026/108809/documents/sehk26082102082.pdf","open filing")</f>
        <v/>
      </c>
    </row>
    <row r="42">
      <c r="A42" s="16" t="inlineStr">
        <is>
          <t>Kunlun New Energy Materials Technology (Yichang) Co., Ltd.</t>
        </is>
      </c>
      <c r="B42" s="16" t="inlineStr">
        <is>
          <t>Application Proof only</t>
        </is>
      </c>
      <c r="C42" s="16" t="inlineStr">
        <is>
          <t>2026-08-21</t>
        </is>
      </c>
      <c r="D42" s="16" t="inlineStr">
        <is>
          <t>2026-08-21</t>
        </is>
      </c>
      <c r="E42" s="88" t="n">
        <v>3</v>
      </c>
      <c r="F42" s="76">
        <f>HYPERLINK("https://www1.hkexnews.hk/app/sehk/2026/108811/documents/sehk26082102278.pdf","open filing")</f>
        <v/>
      </c>
    </row>
    <row r="43">
      <c r="A43" s="16" t="inlineStr">
        <is>
          <t>Zhuhai Kingsware Artificial Intelligence Co., Ltd.</t>
        </is>
      </c>
      <c r="B43" s="16" t="inlineStr">
        <is>
          <t>Application Proof only</t>
        </is>
      </c>
      <c r="C43" s="16" t="inlineStr">
        <is>
          <t>2026-08-21</t>
        </is>
      </c>
      <c r="D43" s="16" t="inlineStr">
        <is>
          <t>2026-08-21</t>
        </is>
      </c>
      <c r="E43" s="88" t="n">
        <v>3</v>
      </c>
      <c r="F43" s="76">
        <f>HYPERLINK("https://www1.hkexnews.hk/app/sehk/2026/108812/documents/sehk26082102364.pdf","open filing")</f>
        <v/>
      </c>
    </row>
    <row r="44">
      <c r="A44" s="16" t="inlineStr">
        <is>
          <t>Red Avenue New Materials Group Co., Ltd.</t>
        </is>
      </c>
      <c r="B44" s="16" t="inlineStr">
        <is>
          <t>Application Proof only</t>
        </is>
      </c>
      <c r="C44" s="16" t="inlineStr">
        <is>
          <t>2026-08-21</t>
        </is>
      </c>
      <c r="D44" s="16" t="inlineStr">
        <is>
          <t>2026-08-21</t>
        </is>
      </c>
      <c r="E44" s="88" t="n">
        <v>3</v>
      </c>
      <c r="F44" s="76">
        <f>HYPERLINK("https://www1.hkexnews.hk/app/sehk/2026/108810/documents/sehk26082102510.pdf","open filing")</f>
        <v/>
      </c>
    </row>
    <row r="45">
      <c r="A45" s="16" t="inlineStr">
        <is>
          <t>Eaglerise Electric &amp; Electronic (CHINA) Co., Ltd.</t>
        </is>
      </c>
      <c r="B45" s="16" t="inlineStr">
        <is>
          <t>Application Proof only</t>
        </is>
      </c>
      <c r="C45" s="16" t="inlineStr">
        <is>
          <t>2026-08-21</t>
        </is>
      </c>
      <c r="D45" s="16" t="inlineStr">
        <is>
          <t>2026-08-21</t>
        </is>
      </c>
      <c r="E45" s="88" t="n">
        <v>3</v>
      </c>
      <c r="F45" s="76">
        <f>HYPERLINK("https://www1.hkexnews.hk/app/sehk/2026/108813/documents/sehk26082102534.pdf","open filing")</f>
        <v/>
      </c>
    </row>
    <row r="46">
      <c r="A46" s="16" t="inlineStr">
        <is>
          <t>Junlebao Dairy Group Co., Ltd.</t>
        </is>
      </c>
      <c r="B46" s="16" t="inlineStr">
        <is>
          <t>Application Proof only</t>
        </is>
      </c>
      <c r="C46" s="16" t="inlineStr">
        <is>
          <t>2026-08-20</t>
        </is>
      </c>
      <c r="D46" s="16" t="inlineStr">
        <is>
          <t>2026-08-20</t>
        </is>
      </c>
      <c r="E46" s="88" t="n">
        <v>4</v>
      </c>
      <c r="F46" s="76">
        <f>HYPERLINK("https://www1.hkexnews.hk/app/sehk/2026/108802/documents/sehk26082000220.pdf","open filing")</f>
        <v/>
      </c>
    </row>
    <row r="47">
      <c r="A47" s="16" t="inlineStr">
        <is>
          <t>Sichuan Biokin Pharmaceutical Co., Ltd. - B</t>
        </is>
      </c>
      <c r="B47" s="16" t="inlineStr">
        <is>
          <t>Application Proof only</t>
        </is>
      </c>
      <c r="C47" s="16" t="inlineStr">
        <is>
          <t>2026-08-20</t>
        </is>
      </c>
      <c r="D47" s="16" t="inlineStr">
        <is>
          <t>2026-08-20</t>
        </is>
      </c>
      <c r="E47" s="88" t="n">
        <v>4</v>
      </c>
      <c r="F47" s="76">
        <f>HYPERLINK("https://www1.hkexnews.hk/app/sehk/2026/108787/documents/sehk26080601694.pdf","open filing")</f>
        <v/>
      </c>
    </row>
    <row r="48">
      <c r="A48" s="16" t="inlineStr">
        <is>
          <t>PANACRO (Hangzhou) Pharmaceutical Consulting Co., Ltd.</t>
        </is>
      </c>
      <c r="B48" s="16" t="inlineStr">
        <is>
          <t>Application Proof only</t>
        </is>
      </c>
      <c r="C48" s="16" t="inlineStr">
        <is>
          <t>2026-08-20</t>
        </is>
      </c>
      <c r="D48" s="16" t="inlineStr">
        <is>
          <t>2026-08-20</t>
        </is>
      </c>
      <c r="E48" s="88" t="n">
        <v>4</v>
      </c>
      <c r="F48" s="76">
        <f>HYPERLINK("https://www1.hkexnews.hk/app/sehk/2026/108803/documents/sehk26082001768.pdf","open filing")</f>
        <v/>
      </c>
    </row>
    <row r="49">
      <c r="A49" s="16" t="inlineStr">
        <is>
          <t>Direct Drive Tech Limited</t>
        </is>
      </c>
      <c r="B49" s="16" t="inlineStr">
        <is>
          <t>Application Proof only</t>
        </is>
      </c>
      <c r="C49" s="16" t="inlineStr">
        <is>
          <t>2026-08-19</t>
        </is>
      </c>
      <c r="D49" s="16" t="inlineStr">
        <is>
          <t>2026-08-19</t>
        </is>
      </c>
      <c r="E49" s="88" t="n">
        <v>5</v>
      </c>
      <c r="F49" s="76">
        <f>HYPERLINK("https://www1.hkexnews.hk/app/sehk/2026/108800/documents/sehk26081900032.pdf","open filing")</f>
        <v/>
      </c>
    </row>
    <row r="50">
      <c r="A50" s="16" t="inlineStr">
        <is>
          <t>SKG Health Technologies Co., Ltd.</t>
        </is>
      </c>
      <c r="B50" s="16" t="inlineStr">
        <is>
          <t>Application Proof only</t>
        </is>
      </c>
      <c r="C50" s="16" t="inlineStr">
        <is>
          <t>2026-08-19</t>
        </is>
      </c>
      <c r="D50" s="16" t="inlineStr">
        <is>
          <t>2026-08-19</t>
        </is>
      </c>
      <c r="E50" s="88" t="n">
        <v>5</v>
      </c>
      <c r="F50" s="76">
        <f>HYPERLINK("https://www1.hkexnews.hk/app/sehk/2026/108801/documents/sehk26081901724.pdf","open filing")</f>
        <v/>
      </c>
    </row>
    <row r="51">
      <c r="A51" s="16" t="inlineStr">
        <is>
          <t>Shenzhen Immunofoco Biotechnology Co., Ltd. - B</t>
        </is>
      </c>
      <c r="B51" s="16" t="inlineStr">
        <is>
          <t>Application Proof only</t>
        </is>
      </c>
      <c r="C51" s="16" t="inlineStr">
        <is>
          <t>2026-08-18</t>
        </is>
      </c>
      <c r="D51" s="16" t="inlineStr">
        <is>
          <t>2026-08-18</t>
        </is>
      </c>
      <c r="E51" s="88" t="n">
        <v>6</v>
      </c>
      <c r="F51" s="76">
        <f>HYPERLINK("https://www1.hkexnews.hk/app/sehk/2026/108798/documents/sehk26081800036.pdf","open filing")</f>
        <v/>
      </c>
    </row>
    <row r="52">
      <c r="A52" s="16" t="inlineStr">
        <is>
          <t>Tianjin Chenxing Technology Co., Ltd. (formerly known as Tianjin Atomrobot Co., Ltd.)</t>
        </is>
      </c>
      <c r="B52" s="16" t="inlineStr">
        <is>
          <t>Application Proof only</t>
        </is>
      </c>
      <c r="C52" s="16" t="inlineStr">
        <is>
          <t>2026-08-18</t>
        </is>
      </c>
      <c r="D52" s="16" t="inlineStr">
        <is>
          <t>2026-08-18</t>
        </is>
      </c>
      <c r="E52" s="88" t="n">
        <v>6</v>
      </c>
      <c r="F52" s="76">
        <f>HYPERLINK("https://www1.hkexnews.hk/app/sehk/2026/108799/documents/sehk26081801658.pdf","open filing")</f>
        <v/>
      </c>
    </row>
    <row r="53">
      <c r="A53" s="16" t="inlineStr">
        <is>
          <t>Hunan Yuneng New Energy Battery Material Co., Ltd.</t>
        </is>
      </c>
      <c r="B53" s="16" t="inlineStr">
        <is>
          <t>Application Proof only</t>
        </is>
      </c>
      <c r="C53" s="16" t="inlineStr">
        <is>
          <t>2026-08-17</t>
        </is>
      </c>
      <c r="D53" s="16" t="inlineStr">
        <is>
          <t>2026-08-17</t>
        </is>
      </c>
      <c r="E53" s="88" t="n">
        <v>7</v>
      </c>
      <c r="F53" s="76">
        <f>HYPERLINK("https://www1.hkexnews.hk/app/sehk/2026/108797/documents/sehk26081700010.pdf","open filing")</f>
        <v/>
      </c>
    </row>
    <row r="54">
      <c r="A54" s="16" t="inlineStr">
        <is>
          <t>SHENZHEN WOKE TECHNOLOGY Co., LTD</t>
        </is>
      </c>
      <c r="B54" s="16" t="inlineStr">
        <is>
          <t>Application Proof only</t>
        </is>
      </c>
      <c r="C54" s="16" t="inlineStr">
        <is>
          <t>2026-08-14</t>
        </is>
      </c>
      <c r="D54" s="16" t="inlineStr">
        <is>
          <t>2026-08-14</t>
        </is>
      </c>
      <c r="E54" s="88" t="n">
        <v>10</v>
      </c>
      <c r="F54" s="76">
        <f>HYPERLINK("https://www1.hkexnews.hk/app/sehk/2026/108795/documents/sehk26081402024.pdf","open filing")</f>
        <v/>
      </c>
    </row>
    <row r="55">
      <c r="A55" s="16" t="inlineStr">
        <is>
          <t>Hunan Junxin Environmental Protection Co., Ltd.</t>
        </is>
      </c>
      <c r="B55" s="16" t="inlineStr">
        <is>
          <t>Application Proof only</t>
        </is>
      </c>
      <c r="C55" s="16" t="inlineStr">
        <is>
          <t>2026-08-13</t>
        </is>
      </c>
      <c r="D55" s="16" t="inlineStr">
        <is>
          <t>2026-08-13</t>
        </is>
      </c>
      <c r="E55" s="88" t="n">
        <v>11</v>
      </c>
      <c r="F55" s="76">
        <f>HYPERLINK("https://www1.hkexnews.hk/app/sehk/2026/108794/documents/sehk26081301489.pdf","open filing")</f>
        <v/>
      </c>
    </row>
    <row r="56">
      <c r="A56" s="16" t="inlineStr">
        <is>
          <t>Suzhou Zelgen Biopharmaceuticals Co., Ltd.</t>
        </is>
      </c>
      <c r="B56" s="16" t="inlineStr">
        <is>
          <t>Application Proof only</t>
        </is>
      </c>
      <c r="C56" s="16" t="inlineStr">
        <is>
          <t>2026-08-12</t>
        </is>
      </c>
      <c r="D56" s="16" t="inlineStr">
        <is>
          <t>2026-08-12</t>
        </is>
      </c>
      <c r="E56" s="88" t="n">
        <v>12</v>
      </c>
      <c r="F56" s="76">
        <f>HYPERLINK("https://www1.hkexnews.hk/app/sehk/2026/108793/documents/sehk26081201416.pdf","open filing")</f>
        <v/>
      </c>
    </row>
    <row r="57">
      <c r="A57" s="16" t="inlineStr">
        <is>
          <t>Hangzhou CIEC Group Co., Ltd.</t>
        </is>
      </c>
      <c r="B57" s="16" t="inlineStr">
        <is>
          <t>Application Proof only</t>
        </is>
      </c>
      <c r="C57" s="16" t="inlineStr">
        <is>
          <t>2026-08-11</t>
        </is>
      </c>
      <c r="D57" s="16" t="inlineStr">
        <is>
          <t>2026-08-11</t>
        </is>
      </c>
      <c r="E57" s="88" t="n">
        <v>13</v>
      </c>
      <c r="F57" s="76">
        <f>HYPERLINK("https://www1.hkexnews.hk/app/sehk/2026/108792/documents/sehk26081100442.pdf","open filing")</f>
        <v/>
      </c>
    </row>
    <row r="58">
      <c r="A58" s="16" t="inlineStr">
        <is>
          <t>Shenzhen Yueshi Holding Co., Ltd. (formerly known as Shenzhen Yueshi Digital Intelligence Co., Ltd.)</t>
        </is>
      </c>
      <c r="B58" s="16" t="inlineStr">
        <is>
          <t>Application Proof only</t>
        </is>
      </c>
      <c r="C58" s="16" t="inlineStr">
        <is>
          <t>2026-08-10</t>
        </is>
      </c>
      <c r="D58" s="16" t="inlineStr">
        <is>
          <t>2026-08-10</t>
        </is>
      </c>
      <c r="E58" s="88" t="n">
        <v>14</v>
      </c>
      <c r="F58" s="76">
        <f>HYPERLINK("https://www1.hkexnews.hk/app/sehk/2026/108771/documents/sehk26072900705.pdf","open filing")</f>
        <v/>
      </c>
    </row>
    <row r="59">
      <c r="A59" s="16" t="inlineStr">
        <is>
          <t>Ever Glory United Holdings Limited</t>
        </is>
      </c>
      <c r="B59" s="16" t="inlineStr">
        <is>
          <t>Application Proof only</t>
        </is>
      </c>
      <c r="C59" s="16" t="inlineStr">
        <is>
          <t>2026-08-10</t>
        </is>
      </c>
      <c r="D59" s="16" t="inlineStr">
        <is>
          <t>2026-08-10</t>
        </is>
      </c>
      <c r="E59" s="88" t="n">
        <v>14</v>
      </c>
      <c r="F59" s="76">
        <f>HYPERLINK("https://www1.hkexnews.hk/app/sehk/2026/108791/documents/sehk26081001283.pdf","open filing")</f>
        <v/>
      </c>
    </row>
    <row r="60">
      <c r="A60" s="16" t="inlineStr">
        <is>
          <t>ZHEJIANG ENERGY MARINE ENVIRONMENTAL TECHNOLOGY CO., LTD</t>
        </is>
      </c>
      <c r="B60" s="16" t="inlineStr">
        <is>
          <t>Application Proof only</t>
        </is>
      </c>
      <c r="C60" s="16" t="inlineStr">
        <is>
          <t>2026-08-07</t>
        </is>
      </c>
      <c r="D60" s="16" t="inlineStr">
        <is>
          <t>2026-08-07</t>
        </is>
      </c>
      <c r="E60" s="88" t="n">
        <v>17</v>
      </c>
      <c r="F60" s="76">
        <f>HYPERLINK("https://www1.hkexnews.hk/app/sehk/2026/108788/documents/sehk26080701054.pdf","open filing")</f>
        <v/>
      </c>
    </row>
    <row r="61">
      <c r="A61" s="16" t="inlineStr">
        <is>
          <t>Suzhou GenHouse Bio Co., Ltd. - B</t>
        </is>
      </c>
      <c r="B61" s="16" t="inlineStr">
        <is>
          <t>Application Proof only</t>
        </is>
      </c>
      <c r="C61" s="16" t="inlineStr">
        <is>
          <t>2026-08-07</t>
        </is>
      </c>
      <c r="D61" s="16" t="inlineStr">
        <is>
          <t>2026-08-07</t>
        </is>
      </c>
      <c r="E61" s="88" t="n">
        <v>17</v>
      </c>
      <c r="F61" s="76">
        <f>HYPERLINK("https://www1.hkexnews.hk/app/sehk/2026/108789/documents/sehk26080701538.pdf","open filing")</f>
        <v/>
      </c>
    </row>
    <row r="62">
      <c r="A62" s="16" t="inlineStr">
        <is>
          <t>Hangzhou Yodosmart Automotive Technology Co., Ltd.</t>
        </is>
      </c>
      <c r="B62" s="16" t="inlineStr">
        <is>
          <t>Application Proof only</t>
        </is>
      </c>
      <c r="C62" s="16" t="inlineStr">
        <is>
          <t>2026-08-04</t>
        </is>
      </c>
      <c r="D62" s="16" t="inlineStr">
        <is>
          <t>2026-08-04</t>
        </is>
      </c>
      <c r="E62" s="88" t="n">
        <v>20</v>
      </c>
      <c r="F62" s="76">
        <f>HYPERLINK("https://www1.hkexnews.hk/app/sehk/2026/108786/documents/sehk26080402104.pdf","open filing")</f>
        <v/>
      </c>
    </row>
    <row r="63">
      <c r="A63" s="16" t="inlineStr">
        <is>
          <t>Guangdong Topstar Technology Co., Ltd.</t>
        </is>
      </c>
      <c r="B63" s="16" t="inlineStr">
        <is>
          <t>Application Proof only</t>
        </is>
      </c>
      <c r="C63" s="16" t="inlineStr">
        <is>
          <t>2026-08-02</t>
        </is>
      </c>
      <c r="D63" s="16" t="inlineStr">
        <is>
          <t>2026-08-02</t>
        </is>
      </c>
      <c r="E63" s="88" t="n">
        <v>22</v>
      </c>
      <c r="F63" s="76">
        <f>HYPERLINK("https://www1.hkexnews.hk/app/sehk/2026/108747/documents/sehk26072000042.pdf","open filing")</f>
        <v/>
      </c>
    </row>
    <row r="64">
      <c r="A64" s="16" t="inlineStr">
        <is>
          <t>JPJ (TCM) Limited</t>
        </is>
      </c>
      <c r="B64" s="16" t="inlineStr">
        <is>
          <t>Application Proof only</t>
        </is>
      </c>
      <c r="C64" s="16" t="inlineStr">
        <is>
          <t>2026-07-31</t>
        </is>
      </c>
      <c r="D64" s="16" t="inlineStr">
        <is>
          <t>2026-07-31</t>
        </is>
      </c>
      <c r="E64" s="88" t="n">
        <v>24</v>
      </c>
      <c r="F64" s="76">
        <f>HYPERLINK("https://www1.hkexnews.hk/app/sehk/2026/108740/documents/sehk26071701190.pdf","open filing")</f>
        <v/>
      </c>
    </row>
    <row r="65"/>
    <row r="66">
      <c r="A66" s="2" t="inlineStr">
        <is>
          <t>10 PHIP-stage of 354 live applications; showing PHIPs plus the 30 most recent Application Proofs.</t>
        </is>
      </c>
    </row>
  </sheetData>
  <conditionalFormatting sqref="A6:AA18">
    <cfRule type="expression" priority="1" dxfId="2" stopIfTrue="0">
      <formula>MOD(ROW(),2)=0</formula>
    </cfRule>
  </conditionalFormatting>
  <dataValidations count="1">
    <dataValidation sqref="E6:E18" showDropDown="0" showInputMessage="0" showErrorMessage="0" allowBlank="1" type="list">
      <formula1>=SubsectorList</formula1>
    </dataValidation>
  </dataValidations>
  <pageMargins left="0.75" right="0.75" top="1" bottom="1" header="0.5" footer="0.5"/>
  <ignoredErrors>
    <ignoredError sqref="A6:A40" numberStoredAsText="1"/>
  </ignoredErrors>
</worksheet>
</file>

<file path=xl/worksheets/sheet4.xml><?xml version="1.0" encoding="utf-8"?>
<worksheet xmlns="http://schemas.openxmlformats.org/spreadsheetml/2006/main">
  <sheetPr>
    <tabColor rgb="00BFBFBF"/>
    <outlinePr summaryBelow="1" summaryRight="1"/>
    <pageSetUpPr/>
  </sheetPr>
  <dimension ref="A1:M84"/>
  <sheetViews>
    <sheetView workbookViewId="0">
      <selection activeCell="A1" sqref="A1"/>
    </sheetView>
  </sheetViews>
  <sheetFormatPr baseColWidth="8" defaultRowHeight="15"/>
  <cols>
    <col width="8" customWidth="1" min="1" max="1"/>
    <col width="24" customWidth="1" min="2" max="2"/>
    <col width="20" customWidth="1" min="3" max="3"/>
    <col width="11" customWidth="1" min="4" max="4"/>
    <col width="10" customWidth="1" min="5" max="5"/>
    <col width="9" customWidth="1" min="6" max="6"/>
    <col width="11" customWidth="1" min="7" max="7"/>
    <col width="10" customWidth="1" min="8" max="8"/>
    <col width="10" customWidth="1" min="9" max="9"/>
    <col width="9" customWidth="1" min="10" max="10"/>
    <col width="11" customWidth="1" min="11" max="11"/>
    <col width="11" customWidth="1" min="12" max="12"/>
    <col width="34" customWidth="1" min="13" max="13"/>
  </cols>
  <sheetData>
    <row r="1">
      <c r="A1" s="1" t="inlineStr">
        <is>
          <t>A/H SPREAD MONITOR</t>
        </is>
      </c>
    </row>
    <row r="2">
      <c r="A2" s="2" t="inlineStr">
        <is>
          <t>A premium = (A×CNY→HKD) ÷ H − 1 · + = A trades ABOVE H · LIVE columns are Bloomberg BDP (work on the terminal only — mnemonics await terminal verify) · BLUE overrides beat live · snapshot column as of 2026-08-25</t>
        </is>
      </c>
    </row>
    <row r="3"/>
    <row r="4">
      <c r="A4" s="44" t="inlineStr">
        <is>
          <t>CNYHKD</t>
        </is>
      </c>
      <c r="B4" s="10">
        <f>IFERROR(BDP("CNYHKD Curncy","PX_LAST"),"")</f>
        <v/>
      </c>
      <c r="C4" s="7" t="n"/>
      <c r="D4" s="45">
        <f>IF($C$4&lt;&gt;"",$C$4,$B$4)</f>
        <v/>
      </c>
      <c r="E4" s="2" t="inlineStr">
        <is>
          <t>live / override / effective</t>
        </is>
      </c>
    </row>
    <row r="5"/>
    <row r="6">
      <c r="A6" s="12" t="inlineStr">
        <is>
          <t>H code</t>
        </is>
      </c>
      <c r="B6" s="12" t="inlineStr">
        <is>
          <t>Name</t>
        </is>
      </c>
      <c r="C6" s="12" t="inlineStr">
        <is>
          <t>Subsector</t>
        </is>
      </c>
      <c r="D6" s="12" t="inlineStr">
        <is>
          <t>H live (BDP)</t>
        </is>
      </c>
      <c r="E6" s="12" t="inlineStr">
        <is>
          <t>H override</t>
        </is>
      </c>
      <c r="F6" s="12" t="inlineStr">
        <is>
          <t>H eff</t>
        </is>
      </c>
      <c r="G6" s="12" t="inlineStr">
        <is>
          <t>A code</t>
        </is>
      </c>
      <c r="H6" s="12" t="inlineStr">
        <is>
          <t>A live (BDP)</t>
        </is>
      </c>
      <c r="I6" s="12" t="inlineStr">
        <is>
          <t>A override</t>
        </is>
      </c>
      <c r="J6" s="12" t="inlineStr">
        <is>
          <t>A eff</t>
        </is>
      </c>
      <c r="K6" s="12" t="inlineStr">
        <is>
          <t>A premium (live)</t>
        </is>
      </c>
      <c r="L6" s="12" t="inlineStr">
        <is>
          <t>Snapshot A prem</t>
        </is>
      </c>
      <c r="M6" s="12" t="inlineStr">
        <is>
          <t>Note</t>
        </is>
      </c>
    </row>
    <row r="7">
      <c r="A7" s="90" t="inlineStr">
        <is>
          <t>6127</t>
        </is>
      </c>
      <c r="B7" s="16" t="inlineStr">
        <is>
          <t>JOINN</t>
        </is>
      </c>
      <c r="C7" s="16" t="inlineStr">
        <is>
          <t>CXO / pharma services</t>
        </is>
      </c>
      <c r="D7" s="39">
        <f>IFERROR(BDP("6127 HK Equity","PX_LAST"),"")</f>
        <v/>
      </c>
      <c r="E7" s="91" t="n"/>
      <c r="F7" s="39">
        <f>IF($E7&lt;&gt;"",$E7,$D7)</f>
        <v/>
      </c>
      <c r="G7" s="16" t="inlineStr">
        <is>
          <t>603127.SS</t>
        </is>
      </c>
      <c r="H7" s="39">
        <f>IFERROR(BDP("603127 CH Equity","PX_LAST"),"")</f>
        <v/>
      </c>
      <c r="I7" s="91" t="n"/>
      <c r="J7" s="39">
        <f>IF($I7&lt;&gt;"",$I7,$H7)</f>
        <v/>
      </c>
      <c r="K7" s="42">
        <f>IF(OR(N($F7)&lt;=0,N($J7)&lt;=0,N($D$4)&lt;=0),"",($J7*$D$4)/$F7-1)</f>
        <v/>
      </c>
      <c r="L7" s="92" t="n">
        <v>1.2528</v>
      </c>
      <c r="M7" s="2" t="inlineStr">
        <is>
          <t>H listed Feb 2021; CRO safety-evaluation leader</t>
        </is>
      </c>
    </row>
    <row r="8">
      <c r="A8" s="90" t="inlineStr">
        <is>
          <t>6821</t>
        </is>
      </c>
      <c r="B8" s="16" t="inlineStr">
        <is>
          <t>ASYMCHEM</t>
        </is>
      </c>
      <c r="C8" s="16" t="inlineStr">
        <is>
          <t>CXO / pharma services</t>
        </is>
      </c>
      <c r="D8" s="39">
        <f>IFERROR(BDP("6821 HK Equity","PX_LAST"),"")</f>
        <v/>
      </c>
      <c r="E8" s="91" t="n"/>
      <c r="F8" s="39">
        <f>IF($E8&lt;&gt;"",$E8,$D8)</f>
        <v/>
      </c>
      <c r="G8" s="16" t="inlineStr">
        <is>
          <t>002821.SZ</t>
        </is>
      </c>
      <c r="H8" s="39">
        <f>IFERROR(BDP("002821 CH Equity","PX_LAST"),"")</f>
        <v/>
      </c>
      <c r="I8" s="91" t="n"/>
      <c r="J8" s="39">
        <f>IF($I8&lt;&gt;"",$I8,$H8)</f>
        <v/>
      </c>
      <c r="K8" s="42">
        <f>IF(OR(N($F8)&lt;=0,N($J8)&lt;=0,N($D$4)&lt;=0),"",($J8*$D$4)/$F8-1)</f>
        <v/>
      </c>
      <c r="L8" s="92" t="n">
        <v>0.6439</v>
      </c>
      <c r="M8" s="2" t="inlineStr">
        <is>
          <t>H listed Dec 2021 (CDMO)</t>
        </is>
      </c>
    </row>
    <row r="9">
      <c r="A9" s="90" t="inlineStr">
        <is>
          <t>6680</t>
        </is>
      </c>
      <c r="B9" s="16" t="inlineStr">
        <is>
          <t>JLMAG</t>
        </is>
      </c>
      <c r="C9" s="16" t="inlineStr">
        <is>
          <t>Capital goods / machinery</t>
        </is>
      </c>
      <c r="D9" s="39">
        <f>IFERROR(BDP("6680 HK Equity","PX_LAST"),"")</f>
        <v/>
      </c>
      <c r="E9" s="91" t="n"/>
      <c r="F9" s="39">
        <f>IF($E9&lt;&gt;"",$E9,$D9)</f>
        <v/>
      </c>
      <c r="G9" s="16" t="inlineStr">
        <is>
          <t>300748.SZ</t>
        </is>
      </c>
      <c r="H9" s="39">
        <f>IFERROR(BDP("300748 CH Equity","PX_LAST"),"")</f>
        <v/>
      </c>
      <c r="I9" s="91" t="n"/>
      <c r="J9" s="39">
        <f>IF($I9&lt;&gt;"",$I9,$H9)</f>
        <v/>
      </c>
      <c r="K9" s="42">
        <f>IF(OR(N($F9)&lt;=0,N($J9)&lt;=0,N($D$4)&lt;=0),"",($J9*$D$4)/$F9-1)</f>
        <v/>
      </c>
      <c r="L9" s="92" t="n">
        <v>0.8282</v>
      </c>
      <c r="M9" s="2" t="inlineStr">
        <is>
          <t>H listed Jan 2022 (NdFeB magnets)</t>
        </is>
      </c>
    </row>
    <row r="10">
      <c r="A10" s="90" t="inlineStr">
        <is>
          <t>9696</t>
        </is>
      </c>
      <c r="B10" s="16" t="inlineStr">
        <is>
          <t>TIANQI LITHIUM</t>
        </is>
      </c>
      <c r="C10" s="16" t="inlineStr">
        <is>
          <t>Mining / metals</t>
        </is>
      </c>
      <c r="D10" s="39">
        <f>IFERROR(BDP("9696 HK Equity","PX_LAST"),"")</f>
        <v/>
      </c>
      <c r="E10" s="91" t="n"/>
      <c r="F10" s="39">
        <f>IF($E10&lt;&gt;"",$E10,$D10)</f>
        <v/>
      </c>
      <c r="G10" s="16" t="inlineStr">
        <is>
          <t>002466.SZ</t>
        </is>
      </c>
      <c r="H10" s="39">
        <f>IFERROR(BDP("002466 CH Equity","PX_LAST"),"")</f>
        <v/>
      </c>
      <c r="I10" s="91" t="n"/>
      <c r="J10" s="39">
        <f>IF($I10&lt;&gt;"",$I10,$H10)</f>
        <v/>
      </c>
      <c r="K10" s="42">
        <f>IF(OR(N($F10)&lt;=0,N($J10)&lt;=0,N($D$4)&lt;=0),"",($J10*$D$4)/$F10-1)</f>
        <v/>
      </c>
      <c r="L10" s="92" t="n">
        <v>0.4993</v>
      </c>
      <c r="M10" s="2" t="inlineStr">
        <is>
          <t>Jul 2022, ~US$1.7bn — largest HK IPO of 2022 at pricing</t>
        </is>
      </c>
    </row>
    <row r="11">
      <c r="A11" s="90" t="inlineStr">
        <is>
          <t>1880</t>
        </is>
      </c>
      <c r="B11" s="16" t="inlineStr">
        <is>
          <t>CTG DUTY-FREE</t>
        </is>
      </c>
      <c r="C11" s="16" t="inlineStr">
        <is>
          <t>Retail / distribution</t>
        </is>
      </c>
      <c r="D11" s="39">
        <f>IFERROR(BDP("1880 HK Equity","PX_LAST"),"")</f>
        <v/>
      </c>
      <c r="E11" s="91" t="n"/>
      <c r="F11" s="39">
        <f>IF($E11&lt;&gt;"",$E11,$D11)</f>
        <v/>
      </c>
      <c r="G11" s="16" t="inlineStr">
        <is>
          <t>601888.SS</t>
        </is>
      </c>
      <c r="H11" s="39">
        <f>IFERROR(BDP("601888 CH Equity","PX_LAST"),"")</f>
        <v/>
      </c>
      <c r="I11" s="91" t="n"/>
      <c r="J11" s="39">
        <f>IF($I11&lt;&gt;"",$I11,$H11)</f>
        <v/>
      </c>
      <c r="K11" s="42">
        <f>IF(OR(N($F11)&lt;=0,N($J11)&lt;=0,N($D$4)&lt;=0),"",($J11*$D$4)/$F11-1)</f>
        <v/>
      </c>
      <c r="L11" s="92" t="n">
        <v>0.2527</v>
      </c>
      <c r="M11" s="2" t="inlineStr">
        <is>
          <t>Aug 2022, ~US$2.1bn H offering</t>
        </is>
      </c>
    </row>
    <row r="12">
      <c r="A12" s="90" t="inlineStr">
        <is>
          <t>2315</t>
        </is>
      </c>
      <c r="B12" s="16" t="inlineStr">
        <is>
          <t>BIOCYTOGEN-B</t>
        </is>
      </c>
      <c r="C12" s="16" t="inlineStr">
        <is>
          <t>Biotech pre-revenue (18A)</t>
        </is>
      </c>
      <c r="D12" s="39">
        <f>IFERROR(BDP("2315 HK Equity","PX_LAST"),"")</f>
        <v/>
      </c>
      <c r="E12" s="91" t="n"/>
      <c r="F12" s="39">
        <f>IF($E12&lt;&gt;"",$E12,$D12)</f>
        <v/>
      </c>
      <c r="G12" s="16" t="inlineStr">
        <is>
          <t>688796.SS</t>
        </is>
      </c>
      <c r="H12" s="39">
        <f>IFERROR(BDP("688796 CH Equity","PX_LAST"),"")</f>
        <v/>
      </c>
      <c r="I12" s="91" t="n"/>
      <c r="J12" s="39">
        <f>IF($I12&lt;&gt;"",$I12,$H12)</f>
        <v/>
      </c>
      <c r="K12" s="42">
        <f>IF(OR(N($F12)&lt;=0,N($J12)&lt;=0,N($D$4)&lt;=0),"",($J12*$D$4)/$F12-1)</f>
        <v/>
      </c>
      <c r="L12" s="92" t="n">
        <v>1.4384</v>
      </c>
      <c r="M12" s="2" t="inlineStr">
        <is>
          <t>A-share 688796 listed AFTER the H IPO — no A price existed on the H pricing date, so an at-IPO premium cannot exist; the today premium is live</t>
        </is>
      </c>
    </row>
    <row r="13">
      <c r="A13" s="90" t="inlineStr">
        <is>
          <t>2402</t>
        </is>
      </c>
      <c r="B13" s="16" t="inlineStr">
        <is>
          <t>SINOHYTEC</t>
        </is>
      </c>
      <c r="C13" s="16" t="inlineStr">
        <is>
          <t>Batteries / energy storage</t>
        </is>
      </c>
      <c r="D13" s="39">
        <f>IFERROR(BDP("2402 HK Equity","PX_LAST"),"")</f>
        <v/>
      </c>
      <c r="E13" s="91" t="n"/>
      <c r="F13" s="39">
        <f>IF($E13&lt;&gt;"",$E13,$D13)</f>
        <v/>
      </c>
      <c r="G13" s="16" t="inlineStr">
        <is>
          <t>688339.SS</t>
        </is>
      </c>
      <c r="H13" s="39">
        <f>IFERROR(BDP("688339 CH Equity","PX_LAST"),"")</f>
        <v/>
      </c>
      <c r="I13" s="91" t="n"/>
      <c r="J13" s="39">
        <f>IF($I13&lt;&gt;"",$I13,$H13)</f>
        <v/>
      </c>
      <c r="K13" s="42">
        <f>IF(OR(N($F13)&lt;=0,N($J13)&lt;=0,N($D$4)&lt;=0),"",($J13*$D$4)/$F13-1)</f>
        <v/>
      </c>
      <c r="L13" s="92" t="n">
        <v>0.6351</v>
      </c>
      <c r="M13" s="2" t="inlineStr">
        <is>
          <t>H listed Jan 2023 (hydrogen fuel cells); A+H on STAR</t>
        </is>
      </c>
    </row>
    <row r="14">
      <c r="A14" s="90" t="inlineStr">
        <is>
          <t>0300</t>
        </is>
      </c>
      <c r="B14" s="16" t="inlineStr">
        <is>
          <t>MIDEA GROUP</t>
        </is>
      </c>
      <c r="C14" s="16" t="inlineStr">
        <is>
          <t>Smart hardware / consumer electronics</t>
        </is>
      </c>
      <c r="D14" s="39">
        <f>IFERROR(BDP("300 HK Equity","PX_LAST"),"")</f>
        <v/>
      </c>
      <c r="E14" s="91" t="n"/>
      <c r="F14" s="39">
        <f>IF($E14&lt;&gt;"",$E14,$D14)</f>
        <v/>
      </c>
      <c r="G14" s="16" t="inlineStr">
        <is>
          <t>000333.SZ</t>
        </is>
      </c>
      <c r="H14" s="39">
        <f>IFERROR(BDP("000333 CH Equity","PX_LAST"),"")</f>
        <v/>
      </c>
      <c r="I14" s="91" t="n"/>
      <c r="J14" s="39">
        <f>IF($I14&lt;&gt;"",$I14,$H14)</f>
        <v/>
      </c>
      <c r="K14" s="42">
        <f>IF(OR(N($F14)&lt;=0,N($J14)&lt;=0,N($D$4)&lt;=0),"",($J14*$D$4)/$F14-1)</f>
        <v/>
      </c>
      <c r="L14" s="92" t="n">
        <v>0.0199</v>
      </c>
      <c r="M14" s="2" t="inlineStr">
        <is>
          <t>Sep 2024, ~US$4.0bn+greenshoe — the deal that opened the A-to-H wave; H priced at a double-digit discount to A</t>
        </is>
      </c>
    </row>
    <row r="15">
      <c r="A15" s="90" t="inlineStr">
        <is>
          <t>2465</t>
        </is>
      </c>
      <c r="B15" s="16" t="inlineStr">
        <is>
          <t>LOPAL TECH</t>
        </is>
      </c>
      <c r="C15" s="16" t="inlineStr">
        <is>
          <t>Batteries / energy storage</t>
        </is>
      </c>
      <c r="D15" s="39">
        <f>IFERROR(BDP("2465 HK Equity","PX_LAST"),"")</f>
        <v/>
      </c>
      <c r="E15" s="91" t="n"/>
      <c r="F15" s="39">
        <f>IF($E15&lt;&gt;"",$E15,$D15)</f>
        <v/>
      </c>
      <c r="G15" s="16" t="inlineStr">
        <is>
          <t>603906.SS</t>
        </is>
      </c>
      <c r="H15" s="39">
        <f>IFERROR(BDP("603906 CH Equity","PX_LAST"),"")</f>
        <v/>
      </c>
      <c r="I15" s="91" t="n"/>
      <c r="J15" s="39">
        <f>IF($I15&lt;&gt;"",$I15,$H15)</f>
        <v/>
      </c>
      <c r="K15" s="42">
        <f>IF(OR(N($F15)&lt;=0,N($J15)&lt;=0,N($D$4)&lt;=0),"",($J15*$D$4)/$F15-1)</f>
        <v/>
      </c>
      <c r="L15" s="92" t="n">
        <v>1.3202</v>
      </c>
      <c r="M15" s="2" t="inlineStr">
        <is>
          <t>Oct 2024 H listing (LFP cathode/adblue)</t>
        </is>
      </c>
    </row>
    <row r="16">
      <c r="A16" s="90" t="inlineStr">
        <is>
          <t>6936</t>
        </is>
      </c>
      <c r="B16" s="16" t="inlineStr">
        <is>
          <t>SF HOLDING</t>
        </is>
      </c>
      <c r="C16" s="16" t="inlineStr">
        <is>
          <t>Logistics</t>
        </is>
      </c>
      <c r="D16" s="39">
        <f>IFERROR(BDP("6936 HK Equity","PX_LAST"),"")</f>
        <v/>
      </c>
      <c r="E16" s="91" t="n"/>
      <c r="F16" s="39">
        <f>IF($E16&lt;&gt;"",$E16,$D16)</f>
        <v/>
      </c>
      <c r="G16" s="16" t="inlineStr">
        <is>
          <t>002352.SZ</t>
        </is>
      </c>
      <c r="H16" s="39">
        <f>IFERROR(BDP("002352 CH Equity","PX_LAST"),"")</f>
        <v/>
      </c>
      <c r="I16" s="91" t="n"/>
      <c r="J16" s="39">
        <f>IF($I16&lt;&gt;"",$I16,$H16)</f>
        <v/>
      </c>
      <c r="K16" s="42">
        <f>IF(OR(N($F16)&lt;=0,N($J16)&lt;=0,N($D$4)&lt;=0),"",($J16*$D$4)/$F16-1)</f>
        <v/>
      </c>
      <c r="L16" s="92" t="n">
        <v>0.1823</v>
      </c>
      <c r="M16" s="2" t="inlineStr">
        <is>
          <t>Nov 2024, ~US$750m; first A+H express logistics name</t>
        </is>
      </c>
    </row>
    <row r="17">
      <c r="A17" s="90" t="inlineStr">
        <is>
          <t>6693</t>
        </is>
      </c>
      <c r="B17" s="16" t="inlineStr">
        <is>
          <t>CHIFENG GOLD</t>
        </is>
      </c>
      <c r="C17" s="16" t="inlineStr">
        <is>
          <t>Mining / metals</t>
        </is>
      </c>
      <c r="D17" s="39">
        <f>IFERROR(BDP("6693 HK Equity","PX_LAST"),"")</f>
        <v/>
      </c>
      <c r="E17" s="91" t="n"/>
      <c r="F17" s="39">
        <f>IF($E17&lt;&gt;"",$E17,$D17)</f>
        <v/>
      </c>
      <c r="G17" s="16" t="inlineStr">
        <is>
          <t>600988.SS</t>
        </is>
      </c>
      <c r="H17" s="39">
        <f>IFERROR(BDP("600988 CH Equity","PX_LAST"),"")</f>
        <v/>
      </c>
      <c r="I17" s="91" t="n"/>
      <c r="J17" s="39">
        <f>IF($I17&lt;&gt;"",$I17,$H17)</f>
        <v/>
      </c>
      <c r="K17" s="42">
        <f>IF(OR(N($F17)&lt;=0,N($J17)&lt;=0,N($D$4)&lt;=0),"",($J17*$D$4)/$F17-1)</f>
        <v/>
      </c>
      <c r="L17" s="92" t="n">
        <v>0.3091</v>
      </c>
      <c r="M17" s="2" t="inlineStr">
        <is>
          <t>Mar 2025 H listing (gold miner)</t>
        </is>
      </c>
    </row>
    <row r="18">
      <c r="A18" s="90" t="inlineStr">
        <is>
          <t>2865</t>
        </is>
      </c>
      <c r="B18" s="16" t="inlineStr">
        <is>
          <t>DRINDA</t>
        </is>
      </c>
      <c r="C18" s="16" t="inlineStr">
        <is>
          <t>Solar / wind supply chain</t>
        </is>
      </c>
      <c r="D18" s="39">
        <f>IFERROR(BDP("2865 HK Equity","PX_LAST"),"")</f>
        <v/>
      </c>
      <c r="E18" s="91" t="n"/>
      <c r="F18" s="39">
        <f>IF($E18&lt;&gt;"",$E18,$D18)</f>
        <v/>
      </c>
      <c r="G18" s="16" t="inlineStr">
        <is>
          <t>002865.SZ</t>
        </is>
      </c>
      <c r="H18" s="39">
        <f>IFERROR(BDP("002865 CH Equity","PX_LAST"),"")</f>
        <v/>
      </c>
      <c r="I18" s="91" t="n"/>
      <c r="J18" s="39">
        <f>IF($I18&lt;&gt;"",$I18,$H18)</f>
        <v/>
      </c>
      <c r="K18" s="42">
        <f>IF(OR(N($F18)&lt;=0,N($J18)&lt;=0,N($D$4)&lt;=0),"",($J18*$D$4)/$F18-1)</f>
        <v/>
      </c>
      <c r="L18" s="92" t="n">
        <v>1.9481</v>
      </c>
      <c r="M18" s="2" t="inlineStr">
        <is>
          <t>May 2025 H listing (TOPCon solar cells)</t>
        </is>
      </c>
    </row>
    <row r="19">
      <c r="A19" s="90" t="inlineStr">
        <is>
          <t>3750</t>
        </is>
      </c>
      <c r="B19" s="16" t="inlineStr">
        <is>
          <t>CATL</t>
        </is>
      </c>
      <c r="C19" s="16" t="inlineStr">
        <is>
          <t>Batteries / energy storage</t>
        </is>
      </c>
      <c r="D19" s="39">
        <f>IFERROR(BDP("3750 HK Equity","PX_LAST"),"")</f>
        <v/>
      </c>
      <c r="E19" s="91" t="n"/>
      <c r="F19" s="39">
        <f>IF($E19&lt;&gt;"",$E19,$D19)</f>
        <v/>
      </c>
      <c r="G19" s="16" t="inlineStr">
        <is>
          <t>300750.SZ</t>
        </is>
      </c>
      <c r="H19" s="39">
        <f>IFERROR(BDP("300750 CH Equity","PX_LAST"),"")</f>
        <v/>
      </c>
      <c r="I19" s="91" t="n"/>
      <c r="J19" s="39">
        <f>IF($I19&lt;&gt;"",$I19,$H19)</f>
        <v/>
      </c>
      <c r="K19" s="42">
        <f>IF(OR(N($F19)&lt;=0,N($J19)&lt;=0,N($D$4)&lt;=0),"",($J19*$D$4)/$F19-1)</f>
        <v/>
      </c>
      <c r="L19" s="92" t="n">
        <v>-0.2914</v>
      </c>
      <c r="M19" s="2" t="inlineStr">
        <is>
          <t>May 2025, ~US$4.6bn (US$5.3bn w/ shoe) — world's largest listing of 2025; H priced at a slim discount to A and surged on debut</t>
        </is>
      </c>
    </row>
    <row r="20">
      <c r="A20" s="90" t="inlineStr">
        <is>
          <t>1276</t>
        </is>
      </c>
      <c r="B20" s="16" t="inlineStr">
        <is>
          <t>HENGRUI PHARMA</t>
        </is>
      </c>
      <c r="C20" s="16" t="inlineStr">
        <is>
          <t>Biopharma commercial</t>
        </is>
      </c>
      <c r="D20" s="39">
        <f>IFERROR(BDP("1276 HK Equity","PX_LAST"),"")</f>
        <v/>
      </c>
      <c r="E20" s="91" t="n"/>
      <c r="F20" s="39">
        <f>IF($E20&lt;&gt;"",$E20,$D20)</f>
        <v/>
      </c>
      <c r="G20" s="16" t="inlineStr">
        <is>
          <t>600276.SS</t>
        </is>
      </c>
      <c r="H20" s="39">
        <f>IFERROR(BDP("600276 CH Equity","PX_LAST"),"")</f>
        <v/>
      </c>
      <c r="I20" s="91" t="n"/>
      <c r="J20" s="39">
        <f>IF($I20&lt;&gt;"",$I20,$H20)</f>
        <v/>
      </c>
      <c r="K20" s="42">
        <f>IF(OR(N($F20)&lt;=0,N($J20)&lt;=0,N($D$4)&lt;=0),"",($J20*$D$4)/$F20-1)</f>
        <v/>
      </c>
      <c r="L20" s="92" t="n">
        <v>0.174</v>
      </c>
      <c r="M20" s="2" t="inlineStr">
        <is>
          <t>May 2025, raised ~HK$9.9bn (~US$1.3bn)</t>
        </is>
      </c>
    </row>
    <row r="21">
      <c r="A21" s="90" t="inlineStr">
        <is>
          <t>2603</t>
        </is>
      </c>
      <c r="B21" s="16" t="inlineStr">
        <is>
          <t>JIHONG CO</t>
        </is>
      </c>
      <c r="C21" s="16" t="inlineStr">
        <is>
          <t>Internet platform / e-commerce</t>
        </is>
      </c>
      <c r="D21" s="39">
        <f>IFERROR(BDP("2603 HK Equity","PX_LAST"),"")</f>
        <v/>
      </c>
      <c r="E21" s="91" t="n"/>
      <c r="F21" s="39">
        <f>IF($E21&lt;&gt;"",$E21,$D21)</f>
        <v/>
      </c>
      <c r="G21" s="16" t="inlineStr">
        <is>
          <t>002803.SZ</t>
        </is>
      </c>
      <c r="H21" s="39">
        <f>IFERROR(BDP("002803 CH Equity","PX_LAST"),"")</f>
        <v/>
      </c>
      <c r="I21" s="91" t="n"/>
      <c r="J21" s="39">
        <f>IF($I21&lt;&gt;"",$I21,$H21)</f>
        <v/>
      </c>
      <c r="K21" s="42">
        <f>IF(OR(N($F21)&lt;=0,N($J21)&lt;=0,N($D$4)&lt;=0),"",($J21*$D$4)/$F21-1)</f>
        <v/>
      </c>
      <c r="L21" s="92" t="n">
        <v>0.773</v>
      </c>
      <c r="M21" s="2" t="inlineStr">
        <is>
          <t>May 2025 H listing (packaging + cross-border e-commerce)</t>
        </is>
      </c>
    </row>
    <row r="22">
      <c r="A22" s="90" t="inlineStr">
        <is>
          <t>3288</t>
        </is>
      </c>
      <c r="B22" s="16" t="inlineStr">
        <is>
          <t>HAITIAN FLAV</t>
        </is>
      </c>
      <c r="C22" s="16" t="inlineStr">
        <is>
          <t>Beverages / packaged food</t>
        </is>
      </c>
      <c r="D22" s="39">
        <f>IFERROR(BDP("3288 HK Equity","PX_LAST"),"")</f>
        <v/>
      </c>
      <c r="E22" s="91" t="n"/>
      <c r="F22" s="39">
        <f>IF($E22&lt;&gt;"",$E22,$D22)</f>
        <v/>
      </c>
      <c r="G22" s="16" t="inlineStr">
        <is>
          <t>603288.SS</t>
        </is>
      </c>
      <c r="H22" s="39">
        <f>IFERROR(BDP("603288 CH Equity","PX_LAST"),"")</f>
        <v/>
      </c>
      <c r="I22" s="91" t="n"/>
      <c r="J22" s="39">
        <f>IF($I22&lt;&gt;"",$I22,$H22)</f>
        <v/>
      </c>
      <c r="K22" s="42">
        <f>IF(OR(N($F22)&lt;=0,N($J22)&lt;=0,N($D$4)&lt;=0),"",($J22*$D$4)/$F22-1)</f>
        <v/>
      </c>
      <c r="L22" s="92" t="n">
        <v>0.297</v>
      </c>
      <c r="M22" s="2" t="inlineStr">
        <is>
          <t>Jun 2025, ~US$1.3bn; condiments leader</t>
        </is>
      </c>
    </row>
    <row r="23">
      <c r="A23" s="90" t="inlineStr">
        <is>
          <t>2050</t>
        </is>
      </c>
      <c r="B23" s="16" t="inlineStr">
        <is>
          <t>SANHUA</t>
        </is>
      </c>
      <c r="C23" s="16" t="inlineStr">
        <is>
          <t>Auto parts / supply chain</t>
        </is>
      </c>
      <c r="D23" s="39">
        <f>IFERROR(BDP("2050 HK Equity","PX_LAST"),"")</f>
        <v/>
      </c>
      <c r="E23" s="91" t="n"/>
      <c r="F23" s="39">
        <f>IF($E23&lt;&gt;"",$E23,$D23)</f>
        <v/>
      </c>
      <c r="G23" s="16" t="inlineStr">
        <is>
          <t>002050.SZ</t>
        </is>
      </c>
      <c r="H23" s="39">
        <f>IFERROR(BDP("002050 CH Equity","PX_LAST"),"")</f>
        <v/>
      </c>
      <c r="I23" s="91" t="n"/>
      <c r="J23" s="39">
        <f>IF($I23&lt;&gt;"",$I23,$H23)</f>
        <v/>
      </c>
      <c r="K23" s="42">
        <f>IF(OR(N($F23)&lt;=0,N($J23)&lt;=0,N($D$4)&lt;=0),"",($J23*$D$4)/$F23-1)</f>
        <v/>
      </c>
      <c r="L23" s="92" t="n">
        <v>0.5778</v>
      </c>
      <c r="M23" s="2" t="inlineStr">
        <is>
          <t>Jun 2025 H listing (thermal management/humanoid actuators)</t>
        </is>
      </c>
    </row>
    <row r="24">
      <c r="A24" s="90" t="inlineStr">
        <is>
          <t>2648</t>
        </is>
      </c>
      <c r="B24" s="16" t="inlineStr">
        <is>
          <t>ANJOY FOOD</t>
        </is>
      </c>
      <c r="C24" s="16" t="inlineStr">
        <is>
          <t>Beverages / packaged food</t>
        </is>
      </c>
      <c r="D24" s="39">
        <f>IFERROR(BDP("2648 HK Equity","PX_LAST"),"")</f>
        <v/>
      </c>
      <c r="E24" s="91" t="n"/>
      <c r="F24" s="39">
        <f>IF($E24&lt;&gt;"",$E24,$D24)</f>
        <v/>
      </c>
      <c r="G24" s="16" t="inlineStr">
        <is>
          <t>603345.SS</t>
        </is>
      </c>
      <c r="H24" s="39">
        <f>IFERROR(BDP("603345 CH Equity","PX_LAST"),"")</f>
        <v/>
      </c>
      <c r="I24" s="91" t="n"/>
      <c r="J24" s="39">
        <f>IF($I24&lt;&gt;"",$I24,$H24)</f>
        <v/>
      </c>
      <c r="K24" s="42">
        <f>IF(OR(N($F24)&lt;=0,N($J24)&lt;=0,N($D$4)&lt;=0),"",($J24*$D$4)/$F24-1)</f>
        <v/>
      </c>
      <c r="L24" s="92" t="n">
        <v>0.4158</v>
      </c>
      <c r="M24" s="2" t="inlineStr">
        <is>
          <t>Jul 2025 H listing (frozen foods)</t>
        </is>
      </c>
    </row>
    <row r="25">
      <c r="A25" s="90" t="inlineStr">
        <is>
          <t>1304</t>
        </is>
      </c>
      <c r="B25" s="16" t="inlineStr">
        <is>
          <t>FORTIOR</t>
        </is>
      </c>
      <c r="C25" s="16" t="inlineStr">
        <is>
          <t>AI chips &amp; semis</t>
        </is>
      </c>
      <c r="D25" s="39">
        <f>IFERROR(BDP("1304 HK Equity","PX_LAST"),"")</f>
        <v/>
      </c>
      <c r="E25" s="91" t="n"/>
      <c r="F25" s="39">
        <f>IF($E25&lt;&gt;"",$E25,$D25)</f>
        <v/>
      </c>
      <c r="G25" s="16" t="inlineStr">
        <is>
          <t>688279.SS</t>
        </is>
      </c>
      <c r="H25" s="39">
        <f>IFERROR(BDP("688279 CH Equity","PX_LAST"),"")</f>
        <v/>
      </c>
      <c r="I25" s="91" t="n"/>
      <c r="J25" s="39">
        <f>IF($I25&lt;&gt;"",$I25,$H25)</f>
        <v/>
      </c>
      <c r="K25" s="42">
        <f>IF(OR(N($F25)&lt;=0,N($J25)&lt;=0,N($D$4)&lt;=0),"",($J25*$D$4)/$F25-1)</f>
        <v/>
      </c>
      <c r="L25" s="92" t="n">
        <v>0.7721</v>
      </c>
      <c r="M25" s="2" t="inlineStr">
        <is>
          <t>Jul 2025 H listing (BLDC motor-driver chips)</t>
        </is>
      </c>
    </row>
    <row r="26">
      <c r="A26" s="90" t="inlineStr">
        <is>
          <t>6613</t>
        </is>
      </c>
      <c r="B26" s="16" t="inlineStr">
        <is>
          <t>LENS</t>
        </is>
      </c>
      <c r="C26" s="16" t="inlineStr">
        <is>
          <t>Smart hardware / consumer electronics</t>
        </is>
      </c>
      <c r="D26" s="39">
        <f>IFERROR(BDP("6613 HK Equity","PX_LAST"),"")</f>
        <v/>
      </c>
      <c r="E26" s="91" t="n"/>
      <c r="F26" s="39">
        <f>IF($E26&lt;&gt;"",$E26,$D26)</f>
        <v/>
      </c>
      <c r="G26" s="16" t="inlineStr">
        <is>
          <t>300433.SZ</t>
        </is>
      </c>
      <c r="H26" s="39">
        <f>IFERROR(BDP("300433 CH Equity","PX_LAST"),"")</f>
        <v/>
      </c>
      <c r="I26" s="91" t="n"/>
      <c r="J26" s="39">
        <f>IF($I26&lt;&gt;"",$I26,$H26)</f>
        <v/>
      </c>
      <c r="K26" s="42">
        <f>IF(OR(N($F26)&lt;=0,N($J26)&lt;=0,N($D$4)&lt;=0),"",($J26*$D$4)/$F26-1)</f>
        <v/>
      </c>
      <c r="L26" s="92" t="n">
        <v>0.8308</v>
      </c>
      <c r="M26" s="2" t="inlineStr">
        <is>
          <t>Jul 2025 H listing (cover glass, Apple chain)</t>
        </is>
      </c>
    </row>
    <row r="27">
      <c r="A27" s="90" t="inlineStr">
        <is>
          <t>2631</t>
        </is>
      </c>
      <c r="B27" s="16" t="inlineStr">
        <is>
          <t>SICC</t>
        </is>
      </c>
      <c r="C27" s="16" t="inlineStr">
        <is>
          <t>AI chips &amp; semis</t>
        </is>
      </c>
      <c r="D27" s="39">
        <f>IFERROR(BDP("2631 HK Equity","PX_LAST"),"")</f>
        <v/>
      </c>
      <c r="E27" s="91" t="n"/>
      <c r="F27" s="39">
        <f>IF($E27&lt;&gt;"",$E27,$D27)</f>
        <v/>
      </c>
      <c r="G27" s="16" t="inlineStr">
        <is>
          <t>688234.SS</t>
        </is>
      </c>
      <c r="H27" s="39">
        <f>IFERROR(BDP("688234 CH Equity","PX_LAST"),"")</f>
        <v/>
      </c>
      <c r="I27" s="91" t="n"/>
      <c r="J27" s="39">
        <f>IF($I27&lt;&gt;"",$I27,$H27)</f>
        <v/>
      </c>
      <c r="K27" s="42">
        <f>IF(OR(N($F27)&lt;=0,N($J27)&lt;=0,N($D$4)&lt;=0),"",($J27*$D$4)/$F27-1)</f>
        <v/>
      </c>
      <c r="L27" s="92" t="n">
        <v>0.9161</v>
      </c>
      <c r="M27" s="2" t="inlineStr">
        <is>
          <t>Aug 2025 H listing (SiC substrates)</t>
        </is>
      </c>
    </row>
    <row r="28">
      <c r="A28" s="90" t="inlineStr">
        <is>
          <t>0638</t>
        </is>
      </c>
      <c r="B28" s="16" t="inlineStr">
        <is>
          <t>FIBOCOM</t>
        </is>
      </c>
      <c r="C28" s="16" t="inlineStr">
        <is>
          <t>Smart hardware / consumer electronics</t>
        </is>
      </c>
      <c r="D28" s="39">
        <f>IFERROR(BDP("638 HK Equity","PX_LAST"),"")</f>
        <v/>
      </c>
      <c r="E28" s="91" t="n"/>
      <c r="F28" s="39">
        <f>IF($E28&lt;&gt;"",$E28,$D28)</f>
        <v/>
      </c>
      <c r="G28" s="16" t="inlineStr">
        <is>
          <t>300638.SZ</t>
        </is>
      </c>
      <c r="H28" s="39">
        <f>IFERROR(BDP("300638 CH Equity","PX_LAST"),"")</f>
        <v/>
      </c>
      <c r="I28" s="91" t="n"/>
      <c r="J28" s="39">
        <f>IF($I28&lt;&gt;"",$I28,$H28)</f>
        <v/>
      </c>
      <c r="K28" s="42">
        <f>IF(OR(N($F28)&lt;=0,N($J28)&lt;=0,N($D$4)&lt;=0),"",($J28*$D$4)/$F28-1)</f>
        <v/>
      </c>
      <c r="L28" s="92" t="n">
        <v>1.9163</v>
      </c>
      <c r="M28" s="2" t="inlineStr">
        <is>
          <t>Oct 2025 H listing (IoT wireless modules)</t>
        </is>
      </c>
    </row>
    <row r="29">
      <c r="A29" s="90" t="inlineStr">
        <is>
          <t>6031</t>
        </is>
      </c>
      <c r="B29" s="16" t="inlineStr">
        <is>
          <t>SANY HEAVY IND</t>
        </is>
      </c>
      <c r="C29" s="16" t="inlineStr">
        <is>
          <t>Capital goods / machinery</t>
        </is>
      </c>
      <c r="D29" s="39">
        <f>IFERROR(BDP("6031 HK Equity","PX_LAST"),"")</f>
        <v/>
      </c>
      <c r="E29" s="91" t="n"/>
      <c r="F29" s="39">
        <f>IF($E29&lt;&gt;"",$E29,$D29)</f>
        <v/>
      </c>
      <c r="G29" s="16" t="inlineStr">
        <is>
          <t>600031.SS</t>
        </is>
      </c>
      <c r="H29" s="39">
        <f>IFERROR(BDP("600031 CH Equity","PX_LAST"),"")</f>
        <v/>
      </c>
      <c r="I29" s="91" t="n"/>
      <c r="J29" s="39">
        <f>IF($I29&lt;&gt;"",$I29,$H29)</f>
        <v/>
      </c>
      <c r="K29" s="42">
        <f>IF(OR(N($F29)&lt;=0,N($J29)&lt;=0,N($D$4)&lt;=0),"",($J29*$D$4)/$F29-1)</f>
        <v/>
      </c>
      <c r="L29" s="92" t="n">
        <v>0.1696</v>
      </c>
      <c r="M29" s="2" t="inlineStr">
        <is>
          <t>Oct 2025, ~US$1.72bn</t>
        </is>
      </c>
    </row>
    <row r="30">
      <c r="A30" s="90" t="inlineStr">
        <is>
          <t>6166</t>
        </is>
      </c>
      <c r="B30" s="16" t="inlineStr">
        <is>
          <t>CIG</t>
        </is>
      </c>
      <c r="C30" s="16" t="inlineStr">
        <is>
          <t>Smart hardware / consumer electronics</t>
        </is>
      </c>
      <c r="D30" s="39">
        <f>IFERROR(BDP("6166 HK Equity","PX_LAST"),"")</f>
        <v/>
      </c>
      <c r="E30" s="91" t="n"/>
      <c r="F30" s="39">
        <f>IF($E30&lt;&gt;"",$E30,$D30)</f>
        <v/>
      </c>
      <c r="G30" s="16" t="inlineStr">
        <is>
          <t>603083.SS</t>
        </is>
      </c>
      <c r="H30" s="39">
        <f>IFERROR(BDP("603083 CH Equity","PX_LAST"),"")</f>
        <v/>
      </c>
      <c r="I30" s="91" t="n"/>
      <c r="J30" s="39">
        <f>IF($I30&lt;&gt;"",$I30,$H30)</f>
        <v/>
      </c>
      <c r="K30" s="42">
        <f>IF(OR(N($F30)&lt;=0,N($J30)&lt;=0,N($D$4)&lt;=0),"",($J30*$D$4)/$F30-1)</f>
        <v/>
      </c>
      <c r="L30" s="92" t="n">
        <v>1.2717</v>
      </c>
      <c r="M30" s="2" t="inlineStr">
        <is>
          <t>Oct 2025 H listing (telecom/AI networking hardware)</t>
        </is>
      </c>
    </row>
    <row r="31">
      <c r="A31" s="90" t="inlineStr">
        <is>
          <t>9927</t>
        </is>
      </c>
      <c r="B31" s="16" t="inlineStr">
        <is>
          <t>SERES</t>
        </is>
      </c>
      <c r="C31" s="16" t="inlineStr">
        <is>
          <t>Autos (NEV OEM)</t>
        </is>
      </c>
      <c r="D31" s="39">
        <f>IFERROR(BDP("9927 HK Equity","PX_LAST"),"")</f>
        <v/>
      </c>
      <c r="E31" s="91" t="n"/>
      <c r="F31" s="39">
        <f>IF($E31&lt;&gt;"",$E31,$D31)</f>
        <v/>
      </c>
      <c r="G31" s="16" t="inlineStr">
        <is>
          <t>601127.SS</t>
        </is>
      </c>
      <c r="H31" s="39">
        <f>IFERROR(BDP("601127 CH Equity","PX_LAST"),"")</f>
        <v/>
      </c>
      <c r="I31" s="91" t="n"/>
      <c r="J31" s="39">
        <f>IF($I31&lt;&gt;"",$I31,$H31)</f>
        <v/>
      </c>
      <c r="K31" s="42">
        <f>IF(OR(N($F31)&lt;=0,N($J31)&lt;=0,N($D$4)&lt;=0),"",($J31*$D$4)/$F31-1)</f>
        <v/>
      </c>
      <c r="L31" s="92" t="n">
        <v>0.4588</v>
      </c>
      <c r="M31" s="2" t="inlineStr">
        <is>
          <t>Nov 2025, HK$14.28bn (~US$1.8bn) — 3rd-largest HK IPO of 2025; flat debut</t>
        </is>
      </c>
    </row>
    <row r="32">
      <c r="A32" s="90" t="inlineStr">
        <is>
          <t>0699</t>
        </is>
      </c>
      <c r="B32" s="16" t="inlineStr">
        <is>
          <t>JOYSON ELEC</t>
        </is>
      </c>
      <c r="C32" s="16" t="inlineStr">
        <is>
          <t>Auto parts / supply chain</t>
        </is>
      </c>
      <c r="D32" s="39">
        <f>IFERROR(BDP("699 HK Equity","PX_LAST"),"")</f>
        <v/>
      </c>
      <c r="E32" s="91" t="n"/>
      <c r="F32" s="39">
        <f>IF($E32&lt;&gt;"",$E32,$D32)</f>
        <v/>
      </c>
      <c r="G32" s="16" t="inlineStr">
        <is>
          <t>600699.SS</t>
        </is>
      </c>
      <c r="H32" s="39">
        <f>IFERROR(BDP("600699 CH Equity","PX_LAST"),"")</f>
        <v/>
      </c>
      <c r="I32" s="91" t="n"/>
      <c r="J32" s="39">
        <f>IF($I32&lt;&gt;"",$I32,$H32)</f>
        <v/>
      </c>
      <c r="K32" s="42">
        <f>IF(OR(N($F32)&lt;=0,N($J32)&lt;=0,N($D$4)&lt;=0),"",($J32*$D$4)/$F32-1)</f>
        <v/>
      </c>
      <c r="L32" s="92" t="n">
        <v>0.7886</v>
      </c>
      <c r="M32" s="2" t="inlineStr">
        <is>
          <t>Nov 2025 H listing (auto electronics/safety)</t>
        </is>
      </c>
    </row>
    <row r="33">
      <c r="A33" s="90" t="inlineStr">
        <is>
          <t>2579</t>
        </is>
      </c>
      <c r="B33" s="16" t="inlineStr">
        <is>
          <t>CNGR</t>
        </is>
      </c>
      <c r="C33" s="16" t="inlineStr">
        <is>
          <t>Batteries / energy storage</t>
        </is>
      </c>
      <c r="D33" s="39">
        <f>IFERROR(BDP("2579 HK Equity","PX_LAST"),"")</f>
        <v/>
      </c>
      <c r="E33" s="91" t="n"/>
      <c r="F33" s="39">
        <f>IF($E33&lt;&gt;"",$E33,$D33)</f>
        <v/>
      </c>
      <c r="G33" s="16" t="inlineStr">
        <is>
          <t>300919.SZ</t>
        </is>
      </c>
      <c r="H33" s="39">
        <f>IFERROR(BDP("300919 CH Equity","PX_LAST"),"")</f>
        <v/>
      </c>
      <c r="I33" s="91" t="n"/>
      <c r="J33" s="39">
        <f>IF($I33&lt;&gt;"",$I33,$H33)</f>
        <v/>
      </c>
      <c r="K33" s="42">
        <f>IF(OR(N($F33)&lt;=0,N($J33)&lt;=0,N($D$4)&lt;=0),"",($J33*$D$4)/$F33-1)</f>
        <v/>
      </c>
      <c r="L33" s="92" t="n">
        <v>0.8457</v>
      </c>
      <c r="M33" s="2" t="inlineStr">
        <is>
          <t>Nov 2025 H listing (battery precursor materials)</t>
        </is>
      </c>
    </row>
    <row r="34">
      <c r="A34" s="90" t="inlineStr">
        <is>
          <t>2676</t>
        </is>
      </c>
      <c r="B34" s="16" t="inlineStr">
        <is>
          <t>NOVOSENSE</t>
        </is>
      </c>
      <c r="C34" s="16" t="inlineStr">
        <is>
          <t>AI chips &amp; semis</t>
        </is>
      </c>
      <c r="D34" s="39">
        <f>IFERROR(BDP("2676 HK Equity","PX_LAST"),"")</f>
        <v/>
      </c>
      <c r="E34" s="91" t="n"/>
      <c r="F34" s="39">
        <f>IF($E34&lt;&gt;"",$E34,$D34)</f>
        <v/>
      </c>
      <c r="G34" s="16" t="inlineStr">
        <is>
          <t>688052.SS</t>
        </is>
      </c>
      <c r="H34" s="39">
        <f>IFERROR(BDP("688052 CH Equity","PX_LAST"),"")</f>
        <v/>
      </c>
      <c r="I34" s="91" t="n"/>
      <c r="J34" s="39">
        <f>IF($I34&lt;&gt;"",$I34,$H34)</f>
        <v/>
      </c>
      <c r="K34" s="42">
        <f>IF(OR(N($F34)&lt;=0,N($J34)&lt;=0,N($D$4)&lt;=0),"",($J34*$D$4)/$F34-1)</f>
        <v/>
      </c>
      <c r="L34" s="92" t="n">
        <v>0.7020999999999999</v>
      </c>
      <c r="M34" s="2" t="inlineStr">
        <is>
          <t>Dec 2025 H listing (analog/mixed-signal chips)</t>
        </is>
      </c>
    </row>
    <row r="35">
      <c r="A35" s="90" t="inlineStr">
        <is>
          <t>2691</t>
        </is>
      </c>
      <c r="B35" s="16" t="inlineStr">
        <is>
          <t>NANHUA FUTURES</t>
        </is>
      </c>
      <c r="C35" s="16" t="inlineStr">
        <is>
          <t>Brokers / asset management</t>
        </is>
      </c>
      <c r="D35" s="39">
        <f>IFERROR(BDP("2691 HK Equity","PX_LAST"),"")</f>
        <v/>
      </c>
      <c r="E35" s="91" t="n"/>
      <c r="F35" s="39">
        <f>IF($E35&lt;&gt;"",$E35,$D35)</f>
        <v/>
      </c>
      <c r="G35" s="16" t="inlineStr">
        <is>
          <t>603093.SS</t>
        </is>
      </c>
      <c r="H35" s="39">
        <f>IFERROR(BDP("603093 CH Equity","PX_LAST"),"")</f>
        <v/>
      </c>
      <c r="I35" s="91" t="n"/>
      <c r="J35" s="39">
        <f>IF($I35&lt;&gt;"",$I35,$H35)</f>
        <v/>
      </c>
      <c r="K35" s="42">
        <f>IF(OR(N($F35)&lt;=0,N($J35)&lt;=0,N($D$4)&lt;=0),"",($J35*$D$4)/$F35-1)</f>
        <v/>
      </c>
      <c r="L35" s="92" t="n">
        <v>1.0375</v>
      </c>
      <c r="M35" s="2" t="inlineStr">
        <is>
          <t>Dec 2025 H listing (futures broker)</t>
        </is>
      </c>
    </row>
    <row r="36">
      <c r="A36" s="90" t="inlineStr">
        <is>
          <t>0501</t>
        </is>
      </c>
      <c r="B36" s="16" t="inlineStr">
        <is>
          <t>OMNIVISION</t>
        </is>
      </c>
      <c r="C36" s="16" t="inlineStr">
        <is>
          <t>AI chips &amp; semis</t>
        </is>
      </c>
      <c r="D36" s="39">
        <f>IFERROR(BDP("501 HK Equity","PX_LAST"),"")</f>
        <v/>
      </c>
      <c r="E36" s="91" t="n"/>
      <c r="F36" s="39">
        <f>IF($E36&lt;&gt;"",$E36,$D36)</f>
        <v/>
      </c>
      <c r="G36" s="16" t="inlineStr">
        <is>
          <t>603501.SS</t>
        </is>
      </c>
      <c r="H36" s="39">
        <f>IFERROR(BDP("603501 CH Equity","PX_LAST"),"")</f>
        <v/>
      </c>
      <c r="I36" s="91" t="n"/>
      <c r="J36" s="39">
        <f>IF($I36&lt;&gt;"",$I36,$H36)</f>
        <v/>
      </c>
      <c r="K36" s="42">
        <f>IF(OR(N($F36)&lt;=0,N($J36)&lt;=0,N($D$4)&lt;=0),"",($J36*$D$4)/$F36-1)</f>
        <v/>
      </c>
      <c r="L36" s="92" t="n">
        <v>0.3247</v>
      </c>
      <c r="M36" s="2" t="inlineStr">
        <is>
          <t>Jan 2026, US$616m offering; rose on debut</t>
        </is>
      </c>
    </row>
    <row r="37">
      <c r="A37" s="90" t="inlineStr">
        <is>
          <t>3986</t>
        </is>
      </c>
      <c r="B37" s="16" t="inlineStr">
        <is>
          <t>GIGADEVICE</t>
        </is>
      </c>
      <c r="C37" s="16" t="inlineStr">
        <is>
          <t>AI chips &amp; semis</t>
        </is>
      </c>
      <c r="D37" s="39">
        <f>IFERROR(BDP("3986 HK Equity","PX_LAST"),"")</f>
        <v/>
      </c>
      <c r="E37" s="91" t="n"/>
      <c r="F37" s="39">
        <f>IF($E37&lt;&gt;"",$E37,$D37)</f>
        <v/>
      </c>
      <c r="G37" s="16" t="inlineStr">
        <is>
          <t>603986.SS</t>
        </is>
      </c>
      <c r="H37" s="39">
        <f>IFERROR(BDP("603986 CH Equity","PX_LAST"),"")</f>
        <v/>
      </c>
      <c r="I37" s="91" t="n"/>
      <c r="J37" s="39">
        <f>IF($I37&lt;&gt;"",$I37,$H37)</f>
        <v/>
      </c>
      <c r="K37" s="42">
        <f>IF(OR(N($F37)&lt;=0,N($J37)&lt;=0,N($D$4)&lt;=0),"",($J37*$D$4)/$F37-1)</f>
        <v/>
      </c>
      <c r="L37" s="92" t="n">
        <v>-0.0548</v>
      </c>
      <c r="M37" s="2" t="inlineStr">
        <is>
          <t>Jan 2026, ~US$600m at top of range; closed +37.5% on debut</t>
        </is>
      </c>
    </row>
    <row r="38">
      <c r="A38" s="90" t="inlineStr">
        <is>
          <t>9611</t>
        </is>
      </c>
      <c r="B38" s="16" t="inlineStr">
        <is>
          <t>LONGCHEER</t>
        </is>
      </c>
      <c r="C38" s="16" t="inlineStr">
        <is>
          <t>Smart hardware / consumer electronics</t>
        </is>
      </c>
      <c r="D38" s="39">
        <f>IFERROR(BDP("9611 HK Equity","PX_LAST"),"")</f>
        <v/>
      </c>
      <c r="E38" s="91" t="n"/>
      <c r="F38" s="39">
        <f>IF($E38&lt;&gt;"",$E38,$D38)</f>
        <v/>
      </c>
      <c r="G38" s="16" t="inlineStr">
        <is>
          <t>603341.SS</t>
        </is>
      </c>
      <c r="H38" s="39">
        <f>IFERROR(BDP("603341 CH Equity","PX_LAST"),"")</f>
        <v/>
      </c>
      <c r="I38" s="91" t="n"/>
      <c r="J38" s="39">
        <f>IF($I38&lt;&gt;"",$I38,$H38)</f>
        <v/>
      </c>
      <c r="K38" s="42">
        <f>IF(OR(N($F38)&lt;=0,N($J38)&lt;=0,N($D$4)&lt;=0),"",($J38*$D$4)/$F38-1)</f>
        <v/>
      </c>
      <c r="L38" s="92" t="n">
        <v>0.8943</v>
      </c>
      <c r="M38" s="2" t="inlineStr">
        <is>
          <t>Jan 2026 H listing (smart-device ODM)</t>
        </is>
      </c>
    </row>
    <row r="39">
      <c r="A39" s="90" t="inlineStr">
        <is>
          <t>9980</t>
        </is>
      </c>
      <c r="B39" s="16" t="inlineStr">
        <is>
          <t>EASTROC</t>
        </is>
      </c>
      <c r="C39" s="16" t="inlineStr">
        <is>
          <t>Beverages / packaged food</t>
        </is>
      </c>
      <c r="D39" s="39">
        <f>IFERROR(BDP("9980 HK Equity","PX_LAST"),"")</f>
        <v/>
      </c>
      <c r="E39" s="91" t="n"/>
      <c r="F39" s="39">
        <f>IF($E39&lt;&gt;"",$E39,$D39)</f>
        <v/>
      </c>
      <c r="G39" s="16" t="inlineStr">
        <is>
          <t>605499.SS</t>
        </is>
      </c>
      <c r="H39" s="39">
        <f>IFERROR(BDP("605499 CH Equity","PX_LAST"),"")</f>
        <v/>
      </c>
      <c r="I39" s="91" t="n"/>
      <c r="J39" s="39">
        <f>IF($I39&lt;&gt;"",$I39,$H39)</f>
        <v/>
      </c>
      <c r="K39" s="42">
        <f>IF(OR(N($F39)&lt;=0,N($J39)&lt;=0,N($D$4)&lt;=0),"",($J39*$D$4)/$F39-1)</f>
        <v/>
      </c>
      <c r="L39" s="92" t="n">
        <v>0.194</v>
      </c>
      <c r="M39" s="2" t="inlineStr">
        <is>
          <t>Feb 2026, ~HK$10.1bn at HK$248/sh — largest HK IPO of early 2026</t>
        </is>
      </c>
    </row>
    <row r="40">
      <c r="A40" s="90" t="inlineStr">
        <is>
          <t>2768</t>
        </is>
      </c>
      <c r="B40" s="16" t="inlineStr">
        <is>
          <t>GON TECHNOLOGY</t>
        </is>
      </c>
      <c r="C40" s="16" t="inlineStr">
        <is>
          <t>Smart hardware / consumer electronics</t>
        </is>
      </c>
      <c r="D40" s="39">
        <f>IFERROR(BDP("2768 HK Equity","PX_LAST"),"")</f>
        <v/>
      </c>
      <c r="E40" s="91" t="n"/>
      <c r="F40" s="39">
        <f>IF($E40&lt;&gt;"",$E40,$D40)</f>
        <v/>
      </c>
      <c r="G40" s="16" t="inlineStr">
        <is>
          <t>002768.SZ</t>
        </is>
      </c>
      <c r="H40" s="39">
        <f>IFERROR(BDP("002768 CH Equity","PX_LAST"),"")</f>
        <v/>
      </c>
      <c r="I40" s="91" t="n"/>
      <c r="J40" s="39">
        <f>IF($I40&lt;&gt;"",$I40,$H40)</f>
        <v/>
      </c>
      <c r="K40" s="42">
        <f>IF(OR(N($F40)&lt;=0,N($J40)&lt;=0,N($D$4)&lt;=0),"",($J40*$D$4)/$F40-1)</f>
        <v/>
      </c>
      <c r="L40" s="92" t="n">
        <v>1.0576</v>
      </c>
      <c r="M40" s="2" t="inlineStr">
        <is>
          <t>Feb 2026 H listing (polymer materials)</t>
        </is>
      </c>
    </row>
    <row r="41">
      <c r="A41" s="90" t="inlineStr">
        <is>
          <t>3200</t>
        </is>
      </c>
      <c r="B41" s="16" t="inlineStr">
        <is>
          <t>HANS CNC</t>
        </is>
      </c>
      <c r="C41" s="16" t="inlineStr">
        <is>
          <t>Capital goods / machinery</t>
        </is>
      </c>
      <c r="D41" s="39">
        <f>IFERROR(BDP("3200 HK Equity","PX_LAST"),"")</f>
        <v/>
      </c>
      <c r="E41" s="91" t="n"/>
      <c r="F41" s="39">
        <f>IF($E41&lt;&gt;"",$E41,$D41)</f>
        <v/>
      </c>
      <c r="G41" s="16" t="inlineStr">
        <is>
          <t>301200.SZ</t>
        </is>
      </c>
      <c r="H41" s="39">
        <f>IFERROR(BDP("301200 CH Equity","PX_LAST"),"")</f>
        <v/>
      </c>
      <c r="I41" s="91" t="n"/>
      <c r="J41" s="39">
        <f>IF($I41&lt;&gt;"",$I41,$H41)</f>
        <v/>
      </c>
      <c r="K41" s="42">
        <f>IF(OR(N($F41)&lt;=0,N($J41)&lt;=0,N($D$4)&lt;=0),"",($J41*$D$4)/$F41-1)</f>
        <v/>
      </c>
      <c r="L41" s="92" t="n">
        <v>2.3146</v>
      </c>
      <c r="M41" s="2" t="inlineStr">
        <is>
          <t>Feb 2026 H listing (PCB drilling equipment)</t>
        </is>
      </c>
    </row>
    <row r="42">
      <c r="A42" s="90" t="inlineStr">
        <is>
          <t>2714</t>
        </is>
      </c>
      <c r="B42" s="16" t="inlineStr">
        <is>
          <t>MUYUAN</t>
        </is>
      </c>
      <c r="C42" s="16" t="inlineStr">
        <is>
          <t>Beverages / packaged food</t>
        </is>
      </c>
      <c r="D42" s="39">
        <f>IFERROR(BDP("2714 HK Equity","PX_LAST"),"")</f>
        <v/>
      </c>
      <c r="E42" s="91" t="n"/>
      <c r="F42" s="39">
        <f>IF($E42&lt;&gt;"",$E42,$D42)</f>
        <v/>
      </c>
      <c r="G42" s="16" t="inlineStr">
        <is>
          <t>002714.SZ</t>
        </is>
      </c>
      <c r="H42" s="39">
        <f>IFERROR(BDP("002714 CH Equity","PX_LAST"),"")</f>
        <v/>
      </c>
      <c r="I42" s="91" t="n"/>
      <c r="J42" s="39">
        <f>IF($I42&lt;&gt;"",$I42,$H42)</f>
        <v/>
      </c>
      <c r="K42" s="42">
        <f>IF(OR(N($F42)&lt;=0,N($J42)&lt;=0,N($D$4)&lt;=0),"",($J42*$D$4)/$F42-1)</f>
        <v/>
      </c>
      <c r="L42" s="92" t="n">
        <v>0.3801</v>
      </c>
      <c r="M42" s="2" t="inlineStr">
        <is>
          <t>Feb 2026, net proceeds up to HK$12.0bn w/ greenshoe; subdued debut</t>
        </is>
      </c>
    </row>
    <row r="43">
      <c r="A43" s="90" t="inlineStr">
        <is>
          <t>6809</t>
        </is>
      </c>
      <c r="B43" s="16" t="inlineStr">
        <is>
          <t>MONTAGE TECH</t>
        </is>
      </c>
      <c r="C43" s="16" t="inlineStr">
        <is>
          <t>AI chips &amp; semis</t>
        </is>
      </c>
      <c r="D43" s="39">
        <f>IFERROR(BDP("6809 HK Equity","PX_LAST"),"")</f>
        <v/>
      </c>
      <c r="E43" s="91" t="n"/>
      <c r="F43" s="39">
        <f>IF($E43&lt;&gt;"",$E43,$D43)</f>
        <v/>
      </c>
      <c r="G43" s="16" t="inlineStr">
        <is>
          <t>688008.SS</t>
        </is>
      </c>
      <c r="H43" s="39">
        <f>IFERROR(BDP("688008 CH Equity","PX_LAST"),"")</f>
        <v/>
      </c>
      <c r="I43" s="91" t="n"/>
      <c r="J43" s="39">
        <f>IF($I43&lt;&gt;"",$I43,$H43)</f>
        <v/>
      </c>
      <c r="K43" s="42">
        <f>IF(OR(N($F43)&lt;=0,N($J43)&lt;=0,N($D$4)&lt;=0),"",($J43*$D$4)/$F43-1)</f>
        <v/>
      </c>
      <c r="L43" s="92" t="n">
        <v>-0.1049</v>
      </c>
      <c r="M43" s="2" t="inlineStr">
        <is>
          <t>Feb 2026 H listing (memory interface chips)</t>
        </is>
      </c>
    </row>
    <row r="44">
      <c r="A44" s="90" t="inlineStr">
        <is>
          <t>0470</t>
        </is>
      </c>
      <c r="B44" s="16" t="inlineStr">
        <is>
          <t>WUXI LEAD</t>
        </is>
      </c>
      <c r="C44" s="16" t="inlineStr">
        <is>
          <t>Capital goods / machinery</t>
        </is>
      </c>
      <c r="D44" s="39">
        <f>IFERROR(BDP("470 HK Equity","PX_LAST"),"")</f>
        <v/>
      </c>
      <c r="E44" s="91" t="n"/>
      <c r="F44" s="39">
        <f>IF($E44&lt;&gt;"",$E44,$D44)</f>
        <v/>
      </c>
      <c r="G44" s="16" t="inlineStr">
        <is>
          <t>300450.SZ</t>
        </is>
      </c>
      <c r="H44" s="39">
        <f>IFERROR(BDP("300450 CH Equity","PX_LAST"),"")</f>
        <v/>
      </c>
      <c r="I44" s="91" t="n"/>
      <c r="J44" s="39">
        <f>IF($I44&lt;&gt;"",$I44,$H44)</f>
        <v/>
      </c>
      <c r="K44" s="42">
        <f>IF(OR(N($F44)&lt;=0,N($J44)&lt;=0,N($D$4)&lt;=0),"",($J44*$D$4)/$F44-1)</f>
        <v/>
      </c>
      <c r="L44" s="92" t="n">
        <v>0.2587</v>
      </c>
      <c r="M44" s="2" t="inlineStr">
        <is>
          <t>Feb 2026 H listing (battery-making equipment)</t>
        </is>
      </c>
    </row>
    <row r="45">
      <c r="A45" s="90" t="inlineStr">
        <is>
          <t>9981</t>
        </is>
      </c>
      <c r="B45" s="16" t="inlineStr">
        <is>
          <t>WOER</t>
        </is>
      </c>
      <c r="C45" s="16" t="inlineStr">
        <is>
          <t>Chemicals</t>
        </is>
      </c>
      <c r="D45" s="39">
        <f>IFERROR(BDP("9981 HK Equity","PX_LAST"),"")</f>
        <v/>
      </c>
      <c r="E45" s="91" t="n"/>
      <c r="F45" s="39">
        <f>IF($E45&lt;&gt;"",$E45,$D45)</f>
        <v/>
      </c>
      <c r="G45" s="16" t="inlineStr">
        <is>
          <t>002130.SZ</t>
        </is>
      </c>
      <c r="H45" s="39">
        <f>IFERROR(BDP("002130 CH Equity","PX_LAST"),"")</f>
        <v/>
      </c>
      <c r="I45" s="91" t="n"/>
      <c r="J45" s="39">
        <f>IF($I45&lt;&gt;"",$I45,$H45)</f>
        <v/>
      </c>
      <c r="K45" s="42">
        <f>IF(OR(N($F45)&lt;=0,N($J45)&lt;=0,N($D$4)&lt;=0),"",($J45*$D$4)/$F45-1)</f>
        <v/>
      </c>
      <c r="L45" s="92" t="n">
        <v>0.9172</v>
      </c>
      <c r="M45" s="2" t="inlineStr">
        <is>
          <t>Feb 2026 H listing</t>
        </is>
      </c>
    </row>
    <row r="46">
      <c r="A46" s="90" t="inlineStr">
        <is>
          <t>2715</t>
        </is>
      </c>
      <c r="B46" s="16" t="inlineStr">
        <is>
          <t>ESTUN</t>
        </is>
      </c>
      <c r="C46" s="16" t="inlineStr">
        <is>
          <t>Robotics &amp; autonomous driving</t>
        </is>
      </c>
      <c r="D46" s="39">
        <f>IFERROR(BDP("2715 HK Equity","PX_LAST"),"")</f>
        <v/>
      </c>
      <c r="E46" s="91" t="n"/>
      <c r="F46" s="39">
        <f>IF($E46&lt;&gt;"",$E46,$D46)</f>
        <v/>
      </c>
      <c r="G46" s="16" t="inlineStr">
        <is>
          <t>002747.SZ</t>
        </is>
      </c>
      <c r="H46" s="39">
        <f>IFERROR(BDP("002747 CH Equity","PX_LAST"),"")</f>
        <v/>
      </c>
      <c r="I46" s="91" t="n"/>
      <c r="J46" s="39">
        <f>IF($I46&lt;&gt;"",$I46,$H46)</f>
        <v/>
      </c>
      <c r="K46" s="42">
        <f>IF(OR(N($F46)&lt;=0,N($J46)&lt;=0,N($D$4)&lt;=0),"",($J46*$D$4)/$F46-1)</f>
        <v/>
      </c>
      <c r="L46" s="92" t="n">
        <v>1.14</v>
      </c>
      <c r="M46" s="2" t="inlineStr">
        <is>
          <t>Mar 2026 H listing (industrial robots)</t>
        </is>
      </c>
    </row>
    <row r="47">
      <c r="A47" s="90" t="inlineStr">
        <is>
          <t>2692</t>
        </is>
      </c>
      <c r="B47" s="16" t="inlineStr">
        <is>
          <t>ZHAOWEI</t>
        </is>
      </c>
      <c r="C47" s="16" t="inlineStr">
        <is>
          <t>Capital goods / machinery</t>
        </is>
      </c>
      <c r="D47" s="39">
        <f>IFERROR(BDP("2692 HK Equity","PX_LAST"),"")</f>
        <v/>
      </c>
      <c r="E47" s="91" t="n"/>
      <c r="F47" s="39">
        <f>IF($E47&lt;&gt;"",$E47,$D47)</f>
        <v/>
      </c>
      <c r="G47" s="16" t="inlineStr">
        <is>
          <t>003021.SZ</t>
        </is>
      </c>
      <c r="H47" s="39">
        <f>IFERROR(BDP("003021 CH Equity","PX_LAST"),"")</f>
        <v/>
      </c>
      <c r="I47" s="91" t="n"/>
      <c r="J47" s="39">
        <f>IF($I47&lt;&gt;"",$I47,$H47)</f>
        <v/>
      </c>
      <c r="K47" s="42">
        <f>IF(OR(N($F47)&lt;=0,N($J47)&lt;=0,N($D$4)&lt;=0),"",($J47*$D$4)/$F47-1)</f>
        <v/>
      </c>
      <c r="L47" s="92" t="n">
        <v>0.8776</v>
      </c>
      <c r="M47" s="2" t="inlineStr">
        <is>
          <t>Mar 2026 H listing (micro drive systems/dexterous hands)</t>
        </is>
      </c>
    </row>
    <row r="48">
      <c r="A48" s="90" t="inlineStr">
        <is>
          <t>3268</t>
        </is>
      </c>
      <c r="B48" s="16" t="inlineStr">
        <is>
          <t>MEIG</t>
        </is>
      </c>
      <c r="C48" s="16" t="inlineStr">
        <is>
          <t>Smart hardware / consumer electronics</t>
        </is>
      </c>
      <c r="D48" s="39">
        <f>IFERROR(BDP("3268 HK Equity","PX_LAST"),"")</f>
        <v/>
      </c>
      <c r="E48" s="91" t="n"/>
      <c r="F48" s="39">
        <f>IF($E48&lt;&gt;"",$E48,$D48)</f>
        <v/>
      </c>
      <c r="G48" s="16" t="inlineStr">
        <is>
          <t>002881.SZ</t>
        </is>
      </c>
      <c r="H48" s="39">
        <f>IFERROR(BDP("002881 CH Equity","PX_LAST"),"")</f>
        <v/>
      </c>
      <c r="I48" s="91" t="n"/>
      <c r="J48" s="39">
        <f>IF($I48&lt;&gt;"",$I48,$H48)</f>
        <v/>
      </c>
      <c r="K48" s="42">
        <f>IF(OR(N($F48)&lt;=0,N($J48)&lt;=0,N($D$4)&lt;=0),"",($J48*$D$4)/$F48-1)</f>
        <v/>
      </c>
      <c r="L48" s="92" t="n">
        <v>1.5195</v>
      </c>
      <c r="M48" s="2" t="inlineStr">
        <is>
          <t>Mar 2026 H listing (IoT modules)</t>
        </is>
      </c>
    </row>
    <row r="49">
      <c r="A49" s="90" t="inlineStr">
        <is>
          <t>1989</t>
        </is>
      </c>
      <c r="B49" s="16" t="inlineStr">
        <is>
          <t>DELTON</t>
        </is>
      </c>
      <c r="C49" s="16" t="inlineStr">
        <is>
          <t>Smart hardware / consumer electronics</t>
        </is>
      </c>
      <c r="D49" s="39">
        <f>IFERROR(BDP("1989 HK Equity","PX_LAST"),"")</f>
        <v/>
      </c>
      <c r="E49" s="91" t="n"/>
      <c r="F49" s="39">
        <f>IF($E49&lt;&gt;"",$E49,$D49)</f>
        <v/>
      </c>
      <c r="G49" s="16" t="inlineStr">
        <is>
          <t>001389.SZ</t>
        </is>
      </c>
      <c r="H49" s="39">
        <f>IFERROR(BDP("001389 CH Equity","PX_LAST"),"")</f>
        <v/>
      </c>
      <c r="I49" s="91" t="n"/>
      <c r="J49" s="39">
        <f>IF($I49&lt;&gt;"",$I49,$H49)</f>
        <v/>
      </c>
      <c r="K49" s="42">
        <f>IF(OR(N($F49)&lt;=0,N($J49)&lt;=0,N($D$4)&lt;=0),"",($J49*$D$4)/$F49-1)</f>
        <v/>
      </c>
      <c r="L49" s="92" t="n">
        <v>0.3763</v>
      </c>
      <c r="M49" s="2" t="inlineStr">
        <is>
          <t>Mar 2026 H listing (PCB)</t>
        </is>
      </c>
    </row>
    <row r="50">
      <c r="A50" s="90" t="inlineStr">
        <is>
          <t>2701</t>
        </is>
      </c>
      <c r="B50" s="16" t="inlineStr">
        <is>
          <t>NSING TECH</t>
        </is>
      </c>
      <c r="C50" s="16" t="inlineStr">
        <is>
          <t>AI chips &amp; semis</t>
        </is>
      </c>
      <c r="D50" s="39">
        <f>IFERROR(BDP("2701 HK Equity","PX_LAST"),"")</f>
        <v/>
      </c>
      <c r="E50" s="91" t="n"/>
      <c r="F50" s="39">
        <f>IF($E50&lt;&gt;"",$E50,$D50)</f>
        <v/>
      </c>
      <c r="G50" s="16" t="inlineStr">
        <is>
          <t>300077.SZ</t>
        </is>
      </c>
      <c r="H50" s="39">
        <f>IFERROR(BDP("300077 CH Equity","PX_LAST"),"")</f>
        <v/>
      </c>
      <c r="I50" s="91" t="n"/>
      <c r="J50" s="39">
        <f>IF($I50&lt;&gt;"",$I50,$H50)</f>
        <v/>
      </c>
      <c r="K50" s="42">
        <f>IF(OR(N($F50)&lt;=0,N($J50)&lt;=0,N($D$4)&lt;=0),"",($J50*$D$4)/$F50-1)</f>
        <v/>
      </c>
      <c r="L50" s="92" t="n">
        <v>1.6441</v>
      </c>
      <c r="M50" s="2" t="inlineStr">
        <is>
          <t>Mar 2026 H listing (security/MCU chips)</t>
        </is>
      </c>
    </row>
    <row r="51">
      <c r="A51" s="90" t="inlineStr">
        <is>
          <t>2476</t>
        </is>
      </c>
      <c r="B51" s="16" t="inlineStr">
        <is>
          <t>VGT</t>
        </is>
      </c>
      <c r="C51" s="16" t="inlineStr">
        <is>
          <t>Smart hardware / consumer electronics</t>
        </is>
      </c>
      <c r="D51" s="39">
        <f>IFERROR(BDP("2476 HK Equity","PX_LAST"),"")</f>
        <v/>
      </c>
      <c r="E51" s="91" t="n"/>
      <c r="F51" s="39">
        <f>IF($E51&lt;&gt;"",$E51,$D51)</f>
        <v/>
      </c>
      <c r="G51" s="16" t="inlineStr">
        <is>
          <t>300476.SZ</t>
        </is>
      </c>
      <c r="H51" s="39">
        <f>IFERROR(BDP("300476 CH Equity","PX_LAST"),"")</f>
        <v/>
      </c>
      <c r="I51" s="91" t="n"/>
      <c r="J51" s="39">
        <f>IF($I51&lt;&gt;"",$I51,$H51)</f>
        <v/>
      </c>
      <c r="K51" s="42">
        <f>IF(OR(N($F51)&lt;=0,N($J51)&lt;=0,N($D$4)&lt;=0),"",($J51*$D$4)/$F51-1)</f>
        <v/>
      </c>
      <c r="L51" s="92" t="n">
        <v>0.2816</v>
      </c>
      <c r="M51" s="2" t="inlineStr">
        <is>
          <t>Apr 2026, HK$20.1bn (~US$2.57bn); +60% debut — Nvidia AI-PCB supplier</t>
        </is>
      </c>
    </row>
    <row r="52">
      <c r="A52" s="90" t="inlineStr">
        <is>
          <t>3296</t>
        </is>
      </c>
      <c r="B52" s="16" t="inlineStr">
        <is>
          <t>HUAQIN</t>
        </is>
      </c>
      <c r="C52" s="16" t="inlineStr">
        <is>
          <t>Smart hardware / consumer electronics</t>
        </is>
      </c>
      <c r="D52" s="39">
        <f>IFERROR(BDP("3296 HK Equity","PX_LAST"),"")</f>
        <v/>
      </c>
      <c r="E52" s="91" t="n"/>
      <c r="F52" s="39">
        <f>IF($E52&lt;&gt;"",$E52,$D52)</f>
        <v/>
      </c>
      <c r="G52" s="16" t="inlineStr">
        <is>
          <t>603296.SS</t>
        </is>
      </c>
      <c r="H52" s="39">
        <f>IFERROR(BDP("603296 CH Equity","PX_LAST"),"")</f>
        <v/>
      </c>
      <c r="I52" s="91" t="n"/>
      <c r="J52" s="39">
        <f>IF($I52&lt;&gt;"",$I52,$H52)</f>
        <v/>
      </c>
      <c r="K52" s="42">
        <f>IF(OR(N($F52)&lt;=0,N($J52)&lt;=0,N($D$4)&lt;=0),"",($J52*$D$4)/$F52-1)</f>
        <v/>
      </c>
      <c r="L52" s="92" t="n">
        <v>0.228</v>
      </c>
      <c r="M52" s="2" t="inlineStr">
        <is>
          <t>Apr 2026 H listing (smart-hardware ODM)</t>
        </is>
      </c>
    </row>
    <row r="53">
      <c r="A53" s="90" t="inlineStr">
        <is>
          <t>2493</t>
        </is>
      </c>
      <c r="B53" s="16" t="inlineStr">
        <is>
          <t>MABWELL-B</t>
        </is>
      </c>
      <c r="C53" s="16" t="inlineStr">
        <is>
          <t>Biotech pre-revenue (18A)</t>
        </is>
      </c>
      <c r="D53" s="39">
        <f>IFERROR(BDP("2493 HK Equity","PX_LAST"),"")</f>
        <v/>
      </c>
      <c r="E53" s="91" t="n"/>
      <c r="F53" s="39">
        <f>IF($E53&lt;&gt;"",$E53,$D53)</f>
        <v/>
      </c>
      <c r="G53" s="16" t="inlineStr">
        <is>
          <t>688062.SS</t>
        </is>
      </c>
      <c r="H53" s="39">
        <f>IFERROR(BDP("688062 CH Equity","PX_LAST"),"")</f>
        <v/>
      </c>
      <c r="I53" s="91" t="n"/>
      <c r="J53" s="39">
        <f>IF($I53&lt;&gt;"",$I53,$H53)</f>
        <v/>
      </c>
      <c r="K53" s="42">
        <f>IF(OR(N($F53)&lt;=0,N($J53)&lt;=0,N($D$4)&lt;=0),"",($J53*$D$4)/$F53-1)</f>
        <v/>
      </c>
      <c r="L53" s="92" t="n">
        <v>0.5888</v>
      </c>
      <c r="M53" s="2" t="inlineStr">
        <is>
          <t>Apr 2026 H listing (ADC biotech); A+H on STAR</t>
        </is>
      </c>
    </row>
    <row r="54">
      <c r="A54" s="90" t="inlineStr">
        <is>
          <t>1187</t>
        </is>
      </c>
      <c r="B54" s="16" t="inlineStr">
        <is>
          <t>COFOE MEDICAL</t>
        </is>
      </c>
      <c r="C54" s="16" t="inlineStr">
        <is>
          <t>Medical devices</t>
        </is>
      </c>
      <c r="D54" s="39">
        <f>IFERROR(BDP("1187 HK Equity","PX_LAST"),"")</f>
        <v/>
      </c>
      <c r="E54" s="91" t="n"/>
      <c r="F54" s="39">
        <f>IF($E54&lt;&gt;"",$E54,$D54)</f>
        <v/>
      </c>
      <c r="G54" s="16" t="inlineStr">
        <is>
          <t>301087.SZ</t>
        </is>
      </c>
      <c r="H54" s="39">
        <f>IFERROR(BDP("301087 CH Equity","PX_LAST"),"")</f>
        <v/>
      </c>
      <c r="I54" s="91" t="n"/>
      <c r="J54" s="39">
        <f>IF($I54&lt;&gt;"",$I54,$H54)</f>
        <v/>
      </c>
      <c r="K54" s="42">
        <f>IF(OR(N($F54)&lt;=0,N($J54)&lt;=0,N($D$4)&lt;=0),"",($J54*$D$4)/$F54-1)</f>
        <v/>
      </c>
      <c r="L54" s="92" t="n">
        <v>0.747</v>
      </c>
      <c r="M54" s="2" t="inlineStr">
        <is>
          <t>May 2026 H listing (home medical devices)</t>
        </is>
      </c>
    </row>
    <row r="55">
      <c r="A55" s="90" t="inlineStr">
        <is>
          <t>1081</t>
        </is>
      </c>
      <c r="B55" s="16" t="inlineStr">
        <is>
          <t>DAJIN</t>
        </is>
      </c>
      <c r="C55" s="16" t="inlineStr">
        <is>
          <t>Solar / wind supply chain</t>
        </is>
      </c>
      <c r="D55" s="39">
        <f>IFERROR(BDP("1081 HK Equity","PX_LAST"),"")</f>
        <v/>
      </c>
      <c r="E55" s="91" t="n"/>
      <c r="F55" s="39">
        <f>IF($E55&lt;&gt;"",$E55,$D55)</f>
        <v/>
      </c>
      <c r="G55" s="16" t="inlineStr">
        <is>
          <t>002487.SZ</t>
        </is>
      </c>
      <c r="H55" s="39">
        <f>IFERROR(BDP("002487 CH Equity","PX_LAST"),"")</f>
        <v/>
      </c>
      <c r="I55" s="91" t="n"/>
      <c r="J55" s="39">
        <f>IF($I55&lt;&gt;"",$I55,$H55)</f>
        <v/>
      </c>
      <c r="K55" s="42">
        <f>IF(OR(N($F55)&lt;=0,N($J55)&lt;=0,N($D$4)&lt;=0),"",($J55*$D$4)/$F55-1)</f>
        <v/>
      </c>
      <c r="L55" s="92" t="n">
        <v>0.3943</v>
      </c>
      <c r="M55" s="2" t="inlineStr">
        <is>
          <t>Jun 2026 H listing (offshore wind towers/monopiles)</t>
        </is>
      </c>
    </row>
    <row r="56">
      <c r="A56" s="90" t="inlineStr">
        <is>
          <t>6067</t>
        </is>
      </c>
      <c r="B56" s="16" t="inlineStr">
        <is>
          <t>SENIOR MATERIAL</t>
        </is>
      </c>
      <c r="C56" s="16" t="inlineStr">
        <is>
          <t>Batteries / energy storage</t>
        </is>
      </c>
      <c r="D56" s="39">
        <f>IFERROR(BDP("6067 HK Equity","PX_LAST"),"")</f>
        <v/>
      </c>
      <c r="E56" s="91" t="n"/>
      <c r="F56" s="39">
        <f>IF($E56&lt;&gt;"",$E56,$D56)</f>
        <v/>
      </c>
      <c r="G56" s="16" t="inlineStr">
        <is>
          <t>300568.SZ</t>
        </is>
      </c>
      <c r="H56" s="39">
        <f>IFERROR(BDP("300568 CH Equity","PX_LAST"),"")</f>
        <v/>
      </c>
      <c r="I56" s="91" t="n"/>
      <c r="J56" s="39">
        <f>IF($I56&lt;&gt;"",$I56,$H56)</f>
        <v/>
      </c>
      <c r="K56" s="42">
        <f>IF(OR(N($F56)&lt;=0,N($J56)&lt;=0,N($D$4)&lt;=0),"",($J56*$D$4)/$F56-1)</f>
        <v/>
      </c>
      <c r="L56" s="92" t="n">
        <v>1.1825</v>
      </c>
      <c r="M56" s="2" t="inlineStr">
        <is>
          <t>Jun 2026 H listing (battery separators)</t>
        </is>
      </c>
    </row>
    <row r="57">
      <c r="A57" s="90" t="inlineStr">
        <is>
          <t>3661</t>
        </is>
      </c>
      <c r="B57" s="16" t="inlineStr">
        <is>
          <t>SG MICRO</t>
        </is>
      </c>
      <c r="C57" s="16" t="inlineStr">
        <is>
          <t>AI chips &amp; semis</t>
        </is>
      </c>
      <c r="D57" s="39">
        <f>IFERROR(BDP("3661 HK Equity","PX_LAST"),"")</f>
        <v/>
      </c>
      <c r="E57" s="91" t="n"/>
      <c r="F57" s="39">
        <f>IF($E57&lt;&gt;"",$E57,$D57)</f>
        <v/>
      </c>
      <c r="G57" s="16" t="inlineStr">
        <is>
          <t>300661.SZ</t>
        </is>
      </c>
      <c r="H57" s="39">
        <f>IFERROR(BDP("300661 CH Equity","PX_LAST"),"")</f>
        <v/>
      </c>
      <c r="I57" s="91" t="n"/>
      <c r="J57" s="39">
        <f>IF($I57&lt;&gt;"",$I57,$H57)</f>
        <v/>
      </c>
      <c r="K57" s="42">
        <f>IF(OR(N($F57)&lt;=0,N($J57)&lt;=0,N($D$4)&lt;=0),"",($J57*$D$4)/$F57-1)</f>
        <v/>
      </c>
      <c r="L57" s="92" t="n">
        <v>0.3953</v>
      </c>
      <c r="M57" s="2" t="inlineStr">
        <is>
          <t>Jun 2026 H listing (analog chips)</t>
        </is>
      </c>
    </row>
    <row r="58">
      <c r="A58" s="90" t="inlineStr">
        <is>
          <t>1688</t>
        </is>
      </c>
      <c r="B58" s="16" t="inlineStr">
        <is>
          <t>LINGYI ITECH</t>
        </is>
      </c>
      <c r="C58" s="16" t="inlineStr">
        <is>
          <t>Smart hardware / consumer electronics</t>
        </is>
      </c>
      <c r="D58" s="39">
        <f>IFERROR(BDP("1688 HK Equity","PX_LAST"),"")</f>
        <v/>
      </c>
      <c r="E58" s="91" t="n"/>
      <c r="F58" s="39">
        <f>IF($E58&lt;&gt;"",$E58,$D58)</f>
        <v/>
      </c>
      <c r="G58" s="16" t="inlineStr">
        <is>
          <t>002600.SZ</t>
        </is>
      </c>
      <c r="H58" s="39">
        <f>IFERROR(BDP("002600 CH Equity","PX_LAST"),"")</f>
        <v/>
      </c>
      <c r="I58" s="91" t="n"/>
      <c r="J58" s="39">
        <f>IF($I58&lt;&gt;"",$I58,$H58)</f>
        <v/>
      </c>
      <c r="K58" s="42">
        <f>IF(OR(N($F58)&lt;=0,N($J58)&lt;=0,N($D$4)&lt;=0),"",($J58*$D$4)/$F58-1)</f>
        <v/>
      </c>
      <c r="L58" s="92" t="n">
        <v>1.28</v>
      </c>
      <c r="M58" s="2" t="inlineStr">
        <is>
          <t>Jun 2026 H listing (consumer-electronics precision parts)</t>
        </is>
      </c>
    </row>
    <row r="59">
      <c r="A59" s="90" t="inlineStr">
        <is>
          <t>9630</t>
        </is>
      </c>
      <c r="B59" s="16" t="inlineStr">
        <is>
          <t>CFMEE</t>
        </is>
      </c>
      <c r="C59" s="16" t="inlineStr">
        <is>
          <t>AI chips &amp; semis</t>
        </is>
      </c>
      <c r="D59" s="39">
        <f>IFERROR(BDP("9630 HK Equity","PX_LAST"),"")</f>
        <v/>
      </c>
      <c r="E59" s="91" t="n"/>
      <c r="F59" s="39">
        <f>IF($E59&lt;&gt;"",$E59,$D59)</f>
        <v/>
      </c>
      <c r="G59" s="16" t="inlineStr">
        <is>
          <t>688630.SS</t>
        </is>
      </c>
      <c r="H59" s="39">
        <f>IFERROR(BDP("688630 CH Equity","PX_LAST"),"")</f>
        <v/>
      </c>
      <c r="I59" s="91" t="n"/>
      <c r="J59" s="39">
        <f>IF($I59&lt;&gt;"",$I59,$H59)</f>
        <v/>
      </c>
      <c r="K59" s="42">
        <f>IF(OR(N($F59)&lt;=0,N($J59)&lt;=0,N($D$4)&lt;=0),"",($J59*$D$4)/$F59-1)</f>
        <v/>
      </c>
      <c r="L59" s="92" t="n">
        <v>0.4954</v>
      </c>
      <c r="M59" s="2" t="inlineStr">
        <is>
          <t>Jun 2026 H listing (direct-write lithography equipment)</t>
        </is>
      </c>
    </row>
    <row r="60">
      <c r="A60" s="90" t="inlineStr">
        <is>
          <t>0668</t>
        </is>
      </c>
      <c r="B60" s="16" t="inlineStr">
        <is>
          <t>ANKER</t>
        </is>
      </c>
      <c r="C60" s="16" t="inlineStr">
        <is>
          <t>Smart hardware / consumer electronics</t>
        </is>
      </c>
      <c r="D60" s="39">
        <f>IFERROR(BDP("668 HK Equity","PX_LAST"),"")</f>
        <v/>
      </c>
      <c r="E60" s="91" t="n"/>
      <c r="F60" s="39">
        <f>IF($E60&lt;&gt;"",$E60,$D60)</f>
        <v/>
      </c>
      <c r="G60" s="16" t="inlineStr">
        <is>
          <t>300866.SZ</t>
        </is>
      </c>
      <c r="H60" s="39">
        <f>IFERROR(BDP("300866 CH Equity","PX_LAST"),"")</f>
        <v/>
      </c>
      <c r="I60" s="91" t="n"/>
      <c r="J60" s="39">
        <f>IF($I60&lt;&gt;"",$I60,$H60)</f>
        <v/>
      </c>
      <c r="K60" s="42">
        <f>IF(OR(N($F60)&lt;=0,N($J60)&lt;=0,N($D$4)&lt;=0),"",($J60*$D$4)/$F60-1)</f>
        <v/>
      </c>
      <c r="L60" s="92" t="n">
        <v>0.1257</v>
      </c>
      <c r="M60" s="2" t="inlineStr">
        <is>
          <t>Jun 2026 H listing (consumer charging/power brands)</t>
        </is>
      </c>
    </row>
    <row r="61">
      <c r="A61" s="90" t="inlineStr">
        <is>
          <t>0537</t>
        </is>
      </c>
      <c r="B61" s="16" t="inlineStr">
        <is>
          <t>RIGOL</t>
        </is>
      </c>
      <c r="C61" s="16" t="inlineStr">
        <is>
          <t>Capital goods / machinery</t>
        </is>
      </c>
      <c r="D61" s="39">
        <f>IFERROR(BDP("537 HK Equity","PX_LAST"),"")</f>
        <v/>
      </c>
      <c r="E61" s="91" t="n"/>
      <c r="F61" s="39">
        <f>IF($E61&lt;&gt;"",$E61,$D61)</f>
        <v/>
      </c>
      <c r="G61" s="16" t="inlineStr">
        <is>
          <t>688337.SS</t>
        </is>
      </c>
      <c r="H61" s="39">
        <f>IFERROR(BDP("688337 CH Equity","PX_LAST"),"")</f>
        <v/>
      </c>
      <c r="I61" s="91" t="n"/>
      <c r="J61" s="39">
        <f>IF($I61&lt;&gt;"",$I61,$H61)</f>
        <v/>
      </c>
      <c r="K61" s="42">
        <f>IF(OR(N($F61)&lt;=0,N($J61)&lt;=0,N($D$4)&lt;=0),"",($J61*$D$4)/$F61-1)</f>
        <v/>
      </c>
      <c r="L61" s="92" t="n">
        <v>1.0859</v>
      </c>
      <c r="M61" s="2" t="inlineStr">
        <is>
          <t>Jul 2026 H listing (electronic test &amp; measurement)</t>
        </is>
      </c>
    </row>
    <row r="62">
      <c r="A62" s="90" t="inlineStr">
        <is>
          <t>2475</t>
        </is>
      </c>
      <c r="B62" s="16" t="inlineStr">
        <is>
          <t>LUXSHARE ICT</t>
        </is>
      </c>
      <c r="C62" s="16" t="inlineStr">
        <is>
          <t>Smart hardware / consumer electronics</t>
        </is>
      </c>
      <c r="D62" s="39">
        <f>IFERROR(BDP("2475 HK Equity","PX_LAST"),"")</f>
        <v/>
      </c>
      <c r="E62" s="91" t="n"/>
      <c r="F62" s="39">
        <f>IF($E62&lt;&gt;"",$E62,$D62)</f>
        <v/>
      </c>
      <c r="G62" s="16" t="inlineStr">
        <is>
          <t>002475.SZ</t>
        </is>
      </c>
      <c r="H62" s="39">
        <f>IFERROR(BDP("002475 CH Equity","PX_LAST"),"")</f>
        <v/>
      </c>
      <c r="I62" s="91" t="n"/>
      <c r="J62" s="39">
        <f>IF($I62&lt;&gt;"",$I62,$H62)</f>
        <v/>
      </c>
      <c r="K62" s="42">
        <f>IF(OR(N($F62)&lt;=0,N($J62)&lt;=0,N($D$4)&lt;=0),"",($J62*$D$4)/$F62-1)</f>
        <v/>
      </c>
      <c r="L62" s="92" t="n">
        <v>0.06469999999999999</v>
      </c>
      <c r="M62" s="2" t="inlineStr">
        <is>
          <t>Jul 2026, ~US$3.1bn — largest HK IPO of 2026 until Innolight</t>
        </is>
      </c>
    </row>
    <row r="63">
      <c r="A63" s="90" t="inlineStr">
        <is>
          <t>6951</t>
        </is>
      </c>
      <c r="B63" s="16" t="inlineStr">
        <is>
          <t>CCTC</t>
        </is>
      </c>
      <c r="C63" s="16" t="inlineStr">
        <is>
          <t>Smart hardware / consumer electronics</t>
        </is>
      </c>
      <c r="D63" s="39">
        <f>IFERROR(BDP("6951 HK Equity","PX_LAST"),"")</f>
        <v/>
      </c>
      <c r="E63" s="91" t="n"/>
      <c r="F63" s="39">
        <f>IF($E63&lt;&gt;"",$E63,$D63)</f>
        <v/>
      </c>
      <c r="G63" s="16" t="inlineStr">
        <is>
          <t>300408.SZ</t>
        </is>
      </c>
      <c r="H63" s="39">
        <f>IFERROR(BDP("300408 CH Equity","PX_LAST"),"")</f>
        <v/>
      </c>
      <c r="I63" s="91" t="n"/>
      <c r="J63" s="39">
        <f>IF($I63&lt;&gt;"",$I63,$H63)</f>
        <v/>
      </c>
      <c r="K63" s="42">
        <f>IF(OR(N($F63)&lt;=0,N($J63)&lt;=0,N($D$4)&lt;=0),"",($J63*$D$4)/$F63-1)</f>
        <v/>
      </c>
      <c r="L63" s="92" t="n">
        <v>0.2069</v>
      </c>
      <c r="M63" s="2" t="inlineStr">
        <is>
          <t>Jul 2026 H listing (ceramic components; targeted ~US$1bn)</t>
        </is>
      </c>
    </row>
    <row r="64">
      <c r="A64" s="90" t="inlineStr">
        <is>
          <t>1377</t>
        </is>
      </c>
      <c r="B64" s="16" t="inlineStr">
        <is>
          <t>DTECH</t>
        </is>
      </c>
      <c r="C64" s="16" t="inlineStr">
        <is>
          <t>Smart hardware / consumer electronics</t>
        </is>
      </c>
      <c r="D64" s="39">
        <f>IFERROR(BDP("1377 HK Equity","PX_LAST"),"")</f>
        <v/>
      </c>
      <c r="E64" s="91" t="n"/>
      <c r="F64" s="39">
        <f>IF($E64&lt;&gt;"",$E64,$D64)</f>
        <v/>
      </c>
      <c r="G64" s="16" t="inlineStr">
        <is>
          <t>301377.SZ</t>
        </is>
      </c>
      <c r="H64" s="39">
        <f>IFERROR(BDP("301377 CH Equity","PX_LAST"),"")</f>
        <v/>
      </c>
      <c r="I64" s="91" t="n"/>
      <c r="J64" s="39">
        <f>IF($I64&lt;&gt;"",$I64,$H64)</f>
        <v/>
      </c>
      <c r="K64" s="42">
        <f>IF(OR(N($F64)&lt;=0,N($J64)&lt;=0,N($D$4)&lt;=0),"",($J64*$D$4)/$F64-1)</f>
        <v/>
      </c>
      <c r="L64" s="92" t="n">
        <v>0.3173</v>
      </c>
      <c r="M64" s="2" t="inlineStr">
        <is>
          <t>Jul 2026 H listing (PCB drilling tools)</t>
        </is>
      </c>
    </row>
    <row r="65">
      <c r="A65" s="90" t="inlineStr">
        <is>
          <t>6745</t>
        </is>
      </c>
      <c r="B65" s="16" t="inlineStr">
        <is>
          <t>BEFAR GROUP</t>
        </is>
      </c>
      <c r="C65" s="16" t="inlineStr">
        <is>
          <t>Chemicals</t>
        </is>
      </c>
      <c r="D65" s="39">
        <f>IFERROR(BDP("6745 HK Equity","PX_LAST"),"")</f>
        <v/>
      </c>
      <c r="E65" s="91" t="n"/>
      <c r="F65" s="39">
        <f>IF($E65&lt;&gt;"",$E65,$D65)</f>
        <v/>
      </c>
      <c r="G65" s="16" t="inlineStr">
        <is>
          <t>601678.SS</t>
        </is>
      </c>
      <c r="H65" s="39">
        <f>IFERROR(BDP("601678 CH Equity","PX_LAST"),"")</f>
        <v/>
      </c>
      <c r="I65" s="91" t="n"/>
      <c r="J65" s="39">
        <f>IF($I65&lt;&gt;"",$I65,$H65)</f>
        <v/>
      </c>
      <c r="K65" s="42">
        <f>IF(OR(N($F65)&lt;=0,N($J65)&lt;=0,N($D$4)&lt;=0),"",($J65*$D$4)/$F65-1)</f>
        <v/>
      </c>
      <c r="L65" s="92" t="n">
        <v>1.4131</v>
      </c>
      <c r="M65" s="2" t="inlineStr">
        <is>
          <t>Jul 2026 H listing (chlor-alkali/chemicals)</t>
        </is>
      </c>
    </row>
    <row r="66">
      <c r="A66" s="90" t="inlineStr">
        <is>
          <t>2249</t>
        </is>
      </c>
      <c r="B66" s="16" t="inlineStr">
        <is>
          <t>NEXCHIP</t>
        </is>
      </c>
      <c r="C66" s="16" t="inlineStr">
        <is>
          <t>AI chips &amp; semis</t>
        </is>
      </c>
      <c r="D66" s="39">
        <f>IFERROR(BDP("2249 HK Equity","PX_LAST"),"")</f>
        <v/>
      </c>
      <c r="E66" s="91" t="n"/>
      <c r="F66" s="39">
        <f>IF($E66&lt;&gt;"",$E66,$D66)</f>
        <v/>
      </c>
      <c r="G66" s="16" t="inlineStr">
        <is>
          <t>688249.SS</t>
        </is>
      </c>
      <c r="H66" s="39">
        <f>IFERROR(BDP("688249 CH Equity","PX_LAST"),"")</f>
        <v/>
      </c>
      <c r="I66" s="91" t="n"/>
      <c r="J66" s="39">
        <f>IF($I66&lt;&gt;"",$I66,$H66)</f>
        <v/>
      </c>
      <c r="K66" s="42">
        <f>IF(OR(N($F66)&lt;=0,N($J66)&lt;=0,N($D$4)&lt;=0),"",($J66*$D$4)/$F66-1)</f>
        <v/>
      </c>
      <c r="L66" s="92" t="n">
        <v>0.547</v>
      </c>
      <c r="M66" s="2" t="inlineStr">
        <is>
          <t>Jul 2026 H listing (foundry)</t>
        </is>
      </c>
    </row>
    <row r="67">
      <c r="A67" s="90" t="inlineStr">
        <is>
          <t>3308</t>
        </is>
      </c>
      <c r="B67" s="16" t="inlineStr">
        <is>
          <t>ZJ INNOLIGHT</t>
        </is>
      </c>
      <c r="C67" s="16" t="inlineStr">
        <is>
          <t>Smart hardware / consumer electronics</t>
        </is>
      </c>
      <c r="D67" s="39">
        <f>IFERROR(BDP("3308 HK Equity","PX_LAST"),"")</f>
        <v/>
      </c>
      <c r="E67" s="91" t="n"/>
      <c r="F67" s="39">
        <f>IF($E67&lt;&gt;"",$E67,$D67)</f>
        <v/>
      </c>
      <c r="G67" s="16" t="inlineStr">
        <is>
          <t>300308.SZ</t>
        </is>
      </c>
      <c r="H67" s="39">
        <f>IFERROR(BDP("300308 CH Equity","PX_LAST"),"")</f>
        <v/>
      </c>
      <c r="I67" s="91" t="n"/>
      <c r="J67" s="39">
        <f>IF($I67&lt;&gt;"",$I67,$H67)</f>
        <v/>
      </c>
      <c r="K67" s="42">
        <f>IF(OR(N($F67)&lt;=0,N($J67)&lt;=0,N($D$4)&lt;=0),"",($J67*$D$4)/$F67-1)</f>
        <v/>
      </c>
      <c r="L67" s="92" t="n">
        <v>0.004</v>
      </c>
      <c r="M67" s="2" t="inlineStr">
        <is>
          <t>Jul 2026 — Hong Kong's largest IPO in seven years (optical transceivers for AI datacenters)</t>
        </is>
      </c>
    </row>
    <row r="68"/>
    <row r="69"/>
    <row r="70">
      <c r="A70" s="14" t="inlineStr">
        <is>
          <t>NO A-SHARE LINE — closest pure-A proxies</t>
        </is>
      </c>
    </row>
    <row r="71">
      <c r="A71" s="12" t="inlineStr">
        <is>
          <t>H code</t>
        </is>
      </c>
      <c r="B71" s="12" t="inlineStr">
        <is>
          <t>Name</t>
        </is>
      </c>
      <c r="C71" s="12" t="inlineStr">
        <is>
          <t>Proxy A code</t>
        </is>
      </c>
      <c r="D71" s="12" t="inlineStr">
        <is>
          <t>Proxy name</t>
        </is>
      </c>
      <c r="E71" s="12" t="inlineStr">
        <is>
          <t>Rationale</t>
        </is>
      </c>
    </row>
    <row r="72">
      <c r="A72" s="90" t="inlineStr">
        <is>
          <t>1024</t>
        </is>
      </c>
      <c r="B72" s="16" t="inlineStr">
        <is>
          <t>KUAISHOU-W</t>
        </is>
      </c>
      <c r="C72" s="16" t="inlineStr">
        <is>
          <t>300413.SZ</t>
        </is>
      </c>
      <c r="D72" s="16" t="inlineStr">
        <is>
          <t>Mango Excellent Media</t>
        </is>
      </c>
      <c r="E72" s="2" t="inlineStr">
        <is>
          <t>A-shares have no short-video platform; Mango (Hunan TV streaming/content) is the standard A-share video-platform traffic-and-ads proxy.</t>
        </is>
      </c>
    </row>
    <row r="73">
      <c r="A73" s="90" t="inlineStr">
        <is>
          <t>0020</t>
        </is>
      </c>
      <c r="B73" s="16" t="inlineStr">
        <is>
          <t>SENSETIME-W</t>
        </is>
      </c>
      <c r="C73" s="16" t="inlineStr">
        <is>
          <t>688327.SS</t>
        </is>
      </c>
      <c r="D73" s="16" t="inlineStr">
        <is>
          <t>CloudWalk Technology</t>
        </is>
      </c>
      <c r="E73" s="2" t="inlineStr">
        <is>
          <t>Pure A-share computer-vision AI platform ('AI four dragons' peer) — the direct A analogue.</t>
        </is>
      </c>
    </row>
    <row r="74">
      <c r="A74" s="90" t="inlineStr">
        <is>
          <t>6682</t>
        </is>
      </c>
      <c r="B74" s="16" t="inlineStr">
        <is>
          <t>FOURTH PARADIGM</t>
        </is>
      </c>
      <c r="C74" s="16" t="inlineStr">
        <is>
          <t>600588.SS</t>
        </is>
      </c>
      <c r="D74" s="16" t="inlineStr">
        <is>
          <t>Yonyou Network</t>
        </is>
      </c>
      <c r="E74" s="2" t="inlineStr">
        <is>
          <t>Enterprise-software platform embedding AI into corporate decision/ERP workflows — closest A-share enterprise-AI software exposure.</t>
        </is>
      </c>
    </row>
    <row r="75">
      <c r="A75" s="90" t="inlineStr">
        <is>
          <t>6181</t>
        </is>
      </c>
      <c r="B75" s="16" t="inlineStr">
        <is>
          <t>LAOPU GOLD</t>
        </is>
      </c>
      <c r="C75" s="16" t="inlineStr">
        <is>
          <t>002345.SZ</t>
        </is>
      </c>
      <c r="D75" s="16" t="inlineStr">
        <is>
          <t>Chow Hong Ji (CHJ Jewellery)</t>
        </is>
      </c>
      <c r="E75" s="2" t="inlineStr">
        <is>
          <t>A-listed fashion/heritage gold jewellery brand with craftsmanship positioning — nearest to Laopu's ancient-gold premium retail model (large-cap alternative: Lao Feng Xiang 600612.SS).</t>
        </is>
      </c>
    </row>
    <row r="76">
      <c r="A76" s="90" t="inlineStr">
        <is>
          <t>9660</t>
        </is>
      </c>
      <c r="B76" s="16" t="inlineStr">
        <is>
          <t>HORIZONROBOT-W</t>
        </is>
      </c>
      <c r="C76" s="16" t="inlineStr">
        <is>
          <t>002920.SZ</t>
        </is>
      </c>
      <c r="D76" s="16" t="inlineStr">
        <is>
          <t>Desay SV Automotive</t>
        </is>
      </c>
      <c r="E76" s="2" t="inlineStr">
        <is>
          <t>Leading A-share intelligent-driving domain-controller/ADAS tier-1 — the closest pure-A exposure to the China ADAS adoption curve that Horizon's Journey SoCs ride.</t>
        </is>
      </c>
    </row>
    <row r="77">
      <c r="A77" s="90" t="inlineStr">
        <is>
          <t>0325</t>
        </is>
      </c>
      <c r="B77" s="16" t="inlineStr">
        <is>
          <t>BLOKS</t>
        </is>
      </c>
      <c r="C77" s="16" t="inlineStr">
        <is>
          <t>002292.SZ</t>
        </is>
      </c>
      <c r="D77" s="16" t="inlineStr">
        <is>
          <t>Alpha Group</t>
        </is>
      </c>
      <c r="E77" s="2" t="inlineStr">
        <is>
          <t>Pop Mart/Bloks-style IP toys have no A pure-play; Alpha is the A-share IP toy and animation-merchandise name.</t>
        </is>
      </c>
    </row>
    <row r="78">
      <c r="A78" s="90" t="inlineStr">
        <is>
          <t>2097</t>
        </is>
      </c>
      <c r="B78" s="16" t="inlineStr">
        <is>
          <t>MIXUE GROUP</t>
        </is>
      </c>
      <c r="C78" s="16" t="inlineStr">
        <is>
          <t>603711.SS</t>
        </is>
      </c>
      <c r="D78" s="16" t="inlineStr">
        <is>
          <t>Xiangpiaopiao Food</t>
        </is>
      </c>
      <c r="E78" s="2" t="inlineStr">
        <is>
          <t>No A-listed freshly-made-drinks chain exists; Xiangpiaopiao is the A-share mass-market tea-drink franchise/brand play closest to Mixue's price point.</t>
        </is>
      </c>
    </row>
    <row r="79">
      <c r="A79" s="90" t="inlineStr">
        <is>
          <t>9678</t>
        </is>
      </c>
      <c r="B79" s="16" t="inlineStr">
        <is>
          <t>UNISOUND</t>
        </is>
      </c>
      <c r="C79" s="16" t="inlineStr">
        <is>
          <t>002230.SZ</t>
        </is>
      </c>
      <c r="D79" s="16" t="inlineStr">
        <is>
          <t>iFlytek</t>
        </is>
      </c>
      <c r="E79" s="2" t="inlineStr">
        <is>
          <t>Direct A-share competitor in voice AI and speech-centric LLMs (Spark model).</t>
        </is>
      </c>
    </row>
    <row r="80">
      <c r="A80" s="90" t="inlineStr">
        <is>
          <t>6082</t>
        </is>
      </c>
      <c r="B80" s="16" t="inlineStr">
        <is>
          <t>BIREN TECH</t>
        </is>
      </c>
      <c r="C80" s="16" t="inlineStr">
        <is>
          <t>688256.SS</t>
        </is>
      </c>
      <c r="D80" s="16" t="inlineStr">
        <is>
          <t>Cambricon Technologies</t>
        </is>
      </c>
      <c r="E80" s="2" t="inlineStr">
        <is>
          <t>The A-share domestic AI-compute (GPGPU/accelerator) pure-play — closest proxy for Biren's training-GPU story.</t>
        </is>
      </c>
    </row>
    <row r="81">
      <c r="A81" s="90" t="inlineStr">
        <is>
          <t>9903</t>
        </is>
      </c>
      <c r="B81" s="16" t="inlineStr">
        <is>
          <t>ILUVATAR COREX</t>
        </is>
      </c>
      <c r="C81" s="16" t="inlineStr">
        <is>
          <t>688256.SS</t>
        </is>
      </c>
      <c r="D81" s="16" t="inlineStr">
        <is>
          <t>Cambricon Technologies</t>
        </is>
      </c>
      <c r="E81" s="2" t="inlineStr">
        <is>
          <t>Same domestic AI-accelerator substitution theme; Cambricon is the only liquid A pure-play.</t>
        </is>
      </c>
    </row>
    <row r="82">
      <c r="A82" s="90" t="inlineStr">
        <is>
          <t>0100</t>
        </is>
      </c>
      <c r="B82" s="16" t="inlineStr">
        <is>
          <t>MINIMAX-WP</t>
        </is>
      </c>
      <c r="C82" s="16" t="inlineStr">
        <is>
          <t>300418.SZ</t>
        </is>
      </c>
      <c r="D82" s="16" t="inlineStr">
        <is>
          <t>Kunlun Tech</t>
        </is>
      </c>
      <c r="E82" s="2" t="inlineStr">
        <is>
          <t>Owns the in-house Skywork/Tiangong LLM family — the nearest A-share to a pure LLM-developer exposure.</t>
        </is>
      </c>
    </row>
    <row r="83">
      <c r="A83" s="90" t="inlineStr">
        <is>
          <t>0600</t>
        </is>
      </c>
      <c r="B83" s="16" t="inlineStr">
        <is>
          <t>AXERA</t>
        </is>
      </c>
      <c r="C83" s="16" t="inlineStr">
        <is>
          <t>603893.SS</t>
        </is>
      </c>
      <c r="D83" s="16" t="inlineStr">
        <is>
          <t>Rockchip Electronics</t>
        </is>
      </c>
      <c r="E83" s="2" t="inlineStr">
        <is>
          <t>A-share edge-AI SoC designer — nearest listed comp to Axera's smart-vision/edge inference chips.</t>
        </is>
      </c>
    </row>
    <row r="84">
      <c r="A84" s="90" t="inlineStr">
        <is>
          <t>1956</t>
        </is>
      </c>
      <c r="B84" s="16" t="inlineStr">
        <is>
          <t>WENGE AI</t>
        </is>
      </c>
      <c r="C84" s="16" t="inlineStr">
        <is>
          <t>300229.SZ</t>
        </is>
      </c>
      <c r="D84" s="16" t="inlineStr">
        <is>
          <t>TRS Information Technology</t>
        </is>
      </c>
      <c r="E84" s="2" t="inlineStr">
        <is>
          <t>A-share NLP/big-data software house serving media and government analytics — same niche as Wenge's decision-intelligence LLM stack.</t>
        </is>
      </c>
    </row>
  </sheetData>
  <conditionalFormatting sqref="K7:K67">
    <cfRule type="expression" priority="1" dxfId="1">
      <formula>ABS(K7)&gt;0.3</formula>
    </cfRule>
  </conditionalFormatting>
  <pageMargins left="0.75" right="0.75" top="1" bottom="1" header="0.5" footer="0.5"/>
</worksheet>
</file>

<file path=xl/worksheets/sheet5.xml><?xml version="1.0" encoding="utf-8"?>
<worksheet xmlns="http://schemas.openxmlformats.org/spreadsheetml/2006/main">
  <sheetPr>
    <tabColor rgb="00BFBFBF"/>
    <outlinePr summaryBelow="1" summaryRight="1"/>
    <pageSetUpPr/>
  </sheetPr>
  <dimension ref="A1:K1057"/>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44" customWidth="1" min="1" max="1"/>
    <col width="7" customWidth="1" min="2" max="2"/>
    <col width="9" customWidth="1" min="3" max="3"/>
    <col width="13" customWidth="1" min="4" max="4"/>
    <col width="11" customWidth="1" min="5" max="5"/>
    <col width="11" customWidth="1" min="6" max="6"/>
    <col width="11" customWidth="1" min="7" max="7"/>
    <col width="13" customWidth="1" min="8" max="8"/>
    <col width="13" customWidth="1" min="9" max="9"/>
    <col width="13" customWidth="1" min="10" max="10"/>
    <col width="70" customWidth="1" min="11" max="11"/>
  </cols>
  <sheetData>
    <row r="1">
      <c r="A1" s="1" t="inlineStr">
        <is>
          <t>CORNERSTONE LEAGUE — how deals anchored by each investor traded</t>
        </is>
      </c>
    </row>
    <row r="2">
      <c r="A2" s="2" t="inlineStr">
        <is>
          <t>One row per investor (grouped on the Screener's normalized key, so long/short forms of one house count once). Averages are simple means across their deals: day-1 pop = offer→close; ex-pop legs strip the pop (day-1 close→1w/1m/3m). Hit = share of their deals closing day-1 above offer. Use the filter arrows to cut by deal count.</t>
        </is>
      </c>
    </row>
    <row r="3">
      <c r="D3" s="14" t="inlineStr">
        <is>
          <t>WITH POP — vs offer</t>
        </is>
      </c>
      <c r="H3" s="14" t="inlineStr">
        <is>
          <t>EX-POP — from day-1 close</t>
        </is>
      </c>
    </row>
    <row r="4">
      <c r="A4" s="12" t="inlineStr">
        <is>
          <t>Investor</t>
        </is>
      </c>
      <c r="B4" s="12" t="inlineStr">
        <is>
          <t>Deals</t>
        </is>
      </c>
      <c r="C4" s="12" t="inlineStr">
        <is>
          <t>Day-1 hit</t>
        </is>
      </c>
      <c r="D4" s="12" t="inlineStr">
        <is>
          <t>Avg day-1 pop</t>
        </is>
      </c>
      <c r="E4" s="12" t="inlineStr">
        <is>
          <t>Avg 1w</t>
        </is>
      </c>
      <c r="F4" s="12" t="inlineStr">
        <is>
          <t>Avg 1m</t>
        </is>
      </c>
      <c r="G4" s="12" t="inlineStr">
        <is>
          <t>Avg 3m</t>
        </is>
      </c>
      <c r="H4" s="12" t="inlineStr">
        <is>
          <t>Avg 1w ex-pop</t>
        </is>
      </c>
      <c r="I4" s="12" t="inlineStr">
        <is>
          <t>Avg 1m ex-pop</t>
        </is>
      </c>
      <c r="J4" s="12" t="inlineStr">
        <is>
          <t>Avg 3m ex-pop</t>
        </is>
      </c>
      <c r="K4" s="12" t="inlineStr">
        <is>
          <t>Their deals (code · name)</t>
        </is>
      </c>
    </row>
    <row r="5">
      <c r="A5" s="16" t="inlineStr">
        <is>
          <t>GF Fund Management Co., Ltd</t>
        </is>
      </c>
      <c r="B5" s="88" t="n">
        <v>36</v>
      </c>
      <c r="C5" s="93" t="n">
        <v>61</v>
      </c>
      <c r="D5" s="94" t="n">
        <v>31.1</v>
      </c>
      <c r="E5" s="94" t="n">
        <v>26.4</v>
      </c>
      <c r="F5" s="94" t="n">
        <v>11.7</v>
      </c>
      <c r="G5" s="94" t="n">
        <v>28.8</v>
      </c>
      <c r="H5" s="94" t="n">
        <v>-3.1</v>
      </c>
      <c r="I5" s="94" t="n">
        <v>-11.9</v>
      </c>
      <c r="J5" s="94" t="n">
        <v>4.9</v>
      </c>
      <c r="K5" s="95" t="inlineStr">
        <is>
          <t>2171 CARSGEN-B; 2150 NAYUKI; 2251 AIRDOC-B; 6633 QINGCI GAMES; 2246 GOGOX; 9863 LEAPMOTOR; 2420 ZIBUYU; 2415 MEDSCI; 2865 DRINDA; 3288 HAITIAN FLAV; 6168 ZHOU LIU FU; 3858 JIAXIN INTL RES; 2595 GENFLEET-B; 9973 CHERY AUTO; 0638 FIBOCOM; 9927 SERES; 2658 TIANYU SEMI; 2513 KNOWLEDGE ATLAS; 9611 LONGCHEER; 2692 ZHAOWEI; 3355 FS.COM; 3277 GPIXEL; 1879 XIZHI TECH-P; 7666 METIS TECHBIO-P; 6067 SENIOR MATERIAL; 6106 SEER TECH; 3661 SG MICRO; 1688 LINGYI ITECH; 9630 CFMEE; 6228 MERDEKAGOLD-DRS; 9637 ALEBUND-B; 6880 MOMENTA-W; 7687 EACON; 3752 ROKAE ROBOTICS; 2475 LUXSHARE ICT; 2249 NEXCHIP</t>
        </is>
      </c>
    </row>
    <row r="6">
      <c r="A6" s="16" t="inlineStr">
        <is>
          <t>Harvest International Premium Value (Secondary Market) Fund SPC</t>
        </is>
      </c>
      <c r="B6" s="88" t="n">
        <v>34</v>
      </c>
      <c r="C6" s="93" t="n">
        <v>47</v>
      </c>
      <c r="D6" s="94" t="n">
        <v>6.6</v>
      </c>
      <c r="E6" s="94" t="n">
        <v>11</v>
      </c>
      <c r="F6" s="94" t="n">
        <v>14.5</v>
      </c>
      <c r="G6" s="94" t="n">
        <v>25.5</v>
      </c>
      <c r="H6" s="94" t="n">
        <v>5.1</v>
      </c>
      <c r="I6" s="94" t="n">
        <v>8.4</v>
      </c>
      <c r="J6" s="94" t="n">
        <v>21.3</v>
      </c>
      <c r="K6" s="95" t="inlineStr">
        <is>
          <t>9858 YOURAN DAIRY; 6633 QINGCI GAMES; 6639 ARRAIL GROUP; 2179 RECBIO-B; 2325 YUNKANG GROUP; 9955 CLOUDR; 2172 MICROPORT NEURO; 9857 LINMON MEDIA; 9886 DINGDANG HEALTH; 2291 SCIENTECH; 1244 3D MEDICINES-B; 6955 BOAN BIOTECH-B; 2402 SINOHYTEC; 2373 BEAUTYFARM MED; 2415 MEDSCI; 2480 LUZHU BIOTECH-B; 2487 CUTIA-B; 1541 IMMUNEONCO-B; 1274 IMOTIONAUTOTECH; 6911 LANCANG TEA; 9879 MIGAO GROUP; 2465 LOPAL TECH; 2613 CONTIOCEAN; 2609 BAYZED HEALTH; 6603 IFBH; 3696 INSILICO; 2715 ESTUN; 2701 NSING TECH; 6067 SENIOR MATERIAL; 1956 WENGE AI; 3661 SG MICRO; 3952 LAIFUAL; 2475 LUXSHARE ICT; 2249 NEXCHIP</t>
        </is>
      </c>
    </row>
    <row r="7">
      <c r="A7" s="16" t="inlineStr">
        <is>
          <t>UBS Asset Management (Singapore) Ltd</t>
        </is>
      </c>
      <c r="B7" s="88" t="n">
        <v>32</v>
      </c>
      <c r="C7" s="93" t="n">
        <v>75</v>
      </c>
      <c r="D7" s="94" t="n">
        <v>38.2</v>
      </c>
      <c r="E7" s="94" t="n">
        <v>37.7</v>
      </c>
      <c r="F7" s="94" t="n">
        <v>34</v>
      </c>
      <c r="G7" s="94" t="n">
        <v>30.4</v>
      </c>
      <c r="H7" s="94" t="n">
        <v>-0.5</v>
      </c>
      <c r="I7" s="94" t="n">
        <v>1</v>
      </c>
      <c r="J7" s="94" t="n">
        <v>-0.3</v>
      </c>
      <c r="K7" s="95" t="inlineStr">
        <is>
          <t>2150 NAYUKI; 2162 KEYMED BIO-B; 2137 BRII - B; 2216 BRONCUS-B; 2256 ABBISKO-B; 2235 MICROTECH MED-B; 2273 GUSHENGTANG; 2602 ONEWO; 2268 WUXI XDC; 0300 MIDEA GROUP; 2460 CR BEVERAGE; 0325 BLOKS; 1276 HENGRUI PHARMA; 6603 IFBH; 6613 LENS; 2259 ZIJIN GOLD INTL; 6031 SANY HEAVY IND; 3887 HASHKEY HLDGS; 3696 INSILICO; 0501 OMNIVISION; 2714 MUYUAN; 6809 MONTAGE TECH; 1989 DELTON; 6656 SIGENERGY; 3277 GPIXEL; 3296 HUAQIN; 1879 XIZHI TECH-P; 7666 METIS TECHBIO-P; 7688 TOPNC; 1081 DAJIN; 1191 CREALIGHTS; 0668 ANKER</t>
        </is>
      </c>
    </row>
    <row r="8">
      <c r="A8" s="16" t="inlineStr">
        <is>
          <t>HHLR Advisors, Ltd</t>
        </is>
      </c>
      <c r="B8" s="88" t="n">
        <v>27</v>
      </c>
      <c r="C8" s="93" t="n">
        <v>70</v>
      </c>
      <c r="D8" s="94" t="n">
        <v>40.1</v>
      </c>
      <c r="E8" s="94" t="n">
        <v>36.2</v>
      </c>
      <c r="F8" s="94" t="n">
        <v>23.8</v>
      </c>
      <c r="G8" s="94" t="n">
        <v>27.8</v>
      </c>
      <c r="H8" s="94" t="n">
        <v>-2</v>
      </c>
      <c r="I8" s="94" t="n">
        <v>-9.4</v>
      </c>
      <c r="J8" s="94" t="n">
        <v>-4.7</v>
      </c>
      <c r="K8" s="95" t="inlineStr">
        <is>
          <t>2197 CLOVER BIO-B; 2602 ONEWO; 2097 MIXUE GROUP; 3750 CATL; 1276 HENGRUI PHARMA; 2525 HESAI-W; 9973 CHERY AUTO; 2788 CHUANGXIN IND; 3200 HANS CNC; 9981 WOER; 2692 ZHAOWEI; 1021 HUAYAN ROBOTICS; 6656 SIGENERGY; 3277 GPIXEL; 2476 VGT; 1879 XIZHI TECH-P; 7666 METIS TECHBIO-P; 7688 TOPNC; 1081 DAJIN; 6106 SEER TECH; 3661 SG MICRO; 9630 CFMEE; 0537 RIGOL; 2475 LUXSHARE ICT; 1377 DTECH; 2249 NEXCHIP; 3308 ZJ INNOLIGHT</t>
        </is>
      </c>
    </row>
    <row r="9">
      <c r="A9" s="16" t="inlineStr">
        <is>
          <t>CPE Greater China Enterprises Growth Fund</t>
        </is>
      </c>
      <c r="B9" s="88" t="n">
        <v>22</v>
      </c>
      <c r="C9" s="93" t="n">
        <v>64</v>
      </c>
      <c r="D9" s="94" t="n">
        <v>44.3</v>
      </c>
      <c r="E9" s="94" t="n">
        <v>45.4</v>
      </c>
      <c r="F9" s="94" t="n">
        <v>39.4</v>
      </c>
      <c r="G9" s="94" t="n">
        <v>67.59999999999999</v>
      </c>
      <c r="H9" s="94" t="n">
        <v>1</v>
      </c>
      <c r="I9" s="94" t="n">
        <v>-1.3</v>
      </c>
      <c r="J9" s="94" t="n">
        <v>14.9</v>
      </c>
      <c r="K9" s="95" t="inlineStr">
        <is>
          <t>2160 CARDIOFLOW-B; 6127 JOINN; 6669 ACOTEC-B; 6181 LAOPU GOLD; 0300 MIDEA GROUP; 1318 MAO GEPING; 3750 CATL; 7618 JD INDUSTRIALS; 1989 DELTON; 6656 SIGENERGY; 3277 GPIXEL; 2476 VGT; 1879 XIZHI TECH-P; 3388 CREALITY; 1081 DAJIN; 3661 SG MICRO; 9630 CFMEE; 0537 RIGOL; 2475 LUXSHARE ICT; 6951 CCTC; 1377 DTECH; 3308 ZJ INNOLIGHT</t>
        </is>
      </c>
    </row>
    <row r="10">
      <c r="A10" s="16" t="inlineStr">
        <is>
          <t>Taikang Life Insurance Co., Ltd</t>
        </is>
      </c>
      <c r="B10" s="88" t="n">
        <v>22</v>
      </c>
      <c r="C10" s="93" t="n">
        <v>73</v>
      </c>
      <c r="D10" s="94" t="n">
        <v>20.5</v>
      </c>
      <c r="E10" s="94" t="n">
        <v>27.6</v>
      </c>
      <c r="F10" s="94" t="n">
        <v>19.6</v>
      </c>
      <c r="G10" s="94" t="n">
        <v>88.90000000000001</v>
      </c>
      <c r="H10" s="94" t="n">
        <v>4.1</v>
      </c>
      <c r="I10" s="94" t="n">
        <v>1</v>
      </c>
      <c r="J10" s="94" t="n">
        <v>56.5</v>
      </c>
      <c r="K10" s="95" t="inlineStr">
        <is>
          <t>2160 CARDIOFLOW-B; 3750 CATL; 2050 SANHUA; 2525 HESAI-W; 6166 CIG; 3696 INSILICO; 2513 KNOWLEDGE ATLAS; 6938 RIBOLIFE-B; 9980 EASTROC; 0068 MANYCORE TECH; 3296 HUAQIN; 3388 CREALITY; 1081 DAJIN; 6132 HJ SCIENCE-B; 6067 SENIOR MATERIAL; 3661 SG MICRO; 1688 LINGYI ITECH; 6715 XUNLONG SCITECH; 0668 ANKER; 6951 CCTC; 1377 DTECH; 2249 NEXCHIP</t>
        </is>
      </c>
    </row>
    <row r="11">
      <c r="A11" s="16" t="inlineStr">
        <is>
          <t>ICBC Wealth Management Co., Ltd</t>
        </is>
      </c>
      <c r="B11" s="88" t="n">
        <v>15</v>
      </c>
      <c r="C11" s="93" t="n">
        <v>73</v>
      </c>
      <c r="D11" s="94" t="n">
        <v>62</v>
      </c>
      <c r="E11" s="94" t="n">
        <v>52.7</v>
      </c>
      <c r="F11" s="94" t="n">
        <v>39.2</v>
      </c>
      <c r="G11" s="94" t="n">
        <v>38.5</v>
      </c>
      <c r="H11" s="94" t="n">
        <v>-5.6</v>
      </c>
      <c r="I11" s="94" t="n">
        <v>-8.5</v>
      </c>
      <c r="J11" s="94" t="n">
        <v>-5.6</v>
      </c>
      <c r="K11" s="95" t="inlineStr">
        <is>
          <t>2050 SANHUA; 6603 IFBH; 6166 CIG; 3881 CIDI; 6938 RIBOLIFE-B; 1989 DELTON; 6656 SIGENERGY; 3277 GPIXEL; 1879 XIZHI TECH-P; 7666 METIS TECHBIO-P; 1081 DAJIN; 3661 SG MICRO; 6715 XUNLONG SCITECH; 6951 CCTC; 2249 NEXCHIP</t>
        </is>
      </c>
    </row>
    <row r="12">
      <c r="A12" s="16" t="inlineStr">
        <is>
          <t>Fullgoal Asset Management (HK) Limited</t>
        </is>
      </c>
      <c r="B12" s="88" t="n">
        <v>15</v>
      </c>
      <c r="C12" s="93" t="n">
        <v>93</v>
      </c>
      <c r="D12" s="94" t="n">
        <v>51.9</v>
      </c>
      <c r="E12" s="94" t="n">
        <v>49.8</v>
      </c>
      <c r="F12" s="94" t="n">
        <v>39.5</v>
      </c>
      <c r="G12" s="94" t="n">
        <v>43.5</v>
      </c>
      <c r="H12" s="94" t="n">
        <v>-0</v>
      </c>
      <c r="I12" s="94" t="n">
        <v>-5.1</v>
      </c>
      <c r="J12" s="94" t="n">
        <v>-5.9</v>
      </c>
      <c r="K12" s="95" t="inlineStr">
        <is>
          <t>2219 CHAOJU EYE CARE; 3858 JIAXIN INTL RES; 2698 SOFTCARE; 3696 INSILICO; 6938 RIBOLIFE-B; 9611 LONGCHEER; 2768 GON TECHNOLOGY; 3200 HANS CNC; 6656 SIGENERGY; 3277 GPIXEL; 7666 METIS TECHBIO-P; 7688 TOPNC; 1081 DAJIN; 1779 LONGBIO-B; 6067 SENIOR MATERIAL</t>
        </is>
      </c>
    </row>
    <row r="13">
      <c r="A13" s="16" t="inlineStr">
        <is>
          <t>Greenwoods Asset Management Hong Kong Limited</t>
        </is>
      </c>
      <c r="B13" s="88" t="n">
        <v>15</v>
      </c>
      <c r="C13" s="93" t="n">
        <v>73</v>
      </c>
      <c r="D13" s="94" t="n">
        <v>51.1</v>
      </c>
      <c r="E13" s="94" t="n">
        <v>54.9</v>
      </c>
      <c r="F13" s="94" t="n">
        <v>48.9</v>
      </c>
      <c r="G13" s="94" t="n">
        <v>52.3</v>
      </c>
      <c r="H13" s="94" t="n">
        <v>2.8</v>
      </c>
      <c r="I13" s="94" t="n">
        <v>3.6</v>
      </c>
      <c r="J13" s="94" t="n">
        <v>11.8</v>
      </c>
      <c r="K13" s="95" t="inlineStr">
        <is>
          <t>2285 CHERVON; 9878 HUITONGDA NET; 0325 BLOKS; 2050 SANHUA; 2648 ANJOY FOOD; 9973 CHERY AUTO; 3986 GIGADEVICE; 1989 DELTON; 6656 SIGENERGY; 3277 GPIXEL; 2476 VGT; 1879 XIZHI TECH-P; 1688 LINGYI ITECH; 0668 ANKER; 2475 LUXSHARE ICT</t>
        </is>
      </c>
    </row>
    <row r="14">
      <c r="A14" s="16" t="inlineStr">
        <is>
          <t>Boyu Capital Opportunities Master Fund</t>
        </is>
      </c>
      <c r="B14" s="88" t="n">
        <v>15</v>
      </c>
      <c r="C14" s="93" t="n">
        <v>60</v>
      </c>
      <c r="D14" s="94" t="n">
        <v>17.8</v>
      </c>
      <c r="E14" s="94" t="n">
        <v>13.3</v>
      </c>
      <c r="F14" s="94" t="n">
        <v>17.6</v>
      </c>
      <c r="G14" s="94" t="n">
        <v>-11.6</v>
      </c>
      <c r="H14" s="94" t="n">
        <v>-3.6</v>
      </c>
      <c r="I14" s="94" t="n">
        <v>-0</v>
      </c>
      <c r="J14" s="94" t="n">
        <v>-26.8</v>
      </c>
      <c r="K14" s="95" t="inlineStr">
        <is>
          <t>2190 ZYLOXTB-B; 2162 KEYMED BIO-B; 2137 BRII - B; 6609 HEARTCARE-B; 2235 MICROTECH MED-B; 2273 GUSHENGTANG; 6633 QINGCI GAMES; 3288 HAITIAN FLAV; 6166 CIG; 0501 OMNIVISION; 3277 GPIXEL; 7688 TOPNC; 3388 CREALITY; 6880 MOMENTA-W; 3308 ZJ INNOLIGHT</t>
        </is>
      </c>
    </row>
    <row r="15">
      <c r="A15" s="16" t="inlineStr">
        <is>
          <t>Mirae Asset Securities (HK) Limited</t>
        </is>
      </c>
      <c r="B15" s="88" t="n">
        <v>14</v>
      </c>
      <c r="C15" s="93" t="n">
        <v>64</v>
      </c>
      <c r="D15" s="94" t="n">
        <v>65.09999999999999</v>
      </c>
      <c r="E15" s="94" t="n">
        <v>67.8</v>
      </c>
      <c r="F15" s="94" t="n">
        <v>45.1</v>
      </c>
      <c r="G15" s="94" t="n">
        <v>21.4</v>
      </c>
      <c r="H15" s="94" t="n">
        <v>0.9</v>
      </c>
      <c r="I15" s="94" t="n">
        <v>-8.9</v>
      </c>
      <c r="J15" s="94" t="n">
        <v>-13.6</v>
      </c>
      <c r="K15" s="95" t="inlineStr">
        <is>
          <t>3750 CATL; 2050 SANHUA; 2643 CAOCAO INC; 9927 SERES; 2692 ZHAOWEI; 0068 MANYCORE TECH; 3277 GPIXEL; 2476 VGT; 1879 XIZHI TECH-P; 7666 METIS TECHBIO-P; 7688 TOPNC; 6715 XUNLONG SCITECH; 2475 LUXSHARE ICT; 3308 ZJ INNOLIGHT</t>
        </is>
      </c>
    </row>
    <row r="16">
      <c r="A16" s="16" t="inlineStr">
        <is>
          <t>Huatai Capital Investment Limited</t>
        </is>
      </c>
      <c r="B16" s="88" t="n">
        <v>14</v>
      </c>
      <c r="C16" s="93" t="n">
        <v>93</v>
      </c>
      <c r="D16" s="94" t="n">
        <v>28.4</v>
      </c>
      <c r="E16" s="94" t="n">
        <v>25.5</v>
      </c>
      <c r="F16" s="94" t="n">
        <v>27.4</v>
      </c>
      <c r="G16" s="94" t="n">
        <v>118.4</v>
      </c>
      <c r="H16" s="94" t="n">
        <v>-1</v>
      </c>
      <c r="I16" s="94" t="n">
        <v>1.1</v>
      </c>
      <c r="J16" s="94" t="n">
        <v>56.5</v>
      </c>
      <c r="K16" s="95" t="inlineStr">
        <is>
          <t>1490 CHESHI; 0325 BLOKS; 3288 HAITIAN FLAV; 2617 TRANSTHERA-B; 1828 FWD; 6960 SHUANGDENG; 2637 HAIXI PHARMA; 2718 MININGLAMP-W; 9609 HAIWEI ELEC; 9903 ILUVATAR COREX; 9611 LONGCHEER; 1021 HUAYAN ROBOTICS; 1956 WENGE AI; 3752 ROKAE ROBOTICS</t>
        </is>
      </c>
    </row>
    <row r="17">
      <c r="A17" s="16" t="inlineStr">
        <is>
          <t>CICC Financial Trading Limited</t>
        </is>
      </c>
      <c r="B17" s="88" t="n">
        <v>14</v>
      </c>
      <c r="C17" s="93" t="n">
        <v>71</v>
      </c>
      <c r="D17" s="94" t="n">
        <v>25.1</v>
      </c>
      <c r="E17" s="94" t="n">
        <v>21.9</v>
      </c>
      <c r="F17" s="94" t="n">
        <v>19.1</v>
      </c>
      <c r="G17" s="94" t="n">
        <v>36.2</v>
      </c>
      <c r="H17" s="94" t="n">
        <v>-2.4</v>
      </c>
      <c r="I17" s="94" t="n">
        <v>-3.8</v>
      </c>
      <c r="J17" s="94" t="n">
        <v>4.5</v>
      </c>
      <c r="K17" s="95" t="inlineStr">
        <is>
          <t>0013 HUTCHMED; 6669 ACOTEC-B; 3750 CATL; 3288 HAITIAN FLAV; 6168 ZHOU LIU FU; 3858 JIAXIN INTL RES; 9973 CHERY AUTO; 2698 SOFTCARE; 9609 HAIWEI ELEC; 3296 HUAQIN; 6067 SENIOR MATERIAL; 9630 CFMEE; 2667 TONGRENTANGCARE; 2249 NEXCHIP</t>
        </is>
      </c>
    </row>
    <row r="18">
      <c r="A18" s="16" t="inlineStr">
        <is>
          <t>Lake Bleu Prime Healthcare Master Fund Limited</t>
        </is>
      </c>
      <c r="B18" s="88" t="n">
        <v>14</v>
      </c>
      <c r="C18" s="93" t="n">
        <v>57</v>
      </c>
      <c r="D18" s="94" t="n">
        <v>23.9</v>
      </c>
      <c r="E18" s="94" t="n">
        <v>17.6</v>
      </c>
      <c r="F18" s="94" t="n">
        <v>-0.7</v>
      </c>
      <c r="G18" s="94" t="n">
        <v>-15.1</v>
      </c>
      <c r="H18" s="94" t="n">
        <v>-3.7</v>
      </c>
      <c r="I18" s="94" t="n">
        <v>-17.5</v>
      </c>
      <c r="J18" s="94" t="n">
        <v>-30.6</v>
      </c>
      <c r="K18" s="95" t="inlineStr">
        <is>
          <t>2160 CARDIOFLOW-B; 2170 BASECARE-B; 6127 JOINN; 2190 ZYLOXTB-B; 2162 KEYMED BIO-B; 6609 HEARTCARE-B; 2216 BRONCUS-B; 2256 ABBISKO-B; 2235 MICROTECH MED-B; 2251 AIRDOC-B; 2279 YONGHE MEDICAL; 2268 WUXI XDC; 2595 GENFLEET-B; 7666 METIS TECHBIO-P</t>
        </is>
      </c>
    </row>
    <row r="19">
      <c r="A19" s="16" t="inlineStr">
        <is>
          <t>GIC Private Limited</t>
        </is>
      </c>
      <c r="B19" s="88" t="n">
        <v>12</v>
      </c>
      <c r="C19" s="93" t="n">
        <v>67</v>
      </c>
      <c r="D19" s="94" t="n">
        <v>64.40000000000001</v>
      </c>
      <c r="E19" s="94" t="n">
        <v>63.4</v>
      </c>
      <c r="F19" s="94" t="n">
        <v>35.4</v>
      </c>
      <c r="G19" s="94" t="n">
        <v>31.4</v>
      </c>
      <c r="H19" s="94" t="n">
        <v>-2.8</v>
      </c>
      <c r="I19" s="94" t="n">
        <v>-13.1</v>
      </c>
      <c r="J19" s="94" t="n">
        <v>-13.9</v>
      </c>
      <c r="K19" s="95" t="inlineStr">
        <is>
          <t>2160 CARDIOFLOW-B; 1024 KUAISHOU-W; 6622 ZHAOKE OPHTH-B; 2192 MEDLIVE; 1276 HENGRUI PHARMA; 3288 HAITIAN FLAV; 1879 XIZHI TECH-P; 1081 DAJIN; 3661 SG MICRO; 9637 ALEBUND-B; 6880 MOMENTA-W; 2475 LUXSHARE ICT</t>
        </is>
      </c>
    </row>
    <row r="20">
      <c r="A20" s="16" t="inlineStr">
        <is>
          <t>Perseverance Asset Management International (Singapore) Pte. Ltd</t>
        </is>
      </c>
      <c r="B20" s="88" t="n">
        <v>12</v>
      </c>
      <c r="C20" s="93" t="n">
        <v>67</v>
      </c>
      <c r="D20" s="94" t="n">
        <v>28.7</v>
      </c>
      <c r="E20" s="94" t="n">
        <v>33.8</v>
      </c>
      <c r="F20" s="94" t="n">
        <v>31.2</v>
      </c>
      <c r="G20" s="94" t="n">
        <v>53.6</v>
      </c>
      <c r="H20" s="94" t="n">
        <v>2.3</v>
      </c>
      <c r="I20" s="94" t="n">
        <v>0.7</v>
      </c>
      <c r="J20" s="94" t="n">
        <v>7.1</v>
      </c>
      <c r="K20" s="95" t="inlineStr">
        <is>
          <t>6669 ACOTEC-B; 6687 JST GROUP; 2676 NOVOSENSE; 0100 MINIMAX-WP; 2714 MUYUAN; 2692 ZHAOWEI; 6656 SIGENERGY; 3277 GPIXEL; 3296 HUAQIN; 1191 CREALIGHTS; 2475 LUXSHARE ICT; 2249 NEXCHIP</t>
        </is>
      </c>
    </row>
    <row r="21">
      <c r="A21" s="16" t="inlineStr">
        <is>
          <t>IvyRock Asset Management (HK) Limited</t>
        </is>
      </c>
      <c r="B21" s="88" t="n">
        <v>12</v>
      </c>
      <c r="C21" s="93" t="n">
        <v>58</v>
      </c>
      <c r="D21" s="94" t="n">
        <v>12</v>
      </c>
      <c r="E21" s="94" t="n">
        <v>11.8</v>
      </c>
      <c r="F21" s="94" t="n">
        <v>7.9</v>
      </c>
      <c r="G21" s="94" t="n">
        <v>20</v>
      </c>
      <c r="H21" s="94" t="n">
        <v>-0.7</v>
      </c>
      <c r="I21" s="94" t="n">
        <v>-4.7</v>
      </c>
      <c r="J21" s="94" t="n">
        <v>-1.4</v>
      </c>
      <c r="K21" s="95" t="inlineStr">
        <is>
          <t>2170 BASECARE-B; 2171 CARSGEN-B; 2190 ZYLOXTB-B; 9960 KINDSTAR GLOBAL; 2251 AIRDOC-B; 2279 YONGHE MEDICAL; 2285 CHERVON; 1318 MAO GEPING; 7618 JD INDUSTRIALS; 3296 HUAQIN; 6951 CCTC; 2249 NEXCHIP</t>
        </is>
      </c>
    </row>
    <row r="22">
      <c r="A22" s="16" t="inlineStr">
        <is>
          <t>Athos Capital Limited</t>
        </is>
      </c>
      <c r="B22" s="88" t="n">
        <v>12</v>
      </c>
      <c r="C22" s="93" t="n">
        <v>42</v>
      </c>
      <c r="D22" s="94" t="n">
        <v>1.3</v>
      </c>
      <c r="E22" s="94" t="n">
        <v>-1.2</v>
      </c>
      <c r="F22" s="94" t="n">
        <v>-3.3</v>
      </c>
      <c r="G22" s="94" t="n">
        <v>-12.7</v>
      </c>
      <c r="H22" s="94" t="n">
        <v>-2.4</v>
      </c>
      <c r="I22" s="94" t="n">
        <v>-4.8</v>
      </c>
      <c r="J22" s="94" t="n">
        <v>-14</v>
      </c>
      <c r="K22" s="95" t="inlineStr">
        <is>
          <t>2190 ZYLOXTB-B; 2137 BRII - B; 9960 KINDSTAR GLOBAL; 6669 ACOTEC-B; 2197 CLOVER BIO-B; 2279 YONGHE MEDICAL; 2602 ONEWO; 0300 MIDEA GROUP; 2460 CR BEVERAGE; 2026 PONY-W; 1377 DTECH; 3308 ZJ INNOLIGHT</t>
        </is>
      </c>
    </row>
    <row r="23">
      <c r="A23" s="16" t="inlineStr">
        <is>
          <t>3W Fund Management Limited</t>
        </is>
      </c>
      <c r="B23" s="88" t="n">
        <v>11</v>
      </c>
      <c r="C23" s="93" t="n">
        <v>82</v>
      </c>
      <c r="D23" s="94" t="n">
        <v>78.3</v>
      </c>
      <c r="E23" s="94" t="n">
        <v>72.2</v>
      </c>
      <c r="F23" s="94" t="n">
        <v>49.3</v>
      </c>
      <c r="G23" s="94" t="n">
        <v>12.5</v>
      </c>
      <c r="H23" s="94" t="n">
        <v>-4</v>
      </c>
      <c r="I23" s="94" t="n">
        <v>-14.6</v>
      </c>
      <c r="J23" s="94" t="n">
        <v>-32.5</v>
      </c>
      <c r="K23" s="95" t="inlineStr">
        <is>
          <t>2158 YIDU TECH; 2160 CARDIOFLOW-B; 6609 HEARTCARE-B; 2285 CHERVON; 6656 SIGENERGY; 3277 GPIXEL; 3296 HUAQIN; 1879 XIZHI TECH-P; 7688 TOPNC; 6106 SEER TECH; 1688 LINGYI ITECH</t>
        </is>
      </c>
    </row>
    <row r="24">
      <c r="A24" s="16" t="inlineStr">
        <is>
          <t>Huang River Investment Limited</t>
        </is>
      </c>
      <c r="B24" s="88" t="n">
        <v>11</v>
      </c>
      <c r="C24" s="93" t="n">
        <v>64</v>
      </c>
      <c r="D24" s="94" t="n">
        <v>38</v>
      </c>
      <c r="E24" s="94" t="n">
        <v>31.9</v>
      </c>
      <c r="F24" s="94" t="n">
        <v>32.5</v>
      </c>
      <c r="G24" s="94" t="n">
        <v>72.09999999999999</v>
      </c>
      <c r="H24" s="94" t="n">
        <v>-1.2</v>
      </c>
      <c r="I24" s="94" t="n">
        <v>-1.8</v>
      </c>
      <c r="J24" s="94" t="n">
        <v>30.8</v>
      </c>
      <c r="K24" s="95" t="inlineStr">
        <is>
          <t>1519 J&amp;T EXPRESS-W; 6181 LAOPU GOLD; 1364 GUMING; 2718 MININGLAMP-W; 2675 EDGE MEDICAL-B; 9980 EASTROC; 7630 IMPACT THERAP-B; 9637 ALEBUND-B; 2475 LUXSHARE ICT; 6951 CCTC; 3308 ZJ INNOLIGHT</t>
        </is>
      </c>
    </row>
    <row r="25">
      <c r="A25" s="16" t="inlineStr">
        <is>
          <t>OrbiMed Funds</t>
        </is>
      </c>
      <c r="B25" s="88" t="n">
        <v>11</v>
      </c>
      <c r="C25" s="93" t="n">
        <v>55</v>
      </c>
      <c r="D25" s="94" t="n">
        <v>21.3</v>
      </c>
      <c r="E25" s="94" t="n">
        <v>22.6</v>
      </c>
      <c r="F25" s="94" t="n">
        <v>11.6</v>
      </c>
      <c r="G25" s="94" t="n">
        <v>1.4</v>
      </c>
      <c r="H25" s="94" t="n">
        <v>1</v>
      </c>
      <c r="I25" s="94" t="n">
        <v>-8.5</v>
      </c>
      <c r="J25" s="94" t="n">
        <v>-11.8</v>
      </c>
      <c r="K25" s="95" t="inlineStr">
        <is>
          <t>2158 YIDU TECH; 2170 BASECARE-B; 6127 JOINN; 2192 MEDLIVE; 2256 ABBISKO-B; 2235 MICROTECH MED-B; 2197 CLOVER BIO-B; 6639 ARRAIL GROUP; 2105 LAEKNA-B; 2675 EDGE MEDICAL-B; 1779 LONGBIO-B</t>
        </is>
      </c>
    </row>
    <row r="26">
      <c r="A26" s="16" t="inlineStr">
        <is>
          <t>WT Asset Management Limited</t>
        </is>
      </c>
      <c r="B26" s="88" t="n">
        <v>11</v>
      </c>
      <c r="C26" s="93" t="n">
        <v>73</v>
      </c>
      <c r="D26" s="94" t="n">
        <v>17.8</v>
      </c>
      <c r="E26" s="94" t="n">
        <v>17</v>
      </c>
      <c r="F26" s="94" t="n">
        <v>7.8</v>
      </c>
      <c r="G26" s="94" t="n">
        <v>7.1</v>
      </c>
      <c r="H26" s="94" t="n">
        <v>-1.9</v>
      </c>
      <c r="I26" s="94" t="n">
        <v>-9.5</v>
      </c>
      <c r="J26" s="94" t="n">
        <v>-11.4</v>
      </c>
      <c r="K26" s="95" t="inlineStr">
        <is>
          <t>2160 CARDIOFLOW-B; 2171 CARSGEN-B; 2251 AIRDOC-B; 2279 YONGHE MEDICAL; 3750 CATL; 2525 HESAI-W; 6687 JST GROUP; 3355 FS.COM; 3277 GPIXEL; 0668 ANKER; 2249 NEXCHIP</t>
        </is>
      </c>
    </row>
    <row r="27">
      <c r="A27" s="16" t="inlineStr">
        <is>
          <t>Oaktree Capital Management, L.P</t>
        </is>
      </c>
      <c r="B27" s="88" t="n">
        <v>11</v>
      </c>
      <c r="C27" s="93" t="n">
        <v>55</v>
      </c>
      <c r="D27" s="94" t="n">
        <v>6.4</v>
      </c>
      <c r="E27" s="94" t="n">
        <v>17.8</v>
      </c>
      <c r="F27" s="94" t="n">
        <v>16.1</v>
      </c>
      <c r="G27" s="94" t="n">
        <v>34.2</v>
      </c>
      <c r="H27" s="94" t="n">
        <v>11.1</v>
      </c>
      <c r="I27" s="94" t="n">
        <v>5.8</v>
      </c>
      <c r="J27" s="94" t="n">
        <v>19</v>
      </c>
      <c r="K27" s="95" t="inlineStr">
        <is>
          <t>2618 JD LOGISTICS; 1880 CTG DUTY-FREE; 2460 CR BEVERAGE; 3750 CATL; 1276 HENGRUI PHARMA; 6031 SANY HEAVY IND; 3696 INSILICO; 0470 WUXI LEAD; 3952 LAIFUAL; 6880 MOMENTA-W; 3308 ZJ INNOLIGHT</t>
        </is>
      </c>
    </row>
    <row r="28">
      <c r="A28" s="16" t="inlineStr">
        <is>
          <t>BlackRock, Inc</t>
        </is>
      </c>
      <c r="B28" s="88" t="n">
        <v>10</v>
      </c>
      <c r="C28" s="93" t="n">
        <v>60</v>
      </c>
      <c r="D28" s="94" t="n">
        <v>72.5</v>
      </c>
      <c r="E28" s="94" t="n">
        <v>73.59999999999999</v>
      </c>
      <c r="F28" s="94" t="n">
        <v>40.3</v>
      </c>
      <c r="G28" s="94" t="n">
        <v>11.8</v>
      </c>
      <c r="H28" s="94" t="n">
        <v>-0.1</v>
      </c>
      <c r="I28" s="94" t="n">
        <v>-17.4</v>
      </c>
      <c r="J28" s="94" t="n">
        <v>-31.6</v>
      </c>
      <c r="K28" s="95" t="inlineStr">
        <is>
          <t>1024 KUAISHOU-W; 9959 LINKLOGIS–W; 9960 KINDSTAR GLOBAL; 2256 ABBISKO-B; 6031 SANY HEAVY IND; 1879 XIZHI TECH-P; 7666 METIS TECHBIO-P; 6715 XUNLONG SCITECH; 6880 MOMENTA-W; 3308 ZJ INNOLIGHT</t>
        </is>
      </c>
    </row>
    <row r="29">
      <c r="A29" s="16" t="inlineStr">
        <is>
          <t>Aspex Master Fund</t>
        </is>
      </c>
      <c r="B29" s="88" t="n">
        <v>10</v>
      </c>
      <c r="C29" s="93" t="n">
        <v>60</v>
      </c>
      <c r="D29" s="94" t="n">
        <v>62.6</v>
      </c>
      <c r="E29" s="94" t="n">
        <v>75.90000000000001</v>
      </c>
      <c r="F29" s="94" t="n">
        <v>63.7</v>
      </c>
      <c r="G29" s="94" t="n">
        <v>121.1</v>
      </c>
      <c r="H29" s="94" t="n">
        <v>9.1</v>
      </c>
      <c r="I29" s="94" t="n">
        <v>0.7</v>
      </c>
      <c r="J29" s="94" t="n">
        <v>33.4</v>
      </c>
      <c r="K29" s="95" t="inlineStr">
        <is>
          <t>6609 HEARTCARE-B; 2252 MEDBOT-B; 1519 J&amp;T EXPRESS-W; 6082 BIREN TECH; 0100 MINIMAX-WP; 6809 MONTAGE TECH; 1879 XIZHI TECH-P; 0668 ANKER; 1377 DTECH; 3308 ZJ INNOLIGHT</t>
        </is>
      </c>
    </row>
    <row r="30">
      <c r="A30" s="16" t="inlineStr">
        <is>
          <t>Mega Prime Development Limited</t>
        </is>
      </c>
      <c r="B30" s="88" t="n">
        <v>10</v>
      </c>
      <c r="C30" s="93" t="n">
        <v>90</v>
      </c>
      <c r="D30" s="94" t="n">
        <v>38.1</v>
      </c>
      <c r="E30" s="94" t="n">
        <v>43.7</v>
      </c>
      <c r="F30" s="94" t="n">
        <v>42</v>
      </c>
      <c r="G30" s="94" t="n">
        <v>61.8</v>
      </c>
      <c r="H30" s="94" t="n">
        <v>4.7</v>
      </c>
      <c r="I30" s="94" t="n">
        <v>4.8</v>
      </c>
      <c r="J30" s="94" t="n">
        <v>22.1</v>
      </c>
      <c r="K30" s="95" t="inlineStr">
        <is>
          <t>9879 MIGAO GROUP; 1318 MAO GEPING; 2050 SANHUA; 6603 IFBH; 1304 FORTIOR; 2657 FOREST CABIN; 2675 EDGE MEDICAL-B; 2476 VGT; 1609 STAR SPORTS MED; 1779 LONGBIO-B</t>
        </is>
      </c>
    </row>
    <row r="31">
      <c r="A31" s="16" t="inlineStr">
        <is>
          <t>Value Partners Hong Kong Limited</t>
        </is>
      </c>
      <c r="B31" s="88" t="n">
        <v>10</v>
      </c>
      <c r="C31" s="93" t="n">
        <v>80</v>
      </c>
      <c r="D31" s="94" t="n">
        <v>34</v>
      </c>
      <c r="E31" s="94" t="n">
        <v>33.9</v>
      </c>
      <c r="F31" s="94" t="n">
        <v>25.4</v>
      </c>
      <c r="G31" s="94" t="n">
        <v>49.1</v>
      </c>
      <c r="H31" s="94" t="n">
        <v>-0.6</v>
      </c>
      <c r="I31" s="94" t="n">
        <v>-5.6</v>
      </c>
      <c r="J31" s="94" t="n">
        <v>9.4</v>
      </c>
      <c r="K31" s="95" t="inlineStr">
        <is>
          <t>2285 CHERVON; 1497 YAN PALACE; 3288 HAITIAN FLAV; 2595 GENFLEET-B; 1989 DELTON; 3277 GPIXEL; 1779 LONGBIO-B; 3661 SG MICRO; 1688 LINGYI ITECH; 0668 ANKER</t>
        </is>
      </c>
    </row>
    <row r="32">
      <c r="A32" s="16" t="inlineStr">
        <is>
          <t>LAV Star Opportunities Limited</t>
        </is>
      </c>
      <c r="B32" s="88" t="n">
        <v>10</v>
      </c>
      <c r="C32" s="93" t="n">
        <v>50</v>
      </c>
      <c r="D32" s="94" t="n">
        <v>22.8</v>
      </c>
      <c r="E32" s="94" t="n">
        <v>26.1</v>
      </c>
      <c r="F32" s="94" t="n">
        <v>12.5</v>
      </c>
      <c r="G32" s="94" t="n">
        <v>4.7</v>
      </c>
      <c r="H32" s="94" t="n">
        <v>3.5</v>
      </c>
      <c r="I32" s="94" t="n">
        <v>-9.199999999999999</v>
      </c>
      <c r="J32" s="94" t="n">
        <v>-17.6</v>
      </c>
      <c r="K32" s="95" t="inlineStr">
        <is>
          <t>2171 CARSGEN-B; 2162 KEYMED BIO-B; 6628 TRANSCENTA-B; 2256 ABBISKO-B; 2235 MICROTECH MED-B; 2252 MEDBOT-B; 2251 AIRDOC-B; 2279 YONGHE MEDICAL; 9606 DUALITYBIO-B; 7630 IMPACT THERAP-B</t>
        </is>
      </c>
    </row>
    <row r="33">
      <c r="A33" s="16" t="inlineStr">
        <is>
          <t>Foresight Funds</t>
        </is>
      </c>
      <c r="B33" s="88" t="n">
        <v>10</v>
      </c>
      <c r="C33" s="93" t="n">
        <v>60</v>
      </c>
      <c r="D33" s="94" t="n">
        <v>15.1</v>
      </c>
      <c r="E33" s="94" t="n">
        <v>14.7</v>
      </c>
      <c r="F33" s="94" t="n">
        <v>15.9</v>
      </c>
      <c r="G33" s="94" t="n">
        <v>-0.4</v>
      </c>
      <c r="H33" s="94" t="n">
        <v>0.7</v>
      </c>
      <c r="I33" s="94" t="n">
        <v>4.5</v>
      </c>
      <c r="J33" s="94" t="n">
        <v>-11.4</v>
      </c>
      <c r="K33" s="95" t="inlineStr">
        <is>
          <t>2170 BASECARE-B; 2171 CARSGEN-B; 2273 GUSHENGTANG; 0300 MIDEA GROUP; 3355 FS.COM; 2476 VGT; 7630 IMPACT THERAP-B; 1779 LONGBIO-B; 6132 HJ SCIENCE-B; 2475 LUXSHARE ICT</t>
        </is>
      </c>
    </row>
    <row r="34">
      <c r="A34" s="16" t="inlineStr">
        <is>
          <t>China Universal Asset Management (Hong Kong) Company Limited</t>
        </is>
      </c>
      <c r="B34" s="88" t="n">
        <v>9</v>
      </c>
      <c r="C34" s="93" t="n">
        <v>67</v>
      </c>
      <c r="D34" s="94" t="n">
        <v>61.7</v>
      </c>
      <c r="E34" s="94" t="n">
        <v>74.90000000000001</v>
      </c>
      <c r="F34" s="94" t="n">
        <v>61.5</v>
      </c>
      <c r="G34" s="94" t="n">
        <v>182.3</v>
      </c>
      <c r="H34" s="94" t="n">
        <v>0.8</v>
      </c>
      <c r="I34" s="94" t="n">
        <v>-1.4</v>
      </c>
      <c r="J34" s="94" t="n">
        <v>44.8</v>
      </c>
      <c r="K34" s="95" t="inlineStr">
        <is>
          <t>2155 MORIMATSU INTL; 6669 ACOTEC-B; 6990 SKB BIO-B; 0100 MINIMAX-WP; 9630 CFMEE; 9637 ALEBUND-B; 2475 LUXSHARE ICT; 6951 CCTC; 2249 NEXCHIP</t>
        </is>
      </c>
    </row>
    <row r="35">
      <c r="A35" s="16" t="inlineStr">
        <is>
          <t>Morgan Stanley &amp; Co. International plc</t>
        </is>
      </c>
      <c r="B35" s="88" t="n">
        <v>9</v>
      </c>
      <c r="C35" s="93" t="n">
        <v>56</v>
      </c>
      <c r="D35" s="94" t="n">
        <v>18.2</v>
      </c>
      <c r="E35" s="94" t="n">
        <v>20.4</v>
      </c>
      <c r="F35" s="94" t="n">
        <v>17.6</v>
      </c>
      <c r="G35" s="94" t="n">
        <v>63</v>
      </c>
      <c r="H35" s="94" t="n">
        <v>1.6</v>
      </c>
      <c r="I35" s="94" t="n">
        <v>-3.6</v>
      </c>
      <c r="J35" s="94" t="n">
        <v>26.4</v>
      </c>
      <c r="K35" s="95" t="inlineStr">
        <is>
          <t>2561 VISEN PHARMA-B; 2050 SANHUA; 6166 CIG; 3200 HANS CNC; 6809 MONTAGE TECH; 1021 HUAYAN ROBOTICS; 2476 VGT; 1688 LINGYI ITECH; 3308 ZJ INNOLIGHT</t>
        </is>
      </c>
    </row>
    <row r="36">
      <c r="A36" s="16" t="inlineStr">
        <is>
          <t>Suzhou Harvest International Co., Limited</t>
        </is>
      </c>
      <c r="B36" s="88" t="n">
        <v>9</v>
      </c>
      <c r="C36" s="93" t="n">
        <v>33</v>
      </c>
      <c r="D36" s="94" t="n">
        <v>16.7</v>
      </c>
      <c r="E36" s="94" t="n">
        <v>8.4</v>
      </c>
      <c r="F36" s="94" t="n">
        <v>5.9</v>
      </c>
      <c r="G36" s="94" t="n">
        <v>44.6</v>
      </c>
      <c r="H36" s="94" t="n">
        <v>-5.2</v>
      </c>
      <c r="I36" s="94" t="n">
        <v>-10.1</v>
      </c>
      <c r="J36" s="94" t="n">
        <v>-0.4</v>
      </c>
      <c r="K36" s="95" t="inlineStr">
        <is>
          <t>2152 SUXIN SERVICES; 2479 TIANJUDIHE; 2561 VISEN PHARMA-B; 9606 DUALITYBIO-B; 2630 VIGONVITA-B; 2581 BENQ HOLDING; 2692 ZHAOWEI; 6880 MOMENTA-W; 0537 RIGOL</t>
        </is>
      </c>
    </row>
    <row r="37">
      <c r="A37" s="16" t="inlineStr">
        <is>
          <t>Sage Partners Master Fund</t>
        </is>
      </c>
      <c r="B37" s="88" t="n">
        <v>9</v>
      </c>
      <c r="C37" s="93" t="n">
        <v>56</v>
      </c>
      <c r="D37" s="94" t="n">
        <v>16.4</v>
      </c>
      <c r="E37" s="94" t="n">
        <v>8.5</v>
      </c>
      <c r="F37" s="94" t="n">
        <v>14.3</v>
      </c>
      <c r="G37" s="94" t="n">
        <v>-7</v>
      </c>
      <c r="H37" s="94" t="n">
        <v>-4.7</v>
      </c>
      <c r="I37" s="94" t="n">
        <v>6.4</v>
      </c>
      <c r="J37" s="94" t="n">
        <v>-24.3</v>
      </c>
      <c r="K37" s="95" t="inlineStr">
        <is>
          <t>2190 ZYLOXTB-B; 2162 KEYMED BIO-B; 2137 BRII - B; 6609 HEARTCARE-B; 2235 MICROTECH MED-B; 2273 GUSHENGTANG; 2675 EDGE MEDICAL-B; 7666 METIS TECHBIO-P; 6132 HJ SCIENCE-B</t>
        </is>
      </c>
    </row>
    <row r="38">
      <c r="A38" s="16" t="inlineStr">
        <is>
          <t>FIL Investment Management (Hong Kong) Limited</t>
        </is>
      </c>
      <c r="B38" s="88" t="n">
        <v>8</v>
      </c>
      <c r="C38" s="93" t="n">
        <v>75</v>
      </c>
      <c r="D38" s="94" t="n">
        <v>72.5</v>
      </c>
      <c r="E38" s="94" t="n">
        <v>81.40000000000001</v>
      </c>
      <c r="F38" s="94" t="n">
        <v>51.9</v>
      </c>
      <c r="G38" s="94" t="n">
        <v>31.5</v>
      </c>
      <c r="H38" s="94" t="n">
        <v>2.1</v>
      </c>
      <c r="I38" s="94" t="n">
        <v>-4.6</v>
      </c>
      <c r="J38" s="94" t="n">
        <v>-19.7</v>
      </c>
      <c r="K38" s="95" t="inlineStr">
        <is>
          <t>1024 KUAISHOU-W; 2192 MEDLIVE; 2657 FOREST CABIN; 2714 MUYUAN; 1879 XIZHI TECH-P; 6880 MOMENTA-W; 7687 EACON; 2475 LUXSHARE ICT</t>
        </is>
      </c>
    </row>
    <row r="39">
      <c r="A39" s="16" t="inlineStr">
        <is>
          <t>China Asset Management (Hong Kong) Limited</t>
        </is>
      </c>
      <c r="B39" s="88" t="n">
        <v>8</v>
      </c>
      <c r="C39" s="93" t="n">
        <v>88</v>
      </c>
      <c r="D39" s="94" t="n">
        <v>54.4</v>
      </c>
      <c r="E39" s="94" t="n">
        <v>49.6</v>
      </c>
      <c r="F39" s="94" t="n">
        <v>30.7</v>
      </c>
      <c r="G39" s="94" t="n">
        <v>17.5</v>
      </c>
      <c r="H39" s="94" t="n">
        <v>-1.1</v>
      </c>
      <c r="I39" s="94" t="n">
        <v>-12.8</v>
      </c>
      <c r="J39" s="94" t="n">
        <v>-25.6</v>
      </c>
      <c r="K39" s="95" t="inlineStr">
        <is>
          <t>2160 CARDIOFLOW-B; 2675 EDGE MEDICAL-B; 6938 RIBOLIFE-B; 3636 JINXUN RESOURCE; 3277 GPIXEL; 7666 METIS TECHBIO-P; 7688 TOPNC; 6880 MOMENTA-W</t>
        </is>
      </c>
    </row>
    <row r="40">
      <c r="A40" s="16" t="inlineStr">
        <is>
          <t>E Fund Management Co., Ltd</t>
        </is>
      </c>
      <c r="B40" s="88" t="n">
        <v>8</v>
      </c>
      <c r="C40" s="93" t="n">
        <v>88</v>
      </c>
      <c r="D40" s="94" t="n">
        <v>49.1</v>
      </c>
      <c r="E40" s="94" t="n">
        <v>54.3</v>
      </c>
      <c r="F40" s="94" t="n">
        <v>47.8</v>
      </c>
      <c r="G40" s="94" t="n">
        <v>92.5</v>
      </c>
      <c r="H40" s="94" t="n">
        <v>5.1</v>
      </c>
      <c r="I40" s="94" t="n">
        <v>2.7</v>
      </c>
      <c r="J40" s="94" t="n">
        <v>23.9</v>
      </c>
      <c r="K40" s="95" t="inlineStr">
        <is>
          <t>9606 DUALITYBIO-B; 2698 SOFTCARE; 3696 INSILICO; 9611 LONGCHEER; 3277 GPIXEL; 1191 CREALIGHTS; 9637 ALEBUND-B; 1377 DTECH</t>
        </is>
      </c>
    </row>
    <row r="41">
      <c r="A41" s="16" t="inlineStr">
        <is>
          <t>Zhejiang Innoforce Pharmaceuticals Co., Ltd</t>
        </is>
      </c>
      <c r="B41" s="88" t="n">
        <v>8</v>
      </c>
      <c r="C41" s="93" t="n">
        <v>38</v>
      </c>
      <c r="D41" s="94" t="n">
        <v>-7.3</v>
      </c>
      <c r="E41" s="94" t="n">
        <v>-8.5</v>
      </c>
      <c r="F41" s="94" t="n">
        <v>0.9</v>
      </c>
      <c r="G41" s="94" t="n">
        <v>22.1</v>
      </c>
      <c r="H41" s="94" t="n">
        <v>-2</v>
      </c>
      <c r="I41" s="94" t="n">
        <v>7.3</v>
      </c>
      <c r="J41" s="94" t="n">
        <v>32.9</v>
      </c>
      <c r="K41" s="95" t="inlineStr">
        <is>
          <t>2257 SIRNAOMICS-B; 6661 HUZHOU GAS; 9863 LEAPMOTOR; 6610 FLOWING CLOUD; 2420 ZIBUYU; 9930 HORIZON CD; 9690 TUHU-W; 1274 IMOTIONAUTOTECH</t>
        </is>
      </c>
    </row>
    <row r="42">
      <c r="A42" s="16" t="inlineStr">
        <is>
          <t>WuXi Biologics HealthCare Venture</t>
        </is>
      </c>
      <c r="B42" s="88" t="n">
        <v>7</v>
      </c>
      <c r="C42" s="93" t="n">
        <v>57</v>
      </c>
      <c r="D42" s="94" t="n">
        <v>32.2</v>
      </c>
      <c r="E42" s="94" t="n">
        <v>68.7</v>
      </c>
      <c r="F42" s="94" t="n">
        <v>39.3</v>
      </c>
      <c r="G42" s="94" t="n">
        <v>36.5</v>
      </c>
      <c r="H42" s="94" t="n">
        <v>15.3</v>
      </c>
      <c r="I42" s="94" t="n">
        <v>2.1</v>
      </c>
      <c r="J42" s="94" t="n">
        <v>-0.9</v>
      </c>
      <c r="K42" s="95" t="inlineStr">
        <is>
          <t>2155 MORIMATSU INTL; 1228 CANBRIDGE-B; 2407 GAUSH MEDITECH; 2487 CUTIA-B; 1541 IMMUNEONCO-B; 6831 GREEN TEA GROUP; 2493 MABWELL-B</t>
        </is>
      </c>
    </row>
    <row r="43">
      <c r="A43" s="16" t="inlineStr">
        <is>
          <t>Dajia Life Insurance Co., Ltd</t>
        </is>
      </c>
      <c r="B43" s="88" t="n">
        <v>7</v>
      </c>
      <c r="C43" s="93" t="n">
        <v>100</v>
      </c>
      <c r="D43" s="94" t="n">
        <v>17.4</v>
      </c>
      <c r="E43" s="94" t="n">
        <v>17.9</v>
      </c>
      <c r="F43" s="94" t="n">
        <v>26.1</v>
      </c>
      <c r="G43" s="94" t="n">
        <v>26.6</v>
      </c>
      <c r="H43" s="94" t="n">
        <v>0.7</v>
      </c>
      <c r="I43" s="94" t="n">
        <v>7.8</v>
      </c>
      <c r="J43" s="94" t="n">
        <v>9.800000000000001</v>
      </c>
      <c r="K43" s="95" t="inlineStr">
        <is>
          <t>0300 MIDEA GROUP; 9973 CHERY AUTO; 2657 FOREST CABIN; 0501 OMNIVISION; 2714 MUYUAN; 1989 DELTON; 3661 SG MICRO</t>
        </is>
      </c>
    </row>
    <row r="44">
      <c r="A44" s="16" t="inlineStr">
        <is>
          <t>Jump Trading Pacific Pte. Ltd</t>
        </is>
      </c>
      <c r="B44" s="88" t="n">
        <v>7</v>
      </c>
      <c r="C44" s="93" t="n">
        <v>86</v>
      </c>
      <c r="D44" s="94" t="n">
        <v>14.5</v>
      </c>
      <c r="E44" s="94" t="n">
        <v>18.9</v>
      </c>
      <c r="F44" s="94" t="n">
        <v>24.9</v>
      </c>
      <c r="G44" s="94" t="n">
        <v>11</v>
      </c>
      <c r="H44" s="94" t="n">
        <v>3.7</v>
      </c>
      <c r="I44" s="94" t="n">
        <v>7.8</v>
      </c>
      <c r="J44" s="94" t="n">
        <v>-2.4</v>
      </c>
      <c r="K44" s="95" t="inlineStr">
        <is>
          <t>0300 MIDEA GROUP; 6168 ZHOU LIU FU; 0699 JOYSON ELEC; 9981 WOER; 2692 ZHAOWEI; 2476 VGT; 3388 CREALITY</t>
        </is>
      </c>
    </row>
    <row r="45">
      <c r="A45" s="16" t="inlineStr">
        <is>
          <t>Jane Street Asia Trading Limited</t>
        </is>
      </c>
      <c r="B45" s="88" t="n">
        <v>7</v>
      </c>
      <c r="C45" s="93" t="n">
        <v>71</v>
      </c>
      <c r="D45" s="94" t="n">
        <v>13.7</v>
      </c>
      <c r="E45" s="94" t="n">
        <v>17.1</v>
      </c>
      <c r="F45" s="94" t="n">
        <v>24.1</v>
      </c>
      <c r="G45" s="94" t="n">
        <v>43</v>
      </c>
      <c r="H45" s="94" t="n">
        <v>2.7</v>
      </c>
      <c r="I45" s="94" t="n">
        <v>9.300000000000001</v>
      </c>
      <c r="J45" s="94" t="n">
        <v>24.5</v>
      </c>
      <c r="K45" s="95" t="inlineStr">
        <is>
          <t>2050 SANHUA; 6603 IFBH; 6031 SANY HEAVY IND; 2788 CHUANGXIN IND; 2714 MUYUAN; 0668 ANKER; 2475 LUXSHARE ICT</t>
        </is>
      </c>
    </row>
    <row r="46">
      <c r="A46" s="16" t="inlineStr">
        <is>
          <t>PSBC Wealth Management Co., Ltd</t>
        </is>
      </c>
      <c r="B46" s="88" t="n">
        <v>7</v>
      </c>
      <c r="C46" s="93" t="n">
        <v>43</v>
      </c>
      <c r="D46" s="94" t="n">
        <v>9.4</v>
      </c>
      <c r="E46" s="94" t="n">
        <v>10.7</v>
      </c>
      <c r="F46" s="94" t="n">
        <v>4.8</v>
      </c>
      <c r="G46" s="94" t="n">
        <v>39.4</v>
      </c>
      <c r="H46" s="94" t="n">
        <v>1.5</v>
      </c>
      <c r="I46" s="94" t="n">
        <v>-3.1</v>
      </c>
      <c r="J46" s="94" t="n">
        <v>32.6</v>
      </c>
      <c r="K46" s="95" t="inlineStr">
        <is>
          <t>0300 MIDEA GROUP; 3750 CATL; 2050 SANHUA; 2580 AUX ELECTRIC; 1081 DAJIN; 3661 SG MICRO; 2249 NEXCHIP</t>
        </is>
      </c>
    </row>
    <row r="47">
      <c r="A47" s="16" t="inlineStr">
        <is>
          <t>Pinpoint Asset Management Limited</t>
        </is>
      </c>
      <c r="B47" s="88" t="n">
        <v>7</v>
      </c>
      <c r="C47" s="93" t="n">
        <v>43</v>
      </c>
      <c r="D47" s="94" t="n">
        <v>6.5</v>
      </c>
      <c r="E47" s="94" t="n">
        <v>6.7</v>
      </c>
      <c r="F47" s="94" t="n">
        <v>-4.5</v>
      </c>
      <c r="G47" s="94" t="n">
        <v>10.9</v>
      </c>
      <c r="H47" s="94" t="n">
        <v>-0.4</v>
      </c>
      <c r="I47" s="94" t="n">
        <v>-10.6</v>
      </c>
      <c r="J47" s="94" t="n">
        <v>1.3</v>
      </c>
      <c r="K47" s="95" t="inlineStr">
        <is>
          <t>2160 CARDIOFLOW-B; 6669 ACOTEC-B; 1304 FORTIOR; 9980 EASTROC; 0470 WUXI LEAD; 1081 DAJIN; 2249 NEXCHIP</t>
        </is>
      </c>
    </row>
    <row r="48">
      <c r="A48" s="16" t="inlineStr">
        <is>
          <t>Hudson Bay Master Fund Ltd</t>
        </is>
      </c>
      <c r="B48" s="88" t="n">
        <v>7</v>
      </c>
      <c r="C48" s="93" t="n">
        <v>43</v>
      </c>
      <c r="D48" s="94" t="n">
        <v>5.7</v>
      </c>
      <c r="E48" s="94" t="n">
        <v>2.9</v>
      </c>
      <c r="F48" s="94" t="n">
        <v>-8.4</v>
      </c>
      <c r="G48" s="94" t="n">
        <v>-28.2</v>
      </c>
      <c r="H48" s="94" t="n">
        <v>-2.5</v>
      </c>
      <c r="I48" s="94" t="n">
        <v>-13</v>
      </c>
      <c r="J48" s="94" t="n">
        <v>-33</v>
      </c>
      <c r="K48" s="95" t="inlineStr">
        <is>
          <t>2190 ZYLOXTB-B; 2162 KEYMED BIO-B; 2256 ABBISKO-B; 2235 MICROTECH MED-B; 1228 CANBRIDGE-B; 2279 YONGHE MEDICAL; 6639 ARRAIL GROUP</t>
        </is>
      </c>
    </row>
    <row r="49">
      <c r="A49" s="16" t="inlineStr">
        <is>
          <t>Hongkong Ruihua Investment Management Limited</t>
        </is>
      </c>
      <c r="B49" s="88" t="n">
        <v>7</v>
      </c>
      <c r="C49" s="93" t="n">
        <v>29</v>
      </c>
      <c r="D49" s="94" t="n">
        <v>-3.2</v>
      </c>
      <c r="E49" s="94" t="n">
        <v>-7.8</v>
      </c>
      <c r="F49" s="94" t="n">
        <v>-3.1</v>
      </c>
      <c r="G49" s="94" t="n">
        <v>-5.8</v>
      </c>
      <c r="H49" s="94" t="n">
        <v>-5.8</v>
      </c>
      <c r="I49" s="94" t="n">
        <v>-1.6</v>
      </c>
      <c r="J49" s="94" t="n">
        <v>-7.6</v>
      </c>
      <c r="K49" s="95" t="inlineStr">
        <is>
          <t>1228 CANBRIDGE-B; 2245 LYGEND RESOURCE; 2529 HOLLWIN URBAN; 9680 CHENQI TECH; 2519 AUGROUP; 2582 GUOFUHEE; 1187 COFOE MEDICAL</t>
        </is>
      </c>
    </row>
    <row r="50">
      <c r="A50" s="16" t="inlineStr">
        <is>
          <t>The Valliance Fund</t>
        </is>
      </c>
      <c r="B50" s="88" t="n">
        <v>7</v>
      </c>
      <c r="C50" s="93" t="n">
        <v>29</v>
      </c>
      <c r="D50" s="94" t="n">
        <v>-6.1</v>
      </c>
      <c r="E50" s="94" t="n">
        <v>-5.3</v>
      </c>
      <c r="F50" s="94" t="n">
        <v>-4.9</v>
      </c>
      <c r="G50" s="94" t="n">
        <v>-23.8</v>
      </c>
      <c r="H50" s="94" t="n">
        <v>-0.1</v>
      </c>
      <c r="I50" s="94" t="n">
        <v>-1</v>
      </c>
      <c r="J50" s="94" t="n">
        <v>-19.7</v>
      </c>
      <c r="K50" s="95" t="inlineStr">
        <is>
          <t>6127 JOINN; 2219 CHAOJU EYE CARE; 2137 BRII - B; 6609 HEARTCARE-B; 6669 ACOTEC-B; 2216 BRONCUS-B; 0600 AXERA</t>
        </is>
      </c>
    </row>
    <row r="51">
      <c r="A51" s="16" t="inlineStr">
        <is>
          <t>Schroders</t>
        </is>
      </c>
      <c r="B51" s="88" t="n">
        <v>6</v>
      </c>
      <c r="C51" s="93" t="n">
        <v>67</v>
      </c>
      <c r="D51" s="94" t="n">
        <v>73.09999999999999</v>
      </c>
      <c r="E51" s="94" t="n">
        <v>78.59999999999999</v>
      </c>
      <c r="F51" s="94" t="n">
        <v>75.90000000000001</v>
      </c>
      <c r="G51" s="94" t="n">
        <v>55.8</v>
      </c>
      <c r="H51" s="94" t="n">
        <v>4.2</v>
      </c>
      <c r="I51" s="94" t="n">
        <v>17.4</v>
      </c>
      <c r="J51" s="94" t="n">
        <v>21.8</v>
      </c>
      <c r="K51" s="95" t="inlineStr">
        <is>
          <t>2050 SANHUA; 9927 SERES; 3696 INSILICO; 3200 HANS CNC; 1879 XIZHI TECH-P; 0668 ANKER</t>
        </is>
      </c>
    </row>
    <row r="52">
      <c r="A52" s="16" t="inlineStr">
        <is>
          <t>Invesco Advisers, Inc</t>
        </is>
      </c>
      <c r="B52" s="88" t="n">
        <v>6</v>
      </c>
      <c r="C52" s="93" t="n">
        <v>83</v>
      </c>
      <c r="D52" s="94" t="n">
        <v>42.1</v>
      </c>
      <c r="E52" s="94" t="n">
        <v>57.4</v>
      </c>
      <c r="F52" s="94" t="n">
        <v>52.6</v>
      </c>
      <c r="G52" s="94" t="n">
        <v>25.3</v>
      </c>
      <c r="H52" s="94" t="n">
        <v>5.7</v>
      </c>
      <c r="I52" s="94" t="n">
        <v>11.5</v>
      </c>
      <c r="J52" s="94" t="n">
        <v>-9.699999999999999</v>
      </c>
      <c r="K52" s="95" t="inlineStr">
        <is>
          <t>1024 KUAISHOU-W; 2162 KEYMED BIO-B; 2137 BRII - B; 2235 MICROTECH MED-B; 2268 WUXI XDC; 1276 HENGRUI PHARMA</t>
        </is>
      </c>
    </row>
    <row r="53">
      <c r="A53" s="16" t="inlineStr">
        <is>
          <t>Baring Asset Management (Asia) Limited</t>
        </is>
      </c>
      <c r="B53" s="88" t="n">
        <v>6</v>
      </c>
      <c r="C53" s="93" t="n">
        <v>83</v>
      </c>
      <c r="D53" s="94" t="n">
        <v>38.3</v>
      </c>
      <c r="E53" s="94" t="n">
        <v>23.3</v>
      </c>
      <c r="F53" s="94" t="n">
        <v>27.5</v>
      </c>
      <c r="G53" s="94" t="n">
        <v>56</v>
      </c>
      <c r="H53" s="94" t="n">
        <v>-9</v>
      </c>
      <c r="I53" s="94" t="n">
        <v>-5.6</v>
      </c>
      <c r="J53" s="94" t="n">
        <v>9.4</v>
      </c>
      <c r="K53" s="95" t="inlineStr">
        <is>
          <t>6166 CIG; 1989 DELTON; 6656 SIGENERGY; 6715 XUNLONG SCITECH; 7687 EACON; 1377 DTECH</t>
        </is>
      </c>
    </row>
    <row r="54">
      <c r="A54" s="16" t="inlineStr">
        <is>
          <t>JPMorgan Asset Management (Asia Pacific) Limited</t>
        </is>
      </c>
      <c r="B54" s="88" t="n">
        <v>6</v>
      </c>
      <c r="C54" s="93" t="n">
        <v>83</v>
      </c>
      <c r="D54" s="94" t="n">
        <v>29.5</v>
      </c>
      <c r="E54" s="94" t="n">
        <v>21.3</v>
      </c>
      <c r="F54" s="94" t="n">
        <v>17.7</v>
      </c>
      <c r="G54" s="94" t="n">
        <v>21.2</v>
      </c>
      <c r="H54" s="94" t="n">
        <v>-3.4</v>
      </c>
      <c r="I54" s="94" t="n">
        <v>-8.5</v>
      </c>
      <c r="J54" s="94" t="n">
        <v>7</v>
      </c>
      <c r="K54" s="95" t="inlineStr">
        <is>
          <t>3296 HUAQIN; 3661 SG MICRO; 9630 CFMEE; 7687 EACON; 6951 CCTC; 3308 ZJ INNOLIGHT</t>
        </is>
      </c>
    </row>
    <row r="55">
      <c r="A55" s="16" t="inlineStr">
        <is>
          <t>CPIC Investment Management (H.K.) Company Limited</t>
        </is>
      </c>
      <c r="B55" s="88" t="n">
        <v>6</v>
      </c>
      <c r="C55" s="93" t="n">
        <v>33</v>
      </c>
      <c r="D55" s="94" t="n">
        <v>29.3</v>
      </c>
      <c r="E55" s="94" t="n">
        <v>15</v>
      </c>
      <c r="F55" s="94" t="n">
        <v>18.9</v>
      </c>
      <c r="G55" s="94" t="n">
        <v>-0.1</v>
      </c>
      <c r="H55" s="94" t="n">
        <v>-8</v>
      </c>
      <c r="I55" s="94" t="n">
        <v>-7.4</v>
      </c>
      <c r="J55" s="94" t="n">
        <v>-20.5</v>
      </c>
      <c r="K55" s="95" t="inlineStr">
        <is>
          <t>9696 TIANQI LITHIUM; 2505 EDA GROUP HLDGS; 6936 SF HOLDING; 0638 FIBOCOM; 6656 SIGENERGY; 6880 MOMENTA-W</t>
        </is>
      </c>
    </row>
    <row r="56">
      <c r="A56" s="16" t="inlineStr">
        <is>
          <t>Snow Lake Funds and Accounts</t>
        </is>
      </c>
      <c r="B56" s="88" t="n">
        <v>6</v>
      </c>
      <c r="C56" s="93" t="n">
        <v>67</v>
      </c>
      <c r="D56" s="94" t="n">
        <v>26.2</v>
      </c>
      <c r="E56" s="94" t="n">
        <v>17.2</v>
      </c>
      <c r="F56" s="94" t="n">
        <v>5.7</v>
      </c>
      <c r="G56" s="94" t="n">
        <v>10.8</v>
      </c>
      <c r="H56" s="94" t="n">
        <v>-5.1</v>
      </c>
      <c r="I56" s="94" t="n">
        <v>-14.7</v>
      </c>
      <c r="J56" s="94" t="n">
        <v>-17.5</v>
      </c>
      <c r="K56" s="95" t="inlineStr">
        <is>
          <t>2125 STRAWBEAR ENT; 2160 CARDIOFLOW-B; 2190 ZYLOXTB-B; 9960 KINDSTAR GLOBAL; 2216 BRONCUS-B; 2252 MEDBOT-B</t>
        </is>
      </c>
    </row>
    <row r="57">
      <c r="A57" s="16" t="inlineStr">
        <is>
          <t>Dymon Asia Multi-Strategy Investment Master Fund</t>
        </is>
      </c>
      <c r="B57" s="88" t="n">
        <v>6</v>
      </c>
      <c r="C57" s="93" t="n">
        <v>50</v>
      </c>
      <c r="D57" s="94" t="n">
        <v>23.9</v>
      </c>
      <c r="E57" s="94" t="n">
        <v>8.1</v>
      </c>
      <c r="F57" s="94" t="n">
        <v>-1.3</v>
      </c>
      <c r="G57" s="94" t="n">
        <v>3.4</v>
      </c>
      <c r="H57" s="94" t="n">
        <v>-8.1</v>
      </c>
      <c r="I57" s="94" t="n">
        <v>-15.6</v>
      </c>
      <c r="J57" s="94" t="n">
        <v>4.4</v>
      </c>
      <c r="K57" s="95" t="inlineStr">
        <is>
          <t>2171 CARSGEN-B; 6669 ACOTEC-B; 6166 CIG; 3661 SG MICRO; 6228 MERDEKAGOLD-DRS; 9637 ALEBUND-B</t>
        </is>
      </c>
    </row>
    <row r="58">
      <c r="A58" s="16" t="inlineStr">
        <is>
          <t>CloudAlpha Master Fund</t>
        </is>
      </c>
      <c r="B58" s="88" t="n">
        <v>6</v>
      </c>
      <c r="C58" s="93" t="n">
        <v>33</v>
      </c>
      <c r="D58" s="94" t="n">
        <v>5.7</v>
      </c>
      <c r="E58" s="94" t="n">
        <v>14.7</v>
      </c>
      <c r="F58" s="94" t="n">
        <v>11.7</v>
      </c>
      <c r="G58" s="94" t="n">
        <v>-1.1</v>
      </c>
      <c r="H58" s="94" t="n">
        <v>9.300000000000001</v>
      </c>
      <c r="I58" s="94" t="n">
        <v>3</v>
      </c>
      <c r="J58" s="94" t="n">
        <v>-7.6</v>
      </c>
      <c r="K58" s="95" t="inlineStr">
        <is>
          <t>2171 CARSGEN-B; 2252 MEDBOT-B; 2251 AIRDOC-B; 2476 VGT; 1377 DTECH; 3308 ZJ INNOLIGHT</t>
        </is>
      </c>
    </row>
    <row r="59">
      <c r="A59" s="16" t="inlineStr">
        <is>
          <t>Springhill Master Fund Limited</t>
        </is>
      </c>
      <c r="B59" s="88" t="n">
        <v>6</v>
      </c>
      <c r="C59" s="93" t="n">
        <v>50</v>
      </c>
      <c r="D59" s="94" t="n">
        <v>3.7</v>
      </c>
      <c r="E59" s="94" t="n">
        <v>-2.9</v>
      </c>
      <c r="F59" s="94" t="n">
        <v>11.4</v>
      </c>
      <c r="G59" s="94" t="n">
        <v>-8.699999999999999</v>
      </c>
      <c r="H59" s="94" t="n">
        <v>-6.9</v>
      </c>
      <c r="I59" s="94" t="n">
        <v>6.4</v>
      </c>
      <c r="J59" s="94" t="n">
        <v>-13.4</v>
      </c>
      <c r="K59" s="95" t="inlineStr">
        <is>
          <t>2162 KEYMED BIO-B; 2137 BRII - B; 2192 MEDLIVE; 2216 BRONCUS-B; 2235 MICROTECH MED-B; 2197 CLOVER BIO-B</t>
        </is>
      </c>
    </row>
    <row r="60">
      <c r="A60" s="16" t="inlineStr">
        <is>
          <t>Green Better</t>
        </is>
      </c>
      <c r="B60" s="88" t="n">
        <v>6</v>
      </c>
      <c r="C60" s="93" t="n">
        <v>50</v>
      </c>
      <c r="D60" s="94" t="n">
        <v>2.3</v>
      </c>
      <c r="E60" s="94" t="n">
        <v>5.9</v>
      </c>
      <c r="F60" s="94" t="n">
        <v>11.7</v>
      </c>
      <c r="G60" s="94" t="n">
        <v>19.7</v>
      </c>
      <c r="H60" s="94" t="n">
        <v>3.6</v>
      </c>
      <c r="I60" s="94" t="n">
        <v>8.6</v>
      </c>
      <c r="J60" s="94" t="n">
        <v>16.3</v>
      </c>
      <c r="K60" s="95" t="inlineStr">
        <is>
          <t>3658 NEW HOPE SERV; 1948 UJU HOLDING; 2050 SANHUA; 6613 LENS; 2676 NOVOSENSE; 3296 HUAQIN</t>
        </is>
      </c>
    </row>
    <row r="61">
      <c r="A61" s="16" t="inlineStr">
        <is>
          <t>Verition Multi-Strategy Master Fund Ltd</t>
        </is>
      </c>
      <c r="B61" s="88" t="n">
        <v>6</v>
      </c>
      <c r="C61" s="93" t="n">
        <v>33</v>
      </c>
      <c r="D61" s="94" t="n">
        <v>1.2</v>
      </c>
      <c r="E61" s="94" t="n">
        <v>1.8</v>
      </c>
      <c r="F61" s="94" t="n">
        <v>2.4</v>
      </c>
      <c r="G61" s="94" t="n">
        <v>73.59999999999999</v>
      </c>
      <c r="H61" s="94" t="n">
        <v>0.7</v>
      </c>
      <c r="I61" s="94" t="n">
        <v>0.9</v>
      </c>
      <c r="J61" s="94" t="n">
        <v>66.3</v>
      </c>
      <c r="K61" s="95" t="inlineStr">
        <is>
          <t>2050 SANHUA; 6613 LENS; 1688 LINGYI ITECH; 6951 CCTC; 1377 DTECH; 2249 NEXCHIP</t>
        </is>
      </c>
    </row>
    <row r="62">
      <c r="A62" s="16" t="inlineStr">
        <is>
          <t>Jiangsu Pure Precision Technology Co., Ltd</t>
        </is>
      </c>
      <c r="B62" s="88" t="n">
        <v>6</v>
      </c>
      <c r="C62" s="93" t="n">
        <v>33</v>
      </c>
      <c r="D62" s="94" t="n">
        <v>-0.5</v>
      </c>
      <c r="E62" s="94" t="n">
        <v>-1.3</v>
      </c>
      <c r="F62" s="94" t="n">
        <v>4.8</v>
      </c>
      <c r="G62" s="94" t="n">
        <v>9.4</v>
      </c>
      <c r="H62" s="94" t="n">
        <v>-0.6</v>
      </c>
      <c r="I62" s="94" t="n">
        <v>6</v>
      </c>
      <c r="J62" s="94" t="n">
        <v>10.7</v>
      </c>
      <c r="K62" s="95" t="inlineStr">
        <is>
          <t>3931 CALB; 2407 GAUSH MEDITECH; 2517 GUOQUAN; 6657 BAIWANG CO; 2495 VOICECOMM; 2577 INNOSCIENCE</t>
        </is>
      </c>
    </row>
    <row r="63">
      <c r="A63" s="16" t="inlineStr">
        <is>
          <t>CITIC-Prudential Life Insurance Company Limited</t>
        </is>
      </c>
      <c r="B63" s="88" t="n">
        <v>6</v>
      </c>
      <c r="C63" s="93" t="n">
        <v>50</v>
      </c>
      <c r="D63" s="94" t="n">
        <v>-3.2</v>
      </c>
      <c r="E63" s="94" t="n">
        <v>-2</v>
      </c>
      <c r="F63" s="94" t="n">
        <v>2.5</v>
      </c>
      <c r="G63" s="94" t="n">
        <v>2.7</v>
      </c>
      <c r="H63" s="94" t="n">
        <v>-0.3</v>
      </c>
      <c r="I63" s="94" t="n">
        <v>3</v>
      </c>
      <c r="J63" s="94" t="n">
        <v>-0.9</v>
      </c>
      <c r="K63" s="95" t="inlineStr">
        <is>
          <t>9858 YOURAN DAIRY; 6680 JLMAG; 3288 HAITIAN FLAV; 6168 ZHOU LIU FU; 3388 CREALITY; 0537 RIGOL</t>
        </is>
      </c>
    </row>
    <row r="64">
      <c r="A64" s="16" t="inlineStr">
        <is>
          <t>China Structural Reform Fund Corporation Limited</t>
        </is>
      </c>
      <c r="B64" s="88" t="n">
        <v>6</v>
      </c>
      <c r="C64" s="93" t="n">
        <v>17</v>
      </c>
      <c r="D64" s="94" t="n">
        <v>-5.7</v>
      </c>
      <c r="E64" s="94" t="n">
        <v>-2</v>
      </c>
      <c r="F64" s="94" t="n">
        <v>-7.2</v>
      </c>
      <c r="G64" s="94" t="n">
        <v>-10.1</v>
      </c>
      <c r="H64" s="94" t="n">
        <v>3.6</v>
      </c>
      <c r="I64" s="94" t="n">
        <v>-3.4</v>
      </c>
      <c r="J64" s="94" t="n">
        <v>-6.3</v>
      </c>
      <c r="K64" s="95" t="inlineStr">
        <is>
          <t>6127 JOINN; 6608 BAIRONG-W; 6628 TRANSCENTA-B; 1880 CTG DUTY-FREE; 2507 CIRRUS; 0300 MIDEA GROUP</t>
        </is>
      </c>
    </row>
    <row r="65">
      <c r="A65" s="16" t="inlineStr">
        <is>
          <t>Alibaba Investment Limited</t>
        </is>
      </c>
      <c r="B65" s="88" t="n">
        <v>5</v>
      </c>
      <c r="C65" s="93" t="n">
        <v>60</v>
      </c>
      <c r="D65" s="94" t="n">
        <v>82.3</v>
      </c>
      <c r="E65" s="94" t="n">
        <v>92.40000000000001</v>
      </c>
      <c r="F65" s="94" t="n">
        <v>65.09999999999999</v>
      </c>
      <c r="G65" s="94" t="n">
        <v>97.40000000000001</v>
      </c>
      <c r="H65" s="94" t="n">
        <v>7.8</v>
      </c>
      <c r="I65" s="94" t="n">
        <v>-10.5</v>
      </c>
      <c r="J65" s="94" t="n">
        <v>21.2</v>
      </c>
      <c r="K65" s="95" t="inlineStr">
        <is>
          <t>2566 JIUYUAN GENE; 6809 MONTAGE TECH; 1879 XIZHI TECH-P; 6951 CCTC; 3308 ZJ INNOLIGHT</t>
        </is>
      </c>
    </row>
    <row r="66">
      <c r="A66" s="16" t="inlineStr">
        <is>
          <t>China Orient Multi-Strategy Master Fund</t>
        </is>
      </c>
      <c r="B66" s="88" t="n">
        <v>5</v>
      </c>
      <c r="C66" s="93" t="n">
        <v>80</v>
      </c>
      <c r="D66" s="94" t="n">
        <v>80.5</v>
      </c>
      <c r="E66" s="94" t="n">
        <v>69.3</v>
      </c>
      <c r="F66" s="94" t="n">
        <v>78</v>
      </c>
      <c r="G66" s="94" t="n">
        <v>87</v>
      </c>
      <c r="H66" s="94" t="n">
        <v>-3.1</v>
      </c>
      <c r="I66" s="94" t="n">
        <v>-2.3</v>
      </c>
      <c r="J66" s="94" t="n">
        <v>23.1</v>
      </c>
      <c r="K66" s="95" t="inlineStr">
        <is>
          <t>2158 YIDU TECH; 2191 SF REIT; 9903 ILUVATAR COREX; 6872 TENNOR THERAP-B; 1956 WENGE AI</t>
        </is>
      </c>
    </row>
    <row r="67">
      <c r="A67" s="16" t="inlineStr">
        <is>
          <t>RIME Capital Limited</t>
        </is>
      </c>
      <c r="B67" s="88" t="n">
        <v>5</v>
      </c>
      <c r="C67" s="93" t="n">
        <v>100</v>
      </c>
      <c r="D67" s="94" t="n">
        <v>78.90000000000001</v>
      </c>
      <c r="E67" s="94" t="n">
        <v>100.4</v>
      </c>
      <c r="F67" s="94" t="n">
        <v>73.8</v>
      </c>
      <c r="G67" s="94" t="n">
        <v>29.3</v>
      </c>
      <c r="H67" s="94" t="n">
        <v>9.6</v>
      </c>
      <c r="I67" s="94" t="n">
        <v>-3.1</v>
      </c>
      <c r="J67" s="94" t="n">
        <v>-21.6</v>
      </c>
      <c r="K67" s="95" t="inlineStr">
        <is>
          <t>2655 GUOXIA TECH; 9981 WOER; 2692 ZHAOWEI; 0068 MANYCORE TECH; 6675 SENASIC</t>
        </is>
      </c>
    </row>
    <row r="68">
      <c r="A68" s="16" t="inlineStr">
        <is>
          <t>Huadeng Technology Space Ventures Ltd</t>
        </is>
      </c>
      <c r="B68" s="88" t="n">
        <v>5</v>
      </c>
      <c r="C68" s="93" t="n">
        <v>80</v>
      </c>
      <c r="D68" s="94" t="n">
        <v>75.8</v>
      </c>
      <c r="E68" s="94" t="n">
        <v>51.1</v>
      </c>
      <c r="F68" s="94" t="n">
        <v>31.3</v>
      </c>
      <c r="G68" s="94" t="n">
        <v>5.5</v>
      </c>
      <c r="H68" s="94" t="n">
        <v>-9.800000000000001</v>
      </c>
      <c r="I68" s="94" t="n">
        <v>-32.1</v>
      </c>
      <c r="J68" s="94" t="n">
        <v>-51.3</v>
      </c>
      <c r="K68" s="95" t="inlineStr">
        <is>
          <t>6656 SIGENERGY; 7666 METIS TECHBIO-P; 3661 SG MICRO; 9630 CFMEE; 3308 ZJ INNOLIGHT</t>
        </is>
      </c>
    </row>
    <row r="69">
      <c r="A69" s="16" t="inlineStr">
        <is>
          <t>Hillhouse Investment Management, Ltd</t>
        </is>
      </c>
      <c r="B69" s="88" t="n">
        <v>5</v>
      </c>
      <c r="C69" s="93" t="n">
        <v>80</v>
      </c>
      <c r="D69" s="94" t="n">
        <v>28</v>
      </c>
      <c r="E69" s="94" t="n">
        <v>27.7</v>
      </c>
      <c r="F69" s="94" t="n">
        <v>16.1</v>
      </c>
      <c r="G69" s="94" t="n">
        <v>2</v>
      </c>
      <c r="H69" s="94" t="n">
        <v>2.4</v>
      </c>
      <c r="I69" s="94" t="n">
        <v>-7.9</v>
      </c>
      <c r="J69" s="94" t="n">
        <v>-16.3</v>
      </c>
      <c r="K69" s="95" t="inlineStr">
        <is>
          <t>2162 KEYMED BIO-B; 2252 MEDBOT-B; 6031 SANY HEAVY IND; 6656 SIGENERGY; 1081 DAJIN</t>
        </is>
      </c>
    </row>
    <row r="70">
      <c r="A70" s="16" t="inlineStr">
        <is>
          <t>Janchor Partners Pan-Asian Master Fund</t>
        </is>
      </c>
      <c r="B70" s="88" t="n">
        <v>5</v>
      </c>
      <c r="C70" s="93" t="n">
        <v>60</v>
      </c>
      <c r="D70" s="94" t="n">
        <v>26.5</v>
      </c>
      <c r="E70" s="94" t="n">
        <v>29.8</v>
      </c>
      <c r="F70" s="94" t="n">
        <v>26</v>
      </c>
      <c r="G70" s="94" t="n">
        <v>57.6</v>
      </c>
      <c r="H70" s="94" t="n">
        <v>1.1</v>
      </c>
      <c r="I70" s="94" t="n">
        <v>-1.2</v>
      </c>
      <c r="J70" s="94" t="n">
        <v>16.2</v>
      </c>
      <c r="K70" s="95" t="inlineStr">
        <is>
          <t>6127 JOINN; 2162 KEYMED BIO-B; 2256 ABBISKO-B; 6809 MONTAGE TECH; 2476 VGT</t>
        </is>
      </c>
    </row>
    <row r="71">
      <c r="A71" s="16" t="inlineStr">
        <is>
          <t>Martis Fund, L.P</t>
        </is>
      </c>
      <c r="B71" s="88" t="n">
        <v>5</v>
      </c>
      <c r="C71" s="93" t="n">
        <v>60</v>
      </c>
      <c r="D71" s="94" t="n">
        <v>26.4</v>
      </c>
      <c r="E71" s="94" t="n">
        <v>40.4</v>
      </c>
      <c r="F71" s="94" t="n">
        <v>57.3</v>
      </c>
      <c r="G71" s="94" t="n">
        <v>172</v>
      </c>
      <c r="H71" s="94" t="n">
        <v>8.4</v>
      </c>
      <c r="I71" s="94" t="n">
        <v>19.5</v>
      </c>
      <c r="J71" s="94" t="n">
        <v>75.90000000000001</v>
      </c>
      <c r="K71" s="95" t="inlineStr">
        <is>
          <t>2050 SANHUA; 9973 CHERY AUTO; 0100 MINIMAX-WP; 3388 CREALITY; 1377 DTECH</t>
        </is>
      </c>
    </row>
    <row r="72">
      <c r="A72" s="16" t="inlineStr">
        <is>
          <t>China Southern Asset Management Co., Ltd</t>
        </is>
      </c>
      <c r="B72" s="88" t="n">
        <v>5</v>
      </c>
      <c r="C72" s="93" t="n">
        <v>60</v>
      </c>
      <c r="D72" s="94" t="n">
        <v>23.8</v>
      </c>
      <c r="E72" s="94" t="n">
        <v>30.3</v>
      </c>
      <c r="F72" s="94" t="n">
        <v>20.3</v>
      </c>
      <c r="G72" s="94" t="n">
        <v>56.5</v>
      </c>
      <c r="H72" s="94" t="n">
        <v>3.5</v>
      </c>
      <c r="I72" s="94" t="n">
        <v>-6.1</v>
      </c>
      <c r="J72" s="94" t="n">
        <v>19</v>
      </c>
      <c r="K72" s="95" t="inlineStr">
        <is>
          <t>2171 CARSGEN-B; 2150 NAYUKI; 6181 LAOPU GOLD; 6603 IFBH; 2698 SOFTCARE</t>
        </is>
      </c>
    </row>
    <row r="73">
      <c r="A73" s="16" t="inlineStr">
        <is>
          <t>MY Asian Opportunities Master Fund, L.P</t>
        </is>
      </c>
      <c r="B73" s="88" t="n">
        <v>5</v>
      </c>
      <c r="C73" s="93" t="n">
        <v>60</v>
      </c>
      <c r="D73" s="94" t="n">
        <v>18</v>
      </c>
      <c r="E73" s="94" t="n">
        <v>20.7</v>
      </c>
      <c r="F73" s="94" t="n">
        <v>40.8</v>
      </c>
      <c r="G73" s="94" t="n">
        <v>56.9</v>
      </c>
      <c r="H73" s="94" t="n">
        <v>2.7</v>
      </c>
      <c r="I73" s="94" t="n">
        <v>17.5</v>
      </c>
      <c r="J73" s="94" t="n">
        <v>28.7</v>
      </c>
      <c r="K73" s="95" t="inlineStr">
        <is>
          <t>0300 MIDEA GROUP; 0470 WUXI LEAD; 1989 DELTON; 2476 VGT; 2475 LUXSHARE ICT</t>
        </is>
      </c>
    </row>
    <row r="74">
      <c r="A74" s="16" t="inlineStr">
        <is>
          <t>Dreamee HK Fund</t>
        </is>
      </c>
      <c r="B74" s="88" t="n">
        <v>5</v>
      </c>
      <c r="C74" s="93" t="n">
        <v>20</v>
      </c>
      <c r="D74" s="94" t="n">
        <v>14.2</v>
      </c>
      <c r="E74" s="94" t="n">
        <v>20.1</v>
      </c>
      <c r="F74" s="94" t="n">
        <v>31.3</v>
      </c>
      <c r="G74" s="94" t="n">
        <v>33.4</v>
      </c>
      <c r="H74" s="94" t="n">
        <v>8.199999999999999</v>
      </c>
      <c r="I74" s="94" t="n">
        <v>4.5</v>
      </c>
      <c r="J74" s="94" t="n">
        <v>9.6</v>
      </c>
      <c r="K74" s="95" t="inlineStr">
        <is>
          <t>0638 FIBOCOM; 2676 NOVOSENSE; 2655 GUOXIA TECH; 2715 ESTUN; 3952 LAIFUAL</t>
        </is>
      </c>
    </row>
    <row r="75">
      <c r="A75" s="16" t="inlineStr">
        <is>
          <t>Da Cheng International Asset Management Company Limited</t>
        </is>
      </c>
      <c r="B75" s="88" t="n">
        <v>5</v>
      </c>
      <c r="C75" s="93" t="n">
        <v>40</v>
      </c>
      <c r="D75" s="94" t="n">
        <v>8.800000000000001</v>
      </c>
      <c r="E75" s="94" t="n">
        <v>5.6</v>
      </c>
      <c r="F75" s="94" t="n">
        <v>-11.2</v>
      </c>
      <c r="G75" s="94" t="n">
        <v>-15.4</v>
      </c>
      <c r="H75" s="94" t="n">
        <v>-2.7</v>
      </c>
      <c r="I75" s="94" t="n">
        <v>-17.6</v>
      </c>
      <c r="J75" s="94" t="n">
        <v>-16</v>
      </c>
      <c r="K75" s="95" t="inlineStr">
        <is>
          <t>2692 ZHAOWEI; 1187 COFOE MEDICAL; 3661 SG MICRO; 1688 LINGYI ITECH; 2249 NEXCHIP</t>
        </is>
      </c>
    </row>
    <row r="76">
      <c r="A76" s="16" t="inlineStr">
        <is>
          <t>Millennium Capital Management (Singapore) Pte. Ltd</t>
        </is>
      </c>
      <c r="B76" s="88" t="n">
        <v>5</v>
      </c>
      <c r="C76" s="93" t="n">
        <v>20</v>
      </c>
      <c r="D76" s="94" t="n">
        <v>8.699999999999999</v>
      </c>
      <c r="E76" s="94" t="n">
        <v>7.9</v>
      </c>
      <c r="F76" s="94" t="n">
        <v>-6.4</v>
      </c>
      <c r="G76" s="94" t="n">
        <v>15.5</v>
      </c>
      <c r="H76" s="94" t="n">
        <v>-0.2</v>
      </c>
      <c r="I76" s="94" t="n">
        <v>-12.4</v>
      </c>
      <c r="J76" s="94" t="n">
        <v>15.5</v>
      </c>
      <c r="K76" s="95" t="inlineStr">
        <is>
          <t>0470 WUXI LEAD; 1081 DAJIN; 3661 SG MICRO; 2475 LUXSHARE ICT; 1377 DTECH</t>
        </is>
      </c>
    </row>
    <row r="77">
      <c r="A77" s="16" t="inlineStr">
        <is>
          <t>Octagon Investments Master Fund LP</t>
        </is>
      </c>
      <c r="B77" s="88" t="n">
        <v>5</v>
      </c>
      <c r="C77" s="93" t="n">
        <v>40</v>
      </c>
      <c r="D77" s="94" t="n">
        <v>7</v>
      </c>
      <c r="E77" s="94" t="n">
        <v>3.4</v>
      </c>
      <c r="F77" s="94" t="n">
        <v>-5.3</v>
      </c>
      <c r="G77" s="94" t="n">
        <v>-19.3</v>
      </c>
      <c r="H77" s="94" t="n">
        <v>-3.3</v>
      </c>
      <c r="I77" s="94" t="n">
        <v>-11.3</v>
      </c>
      <c r="J77" s="94" t="n">
        <v>-24.2</v>
      </c>
      <c r="K77" s="95" t="inlineStr">
        <is>
          <t>6127 JOINN; 2190 ZYLOXTB-B; 2162 KEYMED BIO-B; 6609 HEARTCARE-B; 2235 MICROTECH MED-B</t>
        </is>
      </c>
    </row>
    <row r="78">
      <c r="A78" s="16" t="inlineStr">
        <is>
          <t>Panjing Harbourview Investment Fund</t>
        </is>
      </c>
      <c r="B78" s="88" t="n">
        <v>5</v>
      </c>
      <c r="C78" s="93" t="n">
        <v>40</v>
      </c>
      <c r="D78" s="94" t="n">
        <v>4.5</v>
      </c>
      <c r="E78" s="94" t="n">
        <v>15.6</v>
      </c>
      <c r="F78" s="94" t="n">
        <v>9.800000000000001</v>
      </c>
      <c r="G78" s="94" t="n">
        <v>11.9</v>
      </c>
      <c r="H78" s="94" t="n">
        <v>7</v>
      </c>
      <c r="I78" s="94" t="n">
        <v>5.1</v>
      </c>
      <c r="J78" s="94" t="n">
        <v>-9.6</v>
      </c>
      <c r="K78" s="95" t="inlineStr">
        <is>
          <t>6669 ACOTEC-B; 2675 EDGE MEDICAL-B; 3277 GPIXEL; 1187 COFOE MEDICAL; 6132 HJ SCIENCE-B</t>
        </is>
      </c>
    </row>
    <row r="79">
      <c r="A79" s="16" t="inlineStr">
        <is>
          <t>New China Asset Management (Hong Kong) Limited</t>
        </is>
      </c>
      <c r="B79" s="88" t="n">
        <v>5</v>
      </c>
      <c r="C79" s="93" t="n">
        <v>60</v>
      </c>
      <c r="D79" s="94" t="n">
        <v>3.9</v>
      </c>
      <c r="E79" s="94" t="n">
        <v>2.3</v>
      </c>
      <c r="F79" s="94" t="n">
        <v>2.4</v>
      </c>
      <c r="G79" s="94" t="n">
        <v>-10.9</v>
      </c>
      <c r="H79" s="94" t="n">
        <v>-1.6</v>
      </c>
      <c r="I79" s="94" t="n">
        <v>-2.2</v>
      </c>
      <c r="J79" s="94" t="n">
        <v>-14.8</v>
      </c>
      <c r="K79" s="95" t="inlineStr">
        <is>
          <t>6626 YUEXIU SERVICES; 9636 JF WEALTH; 6682 FOURTH PARADIGM; 9927 SERES; 3296 HUAQIN</t>
        </is>
      </c>
    </row>
    <row r="80">
      <c r="A80" s="16" t="inlineStr">
        <is>
          <t>The China State-owned Enterprise Mixed Ownership Reform Fund Co., Ltd</t>
        </is>
      </c>
      <c r="B80" s="88" t="n">
        <v>5</v>
      </c>
      <c r="C80" s="93" t="n">
        <v>20</v>
      </c>
      <c r="D80" s="94" t="n">
        <v>-3.2</v>
      </c>
      <c r="E80" s="94" t="n">
        <v>16</v>
      </c>
      <c r="F80" s="94" t="n">
        <v>6.2</v>
      </c>
      <c r="G80" s="94" t="n">
        <v>2.6</v>
      </c>
      <c r="H80" s="94" t="n">
        <v>17.7</v>
      </c>
      <c r="I80" s="94" t="n">
        <v>8.4</v>
      </c>
      <c r="J80" s="94" t="n">
        <v>4.5</v>
      </c>
      <c r="K80" s="95" t="inlineStr">
        <is>
          <t>0020 SENSETIME-W; 6680 JLMAG; 1880 CTG DUTY-FREE; 2602 ONEWO; 2245 LYGEND RESOURCE</t>
        </is>
      </c>
    </row>
    <row r="81">
      <c r="A81" s="16" t="inlineStr">
        <is>
          <t>CPP Investment Board PMI-2 Inc</t>
        </is>
      </c>
      <c r="B81" s="88" t="n">
        <v>4</v>
      </c>
      <c r="C81" s="93" t="n">
        <v>75</v>
      </c>
      <c r="D81" s="94" t="n">
        <v>89.40000000000001</v>
      </c>
      <c r="E81" s="94" t="n">
        <v>105.8</v>
      </c>
      <c r="F81" s="94" t="n">
        <v>88.5</v>
      </c>
      <c r="G81" s="94" t="n">
        <v>62.8</v>
      </c>
      <c r="H81" s="94" t="n">
        <v>5</v>
      </c>
      <c r="I81" s="94" t="n">
        <v>1.7</v>
      </c>
      <c r="J81" s="94" t="n">
        <v>-23.1</v>
      </c>
      <c r="K81" s="95" t="inlineStr">
        <is>
          <t>2158 YIDU TECH; 1024 KUAISHOU-W; 0013 HUTCHMED; 2475 LUXSHARE ICT</t>
        </is>
      </c>
    </row>
    <row r="82">
      <c r="A82" s="16" t="inlineStr">
        <is>
          <t>RTW Master Fund, Ltd</t>
        </is>
      </c>
      <c r="B82" s="88" t="n">
        <v>4</v>
      </c>
      <c r="C82" s="93" t="n">
        <v>100</v>
      </c>
      <c r="D82" s="94" t="n">
        <v>85</v>
      </c>
      <c r="E82" s="94" t="n">
        <v>49.2</v>
      </c>
      <c r="F82" s="94" t="n">
        <v>23.7</v>
      </c>
      <c r="G82" s="94" t="n">
        <v>28.3</v>
      </c>
      <c r="H82" s="94" t="n">
        <v>-16.2</v>
      </c>
      <c r="I82" s="94" t="n">
        <v>-26.7</v>
      </c>
      <c r="J82" s="94" t="n">
        <v>-18</v>
      </c>
      <c r="K82" s="95" t="inlineStr">
        <is>
          <t>6990 SKB BIO-B; 2595 GENFLEET-B; 7666 METIS TECHBIO-P; 9637 ALEBUND-B</t>
        </is>
      </c>
    </row>
    <row r="83">
      <c r="A83" s="16" t="inlineStr">
        <is>
          <t>Aranda Investments Pte. Ltd</t>
        </is>
      </c>
      <c r="B83" s="88" t="n">
        <v>4</v>
      </c>
      <c r="C83" s="93" t="n">
        <v>75</v>
      </c>
      <c r="D83" s="94" t="n">
        <v>72.8</v>
      </c>
      <c r="E83" s="94" t="n">
        <v>86.3</v>
      </c>
      <c r="F83" s="94" t="n">
        <v>54</v>
      </c>
      <c r="G83" s="94" t="n">
        <v>13.1</v>
      </c>
      <c r="H83" s="94" t="n">
        <v>3.4</v>
      </c>
      <c r="I83" s="94" t="n">
        <v>-10.8</v>
      </c>
      <c r="J83" s="94" t="n">
        <v>-34.4</v>
      </c>
      <c r="K83" s="95" t="inlineStr">
        <is>
          <t>1024 KUAISHOU-W; 2162 KEYMED BIO-B; 2256 ABBISKO-B; 6656 SIGENERGY</t>
        </is>
      </c>
    </row>
    <row r="84">
      <c r="A84" s="16" t="inlineStr">
        <is>
          <t>Guohui (HK) Holdings Co., Limited</t>
        </is>
      </c>
      <c r="B84" s="88" t="n">
        <v>4</v>
      </c>
      <c r="C84" s="93" t="n">
        <v>100</v>
      </c>
      <c r="D84" s="94" t="n">
        <v>57.9</v>
      </c>
      <c r="E84" s="94" t="n">
        <v>76.2</v>
      </c>
      <c r="F84" s="94" t="n">
        <v>31.8</v>
      </c>
      <c r="G84" s="94" t="n">
        <v>-11.9</v>
      </c>
      <c r="H84" s="94" t="n">
        <v>5.3</v>
      </c>
      <c r="I84" s="94" t="n">
        <v>-16.4</v>
      </c>
      <c r="J84" s="94" t="n">
        <v>-35.7</v>
      </c>
      <c r="K84" s="95" t="inlineStr">
        <is>
          <t>9981 WOER; 0068 MANYCORE TECH; 2493 MABWELL-B; 1956 WENGE AI</t>
        </is>
      </c>
    </row>
    <row r="85">
      <c r="A85" s="16" t="inlineStr">
        <is>
          <t>TruMed Healthcare Master Fund and TruMed Health Innovation Fund LP</t>
        </is>
      </c>
      <c r="B85" s="88" t="n">
        <v>4</v>
      </c>
      <c r="C85" s="93" t="n">
        <v>100</v>
      </c>
      <c r="D85" s="94" t="n">
        <v>52.6</v>
      </c>
      <c r="E85" s="94" t="n">
        <v>63.2</v>
      </c>
      <c r="F85" s="94" t="n">
        <v>44</v>
      </c>
      <c r="G85" s="94" t="n">
        <v>115.8</v>
      </c>
      <c r="H85" s="94" t="n">
        <v>6.6</v>
      </c>
      <c r="I85" s="94" t="n">
        <v>-4.8</v>
      </c>
      <c r="J85" s="94" t="n">
        <v>32.3</v>
      </c>
      <c r="K85" s="95" t="inlineStr">
        <is>
          <t>2373 BEAUTYFARM MED; 6990 SKB BIO-B; 9606 DUALITYBIO-B; 1779 LONGBIO-B</t>
        </is>
      </c>
    </row>
    <row r="86">
      <c r="A86" s="16" t="inlineStr">
        <is>
          <t>Tencent Mobility Limited</t>
        </is>
      </c>
      <c r="B86" s="88" t="n">
        <v>4</v>
      </c>
      <c r="C86" s="93" t="n">
        <v>75</v>
      </c>
      <c r="D86" s="94" t="n">
        <v>46.6</v>
      </c>
      <c r="E86" s="94" t="n">
        <v>53.9</v>
      </c>
      <c r="F86" s="94" t="n">
        <v>82.8</v>
      </c>
      <c r="G86" s="94" t="n">
        <v>45.8</v>
      </c>
      <c r="H86" s="94" t="n">
        <v>7</v>
      </c>
      <c r="I86" s="94" t="n">
        <v>30.1</v>
      </c>
      <c r="J86" s="94" t="n">
        <v>9</v>
      </c>
      <c r="K86" s="95" t="inlineStr">
        <is>
          <t>2158 YIDU TECH; 2192 MEDLIVE; 2235 MICROTECH MED-B; 3696 INSILICO</t>
        </is>
      </c>
    </row>
    <row r="87">
      <c r="A87" s="16" t="inlineStr">
        <is>
          <t>JSC International Investment Fund SPC</t>
        </is>
      </c>
      <c r="B87" s="88" t="n">
        <v>4</v>
      </c>
      <c r="C87" s="93" t="n">
        <v>75</v>
      </c>
      <c r="D87" s="94" t="n">
        <v>39.4</v>
      </c>
      <c r="E87" s="94" t="n">
        <v>40.5</v>
      </c>
      <c r="F87" s="94" t="n">
        <v>6.8</v>
      </c>
      <c r="G87" s="94" t="n">
        <v>4.5</v>
      </c>
      <c r="H87" s="94" t="n">
        <v>1.6</v>
      </c>
      <c r="I87" s="94" t="n">
        <v>-23</v>
      </c>
      <c r="J87" s="94" t="n">
        <v>-17.1</v>
      </c>
      <c r="K87" s="95" t="inlineStr">
        <is>
          <t>9660 HORIZONROBOT-W; 0699 JOYSON ELEC; 1609 STAR SPORTS MED; 1191 CREALIGHTS</t>
        </is>
      </c>
    </row>
    <row r="88">
      <c r="A88" s="16" t="inlineStr">
        <is>
          <t>Bosera Asset Management (International) Co., Limited</t>
        </is>
      </c>
      <c r="B88" s="88" t="n">
        <v>4</v>
      </c>
      <c r="C88" s="93" t="n">
        <v>75</v>
      </c>
      <c r="D88" s="94" t="n">
        <v>39.2</v>
      </c>
      <c r="E88" s="94" t="n">
        <v>22.6</v>
      </c>
      <c r="F88" s="94" t="n">
        <v>25.5</v>
      </c>
      <c r="G88" s="94" t="n">
        <v>9.6</v>
      </c>
      <c r="H88" s="94" t="n">
        <v>-9.800000000000001</v>
      </c>
      <c r="I88" s="94" t="n">
        <v>-5.6</v>
      </c>
      <c r="J88" s="94" t="n">
        <v>-27</v>
      </c>
      <c r="K88" s="95" t="inlineStr">
        <is>
          <t>2476 VGT; 9630 CFMEE; 2475 LUXSHARE ICT; 6951 CCTC</t>
        </is>
      </c>
    </row>
    <row r="89">
      <c r="A89" s="16" t="inlineStr">
        <is>
          <t>Sunwoda Treasury (Hong Kong) Limited</t>
        </is>
      </c>
      <c r="B89" s="88" t="n">
        <v>4</v>
      </c>
      <c r="C89" s="93" t="n">
        <v>75</v>
      </c>
      <c r="D89" s="94" t="n">
        <v>38.4</v>
      </c>
      <c r="E89" s="94" t="n">
        <v>31.6</v>
      </c>
      <c r="F89" s="94" t="n">
        <v>-2.6</v>
      </c>
      <c r="G89" s="94" t="n">
        <v>10.2</v>
      </c>
      <c r="H89" s="94" t="n">
        <v>-3.5</v>
      </c>
      <c r="I89" s="94" t="n">
        <v>-23.1</v>
      </c>
      <c r="J89" s="94" t="n">
        <v>7.9</v>
      </c>
      <c r="K89" s="95" t="inlineStr">
        <is>
          <t>2579 CNGR; 2701 NSING TECH; 6675 SENASIC; 6067 SENIOR MATERIAL</t>
        </is>
      </c>
    </row>
    <row r="90">
      <c r="A90" s="16" t="inlineStr">
        <is>
          <t>Matthews Funds</t>
        </is>
      </c>
      <c r="B90" s="88" t="n">
        <v>4</v>
      </c>
      <c r="C90" s="93" t="n">
        <v>75</v>
      </c>
      <c r="D90" s="94" t="n">
        <v>37.6</v>
      </c>
      <c r="E90" s="94" t="n">
        <v>32.8</v>
      </c>
      <c r="F90" s="94" t="n">
        <v>37.1</v>
      </c>
      <c r="G90" s="94" t="n">
        <v>1.1</v>
      </c>
      <c r="H90" s="94" t="n">
        <v>-3.8</v>
      </c>
      <c r="I90" s="94" t="n">
        <v>0.6</v>
      </c>
      <c r="J90" s="94" t="n">
        <v>-22.5</v>
      </c>
      <c r="K90" s="95" t="inlineStr">
        <is>
          <t>2158 YIDU TECH; 6622 ZHAOKE OPHTH-B; 2618 JD LOGISTICS; 2192 MEDLIVE</t>
        </is>
      </c>
    </row>
    <row r="91">
      <c r="A91" s="16" t="inlineStr">
        <is>
          <t>Sunshine Life Insurance Corporation Limited</t>
        </is>
      </c>
      <c r="B91" s="88" t="n">
        <v>4</v>
      </c>
      <c r="C91" s="93" t="n">
        <v>25</v>
      </c>
      <c r="D91" s="94" t="n">
        <v>34.7</v>
      </c>
      <c r="E91" s="94" t="n">
        <v>65.5</v>
      </c>
      <c r="F91" s="94" t="n">
        <v>37.7</v>
      </c>
      <c r="G91" s="94" t="n">
        <v>2.8</v>
      </c>
      <c r="H91" s="94" t="n">
        <v>11.5</v>
      </c>
      <c r="I91" s="94" t="n">
        <v>3.2</v>
      </c>
      <c r="J91" s="94" t="n">
        <v>-12.9</v>
      </c>
      <c r="K91" s="95" t="inlineStr">
        <is>
          <t>9638 FERRETTI; 9886 DINGDANG HEALTH; 9985 WEILONG; 0068 MANYCORE TECH</t>
        </is>
      </c>
    </row>
    <row r="92">
      <c r="A92" s="16" t="inlineStr">
        <is>
          <t>Ocean Fine Industrial Limited</t>
        </is>
      </c>
      <c r="B92" s="88" t="n">
        <v>4</v>
      </c>
      <c r="C92" s="93" t="n">
        <v>50</v>
      </c>
      <c r="D92" s="94" t="n">
        <v>30.7</v>
      </c>
      <c r="E92" s="94" t="n">
        <v>17.7</v>
      </c>
      <c r="F92" s="94" t="n">
        <v>1</v>
      </c>
      <c r="G92" s="94" t="n">
        <v>-11.3</v>
      </c>
      <c r="H92" s="94" t="n">
        <v>-5.4</v>
      </c>
      <c r="I92" s="94" t="n">
        <v>-17</v>
      </c>
      <c r="J92" s="94" t="n">
        <v>4.3</v>
      </c>
      <c r="K92" s="95" t="inlineStr">
        <is>
          <t>6911 LANCANG TEA; 2026 PONY-W; 3661 SG MICRO; 9630 CFMEE</t>
        </is>
      </c>
    </row>
    <row r="93">
      <c r="A93" s="16" t="inlineStr">
        <is>
          <t>Hefei Beicheng Construction Investment (Group) Company Limited</t>
        </is>
      </c>
      <c r="B93" s="88" t="n">
        <v>4</v>
      </c>
      <c r="C93" s="93" t="n">
        <v>25</v>
      </c>
      <c r="D93" s="94" t="n">
        <v>25.4</v>
      </c>
      <c r="E93" s="94" t="n">
        <v>10.4</v>
      </c>
      <c r="F93" s="94" t="n">
        <v>-3</v>
      </c>
      <c r="G93" s="94" t="n">
        <v>-26.3</v>
      </c>
      <c r="H93" s="94" t="n">
        <v>-8.9</v>
      </c>
      <c r="I93" s="94" t="n">
        <v>-19.1</v>
      </c>
      <c r="J93" s="94" t="n">
        <v>-25.4</v>
      </c>
      <c r="K93" s="95" t="inlineStr">
        <is>
          <t>3931 CALB; 2482 LOGORY; 9630 CFMEE; 2249 NEXCHIP</t>
        </is>
      </c>
    </row>
    <row r="94">
      <c r="A94" s="16" t="inlineStr">
        <is>
          <t>Sungrow Power (Hong Kong) Co., Limited</t>
        </is>
      </c>
      <c r="B94" s="88" t="n">
        <v>4</v>
      </c>
      <c r="C94" s="93" t="n">
        <v>50</v>
      </c>
      <c r="D94" s="94" t="n">
        <v>22.6</v>
      </c>
      <c r="E94" s="94" t="n">
        <v>6.8</v>
      </c>
      <c r="F94" s="94" t="n">
        <v>-11.3</v>
      </c>
      <c r="G94" s="94" t="n">
        <v>-36.2</v>
      </c>
      <c r="H94" s="94" t="n">
        <v>-9.800000000000001</v>
      </c>
      <c r="I94" s="94" t="n">
        <v>-23.3</v>
      </c>
      <c r="J94" s="94" t="n">
        <v>-17.2</v>
      </c>
      <c r="K94" s="95" t="inlineStr">
        <is>
          <t>9609 HAIWEI ELEC; 3661 SG MICRO; 9630 CFMEE; 0537 RIGOL</t>
        </is>
      </c>
    </row>
    <row r="95">
      <c r="A95" s="16" t="inlineStr">
        <is>
          <t>Black Dragon CP Fund SPC</t>
        </is>
      </c>
      <c r="B95" s="88" t="n">
        <v>4</v>
      </c>
      <c r="C95" s="93" t="n">
        <v>50</v>
      </c>
      <c r="D95" s="94" t="n">
        <v>22.5</v>
      </c>
      <c r="E95" s="94" t="n">
        <v>23</v>
      </c>
      <c r="F95" s="94" t="n">
        <v>35.3</v>
      </c>
      <c r="G95" s="94" t="n">
        <v>-3.4</v>
      </c>
      <c r="H95" s="94" t="n">
        <v>0.9</v>
      </c>
      <c r="I95" s="94" t="n">
        <v>3.8</v>
      </c>
      <c r="J95" s="94" t="n">
        <v>-26.4</v>
      </c>
      <c r="K95" s="95" t="inlineStr">
        <is>
          <t>6603 IFBH; 3887 HASHKEY HLDGS; 2476 VGT; 3308 ZJ INNOLIGHT</t>
        </is>
      </c>
    </row>
    <row r="96">
      <c r="A96" s="16" t="inlineStr">
        <is>
          <t>King Terrace Limited</t>
        </is>
      </c>
      <c r="B96" s="88" t="n">
        <v>4</v>
      </c>
      <c r="C96" s="93" t="n">
        <v>75</v>
      </c>
      <c r="D96" s="94" t="n">
        <v>21.6</v>
      </c>
      <c r="E96" s="94" t="n">
        <v>28.6</v>
      </c>
      <c r="F96" s="94" t="n">
        <v>16.5</v>
      </c>
      <c r="G96" s="94" t="n">
        <v>53.3</v>
      </c>
      <c r="H96" s="94" t="n">
        <v>4.5</v>
      </c>
      <c r="I96" s="94" t="n">
        <v>-5.7</v>
      </c>
      <c r="J96" s="94" t="n">
        <v>11.5</v>
      </c>
      <c r="K96" s="95" t="inlineStr">
        <is>
          <t>0606 SCE CM; 2157 LEPU BIO-B; 2566 JIUYUAN GENE; 9606 DUALITYBIO-B</t>
        </is>
      </c>
    </row>
    <row r="97">
      <c r="A97" s="16" t="inlineStr">
        <is>
          <t>YHG Investment, L.P</t>
        </is>
      </c>
      <c r="B97" s="88" t="n">
        <v>4</v>
      </c>
      <c r="C97" s="93" t="n">
        <v>50</v>
      </c>
      <c r="D97" s="94" t="n">
        <v>21.2</v>
      </c>
      <c r="E97" s="94" t="n">
        <v>13.7</v>
      </c>
      <c r="F97" s="94" t="n">
        <v>-4.6</v>
      </c>
      <c r="G97" s="94" t="n">
        <v>1.9</v>
      </c>
      <c r="H97" s="94" t="n">
        <v>-7.4</v>
      </c>
      <c r="I97" s="94" t="n">
        <v>-22.1</v>
      </c>
      <c r="J97" s="94" t="n">
        <v>-14</v>
      </c>
      <c r="K97" s="95" t="inlineStr">
        <is>
          <t>2160 CARDIOFLOW-B; 2190 ZYLOXTB-B; 2197 CLOVER BIO-B; 2602 ONEWO</t>
        </is>
      </c>
    </row>
    <row r="98">
      <c r="A98" s="16" t="inlineStr">
        <is>
          <t>Jain Global Master Fund Ltd</t>
        </is>
      </c>
      <c r="B98" s="88" t="n">
        <v>4</v>
      </c>
      <c r="C98" s="93" t="n">
        <v>75</v>
      </c>
      <c r="D98" s="94" t="n">
        <v>17.8</v>
      </c>
      <c r="E98" s="94" t="n">
        <v>12.9</v>
      </c>
      <c r="F98" s="94" t="n">
        <v>-6.1</v>
      </c>
      <c r="G98" s="94" t="n">
        <v>1.6</v>
      </c>
      <c r="H98" s="94" t="n">
        <v>-4.3</v>
      </c>
      <c r="I98" s="94" t="n">
        <v>-21.4</v>
      </c>
      <c r="J98" s="94" t="n">
        <v>-23.6</v>
      </c>
      <c r="K98" s="95" t="inlineStr">
        <is>
          <t>6603 IFBH; 6687 JST GROUP; 1688 LINGYI ITECH; 7687 EACON</t>
        </is>
      </c>
    </row>
    <row r="99">
      <c r="A99" s="16" t="inlineStr">
        <is>
          <t>Fidelity International</t>
        </is>
      </c>
      <c r="B99" s="88" t="n">
        <v>4</v>
      </c>
      <c r="C99" s="93" t="n">
        <v>75</v>
      </c>
      <c r="D99" s="94" t="n">
        <v>16.1</v>
      </c>
      <c r="E99" s="94" t="n">
        <v>13</v>
      </c>
      <c r="F99" s="94" t="n">
        <v>17.6</v>
      </c>
      <c r="G99" s="94" t="n">
        <v>-1.5</v>
      </c>
      <c r="H99" s="94" t="n">
        <v>-2.6</v>
      </c>
      <c r="I99" s="94" t="n">
        <v>3</v>
      </c>
      <c r="J99" s="94" t="n">
        <v>-14.8</v>
      </c>
      <c r="K99" s="95" t="inlineStr">
        <is>
          <t>9959 LINKLOGIS–W; 2190 ZYLOXTB-B; 2192 MEDLIVE; 3887 HASHKEY HLDGS</t>
        </is>
      </c>
    </row>
    <row r="100">
      <c r="A100" s="16" t="inlineStr">
        <is>
          <t>General Atlantic Singapore HCM Pte. Ltd</t>
        </is>
      </c>
      <c r="B100" s="88" t="n">
        <v>4</v>
      </c>
      <c r="C100" s="93" t="n">
        <v>50</v>
      </c>
      <c r="D100" s="94" t="n">
        <v>14.3</v>
      </c>
      <c r="E100" s="94" t="n">
        <v>17.5</v>
      </c>
      <c r="F100" s="94" t="n">
        <v>31.5</v>
      </c>
      <c r="G100" s="94" t="n">
        <v>-10</v>
      </c>
      <c r="H100" s="94" t="n">
        <v>3.4</v>
      </c>
      <c r="I100" s="94" t="n">
        <v>6.7</v>
      </c>
      <c r="J100" s="94" t="n">
        <v>-29.7</v>
      </c>
      <c r="K100" s="95" t="inlineStr">
        <is>
          <t>0013 HUTCHMED; 1228 CANBRIDGE-B; 2268 WUXI XDC; 3308 ZJ INNOLIGHT</t>
        </is>
      </c>
    </row>
    <row r="101">
      <c r="A101" s="16" t="inlineStr">
        <is>
          <t>Infini Global Master Fund</t>
        </is>
      </c>
      <c r="B101" s="88" t="n">
        <v>4</v>
      </c>
      <c r="C101" s="93" t="n">
        <v>75</v>
      </c>
      <c r="D101" s="94" t="n">
        <v>12.6</v>
      </c>
      <c r="E101" s="94" t="n">
        <v>28.5</v>
      </c>
      <c r="F101" s="94" t="n">
        <v>55.6</v>
      </c>
      <c r="G101" s="94" t="n">
        <v>66.2</v>
      </c>
      <c r="H101" s="94" t="n">
        <v>12.3</v>
      </c>
      <c r="I101" s="94" t="n">
        <v>35.6</v>
      </c>
      <c r="J101" s="94" t="n">
        <v>48.5</v>
      </c>
      <c r="K101" s="95" t="inlineStr">
        <is>
          <t>2643 CAOCAO INC; 6613 LENS; 3696 INSILICO; 2675 EDGE MEDICAL-B</t>
        </is>
      </c>
    </row>
    <row r="102">
      <c r="A102" s="16" t="inlineStr">
        <is>
          <t>SensePower Management Limited</t>
        </is>
      </c>
      <c r="B102" s="88" t="n">
        <v>4</v>
      </c>
      <c r="C102" s="93" t="n">
        <v>50</v>
      </c>
      <c r="D102" s="94" t="n">
        <v>10.4</v>
      </c>
      <c r="E102" s="94" t="n">
        <v>8.6</v>
      </c>
      <c r="F102" s="94" t="n">
        <v>20.4</v>
      </c>
      <c r="G102" s="94" t="n">
        <v>34.5</v>
      </c>
      <c r="H102" s="94" t="n">
        <v>-0.2</v>
      </c>
      <c r="I102" s="94" t="n">
        <v>9.6</v>
      </c>
      <c r="J102" s="94" t="n">
        <v>22.3</v>
      </c>
      <c r="K102" s="95" t="inlineStr">
        <is>
          <t>6626 YUEXIU SERVICES; 9878 HUITONGDA NET; 6610 FLOWING CLOUD; 2429 UBOX ONLINE</t>
        </is>
      </c>
    </row>
    <row r="103">
      <c r="A103" s="16" t="inlineStr">
        <is>
          <t>The Reynold Lemkins Group (Asia) Limited</t>
        </is>
      </c>
      <c r="B103" s="88" t="n">
        <v>4</v>
      </c>
      <c r="C103" s="93" t="n">
        <v>50</v>
      </c>
      <c r="D103" s="94" t="n">
        <v>5.7</v>
      </c>
      <c r="E103" s="94" t="n">
        <v>-12.2</v>
      </c>
      <c r="F103" s="94" t="n">
        <v>1.3</v>
      </c>
      <c r="G103" s="94" t="n">
        <v>-8</v>
      </c>
      <c r="H103" s="94" t="n">
        <v>-12.1</v>
      </c>
      <c r="I103" s="94" t="n">
        <v>-4.4</v>
      </c>
      <c r="J103" s="94" t="n">
        <v>-11.8</v>
      </c>
      <c r="K103" s="95" t="inlineStr">
        <is>
          <t>2505 EDA GROUP HLDGS; 2479 TIANJUDIHE; 1471 ZHONGMIAO; 2592 CLOUDBREAK-B</t>
        </is>
      </c>
    </row>
    <row r="104">
      <c r="A104" s="16" t="inlineStr">
        <is>
          <t>Eastspring Investments (Hong Kong) Limited</t>
        </is>
      </c>
      <c r="B104" s="88" t="n">
        <v>4</v>
      </c>
      <c r="C104" s="93" t="n">
        <v>25</v>
      </c>
      <c r="D104" s="94" t="n">
        <v>5.7</v>
      </c>
      <c r="E104" s="94" t="n">
        <v>1.2</v>
      </c>
      <c r="F104" s="94" t="n">
        <v>16.1</v>
      </c>
      <c r="G104" s="94" t="n">
        <v>69.09999999999999</v>
      </c>
      <c r="H104" s="94" t="n">
        <v>-5</v>
      </c>
      <c r="I104" s="94" t="n">
        <v>5.3</v>
      </c>
      <c r="J104" s="94" t="n">
        <v>39.8</v>
      </c>
      <c r="K104" s="95" t="inlineStr">
        <is>
          <t>2026 PONY-W; 1989 DELTON; 1081 DAJIN; 2475 LUXSHARE ICT</t>
        </is>
      </c>
    </row>
    <row r="105">
      <c r="A105" s="16" t="inlineStr">
        <is>
          <t>Ghisallo Master Fund LP</t>
        </is>
      </c>
      <c r="B105" s="88" t="n">
        <v>4</v>
      </c>
      <c r="C105" s="93" t="n">
        <v>50</v>
      </c>
      <c r="D105" s="94" t="n">
        <v>5.5</v>
      </c>
      <c r="E105" s="94" t="n">
        <v>-4.2</v>
      </c>
      <c r="F105" s="94" t="n">
        <v>-10.9</v>
      </c>
      <c r="G105" s="94" t="n">
        <v>-23.7</v>
      </c>
      <c r="H105" s="94" t="n">
        <v>-9.5</v>
      </c>
      <c r="I105" s="94" t="n">
        <v>-15</v>
      </c>
      <c r="J105" s="94" t="n">
        <v>-27.1</v>
      </c>
      <c r="K105" s="95" t="inlineStr">
        <is>
          <t>2460 CR BEVERAGE; 9927 SERES; 2026 PONY-W; 0501 OMNIVISION</t>
        </is>
      </c>
    </row>
    <row r="106">
      <c r="A106" s="16" t="inlineStr">
        <is>
          <t>China Post Wealth Management</t>
        </is>
      </c>
      <c r="B106" s="88" t="n">
        <v>4</v>
      </c>
      <c r="C106" s="93" t="n">
        <v>50</v>
      </c>
      <c r="D106" s="94" t="n">
        <v>4.5</v>
      </c>
      <c r="E106" s="94" t="n">
        <v>-2.6</v>
      </c>
      <c r="F106" s="94" t="n">
        <v>-14.1</v>
      </c>
      <c r="G106" s="94" t="n">
        <v>-18.8</v>
      </c>
      <c r="H106" s="94" t="n">
        <v>-6.9</v>
      </c>
      <c r="I106" s="94" t="n">
        <v>-17.5</v>
      </c>
      <c r="J106" s="94" t="n">
        <v>-21.1</v>
      </c>
      <c r="K106" s="95" t="inlineStr">
        <is>
          <t>2460 CR BEVERAGE; 2580 AUX ELECTRIC; 0699 JOYSON ELEC; 0501 OMNIVISION</t>
        </is>
      </c>
    </row>
    <row r="107">
      <c r="A107" s="16" t="inlineStr">
        <is>
          <t>Wind Sabre</t>
        </is>
      </c>
      <c r="B107" s="88" t="n">
        <v>4</v>
      </c>
      <c r="C107" s="93" t="n">
        <v>50</v>
      </c>
      <c r="D107" s="94" t="n">
        <v>4.4</v>
      </c>
      <c r="E107" s="94" t="n">
        <v>14.2</v>
      </c>
      <c r="F107" s="94" t="n">
        <v>17.8</v>
      </c>
      <c r="G107" s="94" t="n">
        <v>97.3</v>
      </c>
      <c r="H107" s="94" t="n">
        <v>9.300000000000001</v>
      </c>
      <c r="I107" s="94" t="n">
        <v>12.9</v>
      </c>
      <c r="J107" s="94" t="n">
        <v>83.09999999999999</v>
      </c>
      <c r="K107" s="95" t="inlineStr">
        <is>
          <t>2050 SANHUA; 1304 FORTIOR; 9903 ILUVATAR COREX; 6228 MERDEKAGOLD-DRS</t>
        </is>
      </c>
    </row>
    <row r="108">
      <c r="A108" s="16" t="inlineStr">
        <is>
          <t>Factorial Master Fund</t>
        </is>
      </c>
      <c r="B108" s="88" t="n">
        <v>4</v>
      </c>
      <c r="C108" s="93" t="n">
        <v>50</v>
      </c>
      <c r="D108" s="94" t="n">
        <v>-2.3</v>
      </c>
      <c r="E108" s="94" t="n">
        <v>14.1</v>
      </c>
      <c r="F108" s="94" t="n">
        <v>-15</v>
      </c>
      <c r="G108" s="94" t="n">
        <v>-23.1</v>
      </c>
      <c r="H108" s="94" t="n">
        <v>18</v>
      </c>
      <c r="I108" s="94" t="n">
        <v>-13.8</v>
      </c>
      <c r="J108" s="94" t="n">
        <v>-24.4</v>
      </c>
      <c r="K108" s="95" t="inlineStr">
        <is>
          <t>0600 AXERA; 9981 WOER; 2692 ZHAOWEI; 3952 LAIFUAL</t>
        </is>
      </c>
    </row>
    <row r="109">
      <c r="A109" s="16" t="inlineStr">
        <is>
          <t>Ningbo Yinzhou District Financial Holding Co., Ltd</t>
        </is>
      </c>
      <c r="B109" s="88" t="n">
        <v>4</v>
      </c>
      <c r="C109" s="93" t="n">
        <v>25</v>
      </c>
      <c r="D109" s="94" t="n">
        <v>-7.5</v>
      </c>
      <c r="E109" s="94" t="n">
        <v>-13.3</v>
      </c>
      <c r="F109" s="94" t="n">
        <v>-17.4</v>
      </c>
      <c r="G109" s="94" t="n">
        <v>-25.5</v>
      </c>
      <c r="H109" s="94" t="n">
        <v>-7.7</v>
      </c>
      <c r="I109" s="94" t="n">
        <v>-14.4</v>
      </c>
      <c r="J109" s="94" t="n">
        <v>-23</v>
      </c>
      <c r="K109" s="95" t="inlineStr">
        <is>
          <t>2245 LYGEND RESOURCE; 2105 LAEKNA-B; 9686 NEUSOFT XIKANG; 0699 JOYSON ELEC</t>
        </is>
      </c>
    </row>
    <row r="110">
      <c r="A110" s="16" t="inlineStr">
        <is>
          <t>Gold Synergy</t>
        </is>
      </c>
      <c r="B110" s="88" t="n">
        <v>4</v>
      </c>
      <c r="C110" s="93" t="n">
        <v>0</v>
      </c>
      <c r="D110" s="94" t="n">
        <v>-8.300000000000001</v>
      </c>
      <c r="E110" s="94" t="n">
        <v>-10.3</v>
      </c>
      <c r="F110" s="94" t="n">
        <v>-7</v>
      </c>
      <c r="G110" s="94" t="n">
        <v>-19.2</v>
      </c>
      <c r="H110" s="94" t="n">
        <v>-1.4</v>
      </c>
      <c r="I110" s="94" t="n">
        <v>2.7</v>
      </c>
      <c r="J110" s="94" t="n">
        <v>-10.5</v>
      </c>
      <c r="K110" s="95" t="inlineStr">
        <is>
          <t>2385 READBOY; 9696 TIANQI LITHIUM; 2479 TIANJUDIHE; 9927 SERES</t>
        </is>
      </c>
    </row>
    <row r="111">
      <c r="A111" s="16" t="inlineStr">
        <is>
          <t>Aurora SF</t>
        </is>
      </c>
      <c r="B111" s="88" t="n">
        <v>4</v>
      </c>
      <c r="C111" s="93" t="n">
        <v>50</v>
      </c>
      <c r="D111" s="94" t="n">
        <v>-8.6</v>
      </c>
      <c r="E111" s="94" t="n">
        <v>-9.6</v>
      </c>
      <c r="F111" s="94" t="n">
        <v>-1.4</v>
      </c>
      <c r="G111" s="94" t="n">
        <v>21.2</v>
      </c>
      <c r="H111" s="94" t="n">
        <v>-1.5</v>
      </c>
      <c r="I111" s="94" t="n">
        <v>5.7</v>
      </c>
      <c r="J111" s="94" t="n">
        <v>7</v>
      </c>
      <c r="K111" s="95" t="inlineStr">
        <is>
          <t>3296 HUAQIN; 2667 TONGRENTANGCARE; 7687 EACON; 6745 BEFAR GROUP</t>
        </is>
      </c>
    </row>
    <row r="112">
      <c r="A112" s="16" t="inlineStr">
        <is>
          <t>Anji Guorong Construction Co., Ltd</t>
        </is>
      </c>
      <c r="B112" s="88" t="n">
        <v>4</v>
      </c>
      <c r="C112" s="93" t="n">
        <v>25</v>
      </c>
      <c r="D112" s="94" t="n">
        <v>-10.6</v>
      </c>
      <c r="E112" s="94" t="n">
        <v>-15.8</v>
      </c>
      <c r="F112" s="94" t="n">
        <v>-2</v>
      </c>
      <c r="G112" s="94" t="n">
        <v>8.199999999999999</v>
      </c>
      <c r="H112" s="94" t="n">
        <v>-6.8</v>
      </c>
      <c r="I112" s="94" t="n">
        <v>7.3</v>
      </c>
      <c r="J112" s="94" t="n">
        <v>18.8</v>
      </c>
      <c r="K112" s="95" t="inlineStr">
        <is>
          <t>6610 FLOWING CLOUD; 2440 HOWKINGTECH; 2415 MEDSCI; 6831 GREEN TEA GROUP</t>
        </is>
      </c>
    </row>
    <row r="113">
      <c r="A113" s="16" t="inlineStr">
        <is>
          <t>Ping An of China Asset Management (Hong Kong) Company Limited</t>
        </is>
      </c>
      <c r="B113" s="88" t="n">
        <v>3</v>
      </c>
      <c r="C113" s="93" t="n">
        <v>67</v>
      </c>
      <c r="D113" s="94" t="n">
        <v>127</v>
      </c>
      <c r="E113" s="94" t="n">
        <v>127.7</v>
      </c>
      <c r="F113" s="94" t="n">
        <v>85.2</v>
      </c>
      <c r="G113" s="94" t="n">
        <v>14</v>
      </c>
      <c r="H113" s="94" t="n">
        <v>0.5</v>
      </c>
      <c r="I113" s="94" t="n">
        <v>-2.9</v>
      </c>
      <c r="J113" s="94" t="n">
        <v>-38.4</v>
      </c>
      <c r="K113" s="95" t="inlineStr">
        <is>
          <t>2714 MUYUAN; 1879 XIZHI TECH-P; 6228 MERDEKAGOLD-DRS</t>
        </is>
      </c>
    </row>
    <row r="114">
      <c r="A114" s="16" t="inlineStr">
        <is>
          <t>Arc Avenue Asset Management Pte. Ltd</t>
        </is>
      </c>
      <c r="B114" s="88" t="n">
        <v>3</v>
      </c>
      <c r="C114" s="93" t="n">
        <v>100</v>
      </c>
      <c r="D114" s="94" t="n">
        <v>81.3</v>
      </c>
      <c r="E114" s="94" t="n">
        <v>71.5</v>
      </c>
      <c r="F114" s="94" t="n">
        <v>50.5</v>
      </c>
      <c r="G114" s="94" t="n">
        <v>40.6</v>
      </c>
      <c r="H114" s="94" t="n">
        <v>-3.7</v>
      </c>
      <c r="I114" s="94" t="n">
        <v>-14.3</v>
      </c>
      <c r="J114" s="94" t="n">
        <v>-20.1</v>
      </c>
      <c r="K114" s="95" t="inlineStr">
        <is>
          <t>6938 RIBOLIFE-B; 3277 GPIXEL; 7666 METIS TECHBIO-P</t>
        </is>
      </c>
    </row>
    <row r="115">
      <c r="A115" s="16" t="inlineStr">
        <is>
          <t>Loyal Valley Fund III</t>
        </is>
      </c>
      <c r="B115" s="88" t="n">
        <v>3</v>
      </c>
      <c r="C115" s="93" t="n">
        <v>100</v>
      </c>
      <c r="D115" s="94" t="n">
        <v>68.2</v>
      </c>
      <c r="E115" s="94" t="n">
        <v>45.3</v>
      </c>
      <c r="F115" s="94" t="n">
        <v>39.1</v>
      </c>
      <c r="G115" s="94" t="n">
        <v>25.4</v>
      </c>
      <c r="H115" s="94" t="n">
        <v>-11.5</v>
      </c>
      <c r="I115" s="94" t="n">
        <v>-15</v>
      </c>
      <c r="J115" s="94" t="n">
        <v>-18.5</v>
      </c>
      <c r="K115" s="95" t="inlineStr">
        <is>
          <t>9887 LEADS BIOLABS-B; 2657 FOREST CABIN; 9637 ALEBUND-B</t>
        </is>
      </c>
    </row>
    <row r="116">
      <c r="A116" s="16" t="inlineStr">
        <is>
          <t>Goldman Sachs Asset Management (Hong Kong) Limited</t>
        </is>
      </c>
      <c r="B116" s="88" t="n">
        <v>3</v>
      </c>
      <c r="C116" s="93" t="n">
        <v>100</v>
      </c>
      <c r="D116" s="94" t="n">
        <v>62.7</v>
      </c>
      <c r="E116" s="94" t="n">
        <v>35.7</v>
      </c>
      <c r="F116" s="94" t="n">
        <v>27.4</v>
      </c>
      <c r="G116" s="94" t="n">
        <v>-26.7</v>
      </c>
      <c r="H116" s="94" t="n">
        <v>-15.3</v>
      </c>
      <c r="I116" s="94" t="n">
        <v>-18.5</v>
      </c>
      <c r="J116" s="94" t="n">
        <v>-62</v>
      </c>
      <c r="K116" s="95" t="inlineStr">
        <is>
          <t>6656 SIGENERGY; 7688 TOPNC; 6951 CCTC</t>
        </is>
      </c>
    </row>
    <row r="117">
      <c r="A117" s="16" t="inlineStr">
        <is>
          <t>Poly Platinum Enterprises Limited</t>
        </is>
      </c>
      <c r="B117" s="88" t="n">
        <v>3</v>
      </c>
      <c r="C117" s="93" t="n">
        <v>100</v>
      </c>
      <c r="D117" s="94" t="n">
        <v>52.8</v>
      </c>
      <c r="E117" s="94" t="n">
        <v>54.8</v>
      </c>
      <c r="F117" s="94" t="n">
        <v>49.4</v>
      </c>
      <c r="G117" s="94" t="n">
        <v>42.7</v>
      </c>
      <c r="H117" s="94" t="n">
        <v>3</v>
      </c>
      <c r="I117" s="94" t="n">
        <v>0.2</v>
      </c>
      <c r="J117" s="94" t="n">
        <v>5.1</v>
      </c>
      <c r="K117" s="95" t="inlineStr">
        <is>
          <t>6613 LENS; 2675 EDGE MEDICAL-B; 1609 STAR SPORTS MED</t>
        </is>
      </c>
    </row>
    <row r="118">
      <c r="A118" s="16" t="inlineStr">
        <is>
          <t>China AMC</t>
        </is>
      </c>
      <c r="B118" s="88" t="n">
        <v>3</v>
      </c>
      <c r="C118" s="93" t="n">
        <v>100</v>
      </c>
      <c r="D118" s="94" t="n">
        <v>52.2</v>
      </c>
      <c r="E118" s="94" t="n">
        <v>47.8</v>
      </c>
      <c r="F118" s="94" t="n">
        <v>77.40000000000001</v>
      </c>
      <c r="G118" s="94" t="n">
        <v>77.7</v>
      </c>
      <c r="H118" s="94" t="n">
        <v>1.6</v>
      </c>
      <c r="I118" s="94" t="n">
        <v>26.6</v>
      </c>
      <c r="J118" s="94" t="n">
        <v>23.4</v>
      </c>
      <c r="K118" s="95" t="inlineStr">
        <is>
          <t>2718 MININGLAMP-W; 2698 SOFTCARE; 3696 INSILICO</t>
        </is>
      </c>
    </row>
    <row r="119">
      <c r="A119" s="16" t="inlineStr">
        <is>
          <t>Hongshan Limited</t>
        </is>
      </c>
      <c r="B119" s="88" t="n">
        <v>3</v>
      </c>
      <c r="C119" s="93" t="n">
        <v>100</v>
      </c>
      <c r="D119" s="94" t="n">
        <v>51</v>
      </c>
      <c r="E119" s="94" t="n">
        <v>70.90000000000001</v>
      </c>
      <c r="F119" s="94" t="n">
        <v>70.90000000000001</v>
      </c>
      <c r="G119" s="94" t="n">
        <v>122.1</v>
      </c>
      <c r="H119" s="94" t="n">
        <v>13.9</v>
      </c>
      <c r="I119" s="94" t="n">
        <v>14</v>
      </c>
      <c r="J119" s="94" t="n">
        <v>49.3</v>
      </c>
      <c r="K119" s="95" t="inlineStr">
        <is>
          <t>0325 BLOKS; 2097 MIXUE GROUP; 1768 BUSYMING</t>
        </is>
      </c>
    </row>
    <row r="120">
      <c r="A120" s="16" t="inlineStr">
        <is>
          <t>TradArt Investment SP</t>
        </is>
      </c>
      <c r="B120" s="88" t="n">
        <v>3</v>
      </c>
      <c r="C120" s="93" t="n">
        <v>100</v>
      </c>
      <c r="D120" s="94" t="n">
        <v>48.1</v>
      </c>
      <c r="E120" s="94" t="n">
        <v>53.3</v>
      </c>
      <c r="F120" s="94" t="n">
        <v>114.9</v>
      </c>
      <c r="G120" s="94" t="n">
        <v>147.8</v>
      </c>
      <c r="H120" s="94" t="n">
        <v>4.9</v>
      </c>
      <c r="I120" s="94" t="n">
        <v>45.8</v>
      </c>
      <c r="J120" s="94" t="n">
        <v>66.8</v>
      </c>
      <c r="K120" s="95" t="inlineStr">
        <is>
          <t>1244 3D MEDICINES-B; 6698 STAR CM; 2306 YH ENT</t>
        </is>
      </c>
    </row>
    <row r="121">
      <c r="A121" s="16" t="inlineStr">
        <is>
          <t>Yunfeng Capital</t>
        </is>
      </c>
      <c r="B121" s="88" t="n">
        <v>3</v>
      </c>
      <c r="C121" s="93" t="n">
        <v>100</v>
      </c>
      <c r="D121" s="94" t="n">
        <v>47.4</v>
      </c>
      <c r="E121" s="94" t="n">
        <v>78.59999999999999</v>
      </c>
      <c r="F121" s="94" t="n">
        <v>62.4</v>
      </c>
      <c r="G121" s="94" t="n">
        <v>191.7</v>
      </c>
      <c r="H121" s="94" t="n">
        <v>21.4</v>
      </c>
      <c r="I121" s="94" t="n">
        <v>10.9</v>
      </c>
      <c r="J121" s="94" t="n">
        <v>95</v>
      </c>
      <c r="K121" s="95" t="inlineStr">
        <is>
          <t>0325 BLOKS; 3986 GIGADEVICE; 6809 MONTAGE TECH</t>
        </is>
      </c>
    </row>
    <row r="122">
      <c r="A122" s="16" t="inlineStr">
        <is>
          <t>ORIX Asia Asset Management Limited</t>
        </is>
      </c>
      <c r="B122" s="88" t="n">
        <v>3</v>
      </c>
      <c r="C122" s="93" t="n">
        <v>67</v>
      </c>
      <c r="D122" s="94" t="n">
        <v>40.4</v>
      </c>
      <c r="E122" s="94" t="n">
        <v>23.3</v>
      </c>
      <c r="F122" s="94" t="n">
        <v>8.5</v>
      </c>
      <c r="G122" s="94" t="n">
        <v>23.3</v>
      </c>
      <c r="H122" s="94" t="n">
        <v>-6.7</v>
      </c>
      <c r="I122" s="94" t="n">
        <v>-12.9</v>
      </c>
      <c r="J122" s="94" t="n">
        <v>-12.4</v>
      </c>
      <c r="K122" s="95" t="inlineStr">
        <is>
          <t>1828 FWD; 7666 METIS TECHBIO-P; 6228 MERDEKAGOLD-DRS</t>
        </is>
      </c>
    </row>
    <row r="123">
      <c r="A123" s="16" t="inlineStr">
        <is>
          <t>Huaqin Technology</t>
        </is>
      </c>
      <c r="B123" s="88" t="n">
        <v>3</v>
      </c>
      <c r="C123" s="93" t="n">
        <v>100</v>
      </c>
      <c r="D123" s="94" t="n">
        <v>39.2</v>
      </c>
      <c r="E123" s="94" t="n">
        <v>65.8</v>
      </c>
      <c r="F123" s="94" t="n">
        <v>48.9</v>
      </c>
      <c r="G123" s="94" t="n">
        <v>149.5</v>
      </c>
      <c r="H123" s="94" t="n">
        <v>17.9</v>
      </c>
      <c r="I123" s="94" t="n">
        <v>6.4</v>
      </c>
      <c r="J123" s="94" t="n">
        <v>68.7</v>
      </c>
      <c r="K123" s="95" t="inlineStr">
        <is>
          <t>0501 OMNIVISION; 3986 GIGADEVICE; 6809 MONTAGE TECH</t>
        </is>
      </c>
    </row>
    <row r="124">
      <c r="A124" s="16" t="inlineStr">
        <is>
          <t>Xiamen Evere Sports Goods Co., Ltd</t>
        </is>
      </c>
      <c r="B124" s="88" t="n">
        <v>3</v>
      </c>
      <c r="C124" s="93" t="n">
        <v>100</v>
      </c>
      <c r="D124" s="94" t="n">
        <v>34.8</v>
      </c>
      <c r="E124" s="94" t="n">
        <v>39.9</v>
      </c>
      <c r="F124" s="94" t="n">
        <v>38.3</v>
      </c>
      <c r="G124" s="94" t="n">
        <v>38.7</v>
      </c>
      <c r="H124" s="94" t="n">
        <v>3.8</v>
      </c>
      <c r="I124" s="94" t="n">
        <v>3.5</v>
      </c>
      <c r="J124" s="94" t="n">
        <v>2.1</v>
      </c>
      <c r="K124" s="95" t="inlineStr">
        <is>
          <t>3650 KEEP; 1768 BUSYMING; 2726 EPIWORLD</t>
        </is>
      </c>
    </row>
    <row r="125">
      <c r="A125" s="16" t="inlineStr">
        <is>
          <t>Blue Spark Hub Pte. Ltd</t>
        </is>
      </c>
      <c r="B125" s="88" t="n">
        <v>3</v>
      </c>
      <c r="C125" s="93" t="n">
        <v>100</v>
      </c>
      <c r="D125" s="94" t="n">
        <v>31.4</v>
      </c>
      <c r="E125" s="94" t="n">
        <v>21.5</v>
      </c>
      <c r="F125" s="94" t="n">
        <v>15.9</v>
      </c>
      <c r="G125" s="94" t="n">
        <v>32</v>
      </c>
      <c r="H125" s="94" t="n">
        <v>-7.6</v>
      </c>
      <c r="I125" s="94" t="n">
        <v>-11.9</v>
      </c>
      <c r="J125" s="94" t="n">
        <v>0.8</v>
      </c>
      <c r="K125" s="95" t="inlineStr">
        <is>
          <t>2629 MIRXES-B; 6687 JST GROUP; 6938 RIBOLIFE-B</t>
        </is>
      </c>
    </row>
    <row r="126">
      <c r="A126" s="16" t="inlineStr">
        <is>
          <t>Hao Great China Focus Fund</t>
        </is>
      </c>
      <c r="B126" s="88" t="n">
        <v>3</v>
      </c>
      <c r="C126" s="93" t="n">
        <v>67</v>
      </c>
      <c r="D126" s="94" t="n">
        <v>29.1</v>
      </c>
      <c r="E126" s="94" t="n">
        <v>31.7</v>
      </c>
      <c r="F126" s="94" t="n">
        <v>37.4</v>
      </c>
      <c r="G126" s="94" t="n">
        <v>30.7</v>
      </c>
      <c r="H126" s="94" t="n">
        <v>3.4</v>
      </c>
      <c r="I126" s="94" t="n">
        <v>-5</v>
      </c>
      <c r="J126" s="94" t="n">
        <v>-12.2</v>
      </c>
      <c r="K126" s="95" t="inlineStr">
        <is>
          <t>6082 BIREN TECH; 3355 FS.COM; 3308 ZJ INNOLIGHT</t>
        </is>
      </c>
    </row>
    <row r="127">
      <c r="A127" s="16" t="inlineStr">
        <is>
          <t>Yi Fang Da Brocade Inv. Limited</t>
        </is>
      </c>
      <c r="B127" s="88" t="n">
        <v>3</v>
      </c>
      <c r="C127" s="93" t="n">
        <v>100</v>
      </c>
      <c r="D127" s="94" t="n">
        <v>29</v>
      </c>
      <c r="E127" s="94" t="n">
        <v>29.6</v>
      </c>
      <c r="F127" s="94" t="n">
        <v>11.6</v>
      </c>
      <c r="G127" s="94" t="n">
        <v>-5.6</v>
      </c>
      <c r="H127" s="94" t="n">
        <v>0</v>
      </c>
      <c r="I127" s="94" t="n">
        <v>-13.8</v>
      </c>
      <c r="J127" s="94" t="n">
        <v>-28.3</v>
      </c>
      <c r="K127" s="95" t="inlineStr">
        <is>
          <t>2160 CARDIOFLOW-B; 2162 KEYMED BIO-B; 2279 YONGHE MEDICAL</t>
        </is>
      </c>
    </row>
    <row r="128">
      <c r="A128" s="16" t="inlineStr">
        <is>
          <t>RBC Global Asset Management (Asia) Limited</t>
        </is>
      </c>
      <c r="B128" s="88" t="n">
        <v>3</v>
      </c>
      <c r="C128" s="93" t="n">
        <v>100</v>
      </c>
      <c r="D128" s="94" t="n">
        <v>29</v>
      </c>
      <c r="E128" s="94" t="n">
        <v>9.9</v>
      </c>
      <c r="F128" s="94" t="n">
        <v>36.9</v>
      </c>
      <c r="G128" s="94" t="n">
        <v>-5.4</v>
      </c>
      <c r="H128" s="94" t="n">
        <v>-12.4</v>
      </c>
      <c r="I128" s="94" t="n">
        <v>17.1</v>
      </c>
      <c r="J128" s="94" t="n">
        <v>-16.9</v>
      </c>
      <c r="K128" s="95" t="inlineStr">
        <is>
          <t>2137 BRII - B; 2714 MUYUAN; 7688 TOPNC</t>
        </is>
      </c>
    </row>
    <row r="129">
      <c r="A129" s="16" t="inlineStr">
        <is>
          <t>CDH Global Frontier Ventures Limited</t>
        </is>
      </c>
      <c r="B129" s="88" t="n">
        <v>3</v>
      </c>
      <c r="C129" s="93" t="n">
        <v>67</v>
      </c>
      <c r="D129" s="94" t="n">
        <v>25.1</v>
      </c>
      <c r="E129" s="94" t="n">
        <v>20</v>
      </c>
      <c r="F129" s="94" t="n">
        <v>-12.2</v>
      </c>
      <c r="G129" s="94" t="n">
        <v>-38.8</v>
      </c>
      <c r="H129" s="94" t="n">
        <v>3.8</v>
      </c>
      <c r="I129" s="94" t="n">
        <v>-28.2</v>
      </c>
      <c r="J129" s="94" t="n">
        <v>-66</v>
      </c>
      <c r="K129" s="95" t="inlineStr">
        <is>
          <t>7688 TOPNC; 3952 LAIFUAL; 7687 EACON</t>
        </is>
      </c>
    </row>
    <row r="130">
      <c r="A130" s="16" t="inlineStr">
        <is>
          <t>Metazone Link (HK) Limited</t>
        </is>
      </c>
      <c r="B130" s="88" t="n">
        <v>3</v>
      </c>
      <c r="C130" s="93" t="n">
        <v>100</v>
      </c>
      <c r="D130" s="94" t="n">
        <v>20.9</v>
      </c>
      <c r="E130" s="94" t="n">
        <v>23.2</v>
      </c>
      <c r="F130" s="94" t="n">
        <v>36.1</v>
      </c>
      <c r="G130" s="94" t="n">
        <v>24.3</v>
      </c>
      <c r="H130" s="94" t="n">
        <v>2.7</v>
      </c>
      <c r="I130" s="94" t="n">
        <v>12.8</v>
      </c>
      <c r="J130" s="94" t="n">
        <v>0.9</v>
      </c>
      <c r="K130" s="95" t="inlineStr">
        <is>
          <t>0300 MIDEA GROUP; 2476 VGT; 6951 CCTC</t>
        </is>
      </c>
    </row>
    <row r="131">
      <c r="A131" s="16" t="inlineStr">
        <is>
          <t>Worldwide Healthcare Partners LLC</t>
        </is>
      </c>
      <c r="B131" s="88" t="n">
        <v>3</v>
      </c>
      <c r="C131" s="93" t="n">
        <v>33</v>
      </c>
      <c r="D131" s="94" t="n">
        <v>20.8</v>
      </c>
      <c r="E131" s="94" t="n">
        <v>10.5</v>
      </c>
      <c r="F131" s="94" t="n">
        <v>1.2</v>
      </c>
      <c r="G131" s="94" t="n">
        <v>-45.8</v>
      </c>
      <c r="H131" s="94" t="n">
        <v>-7.2</v>
      </c>
      <c r="I131" s="94" t="n">
        <v>-17.9</v>
      </c>
      <c r="J131" s="94" t="n">
        <v>-45.8</v>
      </c>
      <c r="K131" s="95" t="inlineStr">
        <is>
          <t>6669 ACOTEC-B; 2216 BRONCUS-B; 7630 IMPACT THERAP-B</t>
        </is>
      </c>
    </row>
    <row r="132">
      <c r="A132" s="16" t="inlineStr">
        <is>
          <t>Indus Select Master Fund, Ltd. and Vitruvius SICAV-Asian Equity</t>
        </is>
      </c>
      <c r="B132" s="88" t="n">
        <v>3</v>
      </c>
      <c r="C132" s="93" t="n">
        <v>67</v>
      </c>
      <c r="D132" s="94" t="n">
        <v>20.7</v>
      </c>
      <c r="E132" s="94" t="n">
        <v>26.6</v>
      </c>
      <c r="F132" s="94" t="n">
        <v>12</v>
      </c>
      <c r="G132" s="94" t="n">
        <v>27.5</v>
      </c>
      <c r="H132" s="94" t="n">
        <v>5.6</v>
      </c>
      <c r="I132" s="94" t="n">
        <v>-15.1</v>
      </c>
      <c r="J132" s="94" t="n">
        <v>-17.3</v>
      </c>
      <c r="K132" s="95" t="inlineStr">
        <is>
          <t>2160 CARDIOFLOW-B; 7687 EACON; 3308 ZJ INNOLIGHT</t>
        </is>
      </c>
    </row>
    <row r="133">
      <c r="A133" s="16" t="inlineStr">
        <is>
          <t>Dragon Merit Holdings Limited</t>
        </is>
      </c>
      <c r="B133" s="88" t="n">
        <v>3</v>
      </c>
      <c r="C133" s="93" t="n">
        <v>100</v>
      </c>
      <c r="D133" s="94" t="n">
        <v>18.9</v>
      </c>
      <c r="E133" s="94" t="n">
        <v>19.2</v>
      </c>
      <c r="F133" s="94" t="n">
        <v>22.3</v>
      </c>
      <c r="G133" s="94" t="n">
        <v>7</v>
      </c>
      <c r="H133" s="94" t="n">
        <v>0.3</v>
      </c>
      <c r="I133" s="94" t="n">
        <v>3.7</v>
      </c>
      <c r="J133" s="94" t="n">
        <v>-9.4</v>
      </c>
      <c r="K133" s="95" t="inlineStr">
        <is>
          <t>2162 KEYMED BIO-B; 2285 CHERVON; 3880 MEDTIDE</t>
        </is>
      </c>
    </row>
    <row r="134">
      <c r="A134" s="16" t="inlineStr">
        <is>
          <t>Integrated Core Strategies (Asia) Pte. Ltd</t>
        </is>
      </c>
      <c r="B134" s="88" t="n">
        <v>3</v>
      </c>
      <c r="C134" s="93" t="n">
        <v>100</v>
      </c>
      <c r="D134" s="94" t="n">
        <v>18.7</v>
      </c>
      <c r="E134" s="94" t="n">
        <v>22.4</v>
      </c>
      <c r="F134" s="94" t="n">
        <v>32</v>
      </c>
      <c r="G134" s="94" t="n">
        <v>12.8</v>
      </c>
      <c r="H134" s="94" t="n">
        <v>2.4</v>
      </c>
      <c r="I134" s="94" t="n">
        <v>11.6</v>
      </c>
      <c r="J134" s="94" t="n">
        <v>-3.9</v>
      </c>
      <c r="K134" s="95" t="inlineStr">
        <is>
          <t>2675 EDGE MEDICAL-B; 2714 MUYUAN; 3388 CREALITY</t>
        </is>
      </c>
    </row>
    <row r="135">
      <c r="A135" s="16" t="inlineStr">
        <is>
          <t>Huizhou Guohuilian Equity Investment Fund Partnership (LP)</t>
        </is>
      </c>
      <c r="B135" s="88" t="n">
        <v>3</v>
      </c>
      <c r="C135" s="93" t="n">
        <v>100</v>
      </c>
      <c r="D135" s="94" t="n">
        <v>18.4</v>
      </c>
      <c r="E135" s="94" t="n">
        <v>34</v>
      </c>
      <c r="F135" s="94" t="n">
        <v>38.3</v>
      </c>
      <c r="G135" s="94" t="n">
        <v>70</v>
      </c>
      <c r="H135" s="94" t="n">
        <v>16</v>
      </c>
      <c r="I135" s="94" t="n">
        <v>18</v>
      </c>
      <c r="J135" s="94" t="n">
        <v>54.9</v>
      </c>
      <c r="K135" s="95" t="inlineStr">
        <is>
          <t>2531 CARLINK TECH; 9981 WOER; 2476 VGT</t>
        </is>
      </c>
    </row>
    <row r="136">
      <c r="A136" s="16" t="inlineStr">
        <is>
          <t>LMR Multi-Strategy Master Fund Limited</t>
        </is>
      </c>
      <c r="B136" s="88" t="n">
        <v>3</v>
      </c>
      <c r="C136" s="93" t="n">
        <v>67</v>
      </c>
      <c r="D136" s="94" t="n">
        <v>18</v>
      </c>
      <c r="E136" s="94" t="n">
        <v>14.1</v>
      </c>
      <c r="F136" s="94" t="n">
        <v>-1</v>
      </c>
      <c r="G136" s="94" t="n">
        <v>0.7</v>
      </c>
      <c r="H136" s="94" t="n">
        <v>-3.1</v>
      </c>
      <c r="I136" s="94" t="n">
        <v>-15</v>
      </c>
      <c r="J136" s="94" t="n">
        <v>-8.1</v>
      </c>
      <c r="K136" s="95" t="inlineStr">
        <is>
          <t>2251 AIRDOC-B; 3750 CATL; 3661 SG MICRO</t>
        </is>
      </c>
    </row>
    <row r="137">
      <c r="A137" s="16" t="inlineStr">
        <is>
          <t>Ninety One Asia Pte. Limited</t>
        </is>
      </c>
      <c r="B137" s="88" t="n">
        <v>3</v>
      </c>
      <c r="C137" s="93" t="n">
        <v>67</v>
      </c>
      <c r="D137" s="94" t="n">
        <v>16.6</v>
      </c>
      <c r="E137" s="94" t="n">
        <v>17.7</v>
      </c>
      <c r="F137" s="94" t="n">
        <v>5.8</v>
      </c>
      <c r="G137" s="94" t="n"/>
      <c r="H137" s="94" t="n">
        <v>2.3</v>
      </c>
      <c r="I137" s="94" t="n">
        <v>-13.4</v>
      </c>
      <c r="J137" s="94" t="n"/>
      <c r="K137" s="95" t="inlineStr">
        <is>
          <t>3661 SG MICRO; 6951 CCTC; 3308 ZJ INNOLIGHT</t>
        </is>
      </c>
    </row>
    <row r="138">
      <c r="A138" s="16" t="inlineStr">
        <is>
          <t>AIHC Master Fund</t>
        </is>
      </c>
      <c r="B138" s="88" t="n">
        <v>3</v>
      </c>
      <c r="C138" s="93" t="n">
        <v>67</v>
      </c>
      <c r="D138" s="94" t="n">
        <v>14.4</v>
      </c>
      <c r="E138" s="94" t="n">
        <v>5.4</v>
      </c>
      <c r="F138" s="94" t="n">
        <v>25.2</v>
      </c>
      <c r="G138" s="94" t="n">
        <v>-3.9</v>
      </c>
      <c r="H138" s="94" t="n">
        <v>-7.9</v>
      </c>
      <c r="I138" s="94" t="n">
        <v>13</v>
      </c>
      <c r="J138" s="94" t="n">
        <v>-14.4</v>
      </c>
      <c r="K138" s="95" t="inlineStr">
        <is>
          <t>2190 ZYLOXTB-B; 2137 BRII - B; 2256 ABBISKO-B</t>
        </is>
      </c>
    </row>
    <row r="139">
      <c r="A139" s="16" t="inlineStr">
        <is>
          <t>ABCI Asset Management Limited</t>
        </is>
      </c>
      <c r="B139" s="88" t="n">
        <v>3</v>
      </c>
      <c r="C139" s="93" t="n">
        <v>67</v>
      </c>
      <c r="D139" s="94" t="n">
        <v>13.5</v>
      </c>
      <c r="E139" s="94" t="n">
        <v>8.199999999999999</v>
      </c>
      <c r="F139" s="94" t="n">
        <v>-2.3</v>
      </c>
      <c r="G139" s="94" t="n">
        <v>-25.5</v>
      </c>
      <c r="H139" s="94" t="n">
        <v>-4.2</v>
      </c>
      <c r="I139" s="94" t="n">
        <v>-13.7</v>
      </c>
      <c r="J139" s="94" t="n">
        <v>-36.9</v>
      </c>
      <c r="K139" s="95" t="inlineStr">
        <is>
          <t>6633 QINGCI GAMES; 6938 RIBOLIFE-B; 9611 LONGCHEER</t>
        </is>
      </c>
    </row>
    <row r="140">
      <c r="A140" s="16" t="inlineStr">
        <is>
          <t>LBC HK Opportunity Fund Limited</t>
        </is>
      </c>
      <c r="B140" s="88" t="n">
        <v>3</v>
      </c>
      <c r="C140" s="93" t="n">
        <v>33</v>
      </c>
      <c r="D140" s="94" t="n">
        <v>11.7</v>
      </c>
      <c r="E140" s="94" t="n">
        <v>17.7</v>
      </c>
      <c r="F140" s="94" t="n">
        <v>-18.2</v>
      </c>
      <c r="G140" s="94" t="n">
        <v>25.8</v>
      </c>
      <c r="H140" s="94" t="n">
        <v>11.7</v>
      </c>
      <c r="I140" s="94" t="n">
        <v>-12</v>
      </c>
      <c r="J140" s="94" t="n">
        <v>-39.1</v>
      </c>
      <c r="K140" s="95" t="inlineStr">
        <is>
          <t>2595 GENFLEET-B; 6132 HJ SCIENCE-B; 3952 LAIFUAL</t>
        </is>
      </c>
    </row>
    <row r="141">
      <c r="A141" s="16" t="inlineStr">
        <is>
          <t>China Pinnacle Equity Management Limited</t>
        </is>
      </c>
      <c r="B141" s="88" t="n">
        <v>3</v>
      </c>
      <c r="C141" s="93" t="n">
        <v>67</v>
      </c>
      <c r="D141" s="94" t="n">
        <v>10.2</v>
      </c>
      <c r="E141" s="94" t="n">
        <v>22.5</v>
      </c>
      <c r="F141" s="94" t="n">
        <v>20.1</v>
      </c>
      <c r="G141" s="94" t="n">
        <v>36.4</v>
      </c>
      <c r="H141" s="94" t="n">
        <v>7.4</v>
      </c>
      <c r="I141" s="94" t="n">
        <v>5.5</v>
      </c>
      <c r="J141" s="94" t="n">
        <v>14</v>
      </c>
      <c r="K141" s="95" t="inlineStr">
        <is>
          <t>9960 KINDSTAR GLOBAL; 3288 HAITIAN FLAV; 3986 GIGADEVICE</t>
        </is>
      </c>
    </row>
    <row r="142">
      <c r="A142" s="16" t="inlineStr">
        <is>
          <t>Seven Grand Managers, LLC</t>
        </is>
      </c>
      <c r="B142" s="88" t="n">
        <v>3</v>
      </c>
      <c r="C142" s="93" t="n">
        <v>67</v>
      </c>
      <c r="D142" s="94" t="n">
        <v>8.9</v>
      </c>
      <c r="E142" s="94" t="n">
        <v>2.9</v>
      </c>
      <c r="F142" s="94" t="n">
        <v>-1.4</v>
      </c>
      <c r="G142" s="94" t="n"/>
      <c r="H142" s="94" t="n">
        <v>-5.2</v>
      </c>
      <c r="I142" s="94" t="n">
        <v>-11.3</v>
      </c>
      <c r="J142" s="94" t="n"/>
      <c r="K142" s="95" t="inlineStr">
        <is>
          <t>3388 CREALITY; 1688 LINGYI ITECH; 7687 EACON</t>
        </is>
      </c>
    </row>
    <row r="143">
      <c r="A143" s="16" t="inlineStr">
        <is>
          <t>Hongxing International Technology Limited</t>
        </is>
      </c>
      <c r="B143" s="88" t="n">
        <v>3</v>
      </c>
      <c r="C143" s="93" t="n">
        <v>67</v>
      </c>
      <c r="D143" s="94" t="n">
        <v>7.8</v>
      </c>
      <c r="E143" s="94" t="n">
        <v>9.800000000000001</v>
      </c>
      <c r="F143" s="94" t="n">
        <v>12.3</v>
      </c>
      <c r="G143" s="94" t="n">
        <v>45.3</v>
      </c>
      <c r="H143" s="94" t="n">
        <v>1.8</v>
      </c>
      <c r="I143" s="94" t="n">
        <v>2.1</v>
      </c>
      <c r="J143" s="94" t="n">
        <v>27.3</v>
      </c>
      <c r="K143" s="95" t="inlineStr">
        <is>
          <t>3200 HANS CNC; 3296 HUAQIN; 1688 LINGYI ITECH</t>
        </is>
      </c>
    </row>
    <row r="144">
      <c r="A144" s="16" t="inlineStr">
        <is>
          <t>Jinyi Capital Multi-Strategy Fund SPC Ltd</t>
        </is>
      </c>
      <c r="B144" s="88" t="n">
        <v>3</v>
      </c>
      <c r="C144" s="93" t="n">
        <v>67</v>
      </c>
      <c r="D144" s="94" t="n">
        <v>4.9</v>
      </c>
      <c r="E144" s="94" t="n">
        <v>9.1</v>
      </c>
      <c r="F144" s="94" t="n">
        <v>7</v>
      </c>
      <c r="G144" s="94" t="n">
        <v>-12</v>
      </c>
      <c r="H144" s="94" t="n">
        <v>4.1</v>
      </c>
      <c r="I144" s="94" t="n">
        <v>0.6</v>
      </c>
      <c r="J144" s="94" t="n">
        <v>-17.1</v>
      </c>
      <c r="K144" s="95" t="inlineStr">
        <is>
          <t>0600 AXERA; 3268 MEIG; 3296 HUAQIN</t>
        </is>
      </c>
    </row>
    <row r="145">
      <c r="A145" s="16" t="inlineStr">
        <is>
          <t>Glencore International AG</t>
        </is>
      </c>
      <c r="B145" s="88" t="n">
        <v>3</v>
      </c>
      <c r="C145" s="93" t="n">
        <v>33</v>
      </c>
      <c r="D145" s="94" t="n">
        <v>4.8</v>
      </c>
      <c r="E145" s="94" t="n">
        <v>6.7</v>
      </c>
      <c r="F145" s="94" t="n">
        <v>5.5</v>
      </c>
      <c r="G145" s="94" t="n">
        <v>1.9</v>
      </c>
      <c r="H145" s="94" t="n">
        <v>1.6</v>
      </c>
      <c r="I145" s="94" t="n">
        <v>0.8</v>
      </c>
      <c r="J145" s="94" t="n">
        <v>-4</v>
      </c>
      <c r="K145" s="95" t="inlineStr">
        <is>
          <t>2610 NANSHAN AL INTL; 3636 JINXUN RESOURCE; 6228 MERDEKAGOLD-DRS</t>
        </is>
      </c>
    </row>
    <row r="146">
      <c r="A146" s="16" t="inlineStr">
        <is>
          <t>Relationship* Wuxi Lvlian</t>
        </is>
      </c>
      <c r="B146" s="88" t="n">
        <v>3</v>
      </c>
      <c r="C146" s="93" t="n">
        <v>67</v>
      </c>
      <c r="D146" s="94" t="n">
        <v>4.8</v>
      </c>
      <c r="E146" s="94" t="n">
        <v>-0.1</v>
      </c>
      <c r="F146" s="94" t="n">
        <v>9</v>
      </c>
      <c r="G146" s="94" t="n">
        <v>111.3</v>
      </c>
      <c r="H146" s="94" t="n">
        <v>-4.7</v>
      </c>
      <c r="I146" s="94" t="n">
        <v>4.9</v>
      </c>
      <c r="J146" s="94" t="n">
        <v>106.7</v>
      </c>
      <c r="K146" s="95" t="inlineStr">
        <is>
          <t>6831 GREEN TEA GROUP; 2698 SOFTCARE; 3317 XUNCE</t>
        </is>
      </c>
    </row>
    <row r="147">
      <c r="A147" s="16" t="inlineStr">
        <is>
          <t>Duckling Fund, L.P</t>
        </is>
      </c>
      <c r="B147" s="88" t="n">
        <v>3</v>
      </c>
      <c r="C147" s="93" t="n">
        <v>67</v>
      </c>
      <c r="D147" s="94" t="n">
        <v>3.8</v>
      </c>
      <c r="E147" s="94" t="n">
        <v>8.800000000000001</v>
      </c>
      <c r="F147" s="94" t="n">
        <v>21</v>
      </c>
      <c r="G147" s="94" t="n">
        <v>98.40000000000001</v>
      </c>
      <c r="H147" s="94" t="n">
        <v>4.8</v>
      </c>
      <c r="I147" s="94" t="n">
        <v>18.4</v>
      </c>
      <c r="J147" s="94" t="n">
        <v>95.40000000000001</v>
      </c>
      <c r="K147" s="95" t="inlineStr">
        <is>
          <t>1364 GUMING; 2657 FOREST CABIN; 9903 ILUVATAR COREX</t>
        </is>
      </c>
    </row>
    <row r="148">
      <c r="A148" s="16" t="inlineStr">
        <is>
          <t>PT Esta Indonesia</t>
        </is>
      </c>
      <c r="B148" s="88" t="n">
        <v>3</v>
      </c>
      <c r="C148" s="93" t="n">
        <v>33</v>
      </c>
      <c r="D148" s="94" t="n">
        <v>3.3</v>
      </c>
      <c r="E148" s="94" t="n">
        <v>-2.5</v>
      </c>
      <c r="F148" s="94" t="n">
        <v>-7.5</v>
      </c>
      <c r="G148" s="94" t="n">
        <v>0.5</v>
      </c>
      <c r="H148" s="94" t="n">
        <v>-5.5</v>
      </c>
      <c r="I148" s="94" t="n">
        <v>-9.6</v>
      </c>
      <c r="J148" s="94" t="n">
        <v>-1</v>
      </c>
      <c r="K148" s="95" t="inlineStr">
        <is>
          <t>1497 YAN PALACE; 2460 CR BEVERAGE; 2610 NANSHAN AL INTL</t>
        </is>
      </c>
    </row>
    <row r="149">
      <c r="A149" s="16" t="inlineStr">
        <is>
          <t>Pacific Asset Management Co., Limited</t>
        </is>
      </c>
      <c r="B149" s="88" t="n">
        <v>3</v>
      </c>
      <c r="C149" s="93" t="n">
        <v>33</v>
      </c>
      <c r="D149" s="94" t="n">
        <v>1.6</v>
      </c>
      <c r="E149" s="94" t="n">
        <v>1.1</v>
      </c>
      <c r="F149" s="94" t="n">
        <v>-2.4</v>
      </c>
      <c r="G149" s="94" t="n">
        <v>3.8</v>
      </c>
      <c r="H149" s="94" t="n">
        <v>-0.4</v>
      </c>
      <c r="I149" s="94" t="n">
        <v>-4.6</v>
      </c>
      <c r="J149" s="94" t="n">
        <v>-0.3</v>
      </c>
      <c r="K149" s="95" t="inlineStr">
        <is>
          <t>9696 TIANQI LITHIUM; 3750 CATL; 0638 FIBOCOM</t>
        </is>
      </c>
    </row>
    <row r="150">
      <c r="A150" s="16" t="inlineStr">
        <is>
          <t>Xian Yuanda Electronic Equipment Co., Ltd</t>
        </is>
      </c>
      <c r="B150" s="88" t="n">
        <v>3</v>
      </c>
      <c r="C150" s="93" t="n">
        <v>33</v>
      </c>
      <c r="D150" s="94" t="n">
        <v>1.3</v>
      </c>
      <c r="E150" s="94" t="n">
        <v>26.2</v>
      </c>
      <c r="F150" s="94" t="n">
        <v>35.5</v>
      </c>
      <c r="G150" s="94" t="n">
        <v>83.8</v>
      </c>
      <c r="H150" s="94" t="n">
        <v>20.1</v>
      </c>
      <c r="I150" s="94" t="n">
        <v>31.5</v>
      </c>
      <c r="J150" s="94" t="n">
        <v>85.2</v>
      </c>
      <c r="K150" s="95" t="inlineStr">
        <is>
          <t>2418 DEEWIN; 2536 PALASINO; 1354 KINGFARPROPERTY</t>
        </is>
      </c>
    </row>
    <row r="151">
      <c r="A151" s="16" t="inlineStr">
        <is>
          <t>Golden Link Worldwide Limited</t>
        </is>
      </c>
      <c r="B151" s="88" t="n">
        <v>3</v>
      </c>
      <c r="C151" s="93" t="n">
        <v>33</v>
      </c>
      <c r="D151" s="94" t="n">
        <v>1.2</v>
      </c>
      <c r="E151" s="94" t="n">
        <v>8.9</v>
      </c>
      <c r="F151" s="94" t="n">
        <v>15.8</v>
      </c>
      <c r="G151" s="94" t="n">
        <v>23.8</v>
      </c>
      <c r="H151" s="94" t="n">
        <v>7.3</v>
      </c>
      <c r="I151" s="94" t="n">
        <v>14.3</v>
      </c>
      <c r="J151" s="94" t="n">
        <v>21.2</v>
      </c>
      <c r="K151" s="95" t="inlineStr">
        <is>
          <t>0300 MIDEA GROUP; 2676 NOVOSENSE; 6880 MOMENTA-W</t>
        </is>
      </c>
    </row>
    <row r="152">
      <c r="A152" s="16" t="inlineStr">
        <is>
          <t>China Sichuan International Investment Limited</t>
        </is>
      </c>
      <c r="B152" s="88" t="n">
        <v>3</v>
      </c>
      <c r="C152" s="93" t="n">
        <v>67</v>
      </c>
      <c r="D152" s="94" t="n">
        <v>0.5</v>
      </c>
      <c r="E152" s="94" t="n">
        <v>0.1</v>
      </c>
      <c r="F152" s="94" t="n">
        <v>-9.699999999999999</v>
      </c>
      <c r="G152" s="94" t="n">
        <v>-23.8</v>
      </c>
      <c r="H152" s="94" t="n">
        <v>-0.3</v>
      </c>
      <c r="I152" s="94" t="n">
        <v>-10.1</v>
      </c>
      <c r="J152" s="94" t="n">
        <v>-24.1</v>
      </c>
      <c r="K152" s="95" t="inlineStr">
        <is>
          <t>3658 NEW HOPE SERV; 9696 TIANQI LITHIUM; 9636 JF WEALTH</t>
        </is>
      </c>
    </row>
    <row r="153">
      <c r="A153" s="16" t="inlineStr">
        <is>
          <t>Hainan Financial Holdings Co., Ltd</t>
        </is>
      </c>
      <c r="B153" s="88" t="n">
        <v>3</v>
      </c>
      <c r="C153" s="93" t="n">
        <v>33</v>
      </c>
      <c r="D153" s="94" t="n">
        <v>0.3</v>
      </c>
      <c r="E153" s="94" t="n">
        <v>2.2</v>
      </c>
      <c r="F153" s="94" t="n">
        <v>9</v>
      </c>
      <c r="G153" s="94" t="n">
        <v>-1.7</v>
      </c>
      <c r="H153" s="94" t="n">
        <v>1.9</v>
      </c>
      <c r="I153" s="94" t="n">
        <v>8.699999999999999</v>
      </c>
      <c r="J153" s="94" t="n">
        <v>-2</v>
      </c>
      <c r="K153" s="95" t="inlineStr">
        <is>
          <t>9638 FERRETTI; 1880 CTG DUTY-FREE; 2451 LUYUAN GP HLDG</t>
        </is>
      </c>
    </row>
    <row r="154">
      <c r="A154" s="16" t="inlineStr">
        <is>
          <t>Keltic Investment (HK) Limited</t>
        </is>
      </c>
      <c r="B154" s="88" t="n">
        <v>3</v>
      </c>
      <c r="C154" s="93" t="n">
        <v>33</v>
      </c>
      <c r="D154" s="94" t="n">
        <v>0.1</v>
      </c>
      <c r="E154" s="94" t="n">
        <v>1.9</v>
      </c>
      <c r="F154" s="94" t="n">
        <v>-23.7</v>
      </c>
      <c r="G154" s="94" t="n">
        <v>-40.6</v>
      </c>
      <c r="H154" s="94" t="n">
        <v>1.8</v>
      </c>
      <c r="I154" s="94" t="n">
        <v>-23.7</v>
      </c>
      <c r="J154" s="94" t="n">
        <v>-40.6</v>
      </c>
      <c r="K154" s="95" t="inlineStr">
        <is>
          <t>3658 NEW HOPE SERV; 6626 YUEXIU SERVICES; 2210 BEIJING JIAYE</t>
        </is>
      </c>
    </row>
    <row r="155">
      <c r="A155" s="16" t="inlineStr">
        <is>
          <t>Vivo Opportunity Fund, L.P</t>
        </is>
      </c>
      <c r="B155" s="88" t="n">
        <v>3</v>
      </c>
      <c r="C155" s="93" t="n">
        <v>33</v>
      </c>
      <c r="D155" s="94" t="n">
        <v>-0.1</v>
      </c>
      <c r="E155" s="94" t="n">
        <v>-7.9</v>
      </c>
      <c r="F155" s="94" t="n">
        <v>-17.1</v>
      </c>
      <c r="G155" s="94" t="n">
        <v>-23.9</v>
      </c>
      <c r="H155" s="94" t="n">
        <v>-7.8</v>
      </c>
      <c r="I155" s="94" t="n">
        <v>-17</v>
      </c>
      <c r="J155" s="94" t="n">
        <v>-23.8</v>
      </c>
      <c r="K155" s="95" t="inlineStr">
        <is>
          <t>2256 ABBISKO-B; 2157 LEPU BIO-B; 2561 VISEN PHARMA-B</t>
        </is>
      </c>
    </row>
    <row r="156">
      <c r="A156" s="16" t="inlineStr">
        <is>
          <t>LENS TECHNOLOGY (HK) CO., LIMITED</t>
        </is>
      </c>
      <c r="B156" s="88" t="n">
        <v>3</v>
      </c>
      <c r="C156" s="93" t="n">
        <v>33</v>
      </c>
      <c r="D156" s="94" t="n">
        <v>-0.3</v>
      </c>
      <c r="E156" s="94" t="n">
        <v>-12.3</v>
      </c>
      <c r="F156" s="94" t="n">
        <v>-15.5</v>
      </c>
      <c r="G156" s="94" t="n">
        <v>-9.199999999999999</v>
      </c>
      <c r="H156" s="94" t="n">
        <v>-12</v>
      </c>
      <c r="I156" s="94" t="n">
        <v>-15.3</v>
      </c>
      <c r="J156" s="94" t="n">
        <v>-9</v>
      </c>
      <c r="K156" s="95" t="inlineStr">
        <is>
          <t>2529 HOLLWIN URBAN; 2579 CNGR; 1187 COFOE MEDICAL</t>
        </is>
      </c>
    </row>
    <row r="157">
      <c r="A157" s="16" t="inlineStr">
        <is>
          <t>NGS Super Pty Limited</t>
        </is>
      </c>
      <c r="B157" s="88" t="n">
        <v>3</v>
      </c>
      <c r="C157" s="93" t="n">
        <v>0</v>
      </c>
      <c r="D157" s="94" t="n">
        <v>-0.7</v>
      </c>
      <c r="E157" s="94" t="n">
        <v>9.300000000000001</v>
      </c>
      <c r="F157" s="94" t="n">
        <v>-5.7</v>
      </c>
      <c r="G157" s="94" t="n">
        <v>-28</v>
      </c>
      <c r="H157" s="94" t="n">
        <v>10.2</v>
      </c>
      <c r="I157" s="94" t="n">
        <v>-5.7</v>
      </c>
      <c r="J157" s="94" t="n">
        <v>-28</v>
      </c>
      <c r="K157" s="95" t="inlineStr">
        <is>
          <t>0600 AXERA; 2249 NEXCHIP; 3308 ZJ INNOLIGHT</t>
        </is>
      </c>
    </row>
    <row r="158">
      <c r="A158" s="16" t="inlineStr">
        <is>
          <t>SCC Growth VI Holdco F, Ltd</t>
        </is>
      </c>
      <c r="B158" s="88" t="n">
        <v>3</v>
      </c>
      <c r="C158" s="93" t="n">
        <v>67</v>
      </c>
      <c r="D158" s="94" t="n">
        <v>-1.2</v>
      </c>
      <c r="E158" s="94" t="n">
        <v>-3</v>
      </c>
      <c r="F158" s="94" t="n">
        <v>23.8</v>
      </c>
      <c r="G158" s="94" t="n">
        <v>5.8</v>
      </c>
      <c r="H158" s="94" t="n">
        <v>-1.9</v>
      </c>
      <c r="I158" s="94" t="n">
        <v>24.3</v>
      </c>
      <c r="J158" s="94" t="n">
        <v>7.3</v>
      </c>
      <c r="K158" s="95" t="inlineStr">
        <is>
          <t>6127 JOINN; 2137 BRII - B; 2179 RECBIO-B</t>
        </is>
      </c>
    </row>
    <row r="159">
      <c r="A159" s="16" t="inlineStr">
        <is>
          <t>Horizon Together Holding Ltd</t>
        </is>
      </c>
      <c r="B159" s="88" t="n">
        <v>3</v>
      </c>
      <c r="C159" s="93" t="n">
        <v>67</v>
      </c>
      <c r="D159" s="94" t="n">
        <v>-1.7</v>
      </c>
      <c r="E159" s="94" t="n">
        <v>-5</v>
      </c>
      <c r="F159" s="94" t="n">
        <v>-2</v>
      </c>
      <c r="G159" s="94" t="n">
        <v>17.4</v>
      </c>
      <c r="H159" s="94" t="n">
        <v>-2.7</v>
      </c>
      <c r="I159" s="94" t="n">
        <v>-2</v>
      </c>
      <c r="J159" s="94" t="n">
        <v>14.7</v>
      </c>
      <c r="K159" s="95" t="inlineStr">
        <is>
          <t>2431 MINIEYE; 9973 CHERY AUTO; 9609 HAIWEI ELEC</t>
        </is>
      </c>
    </row>
    <row r="160">
      <c r="A160" s="16" t="inlineStr">
        <is>
          <t>Alphahill Capital Limited</t>
        </is>
      </c>
      <c r="B160" s="88" t="n">
        <v>3</v>
      </c>
      <c r="C160" s="93" t="n">
        <v>33</v>
      </c>
      <c r="D160" s="94" t="n">
        <v>-2.1</v>
      </c>
      <c r="E160" s="94" t="n">
        <v>21.3</v>
      </c>
      <c r="F160" s="94" t="n">
        <v>-13.1</v>
      </c>
      <c r="G160" s="94" t="n">
        <v>64.3</v>
      </c>
      <c r="H160" s="94" t="n">
        <v>25.1</v>
      </c>
      <c r="I160" s="94" t="n">
        <v>-12.7</v>
      </c>
      <c r="J160" s="94" t="n">
        <v>54.3</v>
      </c>
      <c r="K160" s="95" t="inlineStr">
        <is>
          <t>9903 ILUVATAR COREX; 0600 AXERA; 3952 LAIFUAL</t>
        </is>
      </c>
    </row>
    <row r="161">
      <c r="A161" s="16" t="inlineStr">
        <is>
          <t>CRF Investment Holdings Company Limited</t>
        </is>
      </c>
      <c r="B161" s="88" t="n">
        <v>3</v>
      </c>
      <c r="C161" s="93" t="n">
        <v>33</v>
      </c>
      <c r="D161" s="94" t="n">
        <v>-2.5</v>
      </c>
      <c r="E161" s="94" t="n">
        <v>-4.1</v>
      </c>
      <c r="F161" s="94" t="n">
        <v>-21.5</v>
      </c>
      <c r="G161" s="94" t="n">
        <v>-9.4</v>
      </c>
      <c r="H161" s="94" t="n">
        <v>-1.9</v>
      </c>
      <c r="I161" s="94" t="n">
        <v>-18.9</v>
      </c>
      <c r="J161" s="94" t="n">
        <v>-6.5</v>
      </c>
      <c r="K161" s="95" t="inlineStr">
        <is>
          <t>2170 BASECARE-B; 6127 JOINN; 2561 VISEN PHARMA-B</t>
        </is>
      </c>
    </row>
    <row r="162">
      <c r="A162" s="16" t="inlineStr">
        <is>
          <t>China Galaxy International Investment Company Limited</t>
        </is>
      </c>
      <c r="B162" s="88" t="n">
        <v>3</v>
      </c>
      <c r="C162" s="93" t="n">
        <v>67</v>
      </c>
      <c r="D162" s="94" t="n">
        <v>-3.6</v>
      </c>
      <c r="E162" s="94" t="n">
        <v>-11.2</v>
      </c>
      <c r="F162" s="94" t="n">
        <v>-10.6</v>
      </c>
      <c r="G162" s="94" t="n">
        <v>-39.1</v>
      </c>
      <c r="H162" s="94" t="n">
        <v>-6.9</v>
      </c>
      <c r="I162" s="94" t="n">
        <v>-7.9</v>
      </c>
      <c r="J162" s="94" t="n">
        <v>-33.1</v>
      </c>
      <c r="K162" s="95" t="inlineStr">
        <is>
          <t>2408 XIAO NOODLES; 9611 LONGCHEER; 2677 DISTINCT HEALTH</t>
        </is>
      </c>
    </row>
    <row r="163">
      <c r="A163" s="16" t="inlineStr">
        <is>
          <t>Hel Ved Master Fund</t>
        </is>
      </c>
      <c r="B163" s="88" t="n">
        <v>3</v>
      </c>
      <c r="C163" s="93" t="n">
        <v>0</v>
      </c>
      <c r="D163" s="94" t="n">
        <v>-3.7</v>
      </c>
      <c r="E163" s="94" t="n">
        <v>2.6</v>
      </c>
      <c r="F163" s="94" t="n">
        <v>-8.300000000000001</v>
      </c>
      <c r="G163" s="94" t="n">
        <v>-26.7</v>
      </c>
      <c r="H163" s="94" t="n">
        <v>5.9</v>
      </c>
      <c r="I163" s="94" t="n">
        <v>-4.9</v>
      </c>
      <c r="J163" s="94" t="n">
        <v>-22.9</v>
      </c>
      <c r="K163" s="95" t="inlineStr">
        <is>
          <t>2026 PONY-W; 0600 AXERA; 1377 DTECH</t>
        </is>
      </c>
    </row>
    <row r="164">
      <c r="A164" s="16" t="inlineStr">
        <is>
          <t>SCGC Capital Holding Company Limited</t>
        </is>
      </c>
      <c r="B164" s="88" t="n">
        <v>3</v>
      </c>
      <c r="C164" s="93" t="n">
        <v>67</v>
      </c>
      <c r="D164" s="94" t="n">
        <v>-10.2</v>
      </c>
      <c r="E164" s="94" t="n">
        <v>-14.9</v>
      </c>
      <c r="F164" s="94" t="n">
        <v>-18.4</v>
      </c>
      <c r="G164" s="94" t="n">
        <v>-12.9</v>
      </c>
      <c r="H164" s="94" t="n">
        <v>-5.5</v>
      </c>
      <c r="I164" s="94" t="n">
        <v>-10</v>
      </c>
      <c r="J164" s="94" t="n">
        <v>0.1</v>
      </c>
      <c r="K164" s="95" t="inlineStr">
        <is>
          <t>6668 E-STAR CM; 2560 CONCH MAT TECH; 3355 FS.COM</t>
        </is>
      </c>
    </row>
    <row r="165">
      <c r="A165" s="16" t="inlineStr">
        <is>
          <t>Wong Cheuk Tim, Timothy</t>
        </is>
      </c>
      <c r="B165" s="88" t="n">
        <v>3</v>
      </c>
      <c r="C165" s="93" t="n">
        <v>0</v>
      </c>
      <c r="D165" s="94" t="n">
        <v>-12.8</v>
      </c>
      <c r="E165" s="94" t="n">
        <v>-20.7</v>
      </c>
      <c r="F165" s="94" t="n">
        <v>-19.8</v>
      </c>
      <c r="G165" s="94" t="n">
        <v>-25</v>
      </c>
      <c r="H165" s="94" t="n">
        <v>-9.199999999999999</v>
      </c>
      <c r="I165" s="94" t="n">
        <v>-9.1</v>
      </c>
      <c r="J165" s="94" t="n">
        <v>-16.1</v>
      </c>
      <c r="K165" s="95" t="inlineStr">
        <is>
          <t>2350 MTT GROUP; 1497 YAN PALACE; 2519 AUGROUP</t>
        </is>
      </c>
    </row>
    <row r="166">
      <c r="A166" s="16" t="inlineStr">
        <is>
          <t>Gotion High-Tech (HK)</t>
        </is>
      </c>
      <c r="B166" s="88" t="n">
        <v>3</v>
      </c>
      <c r="C166" s="93" t="n">
        <v>33</v>
      </c>
      <c r="D166" s="94" t="n">
        <v>-19.3</v>
      </c>
      <c r="E166" s="94" t="n">
        <v>-21.4</v>
      </c>
      <c r="F166" s="94" t="n">
        <v>-17.3</v>
      </c>
      <c r="G166" s="94" t="n">
        <v>-5.4</v>
      </c>
      <c r="H166" s="94" t="n">
        <v>-3.4</v>
      </c>
      <c r="I166" s="94" t="n">
        <v>0.5</v>
      </c>
      <c r="J166" s="94" t="n">
        <v>18</v>
      </c>
      <c r="K166" s="95" t="inlineStr">
        <is>
          <t>2560 CONCH MAT TECH; 2643 CAOCAO INC; 9973 CHERY AUTO</t>
        </is>
      </c>
    </row>
    <row r="167">
      <c r="A167" s="16" t="inlineStr">
        <is>
          <t>June Star Global Limited</t>
        </is>
      </c>
      <c r="B167" s="88" t="n">
        <v>2</v>
      </c>
      <c r="C167" s="93" t="n">
        <v>100</v>
      </c>
      <c r="D167" s="94" t="n">
        <v>192.6</v>
      </c>
      <c r="E167" s="94" t="n">
        <v>175.3</v>
      </c>
      <c r="F167" s="94" t="n">
        <v>192.8</v>
      </c>
      <c r="G167" s="94" t="n">
        <v>124.8</v>
      </c>
      <c r="H167" s="94" t="n">
        <v>-5.8</v>
      </c>
      <c r="I167" s="94" t="n">
        <v>1.2</v>
      </c>
      <c r="J167" s="94" t="n">
        <v>-22.4</v>
      </c>
      <c r="K167" s="95" t="inlineStr">
        <is>
          <t>2591 INNOGEN-B; 6872 TENNOR THERAP-B</t>
        </is>
      </c>
    </row>
    <row r="168">
      <c r="A168" s="16" t="inlineStr">
        <is>
          <t>LC Logistics, Inc</t>
        </is>
      </c>
      <c r="B168" s="88" t="n">
        <v>2</v>
      </c>
      <c r="C168" s="93" t="n">
        <v>50</v>
      </c>
      <c r="D168" s="94" t="n">
        <v>115.4</v>
      </c>
      <c r="E168" s="94" t="n">
        <v>138</v>
      </c>
      <c r="F168" s="94" t="n">
        <v>92.7</v>
      </c>
      <c r="G168" s="94" t="n">
        <v>54.2</v>
      </c>
      <c r="H168" s="94" t="n">
        <v>1.8</v>
      </c>
      <c r="I168" s="94" t="n">
        <v>-9.9</v>
      </c>
      <c r="J168" s="94" t="n">
        <v>-23.1</v>
      </c>
      <c r="K168" s="95" t="inlineStr">
        <is>
          <t>2519 AUGROUP; 2706 HAIZHI TECH GP</t>
        </is>
      </c>
    </row>
    <row r="169">
      <c r="A169" s="16" t="inlineStr">
        <is>
          <t>Top Vast (Hong Kong) Limited</t>
        </is>
      </c>
      <c r="B169" s="88" t="n">
        <v>2</v>
      </c>
      <c r="C169" s="93" t="n">
        <v>50</v>
      </c>
      <c r="D169" s="94" t="n">
        <v>94</v>
      </c>
      <c r="E169" s="94" t="n">
        <v>112.1</v>
      </c>
      <c r="F169" s="94" t="n">
        <v>128.7</v>
      </c>
      <c r="G169" s="94" t="n">
        <v>-19.6</v>
      </c>
      <c r="H169" s="94" t="n">
        <v>7.6</v>
      </c>
      <c r="I169" s="94" t="n">
        <v>6.4</v>
      </c>
      <c r="J169" s="94" t="n">
        <v>-14.8</v>
      </c>
      <c r="K169" s="95" t="inlineStr">
        <is>
          <t>6639 ARRAIL GROUP; 6658 LIULIUMEI</t>
        </is>
      </c>
    </row>
    <row r="170">
      <c r="A170" s="16" t="inlineStr">
        <is>
          <t>MPC VII Pte. Ltd</t>
        </is>
      </c>
      <c r="B170" s="88" t="n">
        <v>2</v>
      </c>
      <c r="C170" s="93" t="n">
        <v>100</v>
      </c>
      <c r="D170" s="94" t="n">
        <v>83.7</v>
      </c>
      <c r="E170" s="94" t="n">
        <v>91.5</v>
      </c>
      <c r="F170" s="94" t="n">
        <v>100.5</v>
      </c>
      <c r="G170" s="94" t="n">
        <v>215.9</v>
      </c>
      <c r="H170" s="94" t="n">
        <v>0.6</v>
      </c>
      <c r="I170" s="94" t="n">
        <v>2.7</v>
      </c>
      <c r="J170" s="94" t="n">
        <v>57.7</v>
      </c>
      <c r="K170" s="95" t="inlineStr">
        <is>
          <t>2549 CAROTE LTD; 0100 MINIMAX-WP</t>
        </is>
      </c>
    </row>
    <row r="171">
      <c r="A171" s="16" t="inlineStr">
        <is>
          <t>Sunny Festive Limited</t>
        </is>
      </c>
      <c r="B171" s="88" t="n">
        <v>2</v>
      </c>
      <c r="C171" s="93" t="n">
        <v>50</v>
      </c>
      <c r="D171" s="94" t="n">
        <v>78.09999999999999</v>
      </c>
      <c r="E171" s="94" t="n">
        <v>122.7</v>
      </c>
      <c r="F171" s="94" t="n">
        <v>52.3</v>
      </c>
      <c r="G171" s="94" t="n">
        <v>105.4</v>
      </c>
      <c r="H171" s="94" t="n">
        <v>16.9</v>
      </c>
      <c r="I171" s="94" t="n">
        <v>-20.7</v>
      </c>
      <c r="J171" s="94" t="n">
        <v>-21.3</v>
      </c>
      <c r="K171" s="95" t="inlineStr">
        <is>
          <t>1024 KUAISHOU-W; 1688 LINGYI ITECH</t>
        </is>
      </c>
    </row>
    <row r="172">
      <c r="A172" s="16" t="inlineStr">
        <is>
          <t>Velmar Company Limited</t>
        </is>
      </c>
      <c r="B172" s="88" t="n">
        <v>2</v>
      </c>
      <c r="C172" s="93" t="n">
        <v>100</v>
      </c>
      <c r="D172" s="94" t="n">
        <v>74.7</v>
      </c>
      <c r="E172" s="94" t="n">
        <v>68.3</v>
      </c>
      <c r="F172" s="94" t="n">
        <v>61.1</v>
      </c>
      <c r="G172" s="94" t="n">
        <v>13.2</v>
      </c>
      <c r="H172" s="94" t="n">
        <v>-2.8</v>
      </c>
      <c r="I172" s="94" t="n">
        <v>-10</v>
      </c>
      <c r="J172" s="94" t="n">
        <v>-28.9</v>
      </c>
      <c r="K172" s="95" t="inlineStr">
        <is>
          <t>2158 YIDU TECH; 9980 EASTROC</t>
        </is>
      </c>
    </row>
    <row r="173">
      <c r="A173" s="16" t="inlineStr">
        <is>
          <t>Cormorant Asset Management, LP</t>
        </is>
      </c>
      <c r="B173" s="88" t="n">
        <v>2</v>
      </c>
      <c r="C173" s="93" t="n">
        <v>100</v>
      </c>
      <c r="D173" s="94" t="n">
        <v>72</v>
      </c>
      <c r="E173" s="94" t="n">
        <v>29.3</v>
      </c>
      <c r="F173" s="94" t="n">
        <v>14.1</v>
      </c>
      <c r="G173" s="94" t="n">
        <v>-1.6</v>
      </c>
      <c r="H173" s="94" t="n">
        <v>-22.2</v>
      </c>
      <c r="I173" s="94" t="n">
        <v>-32</v>
      </c>
      <c r="J173" s="94" t="n">
        <v>-30</v>
      </c>
      <c r="K173" s="95" t="inlineStr">
        <is>
          <t>2190 ZYLOXTB-B; 9637 ALEBUND-B</t>
        </is>
      </c>
    </row>
    <row r="174">
      <c r="A174" s="16" t="inlineStr">
        <is>
          <t>The Biotech Growth Trust PLC</t>
        </is>
      </c>
      <c r="B174" s="88" t="n">
        <v>2</v>
      </c>
      <c r="C174" s="93" t="n">
        <v>100</v>
      </c>
      <c r="D174" s="94" t="n">
        <v>71.8</v>
      </c>
      <c r="E174" s="94" t="n">
        <v>68.59999999999999</v>
      </c>
      <c r="F174" s="94" t="n">
        <v>14.5</v>
      </c>
      <c r="G174" s="94" t="n">
        <v>25.8</v>
      </c>
      <c r="H174" s="94" t="n">
        <v>-0</v>
      </c>
      <c r="I174" s="94" t="n">
        <v>-32.4</v>
      </c>
      <c r="J174" s="94" t="n">
        <v>-39.1</v>
      </c>
      <c r="K174" s="95" t="inlineStr">
        <is>
          <t>2595 GENFLEET-B; 1779 LONGBIO-B</t>
        </is>
      </c>
    </row>
    <row r="175">
      <c r="A175" s="16" t="inlineStr">
        <is>
          <t>KCH International Investment Limited</t>
        </is>
      </c>
      <c r="B175" s="88" t="n">
        <v>2</v>
      </c>
      <c r="C175" s="93" t="n">
        <v>100</v>
      </c>
      <c r="D175" s="94" t="n">
        <v>70.90000000000001</v>
      </c>
      <c r="E175" s="94" t="n">
        <v>29.8</v>
      </c>
      <c r="F175" s="94" t="n">
        <v>38.9</v>
      </c>
      <c r="G175" s="94" t="n">
        <v>68.59999999999999</v>
      </c>
      <c r="H175" s="94" t="n">
        <v>-20.5</v>
      </c>
      <c r="I175" s="94" t="n">
        <v>-12.1</v>
      </c>
      <c r="J175" s="94" t="n">
        <v>15.3</v>
      </c>
      <c r="K175" s="95" t="inlineStr">
        <is>
          <t>2431 MINIEYE; 1236 LDROBOT</t>
        </is>
      </c>
    </row>
    <row r="176">
      <c r="A176" s="16" t="inlineStr">
        <is>
          <t>Hua Yuan International Limited</t>
        </is>
      </c>
      <c r="B176" s="88" t="n">
        <v>2</v>
      </c>
      <c r="C176" s="93" t="n">
        <v>50</v>
      </c>
      <c r="D176" s="94" t="n">
        <v>70.7</v>
      </c>
      <c r="E176" s="94" t="n">
        <v>61.3</v>
      </c>
      <c r="F176" s="94" t="n">
        <v>101.6</v>
      </c>
      <c r="G176" s="94" t="n">
        <v>165</v>
      </c>
      <c r="H176" s="94" t="n">
        <v>-7.7</v>
      </c>
      <c r="I176" s="94" t="n">
        <v>6.3</v>
      </c>
      <c r="J176" s="94" t="n">
        <v>-4.9</v>
      </c>
      <c r="K176" s="95" t="inlineStr">
        <is>
          <t>6872 TENNOR THERAP-B; 0537 RIGOL</t>
        </is>
      </c>
    </row>
    <row r="177">
      <c r="A177" s="16" t="inlineStr">
        <is>
          <t>Oakwise Growth Fund SPC – Global Select Opportunities Fund SP</t>
        </is>
      </c>
      <c r="B177" s="88" t="n">
        <v>2</v>
      </c>
      <c r="C177" s="93" t="n">
        <v>100</v>
      </c>
      <c r="D177" s="94" t="n">
        <v>64.8</v>
      </c>
      <c r="E177" s="94" t="n">
        <v>58.6</v>
      </c>
      <c r="F177" s="94" t="n">
        <v>1.3</v>
      </c>
      <c r="G177" s="94" t="n">
        <v>-13.1</v>
      </c>
      <c r="H177" s="94" t="n">
        <v>-0.3</v>
      </c>
      <c r="I177" s="94" t="n">
        <v>-30.6</v>
      </c>
      <c r="J177" s="94" t="n">
        <v>-15.1</v>
      </c>
      <c r="K177" s="95" t="inlineStr">
        <is>
          <t>2692 ZHAOWEI; 6675 SENASIC</t>
        </is>
      </c>
    </row>
    <row r="178">
      <c r="A178" s="16" t="inlineStr">
        <is>
          <t>CR Alpha Investment II Limited</t>
        </is>
      </c>
      <c r="B178" s="88" t="n">
        <v>2</v>
      </c>
      <c r="C178" s="93" t="n">
        <v>50</v>
      </c>
      <c r="D178" s="94" t="n">
        <v>63.8</v>
      </c>
      <c r="E178" s="94" t="n">
        <v>127.3</v>
      </c>
      <c r="F178" s="94" t="n">
        <v>65.7</v>
      </c>
      <c r="G178" s="94" t="n">
        <v>-9.300000000000001</v>
      </c>
      <c r="H178" s="94" t="n">
        <v>25</v>
      </c>
      <c r="I178" s="94" t="n">
        <v>2.8</v>
      </c>
      <c r="J178" s="94" t="n">
        <v>-37.2</v>
      </c>
      <c r="K178" s="95" t="inlineStr">
        <is>
          <t>6680 JLMAG; 0068 MANYCORE TECH</t>
        </is>
      </c>
    </row>
    <row r="179">
      <c r="A179" s="16" t="inlineStr">
        <is>
          <t>Abstract Enigma Limited</t>
        </is>
      </c>
      <c r="B179" s="88" t="n">
        <v>2</v>
      </c>
      <c r="C179" s="93" t="n">
        <v>100</v>
      </c>
      <c r="D179" s="94" t="n">
        <v>62.8</v>
      </c>
      <c r="E179" s="94" t="n">
        <v>91.5</v>
      </c>
      <c r="F179" s="94" t="n">
        <v>114.3</v>
      </c>
      <c r="G179" s="94" t="n">
        <v>251.6</v>
      </c>
      <c r="H179" s="94" t="n">
        <v>13.9</v>
      </c>
      <c r="I179" s="94" t="n">
        <v>24.7</v>
      </c>
      <c r="J179" s="94" t="n">
        <v>98.09999999999999</v>
      </c>
      <c r="K179" s="95" t="inlineStr">
        <is>
          <t>3750 CATL; 0100 MINIMAX-WP</t>
        </is>
      </c>
    </row>
    <row r="180">
      <c r="A180" s="16" t="inlineStr">
        <is>
          <t>Huangshan City Investment Private Equity Fund Management Co., Ltd</t>
        </is>
      </c>
      <c r="B180" s="88" t="n">
        <v>2</v>
      </c>
      <c r="C180" s="93" t="n">
        <v>100</v>
      </c>
      <c r="D180" s="94" t="n">
        <v>58.3</v>
      </c>
      <c r="E180" s="94" t="n">
        <v>67</v>
      </c>
      <c r="F180" s="94" t="n">
        <v>46.6</v>
      </c>
      <c r="G180" s="94" t="n">
        <v>42.8</v>
      </c>
      <c r="H180" s="94" t="n">
        <v>3.4</v>
      </c>
      <c r="I180" s="94" t="n">
        <v>-12.1</v>
      </c>
      <c r="J180" s="94" t="n">
        <v>-13.3</v>
      </c>
      <c r="K180" s="95" t="inlineStr">
        <is>
          <t>1334 RUICHANG INTL; 2720 RIDGE OUTDOOR</t>
        </is>
      </c>
    </row>
    <row r="181">
      <c r="A181" s="16" t="inlineStr">
        <is>
          <t>Alisoft China Holding Limited</t>
        </is>
      </c>
      <c r="B181" s="88" t="n">
        <v>2</v>
      </c>
      <c r="C181" s="93" t="n">
        <v>100</v>
      </c>
      <c r="D181" s="94" t="n">
        <v>55.9</v>
      </c>
      <c r="E181" s="94" t="n">
        <v>92.5</v>
      </c>
      <c r="F181" s="94" t="n">
        <v>103.7</v>
      </c>
      <c r="G181" s="94" t="n">
        <v>227.9</v>
      </c>
      <c r="H181" s="94" t="n">
        <v>21.6</v>
      </c>
      <c r="I181" s="94" t="n">
        <v>21</v>
      </c>
      <c r="J181" s="94" t="n">
        <v>84</v>
      </c>
      <c r="K181" s="95" t="inlineStr">
        <is>
          <t>9660 HORIZONROBOT-W; 0100 MINIMAX-WP</t>
        </is>
      </c>
    </row>
    <row r="182">
      <c r="A182" s="16" t="inlineStr">
        <is>
          <t>QuantumPharm Limited</t>
        </is>
      </c>
      <c r="B182" s="88" t="n">
        <v>2</v>
      </c>
      <c r="C182" s="93" t="n">
        <v>100</v>
      </c>
      <c r="D182" s="94" t="n">
        <v>54.6</v>
      </c>
      <c r="E182" s="94" t="n">
        <v>28.9</v>
      </c>
      <c r="F182" s="94" t="n">
        <v>25.4</v>
      </c>
      <c r="G182" s="94" t="n">
        <v>40.5</v>
      </c>
      <c r="H182" s="94" t="n">
        <v>-13</v>
      </c>
      <c r="I182" s="94" t="n">
        <v>-13.6</v>
      </c>
      <c r="J182" s="94" t="n">
        <v>-6.8</v>
      </c>
      <c r="K182" s="95" t="inlineStr">
        <is>
          <t>2315 BIOCYTOGEN-B; 2718 MININGLAMP-W</t>
        </is>
      </c>
    </row>
    <row r="183">
      <c r="A183" s="16" t="inlineStr">
        <is>
          <t>Montage Technology Holdings Company Limited</t>
        </is>
      </c>
      <c r="B183" s="88" t="n">
        <v>2</v>
      </c>
      <c r="C183" s="93" t="n">
        <v>100</v>
      </c>
      <c r="D183" s="94" t="n">
        <v>54.5</v>
      </c>
      <c r="E183" s="94" t="n">
        <v>26.1</v>
      </c>
      <c r="F183" s="94" t="n">
        <v>11.9</v>
      </c>
      <c r="G183" s="94" t="n">
        <v>-10.8</v>
      </c>
      <c r="H183" s="94" t="n">
        <v>-15.8</v>
      </c>
      <c r="I183" s="94" t="n">
        <v>-23.6</v>
      </c>
      <c r="J183" s="94" t="n">
        <v>-15.2</v>
      </c>
      <c r="K183" s="95" t="inlineStr">
        <is>
          <t>6682 FOURTH PARADIGM; 9630 CFMEE</t>
        </is>
      </c>
    </row>
    <row r="184">
      <c r="A184" s="16" t="inlineStr">
        <is>
          <t>Charoen Pokphand Foods (CPF)</t>
        </is>
      </c>
      <c r="B184" s="88" t="n">
        <v>2</v>
      </c>
      <c r="C184" s="93" t="n">
        <v>100</v>
      </c>
      <c r="D184" s="94" t="n">
        <v>53.7</v>
      </c>
      <c r="E184" s="94" t="n">
        <v>37.1</v>
      </c>
      <c r="F184" s="94" t="n">
        <v>42</v>
      </c>
      <c r="G184" s="94" t="n">
        <v>-7</v>
      </c>
      <c r="H184" s="94" t="n">
        <v>-8.9</v>
      </c>
      <c r="I184" s="94" t="n">
        <v>-2</v>
      </c>
      <c r="J184" s="94" t="n">
        <v>-30.6</v>
      </c>
      <c r="K184" s="95" t="inlineStr">
        <is>
          <t>2714 MUYUAN; 6656 SIGENERGY</t>
        </is>
      </c>
    </row>
    <row r="185">
      <c r="A185" s="16" t="inlineStr">
        <is>
          <t>Prosper High Holding Limited</t>
        </is>
      </c>
      <c r="B185" s="88" t="n">
        <v>2</v>
      </c>
      <c r="C185" s="93" t="n">
        <v>50</v>
      </c>
      <c r="D185" s="94" t="n">
        <v>53.4</v>
      </c>
      <c r="E185" s="94" t="n">
        <v>40.5</v>
      </c>
      <c r="F185" s="94" t="n">
        <v>40.6</v>
      </c>
      <c r="G185" s="94" t="n">
        <v>-39.8</v>
      </c>
      <c r="H185" s="94" t="n">
        <v>-7.1</v>
      </c>
      <c r="I185" s="94" t="n">
        <v>-5.7</v>
      </c>
      <c r="J185" s="94" t="n">
        <v>-71.09999999999999</v>
      </c>
      <c r="K185" s="95" t="inlineStr">
        <is>
          <t>7630 IMPACT THERAP-B; 2475 LUXSHARE ICT</t>
        </is>
      </c>
    </row>
    <row r="186">
      <c r="A186" s="16" t="inlineStr">
        <is>
          <t>Victory Giant Technology Holdings (Hong Kong) Limited</t>
        </is>
      </c>
      <c r="B186" s="88" t="n">
        <v>2</v>
      </c>
      <c r="C186" s="93" t="n">
        <v>50</v>
      </c>
      <c r="D186" s="94" t="n">
        <v>51</v>
      </c>
      <c r="E186" s="94" t="n">
        <v>32.5</v>
      </c>
      <c r="F186" s="94" t="n">
        <v>16.4</v>
      </c>
      <c r="G186" s="94" t="n"/>
      <c r="H186" s="94" t="n">
        <v>-6</v>
      </c>
      <c r="I186" s="94" t="n">
        <v>-15.8</v>
      </c>
      <c r="J186" s="94" t="n"/>
      <c r="K186" s="95" t="inlineStr">
        <is>
          <t>9630 CFMEE; 1377 DTECH</t>
        </is>
      </c>
    </row>
    <row r="187">
      <c r="A187" s="16" t="inlineStr">
        <is>
          <t>Seraphim Advantage Inc</t>
        </is>
      </c>
      <c r="B187" s="88" t="n">
        <v>2</v>
      </c>
      <c r="C187" s="93" t="n">
        <v>100</v>
      </c>
      <c r="D187" s="94" t="n">
        <v>50.8</v>
      </c>
      <c r="E187" s="94" t="n">
        <v>75.90000000000001</v>
      </c>
      <c r="F187" s="94" t="n">
        <v>79.7</v>
      </c>
      <c r="G187" s="94" t="n">
        <v>175.9</v>
      </c>
      <c r="H187" s="94" t="n">
        <v>17.8</v>
      </c>
      <c r="I187" s="94" t="n">
        <v>20.7</v>
      </c>
      <c r="J187" s="94" t="n">
        <v>77.40000000000001</v>
      </c>
      <c r="K187" s="95" t="inlineStr">
        <is>
          <t>1318 MAO GEPING; 6168 ZHOU LIU FU</t>
        </is>
      </c>
    </row>
    <row r="188">
      <c r="A188" s="16" t="inlineStr">
        <is>
          <t>HQ TELECOM SINGAPORE PTE. LTD</t>
        </is>
      </c>
      <c r="B188" s="88" t="n">
        <v>2</v>
      </c>
      <c r="C188" s="93" t="n">
        <v>100</v>
      </c>
      <c r="D188" s="94" t="n">
        <v>48.6</v>
      </c>
      <c r="E188" s="94" t="n">
        <v>40.4</v>
      </c>
      <c r="F188" s="94" t="n">
        <v>34.9</v>
      </c>
      <c r="G188" s="94" t="n">
        <v>9.6</v>
      </c>
      <c r="H188" s="94" t="n">
        <v>-5.5</v>
      </c>
      <c r="I188" s="94" t="n">
        <v>-9.4</v>
      </c>
      <c r="J188" s="94" t="n">
        <v>-27</v>
      </c>
      <c r="K188" s="95" t="inlineStr">
        <is>
          <t>2476 VGT; 3661 SG MICRO</t>
        </is>
      </c>
    </row>
    <row r="189">
      <c r="A189" s="16" t="inlineStr">
        <is>
          <t>First Seafront Fund Series SPC</t>
        </is>
      </c>
      <c r="B189" s="88" t="n">
        <v>2</v>
      </c>
      <c r="C189" s="93" t="n">
        <v>100</v>
      </c>
      <c r="D189" s="94" t="n">
        <v>47.8</v>
      </c>
      <c r="E189" s="94" t="n">
        <v>28.6</v>
      </c>
      <c r="F189" s="94" t="n">
        <v>17.1</v>
      </c>
      <c r="G189" s="94" t="n">
        <v>43.8</v>
      </c>
      <c r="H189" s="94" t="n">
        <v>-7.6</v>
      </c>
      <c r="I189" s="94" t="n">
        <v>-12.8</v>
      </c>
      <c r="J189" s="94" t="n">
        <v>28.9</v>
      </c>
      <c r="K189" s="95" t="inlineStr">
        <is>
          <t>2768 GON TECHNOLOGY; 1956 WENGE AI</t>
        </is>
      </c>
    </row>
    <row r="190">
      <c r="A190" s="16" t="inlineStr">
        <is>
          <t>Gaoling Fund, L.P.</t>
        </is>
      </c>
      <c r="B190" s="88" t="n">
        <v>2</v>
      </c>
      <c r="C190" s="93" t="n">
        <v>100</v>
      </c>
      <c r="D190" s="94" t="n">
        <v>47.4</v>
      </c>
      <c r="E190" s="94" t="n">
        <v>44.6</v>
      </c>
      <c r="F190" s="94" t="n">
        <v>19.1</v>
      </c>
      <c r="G190" s="94" t="n">
        <v>12.9</v>
      </c>
      <c r="H190" s="94" t="n">
        <v>-2.2</v>
      </c>
      <c r="I190" s="94" t="n">
        <v>-19.4</v>
      </c>
      <c r="J190" s="94" t="n">
        <v>-23.7</v>
      </c>
      <c r="K190" s="95" t="inlineStr">
        <is>
          <t>2160 CARDIOFLOW-B; 2190 ZYLOXTB-B</t>
        </is>
      </c>
    </row>
    <row r="191">
      <c r="A191" s="16" t="inlineStr">
        <is>
          <t>Sparky International Company Limited</t>
        </is>
      </c>
      <c r="B191" s="88" t="n">
        <v>2</v>
      </c>
      <c r="C191" s="93" t="n">
        <v>50</v>
      </c>
      <c r="D191" s="94" t="n">
        <v>45.3</v>
      </c>
      <c r="E191" s="94" t="n">
        <v>55.7</v>
      </c>
      <c r="F191" s="94" t="n">
        <v>105.8</v>
      </c>
      <c r="G191" s="94" t="n">
        <v>161.6</v>
      </c>
      <c r="H191" s="94" t="n">
        <v>5.9</v>
      </c>
      <c r="I191" s="94" t="n">
        <v>37.8</v>
      </c>
      <c r="J191" s="94" t="n">
        <v>87.3</v>
      </c>
      <c r="K191" s="95" t="inlineStr">
        <is>
          <t>6693 CHIFENG GOLD; 2546 ZHIHUI MINING</t>
        </is>
      </c>
    </row>
    <row r="192">
      <c r="A192" s="16" t="inlineStr">
        <is>
          <t>Golden Valley Global Limited</t>
        </is>
      </c>
      <c r="B192" s="88" t="n">
        <v>2</v>
      </c>
      <c r="C192" s="93" t="n">
        <v>50</v>
      </c>
      <c r="D192" s="94" t="n">
        <v>44.4</v>
      </c>
      <c r="E192" s="94" t="n">
        <v>-1.5</v>
      </c>
      <c r="F192" s="94" t="n">
        <v>-0.7</v>
      </c>
      <c r="G192" s="94" t="n">
        <v>-52.4</v>
      </c>
      <c r="H192" s="94" t="n">
        <v>-28.5</v>
      </c>
      <c r="I192" s="94" t="n">
        <v>-24.3</v>
      </c>
      <c r="J192" s="94" t="n">
        <v>-44.1</v>
      </c>
      <c r="K192" s="95" t="inlineStr">
        <is>
          <t>6622 ZHAOKE OPHTH-B; 9637 ALEBUND-B</t>
        </is>
      </c>
    </row>
    <row r="193">
      <c r="A193" s="16" t="inlineStr">
        <is>
          <t>CMBC INTERNATIONAL INVESTMENT (HK) LIMITED</t>
        </is>
      </c>
      <c r="B193" s="88" t="n">
        <v>2</v>
      </c>
      <c r="C193" s="93" t="n">
        <v>100</v>
      </c>
      <c r="D193" s="94" t="n">
        <v>43.2</v>
      </c>
      <c r="E193" s="94" t="n">
        <v>20.7</v>
      </c>
      <c r="F193" s="94" t="n">
        <v>-3.2</v>
      </c>
      <c r="G193" s="94" t="n">
        <v>-13.1</v>
      </c>
      <c r="H193" s="94" t="n">
        <v>-10.3</v>
      </c>
      <c r="I193" s="94" t="n">
        <v>-27.4</v>
      </c>
      <c r="J193" s="94" t="n">
        <v>-15.1</v>
      </c>
      <c r="K193" s="95" t="inlineStr">
        <is>
          <t>2692 ZHAOWEI; 1956 WENGE AI</t>
        </is>
      </c>
    </row>
    <row r="194">
      <c r="A194" s="16" t="inlineStr">
        <is>
          <t>Kunming Jiashiqing Investment Partnership (Limited Partnership)</t>
        </is>
      </c>
      <c r="B194" s="88" t="n">
        <v>2</v>
      </c>
      <c r="C194" s="93" t="n">
        <v>100</v>
      </c>
      <c r="D194" s="94" t="n">
        <v>35.8</v>
      </c>
      <c r="E194" s="94" t="n">
        <v>38.2</v>
      </c>
      <c r="F194" s="94" t="n">
        <v>28.7</v>
      </c>
      <c r="G194" s="94" t="n">
        <v>40.5</v>
      </c>
      <c r="H194" s="94" t="n">
        <v>1.7</v>
      </c>
      <c r="I194" s="94" t="n">
        <v>-5.3</v>
      </c>
      <c r="J194" s="94" t="n">
        <v>3.4</v>
      </c>
      <c r="K194" s="95" t="inlineStr">
        <is>
          <t>2257 SIRNAOMICS-B; 2373 BEAUTYFARM MED</t>
        </is>
      </c>
    </row>
    <row r="195">
      <c r="A195" s="16" t="inlineStr">
        <is>
          <t>Changsha Xunmang</t>
        </is>
      </c>
      <c r="B195" s="88" t="n">
        <v>2</v>
      </c>
      <c r="C195" s="93" t="n">
        <v>50</v>
      </c>
      <c r="D195" s="94" t="n">
        <v>34</v>
      </c>
      <c r="E195" s="94" t="n">
        <v>31.1</v>
      </c>
      <c r="F195" s="94" t="n">
        <v>24.5</v>
      </c>
      <c r="G195" s="94" t="n">
        <v>33.2</v>
      </c>
      <c r="H195" s="94" t="n">
        <v>-2.9</v>
      </c>
      <c r="I195" s="94" t="n">
        <v>-8.699999999999999</v>
      </c>
      <c r="J195" s="94" t="n">
        <v>-4</v>
      </c>
      <c r="K195" s="95" t="inlineStr">
        <is>
          <t>1768 BUSYMING; 1187 COFOE MEDICAL</t>
        </is>
      </c>
    </row>
    <row r="196">
      <c r="A196" s="16" t="inlineStr">
        <is>
          <t>Springs Capital (Hong Kong) Limited</t>
        </is>
      </c>
      <c r="B196" s="88" t="n">
        <v>2</v>
      </c>
      <c r="C196" s="93" t="n">
        <v>100</v>
      </c>
      <c r="D196" s="94" t="n">
        <v>32.1</v>
      </c>
      <c r="E196" s="94" t="n">
        <v>20.5</v>
      </c>
      <c r="F196" s="94" t="n">
        <v>3</v>
      </c>
      <c r="G196" s="94" t="n">
        <v>14.6</v>
      </c>
      <c r="H196" s="94" t="n">
        <v>-8.800000000000001</v>
      </c>
      <c r="I196" s="94" t="n">
        <v>-22.4</v>
      </c>
      <c r="J196" s="94" t="n">
        <v>-19.1</v>
      </c>
      <c r="K196" s="95" t="inlineStr">
        <is>
          <t>6938 RIBOLIFE-B; 6067 SENIOR MATERIAL</t>
        </is>
      </c>
    </row>
    <row r="197">
      <c r="A197" s="16" t="inlineStr">
        <is>
          <t>Nova Kerry Inc</t>
        </is>
      </c>
      <c r="B197" s="88" t="n">
        <v>2</v>
      </c>
      <c r="C197" s="93" t="n">
        <v>100</v>
      </c>
      <c r="D197" s="94" t="n">
        <v>27.7</v>
      </c>
      <c r="E197" s="94" t="n">
        <v>-7.8</v>
      </c>
      <c r="F197" s="94" t="n">
        <v>-33.7</v>
      </c>
      <c r="G197" s="94" t="n"/>
      <c r="H197" s="94" t="n">
        <v>-27</v>
      </c>
      <c r="I197" s="94" t="n">
        <v>-47.9</v>
      </c>
      <c r="J197" s="94" t="n"/>
      <c r="K197" s="95" t="inlineStr">
        <is>
          <t>6106 SEER TECH; 6715 XUNLONG SCITECH</t>
        </is>
      </c>
    </row>
    <row r="198">
      <c r="A198" s="16" t="inlineStr">
        <is>
          <t>New Alternative Limited</t>
        </is>
      </c>
      <c r="B198" s="88" t="n">
        <v>2</v>
      </c>
      <c r="C198" s="93" t="n">
        <v>50</v>
      </c>
      <c r="D198" s="94" t="n">
        <v>25</v>
      </c>
      <c r="E198" s="94" t="n">
        <v>15.4</v>
      </c>
      <c r="F198" s="94" t="n">
        <v>26.5</v>
      </c>
      <c r="G198" s="94" t="n">
        <v>-8.300000000000001</v>
      </c>
      <c r="H198" s="94" t="n">
        <v>-8.5</v>
      </c>
      <c r="I198" s="94" t="n">
        <v>-1</v>
      </c>
      <c r="J198" s="94" t="n">
        <v>-26.6</v>
      </c>
      <c r="K198" s="95" t="inlineStr">
        <is>
          <t>9927 SERES; 2476 VGT</t>
        </is>
      </c>
    </row>
    <row r="199">
      <c r="A199" s="16" t="inlineStr">
        <is>
          <t>Ovata Capital</t>
        </is>
      </c>
      <c r="B199" s="88" t="n">
        <v>2</v>
      </c>
      <c r="C199" s="93" t="n">
        <v>50</v>
      </c>
      <c r="D199" s="94" t="n">
        <v>25</v>
      </c>
      <c r="E199" s="94" t="n">
        <v>21.8</v>
      </c>
      <c r="F199" s="94" t="n">
        <v>28</v>
      </c>
      <c r="G199" s="94" t="n">
        <v>12.5</v>
      </c>
      <c r="H199" s="94" t="n">
        <v>-2.1</v>
      </c>
      <c r="I199" s="94" t="n">
        <v>0.4</v>
      </c>
      <c r="J199" s="94" t="n">
        <v>-5.7</v>
      </c>
      <c r="K199" s="95" t="inlineStr">
        <is>
          <t>0470 WUXI LEAD; 2476 VGT</t>
        </is>
      </c>
    </row>
    <row r="200">
      <c r="A200" s="16" t="inlineStr">
        <is>
          <t>Stoneylake Global Alpha Fund</t>
        </is>
      </c>
      <c r="B200" s="88" t="n">
        <v>2</v>
      </c>
      <c r="C200" s="93" t="n">
        <v>100</v>
      </c>
      <c r="D200" s="94" t="n">
        <v>24.9</v>
      </c>
      <c r="E200" s="94" t="n">
        <v>19.9</v>
      </c>
      <c r="F200" s="94" t="n">
        <v>5.2</v>
      </c>
      <c r="G200" s="94" t="n">
        <v>-9.5</v>
      </c>
      <c r="H200" s="94" t="n">
        <v>-4.1</v>
      </c>
      <c r="I200" s="94" t="n">
        <v>-15.9</v>
      </c>
      <c r="J200" s="94" t="n">
        <v>-27.5</v>
      </c>
      <c r="K200" s="95" t="inlineStr">
        <is>
          <t>6687 JST GROUP; 3636 JINXUN RESOURCE</t>
        </is>
      </c>
    </row>
    <row r="201">
      <c r="A201" s="16" t="inlineStr">
        <is>
          <t>Hongda Juankang Limited</t>
        </is>
      </c>
      <c r="B201" s="88" t="n">
        <v>2</v>
      </c>
      <c r="C201" s="93" t="n">
        <v>100</v>
      </c>
      <c r="D201" s="94" t="n">
        <v>23.3</v>
      </c>
      <c r="E201" s="94" t="n">
        <v>53</v>
      </c>
      <c r="F201" s="94" t="n">
        <v>25.7</v>
      </c>
      <c r="G201" s="94" t="n">
        <v>141.4</v>
      </c>
      <c r="H201" s="94" t="n">
        <v>21.6</v>
      </c>
      <c r="I201" s="94" t="n">
        <v>-1</v>
      </c>
      <c r="J201" s="94" t="n">
        <v>83.7</v>
      </c>
      <c r="K201" s="95" t="inlineStr">
        <is>
          <t>2587 HEALTHYWAY INC; 2525 HESAI-W</t>
        </is>
      </c>
    </row>
    <row r="202">
      <c r="A202" s="16" t="inlineStr">
        <is>
          <t>First Sentier Investors (Hong Kong) Limited</t>
        </is>
      </c>
      <c r="B202" s="88" t="n">
        <v>2</v>
      </c>
      <c r="C202" s="93" t="n">
        <v>50</v>
      </c>
      <c r="D202" s="94" t="n">
        <v>22.8</v>
      </c>
      <c r="E202" s="94" t="n">
        <v>16.4</v>
      </c>
      <c r="F202" s="94" t="n">
        <v>2.5</v>
      </c>
      <c r="G202" s="94" t="n"/>
      <c r="H202" s="94" t="n">
        <v>-5</v>
      </c>
      <c r="I202" s="94" t="n">
        <v>-13.5</v>
      </c>
      <c r="J202" s="94" t="n"/>
      <c r="K202" s="95" t="inlineStr">
        <is>
          <t>3661 SG MICRO; 2475 LUXSHARE ICT</t>
        </is>
      </c>
    </row>
    <row r="203">
      <c r="A203" s="16" t="inlineStr">
        <is>
          <t>Deliante Holdings Co., Ltd</t>
        </is>
      </c>
      <c r="B203" s="88" t="n">
        <v>2</v>
      </c>
      <c r="C203" s="93" t="n">
        <v>50</v>
      </c>
      <c r="D203" s="94" t="n">
        <v>22.7</v>
      </c>
      <c r="E203" s="94" t="n">
        <v>18.9</v>
      </c>
      <c r="F203" s="94" t="n">
        <v>13.9</v>
      </c>
      <c r="G203" s="94" t="n">
        <v>9.6</v>
      </c>
      <c r="H203" s="94" t="n">
        <v>-2.6</v>
      </c>
      <c r="I203" s="94" t="n">
        <v>-12.1</v>
      </c>
      <c r="J203" s="94" t="n">
        <v>-27</v>
      </c>
      <c r="K203" s="95" t="inlineStr">
        <is>
          <t>2476 VGT; 1688 LINGYI ITECH</t>
        </is>
      </c>
    </row>
    <row r="204">
      <c r="A204" s="16" t="inlineStr">
        <is>
          <t>Main Achieve Holdings Limited</t>
        </is>
      </c>
      <c r="B204" s="88" t="n">
        <v>2</v>
      </c>
      <c r="C204" s="93" t="n">
        <v>100</v>
      </c>
      <c r="D204" s="94" t="n">
        <v>22.2</v>
      </c>
      <c r="E204" s="94" t="n">
        <v>20.7</v>
      </c>
      <c r="F204" s="94" t="n">
        <v>-2.2</v>
      </c>
      <c r="G204" s="94" t="n">
        <v>-1.8</v>
      </c>
      <c r="H204" s="94" t="n">
        <v>0.2</v>
      </c>
      <c r="I204" s="94" t="n">
        <v>-18.6</v>
      </c>
      <c r="J204" s="94" t="n">
        <v>-19</v>
      </c>
      <c r="K204" s="95" t="inlineStr">
        <is>
          <t>9881 RONGTA TECH; 2692 ZHAOWEI</t>
        </is>
      </c>
    </row>
    <row r="205">
      <c r="A205" s="16" t="inlineStr">
        <is>
          <t>Cithara Fund</t>
        </is>
      </c>
      <c r="B205" s="88" t="n">
        <v>2</v>
      </c>
      <c r="C205" s="93" t="n">
        <v>50</v>
      </c>
      <c r="D205" s="94" t="n">
        <v>21.9</v>
      </c>
      <c r="E205" s="94" t="n">
        <v>15.9</v>
      </c>
      <c r="F205" s="94" t="n">
        <v>21.8</v>
      </c>
      <c r="G205" s="94" t="n">
        <v>7.7</v>
      </c>
      <c r="H205" s="94" t="n">
        <v>-6.3</v>
      </c>
      <c r="I205" s="94" t="n">
        <v>1.1</v>
      </c>
      <c r="J205" s="94" t="n">
        <v>-14.4</v>
      </c>
      <c r="K205" s="95" t="inlineStr">
        <is>
          <t>6090 BUTONG GROUP; 3887 HASHKEY HLDGS</t>
        </is>
      </c>
    </row>
    <row r="206">
      <c r="A206" s="16" t="inlineStr">
        <is>
          <t>Infore Holding</t>
        </is>
      </c>
      <c r="B206" s="88" t="n">
        <v>2</v>
      </c>
      <c r="C206" s="93" t="n">
        <v>100</v>
      </c>
      <c r="D206" s="94" t="n">
        <v>21.4</v>
      </c>
      <c r="E206" s="94" t="n">
        <v>9.800000000000001</v>
      </c>
      <c r="F206" s="94" t="n">
        <v>4.9</v>
      </c>
      <c r="G206" s="94" t="n">
        <v>20.1</v>
      </c>
      <c r="H206" s="94" t="n">
        <v>-7.8</v>
      </c>
      <c r="I206" s="94" t="n">
        <v>-12.1</v>
      </c>
      <c r="J206" s="94" t="n">
        <v>1.1</v>
      </c>
      <c r="K206" s="95" t="inlineStr">
        <is>
          <t>2589 AUNTEA JENNY; 6031 SANY HEAVY IND</t>
        </is>
      </c>
    </row>
    <row r="207">
      <c r="A207" s="16" t="inlineStr">
        <is>
          <t>HCEP Master Fund</t>
        </is>
      </c>
      <c r="B207" s="88" t="n">
        <v>2</v>
      </c>
      <c r="C207" s="93" t="n">
        <v>100</v>
      </c>
      <c r="D207" s="94" t="n">
        <v>20.9</v>
      </c>
      <c r="E207" s="94" t="n">
        <v>21.3</v>
      </c>
      <c r="F207" s="94" t="n">
        <v>25.7</v>
      </c>
      <c r="G207" s="94" t="n">
        <v>29</v>
      </c>
      <c r="H207" s="94" t="n">
        <v>2.2</v>
      </c>
      <c r="I207" s="94" t="n">
        <v>6.2</v>
      </c>
      <c r="J207" s="94" t="n">
        <v>8.9</v>
      </c>
      <c r="K207" s="95" t="inlineStr">
        <is>
          <t>0300 MIDEA GROUP; 6166 CIG</t>
        </is>
      </c>
    </row>
    <row r="208">
      <c r="A208" s="16" t="inlineStr">
        <is>
          <t>Star Flourish Ventures Limited</t>
        </is>
      </c>
      <c r="B208" s="88" t="n">
        <v>2</v>
      </c>
      <c r="C208" s="93" t="n">
        <v>100</v>
      </c>
      <c r="D208" s="94" t="n">
        <v>20.9</v>
      </c>
      <c r="E208" s="94" t="n">
        <v>50.1</v>
      </c>
      <c r="F208" s="94" t="n">
        <v>38.6</v>
      </c>
      <c r="G208" s="94" t="n">
        <v>182</v>
      </c>
      <c r="H208" s="94" t="n">
        <v>21</v>
      </c>
      <c r="I208" s="94" t="n">
        <v>13</v>
      </c>
      <c r="J208" s="94" t="n">
        <v>124</v>
      </c>
      <c r="K208" s="95" t="inlineStr">
        <is>
          <t>2587 HEALTHYWAY INC; 2506 XUNFEIHEALTH</t>
        </is>
      </c>
    </row>
    <row r="209">
      <c r="A209" s="16" t="inlineStr">
        <is>
          <t>Shanghai Gaoyi Asset Management (via HTCI swaps)</t>
        </is>
      </c>
      <c r="B209" s="88" t="n">
        <v>2</v>
      </c>
      <c r="C209" s="93" t="n">
        <v>100</v>
      </c>
      <c r="D209" s="94" t="n">
        <v>20.6</v>
      </c>
      <c r="E209" s="94" t="n">
        <v>25.2</v>
      </c>
      <c r="F209" s="94" t="n">
        <v>9.300000000000001</v>
      </c>
      <c r="G209" s="94" t="n">
        <v>0.7</v>
      </c>
      <c r="H209" s="94" t="n">
        <v>3</v>
      </c>
      <c r="I209" s="94" t="n">
        <v>-6.3</v>
      </c>
      <c r="J209" s="94" t="n">
        <v>-3.1</v>
      </c>
      <c r="K209" s="95" t="inlineStr">
        <is>
          <t>2714 MUYUAN; 1779 LONGBIO-B</t>
        </is>
      </c>
    </row>
    <row r="210">
      <c r="A210" s="16" t="inlineStr">
        <is>
          <t>Fourier Capital</t>
        </is>
      </c>
      <c r="B210" s="88" t="n">
        <v>2</v>
      </c>
      <c r="C210" s="93" t="n">
        <v>100</v>
      </c>
      <c r="D210" s="94" t="n">
        <v>19.9</v>
      </c>
      <c r="E210" s="94" t="n">
        <v>17.2</v>
      </c>
      <c r="F210" s="94" t="n">
        <v>7.9</v>
      </c>
      <c r="G210" s="94" t="n">
        <v>29.4</v>
      </c>
      <c r="H210" s="94" t="n">
        <v>-2</v>
      </c>
      <c r="I210" s="94" t="n">
        <v>-9.300000000000001</v>
      </c>
      <c r="J210" s="94" t="n">
        <v>9</v>
      </c>
      <c r="K210" s="95" t="inlineStr">
        <is>
          <t>1304 FORTIOR; 6687 JST GROUP</t>
        </is>
      </c>
    </row>
    <row r="211">
      <c r="A211" s="16" t="inlineStr">
        <is>
          <t>Baidu (Hong Kong) Limited</t>
        </is>
      </c>
      <c r="B211" s="88" t="n">
        <v>2</v>
      </c>
      <c r="C211" s="93" t="n">
        <v>100</v>
      </c>
      <c r="D211" s="94" t="n">
        <v>19.7</v>
      </c>
      <c r="E211" s="94" t="n">
        <v>58.8</v>
      </c>
      <c r="F211" s="94" t="n">
        <v>33.5</v>
      </c>
      <c r="G211" s="94" t="n">
        <v>156.6</v>
      </c>
      <c r="H211" s="94" t="n">
        <v>30.6</v>
      </c>
      <c r="I211" s="94" t="n">
        <v>9.199999999999999</v>
      </c>
      <c r="J211" s="94" t="n">
        <v>101</v>
      </c>
      <c r="K211" s="95" t="inlineStr">
        <is>
          <t>9660 HORIZONROBOT-W; 2587 HEALTHYWAY INC</t>
        </is>
      </c>
    </row>
    <row r="212">
      <c r="A212" s="16" t="inlineStr">
        <is>
          <t>EDB Investments Pte Ltd</t>
        </is>
      </c>
      <c r="B212" s="88" t="n">
        <v>2</v>
      </c>
      <c r="C212" s="93" t="n">
        <v>100</v>
      </c>
      <c r="D212" s="94" t="n">
        <v>19.3</v>
      </c>
      <c r="E212" s="94" t="n">
        <v>25.4</v>
      </c>
      <c r="F212" s="94" t="n">
        <v>34.8</v>
      </c>
      <c r="G212" s="94" t="n">
        <v>35.1</v>
      </c>
      <c r="H212" s="94" t="n">
        <v>5.7</v>
      </c>
      <c r="I212" s="94" t="n">
        <v>13</v>
      </c>
      <c r="J212" s="94" t="n">
        <v>10.4</v>
      </c>
      <c r="K212" s="95" t="inlineStr">
        <is>
          <t>9959 LINKLOGIS–W; 2629 MIRXES-B</t>
        </is>
      </c>
    </row>
    <row r="213">
      <c r="A213" s="16" t="inlineStr">
        <is>
          <t>Greater Bay Area Homeland Investments Limited</t>
        </is>
      </c>
      <c r="B213" s="88" t="n">
        <v>2</v>
      </c>
      <c r="C213" s="93" t="n">
        <v>100</v>
      </c>
      <c r="D213" s="94" t="n">
        <v>19.1</v>
      </c>
      <c r="E213" s="94" t="n">
        <v>16.9</v>
      </c>
      <c r="F213" s="94" t="n">
        <v>59</v>
      </c>
      <c r="G213" s="94" t="n">
        <v>163.6</v>
      </c>
      <c r="H213" s="94" t="n">
        <v>-2.4</v>
      </c>
      <c r="I213" s="94" t="n">
        <v>30.1</v>
      </c>
      <c r="J213" s="94" t="n">
        <v>97.40000000000001</v>
      </c>
      <c r="K213" s="95" t="inlineStr">
        <is>
          <t>1989 DELTON; 6951 CCTC</t>
        </is>
      </c>
    </row>
    <row r="214">
      <c r="A214" s="16" t="inlineStr">
        <is>
          <t>Al-Rayyan Holding LLC</t>
        </is>
      </c>
      <c r="B214" s="88" t="n">
        <v>2</v>
      </c>
      <c r="C214" s="93" t="n">
        <v>100</v>
      </c>
      <c r="D214" s="94" t="n">
        <v>18.7</v>
      </c>
      <c r="E214" s="94" t="n">
        <v>20.8</v>
      </c>
      <c r="F214" s="94" t="n">
        <v>18.7</v>
      </c>
      <c r="G214" s="94" t="n">
        <v>-11.2</v>
      </c>
      <c r="H214" s="94" t="n">
        <v>1.4</v>
      </c>
      <c r="I214" s="94" t="n">
        <v>-2</v>
      </c>
      <c r="J214" s="94" t="n">
        <v>-23.8</v>
      </c>
      <c r="K214" s="95" t="inlineStr">
        <is>
          <t>2268 WUXI XDC; 9980 EASTROC</t>
        </is>
      </c>
    </row>
    <row r="215">
      <c r="A215" s="16" t="inlineStr">
        <is>
          <t>HSG Growth VII Holdco, Ltd</t>
        </is>
      </c>
      <c r="B215" s="88" t="n">
        <v>2</v>
      </c>
      <c r="C215" s="93" t="n">
        <v>100</v>
      </c>
      <c r="D215" s="94" t="n">
        <v>18.7</v>
      </c>
      <c r="E215" s="94" t="n">
        <v>20.8</v>
      </c>
      <c r="F215" s="94" t="n">
        <v>18.7</v>
      </c>
      <c r="G215" s="94" t="n">
        <v>-11.2</v>
      </c>
      <c r="H215" s="94" t="n">
        <v>1.4</v>
      </c>
      <c r="I215" s="94" t="n">
        <v>-2</v>
      </c>
      <c r="J215" s="94" t="n">
        <v>-23.8</v>
      </c>
      <c r="K215" s="95" t="inlineStr">
        <is>
          <t>2268 WUXI XDC; 9980 EASTROC</t>
        </is>
      </c>
    </row>
    <row r="216">
      <c r="A216" s="16" t="inlineStr">
        <is>
          <t>Wisdomshire AM</t>
        </is>
      </c>
      <c r="B216" s="88" t="n">
        <v>2</v>
      </c>
      <c r="C216" s="93" t="n">
        <v>50</v>
      </c>
      <c r="D216" s="94" t="n">
        <v>18.6</v>
      </c>
      <c r="E216" s="94" t="n">
        <v>22.4</v>
      </c>
      <c r="F216" s="94" t="n">
        <v>-1.2</v>
      </c>
      <c r="G216" s="94" t="n">
        <v>10.9</v>
      </c>
      <c r="H216" s="94" t="n">
        <v>2.1</v>
      </c>
      <c r="I216" s="94" t="n">
        <v>-14.6</v>
      </c>
      <c r="J216" s="94" t="n">
        <v>10.9</v>
      </c>
      <c r="K216" s="95" t="inlineStr">
        <is>
          <t>6936 SF HOLDING; 1779 LONGBIO-B</t>
        </is>
      </c>
    </row>
    <row r="217">
      <c r="A217" s="16" t="inlineStr">
        <is>
          <t>Long-Z Fund I, LP</t>
        </is>
      </c>
      <c r="B217" s="88" t="n">
        <v>2</v>
      </c>
      <c r="C217" s="93" t="n">
        <v>50</v>
      </c>
      <c r="D217" s="94" t="n">
        <v>18.4</v>
      </c>
      <c r="E217" s="94" t="n">
        <v>46.1</v>
      </c>
      <c r="F217" s="94" t="n">
        <v>76.2</v>
      </c>
      <c r="G217" s="94" t="n">
        <v>168.8</v>
      </c>
      <c r="H217" s="94" t="n">
        <v>20.1</v>
      </c>
      <c r="I217" s="94" t="n">
        <v>49.9</v>
      </c>
      <c r="J217" s="94" t="n">
        <v>135.3</v>
      </c>
      <c r="K217" s="95" t="inlineStr">
        <is>
          <t>1364 GUMING; 2097 MIXUE GROUP</t>
        </is>
      </c>
    </row>
    <row r="218">
      <c r="A218" s="16" t="inlineStr">
        <is>
          <t>XING FA (HONG KONG) IMP.&amp;EXP. LIMITED</t>
        </is>
      </c>
      <c r="B218" s="88" t="n">
        <v>2</v>
      </c>
      <c r="C218" s="93" t="n">
        <v>50</v>
      </c>
      <c r="D218" s="94" t="n">
        <v>18.3</v>
      </c>
      <c r="E218" s="94" t="n">
        <v>47.7</v>
      </c>
      <c r="F218" s="94" t="n">
        <v>17</v>
      </c>
      <c r="G218" s="94" t="n">
        <v>128.7</v>
      </c>
      <c r="H218" s="94" t="n">
        <v>21.1</v>
      </c>
      <c r="I218" s="94" t="n">
        <v>-6</v>
      </c>
      <c r="J218" s="94" t="n">
        <v>74.59999999999999</v>
      </c>
      <c r="K218" s="95" t="inlineStr">
        <is>
          <t>3931 CALB; 2587 HEALTHYWAY INC</t>
        </is>
      </c>
    </row>
    <row r="219">
      <c r="A219" s="16" t="inlineStr">
        <is>
          <t>FR M CONSULTING CO., LTD</t>
        </is>
      </c>
      <c r="B219" s="88" t="n">
        <v>2</v>
      </c>
      <c r="C219" s="93" t="n">
        <v>50</v>
      </c>
      <c r="D219" s="94" t="n">
        <v>18.1</v>
      </c>
      <c r="E219" s="94" t="n">
        <v>21.6</v>
      </c>
      <c r="F219" s="94" t="n">
        <v>-8.6</v>
      </c>
      <c r="G219" s="94" t="n">
        <v>-17.7</v>
      </c>
      <c r="H219" s="94" t="n">
        <v>1.8</v>
      </c>
      <c r="I219" s="94" t="n">
        <v>-21.5</v>
      </c>
      <c r="J219" s="94" t="n">
        <v>-16.8</v>
      </c>
      <c r="K219" s="95" t="inlineStr">
        <is>
          <t>1187 COFOE MEDICAL; 1779 LONGBIO-B</t>
        </is>
      </c>
    </row>
    <row r="220">
      <c r="A220" s="16" t="inlineStr">
        <is>
          <t>Fund SPC</t>
        </is>
      </c>
      <c r="B220" s="88" t="n">
        <v>2</v>
      </c>
      <c r="C220" s="93" t="n">
        <v>100</v>
      </c>
      <c r="D220" s="94" t="n">
        <v>17.5</v>
      </c>
      <c r="E220" s="94" t="n">
        <v>9.800000000000001</v>
      </c>
      <c r="F220" s="94" t="n">
        <v>20.2</v>
      </c>
      <c r="G220" s="94" t="n">
        <v>39.4</v>
      </c>
      <c r="H220" s="94" t="n">
        <v>-7</v>
      </c>
      <c r="I220" s="94" t="n">
        <v>1.2</v>
      </c>
      <c r="J220" s="94" t="n">
        <v>15.8</v>
      </c>
      <c r="K220" s="95" t="inlineStr">
        <is>
          <t>2613 CONTIOCEAN; 2629 MIRXES-B</t>
        </is>
      </c>
    </row>
    <row r="221">
      <c r="A221" s="16" t="inlineStr">
        <is>
          <t>Trading Pacific Pte. Ltd</t>
        </is>
      </c>
      <c r="B221" s="88" t="n">
        <v>2</v>
      </c>
      <c r="C221" s="93" t="n">
        <v>100</v>
      </c>
      <c r="D221" s="94" t="n">
        <v>17.5</v>
      </c>
      <c r="E221" s="94" t="n">
        <v>31.8</v>
      </c>
      <c r="F221" s="94" t="n">
        <v>20.5</v>
      </c>
      <c r="G221" s="94" t="n">
        <v>30.4</v>
      </c>
      <c r="H221" s="94" t="n">
        <v>11.3</v>
      </c>
      <c r="I221" s="94" t="n">
        <v>0.7</v>
      </c>
      <c r="J221" s="94" t="n">
        <v>8.699999999999999</v>
      </c>
      <c r="K221" s="95" t="inlineStr">
        <is>
          <t>6168 ZHOU LIU FU; 2525 HESAI-W</t>
        </is>
      </c>
    </row>
    <row r="222">
      <c r="A222" s="16" t="inlineStr">
        <is>
          <t>Schonfeld</t>
        </is>
      </c>
      <c r="B222" s="88" t="n">
        <v>2</v>
      </c>
      <c r="C222" s="93" t="n">
        <v>50</v>
      </c>
      <c r="D222" s="94" t="n">
        <v>16.9</v>
      </c>
      <c r="E222" s="94" t="n">
        <v>6.1</v>
      </c>
      <c r="F222" s="94" t="n">
        <v>5.7</v>
      </c>
      <c r="G222" s="94" t="n">
        <v>5.3</v>
      </c>
      <c r="H222" s="94" t="n">
        <v>-8.199999999999999</v>
      </c>
      <c r="I222" s="94" t="n">
        <v>-8.800000000000001</v>
      </c>
      <c r="J222" s="94" t="n">
        <v>-9.800000000000001</v>
      </c>
      <c r="K222" s="95" t="inlineStr">
        <is>
          <t>6166 CIG; 7618 JD INDUSTRIALS</t>
        </is>
      </c>
    </row>
    <row r="223">
      <c r="A223" s="16" t="inlineStr">
        <is>
          <t>Baheal Wellness Limited</t>
        </is>
      </c>
      <c r="B223" s="88" t="n">
        <v>2</v>
      </c>
      <c r="C223" s="93" t="n">
        <v>50</v>
      </c>
      <c r="D223" s="94" t="n">
        <v>15</v>
      </c>
      <c r="E223" s="94" t="n">
        <v>43.5</v>
      </c>
      <c r="F223" s="94" t="n">
        <v>36.6</v>
      </c>
      <c r="G223" s="94" t="n">
        <v>-20.5</v>
      </c>
      <c r="H223" s="94" t="n">
        <v>23.3</v>
      </c>
      <c r="I223" s="94" t="n">
        <v>16.4</v>
      </c>
      <c r="J223" s="94" t="n">
        <v>-31.7</v>
      </c>
      <c r="K223" s="95" t="inlineStr">
        <is>
          <t>2361 SINOHEALTH HLDG; 2563 BIOSTAR PHARM-B</t>
        </is>
      </c>
    </row>
    <row r="224">
      <c r="A224" s="16" t="inlineStr">
        <is>
          <t>Bridge Zone Group Limited</t>
        </is>
      </c>
      <c r="B224" s="88" t="n">
        <v>2</v>
      </c>
      <c r="C224" s="93" t="n">
        <v>100</v>
      </c>
      <c r="D224" s="94" t="n">
        <v>14.2</v>
      </c>
      <c r="E224" s="94" t="n">
        <v>21.3</v>
      </c>
      <c r="F224" s="94" t="n">
        <v>9</v>
      </c>
      <c r="G224" s="94" t="n">
        <v>-12.9</v>
      </c>
      <c r="H224" s="94" t="n">
        <v>6.5</v>
      </c>
      <c r="I224" s="94" t="n">
        <v>-5</v>
      </c>
      <c r="J224" s="94" t="n">
        <v>-22.9</v>
      </c>
      <c r="K224" s="95" t="inlineStr">
        <is>
          <t>3636 JINXUN RESOURCE; 2692 ZHAOWEI</t>
        </is>
      </c>
    </row>
    <row r="225">
      <c r="A225" s="16" t="inlineStr">
        <is>
          <t>Taibai Investments Pte. Ltd</t>
        </is>
      </c>
      <c r="B225" s="88" t="n">
        <v>2</v>
      </c>
      <c r="C225" s="93" t="n">
        <v>100</v>
      </c>
      <c r="D225" s="94" t="n">
        <v>13.1</v>
      </c>
      <c r="E225" s="94" t="n">
        <v>34.6</v>
      </c>
      <c r="F225" s="94" t="n">
        <v>79.2</v>
      </c>
      <c r="G225" s="94" t="n">
        <v>62.8</v>
      </c>
      <c r="H225" s="94" t="n">
        <v>17.2</v>
      </c>
      <c r="I225" s="94" t="n">
        <v>51.6</v>
      </c>
      <c r="J225" s="94" t="n">
        <v>38.6</v>
      </c>
      <c r="K225" s="95" t="inlineStr">
        <is>
          <t>3696 INSILICO; 9980 EASTROC</t>
        </is>
      </c>
    </row>
    <row r="226">
      <c r="A226" s="16" t="inlineStr">
        <is>
          <t>Pamalican Fund Ltd</t>
        </is>
      </c>
      <c r="B226" s="88" t="n">
        <v>2</v>
      </c>
      <c r="C226" s="93" t="n">
        <v>100</v>
      </c>
      <c r="D226" s="94" t="n">
        <v>11.4</v>
      </c>
      <c r="E226" s="94" t="n">
        <v>17.8</v>
      </c>
      <c r="F226" s="94" t="n">
        <v>10.8</v>
      </c>
      <c r="G226" s="94" t="n">
        <v>10.4</v>
      </c>
      <c r="H226" s="94" t="n">
        <v>6.2</v>
      </c>
      <c r="I226" s="94" t="n">
        <v>0.3</v>
      </c>
      <c r="J226" s="94" t="n">
        <v>0</v>
      </c>
      <c r="K226" s="95" t="inlineStr">
        <is>
          <t>0300 MIDEA GROUP; 2460 CR BEVERAGE</t>
        </is>
      </c>
    </row>
    <row r="227">
      <c r="A227" s="16" t="inlineStr">
        <is>
          <t>Future Industry Investment Fund II</t>
        </is>
      </c>
      <c r="B227" s="88" t="n">
        <v>2</v>
      </c>
      <c r="C227" s="93" t="n">
        <v>100</v>
      </c>
      <c r="D227" s="94" t="n">
        <v>11</v>
      </c>
      <c r="E227" s="94" t="n">
        <v>11.5</v>
      </c>
      <c r="F227" s="94" t="n">
        <v>8.4</v>
      </c>
      <c r="G227" s="94" t="n">
        <v>15.7</v>
      </c>
      <c r="H227" s="94" t="n">
        <v>0.4</v>
      </c>
      <c r="I227" s="94" t="n">
        <v>-2.2</v>
      </c>
      <c r="J227" s="94" t="n">
        <v>5.6</v>
      </c>
      <c r="K227" s="95" t="inlineStr">
        <is>
          <t>2105 LAEKNA-B; 1828 FWD</t>
        </is>
      </c>
    </row>
    <row r="228">
      <c r="A228" s="16" t="inlineStr">
        <is>
          <t>Polymer Asia Fund LP</t>
        </is>
      </c>
      <c r="B228" s="88" t="n">
        <v>2</v>
      </c>
      <c r="C228" s="93" t="n">
        <v>50</v>
      </c>
      <c r="D228" s="94" t="n">
        <v>9.9</v>
      </c>
      <c r="E228" s="94" t="n">
        <v>3</v>
      </c>
      <c r="F228" s="94" t="n">
        <v>19.4</v>
      </c>
      <c r="G228" s="94" t="n"/>
      <c r="H228" s="94" t="n">
        <v>-6</v>
      </c>
      <c r="I228" s="94" t="n">
        <v>8</v>
      </c>
      <c r="J228" s="94" t="n"/>
      <c r="K228" s="95" t="inlineStr">
        <is>
          <t>3388 CREALITY; 2475 LUXSHARE ICT</t>
        </is>
      </c>
    </row>
    <row r="229">
      <c r="A229" s="16" t="inlineStr">
        <is>
          <t>Yishao Capital Management (HK) Limited</t>
        </is>
      </c>
      <c r="B229" s="88" t="n">
        <v>2</v>
      </c>
      <c r="C229" s="93" t="n">
        <v>100</v>
      </c>
      <c r="D229" s="94" t="n">
        <v>9.800000000000001</v>
      </c>
      <c r="E229" s="94" t="n">
        <v>4.5</v>
      </c>
      <c r="F229" s="94" t="n">
        <v>22.1</v>
      </c>
      <c r="G229" s="94" t="n"/>
      <c r="H229" s="94" t="n">
        <v>-5.6</v>
      </c>
      <c r="I229" s="94" t="n">
        <v>8.5</v>
      </c>
      <c r="J229" s="94" t="n"/>
      <c r="K229" s="95" t="inlineStr">
        <is>
          <t>6106 SEER TECH; 3752 ROKAE ROBOTICS</t>
        </is>
      </c>
    </row>
    <row r="230">
      <c r="A230" s="16" t="inlineStr">
        <is>
          <t>Shanghai Greenwoods (via Huatai OTC swaps)</t>
        </is>
      </c>
      <c r="B230" s="88" t="n">
        <v>2</v>
      </c>
      <c r="C230" s="93" t="n">
        <v>100</v>
      </c>
      <c r="D230" s="94" t="n">
        <v>9.300000000000001</v>
      </c>
      <c r="E230" s="94" t="n">
        <v>2.2</v>
      </c>
      <c r="F230" s="94" t="n">
        <v>5.8</v>
      </c>
      <c r="G230" s="94" t="n">
        <v>-28.1</v>
      </c>
      <c r="H230" s="94" t="n">
        <v>-6.2</v>
      </c>
      <c r="I230" s="94" t="n">
        <v>-3.1</v>
      </c>
      <c r="J230" s="94" t="n">
        <v>-30.1</v>
      </c>
      <c r="K230" s="95" t="inlineStr">
        <is>
          <t>9981 WOER; 0668 ANKER</t>
        </is>
      </c>
    </row>
    <row r="231">
      <c r="A231" s="16" t="inlineStr">
        <is>
          <t>Wealth Strategy Holding Limited</t>
        </is>
      </c>
      <c r="B231" s="88" t="n">
        <v>2</v>
      </c>
      <c r="C231" s="93" t="n">
        <v>50</v>
      </c>
      <c r="D231" s="94" t="n">
        <v>8.699999999999999</v>
      </c>
      <c r="E231" s="94" t="n">
        <v>6.3</v>
      </c>
      <c r="F231" s="94" t="n">
        <v>49.8</v>
      </c>
      <c r="G231" s="94" t="n">
        <v>-2.9</v>
      </c>
      <c r="H231" s="94" t="n">
        <v>-11.2</v>
      </c>
      <c r="I231" s="94" t="n">
        <v>38.7</v>
      </c>
      <c r="J231" s="94" t="n">
        <v>-25.3</v>
      </c>
      <c r="K231" s="95" t="inlineStr">
        <is>
          <t>2563 BIOSTAR PHARM-B; 6915 JIANGXI BIO</t>
        </is>
      </c>
    </row>
    <row r="232">
      <c r="A232" s="16" t="inlineStr">
        <is>
          <t>SilkyWater Absolute Return LPF</t>
        </is>
      </c>
      <c r="B232" s="88" t="n">
        <v>2</v>
      </c>
      <c r="C232" s="93" t="n">
        <v>50</v>
      </c>
      <c r="D232" s="94" t="n">
        <v>8.6</v>
      </c>
      <c r="E232" s="94" t="n">
        <v>44.3</v>
      </c>
      <c r="F232" s="94" t="n">
        <v>67</v>
      </c>
      <c r="G232" s="94" t="n">
        <v>84.3</v>
      </c>
      <c r="H232" s="94" t="n">
        <v>32.5</v>
      </c>
      <c r="I232" s="94" t="n">
        <v>58.6</v>
      </c>
      <c r="J232" s="94" t="n">
        <v>93.09999999999999</v>
      </c>
      <c r="K232" s="95" t="inlineStr">
        <is>
          <t>1274 IMOTIONAUTOTECH; 2563 BIOSTAR PHARM-B</t>
        </is>
      </c>
    </row>
    <row r="233">
      <c r="A233" s="16" t="inlineStr">
        <is>
          <t>OmniVision HK</t>
        </is>
      </c>
      <c r="B233" s="88" t="n">
        <v>2</v>
      </c>
      <c r="C233" s="93" t="n">
        <v>50</v>
      </c>
      <c r="D233" s="94" t="n">
        <v>7.4</v>
      </c>
      <c r="E233" s="94" t="n">
        <v>18.9</v>
      </c>
      <c r="F233" s="94" t="n">
        <v>5.4</v>
      </c>
      <c r="G233" s="94" t="n">
        <v>20.7</v>
      </c>
      <c r="H233" s="94" t="n">
        <v>11.3</v>
      </c>
      <c r="I233" s="94" t="n">
        <v>-2.5</v>
      </c>
      <c r="J233" s="94" t="n">
        <v>9.800000000000001</v>
      </c>
      <c r="K233" s="95" t="inlineStr">
        <is>
          <t>3200 HANS CNC; 0600 AXERA</t>
        </is>
      </c>
    </row>
    <row r="234">
      <c r="A234" s="16" t="inlineStr">
        <is>
          <t>China Hongqiao Group Limited</t>
        </is>
      </c>
      <c r="B234" s="88" t="n">
        <v>2</v>
      </c>
      <c r="C234" s="93" t="n">
        <v>50</v>
      </c>
      <c r="D234" s="94" t="n">
        <v>7</v>
      </c>
      <c r="E234" s="94" t="n">
        <v>23.1</v>
      </c>
      <c r="F234" s="94" t="n">
        <v>37.6</v>
      </c>
      <c r="G234" s="94" t="n">
        <v>115.7</v>
      </c>
      <c r="H234" s="94" t="n">
        <v>13.4</v>
      </c>
      <c r="I234" s="94" t="n">
        <v>26.7</v>
      </c>
      <c r="J234" s="94" t="n">
        <v>62.4</v>
      </c>
      <c r="K234" s="95" t="inlineStr">
        <is>
          <t>2788 CHUANGXIN IND; 6745 BEFAR GROUP</t>
        </is>
      </c>
    </row>
    <row r="235">
      <c r="A235" s="16" t="inlineStr">
        <is>
          <t>York Asian Opportunities Investments Master Fund, LP</t>
        </is>
      </c>
      <c r="B235" s="88" t="n">
        <v>2</v>
      </c>
      <c r="C235" s="93" t="n">
        <v>100</v>
      </c>
      <c r="D235" s="94" t="n">
        <v>6.8</v>
      </c>
      <c r="E235" s="94" t="n">
        <v>11.4</v>
      </c>
      <c r="F235" s="94" t="n">
        <v>-1.5</v>
      </c>
      <c r="G235" s="94" t="n">
        <v>59.2</v>
      </c>
      <c r="H235" s="94" t="n">
        <v>4.3</v>
      </c>
      <c r="I235" s="94" t="n">
        <v>-8</v>
      </c>
      <c r="J235" s="94" t="n">
        <v>47.8</v>
      </c>
      <c r="K235" s="95" t="inlineStr">
        <is>
          <t>2279 YONGHE MEDICAL; 9903 ILUVATAR COREX</t>
        </is>
      </c>
    </row>
    <row r="236">
      <c r="A236" s="16" t="inlineStr">
        <is>
          <t>Tulip Fund, L.P</t>
        </is>
      </c>
      <c r="B236" s="88" t="n">
        <v>2</v>
      </c>
      <c r="C236" s="93" t="n">
        <v>100</v>
      </c>
      <c r="D236" s="94" t="n">
        <v>6.6</v>
      </c>
      <c r="E236" s="94" t="n">
        <v>5.2</v>
      </c>
      <c r="F236" s="94" t="n">
        <v>5</v>
      </c>
      <c r="G236" s="94" t="n">
        <v>-9.199999999999999</v>
      </c>
      <c r="H236" s="94" t="n">
        <v>-1.2</v>
      </c>
      <c r="I236" s="94" t="n">
        <v>-1.3</v>
      </c>
      <c r="J236" s="94" t="n">
        <v>-14.5</v>
      </c>
      <c r="K236" s="95" t="inlineStr">
        <is>
          <t>9973 CHERY AUTO; 2657 FOREST CABIN</t>
        </is>
      </c>
    </row>
    <row r="237">
      <c r="A237" s="16" t="inlineStr">
        <is>
          <t>Enreal and Forreal Funds</t>
        </is>
      </c>
      <c r="B237" s="88" t="n">
        <v>2</v>
      </c>
      <c r="C237" s="93" t="n">
        <v>100</v>
      </c>
      <c r="D237" s="94" t="n">
        <v>6.5</v>
      </c>
      <c r="E237" s="94" t="n">
        <v>15.1</v>
      </c>
      <c r="F237" s="94" t="n">
        <v>9.699999999999999</v>
      </c>
      <c r="G237" s="94" t="n">
        <v>0.4</v>
      </c>
      <c r="H237" s="94" t="n">
        <v>7.9</v>
      </c>
      <c r="I237" s="94" t="n">
        <v>2.7</v>
      </c>
      <c r="J237" s="94" t="n">
        <v>-6.1</v>
      </c>
      <c r="K237" s="95" t="inlineStr">
        <is>
          <t>2279 YONGHE MEDICAL; 0300 MIDEA GROUP</t>
        </is>
      </c>
    </row>
    <row r="238">
      <c r="A238" s="16" t="inlineStr">
        <is>
          <t>Yield Royal Investment</t>
        </is>
      </c>
      <c r="B238" s="88" t="n">
        <v>2</v>
      </c>
      <c r="C238" s="93" t="n">
        <v>100</v>
      </c>
      <c r="D238" s="94" t="n">
        <v>6.1</v>
      </c>
      <c r="E238" s="94" t="n">
        <v>4.9</v>
      </c>
      <c r="F238" s="94" t="n">
        <v>2.3</v>
      </c>
      <c r="G238" s="94" t="n">
        <v>-23.2</v>
      </c>
      <c r="H238" s="94" t="n">
        <v>-1.1</v>
      </c>
      <c r="I238" s="94" t="n">
        <v>-3.5</v>
      </c>
      <c r="J238" s="94" t="n">
        <v>-27.7</v>
      </c>
      <c r="K238" s="95" t="inlineStr">
        <is>
          <t>2657 FOREST CABIN; 9981 WOER</t>
        </is>
      </c>
    </row>
    <row r="239">
      <c r="A239" s="16" t="inlineStr">
        <is>
          <t>Kingboard Investments Limited</t>
        </is>
      </c>
      <c r="B239" s="88" t="n">
        <v>2</v>
      </c>
      <c r="C239" s="93" t="n">
        <v>50</v>
      </c>
      <c r="D239" s="94" t="n">
        <v>5.7</v>
      </c>
      <c r="E239" s="94" t="n">
        <v>13.5</v>
      </c>
      <c r="F239" s="94" t="n">
        <v>27.4</v>
      </c>
      <c r="G239" s="94" t="n">
        <v>21.2</v>
      </c>
      <c r="H239" s="94" t="n">
        <v>7.7</v>
      </c>
      <c r="I239" s="94" t="n">
        <v>19.4</v>
      </c>
      <c r="J239" s="94" t="n">
        <v>7</v>
      </c>
      <c r="K239" s="95" t="inlineStr">
        <is>
          <t>3296 HUAQIN; 1377 DTECH</t>
        </is>
      </c>
    </row>
    <row r="240">
      <c r="A240" s="16" t="inlineStr">
        <is>
          <t>Guotai Junan Investments (Hong Kong) Limited</t>
        </is>
      </c>
      <c r="B240" s="88" t="n">
        <v>2</v>
      </c>
      <c r="C240" s="93" t="n">
        <v>100</v>
      </c>
      <c r="D240" s="94" t="n">
        <v>5.4</v>
      </c>
      <c r="E240" s="94" t="n">
        <v>52.4</v>
      </c>
      <c r="F240" s="94" t="n">
        <v>30.2</v>
      </c>
      <c r="G240" s="94" t="n">
        <v>14.9</v>
      </c>
      <c r="H240" s="94" t="n">
        <v>43.8</v>
      </c>
      <c r="I240" s="94" t="n">
        <v>23</v>
      </c>
      <c r="J240" s="94" t="n">
        <v>8.300000000000001</v>
      </c>
      <c r="K240" s="95" t="inlineStr">
        <is>
          <t>0020 SENSETIME-W; 9611 LONGCHEER</t>
        </is>
      </c>
    </row>
    <row r="241">
      <c r="A241" s="16" t="inlineStr">
        <is>
          <t>VVC Technology Fund Ltd</t>
        </is>
      </c>
      <c r="B241" s="88" t="n">
        <v>2</v>
      </c>
      <c r="C241" s="93" t="n">
        <v>100</v>
      </c>
      <c r="D241" s="94" t="n">
        <v>5.3</v>
      </c>
      <c r="E241" s="94" t="n">
        <v>8.4</v>
      </c>
      <c r="F241" s="94" t="n">
        <v>4.4</v>
      </c>
      <c r="G241" s="94" t="n">
        <v>-11.1</v>
      </c>
      <c r="H241" s="94" t="n">
        <v>3.1</v>
      </c>
      <c r="I241" s="94" t="n">
        <v>-1.1</v>
      </c>
      <c r="J241" s="94" t="n">
        <v>-15.6</v>
      </c>
      <c r="K241" s="95" t="inlineStr">
        <is>
          <t>2692 ZHAOWEI; 1021 HUAYAN ROBOTICS</t>
        </is>
      </c>
    </row>
    <row r="242">
      <c r="A242" s="16" t="inlineStr">
        <is>
          <t>Everbright Wealth Management Co., Ltd</t>
        </is>
      </c>
      <c r="B242" s="88" t="n">
        <v>2</v>
      </c>
      <c r="C242" s="93" t="n">
        <v>50</v>
      </c>
      <c r="D242" s="94" t="n">
        <v>4.3</v>
      </c>
      <c r="E242" s="94" t="n">
        <v>6</v>
      </c>
      <c r="F242" s="94" t="n">
        <v>7.5</v>
      </c>
      <c r="G242" s="94" t="n">
        <v>21.2</v>
      </c>
      <c r="H242" s="94" t="n">
        <v>1.5</v>
      </c>
      <c r="I242" s="94" t="n">
        <v>0.1</v>
      </c>
      <c r="J242" s="94" t="n">
        <v>7</v>
      </c>
      <c r="K242" s="95" t="inlineStr">
        <is>
          <t>3296 HUAQIN; 1688 LINGYI ITECH</t>
        </is>
      </c>
    </row>
    <row r="243">
      <c r="A243" s="16" t="inlineStr">
        <is>
          <t>Supercluster Universe Limited</t>
        </is>
      </c>
      <c r="B243" s="88" t="n">
        <v>2</v>
      </c>
      <c r="C243" s="93" t="n">
        <v>100</v>
      </c>
      <c r="D243" s="94" t="n">
        <v>4.2</v>
      </c>
      <c r="E243" s="94" t="n">
        <v>12.8</v>
      </c>
      <c r="F243" s="94" t="n">
        <v>17.5</v>
      </c>
      <c r="G243" s="94" t="n">
        <v>16.2</v>
      </c>
      <c r="H243" s="94" t="n">
        <v>7.8</v>
      </c>
      <c r="I243" s="94" t="n">
        <v>12.3</v>
      </c>
      <c r="J243" s="94" t="n">
        <v>10.9</v>
      </c>
      <c r="K243" s="95" t="inlineStr">
        <is>
          <t>0300 MIDEA GROUP; 3288 HAITIAN FLAV</t>
        </is>
      </c>
    </row>
    <row r="244">
      <c r="A244" s="16" t="inlineStr">
        <is>
          <t>Colorful Cloud</t>
        </is>
      </c>
      <c r="B244" s="88" t="n">
        <v>2</v>
      </c>
      <c r="C244" s="93" t="n">
        <v>100</v>
      </c>
      <c r="D244" s="94" t="n">
        <v>4.1</v>
      </c>
      <c r="E244" s="94" t="n">
        <v>-1.4</v>
      </c>
      <c r="F244" s="94" t="n">
        <v>-12.7</v>
      </c>
      <c r="G244" s="94" t="n">
        <v>-22.7</v>
      </c>
      <c r="H244" s="94" t="n">
        <v>-5.4</v>
      </c>
      <c r="I244" s="94" t="n">
        <v>-15.5</v>
      </c>
      <c r="J244" s="94" t="n">
        <v>-25.1</v>
      </c>
      <c r="K244" s="95" t="inlineStr">
        <is>
          <t>2392 XUANWU CLOUD; 2671 USAS BUILDING</t>
        </is>
      </c>
    </row>
    <row r="245">
      <c r="A245" s="16" t="inlineStr">
        <is>
          <t>Eternal Earn Holding Limited</t>
        </is>
      </c>
      <c r="B245" s="88" t="n">
        <v>2</v>
      </c>
      <c r="C245" s="93" t="n">
        <v>50</v>
      </c>
      <c r="D245" s="94" t="n">
        <v>4.1</v>
      </c>
      <c r="E245" s="94" t="n">
        <v>4.4</v>
      </c>
      <c r="F245" s="94" t="n">
        <v>7.5</v>
      </c>
      <c r="G245" s="94" t="n">
        <v>12.4</v>
      </c>
      <c r="H245" s="94" t="n">
        <v>0.4</v>
      </c>
      <c r="I245" s="94" t="n">
        <v>3.1</v>
      </c>
      <c r="J245" s="94" t="n">
        <v>9</v>
      </c>
      <c r="K245" s="95" t="inlineStr">
        <is>
          <t>1519 J&amp;T EXPRESS-W; 1021 HUAYAN ROBOTICS</t>
        </is>
      </c>
    </row>
    <row r="246">
      <c r="A246" s="16" t="inlineStr">
        <is>
          <t>RemeGen Co., Ltd</t>
        </is>
      </c>
      <c r="B246" s="88" t="n">
        <v>2</v>
      </c>
      <c r="C246" s="93" t="n">
        <v>100</v>
      </c>
      <c r="D246" s="94" t="n">
        <v>4</v>
      </c>
      <c r="E246" s="94" t="n">
        <v>17.6</v>
      </c>
      <c r="F246" s="94" t="n">
        <v>21.8</v>
      </c>
      <c r="G246" s="94" t="n">
        <v>28</v>
      </c>
      <c r="H246" s="94" t="n">
        <v>12.9</v>
      </c>
      <c r="I246" s="94" t="n">
        <v>17</v>
      </c>
      <c r="J246" s="94" t="n">
        <v>22.9</v>
      </c>
      <c r="K246" s="95" t="inlineStr">
        <is>
          <t>2315 BIOCYTOGEN-B; 1541 IMMUNEONCO-B</t>
        </is>
      </c>
    </row>
    <row r="247">
      <c r="A247" s="16" t="inlineStr">
        <is>
          <t>COSCO Shipping (Hong Kong) Co., Limited</t>
        </is>
      </c>
      <c r="B247" s="88" t="n">
        <v>2</v>
      </c>
      <c r="C247" s="93" t="n">
        <v>50</v>
      </c>
      <c r="D247" s="94" t="n">
        <v>3.9</v>
      </c>
      <c r="E247" s="94" t="n">
        <v>18.6</v>
      </c>
      <c r="F247" s="94" t="n">
        <v>26.9</v>
      </c>
      <c r="G247" s="94" t="n">
        <v>24.1</v>
      </c>
      <c r="H247" s="94" t="n">
        <v>13.9</v>
      </c>
      <c r="I247" s="94" t="n">
        <v>21.9</v>
      </c>
      <c r="J247" s="94" t="n">
        <v>19.1</v>
      </c>
      <c r="K247" s="95" t="inlineStr">
        <is>
          <t>1880 CTG DUTY-FREE; 0300 MIDEA GROUP</t>
        </is>
      </c>
    </row>
    <row r="248">
      <c r="A248" s="16" t="inlineStr">
        <is>
          <t>Caitong Fund Management Co., Ltd</t>
        </is>
      </c>
      <c r="B248" s="88" t="n">
        <v>2</v>
      </c>
      <c r="C248" s="93" t="n">
        <v>50</v>
      </c>
      <c r="D248" s="94" t="n">
        <v>3.8</v>
      </c>
      <c r="E248" s="94" t="n">
        <v>-3.7</v>
      </c>
      <c r="F248" s="94" t="n">
        <v>-10.2</v>
      </c>
      <c r="G248" s="94" t="n">
        <v>-32.1</v>
      </c>
      <c r="H248" s="94" t="n">
        <v>-7</v>
      </c>
      <c r="I248" s="94" t="n">
        <v>-14.3</v>
      </c>
      <c r="J248" s="94" t="n">
        <v>-35.6</v>
      </c>
      <c r="K248" s="95" t="inlineStr">
        <is>
          <t>9600 NEWLINK TECH; 3355 FS.COM</t>
        </is>
      </c>
    </row>
    <row r="249">
      <c r="A249" s="16" t="inlineStr">
        <is>
          <t>Oasis Investments II Master Fund Ltd</t>
        </is>
      </c>
      <c r="B249" s="88" t="n">
        <v>2</v>
      </c>
      <c r="C249" s="93" t="n">
        <v>50</v>
      </c>
      <c r="D249" s="94" t="n">
        <v>3.3</v>
      </c>
      <c r="E249" s="94" t="n">
        <v>16.5</v>
      </c>
      <c r="F249" s="94" t="n">
        <v>-1.8</v>
      </c>
      <c r="G249" s="94" t="n"/>
      <c r="H249" s="94" t="n">
        <v>17.2</v>
      </c>
      <c r="I249" s="94" t="n">
        <v>-9</v>
      </c>
      <c r="J249" s="94" t="n"/>
      <c r="K249" s="95" t="inlineStr">
        <is>
          <t>3388 CREALITY; 3952 LAIFUAL</t>
        </is>
      </c>
    </row>
    <row r="250">
      <c r="A250" s="16" t="inlineStr">
        <is>
          <t>LYFE CAPITAL FUND III (DRAGON), L.P</t>
        </is>
      </c>
      <c r="B250" s="88" t="n">
        <v>2</v>
      </c>
      <c r="C250" s="93" t="n">
        <v>50</v>
      </c>
      <c r="D250" s="94" t="n">
        <v>3.2</v>
      </c>
      <c r="E250" s="94" t="n">
        <v>13.7</v>
      </c>
      <c r="F250" s="94" t="n">
        <v>-2.3</v>
      </c>
      <c r="G250" s="94" t="n">
        <v>-16</v>
      </c>
      <c r="H250" s="94" t="n">
        <v>7</v>
      </c>
      <c r="I250" s="94" t="n">
        <v>-9.199999999999999</v>
      </c>
      <c r="J250" s="94" t="n">
        <v>-23.7</v>
      </c>
      <c r="K250" s="95" t="inlineStr">
        <is>
          <t>6609 HEARTCARE-B; 2675 EDGE MEDICAL-B</t>
        </is>
      </c>
    </row>
    <row r="251">
      <c r="A251" s="16" t="inlineStr">
        <is>
          <t>Splendid Zhonghe (Tianjin) Investment Management Co., Ltd</t>
        </is>
      </c>
      <c r="B251" s="88" t="n">
        <v>2</v>
      </c>
      <c r="C251" s="93" t="n">
        <v>100</v>
      </c>
      <c r="D251" s="94" t="n">
        <v>2.5</v>
      </c>
      <c r="E251" s="94" t="n">
        <v>-10.8</v>
      </c>
      <c r="F251" s="94" t="n">
        <v>-31.1</v>
      </c>
      <c r="G251" s="94" t="n">
        <v>-24.2</v>
      </c>
      <c r="H251" s="94" t="n">
        <v>-12.7</v>
      </c>
      <c r="I251" s="94" t="n">
        <v>-32.5</v>
      </c>
      <c r="J251" s="94" t="n">
        <v>-24.6</v>
      </c>
      <c r="K251" s="95" t="inlineStr">
        <is>
          <t>2493 MABWELL-B; 6106 SEER TECH</t>
        </is>
      </c>
    </row>
    <row r="252">
      <c r="A252" s="16" t="inlineStr">
        <is>
          <t>Sanjin International CO., LTD</t>
        </is>
      </c>
      <c r="B252" s="88" t="n">
        <v>2</v>
      </c>
      <c r="C252" s="93" t="n">
        <v>100</v>
      </c>
      <c r="D252" s="94" t="n">
        <v>1.8</v>
      </c>
      <c r="E252" s="94" t="n">
        <v>-0.7</v>
      </c>
      <c r="F252" s="94" t="n">
        <v>-6.1</v>
      </c>
      <c r="G252" s="94" t="n">
        <v>-10.5</v>
      </c>
      <c r="H252" s="94" t="n">
        <v>-2.5</v>
      </c>
      <c r="I252" s="94" t="n">
        <v>-7.9</v>
      </c>
      <c r="J252" s="94" t="n">
        <v>-12.3</v>
      </c>
      <c r="K252" s="95" t="inlineStr">
        <is>
          <t>2315 BIOCYTOGEN-B; 2493 MABWELL-B</t>
        </is>
      </c>
    </row>
    <row r="253">
      <c r="A253" s="16" t="inlineStr">
        <is>
          <t>ZGC International Limited</t>
        </is>
      </c>
      <c r="B253" s="88" t="n">
        <v>2</v>
      </c>
      <c r="C253" s="93" t="n">
        <v>50</v>
      </c>
      <c r="D253" s="94" t="n">
        <v>1.2</v>
      </c>
      <c r="E253" s="94" t="n">
        <v>11.9</v>
      </c>
      <c r="F253" s="94" t="n">
        <v>71.09999999999999</v>
      </c>
      <c r="G253" s="94" t="n">
        <v>42.4</v>
      </c>
      <c r="H253" s="94" t="n">
        <v>10.4</v>
      </c>
      <c r="I253" s="94" t="n">
        <v>66.2</v>
      </c>
      <c r="J253" s="94" t="n">
        <v>36.2</v>
      </c>
      <c r="K253" s="95" t="inlineStr">
        <is>
          <t>9885 YSB; 2438 MOBVOI</t>
        </is>
      </c>
    </row>
    <row r="254">
      <c r="A254" s="16" t="inlineStr">
        <is>
          <t>Heilan Group Co., Limited</t>
        </is>
      </c>
      <c r="B254" s="88" t="n">
        <v>2</v>
      </c>
      <c r="C254" s="93" t="n">
        <v>50</v>
      </c>
      <c r="D254" s="94" t="n">
        <v>1.1</v>
      </c>
      <c r="E254" s="94" t="n">
        <v>0</v>
      </c>
      <c r="F254" s="94" t="n">
        <v>-6</v>
      </c>
      <c r="G254" s="94" t="n">
        <v>-4.7</v>
      </c>
      <c r="H254" s="94" t="n">
        <v>-0.9</v>
      </c>
      <c r="I254" s="94" t="n">
        <v>-6.7</v>
      </c>
      <c r="J254" s="94" t="n">
        <v>-5.9</v>
      </c>
      <c r="K254" s="95" t="inlineStr">
        <is>
          <t>9878 HUITONGDA NET; 9857 LINMON MEDIA</t>
        </is>
      </c>
    </row>
    <row r="255">
      <c r="A255" s="16" t="inlineStr">
        <is>
          <t>Mr. Lu Weiding</t>
        </is>
      </c>
      <c r="B255" s="88" t="n">
        <v>2</v>
      </c>
      <c r="C255" s="93" t="n">
        <v>50</v>
      </c>
      <c r="D255" s="94" t="n">
        <v>1.1</v>
      </c>
      <c r="E255" s="94" t="n">
        <v>-1.4</v>
      </c>
      <c r="F255" s="94" t="n">
        <v>-0.1</v>
      </c>
      <c r="G255" s="94" t="n">
        <v>-21.2</v>
      </c>
      <c r="H255" s="94" t="n">
        <v>-2.7</v>
      </c>
      <c r="I255" s="94" t="n">
        <v>-1.1</v>
      </c>
      <c r="J255" s="94" t="n">
        <v>-22.2</v>
      </c>
      <c r="K255" s="95" t="inlineStr">
        <is>
          <t>3887 HASHKEY HLDGS; 2692 ZHAOWEI</t>
        </is>
      </c>
    </row>
    <row r="256">
      <c r="A256" s="16" t="inlineStr">
        <is>
          <t>Streamax Electronics Limited</t>
        </is>
      </c>
      <c r="B256" s="88" t="n">
        <v>2</v>
      </c>
      <c r="C256" s="93" t="n">
        <v>50</v>
      </c>
      <c r="D256" s="94" t="n">
        <v>0.8</v>
      </c>
      <c r="E256" s="94" t="n">
        <v>-9.5</v>
      </c>
      <c r="F256" s="94" t="n">
        <v>-25.9</v>
      </c>
      <c r="G256" s="94" t="n">
        <v>-37.6</v>
      </c>
      <c r="H256" s="94" t="n">
        <v>-10.1</v>
      </c>
      <c r="I256" s="94" t="n">
        <v>-26.5</v>
      </c>
      <c r="J256" s="94" t="n">
        <v>-38.1</v>
      </c>
      <c r="K256" s="95" t="inlineStr">
        <is>
          <t>2418 DEEWIN; 3268 MEIG</t>
        </is>
      </c>
    </row>
    <row r="257">
      <c r="A257" s="16" t="inlineStr">
        <is>
          <t>United Imaging Healthcare Hong Kong Limited</t>
        </is>
      </c>
      <c r="B257" s="88" t="n">
        <v>2</v>
      </c>
      <c r="C257" s="93" t="n">
        <v>100</v>
      </c>
      <c r="D257" s="94" t="n">
        <v>0.6</v>
      </c>
      <c r="E257" s="94" t="n">
        <v>14.5</v>
      </c>
      <c r="F257" s="94" t="n">
        <v>7.7</v>
      </c>
      <c r="G257" s="94" t="n">
        <v>27.6</v>
      </c>
      <c r="H257" s="94" t="n">
        <v>13.9</v>
      </c>
      <c r="I257" s="94" t="n">
        <v>7.1</v>
      </c>
      <c r="J257" s="94" t="n">
        <v>26.9</v>
      </c>
      <c r="K257" s="95" t="inlineStr">
        <is>
          <t>2522 RIMAG GROUP; 1828 FWD</t>
        </is>
      </c>
    </row>
    <row r="258">
      <c r="A258" s="16" t="inlineStr">
        <is>
          <t>CALB Co., Ltd</t>
        </is>
      </c>
      <c r="B258" s="88" t="n">
        <v>2</v>
      </c>
      <c r="C258" s="93" t="n">
        <v>0</v>
      </c>
      <c r="D258" s="94" t="n">
        <v>-0.1</v>
      </c>
      <c r="E258" s="94" t="n">
        <v>-7.4</v>
      </c>
      <c r="F258" s="94" t="n">
        <v>-9.199999999999999</v>
      </c>
      <c r="G258" s="94" t="n">
        <v>-9.300000000000001</v>
      </c>
      <c r="H258" s="94" t="n">
        <v>-7.3</v>
      </c>
      <c r="I258" s="94" t="n">
        <v>-9.1</v>
      </c>
      <c r="J258" s="94" t="n">
        <v>-9.300000000000001</v>
      </c>
      <c r="K258" s="95" t="inlineStr">
        <is>
          <t>9696 TIANQI LITHIUM; 2579 CNGR</t>
        </is>
      </c>
    </row>
    <row r="259">
      <c r="A259" s="16" t="inlineStr">
        <is>
          <t>Canada Pension Plan Investment Board</t>
        </is>
      </c>
      <c r="B259" s="88" t="n">
        <v>2</v>
      </c>
      <c r="C259" s="93" t="n">
        <v>50</v>
      </c>
      <c r="D259" s="94" t="n">
        <v>-0.5</v>
      </c>
      <c r="E259" s="94" t="n">
        <v>9.1</v>
      </c>
      <c r="F259" s="94" t="n">
        <v>0.3</v>
      </c>
      <c r="G259" s="94" t="n">
        <v>21.1</v>
      </c>
      <c r="H259" s="94" t="n">
        <v>9.800000000000001</v>
      </c>
      <c r="I259" s="94" t="n">
        <v>-0.8</v>
      </c>
      <c r="J259" s="94" t="n">
        <v>19.8</v>
      </c>
      <c r="K259" s="95" t="inlineStr">
        <is>
          <t>1828 FWD; 3308 ZJ INNOLIGHT</t>
        </is>
      </c>
    </row>
    <row r="260">
      <c r="A260" s="16" t="inlineStr">
        <is>
          <t>Burkehill</t>
        </is>
      </c>
      <c r="B260" s="88" t="n">
        <v>2</v>
      </c>
      <c r="C260" s="93" t="n">
        <v>0</v>
      </c>
      <c r="D260" s="94" t="n">
        <v>-1</v>
      </c>
      <c r="E260" s="94" t="n">
        <v>8.1</v>
      </c>
      <c r="F260" s="94" t="n">
        <v>-3.4</v>
      </c>
      <c r="G260" s="94" t="n">
        <v>-8.4</v>
      </c>
      <c r="H260" s="94" t="n">
        <v>9.300000000000001</v>
      </c>
      <c r="I260" s="94" t="n">
        <v>-3.4</v>
      </c>
      <c r="J260" s="94" t="n">
        <v>-8.4</v>
      </c>
      <c r="K260" s="95" t="inlineStr">
        <is>
          <t>7618 JD INDUSTRIALS; 3308 ZJ INNOLIGHT</t>
        </is>
      </c>
    </row>
    <row r="261">
      <c r="A261" s="16" t="inlineStr">
        <is>
          <t>China Chengtong Investment Company Limited</t>
        </is>
      </c>
      <c r="B261" s="88" t="n">
        <v>2</v>
      </c>
      <c r="C261" s="93" t="n">
        <v>50</v>
      </c>
      <c r="D261" s="94" t="n">
        <v>-1.7</v>
      </c>
      <c r="E261" s="94" t="n">
        <v>2.3</v>
      </c>
      <c r="F261" s="94" t="n">
        <v>-17.8</v>
      </c>
      <c r="G261" s="94" t="n">
        <v>-12.4</v>
      </c>
      <c r="H261" s="94" t="n">
        <v>3.7</v>
      </c>
      <c r="I261" s="94" t="n">
        <v>-17.2</v>
      </c>
      <c r="J261" s="94" t="n">
        <v>-10</v>
      </c>
      <c r="K261" s="95" t="inlineStr">
        <is>
          <t>2618 JD LOGISTICS; 2602 ONEWO</t>
        </is>
      </c>
    </row>
    <row r="262">
      <c r="A262" s="16" t="inlineStr">
        <is>
          <t>Azure Telecommunication</t>
        </is>
      </c>
      <c r="B262" s="88" t="n">
        <v>2</v>
      </c>
      <c r="C262" s="93" t="n">
        <v>50</v>
      </c>
      <c r="D262" s="94" t="n">
        <v>-1.9</v>
      </c>
      <c r="E262" s="94" t="n">
        <v>-1.1</v>
      </c>
      <c r="F262" s="94" t="n">
        <v>-10.9</v>
      </c>
      <c r="G262" s="94" t="n">
        <v>-9.4</v>
      </c>
      <c r="H262" s="94" t="n">
        <v>0.8</v>
      </c>
      <c r="I262" s="94" t="n">
        <v>-9</v>
      </c>
      <c r="J262" s="94" t="n">
        <v>-7.4</v>
      </c>
      <c r="K262" s="95" t="inlineStr">
        <is>
          <t>2385 READBOY; 9980 EASTROC</t>
        </is>
      </c>
    </row>
    <row r="263">
      <c r="A263" s="16" t="inlineStr">
        <is>
          <t>Mr. Cheng Wan Wai</t>
        </is>
      </c>
      <c r="B263" s="88" t="n">
        <v>2</v>
      </c>
      <c r="C263" s="93" t="n">
        <v>50</v>
      </c>
      <c r="D263" s="94" t="n">
        <v>-2.3</v>
      </c>
      <c r="E263" s="94" t="n">
        <v>-11.9</v>
      </c>
      <c r="F263" s="94" t="n">
        <v>-26.7</v>
      </c>
      <c r="G263" s="94" t="n">
        <v>-54.1</v>
      </c>
      <c r="H263" s="94" t="n">
        <v>-9.800000000000001</v>
      </c>
      <c r="I263" s="94" t="n">
        <v>-23.9</v>
      </c>
      <c r="J263" s="94" t="n">
        <v>-37.1</v>
      </c>
      <c r="K263" s="95" t="inlineStr">
        <is>
          <t>2350 MTT GROUP; 6067 SENIOR MATERIAL</t>
        </is>
      </c>
    </row>
    <row r="264">
      <c r="A264" s="16" t="inlineStr">
        <is>
          <t>Global Company Limited</t>
        </is>
      </c>
      <c r="B264" s="88" t="n">
        <v>2</v>
      </c>
      <c r="C264" s="93" t="n">
        <v>50</v>
      </c>
      <c r="D264" s="94" t="n">
        <v>-2.7</v>
      </c>
      <c r="E264" s="94" t="n">
        <v>-0.7</v>
      </c>
      <c r="F264" s="94" t="n">
        <v>22.7</v>
      </c>
      <c r="G264" s="94" t="n">
        <v>89</v>
      </c>
      <c r="H264" s="94" t="n">
        <v>2.1</v>
      </c>
      <c r="I264" s="94" t="n">
        <v>27.1</v>
      </c>
      <c r="J264" s="94" t="n">
        <v>97.3</v>
      </c>
      <c r="K264" s="95" t="inlineStr">
        <is>
          <t>1364 GUMING; 1828 FWD</t>
        </is>
      </c>
    </row>
    <row r="265">
      <c r="A265" s="16" t="inlineStr">
        <is>
          <t>Ms. Pan</t>
        </is>
      </c>
      <c r="B265" s="88" t="n">
        <v>2</v>
      </c>
      <c r="C265" s="93" t="n">
        <v>50</v>
      </c>
      <c r="D265" s="94" t="n">
        <v>-2.7</v>
      </c>
      <c r="E265" s="94" t="n">
        <v>-0.3</v>
      </c>
      <c r="F265" s="94" t="n">
        <v>34.4</v>
      </c>
      <c r="G265" s="94" t="n">
        <v>235.3</v>
      </c>
      <c r="H265" s="94" t="n">
        <v>2.6</v>
      </c>
      <c r="I265" s="94" t="n">
        <v>38.8</v>
      </c>
      <c r="J265" s="94" t="n">
        <v>242</v>
      </c>
      <c r="K265" s="95" t="inlineStr">
        <is>
          <t>1364 GUMING; 3317 XUNCE</t>
        </is>
      </c>
    </row>
    <row r="266">
      <c r="A266" s="16" t="inlineStr">
        <is>
          <t>Yangtze River (Hong Kong) Limited</t>
        </is>
      </c>
      <c r="B266" s="88" t="n">
        <v>2</v>
      </c>
      <c r="C266" s="93" t="n">
        <v>50</v>
      </c>
      <c r="D266" s="94" t="n">
        <v>-2.9</v>
      </c>
      <c r="E266" s="94" t="n">
        <v>0.1</v>
      </c>
      <c r="F266" s="94" t="n">
        <v>-16.8</v>
      </c>
      <c r="G266" s="94" t="n">
        <v>-31.6</v>
      </c>
      <c r="H266" s="94" t="n">
        <v>2.8</v>
      </c>
      <c r="I266" s="94" t="n">
        <v>-15</v>
      </c>
      <c r="J266" s="94" t="n">
        <v>-30.5</v>
      </c>
      <c r="K266" s="95" t="inlineStr">
        <is>
          <t>2179 RECBIO-B; 9955 CLOUDR</t>
        </is>
      </c>
    </row>
    <row r="267">
      <c r="A267" s="16" t="inlineStr">
        <is>
          <t>CNGR Hong Kong Material Science &amp; Technology Co., Limited</t>
        </is>
      </c>
      <c r="B267" s="88" t="n">
        <v>2</v>
      </c>
      <c r="C267" s="93" t="n">
        <v>0</v>
      </c>
      <c r="D267" s="94" t="n">
        <v>-3.3</v>
      </c>
      <c r="E267" s="94" t="n">
        <v>-2.4</v>
      </c>
      <c r="F267" s="94" t="n">
        <v>-19.1</v>
      </c>
      <c r="G267" s="94" t="n">
        <v>-45.8</v>
      </c>
      <c r="H267" s="94" t="n">
        <v>1</v>
      </c>
      <c r="I267" s="94" t="n">
        <v>-15.6</v>
      </c>
      <c r="J267" s="94" t="n">
        <v>-45.8</v>
      </c>
      <c r="K267" s="95" t="inlineStr">
        <is>
          <t>3931 CALB; 6228 MERDEKAGOLD-DRS</t>
        </is>
      </c>
    </row>
    <row r="268">
      <c r="A268" s="16" t="inlineStr">
        <is>
          <t>Affin Hwang Asset Management Berhad</t>
        </is>
      </c>
      <c r="B268" s="88" t="n">
        <v>2</v>
      </c>
      <c r="C268" s="93" t="n">
        <v>50</v>
      </c>
      <c r="D268" s="94" t="n">
        <v>-3.6</v>
      </c>
      <c r="E268" s="94" t="n">
        <v>7</v>
      </c>
      <c r="F268" s="94" t="n">
        <v>-17</v>
      </c>
      <c r="G268" s="94" t="n">
        <v>15.4</v>
      </c>
      <c r="H268" s="94" t="n">
        <v>10.8</v>
      </c>
      <c r="I268" s="94" t="n">
        <v>-13.2</v>
      </c>
      <c r="J268" s="94" t="n">
        <v>21</v>
      </c>
      <c r="K268" s="95" t="inlineStr">
        <is>
          <t>2170 BASECARE-B; 2171 CARSGEN-B</t>
        </is>
      </c>
    </row>
    <row r="269">
      <c r="A269" s="16" t="inlineStr">
        <is>
          <t>Ruihua Investment</t>
        </is>
      </c>
      <c r="B269" s="88" t="n">
        <v>2</v>
      </c>
      <c r="C269" s="93" t="n">
        <v>50</v>
      </c>
      <c r="D269" s="94" t="n">
        <v>-3.7</v>
      </c>
      <c r="E269" s="94" t="n">
        <v>-14.9</v>
      </c>
      <c r="F269" s="94" t="n">
        <v>-36.3</v>
      </c>
      <c r="G269" s="94" t="n">
        <v>-24.9</v>
      </c>
      <c r="H269" s="94" t="n">
        <v>-10.6</v>
      </c>
      <c r="I269" s="94" t="n">
        <v>-32.7</v>
      </c>
      <c r="J269" s="94" t="n">
        <v>-14.9</v>
      </c>
      <c r="K269" s="95" t="inlineStr">
        <is>
          <t>0638 FIBOCOM; 6106 SEER TECH</t>
        </is>
      </c>
    </row>
    <row r="270">
      <c r="A270" s="16" t="inlineStr">
        <is>
          <t>Triple Surge Holdings Limited</t>
        </is>
      </c>
      <c r="B270" s="88" t="n">
        <v>2</v>
      </c>
      <c r="C270" s="93" t="n">
        <v>50</v>
      </c>
      <c r="D270" s="94" t="n">
        <v>-4.8</v>
      </c>
      <c r="E270" s="94" t="n">
        <v>-23.7</v>
      </c>
      <c r="F270" s="94" t="n">
        <v>-28.6</v>
      </c>
      <c r="G270" s="94" t="n">
        <v>-50.3</v>
      </c>
      <c r="H270" s="94" t="n">
        <v>-20.7</v>
      </c>
      <c r="I270" s="94" t="n">
        <v>-25</v>
      </c>
      <c r="J270" s="94" t="n">
        <v>-46.5</v>
      </c>
      <c r="K270" s="95" t="inlineStr">
        <is>
          <t>2209 YESASIA HLDGS; 9639 WING LEE DEV</t>
        </is>
      </c>
    </row>
    <row r="271">
      <c r="A271" s="16" t="inlineStr">
        <is>
          <t>Artisan China Post-Venture Master Fund LP</t>
        </is>
      </c>
      <c r="B271" s="88" t="n">
        <v>2</v>
      </c>
      <c r="C271" s="93" t="n">
        <v>50</v>
      </c>
      <c r="D271" s="94" t="n">
        <v>-6.9</v>
      </c>
      <c r="E271" s="94" t="n">
        <v>3.1</v>
      </c>
      <c r="F271" s="94" t="n">
        <v>-7.7</v>
      </c>
      <c r="G271" s="94" t="n">
        <v>-23.4</v>
      </c>
      <c r="H271" s="94" t="n">
        <v>8.199999999999999</v>
      </c>
      <c r="I271" s="94" t="n">
        <v>-3.8</v>
      </c>
      <c r="J271" s="94" t="n">
        <v>-21.2</v>
      </c>
      <c r="K271" s="95" t="inlineStr">
        <is>
          <t>2216 BRONCUS-B; 2252 MEDBOT-B</t>
        </is>
      </c>
    </row>
    <row r="272">
      <c r="A272" s="16" t="inlineStr">
        <is>
          <t>Mercedes-Benz Mobility Services</t>
        </is>
      </c>
      <c r="B272" s="88" t="n">
        <v>2</v>
      </c>
      <c r="C272" s="93" t="n">
        <v>0</v>
      </c>
      <c r="D272" s="94" t="n">
        <v>-7.1</v>
      </c>
      <c r="E272" s="94" t="n">
        <v>-8</v>
      </c>
      <c r="F272" s="94" t="n">
        <v>-6.8</v>
      </c>
      <c r="G272" s="94" t="n">
        <v>25.2</v>
      </c>
      <c r="H272" s="94" t="n">
        <v>-1</v>
      </c>
      <c r="I272" s="94" t="n">
        <v>1.1</v>
      </c>
      <c r="J272" s="94" t="n">
        <v>45.8</v>
      </c>
      <c r="K272" s="95" t="inlineStr">
        <is>
          <t>2643 CAOCAO INC; 6880 MOMENTA-W</t>
        </is>
      </c>
    </row>
    <row r="273">
      <c r="A273" s="16" t="inlineStr">
        <is>
          <t>Sanya Development Holdings Co., Ltd</t>
        </is>
      </c>
      <c r="B273" s="88" t="n">
        <v>2</v>
      </c>
      <c r="C273" s="93" t="n">
        <v>0</v>
      </c>
      <c r="D273" s="94" t="n">
        <v>-7.6</v>
      </c>
      <c r="E273" s="94" t="n">
        <v>-19.9</v>
      </c>
      <c r="F273" s="94" t="n">
        <v>-13.9</v>
      </c>
      <c r="G273" s="94" t="n">
        <v>-28.8</v>
      </c>
      <c r="H273" s="94" t="n">
        <v>-14.5</v>
      </c>
      <c r="I273" s="94" t="n">
        <v>-8.199999999999999</v>
      </c>
      <c r="J273" s="94" t="n">
        <v>-23.8</v>
      </c>
      <c r="K273" s="95" t="inlineStr">
        <is>
          <t>9638 FERRETTI; 9639 WING LEE DEV</t>
        </is>
      </c>
    </row>
    <row r="274">
      <c r="A274" s="16" t="inlineStr">
        <is>
          <t>Carmignac Funds</t>
        </is>
      </c>
      <c r="B274" s="88" t="n">
        <v>2</v>
      </c>
      <c r="C274" s="93" t="n">
        <v>0</v>
      </c>
      <c r="D274" s="94" t="n">
        <v>-8.1</v>
      </c>
      <c r="E274" s="94" t="n">
        <v>-15.3</v>
      </c>
      <c r="F274" s="94" t="n">
        <v>-14.6</v>
      </c>
      <c r="G274" s="94" t="n">
        <v>-20.6</v>
      </c>
      <c r="H274" s="94" t="n">
        <v>-7.8</v>
      </c>
      <c r="I274" s="94" t="n">
        <v>-7.1</v>
      </c>
      <c r="J274" s="94" t="n">
        <v>-13.4</v>
      </c>
      <c r="K274" s="95" t="inlineStr">
        <is>
          <t>6127 JOINN; 9960 KINDSTAR GLOBAL</t>
        </is>
      </c>
    </row>
    <row r="275">
      <c r="A275" s="16" t="inlineStr">
        <is>
          <t>Janus Henderson Funds</t>
        </is>
      </c>
      <c r="B275" s="88" t="n">
        <v>2</v>
      </c>
      <c r="C275" s="93" t="n">
        <v>50</v>
      </c>
      <c r="D275" s="94" t="n">
        <v>-8.5</v>
      </c>
      <c r="E275" s="94" t="n">
        <v>-2.3</v>
      </c>
      <c r="F275" s="94" t="n">
        <v>-3.9</v>
      </c>
      <c r="G275" s="94" t="n">
        <v>-40.9</v>
      </c>
      <c r="H275" s="94" t="n">
        <v>4.9</v>
      </c>
      <c r="I275" s="94" t="n">
        <v>2.9</v>
      </c>
      <c r="J275" s="94" t="n">
        <v>-38</v>
      </c>
      <c r="K275" s="95" t="inlineStr">
        <is>
          <t>9959 LINKLOGIS–W; 1228 CANBRIDGE-B</t>
        </is>
      </c>
    </row>
    <row r="276">
      <c r="A276" s="16" t="inlineStr">
        <is>
          <t>Mr. Su</t>
        </is>
      </c>
      <c r="B276" s="88" t="n">
        <v>2</v>
      </c>
      <c r="C276" s="93" t="n">
        <v>50</v>
      </c>
      <c r="D276" s="94" t="n">
        <v>-9.300000000000001</v>
      </c>
      <c r="E276" s="94" t="n">
        <v>-11</v>
      </c>
      <c r="F276" s="94" t="n">
        <v>-16.8</v>
      </c>
      <c r="G276" s="94" t="n">
        <v>-26</v>
      </c>
      <c r="H276" s="94" t="n">
        <v>-1.8</v>
      </c>
      <c r="I276" s="94" t="n">
        <v>-9.1</v>
      </c>
      <c r="J276" s="94" t="n">
        <v>-16.6</v>
      </c>
      <c r="K276" s="95" t="inlineStr">
        <is>
          <t>2408 XIAO NOODLES; 2657 FOREST CABIN</t>
        </is>
      </c>
    </row>
    <row r="277">
      <c r="A277" s="16" t="inlineStr">
        <is>
          <t>Chery Commercial Vehicle (Anhui) Company Limited</t>
        </is>
      </c>
      <c r="B277" s="88" t="n">
        <v>2</v>
      </c>
      <c r="C277" s="93" t="n">
        <v>0</v>
      </c>
      <c r="D277" s="94" t="n">
        <v>-11.1</v>
      </c>
      <c r="E277" s="94" t="n">
        <v>-28.8</v>
      </c>
      <c r="F277" s="94" t="n">
        <v>-34.2</v>
      </c>
      <c r="G277" s="94" t="n">
        <v>-76.7</v>
      </c>
      <c r="H277" s="94" t="n">
        <v>-21.3</v>
      </c>
      <c r="I277" s="94" t="n">
        <v>-29.7</v>
      </c>
      <c r="J277" s="94" t="n">
        <v>-70.09999999999999</v>
      </c>
      <c r="K277" s="95" t="inlineStr">
        <is>
          <t>2246 GOGOX; 2249 NEXCHIP</t>
        </is>
      </c>
    </row>
    <row r="278">
      <c r="A278" s="16" t="inlineStr">
        <is>
          <t>Laurion Capital Master Fund Ltd</t>
        </is>
      </c>
      <c r="B278" s="88" t="n">
        <v>2</v>
      </c>
      <c r="C278" s="93" t="n">
        <v>50</v>
      </c>
      <c r="D278" s="94" t="n">
        <v>-11.2</v>
      </c>
      <c r="E278" s="94" t="n">
        <v>-12.7</v>
      </c>
      <c r="F278" s="94" t="n">
        <v>-13.6</v>
      </c>
      <c r="G278" s="94" t="n">
        <v>4.8</v>
      </c>
      <c r="H278" s="94" t="n">
        <v>-3.2</v>
      </c>
      <c r="I278" s="94" t="n">
        <v>-6.3</v>
      </c>
      <c r="J278" s="94" t="n">
        <v>15.7</v>
      </c>
      <c r="K278" s="95" t="inlineStr">
        <is>
          <t>2121 AINNOVATION; 6990 SKB BIO-B</t>
        </is>
      </c>
    </row>
    <row r="279">
      <c r="A279" s="16" t="inlineStr">
        <is>
          <t>Country Garden Property Services HK Holdings Company Limited</t>
        </is>
      </c>
      <c r="B279" s="88" t="n">
        <v>2</v>
      </c>
      <c r="C279" s="93" t="n">
        <v>0</v>
      </c>
      <c r="D279" s="94" t="n">
        <v>-12.4</v>
      </c>
      <c r="E279" s="94" t="n">
        <v>-15.1</v>
      </c>
      <c r="F279" s="94" t="n">
        <v>-26.7</v>
      </c>
      <c r="G279" s="94" t="n">
        <v>-28.9</v>
      </c>
      <c r="H279" s="94" t="n">
        <v>-3.5</v>
      </c>
      <c r="I279" s="94" t="n">
        <v>-18.4</v>
      </c>
      <c r="J279" s="94" t="n">
        <v>-21.7</v>
      </c>
      <c r="K279" s="95" t="inlineStr">
        <is>
          <t>2177 UNQ HOLDINGS; 2205 KANGQIAO SER</t>
        </is>
      </c>
    </row>
    <row r="280">
      <c r="A280" s="16" t="inlineStr">
        <is>
          <t>Qingdao Haifa Holding Development Co., Ltd</t>
        </is>
      </c>
      <c r="B280" s="88" t="n">
        <v>2</v>
      </c>
      <c r="C280" s="93" t="n">
        <v>0</v>
      </c>
      <c r="D280" s="94" t="n">
        <v>-12.5</v>
      </c>
      <c r="E280" s="94" t="n">
        <v>-19.3</v>
      </c>
      <c r="F280" s="94" t="n">
        <v>-2.3</v>
      </c>
      <c r="G280" s="94" t="n">
        <v>-16.6</v>
      </c>
      <c r="H280" s="94" t="n">
        <v>-9</v>
      </c>
      <c r="I280" s="94" t="n">
        <v>12.1</v>
      </c>
      <c r="J280" s="94" t="n">
        <v>-3.3</v>
      </c>
      <c r="K280" s="95" t="inlineStr">
        <is>
          <t>9638 FERRETTI; 1973 TIAN TU CAPITAL</t>
        </is>
      </c>
    </row>
    <row r="281">
      <c r="A281" s="16" t="inlineStr">
        <is>
          <t>Fosun Diagnostics (Shanghai) Co., Ltd</t>
        </is>
      </c>
      <c r="B281" s="88" t="n">
        <v>2</v>
      </c>
      <c r="C281" s="93" t="n">
        <v>50</v>
      </c>
      <c r="D281" s="94" t="n">
        <v>-13.2</v>
      </c>
      <c r="E281" s="94" t="n">
        <v>-16.9</v>
      </c>
      <c r="F281" s="94" t="n">
        <v>-23.1</v>
      </c>
      <c r="G281" s="94" t="n">
        <v>-13.7</v>
      </c>
      <c r="H281" s="94" t="n">
        <v>-2.2</v>
      </c>
      <c r="I281" s="94" t="n">
        <v>-11.9</v>
      </c>
      <c r="J281" s="94" t="n">
        <v>-3.8</v>
      </c>
      <c r="K281" s="95" t="inlineStr">
        <is>
          <t>9860 ADICON HOLDINGS; 2566 JIUYUAN GENE</t>
        </is>
      </c>
    </row>
    <row r="282">
      <c r="A282" s="16" t="inlineStr">
        <is>
          <t>CEPHEI</t>
        </is>
      </c>
      <c r="B282" s="88" t="n">
        <v>2</v>
      </c>
      <c r="C282" s="93" t="n">
        <v>0</v>
      </c>
      <c r="D282" s="94" t="n">
        <v>-13.3</v>
      </c>
      <c r="E282" s="94" t="n">
        <v>-19.7</v>
      </c>
      <c r="F282" s="94" t="n">
        <v>-39.6</v>
      </c>
      <c r="G282" s="94" t="n">
        <v>-28.7</v>
      </c>
      <c r="H282" s="94" t="n">
        <v>-7.6</v>
      </c>
      <c r="I282" s="94" t="n">
        <v>-30</v>
      </c>
      <c r="J282" s="94" t="n">
        <v>-19.7</v>
      </c>
      <c r="K282" s="95" t="inlineStr">
        <is>
          <t>2216 BRONCUS-B; 2602 ONEWO</t>
        </is>
      </c>
    </row>
    <row r="283">
      <c r="A283" s="16" t="inlineStr">
        <is>
          <t>Superstring Capital Master Fund LP</t>
        </is>
      </c>
      <c r="B283" s="88" t="n">
        <v>2</v>
      </c>
      <c r="C283" s="93" t="n">
        <v>0</v>
      </c>
      <c r="D283" s="94" t="n">
        <v>-13.8</v>
      </c>
      <c r="E283" s="94" t="n">
        <v>-25.4</v>
      </c>
      <c r="F283" s="94" t="n">
        <v>-29.6</v>
      </c>
      <c r="G283" s="94" t="n">
        <v>-37.3</v>
      </c>
      <c r="H283" s="94" t="n">
        <v>-12.5</v>
      </c>
      <c r="I283" s="94" t="n">
        <v>-19</v>
      </c>
      <c r="J283" s="94" t="n">
        <v>-29.1</v>
      </c>
      <c r="K283" s="95" t="inlineStr">
        <is>
          <t>6609 HEARTCARE-B; 2197 CLOVER BIO-B</t>
        </is>
      </c>
    </row>
    <row r="284">
      <c r="A284" s="16" t="inlineStr">
        <is>
          <t>Huzhou Erqing Asset Operation Co., Ltd</t>
        </is>
      </c>
      <c r="B284" s="88" t="n">
        <v>2</v>
      </c>
      <c r="C284" s="93" t="n">
        <v>0</v>
      </c>
      <c r="D284" s="94" t="n">
        <v>-14.5</v>
      </c>
      <c r="E284" s="94" t="n">
        <v>-4.5</v>
      </c>
      <c r="F284" s="94" t="n">
        <v>-11.6</v>
      </c>
      <c r="G284" s="94" t="n">
        <v>-5.6</v>
      </c>
      <c r="H284" s="94" t="n">
        <v>12.1</v>
      </c>
      <c r="I284" s="94" t="n">
        <v>3.8</v>
      </c>
      <c r="J284" s="94" t="n">
        <v>11</v>
      </c>
      <c r="K284" s="95" t="inlineStr">
        <is>
          <t>6661 HUZHOU GAS; 2409 SEACON</t>
        </is>
      </c>
    </row>
    <row r="285">
      <c r="A285" s="16" t="inlineStr">
        <is>
          <t>Qianhai Kaiyuan Qunwei QDII Plan</t>
        </is>
      </c>
      <c r="B285" s="88" t="n">
        <v>2</v>
      </c>
      <c r="C285" s="93" t="n">
        <v>0</v>
      </c>
      <c r="D285" s="94" t="n">
        <v>-14.9</v>
      </c>
      <c r="E285" s="94" t="n">
        <v>-15.8</v>
      </c>
      <c r="F285" s="94" t="n">
        <v>-12.3</v>
      </c>
      <c r="G285" s="94" t="n">
        <v>-1.8</v>
      </c>
      <c r="H285" s="94" t="n">
        <v>-1.1</v>
      </c>
      <c r="I285" s="94" t="n">
        <v>3</v>
      </c>
      <c r="J285" s="94" t="n">
        <v>15.6</v>
      </c>
      <c r="K285" s="95" t="inlineStr">
        <is>
          <t>3881 CIDI; 2715 ESTUN</t>
        </is>
      </c>
    </row>
    <row r="286">
      <c r="A286" s="16" t="inlineStr">
        <is>
          <t>Mr. Wu Qiyuan</t>
        </is>
      </c>
      <c r="B286" s="88" t="n">
        <v>2</v>
      </c>
      <c r="C286" s="93" t="n">
        <v>50</v>
      </c>
      <c r="D286" s="94" t="n">
        <v>-15.4</v>
      </c>
      <c r="E286" s="94" t="n">
        <v>-15.6</v>
      </c>
      <c r="F286" s="94" t="n">
        <v>-38.2</v>
      </c>
      <c r="G286" s="94" t="n">
        <v>-44.8</v>
      </c>
      <c r="H286" s="94" t="n">
        <v>0.9</v>
      </c>
      <c r="I286" s="94" t="n">
        <v>-24.1</v>
      </c>
      <c r="J286" s="94" t="n">
        <v>-30.5</v>
      </c>
      <c r="K286" s="95" t="inlineStr">
        <is>
          <t>2566 JIUYUAN GENE; 2671 USAS BUILDING</t>
        </is>
      </c>
    </row>
    <row r="287">
      <c r="A287" s="16" t="inlineStr">
        <is>
          <t>Jinhua Industrial Fund Co., Ltd</t>
        </is>
      </c>
      <c r="B287" s="88" t="n">
        <v>2</v>
      </c>
      <c r="C287" s="93" t="n">
        <v>50</v>
      </c>
      <c r="D287" s="94" t="n">
        <v>-16.3</v>
      </c>
      <c r="E287" s="94" t="n">
        <v>-25</v>
      </c>
      <c r="F287" s="94" t="n">
        <v>-30.8</v>
      </c>
      <c r="G287" s="94" t="n">
        <v>-19.2</v>
      </c>
      <c r="H287" s="94" t="n">
        <v>-12.4</v>
      </c>
      <c r="I287" s="94" t="n">
        <v>-21.8</v>
      </c>
      <c r="J287" s="94" t="n">
        <v>-3.8</v>
      </c>
      <c r="K287" s="95" t="inlineStr">
        <is>
          <t>9863 LEAPMOTOR; 2451 LUYUAN GP HLDG</t>
        </is>
      </c>
    </row>
    <row r="288">
      <c r="A288" s="16" t="inlineStr">
        <is>
          <t>Zoomlion International Trading (H.K.) Co., Limited</t>
        </is>
      </c>
      <c r="B288" s="88" t="n">
        <v>2</v>
      </c>
      <c r="C288" s="93" t="n">
        <v>0</v>
      </c>
      <c r="D288" s="94" t="n">
        <v>-18.8</v>
      </c>
      <c r="E288" s="94" t="n">
        <v>-17.8</v>
      </c>
      <c r="F288" s="94" t="n">
        <v>-29.3</v>
      </c>
      <c r="G288" s="94" t="n">
        <v>-25.1</v>
      </c>
      <c r="H288" s="94" t="n">
        <v>-0.8</v>
      </c>
      <c r="I288" s="94" t="n">
        <v>-13.9</v>
      </c>
      <c r="J288" s="94" t="n">
        <v>-8.1</v>
      </c>
      <c r="K288" s="95" t="inlineStr">
        <is>
          <t>2153 TAT HONG EQUIP; 9930 HORIZON CD</t>
        </is>
      </c>
    </row>
    <row r="289">
      <c r="A289" s="16" t="inlineStr">
        <is>
          <t>Jointown International Group Company Limited</t>
        </is>
      </c>
      <c r="B289" s="88" t="n">
        <v>2</v>
      </c>
      <c r="C289" s="93" t="n">
        <v>0</v>
      </c>
      <c r="D289" s="94" t="n">
        <v>-19.2</v>
      </c>
      <c r="E289" s="94" t="n">
        <v>-20.4</v>
      </c>
      <c r="F289" s="94" t="n">
        <v>-23.5</v>
      </c>
      <c r="G289" s="94" t="n">
        <v>-24</v>
      </c>
      <c r="H289" s="94" t="n">
        <v>-0.3</v>
      </c>
      <c r="I289" s="94" t="n">
        <v>-6.9</v>
      </c>
      <c r="J289" s="94" t="n">
        <v>-7.6</v>
      </c>
      <c r="K289" s="95" t="inlineStr">
        <is>
          <t>2291 SCIENTECH; 2566 JIUYUAN GENE</t>
        </is>
      </c>
    </row>
    <row r="290">
      <c r="A290" s="16" t="inlineStr">
        <is>
          <t>CELESTIAL OCEAN INVESTMENTS LIMITED</t>
        </is>
      </c>
      <c r="B290" s="88" t="n">
        <v>2</v>
      </c>
      <c r="C290" s="93" t="n">
        <v>0</v>
      </c>
      <c r="D290" s="94" t="n">
        <v>-27.2</v>
      </c>
      <c r="E290" s="94" t="n">
        <v>-37.9</v>
      </c>
      <c r="F290" s="94" t="n">
        <v>-40.7</v>
      </c>
      <c r="G290" s="94" t="n">
        <v>-11.5</v>
      </c>
      <c r="H290" s="94" t="n">
        <v>-25.5</v>
      </c>
      <c r="I290" s="94" t="n">
        <v>-28.9</v>
      </c>
      <c r="J290" s="94" t="n">
        <v>14.1</v>
      </c>
      <c r="K290" s="95" t="inlineStr">
        <is>
          <t>1519 J&amp;T EXPRESS-W; 2586 DMALL</t>
        </is>
      </c>
    </row>
    <row r="291">
      <c r="A291" s="16" t="inlineStr">
        <is>
          <t>Baillie Gifford Overseas Limited及Baillie Gifford &amp; Co</t>
        </is>
      </c>
      <c r="B291" s="88" t="n">
        <v>1</v>
      </c>
      <c r="C291" s="93" t="n">
        <v>100</v>
      </c>
      <c r="D291" s="94" t="n">
        <v>383.6</v>
      </c>
      <c r="E291" s="94" t="n">
        <v>385</v>
      </c>
      <c r="F291" s="94" t="n">
        <v>236.2</v>
      </c>
      <c r="G291" s="94" t="n">
        <v>27.3</v>
      </c>
      <c r="H291" s="94" t="n">
        <v>0.3</v>
      </c>
      <c r="I291" s="94" t="n">
        <v>-30.5</v>
      </c>
      <c r="J291" s="94" t="n">
        <v>-73.7</v>
      </c>
      <c r="K291" s="95" t="inlineStr">
        <is>
          <t>1879 XIZHI TECH-P</t>
        </is>
      </c>
    </row>
    <row r="292">
      <c r="A292" s="16" t="inlineStr">
        <is>
          <t>Lenovo Group Limited</t>
        </is>
      </c>
      <c r="B292" s="88" t="n">
        <v>1</v>
      </c>
      <c r="C292" s="93" t="n">
        <v>100</v>
      </c>
      <c r="D292" s="94" t="n">
        <v>383.6</v>
      </c>
      <c r="E292" s="94" t="n">
        <v>385</v>
      </c>
      <c r="F292" s="94" t="n">
        <v>236.2</v>
      </c>
      <c r="G292" s="94" t="n">
        <v>27.3</v>
      </c>
      <c r="H292" s="94" t="n">
        <v>0.3</v>
      </c>
      <c r="I292" s="94" t="n">
        <v>-30.5</v>
      </c>
      <c r="J292" s="94" t="n">
        <v>-73.7</v>
      </c>
      <c r="K292" s="95" t="inlineStr">
        <is>
          <t>1879 XIZHI TECH-P</t>
        </is>
      </c>
    </row>
    <row r="293">
      <c r="A293" s="16" t="inlineStr">
        <is>
          <t>Shanghai CM Digital Transformation Investment Fund, L.P</t>
        </is>
      </c>
      <c r="B293" s="88" t="n">
        <v>1</v>
      </c>
      <c r="C293" s="93" t="n">
        <v>100</v>
      </c>
      <c r="D293" s="94" t="n">
        <v>383.6</v>
      </c>
      <c r="E293" s="94" t="n">
        <v>385</v>
      </c>
      <c r="F293" s="94" t="n">
        <v>236.2</v>
      </c>
      <c r="G293" s="94" t="n">
        <v>27.3</v>
      </c>
      <c r="H293" s="94" t="n">
        <v>0.3</v>
      </c>
      <c r="I293" s="94" t="n">
        <v>-30.5</v>
      </c>
      <c r="J293" s="94" t="n">
        <v>-73.7</v>
      </c>
      <c r="K293" s="95" t="inlineStr">
        <is>
          <t>1879 XIZHI TECH-P</t>
        </is>
      </c>
    </row>
    <row r="294">
      <c r="A294" s="16" t="inlineStr">
        <is>
          <t>ZTE (H.K.) Limited</t>
        </is>
      </c>
      <c r="B294" s="88" t="n">
        <v>1</v>
      </c>
      <c r="C294" s="93" t="n">
        <v>100</v>
      </c>
      <c r="D294" s="94" t="n">
        <v>383.6</v>
      </c>
      <c r="E294" s="94" t="n">
        <v>385</v>
      </c>
      <c r="F294" s="94" t="n">
        <v>236.2</v>
      </c>
      <c r="G294" s="94" t="n">
        <v>27.3</v>
      </c>
      <c r="H294" s="94" t="n">
        <v>0.3</v>
      </c>
      <c r="I294" s="94" t="n">
        <v>-30.5</v>
      </c>
      <c r="J294" s="94" t="n">
        <v>-73.7</v>
      </c>
      <c r="K294" s="95" t="inlineStr">
        <is>
          <t>1879 XIZHI TECH-P</t>
        </is>
      </c>
    </row>
    <row r="295">
      <c r="A295" s="16" t="inlineStr">
        <is>
          <t>GLY New Mobility 2. LP</t>
        </is>
      </c>
      <c r="B295" s="88" t="n">
        <v>1</v>
      </c>
      <c r="C295" s="93" t="n">
        <v>100</v>
      </c>
      <c r="D295" s="94" t="n">
        <v>367.9</v>
      </c>
      <c r="E295" s="94" t="n">
        <v>295.2</v>
      </c>
      <c r="F295" s="94" t="n">
        <v>280.8</v>
      </c>
      <c r="G295" s="94" t="n"/>
      <c r="H295" s="94" t="n">
        <v>-15.6</v>
      </c>
      <c r="I295" s="94" t="n">
        <v>-18.6</v>
      </c>
      <c r="J295" s="94" t="n"/>
      <c r="K295" s="95" t="inlineStr">
        <is>
          <t>2672 BAIGE DIGITAL</t>
        </is>
      </c>
    </row>
    <row r="296">
      <c r="A296" s="16" t="inlineStr">
        <is>
          <t>Mr. Ke Jiaqi</t>
        </is>
      </c>
      <c r="B296" s="88" t="n">
        <v>1</v>
      </c>
      <c r="C296" s="93" t="n">
        <v>100</v>
      </c>
      <c r="D296" s="94" t="n">
        <v>367.9</v>
      </c>
      <c r="E296" s="94" t="n">
        <v>295.2</v>
      </c>
      <c r="F296" s="94" t="n">
        <v>280.8</v>
      </c>
      <c r="G296" s="94" t="n"/>
      <c r="H296" s="94" t="n">
        <v>-15.6</v>
      </c>
      <c r="I296" s="94" t="n">
        <v>-18.6</v>
      </c>
      <c r="J296" s="94" t="n"/>
      <c r="K296" s="95" t="inlineStr">
        <is>
          <t>2672 BAIGE DIGITAL</t>
        </is>
      </c>
    </row>
    <row r="297">
      <c r="A297" s="16" t="inlineStr">
        <is>
          <t>Huayou HongKong Holding Limited</t>
        </is>
      </c>
      <c r="B297" s="88" t="n">
        <v>1</v>
      </c>
      <c r="C297" s="93" t="n">
        <v>100</v>
      </c>
      <c r="D297" s="94" t="n">
        <v>258.9</v>
      </c>
      <c r="E297" s="94" t="n">
        <v>459.7</v>
      </c>
      <c r="F297" s="94" t="n">
        <v>303.2</v>
      </c>
      <c r="G297" s="94" t="n">
        <v>290.7</v>
      </c>
      <c r="H297" s="94" t="n">
        <v>56</v>
      </c>
      <c r="I297" s="94" t="n">
        <v>12.4</v>
      </c>
      <c r="J297" s="94" t="n">
        <v>8.9</v>
      </c>
      <c r="K297" s="95" t="inlineStr">
        <is>
          <t>2155 MORIMATSU INTL</t>
        </is>
      </c>
    </row>
    <row r="298">
      <c r="A298" s="16" t="inlineStr">
        <is>
          <t>Hwa-An International Limited</t>
        </is>
      </c>
      <c r="B298" s="88" t="n">
        <v>1</v>
      </c>
      <c r="C298" s="93" t="n">
        <v>100</v>
      </c>
      <c r="D298" s="94" t="n">
        <v>258.9</v>
      </c>
      <c r="E298" s="94" t="n">
        <v>459.7</v>
      </c>
      <c r="F298" s="94" t="n">
        <v>303.2</v>
      </c>
      <c r="G298" s="94" t="n">
        <v>290.7</v>
      </c>
      <c r="H298" s="94" t="n">
        <v>56</v>
      </c>
      <c r="I298" s="94" t="n">
        <v>12.4</v>
      </c>
      <c r="J298" s="94" t="n">
        <v>8.9</v>
      </c>
      <c r="K298" s="95" t="inlineStr">
        <is>
          <t>2155 MORIMATSU INTL</t>
        </is>
      </c>
    </row>
    <row r="299">
      <c r="A299" s="16" t="inlineStr">
        <is>
          <t>Jingzhirui (Suzhou) Microelectronic Technology Co., Ltd</t>
        </is>
      </c>
      <c r="B299" s="88" t="n">
        <v>1</v>
      </c>
      <c r="C299" s="93" t="n">
        <v>100</v>
      </c>
      <c r="D299" s="94" t="n">
        <v>258.9</v>
      </c>
      <c r="E299" s="94" t="n">
        <v>459.7</v>
      </c>
      <c r="F299" s="94" t="n">
        <v>303.2</v>
      </c>
      <c r="G299" s="94" t="n">
        <v>290.7</v>
      </c>
      <c r="H299" s="94" t="n">
        <v>56</v>
      </c>
      <c r="I299" s="94" t="n">
        <v>12.4</v>
      </c>
      <c r="J299" s="94" t="n">
        <v>8.9</v>
      </c>
      <c r="K299" s="95" t="inlineStr">
        <is>
          <t>2155 MORIMATSU INTL</t>
        </is>
      </c>
    </row>
    <row r="300">
      <c r="A300" s="16" t="inlineStr">
        <is>
          <t>Zhang Ning</t>
        </is>
      </c>
      <c r="B300" s="88" t="n">
        <v>1</v>
      </c>
      <c r="C300" s="93" t="n">
        <v>100</v>
      </c>
      <c r="D300" s="94" t="n">
        <v>258.9</v>
      </c>
      <c r="E300" s="94" t="n">
        <v>459.7</v>
      </c>
      <c r="F300" s="94" t="n">
        <v>303.2</v>
      </c>
      <c r="G300" s="94" t="n">
        <v>290.7</v>
      </c>
      <c r="H300" s="94" t="n">
        <v>56</v>
      </c>
      <c r="I300" s="94" t="n">
        <v>12.4</v>
      </c>
      <c r="J300" s="94" t="n">
        <v>8.9</v>
      </c>
      <c r="K300" s="95" t="inlineStr">
        <is>
          <t>2155 MORIMATSU INTL</t>
        </is>
      </c>
    </row>
    <row r="301">
      <c r="A301" s="16" t="inlineStr">
        <is>
          <t>Ms. Fan</t>
        </is>
      </c>
      <c r="B301" s="88" t="n">
        <v>1</v>
      </c>
      <c r="C301" s="93" t="n">
        <v>100</v>
      </c>
      <c r="D301" s="94" t="n">
        <v>258.1</v>
      </c>
      <c r="E301" s="94" t="n">
        <v>457.4</v>
      </c>
      <c r="F301" s="94" t="n">
        <v>456.4</v>
      </c>
      <c r="G301" s="94" t="n">
        <v>467.2</v>
      </c>
      <c r="H301" s="94" t="n">
        <v>55.7</v>
      </c>
      <c r="I301" s="94" t="n">
        <v>55.4</v>
      </c>
      <c r="J301" s="94" t="n">
        <v>58.4</v>
      </c>
      <c r="K301" s="95" t="inlineStr">
        <is>
          <t>2583 HIPINE</t>
        </is>
      </c>
    </row>
    <row r="302">
      <c r="A302" s="16" t="inlineStr">
        <is>
          <t>Jinyingu Investment</t>
        </is>
      </c>
      <c r="B302" s="88" t="n">
        <v>1</v>
      </c>
      <c r="C302" s="93" t="n">
        <v>100</v>
      </c>
      <c r="D302" s="94" t="n">
        <v>258.1</v>
      </c>
      <c r="E302" s="94" t="n">
        <v>457.4</v>
      </c>
      <c r="F302" s="94" t="n">
        <v>456.4</v>
      </c>
      <c r="G302" s="94" t="n">
        <v>467.2</v>
      </c>
      <c r="H302" s="94" t="n">
        <v>55.7</v>
      </c>
      <c r="I302" s="94" t="n">
        <v>55.4</v>
      </c>
      <c r="J302" s="94" t="n">
        <v>58.4</v>
      </c>
      <c r="K302" s="95" t="inlineStr">
        <is>
          <t>2583 HIPINE</t>
        </is>
      </c>
    </row>
    <row r="303">
      <c r="A303" s="16" t="inlineStr">
        <is>
          <t>Ren Xuyang (任旭陽)</t>
        </is>
      </c>
      <c r="B303" s="88" t="n">
        <v>1</v>
      </c>
      <c r="C303" s="93" t="n">
        <v>100</v>
      </c>
      <c r="D303" s="94" t="n">
        <v>242.2</v>
      </c>
      <c r="E303" s="94" t="n">
        <v>298.7</v>
      </c>
      <c r="F303" s="94" t="n">
        <v>204.7</v>
      </c>
      <c r="G303" s="94" t="n">
        <v>132.4</v>
      </c>
      <c r="H303" s="94" t="n">
        <v>16.5</v>
      </c>
      <c r="I303" s="94" t="n">
        <v>-11</v>
      </c>
      <c r="J303" s="94" t="n">
        <v>-32.1</v>
      </c>
      <c r="K303" s="95" t="inlineStr">
        <is>
          <t>2706 HAIZHI TECH GP</t>
        </is>
      </c>
    </row>
    <row r="304">
      <c r="A304" s="16" t="inlineStr">
        <is>
          <t>Yang Zaifei (楊再飛)</t>
        </is>
      </c>
      <c r="B304" s="88" t="n">
        <v>1</v>
      </c>
      <c r="C304" s="93" t="n">
        <v>100</v>
      </c>
      <c r="D304" s="94" t="n">
        <v>242.2</v>
      </c>
      <c r="E304" s="94" t="n">
        <v>298.7</v>
      </c>
      <c r="F304" s="94" t="n">
        <v>204.7</v>
      </c>
      <c r="G304" s="94" t="n">
        <v>132.4</v>
      </c>
      <c r="H304" s="94" t="n">
        <v>16.5</v>
      </c>
      <c r="I304" s="94" t="n">
        <v>-11</v>
      </c>
      <c r="J304" s="94" t="n">
        <v>-32.1</v>
      </c>
      <c r="K304" s="95" t="inlineStr">
        <is>
          <t>2706 HAIZHI TECH GP</t>
        </is>
      </c>
    </row>
    <row r="305">
      <c r="A305" s="16" t="inlineStr">
        <is>
          <t>BAI GmbH</t>
        </is>
      </c>
      <c r="B305" s="88" t="n">
        <v>1</v>
      </c>
      <c r="C305" s="93" t="n">
        <v>100</v>
      </c>
      <c r="D305" s="94" t="n">
        <v>242.2</v>
      </c>
      <c r="E305" s="94" t="n">
        <v>298.7</v>
      </c>
      <c r="F305" s="94" t="n">
        <v>204.7</v>
      </c>
      <c r="G305" s="94" t="n">
        <v>132.4</v>
      </c>
      <c r="H305" s="94" t="n">
        <v>16.5</v>
      </c>
      <c r="I305" s="94" t="n">
        <v>-11</v>
      </c>
      <c r="J305" s="94" t="n">
        <v>-32.1</v>
      </c>
      <c r="K305" s="95" t="inlineStr">
        <is>
          <t>2706 HAIZHI TECH GP</t>
        </is>
      </c>
    </row>
    <row r="306">
      <c r="A306" s="16" t="inlineStr">
        <is>
          <t>SKY FINE LIMITED</t>
        </is>
      </c>
      <c r="B306" s="88" t="n">
        <v>1</v>
      </c>
      <c r="C306" s="93" t="n">
        <v>100</v>
      </c>
      <c r="D306" s="94" t="n">
        <v>242.2</v>
      </c>
      <c r="E306" s="94" t="n">
        <v>298.7</v>
      </c>
      <c r="F306" s="94" t="n">
        <v>204.7</v>
      </c>
      <c r="G306" s="94" t="n">
        <v>132.4</v>
      </c>
      <c r="H306" s="94" t="n">
        <v>16.5</v>
      </c>
      <c r="I306" s="94" t="n">
        <v>-11</v>
      </c>
      <c r="J306" s="94" t="n">
        <v>-32.1</v>
      </c>
      <c r="K306" s="95" t="inlineStr">
        <is>
          <t>2706 HAIZHI TECH GP</t>
        </is>
      </c>
    </row>
    <row r="307">
      <c r="A307" s="16" t="inlineStr">
        <is>
          <t>Yifang Technology Group, Ltd</t>
        </is>
      </c>
      <c r="B307" s="88" t="n">
        <v>1</v>
      </c>
      <c r="C307" s="93" t="n">
        <v>100</v>
      </c>
      <c r="D307" s="94" t="n">
        <v>242.2</v>
      </c>
      <c r="E307" s="94" t="n">
        <v>298.7</v>
      </c>
      <c r="F307" s="94" t="n">
        <v>204.7</v>
      </c>
      <c r="G307" s="94" t="n">
        <v>132.4</v>
      </c>
      <c r="H307" s="94" t="n">
        <v>16.5</v>
      </c>
      <c r="I307" s="94" t="n">
        <v>-11</v>
      </c>
      <c r="J307" s="94" t="n">
        <v>-32.1</v>
      </c>
      <c r="K307" s="95" t="inlineStr">
        <is>
          <t>2706 HAIZHI TECH GP</t>
        </is>
      </c>
    </row>
    <row r="308">
      <c r="A308" s="16" t="inlineStr">
        <is>
          <t>Shi Youcai (史有才)</t>
        </is>
      </c>
      <c r="B308" s="88" t="n">
        <v>1</v>
      </c>
      <c r="C308" s="93" t="n">
        <v>100</v>
      </c>
      <c r="D308" s="94" t="n">
        <v>242.2</v>
      </c>
      <c r="E308" s="94" t="n">
        <v>298.7</v>
      </c>
      <c r="F308" s="94" t="n">
        <v>204.7</v>
      </c>
      <c r="G308" s="94" t="n">
        <v>132.4</v>
      </c>
      <c r="H308" s="94" t="n">
        <v>16.5</v>
      </c>
      <c r="I308" s="94" t="n">
        <v>-11</v>
      </c>
      <c r="J308" s="94" t="n">
        <v>-32.1</v>
      </c>
      <c r="K308" s="95" t="inlineStr">
        <is>
          <t>2706 HAIZHI TECH GP</t>
        </is>
      </c>
    </row>
    <row r="309">
      <c r="A309" s="16" t="inlineStr">
        <is>
          <t>Yang Juan (楊娟)</t>
        </is>
      </c>
      <c r="B309" s="88" t="n">
        <v>1</v>
      </c>
      <c r="C309" s="93" t="n">
        <v>100</v>
      </c>
      <c r="D309" s="94" t="n">
        <v>242.2</v>
      </c>
      <c r="E309" s="94" t="n">
        <v>298.7</v>
      </c>
      <c r="F309" s="94" t="n">
        <v>204.7</v>
      </c>
      <c r="G309" s="94" t="n">
        <v>132.4</v>
      </c>
      <c r="H309" s="94" t="n">
        <v>16.5</v>
      </c>
      <c r="I309" s="94" t="n">
        <v>-11</v>
      </c>
      <c r="J309" s="94" t="n">
        <v>-32.1</v>
      </c>
      <c r="K309" s="95" t="inlineStr">
        <is>
          <t>2706 HAIZHI TECH GP</t>
        </is>
      </c>
    </row>
    <row r="310">
      <c r="A310" s="16" t="inlineStr">
        <is>
          <t>Wan Pengjiang (萬澎江)</t>
        </is>
      </c>
      <c r="B310" s="88" t="n">
        <v>1</v>
      </c>
      <c r="C310" s="93" t="n">
        <v>100</v>
      </c>
      <c r="D310" s="94" t="n">
        <v>242.2</v>
      </c>
      <c r="E310" s="94" t="n">
        <v>298.7</v>
      </c>
      <c r="F310" s="94" t="n">
        <v>204.7</v>
      </c>
      <c r="G310" s="94" t="n">
        <v>132.4</v>
      </c>
      <c r="H310" s="94" t="n">
        <v>16.5</v>
      </c>
      <c r="I310" s="94" t="n">
        <v>-11</v>
      </c>
      <c r="J310" s="94" t="n">
        <v>-32.1</v>
      </c>
      <c r="K310" s="95" t="inlineStr">
        <is>
          <t>2706 HAIZHI TECH GP</t>
        </is>
      </c>
    </row>
    <row r="311">
      <c r="A311" s="16" t="inlineStr">
        <is>
          <t>Hu Song (胡嵩)</t>
        </is>
      </c>
      <c r="B311" s="88" t="n">
        <v>1</v>
      </c>
      <c r="C311" s="93" t="n">
        <v>100</v>
      </c>
      <c r="D311" s="94" t="n">
        <v>242.2</v>
      </c>
      <c r="E311" s="94" t="n">
        <v>298.7</v>
      </c>
      <c r="F311" s="94" t="n">
        <v>204.7</v>
      </c>
      <c r="G311" s="94" t="n">
        <v>132.4</v>
      </c>
      <c r="H311" s="94" t="n">
        <v>16.5</v>
      </c>
      <c r="I311" s="94" t="n">
        <v>-11</v>
      </c>
      <c r="J311" s="94" t="n">
        <v>-32.1</v>
      </c>
      <c r="K311" s="95" t="inlineStr">
        <is>
          <t>2706 HAIZHI TECH GP</t>
        </is>
      </c>
    </row>
    <row r="312">
      <c r="A312" s="16" t="inlineStr">
        <is>
          <t>TAL China Focus Master Fund</t>
        </is>
      </c>
      <c r="B312" s="88" t="n">
        <v>1</v>
      </c>
      <c r="C312" s="93" t="n">
        <v>100</v>
      </c>
      <c r="D312" s="94" t="n">
        <v>242.2</v>
      </c>
      <c r="E312" s="94" t="n">
        <v>298.7</v>
      </c>
      <c r="F312" s="94" t="n">
        <v>204.7</v>
      </c>
      <c r="G312" s="94" t="n">
        <v>132.4</v>
      </c>
      <c r="H312" s="94" t="n">
        <v>16.5</v>
      </c>
      <c r="I312" s="94" t="n">
        <v>-11</v>
      </c>
      <c r="J312" s="94" t="n">
        <v>-32.1</v>
      </c>
      <c r="K312" s="95" t="inlineStr">
        <is>
          <t>2706 HAIZHI TECH GP</t>
        </is>
      </c>
    </row>
    <row r="313">
      <c r="A313" s="16" t="inlineStr">
        <is>
          <t>Alternative Fund, L.P</t>
        </is>
      </c>
      <c r="B313" s="88" t="n">
        <v>1</v>
      </c>
      <c r="C313" s="93" t="n">
        <v>100</v>
      </c>
      <c r="D313" s="94" t="n">
        <v>242.2</v>
      </c>
      <c r="E313" s="94" t="n">
        <v>298.7</v>
      </c>
      <c r="F313" s="94" t="n">
        <v>204.7</v>
      </c>
      <c r="G313" s="94" t="n">
        <v>132.4</v>
      </c>
      <c r="H313" s="94" t="n">
        <v>16.5</v>
      </c>
      <c r="I313" s="94" t="n">
        <v>-11</v>
      </c>
      <c r="J313" s="94" t="n">
        <v>-32.1</v>
      </c>
      <c r="K313" s="95" t="inlineStr">
        <is>
          <t>2706 HAIZHI TECH GP</t>
        </is>
      </c>
    </row>
    <row r="314">
      <c r="A314" s="16" t="inlineStr">
        <is>
          <t>XINWUTANG CO., LIMITED</t>
        </is>
      </c>
      <c r="B314" s="88" t="n">
        <v>1</v>
      </c>
      <c r="C314" s="93" t="n">
        <v>100</v>
      </c>
      <c r="D314" s="94" t="n">
        <v>241.1</v>
      </c>
      <c r="E314" s="94" t="n">
        <v>216.6</v>
      </c>
      <c r="F314" s="94" t="n">
        <v>201.5</v>
      </c>
      <c r="G314" s="94" t="n">
        <v>136.7</v>
      </c>
      <c r="H314" s="94" t="n">
        <v>-7.2</v>
      </c>
      <c r="I314" s="94" t="n">
        <v>-11.6</v>
      </c>
      <c r="J314" s="94" t="n">
        <v>-30.6</v>
      </c>
      <c r="K314" s="95" t="inlineStr">
        <is>
          <t>6810 SUNMI TECH-W</t>
        </is>
      </c>
    </row>
    <row r="315">
      <c r="A315" s="16" t="inlineStr">
        <is>
          <t>Carsonlin Investment Ltd</t>
        </is>
      </c>
      <c r="B315" s="88" t="n">
        <v>1</v>
      </c>
      <c r="C315" s="93" t="n">
        <v>100</v>
      </c>
      <c r="D315" s="94" t="n">
        <v>230.2</v>
      </c>
      <c r="E315" s="94" t="n">
        <v>281.1</v>
      </c>
      <c r="F315" s="94" t="n">
        <v>196.2</v>
      </c>
      <c r="G315" s="94" t="n">
        <v>696.2</v>
      </c>
      <c r="H315" s="94" t="n">
        <v>15.4</v>
      </c>
      <c r="I315" s="94" t="n">
        <v>-10.3</v>
      </c>
      <c r="J315" s="94" t="n">
        <v>141.1</v>
      </c>
      <c r="K315" s="95" t="inlineStr">
        <is>
          <t>2427 GUANZE MEDICAL</t>
        </is>
      </c>
    </row>
    <row r="316">
      <c r="A316" s="16" t="inlineStr">
        <is>
          <t>Mu Min</t>
        </is>
      </c>
      <c r="B316" s="88" t="n">
        <v>1</v>
      </c>
      <c r="C316" s="93" t="n">
        <v>100</v>
      </c>
      <c r="D316" s="94" t="n">
        <v>230.2</v>
      </c>
      <c r="E316" s="94" t="n">
        <v>281.1</v>
      </c>
      <c r="F316" s="94" t="n">
        <v>196.2</v>
      </c>
      <c r="G316" s="94" t="n">
        <v>696.2</v>
      </c>
      <c r="H316" s="94" t="n">
        <v>15.4</v>
      </c>
      <c r="I316" s="94" t="n">
        <v>-10.3</v>
      </c>
      <c r="J316" s="94" t="n">
        <v>141.1</v>
      </c>
      <c r="K316" s="95" t="inlineStr">
        <is>
          <t>2427 GUANZE MEDICAL</t>
        </is>
      </c>
    </row>
    <row r="317">
      <c r="A317" s="16" t="inlineStr">
        <is>
          <t>Yang Xinyun</t>
        </is>
      </c>
      <c r="B317" s="88" t="n">
        <v>1</v>
      </c>
      <c r="C317" s="93" t="n">
        <v>100</v>
      </c>
      <c r="D317" s="94" t="n">
        <v>230.2</v>
      </c>
      <c r="E317" s="94" t="n">
        <v>281.1</v>
      </c>
      <c r="F317" s="94" t="n">
        <v>196.2</v>
      </c>
      <c r="G317" s="94" t="n">
        <v>696.2</v>
      </c>
      <c r="H317" s="94" t="n">
        <v>15.4</v>
      </c>
      <c r="I317" s="94" t="n">
        <v>-10.3</v>
      </c>
      <c r="J317" s="94" t="n">
        <v>141.1</v>
      </c>
      <c r="K317" s="95" t="inlineStr">
        <is>
          <t>2427 GUANZE MEDICAL</t>
        </is>
      </c>
    </row>
    <row r="318">
      <c r="A318" s="16" t="inlineStr">
        <is>
          <t>LI Huifeng ( ኇᅆჾ)</t>
        </is>
      </c>
      <c r="B318" s="88" t="n">
        <v>1</v>
      </c>
      <c r="C318" s="93" t="n">
        <v>100</v>
      </c>
      <c r="D318" s="94" t="n">
        <v>206.5</v>
      </c>
      <c r="E318" s="94" t="n">
        <v>183.7</v>
      </c>
      <c r="F318" s="94" t="n">
        <v>137.4</v>
      </c>
      <c r="G318" s="94" t="n">
        <v>84.59999999999999</v>
      </c>
      <c r="H318" s="94" t="n">
        <v>-7.4</v>
      </c>
      <c r="I318" s="94" t="n">
        <v>-22.6</v>
      </c>
      <c r="J318" s="94" t="n">
        <v>-39.8</v>
      </c>
      <c r="K318" s="95" t="inlineStr">
        <is>
          <t>2591 INNOGEN-B</t>
        </is>
      </c>
    </row>
    <row r="319">
      <c r="A319" s="16" t="inlineStr">
        <is>
          <t>SPC-XtalPi AI Fund SP</t>
        </is>
      </c>
      <c r="B319" s="88" t="n">
        <v>1</v>
      </c>
      <c r="C319" s="93" t="n">
        <v>100</v>
      </c>
      <c r="D319" s="94" t="n">
        <v>206.5</v>
      </c>
      <c r="E319" s="94" t="n">
        <v>183.7</v>
      </c>
      <c r="F319" s="94" t="n">
        <v>137.4</v>
      </c>
      <c r="G319" s="94" t="n">
        <v>84.59999999999999</v>
      </c>
      <c r="H319" s="94" t="n">
        <v>-7.4</v>
      </c>
      <c r="I319" s="94" t="n">
        <v>-22.6</v>
      </c>
      <c r="J319" s="94" t="n">
        <v>-39.8</v>
      </c>
      <c r="K319" s="95" t="inlineStr">
        <is>
          <t>2591 INNOGEN-B</t>
        </is>
      </c>
    </row>
    <row r="320">
      <c r="A320" s="16" t="inlineStr">
        <is>
          <t>Marketingforce Management Ltd</t>
        </is>
      </c>
      <c r="B320" s="88" t="n">
        <v>1</v>
      </c>
      <c r="C320" s="93" t="n">
        <v>100</v>
      </c>
      <c r="D320" s="94" t="n">
        <v>206.5</v>
      </c>
      <c r="E320" s="94" t="n">
        <v>183.7</v>
      </c>
      <c r="F320" s="94" t="n">
        <v>137.4</v>
      </c>
      <c r="G320" s="94" t="n">
        <v>84.59999999999999</v>
      </c>
      <c r="H320" s="94" t="n">
        <v>-7.4</v>
      </c>
      <c r="I320" s="94" t="n">
        <v>-22.6</v>
      </c>
      <c r="J320" s="94" t="n">
        <v>-39.8</v>
      </c>
      <c r="K320" s="95" t="inlineStr">
        <is>
          <t>2591 INNOGEN-B</t>
        </is>
      </c>
    </row>
    <row r="321">
      <c r="A321" s="16" t="inlineStr">
        <is>
          <t>DENG Haifeng</t>
        </is>
      </c>
      <c r="B321" s="88" t="n">
        <v>1</v>
      </c>
      <c r="C321" s="93" t="n">
        <v>100</v>
      </c>
      <c r="D321" s="94" t="n">
        <v>206.5</v>
      </c>
      <c r="E321" s="94" t="n">
        <v>183.7</v>
      </c>
      <c r="F321" s="94" t="n">
        <v>137.4</v>
      </c>
      <c r="G321" s="94" t="n">
        <v>84.59999999999999</v>
      </c>
      <c r="H321" s="94" t="n">
        <v>-7.4</v>
      </c>
      <c r="I321" s="94" t="n">
        <v>-22.6</v>
      </c>
      <c r="J321" s="94" t="n">
        <v>-39.8</v>
      </c>
      <c r="K321" s="95" t="inlineStr">
        <is>
          <t>2591 INNOGEN-B</t>
        </is>
      </c>
    </row>
    <row r="322">
      <c r="A322" s="16" t="inlineStr">
        <is>
          <t>Palace Investments Pte. Ltd</t>
        </is>
      </c>
      <c r="B322" s="88" t="n">
        <v>1</v>
      </c>
      <c r="C322" s="93" t="n">
        <v>100</v>
      </c>
      <c r="D322" s="94" t="n">
        <v>206.5</v>
      </c>
      <c r="E322" s="94" t="n">
        <v>183.7</v>
      </c>
      <c r="F322" s="94" t="n">
        <v>137.4</v>
      </c>
      <c r="G322" s="94" t="n">
        <v>84.59999999999999</v>
      </c>
      <c r="H322" s="94" t="n">
        <v>-7.4</v>
      </c>
      <c r="I322" s="94" t="n">
        <v>-22.6</v>
      </c>
      <c r="J322" s="94" t="n">
        <v>-39.8</v>
      </c>
      <c r="K322" s="95" t="inlineStr">
        <is>
          <t>2591 INNOGEN-B</t>
        </is>
      </c>
    </row>
    <row r="323">
      <c r="A323" s="16" t="inlineStr">
        <is>
          <t>BioTrack AA Limited</t>
        </is>
      </c>
      <c r="B323" s="88" t="n">
        <v>1</v>
      </c>
      <c r="C323" s="93" t="n">
        <v>100</v>
      </c>
      <c r="D323" s="94" t="n">
        <v>206.5</v>
      </c>
      <c r="E323" s="94" t="n">
        <v>183.7</v>
      </c>
      <c r="F323" s="94" t="n">
        <v>137.4</v>
      </c>
      <c r="G323" s="94" t="n">
        <v>84.59999999999999</v>
      </c>
      <c r="H323" s="94" t="n">
        <v>-7.4</v>
      </c>
      <c r="I323" s="94" t="n">
        <v>-22.6</v>
      </c>
      <c r="J323" s="94" t="n">
        <v>-39.8</v>
      </c>
      <c r="K323" s="95" t="inlineStr">
        <is>
          <t>2591 INNOGEN-B</t>
        </is>
      </c>
    </row>
    <row r="324">
      <c r="A324" s="16" t="inlineStr">
        <is>
          <t>AMR Action Fund, L.P</t>
        </is>
      </c>
      <c r="B324" s="88" t="n">
        <v>1</v>
      </c>
      <c r="C324" s="93" t="n">
        <v>100</v>
      </c>
      <c r="D324" s="94" t="n">
        <v>178.7</v>
      </c>
      <c r="E324" s="94" t="n">
        <v>166.8</v>
      </c>
      <c r="F324" s="94" t="n">
        <v>248.2</v>
      </c>
      <c r="G324" s="94" t="n">
        <v>165</v>
      </c>
      <c r="H324" s="94" t="n">
        <v>-4.3</v>
      </c>
      <c r="I324" s="94" t="n">
        <v>24.9</v>
      </c>
      <c r="J324" s="94" t="n">
        <v>-4.9</v>
      </c>
      <c r="K324" s="95" t="inlineStr">
        <is>
          <t>6872 TENNOR THERAP-B</t>
        </is>
      </c>
    </row>
    <row r="325">
      <c r="A325" s="16" t="inlineStr">
        <is>
          <t>Shanghai Yangtze River Delta Industry Upgrade Equity Investment</t>
        </is>
      </c>
      <c r="B325" s="88" t="n">
        <v>1</v>
      </c>
      <c r="C325" s="93" t="n">
        <v>100</v>
      </c>
      <c r="D325" s="94" t="n">
        <v>161</v>
      </c>
      <c r="E325" s="94" t="n">
        <v>94.59999999999999</v>
      </c>
      <c r="F325" s="94" t="n">
        <v>89.8</v>
      </c>
      <c r="G325" s="94" t="n">
        <v>112.9</v>
      </c>
      <c r="H325" s="94" t="n">
        <v>-25.4</v>
      </c>
      <c r="I325" s="94" t="n">
        <v>-27.3</v>
      </c>
      <c r="J325" s="94" t="n">
        <v>-18.4</v>
      </c>
      <c r="K325" s="95" t="inlineStr">
        <is>
          <t>2652 CF PHARMTECH</t>
        </is>
      </c>
    </row>
    <row r="326">
      <c r="A326" s="16" t="inlineStr">
        <is>
          <t>The Capital Group Funds</t>
        </is>
      </c>
      <c r="B326" s="88" t="n">
        <v>1</v>
      </c>
      <c r="C326" s="93" t="n">
        <v>100</v>
      </c>
      <c r="D326" s="94" t="n">
        <v>160.9</v>
      </c>
      <c r="E326" s="94" t="n">
        <v>250.4</v>
      </c>
      <c r="F326" s="94" t="n">
        <v>141.9</v>
      </c>
      <c r="G326" s="94" t="n">
        <v>105.4</v>
      </c>
      <c r="H326" s="94" t="n">
        <v>34.3</v>
      </c>
      <c r="I326" s="94" t="n">
        <v>-7.3</v>
      </c>
      <c r="J326" s="94" t="n">
        <v>-21.3</v>
      </c>
      <c r="K326" s="95" t="inlineStr">
        <is>
          <t>1024 KUAISHOU-W</t>
        </is>
      </c>
    </row>
    <row r="327">
      <c r="A327" s="16" t="inlineStr">
        <is>
          <t>Aoqin Heming</t>
        </is>
      </c>
      <c r="B327" s="88" t="n">
        <v>1</v>
      </c>
      <c r="C327" s="93" t="n">
        <v>100</v>
      </c>
      <c r="D327" s="94" t="n">
        <v>158.8</v>
      </c>
      <c r="E327" s="94" t="n">
        <v>229.4</v>
      </c>
      <c r="F327" s="94" t="n">
        <v>338.7</v>
      </c>
      <c r="G327" s="94" t="n">
        <v>592.7</v>
      </c>
      <c r="H327" s="94" t="n">
        <v>27.3</v>
      </c>
      <c r="I327" s="94" t="n">
        <v>69.5</v>
      </c>
      <c r="J327" s="94" t="n">
        <v>167.6</v>
      </c>
      <c r="K327" s="95" t="inlineStr">
        <is>
          <t>2661 QINGSONG HEALTH</t>
        </is>
      </c>
    </row>
    <row r="328">
      <c r="A328" s="16" t="inlineStr">
        <is>
          <t>Discretionary basis</t>
        </is>
      </c>
      <c r="B328" s="88" t="n">
        <v>1</v>
      </c>
      <c r="C328" s="93" t="n">
        <v>100</v>
      </c>
      <c r="D328" s="94" t="n">
        <v>158.8</v>
      </c>
      <c r="E328" s="94" t="n">
        <v>229.4</v>
      </c>
      <c r="F328" s="94" t="n">
        <v>338.7</v>
      </c>
      <c r="G328" s="94" t="n">
        <v>592.7</v>
      </c>
      <c r="H328" s="94" t="n">
        <v>27.3</v>
      </c>
      <c r="I328" s="94" t="n">
        <v>69.5</v>
      </c>
      <c r="J328" s="94" t="n">
        <v>167.6</v>
      </c>
      <c r="K328" s="95" t="inlineStr">
        <is>
          <t>2661 QINGSONG HEALTH</t>
        </is>
      </c>
    </row>
    <row r="329">
      <c r="A329" s="16" t="inlineStr">
        <is>
          <t>George Kent International Pte. Ltd</t>
        </is>
      </c>
      <c r="B329" s="88" t="n">
        <v>1</v>
      </c>
      <c r="C329" s="93" t="n">
        <v>100</v>
      </c>
      <c r="D329" s="94" t="n">
        <v>150</v>
      </c>
      <c r="E329" s="94" t="n">
        <v>164</v>
      </c>
      <c r="F329" s="94" t="n">
        <v>151.2</v>
      </c>
      <c r="G329" s="94" t="n">
        <v>112.5</v>
      </c>
      <c r="H329" s="94" t="n">
        <v>5.6</v>
      </c>
      <c r="I329" s="94" t="n">
        <v>0.5</v>
      </c>
      <c r="J329" s="94" t="n">
        <v>-15</v>
      </c>
      <c r="K329" s="95" t="inlineStr">
        <is>
          <t>6636 EXTREME VISION</t>
        </is>
      </c>
    </row>
    <row r="330">
      <c r="A330" s="16" t="inlineStr">
        <is>
          <t>Zhengjin (Hong Kong) International Co., Limited</t>
        </is>
      </c>
      <c r="B330" s="88" t="n">
        <v>1</v>
      </c>
      <c r="C330" s="93" t="n">
        <v>100</v>
      </c>
      <c r="D330" s="94" t="n">
        <v>150</v>
      </c>
      <c r="E330" s="94" t="n">
        <v>164</v>
      </c>
      <c r="F330" s="94" t="n">
        <v>151.2</v>
      </c>
      <c r="G330" s="94" t="n">
        <v>112.5</v>
      </c>
      <c r="H330" s="94" t="n">
        <v>5.6</v>
      </c>
      <c r="I330" s="94" t="n">
        <v>0.5</v>
      </c>
      <c r="J330" s="94" t="n">
        <v>-15</v>
      </c>
      <c r="K330" s="95" t="inlineStr">
        <is>
          <t>6636 EXTREME VISION</t>
        </is>
      </c>
    </row>
    <row r="331">
      <c r="A331" s="16" t="inlineStr">
        <is>
          <t>Ms. Jin Jie</t>
        </is>
      </c>
      <c r="B331" s="88" t="n">
        <v>1</v>
      </c>
      <c r="C331" s="93" t="n">
        <v>100</v>
      </c>
      <c r="D331" s="94" t="n">
        <v>145.7</v>
      </c>
      <c r="E331" s="94" t="n">
        <v>65</v>
      </c>
      <c r="F331" s="94" t="n">
        <v>131.1</v>
      </c>
      <c r="G331" s="94" t="n">
        <v>216.2</v>
      </c>
      <c r="H331" s="94" t="n">
        <v>-32.9</v>
      </c>
      <c r="I331" s="94" t="n">
        <v>-6</v>
      </c>
      <c r="J331" s="94" t="n">
        <v>28.7</v>
      </c>
      <c r="K331" s="95" t="inlineStr">
        <is>
          <t>2630 VIGONVITA-B</t>
        </is>
      </c>
    </row>
    <row r="332">
      <c r="A332" s="16" t="inlineStr">
        <is>
          <t>Dr. Shen</t>
        </is>
      </c>
      <c r="B332" s="88" t="n">
        <v>1</v>
      </c>
      <c r="C332" s="93" t="n">
        <v>100</v>
      </c>
      <c r="D332" s="94" t="n">
        <v>145.7</v>
      </c>
      <c r="E332" s="94" t="n">
        <v>65</v>
      </c>
      <c r="F332" s="94" t="n">
        <v>131.1</v>
      </c>
      <c r="G332" s="94" t="n">
        <v>216.2</v>
      </c>
      <c r="H332" s="94" t="n">
        <v>-32.9</v>
      </c>
      <c r="I332" s="94" t="n">
        <v>-6</v>
      </c>
      <c r="J332" s="94" t="n">
        <v>28.7</v>
      </c>
      <c r="K332" s="95" t="inlineStr">
        <is>
          <t>2630 VIGONVITA-B</t>
        </is>
      </c>
    </row>
    <row r="333">
      <c r="A333" s="16" t="inlineStr">
        <is>
          <t>Hesai Hong Kong Limited</t>
        </is>
      </c>
      <c r="B333" s="88" t="n">
        <v>1</v>
      </c>
      <c r="C333" s="93" t="n">
        <v>100</v>
      </c>
      <c r="D333" s="94" t="n">
        <v>144.1</v>
      </c>
      <c r="E333" s="94" t="n">
        <v>273.8</v>
      </c>
      <c r="F333" s="94" t="n">
        <v>142.9</v>
      </c>
      <c r="G333" s="94" t="n">
        <v>16.5</v>
      </c>
      <c r="H333" s="94" t="n">
        <v>53.1</v>
      </c>
      <c r="I333" s="94" t="n">
        <v>-0.5</v>
      </c>
      <c r="J333" s="94" t="n">
        <v>-52.3</v>
      </c>
      <c r="K333" s="95" t="inlineStr">
        <is>
          <t>0068 MANYCORE TECH</t>
        </is>
      </c>
    </row>
    <row r="334">
      <c r="A334" s="16" t="inlineStr">
        <is>
          <t>REDWOOD ELITE LIMITED</t>
        </is>
      </c>
      <c r="B334" s="88" t="n">
        <v>1</v>
      </c>
      <c r="C334" s="93" t="n">
        <v>100</v>
      </c>
      <c r="D334" s="94" t="n">
        <v>144.1</v>
      </c>
      <c r="E334" s="94" t="n">
        <v>273.8</v>
      </c>
      <c r="F334" s="94" t="n">
        <v>142.9</v>
      </c>
      <c r="G334" s="94" t="n">
        <v>16.5</v>
      </c>
      <c r="H334" s="94" t="n">
        <v>53.1</v>
      </c>
      <c r="I334" s="94" t="n">
        <v>-0.5</v>
      </c>
      <c r="J334" s="94" t="n">
        <v>-52.3</v>
      </c>
      <c r="K334" s="95" t="inlineStr">
        <is>
          <t>0068 MANYCORE TECH</t>
        </is>
      </c>
    </row>
    <row r="335">
      <c r="A335" s="16" t="inlineStr">
        <is>
          <t>Center Lab</t>
        </is>
      </c>
      <c r="B335" s="88" t="n">
        <v>1</v>
      </c>
      <c r="C335" s="93" t="n">
        <v>100</v>
      </c>
      <c r="D335" s="94" t="n">
        <v>138.8</v>
      </c>
      <c r="E335" s="94" t="n">
        <v>173.7</v>
      </c>
      <c r="F335" s="94" t="n">
        <v>226.8</v>
      </c>
      <c r="G335" s="94" t="n">
        <v>249.3</v>
      </c>
      <c r="H335" s="94" t="n">
        <v>14.6</v>
      </c>
      <c r="I335" s="94" t="n">
        <v>36.8</v>
      </c>
      <c r="J335" s="94" t="n">
        <v>46.3</v>
      </c>
      <c r="K335" s="95" t="inlineStr">
        <is>
          <t>2659 BAO PHARMA-B</t>
        </is>
      </c>
    </row>
    <row r="336">
      <c r="A336" s="16" t="inlineStr">
        <is>
          <t>Zhang Yahong (ߎ2,838,885</t>
        </is>
      </c>
      <c r="B336" s="88" t="n">
        <v>1</v>
      </c>
      <c r="C336" s="93" t="n">
        <v>100</v>
      </c>
      <c r="D336" s="94" t="n">
        <v>138.8</v>
      </c>
      <c r="E336" s="94" t="n">
        <v>173.7</v>
      </c>
      <c r="F336" s="94" t="n">
        <v>226.8</v>
      </c>
      <c r="G336" s="94" t="n">
        <v>249.3</v>
      </c>
      <c r="H336" s="94" t="n">
        <v>14.6</v>
      </c>
      <c r="I336" s="94" t="n">
        <v>36.8</v>
      </c>
      <c r="J336" s="94" t="n">
        <v>46.3</v>
      </c>
      <c r="K336" s="95" t="inlineStr">
        <is>
          <t>2659 BAO PHARMA-B</t>
        </is>
      </c>
    </row>
    <row r="337">
      <c r="A337" s="16" t="inlineStr">
        <is>
          <t>Fan Hong (ߎ2,365,735</t>
        </is>
      </c>
      <c r="B337" s="88" t="n">
        <v>1</v>
      </c>
      <c r="C337" s="93" t="n">
        <v>100</v>
      </c>
      <c r="D337" s="94" t="n">
        <v>138.8</v>
      </c>
      <c r="E337" s="94" t="n">
        <v>173.7</v>
      </c>
      <c r="F337" s="94" t="n">
        <v>226.8</v>
      </c>
      <c r="G337" s="94" t="n">
        <v>249.3</v>
      </c>
      <c r="H337" s="94" t="n">
        <v>14.6</v>
      </c>
      <c r="I337" s="94" t="n">
        <v>36.8</v>
      </c>
      <c r="J337" s="94" t="n">
        <v>46.3</v>
      </c>
      <c r="K337" s="95" t="inlineStr">
        <is>
          <t>2659 BAO PHARMA-B</t>
        </is>
      </c>
    </row>
    <row r="338">
      <c r="A338" s="16" t="inlineStr">
        <is>
          <t>Zheng Keqing (ڡ222,220</t>
        </is>
      </c>
      <c r="B338" s="88" t="n">
        <v>1</v>
      </c>
      <c r="C338" s="93" t="n">
        <v>100</v>
      </c>
      <c r="D338" s="94" t="n">
        <v>138.8</v>
      </c>
      <c r="E338" s="94" t="n">
        <v>173.7</v>
      </c>
      <c r="F338" s="94" t="n">
        <v>226.8</v>
      </c>
      <c r="G338" s="94" t="n">
        <v>249.3</v>
      </c>
      <c r="H338" s="94" t="n">
        <v>14.6</v>
      </c>
      <c r="I338" s="94" t="n">
        <v>36.8</v>
      </c>
      <c r="J338" s="94" t="n">
        <v>46.3</v>
      </c>
      <c r="K338" s="95" t="inlineStr">
        <is>
          <t>2659 BAO PHARMA-B</t>
        </is>
      </c>
    </row>
    <row r="339">
      <c r="A339" s="16" t="inlineStr">
        <is>
          <t>Nie Miao ( ᔗ↿) –</t>
        </is>
      </c>
      <c r="B339" s="88" t="n">
        <v>1</v>
      </c>
      <c r="C339" s="93" t="n">
        <v>100</v>
      </c>
      <c r="D339" s="94" t="n">
        <v>138.8</v>
      </c>
      <c r="E339" s="94" t="n">
        <v>173.7</v>
      </c>
      <c r="F339" s="94" t="n">
        <v>226.8</v>
      </c>
      <c r="G339" s="94" t="n">
        <v>249.3</v>
      </c>
      <c r="H339" s="94" t="n">
        <v>14.6</v>
      </c>
      <c r="I339" s="94" t="n">
        <v>36.8</v>
      </c>
      <c r="J339" s="94" t="n">
        <v>46.3</v>
      </c>
      <c r="K339" s="95" t="inlineStr">
        <is>
          <t>2659 BAO PHARMA-B</t>
        </is>
      </c>
    </row>
    <row r="340">
      <c r="A340" s="16" t="inlineStr">
        <is>
          <t>Wang Jufang (ٹ581,930</t>
        </is>
      </c>
      <c r="B340" s="88" t="n">
        <v>1</v>
      </c>
      <c r="C340" s="93" t="n">
        <v>100</v>
      </c>
      <c r="D340" s="94" t="n">
        <v>138.8</v>
      </c>
      <c r="E340" s="94" t="n">
        <v>173.7</v>
      </c>
      <c r="F340" s="94" t="n">
        <v>226.8</v>
      </c>
      <c r="G340" s="94" t="n">
        <v>249.3</v>
      </c>
      <c r="H340" s="94" t="n">
        <v>14.6</v>
      </c>
      <c r="I340" s="94" t="n">
        <v>36.8</v>
      </c>
      <c r="J340" s="94" t="n">
        <v>46.3</v>
      </c>
      <c r="K340" s="95" t="inlineStr">
        <is>
          <t>2659 BAO PHARMA-B</t>
        </is>
      </c>
    </row>
    <row r="341">
      <c r="A341" s="16" t="inlineStr">
        <is>
          <t>Cui Hongyan (ᜮ) –</t>
        </is>
      </c>
      <c r="B341" s="88" t="n">
        <v>1</v>
      </c>
      <c r="C341" s="93" t="n">
        <v>100</v>
      </c>
      <c r="D341" s="94" t="n">
        <v>138.8</v>
      </c>
      <c r="E341" s="94" t="n">
        <v>173.7</v>
      </c>
      <c r="F341" s="94" t="n">
        <v>226.8</v>
      </c>
      <c r="G341" s="94" t="n">
        <v>249.3</v>
      </c>
      <c r="H341" s="94" t="n">
        <v>14.6</v>
      </c>
      <c r="I341" s="94" t="n">
        <v>36.8</v>
      </c>
      <c r="J341" s="94" t="n">
        <v>46.3</v>
      </c>
      <c r="K341" s="95" t="inlineStr">
        <is>
          <t>2659 BAO PHARMA-B</t>
        </is>
      </c>
    </row>
    <row r="342">
      <c r="A342" s="16" t="inlineStr">
        <is>
          <t>Liu Jintao (ᏹ) –</t>
        </is>
      </c>
      <c r="B342" s="88" t="n">
        <v>1</v>
      </c>
      <c r="C342" s="93" t="n">
        <v>100</v>
      </c>
      <c r="D342" s="94" t="n">
        <v>138.8</v>
      </c>
      <c r="E342" s="94" t="n">
        <v>173.7</v>
      </c>
      <c r="F342" s="94" t="n">
        <v>226.8</v>
      </c>
      <c r="G342" s="94" t="n">
        <v>249.3</v>
      </c>
      <c r="H342" s="94" t="n">
        <v>14.6</v>
      </c>
      <c r="I342" s="94" t="n">
        <v>36.8</v>
      </c>
      <c r="J342" s="94" t="n">
        <v>46.3</v>
      </c>
      <c r="K342" s="95" t="inlineStr">
        <is>
          <t>2659 BAO PHARMA-B</t>
        </is>
      </c>
    </row>
    <row r="343">
      <c r="A343" s="16" t="inlineStr">
        <is>
          <t>Huang Haitao ( රऎᏹ)</t>
        </is>
      </c>
      <c r="B343" s="88" t="n">
        <v>1</v>
      </c>
      <c r="C343" s="93" t="n">
        <v>100</v>
      </c>
      <c r="D343" s="94" t="n">
        <v>138.8</v>
      </c>
      <c r="E343" s="94" t="n">
        <v>173.7</v>
      </c>
      <c r="F343" s="94" t="n">
        <v>226.8</v>
      </c>
      <c r="G343" s="94" t="n">
        <v>249.3</v>
      </c>
      <c r="H343" s="94" t="n">
        <v>14.6</v>
      </c>
      <c r="I343" s="94" t="n">
        <v>36.8</v>
      </c>
      <c r="J343" s="94" t="n">
        <v>46.3</v>
      </c>
      <c r="K343" s="95" t="inlineStr">
        <is>
          <t>2659 BAO PHARMA-B</t>
        </is>
      </c>
    </row>
    <row r="344">
      <c r="A344" s="16" t="inlineStr">
        <is>
          <t>Xu Sumin ( ஢९ઽ) –</t>
        </is>
      </c>
      <c r="B344" s="88" t="n">
        <v>1</v>
      </c>
      <c r="C344" s="93" t="n">
        <v>100</v>
      </c>
      <c r="D344" s="94" t="n">
        <v>138.8</v>
      </c>
      <c r="E344" s="94" t="n">
        <v>173.7</v>
      </c>
      <c r="F344" s="94" t="n">
        <v>226.8</v>
      </c>
      <c r="G344" s="94" t="n">
        <v>249.3</v>
      </c>
      <c r="H344" s="94" t="n">
        <v>14.6</v>
      </c>
      <c r="I344" s="94" t="n">
        <v>36.8</v>
      </c>
      <c r="J344" s="94" t="n">
        <v>46.3</v>
      </c>
      <c r="K344" s="95" t="inlineStr">
        <is>
          <t>2659 BAO PHARMA-B</t>
        </is>
      </c>
    </row>
    <row r="345">
      <c r="A345" s="16" t="inlineStr">
        <is>
          <t>Song Aihui ( ҂ฌฯ)</t>
        </is>
      </c>
      <c r="B345" s="88" t="n">
        <v>1</v>
      </c>
      <c r="C345" s="93" t="n">
        <v>100</v>
      </c>
      <c r="D345" s="94" t="n">
        <v>138.8</v>
      </c>
      <c r="E345" s="94" t="n">
        <v>173.7</v>
      </c>
      <c r="F345" s="94" t="n">
        <v>226.8</v>
      </c>
      <c r="G345" s="94" t="n">
        <v>249.3</v>
      </c>
      <c r="H345" s="94" t="n">
        <v>14.6</v>
      </c>
      <c r="I345" s="94" t="n">
        <v>36.8</v>
      </c>
      <c r="J345" s="94" t="n">
        <v>46.3</v>
      </c>
      <c r="K345" s="95" t="inlineStr">
        <is>
          <t>2659 BAO PHARMA-B</t>
        </is>
      </c>
    </row>
    <row r="346">
      <c r="A346" s="16" t="inlineStr">
        <is>
          <t>Zhao Liping ( Ⴛ஁റ)</t>
        </is>
      </c>
      <c r="B346" s="88" t="n">
        <v>1</v>
      </c>
      <c r="C346" s="93" t="n">
        <v>100</v>
      </c>
      <c r="D346" s="94" t="n">
        <v>138.8</v>
      </c>
      <c r="E346" s="94" t="n">
        <v>173.7</v>
      </c>
      <c r="F346" s="94" t="n">
        <v>226.8</v>
      </c>
      <c r="G346" s="94" t="n">
        <v>249.3</v>
      </c>
      <c r="H346" s="94" t="n">
        <v>14.6</v>
      </c>
      <c r="I346" s="94" t="n">
        <v>36.8</v>
      </c>
      <c r="J346" s="94" t="n">
        <v>46.3</v>
      </c>
      <c r="K346" s="95" t="inlineStr">
        <is>
          <t>2659 BAO PHARMA-B</t>
        </is>
      </c>
    </row>
    <row r="347">
      <c r="A347" s="16" t="inlineStr">
        <is>
          <t>Chample International Limited</t>
        </is>
      </c>
      <c r="B347" s="88" t="n">
        <v>1</v>
      </c>
      <c r="C347" s="93" t="n">
        <v>100</v>
      </c>
      <c r="D347" s="94" t="n">
        <v>127.1</v>
      </c>
      <c r="E347" s="94" t="n">
        <v>105.9</v>
      </c>
      <c r="F347" s="94" t="n">
        <v>10</v>
      </c>
      <c r="G347" s="94" t="n"/>
      <c r="H347" s="94" t="n">
        <v>-9.300000000000001</v>
      </c>
      <c r="I347" s="94" t="n">
        <v>-51.6</v>
      </c>
      <c r="J347" s="94" t="n"/>
      <c r="K347" s="95" t="inlineStr">
        <is>
          <t>6675 SENASIC</t>
        </is>
      </c>
    </row>
    <row r="348">
      <c r="A348" s="16" t="inlineStr">
        <is>
          <t>Libra Fixed Income One SP</t>
        </is>
      </c>
      <c r="B348" s="88" t="n">
        <v>1</v>
      </c>
      <c r="C348" s="93" t="n">
        <v>100</v>
      </c>
      <c r="D348" s="94" t="n">
        <v>127.1</v>
      </c>
      <c r="E348" s="94" t="n">
        <v>105.9</v>
      </c>
      <c r="F348" s="94" t="n">
        <v>10</v>
      </c>
      <c r="G348" s="94" t="n"/>
      <c r="H348" s="94" t="n">
        <v>-9.300000000000001</v>
      </c>
      <c r="I348" s="94" t="n">
        <v>-51.6</v>
      </c>
      <c r="J348" s="94" t="n"/>
      <c r="K348" s="95" t="inlineStr">
        <is>
          <t>6675 SENASIC</t>
        </is>
      </c>
    </row>
    <row r="349">
      <c r="A349" s="16" t="inlineStr">
        <is>
          <t>Longwei Hong Kong Company Limited</t>
        </is>
      </c>
      <c r="B349" s="88" t="n">
        <v>1</v>
      </c>
      <c r="C349" s="93" t="n">
        <v>100</v>
      </c>
      <c r="D349" s="94" t="n">
        <v>127.1</v>
      </c>
      <c r="E349" s="94" t="n">
        <v>105.9</v>
      </c>
      <c r="F349" s="94" t="n">
        <v>10</v>
      </c>
      <c r="G349" s="94" t="n"/>
      <c r="H349" s="94" t="n">
        <v>-9.300000000000001</v>
      </c>
      <c r="I349" s="94" t="n">
        <v>-51.6</v>
      </c>
      <c r="J349" s="94" t="n"/>
      <c r="K349" s="95" t="inlineStr">
        <is>
          <t>6675 SENASIC</t>
        </is>
      </c>
    </row>
    <row r="350">
      <c r="A350" s="16" t="inlineStr">
        <is>
          <t>Mr. Andrew Y Yan</t>
        </is>
      </c>
      <c r="B350" s="88" t="n">
        <v>1</v>
      </c>
      <c r="C350" s="93" t="n">
        <v>100</v>
      </c>
      <c r="D350" s="94" t="n">
        <v>127.1</v>
      </c>
      <c r="E350" s="94" t="n">
        <v>105.9</v>
      </c>
      <c r="F350" s="94" t="n">
        <v>10</v>
      </c>
      <c r="G350" s="94" t="n"/>
      <c r="H350" s="94" t="n">
        <v>-9.300000000000001</v>
      </c>
      <c r="I350" s="94" t="n">
        <v>-51.6</v>
      </c>
      <c r="J350" s="94" t="n"/>
      <c r="K350" s="95" t="inlineStr">
        <is>
          <t>6675 SENASIC</t>
        </is>
      </c>
    </row>
    <row r="351">
      <c r="A351" s="16" t="inlineStr">
        <is>
          <t>Tembusu Limited</t>
        </is>
      </c>
      <c r="B351" s="88" t="n">
        <v>1</v>
      </c>
      <c r="C351" s="93" t="n">
        <v>100</v>
      </c>
      <c r="D351" s="94" t="n">
        <v>127.1</v>
      </c>
      <c r="E351" s="94" t="n">
        <v>105.9</v>
      </c>
      <c r="F351" s="94" t="n">
        <v>10</v>
      </c>
      <c r="G351" s="94" t="n"/>
      <c r="H351" s="94" t="n">
        <v>-9.300000000000001</v>
      </c>
      <c r="I351" s="94" t="n">
        <v>-51.6</v>
      </c>
      <c r="J351" s="94" t="n"/>
      <c r="K351" s="95" t="inlineStr">
        <is>
          <t>6675 SENASIC</t>
        </is>
      </c>
    </row>
    <row r="352">
      <c r="A352" s="16" t="inlineStr">
        <is>
          <t>Thalassa Capital Dynamics SPC</t>
        </is>
      </c>
      <c r="B352" s="88" t="n">
        <v>1</v>
      </c>
      <c r="C352" s="93" t="n">
        <v>100</v>
      </c>
      <c r="D352" s="94" t="n">
        <v>127.1</v>
      </c>
      <c r="E352" s="94" t="n">
        <v>105.9</v>
      </c>
      <c r="F352" s="94" t="n">
        <v>10</v>
      </c>
      <c r="G352" s="94" t="n"/>
      <c r="H352" s="94" t="n">
        <v>-9.300000000000001</v>
      </c>
      <c r="I352" s="94" t="n">
        <v>-51.6</v>
      </c>
      <c r="J352" s="94" t="n"/>
      <c r="K352" s="95" t="inlineStr">
        <is>
          <t>6675 SENASIC</t>
        </is>
      </c>
    </row>
    <row r="353">
      <c r="A353" s="16" t="inlineStr">
        <is>
          <t>Xu Yanjun</t>
        </is>
      </c>
      <c r="B353" s="88" t="n">
        <v>1</v>
      </c>
      <c r="C353" s="93" t="n">
        <v>100</v>
      </c>
      <c r="D353" s="94" t="n">
        <v>126.7</v>
      </c>
      <c r="E353" s="94" t="n">
        <v>417.2</v>
      </c>
      <c r="F353" s="94" t="n">
        <v>451.3</v>
      </c>
      <c r="G353" s="94" t="n">
        <v>509.1</v>
      </c>
      <c r="H353" s="94" t="n">
        <v>128.1</v>
      </c>
      <c r="I353" s="94" t="n">
        <v>143.2</v>
      </c>
      <c r="J353" s="94" t="n">
        <v>168.6</v>
      </c>
      <c r="K353" s="95" t="inlineStr">
        <is>
          <t>2575 XUANZHUBIO-B</t>
        </is>
      </c>
    </row>
    <row r="354">
      <c r="A354" s="16" t="inlineStr">
        <is>
          <t>Li Jia Kui</t>
        </is>
      </c>
      <c r="B354" s="88" t="n">
        <v>1</v>
      </c>
      <c r="C354" s="93" t="n">
        <v>100</v>
      </c>
      <c r="D354" s="94" t="n">
        <v>126.7</v>
      </c>
      <c r="E354" s="94" t="n">
        <v>417.2</v>
      </c>
      <c r="F354" s="94" t="n">
        <v>451.3</v>
      </c>
      <c r="G354" s="94" t="n">
        <v>509.1</v>
      </c>
      <c r="H354" s="94" t="n">
        <v>128.1</v>
      </c>
      <c r="I354" s="94" t="n">
        <v>143.2</v>
      </c>
      <c r="J354" s="94" t="n">
        <v>168.6</v>
      </c>
      <c r="K354" s="95" t="inlineStr">
        <is>
          <t>2575 XUANZHUBIO-B</t>
        </is>
      </c>
    </row>
    <row r="355">
      <c r="A355" s="16" t="inlineStr">
        <is>
          <t>China Venture Capital Innovation Investment Fund Co., Ltd</t>
        </is>
      </c>
      <c r="B355" s="88" t="n">
        <v>1</v>
      </c>
      <c r="C355" s="93" t="n">
        <v>100</v>
      </c>
      <c r="D355" s="94" t="n">
        <v>126.7</v>
      </c>
      <c r="E355" s="94" t="n">
        <v>71.40000000000001</v>
      </c>
      <c r="F355" s="94" t="n">
        <v>25.6</v>
      </c>
      <c r="G355" s="94" t="n">
        <v>25.6</v>
      </c>
      <c r="H355" s="94" t="n">
        <v>-24.4</v>
      </c>
      <c r="I355" s="94" t="n">
        <v>-44.6</v>
      </c>
      <c r="J355" s="94" t="n">
        <v>-44.6</v>
      </c>
      <c r="K355" s="95" t="inlineStr">
        <is>
          <t>7666 METIS TECHBIO-P</t>
        </is>
      </c>
    </row>
    <row r="356">
      <c r="A356" s="16" t="inlineStr">
        <is>
          <t>Deerfield Management Company, L.P</t>
        </is>
      </c>
      <c r="B356" s="88" t="n">
        <v>1</v>
      </c>
      <c r="C356" s="93" t="n">
        <v>100</v>
      </c>
      <c r="D356" s="94" t="n">
        <v>126.7</v>
      </c>
      <c r="E356" s="94" t="n">
        <v>71.40000000000001</v>
      </c>
      <c r="F356" s="94" t="n">
        <v>25.6</v>
      </c>
      <c r="G356" s="94" t="n">
        <v>25.6</v>
      </c>
      <c r="H356" s="94" t="n">
        <v>-24.4</v>
      </c>
      <c r="I356" s="94" t="n">
        <v>-44.6</v>
      </c>
      <c r="J356" s="94" t="n">
        <v>-44.6</v>
      </c>
      <c r="K356" s="95" t="inlineStr">
        <is>
          <t>7666 METIS TECHBIO-P</t>
        </is>
      </c>
    </row>
    <row r="357">
      <c r="A357" s="16" t="inlineStr">
        <is>
          <t>Isometry Global Master Fund, L.P</t>
        </is>
      </c>
      <c r="B357" s="88" t="n">
        <v>1</v>
      </c>
      <c r="C357" s="93" t="n">
        <v>100</v>
      </c>
      <c r="D357" s="94" t="n">
        <v>126.7</v>
      </c>
      <c r="E357" s="94" t="n">
        <v>71.40000000000001</v>
      </c>
      <c r="F357" s="94" t="n">
        <v>25.6</v>
      </c>
      <c r="G357" s="94" t="n">
        <v>25.6</v>
      </c>
      <c r="H357" s="94" t="n">
        <v>-24.4</v>
      </c>
      <c r="I357" s="94" t="n">
        <v>-44.6</v>
      </c>
      <c r="J357" s="94" t="n">
        <v>-44.6</v>
      </c>
      <c r="K357" s="95" t="inlineStr">
        <is>
          <t>7666 METIS TECHBIO-P</t>
        </is>
      </c>
    </row>
    <row r="358">
      <c r="A358" s="16" t="inlineStr">
        <is>
          <t>OAP IV (HK) Limited</t>
        </is>
      </c>
      <c r="B358" s="88" t="n">
        <v>1</v>
      </c>
      <c r="C358" s="93" t="n">
        <v>100</v>
      </c>
      <c r="D358" s="94" t="n">
        <v>118.3</v>
      </c>
      <c r="E358" s="94" t="n">
        <v>102.4</v>
      </c>
      <c r="F358" s="94" t="n">
        <v>94.3</v>
      </c>
      <c r="G358" s="94" t="n">
        <v>26.4</v>
      </c>
      <c r="H358" s="94" t="n">
        <v>-7.2</v>
      </c>
      <c r="I358" s="94" t="n">
        <v>-11</v>
      </c>
      <c r="J358" s="94" t="n">
        <v>-42.1</v>
      </c>
      <c r="K358" s="95" t="inlineStr">
        <is>
          <t>1609 STAR SPORTS MED</t>
        </is>
      </c>
    </row>
    <row r="359">
      <c r="A359" s="16" t="inlineStr">
        <is>
          <t>E Fund Mangement</t>
        </is>
      </c>
      <c r="B359" s="88" t="n">
        <v>1</v>
      </c>
      <c r="C359" s="93" t="n">
        <v>100</v>
      </c>
      <c r="D359" s="94" t="n">
        <v>116.7</v>
      </c>
      <c r="E359" s="94" t="n">
        <v>137.8</v>
      </c>
      <c r="F359" s="94" t="n">
        <v>111.4</v>
      </c>
      <c r="G359" s="94" t="n">
        <v>255.2</v>
      </c>
      <c r="H359" s="94" t="n">
        <v>9.800000000000001</v>
      </c>
      <c r="I359" s="94" t="n">
        <v>-2.4</v>
      </c>
      <c r="J359" s="94" t="n">
        <v>63.9</v>
      </c>
      <c r="K359" s="95" t="inlineStr">
        <is>
          <t>9606 DUALITYBIO-B</t>
        </is>
      </c>
    </row>
    <row r="360">
      <c r="A360" s="16" t="inlineStr">
        <is>
          <t>BioNTech SE</t>
        </is>
      </c>
      <c r="B360" s="88" t="n">
        <v>1</v>
      </c>
      <c r="C360" s="93" t="n">
        <v>100</v>
      </c>
      <c r="D360" s="94" t="n">
        <v>116.7</v>
      </c>
      <c r="E360" s="94" t="n">
        <v>137.8</v>
      </c>
      <c r="F360" s="94" t="n">
        <v>111.4</v>
      </c>
      <c r="G360" s="94" t="n">
        <v>255.2</v>
      </c>
      <c r="H360" s="94" t="n">
        <v>9.800000000000001</v>
      </c>
      <c r="I360" s="94" t="n">
        <v>-2.4</v>
      </c>
      <c r="J360" s="94" t="n">
        <v>63.9</v>
      </c>
      <c r="K360" s="95" t="inlineStr">
        <is>
          <t>9606 DUALITYBIO-B</t>
        </is>
      </c>
    </row>
    <row r="361">
      <c r="A361" s="16" t="inlineStr">
        <is>
          <t>DualityBio Ltd</t>
        </is>
      </c>
      <c r="B361" s="88" t="n">
        <v>1</v>
      </c>
      <c r="C361" s="93" t="n">
        <v>100</v>
      </c>
      <c r="D361" s="94" t="n">
        <v>116.7</v>
      </c>
      <c r="E361" s="94" t="n">
        <v>137.8</v>
      </c>
      <c r="F361" s="94" t="n">
        <v>111.4</v>
      </c>
      <c r="G361" s="94" t="n">
        <v>255.2</v>
      </c>
      <c r="H361" s="94" t="n">
        <v>9.800000000000001</v>
      </c>
      <c r="I361" s="94" t="n">
        <v>-2.4</v>
      </c>
      <c r="J361" s="94" t="n">
        <v>63.9</v>
      </c>
      <c r="K361" s="95" t="inlineStr">
        <is>
          <t>9606 DUALITYBIO-B</t>
        </is>
      </c>
    </row>
    <row r="362">
      <c r="A362" s="16" t="inlineStr">
        <is>
          <t>Fighton Asia Master Fund Limited</t>
        </is>
      </c>
      <c r="B362" s="88" t="n">
        <v>1</v>
      </c>
      <c r="C362" s="93" t="n">
        <v>100</v>
      </c>
      <c r="D362" s="94" t="n">
        <v>110.9</v>
      </c>
      <c r="E362" s="94" t="n">
        <v>218.8</v>
      </c>
      <c r="F362" s="94" t="n">
        <v>314.1</v>
      </c>
      <c r="G362" s="94" t="n">
        <v>284.4</v>
      </c>
      <c r="H362" s="94" t="n">
        <v>51.1</v>
      </c>
      <c r="I362" s="94" t="n">
        <v>96.3</v>
      </c>
      <c r="J362" s="94" t="n">
        <v>82.2</v>
      </c>
      <c r="K362" s="95" t="inlineStr">
        <is>
          <t>2422 REGO INTERACT</t>
        </is>
      </c>
    </row>
    <row r="363">
      <c r="A363" s="16" t="inlineStr">
        <is>
          <t>Authority</t>
        </is>
      </c>
      <c r="B363" s="88" t="n">
        <v>1</v>
      </c>
      <c r="C363" s="93" t="n">
        <v>100</v>
      </c>
      <c r="D363" s="94" t="n">
        <v>109.1</v>
      </c>
      <c r="E363" s="94" t="n">
        <v>165.4</v>
      </c>
      <c r="F363" s="94" t="n">
        <v>212.1</v>
      </c>
      <c r="G363" s="94" t="n">
        <v>445.8</v>
      </c>
      <c r="H363" s="94" t="n">
        <v>26.9</v>
      </c>
      <c r="I363" s="94" t="n">
        <v>49.3</v>
      </c>
      <c r="J363" s="94" t="n">
        <v>161</v>
      </c>
      <c r="K363" s="95" t="inlineStr">
        <is>
          <t>0100 MINIMAX-WP</t>
        </is>
      </c>
    </row>
    <row r="364">
      <c r="A364" s="16" t="inlineStr">
        <is>
          <t>First Quarter Moon OFC — Phecda Fund</t>
        </is>
      </c>
      <c r="B364" s="88" t="n">
        <v>1</v>
      </c>
      <c r="C364" s="93" t="n">
        <v>100</v>
      </c>
      <c r="D364" s="94" t="n">
        <v>108.3</v>
      </c>
      <c r="E364" s="94" t="n">
        <v>86.3</v>
      </c>
      <c r="F364" s="94" t="n">
        <v>81.09999999999999</v>
      </c>
      <c r="G364" s="94" t="n">
        <v>-39.8</v>
      </c>
      <c r="H364" s="94" t="n">
        <v>-10.6</v>
      </c>
      <c r="I364" s="94" t="n">
        <v>-13.1</v>
      </c>
      <c r="J364" s="94" t="n">
        <v>-71.09999999999999</v>
      </c>
      <c r="K364" s="95" t="inlineStr">
        <is>
          <t>7630 IMPACT THERAP-B</t>
        </is>
      </c>
    </row>
    <row r="365">
      <c r="A365" s="16" t="inlineStr">
        <is>
          <t>E Fund Hong Kong</t>
        </is>
      </c>
      <c r="B365" s="88" t="n">
        <v>1</v>
      </c>
      <c r="C365" s="93" t="n">
        <v>100</v>
      </c>
      <c r="D365" s="94" t="n">
        <v>106.5</v>
      </c>
      <c r="E365" s="94" t="n">
        <v>87.3</v>
      </c>
      <c r="F365" s="94" t="n">
        <v>30.1</v>
      </c>
      <c r="G365" s="94" t="n">
        <v>25.8</v>
      </c>
      <c r="H365" s="94" t="n">
        <v>-9.300000000000001</v>
      </c>
      <c r="I365" s="94" t="n">
        <v>-37</v>
      </c>
      <c r="J365" s="94" t="n">
        <v>-39.1</v>
      </c>
      <c r="K365" s="95" t="inlineStr">
        <is>
          <t>2595 GENFLEET-B</t>
        </is>
      </c>
    </row>
    <row r="366">
      <c r="A366" s="16" t="inlineStr">
        <is>
          <t>Hundreds Capital</t>
        </is>
      </c>
      <c r="B366" s="88" t="n">
        <v>1</v>
      </c>
      <c r="C366" s="93" t="n">
        <v>100</v>
      </c>
      <c r="D366" s="94" t="n">
        <v>106.1</v>
      </c>
      <c r="E366" s="94" t="n">
        <v>57.2</v>
      </c>
      <c r="F366" s="94" t="n">
        <v>45.2</v>
      </c>
      <c r="G366" s="94" t="n">
        <v>77.90000000000001</v>
      </c>
      <c r="H366" s="94" t="n">
        <v>-23.8</v>
      </c>
      <c r="I366" s="94" t="n">
        <v>-29.5</v>
      </c>
      <c r="J366" s="94" t="n">
        <v>-13.7</v>
      </c>
      <c r="K366" s="95" t="inlineStr">
        <is>
          <t>2718 MININGLAMP-W</t>
        </is>
      </c>
    </row>
    <row r="367">
      <c r="A367" s="16" t="inlineStr">
        <is>
          <t>GFH Financial Group B.S.C</t>
        </is>
      </c>
      <c r="B367" s="88" t="n">
        <v>1</v>
      </c>
      <c r="C367" s="93" t="n">
        <v>100</v>
      </c>
      <c r="D367" s="94" t="n">
        <v>106.1</v>
      </c>
      <c r="E367" s="94" t="n">
        <v>57.2</v>
      </c>
      <c r="F367" s="94" t="n">
        <v>45.2</v>
      </c>
      <c r="G367" s="94" t="n">
        <v>77.90000000000001</v>
      </c>
      <c r="H367" s="94" t="n">
        <v>-23.8</v>
      </c>
      <c r="I367" s="94" t="n">
        <v>-29.5</v>
      </c>
      <c r="J367" s="94" t="n">
        <v>-13.7</v>
      </c>
      <c r="K367" s="95" t="inlineStr">
        <is>
          <t>2718 MININGLAMP-W</t>
        </is>
      </c>
    </row>
    <row r="368">
      <c r="A368" s="16" t="inlineStr">
        <is>
          <t>International Capital Management Limited</t>
        </is>
      </c>
      <c r="B368" s="88" t="n">
        <v>1</v>
      </c>
      <c r="C368" s="93" t="n">
        <v>100</v>
      </c>
      <c r="D368" s="94" t="n">
        <v>106.1</v>
      </c>
      <c r="E368" s="94" t="n">
        <v>57.2</v>
      </c>
      <c r="F368" s="94" t="n">
        <v>45.2</v>
      </c>
      <c r="G368" s="94" t="n">
        <v>77.90000000000001</v>
      </c>
      <c r="H368" s="94" t="n">
        <v>-23.8</v>
      </c>
      <c r="I368" s="94" t="n">
        <v>-29.5</v>
      </c>
      <c r="J368" s="94" t="n">
        <v>-13.7</v>
      </c>
      <c r="K368" s="95" t="inlineStr">
        <is>
          <t>2718 MININGLAMP-W</t>
        </is>
      </c>
    </row>
    <row r="369">
      <c r="A369" s="16" t="inlineStr">
        <is>
          <t>HK Yonglian Investment Development Co., Limited</t>
        </is>
      </c>
      <c r="B369" s="88" t="n">
        <v>1</v>
      </c>
      <c r="C369" s="93" t="n">
        <v>100</v>
      </c>
      <c r="D369" s="94" t="n">
        <v>103.8</v>
      </c>
      <c r="E369" s="94" t="n">
        <v>55.1</v>
      </c>
      <c r="F369" s="94" t="n">
        <v>30.3</v>
      </c>
      <c r="G369" s="94" t="n"/>
      <c r="H369" s="94" t="n">
        <v>-23.9</v>
      </c>
      <c r="I369" s="94" t="n">
        <v>-36.1</v>
      </c>
      <c r="J369" s="94" t="n"/>
      <c r="K369" s="95" t="inlineStr">
        <is>
          <t>9630 CFMEE</t>
        </is>
      </c>
    </row>
    <row r="370">
      <c r="A370" s="16" t="inlineStr">
        <is>
          <t>Hong Kong Xinyao Investment Limited</t>
        </is>
      </c>
      <c r="B370" s="88" t="n">
        <v>1</v>
      </c>
      <c r="C370" s="93" t="n">
        <v>100</v>
      </c>
      <c r="D370" s="94" t="n">
        <v>103.8</v>
      </c>
      <c r="E370" s="94" t="n">
        <v>55.1</v>
      </c>
      <c r="F370" s="94" t="n">
        <v>30.3</v>
      </c>
      <c r="G370" s="94" t="n"/>
      <c r="H370" s="94" t="n">
        <v>-23.9</v>
      </c>
      <c r="I370" s="94" t="n">
        <v>-36.1</v>
      </c>
      <c r="J370" s="94" t="n"/>
      <c r="K370" s="95" t="inlineStr">
        <is>
          <t>9630 CFMEE</t>
        </is>
      </c>
    </row>
    <row r="371">
      <c r="A371" s="16" t="inlineStr">
        <is>
          <t>Lion Global Investors Limited</t>
        </is>
      </c>
      <c r="B371" s="88" t="n">
        <v>1</v>
      </c>
      <c r="C371" s="93" t="n">
        <v>100</v>
      </c>
      <c r="D371" s="94" t="n">
        <v>103.8</v>
      </c>
      <c r="E371" s="94" t="n">
        <v>55.1</v>
      </c>
      <c r="F371" s="94" t="n">
        <v>30.3</v>
      </c>
      <c r="G371" s="94" t="n"/>
      <c r="H371" s="94" t="n">
        <v>-23.9</v>
      </c>
      <c r="I371" s="94" t="n">
        <v>-36.1</v>
      </c>
      <c r="J371" s="94" t="n"/>
      <c r="K371" s="95" t="inlineStr">
        <is>
          <t>9630 CFMEE</t>
        </is>
      </c>
    </row>
    <row r="372">
      <c r="A372" s="16" t="inlineStr">
        <is>
          <t>Monterey Park Finance Limited</t>
        </is>
      </c>
      <c r="B372" s="88" t="n">
        <v>1</v>
      </c>
      <c r="C372" s="93" t="n">
        <v>100</v>
      </c>
      <c r="D372" s="94" t="n">
        <v>103.8</v>
      </c>
      <c r="E372" s="94" t="n">
        <v>55.1</v>
      </c>
      <c r="F372" s="94" t="n">
        <v>30.3</v>
      </c>
      <c r="G372" s="94" t="n"/>
      <c r="H372" s="94" t="n">
        <v>-23.9</v>
      </c>
      <c r="I372" s="94" t="n">
        <v>-36.1</v>
      </c>
      <c r="J372" s="94" t="n"/>
      <c r="K372" s="95" t="inlineStr">
        <is>
          <t>9630 CFMEE</t>
        </is>
      </c>
    </row>
    <row r="373">
      <c r="A373" s="16" t="inlineStr">
        <is>
          <t>Nexchip Semiconductor Hong Kong Corporation Limited</t>
        </is>
      </c>
      <c r="B373" s="88" t="n">
        <v>1</v>
      </c>
      <c r="C373" s="93" t="n">
        <v>100</v>
      </c>
      <c r="D373" s="94" t="n">
        <v>103.8</v>
      </c>
      <c r="E373" s="94" t="n">
        <v>55.1</v>
      </c>
      <c r="F373" s="94" t="n">
        <v>30.3</v>
      </c>
      <c r="G373" s="94" t="n"/>
      <c r="H373" s="94" t="n">
        <v>-23.9</v>
      </c>
      <c r="I373" s="94" t="n">
        <v>-36.1</v>
      </c>
      <c r="J373" s="94" t="n"/>
      <c r="K373" s="95" t="inlineStr">
        <is>
          <t>9630 CFMEE</t>
        </is>
      </c>
    </row>
    <row r="374">
      <c r="A374" s="16" t="inlineStr">
        <is>
          <t>Loomis Sayles Trust Company, LLC</t>
        </is>
      </c>
      <c r="B374" s="88" t="n">
        <v>1</v>
      </c>
      <c r="C374" s="93" t="n">
        <v>100</v>
      </c>
      <c r="D374" s="94" t="n">
        <v>103.5</v>
      </c>
      <c r="E374" s="94" t="n">
        <v>29.1</v>
      </c>
      <c r="F374" s="94" t="n">
        <v>19.5</v>
      </c>
      <c r="G374" s="94" t="n"/>
      <c r="H374" s="94" t="n">
        <v>-36.6</v>
      </c>
      <c r="I374" s="94" t="n">
        <v>-41.3</v>
      </c>
      <c r="J374" s="94" t="n"/>
      <c r="K374" s="95" t="inlineStr">
        <is>
          <t>9637 ALEBUND-B</t>
        </is>
      </c>
    </row>
    <row r="375">
      <c r="A375" s="16" t="inlineStr">
        <is>
          <t>Perfect Ten Holding Limited</t>
        </is>
      </c>
      <c r="B375" s="88" t="n">
        <v>1</v>
      </c>
      <c r="C375" s="93" t="n">
        <v>100</v>
      </c>
      <c r="D375" s="94" t="n">
        <v>103.5</v>
      </c>
      <c r="E375" s="94" t="n">
        <v>29.1</v>
      </c>
      <c r="F375" s="94" t="n">
        <v>19.5</v>
      </c>
      <c r="G375" s="94" t="n"/>
      <c r="H375" s="94" t="n">
        <v>-36.6</v>
      </c>
      <c r="I375" s="94" t="n">
        <v>-41.3</v>
      </c>
      <c r="J375" s="94" t="n"/>
      <c r="K375" s="95" t="inlineStr">
        <is>
          <t>9637 ALEBUND-B</t>
        </is>
      </c>
    </row>
    <row r="376">
      <c r="A376" s="16" t="inlineStr">
        <is>
          <t>SymBiosis II, LLC</t>
        </is>
      </c>
      <c r="B376" s="88" t="n">
        <v>1</v>
      </c>
      <c r="C376" s="93" t="n">
        <v>100</v>
      </c>
      <c r="D376" s="94" t="n">
        <v>103.5</v>
      </c>
      <c r="E376" s="94" t="n">
        <v>29.1</v>
      </c>
      <c r="F376" s="94" t="n">
        <v>19.5</v>
      </c>
      <c r="G376" s="94" t="n"/>
      <c r="H376" s="94" t="n">
        <v>-36.6</v>
      </c>
      <c r="I376" s="94" t="n">
        <v>-41.3</v>
      </c>
      <c r="J376" s="94" t="n"/>
      <c r="K376" s="95" t="inlineStr">
        <is>
          <t>9637 ALEBUND-B</t>
        </is>
      </c>
    </row>
    <row r="377">
      <c r="A377" s="16" t="inlineStr">
        <is>
          <t>AXA Investment Managers UK Limited</t>
        </is>
      </c>
      <c r="B377" s="88" t="n">
        <v>1</v>
      </c>
      <c r="C377" s="93" t="n">
        <v>100</v>
      </c>
      <c r="D377" s="94" t="n">
        <v>103.4</v>
      </c>
      <c r="E377" s="94" t="n">
        <v>73.7</v>
      </c>
      <c r="F377" s="94" t="n">
        <v>64.40000000000001</v>
      </c>
      <c r="G377" s="94" t="n">
        <v>-14.7</v>
      </c>
      <c r="H377" s="94" t="n">
        <v>-14.6</v>
      </c>
      <c r="I377" s="94" t="n">
        <v>-19.2</v>
      </c>
      <c r="J377" s="94" t="n">
        <v>-58.1</v>
      </c>
      <c r="K377" s="95" t="inlineStr">
        <is>
          <t>6656 SIGENERGY</t>
        </is>
      </c>
    </row>
    <row r="378">
      <c r="A378" s="16" t="inlineStr">
        <is>
          <t>Lazurite Hime L.P</t>
        </is>
      </c>
      <c r="B378" s="88" t="n">
        <v>1</v>
      </c>
      <c r="C378" s="93" t="n">
        <v>100</v>
      </c>
      <c r="D378" s="94" t="n">
        <v>103.4</v>
      </c>
      <c r="E378" s="94" t="n">
        <v>73.7</v>
      </c>
      <c r="F378" s="94" t="n">
        <v>64.40000000000001</v>
      </c>
      <c r="G378" s="94" t="n">
        <v>-14.7</v>
      </c>
      <c r="H378" s="94" t="n">
        <v>-14.6</v>
      </c>
      <c r="I378" s="94" t="n">
        <v>-19.2</v>
      </c>
      <c r="J378" s="94" t="n">
        <v>-58.1</v>
      </c>
      <c r="K378" s="95" t="inlineStr">
        <is>
          <t>6656 SIGENERGY</t>
        </is>
      </c>
    </row>
    <row r="379">
      <c r="A379" s="16" t="inlineStr">
        <is>
          <t>Scene Cloud Global Limited</t>
        </is>
      </c>
      <c r="B379" s="88" t="n">
        <v>1</v>
      </c>
      <c r="C379" s="93" t="n">
        <v>100</v>
      </c>
      <c r="D379" s="94" t="n">
        <v>103.4</v>
      </c>
      <c r="E379" s="94" t="n">
        <v>73.7</v>
      </c>
      <c r="F379" s="94" t="n">
        <v>64.40000000000001</v>
      </c>
      <c r="G379" s="94" t="n">
        <v>-14.7</v>
      </c>
      <c r="H379" s="94" t="n">
        <v>-14.6</v>
      </c>
      <c r="I379" s="94" t="n">
        <v>-19.2</v>
      </c>
      <c r="J379" s="94" t="n">
        <v>-58.1</v>
      </c>
      <c r="K379" s="95" t="inlineStr">
        <is>
          <t>6656 SIGENERGY</t>
        </is>
      </c>
    </row>
    <row r="380">
      <c r="A380" s="16" t="inlineStr">
        <is>
          <t>Shanghai Lujiazui (Group) Co., Ltd</t>
        </is>
      </c>
      <c r="B380" s="88" t="n">
        <v>1</v>
      </c>
      <c r="C380" s="93" t="n">
        <v>100</v>
      </c>
      <c r="D380" s="94" t="n">
        <v>103.4</v>
      </c>
      <c r="E380" s="94" t="n">
        <v>73.7</v>
      </c>
      <c r="F380" s="94" t="n">
        <v>64.40000000000001</v>
      </c>
      <c r="G380" s="94" t="n">
        <v>-14.7</v>
      </c>
      <c r="H380" s="94" t="n">
        <v>-14.6</v>
      </c>
      <c r="I380" s="94" t="n">
        <v>-19.2</v>
      </c>
      <c r="J380" s="94" t="n">
        <v>-58.1</v>
      </c>
      <c r="K380" s="95" t="inlineStr">
        <is>
          <t>6656 SIGENERGY</t>
        </is>
      </c>
    </row>
    <row r="381">
      <c r="A381" s="16" t="inlineStr">
        <is>
          <t>Tropical Terrain Limited</t>
        </is>
      </c>
      <c r="B381" s="88" t="n">
        <v>1</v>
      </c>
      <c r="C381" s="93" t="n">
        <v>100</v>
      </c>
      <c r="D381" s="94" t="n">
        <v>103.4</v>
      </c>
      <c r="E381" s="94" t="n">
        <v>73.7</v>
      </c>
      <c r="F381" s="94" t="n">
        <v>64.40000000000001</v>
      </c>
      <c r="G381" s="94" t="n">
        <v>-14.7</v>
      </c>
      <c r="H381" s="94" t="n">
        <v>-14.6</v>
      </c>
      <c r="I381" s="94" t="n">
        <v>-19.2</v>
      </c>
      <c r="J381" s="94" t="n">
        <v>-58.1</v>
      </c>
      <c r="K381" s="95" t="inlineStr">
        <is>
          <t>6656 SIGENERGY</t>
        </is>
      </c>
    </row>
    <row r="382">
      <c r="A382" s="16" t="inlineStr">
        <is>
          <t>Everest Medicines Limited</t>
        </is>
      </c>
      <c r="B382" s="88" t="n">
        <v>1</v>
      </c>
      <c r="C382" s="93" t="n">
        <v>100</v>
      </c>
      <c r="D382" s="94" t="n">
        <v>102.8</v>
      </c>
      <c r="E382" s="94" t="n">
        <v>97.59999999999999</v>
      </c>
      <c r="F382" s="94" t="n">
        <v>86.8</v>
      </c>
      <c r="G382" s="94" t="n"/>
      <c r="H382" s="94" t="n">
        <v>-2.5</v>
      </c>
      <c r="I382" s="94" t="n">
        <v>-7.9</v>
      </c>
      <c r="J382" s="94" t="n"/>
      <c r="K382" s="95" t="inlineStr">
        <is>
          <t>2335 MICOT PHARMA-B</t>
        </is>
      </c>
    </row>
    <row r="383">
      <c r="A383" s="16" t="inlineStr">
        <is>
          <t>Qiyuan High-tech Innovation Investment (Hong Kong) Limited</t>
        </is>
      </c>
      <c r="B383" s="88" t="n">
        <v>1</v>
      </c>
      <c r="C383" s="93" t="n">
        <v>100</v>
      </c>
      <c r="D383" s="94" t="n">
        <v>102.8</v>
      </c>
      <c r="E383" s="94" t="n">
        <v>97.59999999999999</v>
      </c>
      <c r="F383" s="94" t="n">
        <v>86.8</v>
      </c>
      <c r="G383" s="94" t="n"/>
      <c r="H383" s="94" t="n">
        <v>-2.5</v>
      </c>
      <c r="I383" s="94" t="n">
        <v>-7.9</v>
      </c>
      <c r="J383" s="94" t="n"/>
      <c r="K383" s="95" t="inlineStr">
        <is>
          <t>2335 MICOT PHARMA-B</t>
        </is>
      </c>
    </row>
    <row r="384">
      <c r="A384" s="16" t="inlineStr">
        <is>
          <t>Summit Capital Limited</t>
        </is>
      </c>
      <c r="B384" s="88" t="n">
        <v>1</v>
      </c>
      <c r="C384" s="93" t="n">
        <v>100</v>
      </c>
      <c r="D384" s="94" t="n">
        <v>102.8</v>
      </c>
      <c r="E384" s="94" t="n">
        <v>97.59999999999999</v>
      </c>
      <c r="F384" s="94" t="n">
        <v>86.8</v>
      </c>
      <c r="G384" s="94" t="n"/>
      <c r="H384" s="94" t="n">
        <v>-2.5</v>
      </c>
      <c r="I384" s="94" t="n">
        <v>-7.9</v>
      </c>
      <c r="J384" s="94" t="n"/>
      <c r="K384" s="95" t="inlineStr">
        <is>
          <t>2335 MICOT PHARMA-B</t>
        </is>
      </c>
    </row>
    <row r="385">
      <c r="A385" s="16" t="inlineStr">
        <is>
          <t>Mr. Yang</t>
        </is>
      </c>
      <c r="B385" s="88" t="n">
        <v>1</v>
      </c>
      <c r="C385" s="93" t="n">
        <v>100</v>
      </c>
      <c r="D385" s="94" t="n">
        <v>102.3</v>
      </c>
      <c r="E385" s="94" t="n">
        <v>124.5</v>
      </c>
      <c r="F385" s="94" t="n">
        <v>112.2</v>
      </c>
      <c r="G385" s="94" t="n">
        <v>100.8</v>
      </c>
      <c r="H385" s="94" t="n">
        <v>11</v>
      </c>
      <c r="I385" s="94" t="n">
        <v>4.9</v>
      </c>
      <c r="J385" s="94" t="n">
        <v>-0.7</v>
      </c>
      <c r="K385" s="95" t="inlineStr">
        <is>
          <t>2720 RIDGE OUTDOOR</t>
        </is>
      </c>
    </row>
    <row r="386">
      <c r="A386" s="16" t="inlineStr">
        <is>
          <t>GreatCast</t>
        </is>
      </c>
      <c r="B386" s="88" t="n">
        <v>1</v>
      </c>
      <c r="C386" s="93" t="n">
        <v>100</v>
      </c>
      <c r="D386" s="94" t="n">
        <v>102.3</v>
      </c>
      <c r="E386" s="94" t="n">
        <v>124.5</v>
      </c>
      <c r="F386" s="94" t="n">
        <v>112.2</v>
      </c>
      <c r="G386" s="94" t="n">
        <v>100.8</v>
      </c>
      <c r="H386" s="94" t="n">
        <v>11</v>
      </c>
      <c r="I386" s="94" t="n">
        <v>4.9</v>
      </c>
      <c r="J386" s="94" t="n">
        <v>-0.7</v>
      </c>
      <c r="K386" s="95" t="inlineStr">
        <is>
          <t>2720 RIDGE OUTDOOR</t>
        </is>
      </c>
    </row>
    <row r="387">
      <c r="A387" s="16" t="inlineStr">
        <is>
          <t>Taihong</t>
        </is>
      </c>
      <c r="B387" s="88" t="n">
        <v>1</v>
      </c>
      <c r="C387" s="93" t="n">
        <v>100</v>
      </c>
      <c r="D387" s="94" t="n">
        <v>102.3</v>
      </c>
      <c r="E387" s="94" t="n">
        <v>124.5</v>
      </c>
      <c r="F387" s="94" t="n">
        <v>112.2</v>
      </c>
      <c r="G387" s="94" t="n">
        <v>100.8</v>
      </c>
      <c r="H387" s="94" t="n">
        <v>11</v>
      </c>
      <c r="I387" s="94" t="n">
        <v>4.9</v>
      </c>
      <c r="J387" s="94" t="n">
        <v>-0.7</v>
      </c>
      <c r="K387" s="95" t="inlineStr">
        <is>
          <t>2720 RIDGE OUTDOOR</t>
        </is>
      </c>
    </row>
    <row r="388">
      <c r="A388" s="16" t="inlineStr">
        <is>
          <t>Outrider Partnership</t>
        </is>
      </c>
      <c r="B388" s="88" t="n">
        <v>1</v>
      </c>
      <c r="C388" s="93" t="n">
        <v>100</v>
      </c>
      <c r="D388" s="94" t="n">
        <v>102.3</v>
      </c>
      <c r="E388" s="94" t="n">
        <v>124.5</v>
      </c>
      <c r="F388" s="94" t="n">
        <v>112.2</v>
      </c>
      <c r="G388" s="94" t="n">
        <v>100.8</v>
      </c>
      <c r="H388" s="94" t="n">
        <v>11</v>
      </c>
      <c r="I388" s="94" t="n">
        <v>4.9</v>
      </c>
      <c r="J388" s="94" t="n">
        <v>-0.7</v>
      </c>
      <c r="K388" s="95" t="inlineStr">
        <is>
          <t>2720 RIDGE OUTDOOR</t>
        </is>
      </c>
    </row>
    <row r="389">
      <c r="A389" s="16" t="inlineStr">
        <is>
          <t>Orbit VC</t>
        </is>
      </c>
      <c r="B389" s="88" t="n">
        <v>1</v>
      </c>
      <c r="C389" s="93" t="n">
        <v>100</v>
      </c>
      <c r="D389" s="94" t="n">
        <v>102.3</v>
      </c>
      <c r="E389" s="94" t="n">
        <v>124.5</v>
      </c>
      <c r="F389" s="94" t="n">
        <v>112.2</v>
      </c>
      <c r="G389" s="94" t="n">
        <v>100.8</v>
      </c>
      <c r="H389" s="94" t="n">
        <v>11</v>
      </c>
      <c r="I389" s="94" t="n">
        <v>4.9</v>
      </c>
      <c r="J389" s="94" t="n">
        <v>-0.7</v>
      </c>
      <c r="K389" s="95" t="inlineStr">
        <is>
          <t>2720 RIDGE OUTDOOR</t>
        </is>
      </c>
    </row>
    <row r="390">
      <c r="A390" s="16" t="inlineStr">
        <is>
          <t>Vision Fund</t>
        </is>
      </c>
      <c r="B390" s="88" t="n">
        <v>1</v>
      </c>
      <c r="C390" s="93" t="n">
        <v>100</v>
      </c>
      <c r="D390" s="94" t="n">
        <v>91.7</v>
      </c>
      <c r="E390" s="94" t="n">
        <v>100</v>
      </c>
      <c r="F390" s="94" t="n">
        <v>94.3</v>
      </c>
      <c r="G390" s="94" t="n">
        <v>69.09999999999999</v>
      </c>
      <c r="H390" s="94" t="n">
        <v>4.3</v>
      </c>
      <c r="I390" s="94" t="n">
        <v>1.4</v>
      </c>
      <c r="J390" s="94" t="n">
        <v>-11.8</v>
      </c>
      <c r="K390" s="95" t="inlineStr">
        <is>
          <t>9887 LEADS BIOLABS-B</t>
        </is>
      </c>
    </row>
    <row r="391">
      <c r="A391" s="16" t="inlineStr">
        <is>
          <t>Digital Vista GD Investment LP</t>
        </is>
      </c>
      <c r="B391" s="88" t="n">
        <v>1</v>
      </c>
      <c r="C391" s="93" t="n">
        <v>100</v>
      </c>
      <c r="D391" s="94" t="n">
        <v>91.7</v>
      </c>
      <c r="E391" s="94" t="n">
        <v>66.90000000000001</v>
      </c>
      <c r="F391" s="94" t="n">
        <v>61</v>
      </c>
      <c r="G391" s="94" t="n"/>
      <c r="H391" s="94" t="n">
        <v>-12.9</v>
      </c>
      <c r="I391" s="94" t="n">
        <v>-16</v>
      </c>
      <c r="J391" s="94" t="n"/>
      <c r="K391" s="95" t="inlineStr">
        <is>
          <t>3310 VIEWTRIX TECH</t>
        </is>
      </c>
    </row>
    <row r="392">
      <c r="A392" s="16" t="inlineStr">
        <is>
          <t>SpreadCom Limited</t>
        </is>
      </c>
      <c r="B392" s="88" t="n">
        <v>1</v>
      </c>
      <c r="C392" s="93" t="n">
        <v>100</v>
      </c>
      <c r="D392" s="94" t="n">
        <v>91.7</v>
      </c>
      <c r="E392" s="94" t="n">
        <v>66.90000000000001</v>
      </c>
      <c r="F392" s="94" t="n">
        <v>61</v>
      </c>
      <c r="G392" s="94" t="n"/>
      <c r="H392" s="94" t="n">
        <v>-12.9</v>
      </c>
      <c r="I392" s="94" t="n">
        <v>-16</v>
      </c>
      <c r="J392" s="94" t="n"/>
      <c r="K392" s="95" t="inlineStr">
        <is>
          <t>3310 VIEWTRIX TECH</t>
        </is>
      </c>
    </row>
    <row r="393">
      <c r="A393" s="16" t="inlineStr">
        <is>
          <t>GIGA Industries Limited</t>
        </is>
      </c>
      <c r="B393" s="88" t="n">
        <v>1</v>
      </c>
      <c r="C393" s="93" t="n">
        <v>100</v>
      </c>
      <c r="D393" s="94" t="n">
        <v>90.7</v>
      </c>
      <c r="E393" s="94" t="n">
        <v>109.3</v>
      </c>
      <c r="F393" s="94" t="n">
        <v>186</v>
      </c>
      <c r="G393" s="94" t="n">
        <v>212.6</v>
      </c>
      <c r="H393" s="94" t="n">
        <v>9.800000000000001</v>
      </c>
      <c r="I393" s="94" t="n">
        <v>50</v>
      </c>
      <c r="J393" s="94" t="n">
        <v>64</v>
      </c>
      <c r="K393" s="95" t="inlineStr">
        <is>
          <t>2546 ZHIHUI MINING</t>
        </is>
      </c>
    </row>
    <row r="394">
      <c r="A394" s="16" t="inlineStr">
        <is>
          <t>Enterprises Limited</t>
        </is>
      </c>
      <c r="B394" s="88" t="n">
        <v>1</v>
      </c>
      <c r="C394" s="93" t="n">
        <v>100</v>
      </c>
      <c r="D394" s="94" t="n">
        <v>90.7</v>
      </c>
      <c r="E394" s="94" t="n">
        <v>109.3</v>
      </c>
      <c r="F394" s="94" t="n">
        <v>186</v>
      </c>
      <c r="G394" s="94" t="n">
        <v>212.6</v>
      </c>
      <c r="H394" s="94" t="n">
        <v>9.800000000000001</v>
      </c>
      <c r="I394" s="94" t="n">
        <v>50</v>
      </c>
      <c r="J394" s="94" t="n">
        <v>64</v>
      </c>
      <c r="K394" s="95" t="inlineStr">
        <is>
          <t>2546 ZHIHUI MINING</t>
        </is>
      </c>
    </row>
    <row r="395">
      <c r="A395" s="16" t="inlineStr">
        <is>
          <t>Origin Flair Limited</t>
        </is>
      </c>
      <c r="B395" s="88" t="n">
        <v>1</v>
      </c>
      <c r="C395" s="93" t="n">
        <v>100</v>
      </c>
      <c r="D395" s="94" t="n">
        <v>83.7</v>
      </c>
      <c r="E395" s="94" t="n">
        <v>25.9</v>
      </c>
      <c r="F395" s="94" t="n">
        <v>32.3</v>
      </c>
      <c r="G395" s="94" t="n">
        <v>130.9</v>
      </c>
      <c r="H395" s="94" t="n">
        <v>-31.5</v>
      </c>
      <c r="I395" s="94" t="n">
        <v>-28</v>
      </c>
      <c r="J395" s="94" t="n">
        <v>25.7</v>
      </c>
      <c r="K395" s="95" t="inlineStr">
        <is>
          <t>2125 STRAWBEAR ENT</t>
        </is>
      </c>
    </row>
    <row r="396">
      <c r="A396" s="16" t="inlineStr">
        <is>
          <t>Vipshop International Holdings Limited</t>
        </is>
      </c>
      <c r="B396" s="88" t="n">
        <v>1</v>
      </c>
      <c r="C396" s="93" t="n">
        <v>100</v>
      </c>
      <c r="D396" s="94" t="n">
        <v>83.7</v>
      </c>
      <c r="E396" s="94" t="n">
        <v>25.9</v>
      </c>
      <c r="F396" s="94" t="n">
        <v>32.3</v>
      </c>
      <c r="G396" s="94" t="n">
        <v>130.9</v>
      </c>
      <c r="H396" s="94" t="n">
        <v>-31.5</v>
      </c>
      <c r="I396" s="94" t="n">
        <v>-28</v>
      </c>
      <c r="J396" s="94" t="n">
        <v>25.7</v>
      </c>
      <c r="K396" s="95" t="inlineStr">
        <is>
          <t>2125 STRAWBEAR ENT</t>
        </is>
      </c>
    </row>
    <row r="397">
      <c r="A397" s="16" t="inlineStr">
        <is>
          <t>Shanghai Minhang Financial Investment Development Co., Ltd</t>
        </is>
      </c>
      <c r="B397" s="88" t="n">
        <v>1</v>
      </c>
      <c r="C397" s="93" t="n">
        <v>100</v>
      </c>
      <c r="D397" s="94" t="n">
        <v>80</v>
      </c>
      <c r="E397" s="94" t="n">
        <v>35.7</v>
      </c>
      <c r="F397" s="94" t="n">
        <v>11.2</v>
      </c>
      <c r="G397" s="94" t="n">
        <v>-38.8</v>
      </c>
      <c r="H397" s="94" t="n">
        <v>-24.6</v>
      </c>
      <c r="I397" s="94" t="n">
        <v>-38.2</v>
      </c>
      <c r="J397" s="94" t="n">
        <v>-66</v>
      </c>
      <c r="K397" s="95" t="inlineStr">
        <is>
          <t>7688 TOPNC</t>
        </is>
      </c>
    </row>
    <row r="398">
      <c r="A398" s="16" t="inlineStr">
        <is>
          <t>Akeso, Inc</t>
        </is>
      </c>
      <c r="B398" s="88" t="n">
        <v>1</v>
      </c>
      <c r="C398" s="93" t="n">
        <v>100</v>
      </c>
      <c r="D398" s="94" t="n">
        <v>78.7</v>
      </c>
      <c r="E398" s="94" t="n">
        <v>129.3</v>
      </c>
      <c r="F398" s="94" t="n">
        <v>138.8</v>
      </c>
      <c r="G398" s="94" t="n">
        <v>1039.9</v>
      </c>
      <c r="H398" s="94" t="n">
        <v>28.3</v>
      </c>
      <c r="I398" s="94" t="n">
        <v>33.6</v>
      </c>
      <c r="J398" s="94" t="n">
        <v>537.9</v>
      </c>
      <c r="K398" s="95" t="inlineStr">
        <is>
          <t>2617 TRANSTHERA-B</t>
        </is>
      </c>
    </row>
    <row r="399">
      <c r="A399" s="16" t="inlineStr">
        <is>
          <t>BOCOM International Securities Limited</t>
        </is>
      </c>
      <c r="B399" s="88" t="n">
        <v>1</v>
      </c>
      <c r="C399" s="93" t="n">
        <v>100</v>
      </c>
      <c r="D399" s="94" t="n">
        <v>78.7</v>
      </c>
      <c r="E399" s="94" t="n">
        <v>129.3</v>
      </c>
      <c r="F399" s="94" t="n">
        <v>138.8</v>
      </c>
      <c r="G399" s="94" t="n">
        <v>1039.9</v>
      </c>
      <c r="H399" s="94" t="n">
        <v>28.3</v>
      </c>
      <c r="I399" s="94" t="n">
        <v>33.6</v>
      </c>
      <c r="J399" s="94" t="n">
        <v>537.9</v>
      </c>
      <c r="K399" s="95" t="inlineStr">
        <is>
          <t>2617 TRANSTHERA-B</t>
        </is>
      </c>
    </row>
    <row r="400">
      <c r="A400" s="16" t="inlineStr">
        <is>
          <t>Fund LP and China Core Fund</t>
        </is>
      </c>
      <c r="B400" s="88" t="n">
        <v>1</v>
      </c>
      <c r="C400" s="93" t="n">
        <v>100</v>
      </c>
      <c r="D400" s="94" t="n">
        <v>76.5</v>
      </c>
      <c r="E400" s="94" t="n">
        <v>96.3</v>
      </c>
      <c r="F400" s="94" t="n">
        <v>98</v>
      </c>
      <c r="G400" s="94" t="n">
        <v>270.5</v>
      </c>
      <c r="H400" s="94" t="n">
        <v>11.2</v>
      </c>
      <c r="I400" s="94" t="n">
        <v>12.2</v>
      </c>
      <c r="J400" s="94" t="n">
        <v>109.9</v>
      </c>
      <c r="K400" s="95" t="inlineStr">
        <is>
          <t>1318 MAO GEPING</t>
        </is>
      </c>
    </row>
    <row r="401">
      <c r="A401" s="16" t="inlineStr">
        <is>
          <t>Qiming Venture Partners</t>
        </is>
      </c>
      <c r="B401" s="88" t="n">
        <v>1</v>
      </c>
      <c r="C401" s="93" t="n">
        <v>100</v>
      </c>
      <c r="D401" s="94" t="n">
        <v>75.8</v>
      </c>
      <c r="E401" s="94" t="n">
        <v>73.8</v>
      </c>
      <c r="F401" s="94" t="n">
        <v>67.3</v>
      </c>
      <c r="G401" s="94" t="n">
        <v>75.3</v>
      </c>
      <c r="H401" s="94" t="n">
        <v>-1.2</v>
      </c>
      <c r="I401" s="94" t="n">
        <v>-4.8</v>
      </c>
      <c r="J401" s="94" t="n">
        <v>-0.3</v>
      </c>
      <c r="K401" s="95" t="inlineStr">
        <is>
          <t>6082 BIREN TECH</t>
        </is>
      </c>
    </row>
    <row r="402">
      <c r="A402" s="16" t="inlineStr">
        <is>
          <t>Master Fund, L.P</t>
        </is>
      </c>
      <c r="B402" s="88" t="n">
        <v>1</v>
      </c>
      <c r="C402" s="93" t="n">
        <v>100</v>
      </c>
      <c r="D402" s="94" t="n">
        <v>75.8</v>
      </c>
      <c r="E402" s="94" t="n">
        <v>73.8</v>
      </c>
      <c r="F402" s="94" t="n">
        <v>67.3</v>
      </c>
      <c r="G402" s="94" t="n">
        <v>75.3</v>
      </c>
      <c r="H402" s="94" t="n">
        <v>-1.2</v>
      </c>
      <c r="I402" s="94" t="n">
        <v>-4.8</v>
      </c>
      <c r="J402" s="94" t="n">
        <v>-0.3</v>
      </c>
      <c r="K402" s="95" t="inlineStr">
        <is>
          <t>6082 BIREN TECH</t>
        </is>
      </c>
    </row>
    <row r="403">
      <c r="A403" s="16" t="inlineStr">
        <is>
          <t>有限公司)</t>
        </is>
      </c>
      <c r="B403" s="88" t="n">
        <v>1</v>
      </c>
      <c r="C403" s="93" t="n">
        <v>100</v>
      </c>
      <c r="D403" s="94" t="n">
        <v>75.8</v>
      </c>
      <c r="E403" s="94" t="n">
        <v>73.8</v>
      </c>
      <c r="F403" s="94" t="n">
        <v>67.3</v>
      </c>
      <c r="G403" s="94" t="n">
        <v>75.3</v>
      </c>
      <c r="H403" s="94" t="n">
        <v>-1.2</v>
      </c>
      <c r="I403" s="94" t="n">
        <v>-4.8</v>
      </c>
      <c r="J403" s="94" t="n">
        <v>-0.3</v>
      </c>
      <c r="K403" s="95" t="inlineStr">
        <is>
          <t>6082 BIREN TECH</t>
        </is>
      </c>
    </row>
    <row r="404">
      <c r="A404" s="16" t="inlineStr">
        <is>
          <t>Eastern Bell Capital VIII Investment Limited</t>
        </is>
      </c>
      <c r="B404" s="88" t="n">
        <v>1</v>
      </c>
      <c r="C404" s="93" t="n">
        <v>100</v>
      </c>
      <c r="D404" s="94" t="n">
        <v>75.5</v>
      </c>
      <c r="E404" s="94" t="n">
        <v>112.4</v>
      </c>
      <c r="F404" s="94" t="n">
        <v>107.6</v>
      </c>
      <c r="G404" s="94" t="n">
        <v>81.40000000000001</v>
      </c>
      <c r="H404" s="94" t="n">
        <v>21</v>
      </c>
      <c r="I404" s="94" t="n">
        <v>18.3</v>
      </c>
      <c r="J404" s="94" t="n">
        <v>3.4</v>
      </c>
      <c r="K404" s="95" t="inlineStr">
        <is>
          <t>3277 GPIXEL</t>
        </is>
      </c>
    </row>
    <row r="405">
      <c r="A405" s="16" t="inlineStr">
        <is>
          <t>Protium Capital Limited</t>
        </is>
      </c>
      <c r="B405" s="88" t="n">
        <v>1</v>
      </c>
      <c r="C405" s="93" t="n">
        <v>100</v>
      </c>
      <c r="D405" s="94" t="n">
        <v>75.5</v>
      </c>
      <c r="E405" s="94" t="n">
        <v>112.4</v>
      </c>
      <c r="F405" s="94" t="n">
        <v>107.6</v>
      </c>
      <c r="G405" s="94" t="n">
        <v>81.40000000000001</v>
      </c>
      <c r="H405" s="94" t="n">
        <v>21</v>
      </c>
      <c r="I405" s="94" t="n">
        <v>18.3</v>
      </c>
      <c r="J405" s="94" t="n">
        <v>3.4</v>
      </c>
      <c r="K405" s="95" t="inlineStr">
        <is>
          <t>3277 GPIXEL</t>
        </is>
      </c>
    </row>
    <row r="406">
      <c r="A406" s="16" t="inlineStr">
        <is>
          <t>Source Code Super Holdings Co</t>
        </is>
      </c>
      <c r="B406" s="88" t="n">
        <v>1</v>
      </c>
      <c r="C406" s="93" t="n">
        <v>100</v>
      </c>
      <c r="D406" s="94" t="n">
        <v>75.5</v>
      </c>
      <c r="E406" s="94" t="n">
        <v>112.4</v>
      </c>
      <c r="F406" s="94" t="n">
        <v>107.6</v>
      </c>
      <c r="G406" s="94" t="n">
        <v>81.40000000000001</v>
      </c>
      <c r="H406" s="94" t="n">
        <v>21</v>
      </c>
      <c r="I406" s="94" t="n">
        <v>18.3</v>
      </c>
      <c r="J406" s="94" t="n">
        <v>3.4</v>
      </c>
      <c r="K406" s="95" t="inlineStr">
        <is>
          <t>3277 GPIXEL</t>
        </is>
      </c>
    </row>
    <row r="407">
      <c r="A407" s="16" t="inlineStr">
        <is>
          <t>Voyage42 Master Fund</t>
        </is>
      </c>
      <c r="B407" s="88" t="n">
        <v>1</v>
      </c>
      <c r="C407" s="93" t="n">
        <v>100</v>
      </c>
      <c r="D407" s="94" t="n">
        <v>75.5</v>
      </c>
      <c r="E407" s="94" t="n">
        <v>112.4</v>
      </c>
      <c r="F407" s="94" t="n">
        <v>107.6</v>
      </c>
      <c r="G407" s="94" t="n">
        <v>81.40000000000001</v>
      </c>
      <c r="H407" s="94" t="n">
        <v>21</v>
      </c>
      <c r="I407" s="94" t="n">
        <v>18.3</v>
      </c>
      <c r="J407" s="94" t="n">
        <v>3.4</v>
      </c>
      <c r="K407" s="95" t="inlineStr">
        <is>
          <t>3277 GPIXEL</t>
        </is>
      </c>
    </row>
    <row r="408">
      <c r="A408" s="16" t="inlineStr">
        <is>
          <t>Mr. Zhao</t>
        </is>
      </c>
      <c r="B408" s="88" t="n">
        <v>1</v>
      </c>
      <c r="C408" s="93" t="n">
        <v>100</v>
      </c>
      <c r="D408" s="94" t="n">
        <v>69.09999999999999</v>
      </c>
      <c r="E408" s="94" t="n">
        <v>68.8</v>
      </c>
      <c r="F408" s="94" t="n">
        <v>65.2</v>
      </c>
      <c r="G408" s="94" t="n">
        <v>84.09999999999999</v>
      </c>
      <c r="H408" s="94" t="n">
        <v>-0.1</v>
      </c>
      <c r="I408" s="94" t="n">
        <v>-2.3</v>
      </c>
      <c r="J408" s="94" t="n">
        <v>8.9</v>
      </c>
      <c r="K408" s="95" t="inlineStr">
        <is>
          <t>1768 BUSYMING</t>
        </is>
      </c>
    </row>
    <row r="409">
      <c r="A409" s="16" t="inlineStr">
        <is>
          <t>Shanghai Bird Nest</t>
        </is>
      </c>
      <c r="B409" s="88" t="n">
        <v>1</v>
      </c>
      <c r="C409" s="93" t="n">
        <v>100</v>
      </c>
      <c r="D409" s="94" t="n">
        <v>69.09999999999999</v>
      </c>
      <c r="E409" s="94" t="n">
        <v>68.8</v>
      </c>
      <c r="F409" s="94" t="n">
        <v>65.2</v>
      </c>
      <c r="G409" s="94" t="n">
        <v>84.09999999999999</v>
      </c>
      <c r="H409" s="94" t="n">
        <v>-0.1</v>
      </c>
      <c r="I409" s="94" t="n">
        <v>-2.3</v>
      </c>
      <c r="J409" s="94" t="n">
        <v>8.9</v>
      </c>
      <c r="K409" s="95" t="inlineStr">
        <is>
          <t>1768 BUSYMING</t>
        </is>
      </c>
    </row>
    <row r="410">
      <c r="A410" s="16" t="inlineStr">
        <is>
          <t>Yichun Yikouniao</t>
        </is>
      </c>
      <c r="B410" s="88" t="n">
        <v>1</v>
      </c>
      <c r="C410" s="93" t="n">
        <v>100</v>
      </c>
      <c r="D410" s="94" t="n">
        <v>69.09999999999999</v>
      </c>
      <c r="E410" s="94" t="n">
        <v>68.8</v>
      </c>
      <c r="F410" s="94" t="n">
        <v>65.2</v>
      </c>
      <c r="G410" s="94" t="n">
        <v>84.09999999999999</v>
      </c>
      <c r="H410" s="94" t="n">
        <v>-0.1</v>
      </c>
      <c r="I410" s="94" t="n">
        <v>-2.3</v>
      </c>
      <c r="J410" s="94" t="n">
        <v>8.9</v>
      </c>
      <c r="K410" s="95" t="inlineStr">
        <is>
          <t>1768 BUSYMING</t>
        </is>
      </c>
    </row>
    <row r="411">
      <c r="A411" s="16" t="inlineStr">
        <is>
          <t>Gaorong LKZN</t>
        </is>
      </c>
      <c r="B411" s="88" t="n">
        <v>1</v>
      </c>
      <c r="C411" s="93" t="n">
        <v>100</v>
      </c>
      <c r="D411" s="94" t="n">
        <v>69.09999999999999</v>
      </c>
      <c r="E411" s="94" t="n">
        <v>68.8</v>
      </c>
      <c r="F411" s="94" t="n">
        <v>65.2</v>
      </c>
      <c r="G411" s="94" t="n">
        <v>84.09999999999999</v>
      </c>
      <c r="H411" s="94" t="n">
        <v>-0.1</v>
      </c>
      <c r="I411" s="94" t="n">
        <v>-2.3</v>
      </c>
      <c r="J411" s="94" t="n">
        <v>8.9</v>
      </c>
      <c r="K411" s="95" t="inlineStr">
        <is>
          <t>1768 BUSYMING</t>
        </is>
      </c>
    </row>
    <row r="412">
      <c r="A412" s="16" t="inlineStr">
        <is>
          <t>Discounter Seed</t>
        </is>
      </c>
      <c r="B412" s="88" t="n">
        <v>1</v>
      </c>
      <c r="C412" s="93" t="n">
        <v>100</v>
      </c>
      <c r="D412" s="94" t="n">
        <v>69.09999999999999</v>
      </c>
      <c r="E412" s="94" t="n">
        <v>68.8</v>
      </c>
      <c r="F412" s="94" t="n">
        <v>65.2</v>
      </c>
      <c r="G412" s="94" t="n">
        <v>84.09999999999999</v>
      </c>
      <c r="H412" s="94" t="n">
        <v>-0.1</v>
      </c>
      <c r="I412" s="94" t="n">
        <v>-2.3</v>
      </c>
      <c r="J412" s="94" t="n">
        <v>8.9</v>
      </c>
      <c r="K412" s="95" t="inlineStr">
        <is>
          <t>1768 BUSYMING</t>
        </is>
      </c>
    </row>
    <row r="413">
      <c r="A413" s="16" t="inlineStr">
        <is>
          <t>Shanghai Yihai</t>
        </is>
      </c>
      <c r="B413" s="88" t="n">
        <v>1</v>
      </c>
      <c r="C413" s="93" t="n">
        <v>100</v>
      </c>
      <c r="D413" s="94" t="n">
        <v>69.09999999999999</v>
      </c>
      <c r="E413" s="94" t="n">
        <v>68.8</v>
      </c>
      <c r="F413" s="94" t="n">
        <v>65.2</v>
      </c>
      <c r="G413" s="94" t="n">
        <v>84.09999999999999</v>
      </c>
      <c r="H413" s="94" t="n">
        <v>-0.1</v>
      </c>
      <c r="I413" s="94" t="n">
        <v>-2.3</v>
      </c>
      <c r="J413" s="94" t="n">
        <v>8.9</v>
      </c>
      <c r="K413" s="95" t="inlineStr">
        <is>
          <t>1768 BUSYMING</t>
        </is>
      </c>
    </row>
    <row r="414">
      <c r="A414" s="16" t="inlineStr">
        <is>
          <t>YSC Go (BVI) Limited</t>
        </is>
      </c>
      <c r="B414" s="88" t="n">
        <v>1</v>
      </c>
      <c r="C414" s="93" t="n">
        <v>100</v>
      </c>
      <c r="D414" s="94" t="n">
        <v>58.3</v>
      </c>
      <c r="E414" s="94" t="n">
        <v>17.6</v>
      </c>
      <c r="F414" s="94" t="n">
        <v>-11.1</v>
      </c>
      <c r="G414" s="94" t="n">
        <v>-14</v>
      </c>
      <c r="H414" s="94" t="n">
        <v>-25.7</v>
      </c>
      <c r="I414" s="94" t="n">
        <v>-43.8</v>
      </c>
      <c r="J414" s="94" t="n">
        <v>-45.7</v>
      </c>
      <c r="K414" s="95" t="inlineStr">
        <is>
          <t>2549 CAROTE LTD</t>
        </is>
      </c>
    </row>
    <row r="415">
      <c r="A415" s="16" t="inlineStr">
        <is>
          <t>CDG Group Fund L.P</t>
        </is>
      </c>
      <c r="B415" s="88" t="n">
        <v>1</v>
      </c>
      <c r="C415" s="93" t="n">
        <v>100</v>
      </c>
      <c r="D415" s="94" t="n">
        <v>54.3</v>
      </c>
      <c r="E415" s="94" t="n">
        <v>59.7</v>
      </c>
      <c r="F415" s="94" t="n">
        <v>29.5</v>
      </c>
      <c r="G415" s="94" t="n">
        <v>27.5</v>
      </c>
      <c r="H415" s="94" t="n">
        <v>3.5</v>
      </c>
      <c r="I415" s="94" t="n">
        <v>-16</v>
      </c>
      <c r="J415" s="94" t="n">
        <v>-17.3</v>
      </c>
      <c r="K415" s="95" t="inlineStr">
        <is>
          <t>2160 CARDIOFLOW-B</t>
        </is>
      </c>
    </row>
    <row r="416">
      <c r="A416" s="16" t="inlineStr">
        <is>
          <t>Kunlun Group Limited</t>
        </is>
      </c>
      <c r="B416" s="88" t="n">
        <v>1</v>
      </c>
      <c r="C416" s="93" t="n">
        <v>100</v>
      </c>
      <c r="D416" s="94" t="n">
        <v>54.3</v>
      </c>
      <c r="E416" s="94" t="n">
        <v>59.7</v>
      </c>
      <c r="F416" s="94" t="n">
        <v>29.5</v>
      </c>
      <c r="G416" s="94" t="n">
        <v>27.5</v>
      </c>
      <c r="H416" s="94" t="n">
        <v>3.5</v>
      </c>
      <c r="I416" s="94" t="n">
        <v>-16</v>
      </c>
      <c r="J416" s="94" t="n">
        <v>-17.3</v>
      </c>
      <c r="K416" s="95" t="inlineStr">
        <is>
          <t>2160 CARDIOFLOW-B</t>
        </is>
      </c>
    </row>
    <row r="417">
      <c r="A417" s="16" t="inlineStr">
        <is>
          <t>Tybourne Capital Management (HK) Limited</t>
        </is>
      </c>
      <c r="B417" s="88" t="n">
        <v>1</v>
      </c>
      <c r="C417" s="93" t="n">
        <v>100</v>
      </c>
      <c r="D417" s="94" t="n">
        <v>54.3</v>
      </c>
      <c r="E417" s="94" t="n">
        <v>59.7</v>
      </c>
      <c r="F417" s="94" t="n">
        <v>29.5</v>
      </c>
      <c r="G417" s="94" t="n">
        <v>27.5</v>
      </c>
      <c r="H417" s="94" t="n">
        <v>3.5</v>
      </c>
      <c r="I417" s="94" t="n">
        <v>-16</v>
      </c>
      <c r="J417" s="94" t="n">
        <v>-17.3</v>
      </c>
      <c r="K417" s="95" t="inlineStr">
        <is>
          <t>2160 CARDIOFLOW-B</t>
        </is>
      </c>
    </row>
    <row r="418">
      <c r="A418" s="16" t="inlineStr">
        <is>
          <t>Woodline Master Fund LP</t>
        </is>
      </c>
      <c r="B418" s="88" t="n">
        <v>1</v>
      </c>
      <c r="C418" s="93" t="n">
        <v>100</v>
      </c>
      <c r="D418" s="94" t="n">
        <v>54.3</v>
      </c>
      <c r="E418" s="94" t="n">
        <v>59.7</v>
      </c>
      <c r="F418" s="94" t="n">
        <v>29.5</v>
      </c>
      <c r="G418" s="94" t="n">
        <v>27.5</v>
      </c>
      <c r="H418" s="94" t="n">
        <v>3.5</v>
      </c>
      <c r="I418" s="94" t="n">
        <v>-16</v>
      </c>
      <c r="J418" s="94" t="n">
        <v>-17.3</v>
      </c>
      <c r="K418" s="95" t="inlineStr">
        <is>
          <t>2160 CARDIOFLOW-B</t>
        </is>
      </c>
    </row>
    <row r="419">
      <c r="A419" s="16" t="inlineStr">
        <is>
          <t>Juzi Holding Co., Ltd</t>
        </is>
      </c>
      <c r="B419" s="88" t="n">
        <v>1</v>
      </c>
      <c r="C419" s="93" t="n">
        <v>100</v>
      </c>
      <c r="D419" s="94" t="n">
        <v>53.5</v>
      </c>
      <c r="E419" s="94" t="n">
        <v>56.3</v>
      </c>
      <c r="F419" s="94" t="n">
        <v>46</v>
      </c>
      <c r="G419" s="94" t="n">
        <v>58.6</v>
      </c>
      <c r="H419" s="94" t="n">
        <v>1.9</v>
      </c>
      <c r="I419" s="94" t="n">
        <v>-4.9</v>
      </c>
      <c r="J419" s="94" t="n">
        <v>3.4</v>
      </c>
      <c r="K419" s="95" t="inlineStr">
        <is>
          <t>2373 BEAUTYFARM MED</t>
        </is>
      </c>
    </row>
    <row r="420">
      <c r="A420" s="16" t="inlineStr">
        <is>
          <t>CA Fern Parent</t>
        </is>
      </c>
      <c r="B420" s="88" t="n">
        <v>1</v>
      </c>
      <c r="C420" s="93" t="n">
        <v>100</v>
      </c>
      <c r="D420" s="94" t="n">
        <v>50.4</v>
      </c>
      <c r="E420" s="94" t="n">
        <v>42</v>
      </c>
      <c r="F420" s="94" t="n">
        <v>76.09999999999999</v>
      </c>
      <c r="G420" s="94" t="n">
        <v>44.3</v>
      </c>
      <c r="H420" s="94" t="n">
        <v>-5.5</v>
      </c>
      <c r="I420" s="94" t="n">
        <v>17.1</v>
      </c>
      <c r="J420" s="94" t="n">
        <v>-4.1</v>
      </c>
      <c r="K420" s="95" t="inlineStr">
        <is>
          <t>0013 HUTCHMED</t>
        </is>
      </c>
    </row>
    <row r="421">
      <c r="A421" s="16" t="inlineStr">
        <is>
          <t>HBM Healthcare Investments (Cayman) Ltd</t>
        </is>
      </c>
      <c r="B421" s="88" t="n">
        <v>1</v>
      </c>
      <c r="C421" s="93" t="n">
        <v>100</v>
      </c>
      <c r="D421" s="94" t="n">
        <v>50.4</v>
      </c>
      <c r="E421" s="94" t="n">
        <v>42</v>
      </c>
      <c r="F421" s="94" t="n">
        <v>76.09999999999999</v>
      </c>
      <c r="G421" s="94" t="n">
        <v>44.3</v>
      </c>
      <c r="H421" s="94" t="n">
        <v>-5.5</v>
      </c>
      <c r="I421" s="94" t="n">
        <v>17.1</v>
      </c>
      <c r="J421" s="94" t="n">
        <v>-4.1</v>
      </c>
      <c r="K421" s="95" t="inlineStr">
        <is>
          <t>0013 HUTCHMED</t>
        </is>
      </c>
    </row>
    <row r="422">
      <c r="A422" s="16" t="inlineStr">
        <is>
          <t>Cloudview Capital Limited</t>
        </is>
      </c>
      <c r="B422" s="88" t="n">
        <v>1</v>
      </c>
      <c r="C422" s="93" t="n">
        <v>100</v>
      </c>
      <c r="D422" s="94" t="n">
        <v>50.1</v>
      </c>
      <c r="E422" s="94" t="n">
        <v>42.9</v>
      </c>
      <c r="F422" s="94" t="n">
        <v>65</v>
      </c>
      <c r="G422" s="94" t="n">
        <v>9.6</v>
      </c>
      <c r="H422" s="94" t="n">
        <v>-4.8</v>
      </c>
      <c r="I422" s="94" t="n">
        <v>9.9</v>
      </c>
      <c r="J422" s="94" t="n">
        <v>-27</v>
      </c>
      <c r="K422" s="95" t="inlineStr">
        <is>
          <t>2476 VGT</t>
        </is>
      </c>
    </row>
    <row r="423">
      <c r="A423" s="16" t="inlineStr">
        <is>
          <t>CNCB (Hong Kong) Investment Limited</t>
        </is>
      </c>
      <c r="B423" s="88" t="n">
        <v>1</v>
      </c>
      <c r="C423" s="93" t="n">
        <v>100</v>
      </c>
      <c r="D423" s="94" t="n">
        <v>50.1</v>
      </c>
      <c r="E423" s="94" t="n">
        <v>42.9</v>
      </c>
      <c r="F423" s="94" t="n">
        <v>65</v>
      </c>
      <c r="G423" s="94" t="n">
        <v>9.6</v>
      </c>
      <c r="H423" s="94" t="n">
        <v>-4.8</v>
      </c>
      <c r="I423" s="94" t="n">
        <v>9.9</v>
      </c>
      <c r="J423" s="94" t="n">
        <v>-27</v>
      </c>
      <c r="K423" s="95" t="inlineStr">
        <is>
          <t>2476 VGT</t>
        </is>
      </c>
    </row>
    <row r="424">
      <c r="A424" s="16" t="inlineStr">
        <is>
          <t>Golden K2 Falcon Open-ended Fund Company</t>
        </is>
      </c>
      <c r="B424" s="88" t="n">
        <v>1</v>
      </c>
      <c r="C424" s="93" t="n">
        <v>100</v>
      </c>
      <c r="D424" s="94" t="n">
        <v>50.1</v>
      </c>
      <c r="E424" s="94" t="n">
        <v>42.9</v>
      </c>
      <c r="F424" s="94" t="n">
        <v>65</v>
      </c>
      <c r="G424" s="94" t="n">
        <v>9.6</v>
      </c>
      <c r="H424" s="94" t="n">
        <v>-4.8</v>
      </c>
      <c r="I424" s="94" t="n">
        <v>9.9</v>
      </c>
      <c r="J424" s="94" t="n">
        <v>-27</v>
      </c>
      <c r="K424" s="95" t="inlineStr">
        <is>
          <t>2476 VGT</t>
        </is>
      </c>
    </row>
    <row r="425">
      <c r="A425" s="16" t="inlineStr">
        <is>
          <t>Hong Kong Mason Electronics Co., Ltd</t>
        </is>
      </c>
      <c r="B425" s="88" t="n">
        <v>1</v>
      </c>
      <c r="C425" s="93" t="n">
        <v>100</v>
      </c>
      <c r="D425" s="94" t="n">
        <v>50.1</v>
      </c>
      <c r="E425" s="94" t="n">
        <v>42.9</v>
      </c>
      <c r="F425" s="94" t="n">
        <v>65</v>
      </c>
      <c r="G425" s="94" t="n">
        <v>9.6</v>
      </c>
      <c r="H425" s="94" t="n">
        <v>-4.8</v>
      </c>
      <c r="I425" s="94" t="n">
        <v>9.9</v>
      </c>
      <c r="J425" s="94" t="n">
        <v>-27</v>
      </c>
      <c r="K425" s="95" t="inlineStr">
        <is>
          <t>2476 VGT</t>
        </is>
      </c>
    </row>
    <row r="426">
      <c r="A426" s="16" t="inlineStr">
        <is>
          <t>Mr. Ye Guofu</t>
        </is>
      </c>
      <c r="B426" s="88" t="n">
        <v>1</v>
      </c>
      <c r="C426" s="93" t="n">
        <v>100</v>
      </c>
      <c r="D426" s="94" t="n">
        <v>50.1</v>
      </c>
      <c r="E426" s="94" t="n">
        <v>42.9</v>
      </c>
      <c r="F426" s="94" t="n">
        <v>65</v>
      </c>
      <c r="G426" s="94" t="n">
        <v>9.6</v>
      </c>
      <c r="H426" s="94" t="n">
        <v>-4.8</v>
      </c>
      <c r="I426" s="94" t="n">
        <v>9.9</v>
      </c>
      <c r="J426" s="94" t="n">
        <v>-27</v>
      </c>
      <c r="K426" s="95" t="inlineStr">
        <is>
          <t>2476 VGT</t>
        </is>
      </c>
    </row>
    <row r="427">
      <c r="A427" s="16" t="inlineStr">
        <is>
          <t>New Golden Future Limited</t>
        </is>
      </c>
      <c r="B427" s="88" t="n">
        <v>1</v>
      </c>
      <c r="C427" s="93" t="n">
        <v>100</v>
      </c>
      <c r="D427" s="94" t="n">
        <v>50.1</v>
      </c>
      <c r="E427" s="94" t="n">
        <v>42.9</v>
      </c>
      <c r="F427" s="94" t="n">
        <v>65</v>
      </c>
      <c r="G427" s="94" t="n">
        <v>9.6</v>
      </c>
      <c r="H427" s="94" t="n">
        <v>-4.8</v>
      </c>
      <c r="I427" s="94" t="n">
        <v>9.9</v>
      </c>
      <c r="J427" s="94" t="n">
        <v>-27</v>
      </c>
      <c r="K427" s="95" t="inlineStr">
        <is>
          <t>2476 VGT</t>
        </is>
      </c>
    </row>
    <row r="428">
      <c r="A428" s="16" t="inlineStr">
        <is>
          <t>Ding Shijia</t>
        </is>
      </c>
      <c r="B428" s="88" t="n">
        <v>1</v>
      </c>
      <c r="C428" s="93" t="n">
        <v>100</v>
      </c>
      <c r="D428" s="94" t="n">
        <v>47.8</v>
      </c>
      <c r="E428" s="94" t="n">
        <v>17.2</v>
      </c>
      <c r="F428" s="94" t="n">
        <v>6.9</v>
      </c>
      <c r="G428" s="94" t="n">
        <v>-1.2</v>
      </c>
      <c r="H428" s="94" t="n">
        <v>-20.7</v>
      </c>
      <c r="I428" s="94" t="n">
        <v>-27.7</v>
      </c>
      <c r="J428" s="94" t="n">
        <v>-33.2</v>
      </c>
      <c r="K428" s="95" t="inlineStr">
        <is>
          <t>2306 YH ENT</t>
        </is>
      </c>
    </row>
    <row r="429">
      <c r="A429" s="16" t="inlineStr">
        <is>
          <t>Maoyan Entertainment (HK) Limited</t>
        </is>
      </c>
      <c r="B429" s="88" t="n">
        <v>1</v>
      </c>
      <c r="C429" s="93" t="n">
        <v>100</v>
      </c>
      <c r="D429" s="94" t="n">
        <v>47.8</v>
      </c>
      <c r="E429" s="94" t="n">
        <v>17.2</v>
      </c>
      <c r="F429" s="94" t="n">
        <v>6.9</v>
      </c>
      <c r="G429" s="94" t="n">
        <v>-1.2</v>
      </c>
      <c r="H429" s="94" t="n">
        <v>-20.7</v>
      </c>
      <c r="I429" s="94" t="n">
        <v>-27.7</v>
      </c>
      <c r="J429" s="94" t="n">
        <v>-33.2</v>
      </c>
      <c r="K429" s="95" t="inlineStr">
        <is>
          <t>2306 YH ENT</t>
        </is>
      </c>
    </row>
    <row r="430">
      <c r="A430" s="16" t="inlineStr">
        <is>
          <t>Sun Mass Energy Development Limited</t>
        </is>
      </c>
      <c r="B430" s="88" t="n">
        <v>1</v>
      </c>
      <c r="C430" s="93" t="n">
        <v>100</v>
      </c>
      <c r="D430" s="94" t="n">
        <v>47.8</v>
      </c>
      <c r="E430" s="94" t="n">
        <v>17.2</v>
      </c>
      <c r="F430" s="94" t="n">
        <v>6.9</v>
      </c>
      <c r="G430" s="94" t="n">
        <v>-1.2</v>
      </c>
      <c r="H430" s="94" t="n">
        <v>-20.7</v>
      </c>
      <c r="I430" s="94" t="n">
        <v>-27.7</v>
      </c>
      <c r="J430" s="94" t="n">
        <v>-33.2</v>
      </c>
      <c r="K430" s="95" t="inlineStr">
        <is>
          <t>2306 YH ENT</t>
        </is>
      </c>
    </row>
    <row r="431">
      <c r="A431" s="16" t="inlineStr">
        <is>
          <t>Kingsoft Cloud Network Corporation Limited</t>
        </is>
      </c>
      <c r="B431" s="88" t="n">
        <v>1</v>
      </c>
      <c r="C431" s="93" t="n">
        <v>100</v>
      </c>
      <c r="D431" s="94" t="n">
        <v>44.7</v>
      </c>
      <c r="E431" s="94" t="n">
        <v>60.5</v>
      </c>
      <c r="F431" s="94" t="n">
        <v>-41.7</v>
      </c>
      <c r="G431" s="94" t="n"/>
      <c r="H431" s="94" t="n">
        <v>10.9</v>
      </c>
      <c r="I431" s="94" t="n">
        <v>-59.7</v>
      </c>
      <c r="J431" s="94" t="n"/>
      <c r="K431" s="95" t="inlineStr">
        <is>
          <t>1191 CREALIGHTS</t>
        </is>
      </c>
    </row>
    <row r="432">
      <c r="A432" s="16" t="inlineStr">
        <is>
          <t>Winwin Technology Investment Co., Limited</t>
        </is>
      </c>
      <c r="B432" s="88" t="n">
        <v>1</v>
      </c>
      <c r="C432" s="93" t="n">
        <v>100</v>
      </c>
      <c r="D432" s="94" t="n">
        <v>44.7</v>
      </c>
      <c r="E432" s="94" t="n">
        <v>60.5</v>
      </c>
      <c r="F432" s="94" t="n">
        <v>-41.7</v>
      </c>
      <c r="G432" s="94" t="n"/>
      <c r="H432" s="94" t="n">
        <v>10.9</v>
      </c>
      <c r="I432" s="94" t="n">
        <v>-59.7</v>
      </c>
      <c r="J432" s="94" t="n"/>
      <c r="K432" s="95" t="inlineStr">
        <is>
          <t>1191 CREALIGHTS</t>
        </is>
      </c>
    </row>
    <row r="433">
      <c r="A433" s="16" t="inlineStr">
        <is>
          <t>Nebula</t>
        </is>
      </c>
      <c r="B433" s="88" t="n">
        <v>1</v>
      </c>
      <c r="C433" s="93" t="n">
        <v>100</v>
      </c>
      <c r="D433" s="94" t="n">
        <v>44.6</v>
      </c>
      <c r="E433" s="94" t="n">
        <v>105.4</v>
      </c>
      <c r="F433" s="94" t="n">
        <v>184.9</v>
      </c>
      <c r="G433" s="94" t="n">
        <v>137.2</v>
      </c>
      <c r="H433" s="94" t="n">
        <v>42</v>
      </c>
      <c r="I433" s="94" t="n">
        <v>97</v>
      </c>
      <c r="J433" s="94" t="n">
        <v>64</v>
      </c>
      <c r="K433" s="95" t="inlineStr">
        <is>
          <t>9678 UNISOUND</t>
        </is>
      </c>
    </row>
    <row r="434">
      <c r="A434" s="16" t="inlineStr">
        <is>
          <t>Great Praise</t>
        </is>
      </c>
      <c r="B434" s="88" t="n">
        <v>1</v>
      </c>
      <c r="C434" s="93" t="n">
        <v>100</v>
      </c>
      <c r="D434" s="94" t="n">
        <v>44</v>
      </c>
      <c r="E434" s="94" t="n">
        <v>46.1</v>
      </c>
      <c r="F434" s="94" t="n">
        <v>36.3</v>
      </c>
      <c r="G434" s="94" t="n">
        <v>44.7</v>
      </c>
      <c r="H434" s="94" t="n">
        <v>1.5</v>
      </c>
      <c r="I434" s="94" t="n">
        <v>-5.3</v>
      </c>
      <c r="J434" s="94" t="n">
        <v>0.5</v>
      </c>
      <c r="K434" s="95" t="inlineStr">
        <is>
          <t>6090 BUTONG GROUP</t>
        </is>
      </c>
    </row>
    <row r="435">
      <c r="A435" s="16" t="inlineStr">
        <is>
          <t>M&amp;G Investments</t>
        </is>
      </c>
      <c r="B435" s="88" t="n">
        <v>1</v>
      </c>
      <c r="C435" s="93" t="n">
        <v>100</v>
      </c>
      <c r="D435" s="94" t="n">
        <v>43.2</v>
      </c>
      <c r="E435" s="94" t="n">
        <v>94.3</v>
      </c>
      <c r="F435" s="94" t="n">
        <v>107.4</v>
      </c>
      <c r="G435" s="94" t="n">
        <v>180.5</v>
      </c>
      <c r="H435" s="94" t="n">
        <v>35.6</v>
      </c>
      <c r="I435" s="94" t="n">
        <v>44.8</v>
      </c>
      <c r="J435" s="94" t="n">
        <v>95.90000000000001</v>
      </c>
      <c r="K435" s="95" t="inlineStr">
        <is>
          <t>2097 MIXUE GROUP</t>
        </is>
      </c>
    </row>
    <row r="436">
      <c r="A436" s="16" t="inlineStr">
        <is>
          <t>Persistence Growth Limited</t>
        </is>
      </c>
      <c r="B436" s="88" t="n">
        <v>1</v>
      </c>
      <c r="C436" s="93" t="n">
        <v>100</v>
      </c>
      <c r="D436" s="94" t="n">
        <v>43.2</v>
      </c>
      <c r="E436" s="94" t="n">
        <v>94.3</v>
      </c>
      <c r="F436" s="94" t="n">
        <v>107.4</v>
      </c>
      <c r="G436" s="94" t="n">
        <v>180.5</v>
      </c>
      <c r="H436" s="94" t="n">
        <v>35.6</v>
      </c>
      <c r="I436" s="94" t="n">
        <v>44.8</v>
      </c>
      <c r="J436" s="94" t="n">
        <v>95.90000000000001</v>
      </c>
      <c r="K436" s="95" t="inlineStr">
        <is>
          <t>2097 MIXUE GROUP</t>
        </is>
      </c>
    </row>
    <row r="437">
      <c r="A437" s="16" t="inlineStr">
        <is>
          <t>Lin Xiaojian</t>
        </is>
      </c>
      <c r="B437" s="88" t="n">
        <v>1</v>
      </c>
      <c r="C437" s="93" t="n">
        <v>100</v>
      </c>
      <c r="D437" s="94" t="n">
        <v>42</v>
      </c>
      <c r="E437" s="94" t="n">
        <v>30</v>
      </c>
      <c r="F437" s="94" t="n">
        <v>3</v>
      </c>
      <c r="G437" s="94" t="n">
        <v>9.5</v>
      </c>
      <c r="H437" s="94" t="n">
        <v>-8.4</v>
      </c>
      <c r="I437" s="94" t="n">
        <v>-27.5</v>
      </c>
      <c r="J437" s="94" t="n">
        <v>-22.9</v>
      </c>
      <c r="K437" s="95" t="inlineStr">
        <is>
          <t>9881 RONGTA TECH</t>
        </is>
      </c>
    </row>
    <row r="438">
      <c r="A438" s="16" t="inlineStr">
        <is>
          <t>Sinos Group Limited</t>
        </is>
      </c>
      <c r="B438" s="88" t="n">
        <v>1</v>
      </c>
      <c r="C438" s="93" t="n">
        <v>100</v>
      </c>
      <c r="D438" s="94" t="n">
        <v>42</v>
      </c>
      <c r="E438" s="94" t="n">
        <v>30</v>
      </c>
      <c r="F438" s="94" t="n">
        <v>3</v>
      </c>
      <c r="G438" s="94" t="n">
        <v>9.5</v>
      </c>
      <c r="H438" s="94" t="n">
        <v>-8.4</v>
      </c>
      <c r="I438" s="94" t="n">
        <v>-27.5</v>
      </c>
      <c r="J438" s="94" t="n">
        <v>-22.9</v>
      </c>
      <c r="K438" s="95" t="inlineStr">
        <is>
          <t>9881 RONGTA TECH</t>
        </is>
      </c>
    </row>
    <row r="439">
      <c r="A439" s="16" t="inlineStr">
        <is>
          <t>Li Shuhan</t>
        </is>
      </c>
      <c r="B439" s="88" t="n">
        <v>1</v>
      </c>
      <c r="C439" s="93" t="n">
        <v>100</v>
      </c>
      <c r="D439" s="94" t="n">
        <v>42</v>
      </c>
      <c r="E439" s="94" t="n">
        <v>30</v>
      </c>
      <c r="F439" s="94" t="n">
        <v>3</v>
      </c>
      <c r="G439" s="94" t="n">
        <v>9.5</v>
      </c>
      <c r="H439" s="94" t="n">
        <v>-8.4</v>
      </c>
      <c r="I439" s="94" t="n">
        <v>-27.5</v>
      </c>
      <c r="J439" s="94" t="n">
        <v>-22.9</v>
      </c>
      <c r="K439" s="95" t="inlineStr">
        <is>
          <t>9881 RONGTA TECH</t>
        </is>
      </c>
    </row>
    <row r="440">
      <c r="A440" s="16" t="inlineStr">
        <is>
          <t>Ng Chi Fat</t>
        </is>
      </c>
      <c r="B440" s="88" t="n">
        <v>1</v>
      </c>
      <c r="C440" s="93" t="n">
        <v>100</v>
      </c>
      <c r="D440" s="94" t="n">
        <v>42</v>
      </c>
      <c r="E440" s="94" t="n">
        <v>30</v>
      </c>
      <c r="F440" s="94" t="n">
        <v>3</v>
      </c>
      <c r="G440" s="94" t="n">
        <v>9.5</v>
      </c>
      <c r="H440" s="94" t="n">
        <v>-8.4</v>
      </c>
      <c r="I440" s="94" t="n">
        <v>-27.5</v>
      </c>
      <c r="J440" s="94" t="n">
        <v>-22.9</v>
      </c>
      <c r="K440" s="95" t="inlineStr">
        <is>
          <t>9881 RONGTA TECH</t>
        </is>
      </c>
    </row>
    <row r="441">
      <c r="A441" s="16" t="inlineStr">
        <is>
          <t>Xu Kaiming</t>
        </is>
      </c>
      <c r="B441" s="88" t="n">
        <v>1</v>
      </c>
      <c r="C441" s="93" t="n">
        <v>100</v>
      </c>
      <c r="D441" s="94" t="n">
        <v>42</v>
      </c>
      <c r="E441" s="94" t="n">
        <v>30</v>
      </c>
      <c r="F441" s="94" t="n">
        <v>3</v>
      </c>
      <c r="G441" s="94" t="n">
        <v>9.5</v>
      </c>
      <c r="H441" s="94" t="n">
        <v>-8.4</v>
      </c>
      <c r="I441" s="94" t="n">
        <v>-27.5</v>
      </c>
      <c r="J441" s="94" t="n">
        <v>-22.9</v>
      </c>
      <c r="K441" s="95" t="inlineStr">
        <is>
          <t>9881 RONGTA TECH</t>
        </is>
      </c>
    </row>
    <row r="442">
      <c r="A442" s="16" t="inlineStr">
        <is>
          <t>Xu Kaihe</t>
        </is>
      </c>
      <c r="B442" s="88" t="n">
        <v>1</v>
      </c>
      <c r="C442" s="93" t="n">
        <v>100</v>
      </c>
      <c r="D442" s="94" t="n">
        <v>42</v>
      </c>
      <c r="E442" s="94" t="n">
        <v>30</v>
      </c>
      <c r="F442" s="94" t="n">
        <v>3</v>
      </c>
      <c r="G442" s="94" t="n">
        <v>9.5</v>
      </c>
      <c r="H442" s="94" t="n">
        <v>-8.4</v>
      </c>
      <c r="I442" s="94" t="n">
        <v>-27.5</v>
      </c>
      <c r="J442" s="94" t="n">
        <v>-22.9</v>
      </c>
      <c r="K442" s="95" t="inlineStr">
        <is>
          <t>9881 RONGTA TECH</t>
        </is>
      </c>
    </row>
    <row r="443">
      <c r="A443" s="16" t="inlineStr">
        <is>
          <t>Lin Huanan</t>
        </is>
      </c>
      <c r="B443" s="88" t="n">
        <v>1</v>
      </c>
      <c r="C443" s="93" t="n">
        <v>100</v>
      </c>
      <c r="D443" s="94" t="n">
        <v>42</v>
      </c>
      <c r="E443" s="94" t="n">
        <v>30</v>
      </c>
      <c r="F443" s="94" t="n">
        <v>3</v>
      </c>
      <c r="G443" s="94" t="n">
        <v>9.5</v>
      </c>
      <c r="H443" s="94" t="n">
        <v>-8.4</v>
      </c>
      <c r="I443" s="94" t="n">
        <v>-27.5</v>
      </c>
      <c r="J443" s="94" t="n">
        <v>-22.9</v>
      </c>
      <c r="K443" s="95" t="inlineStr">
        <is>
          <t>9881 RONGTA TECH</t>
        </is>
      </c>
    </row>
    <row r="444">
      <c r="A444" s="16" t="inlineStr">
        <is>
          <t>Yang Litie</t>
        </is>
      </c>
      <c r="B444" s="88" t="n">
        <v>1</v>
      </c>
      <c r="C444" s="93" t="n">
        <v>100</v>
      </c>
      <c r="D444" s="94" t="n">
        <v>42</v>
      </c>
      <c r="E444" s="94" t="n">
        <v>30</v>
      </c>
      <c r="F444" s="94" t="n">
        <v>3</v>
      </c>
      <c r="G444" s="94" t="n">
        <v>9.5</v>
      </c>
      <c r="H444" s="94" t="n">
        <v>-8.4</v>
      </c>
      <c r="I444" s="94" t="n">
        <v>-27.5</v>
      </c>
      <c r="J444" s="94" t="n">
        <v>-22.9</v>
      </c>
      <c r="K444" s="95" t="inlineStr">
        <is>
          <t>9881 RONGTA TECH</t>
        </is>
      </c>
    </row>
    <row r="445">
      <c r="A445" s="16" t="inlineStr">
        <is>
          <t>Bright Stone Holdings Limited</t>
        </is>
      </c>
      <c r="B445" s="88" t="n">
        <v>1</v>
      </c>
      <c r="C445" s="93" t="n">
        <v>100</v>
      </c>
      <c r="D445" s="94" t="n">
        <v>41.6</v>
      </c>
      <c r="E445" s="94" t="n">
        <v>30.8</v>
      </c>
      <c r="F445" s="94" t="n">
        <v>18.2</v>
      </c>
      <c r="G445" s="94" t="n">
        <v>14.6</v>
      </c>
      <c r="H445" s="94" t="n">
        <v>-7.7</v>
      </c>
      <c r="I445" s="94" t="n">
        <v>-16.5</v>
      </c>
      <c r="J445" s="94" t="n">
        <v>-19.1</v>
      </c>
      <c r="K445" s="95" t="inlineStr">
        <is>
          <t>6938 RIBOLIFE-B</t>
        </is>
      </c>
    </row>
    <row r="446">
      <c r="A446" s="16" t="inlineStr">
        <is>
          <t>Erik Selin Fastigheter Aktiebolag</t>
        </is>
      </c>
      <c r="B446" s="88" t="n">
        <v>1</v>
      </c>
      <c r="C446" s="93" t="n">
        <v>100</v>
      </c>
      <c r="D446" s="94" t="n">
        <v>41.6</v>
      </c>
      <c r="E446" s="94" t="n">
        <v>30.8</v>
      </c>
      <c r="F446" s="94" t="n">
        <v>18.2</v>
      </c>
      <c r="G446" s="94" t="n">
        <v>14.6</v>
      </c>
      <c r="H446" s="94" t="n">
        <v>-7.7</v>
      </c>
      <c r="I446" s="94" t="n">
        <v>-16.5</v>
      </c>
      <c r="J446" s="94" t="n">
        <v>-19.1</v>
      </c>
      <c r="K446" s="95" t="inlineStr">
        <is>
          <t>6938 RIBOLIFE-B</t>
        </is>
      </c>
    </row>
    <row r="447">
      <c r="A447" s="16" t="inlineStr">
        <is>
          <t>Himension Fund</t>
        </is>
      </c>
      <c r="B447" s="88" t="n">
        <v>1</v>
      </c>
      <c r="C447" s="93" t="n">
        <v>100</v>
      </c>
      <c r="D447" s="94" t="n">
        <v>41.6</v>
      </c>
      <c r="E447" s="94" t="n">
        <v>30.8</v>
      </c>
      <c r="F447" s="94" t="n">
        <v>18.2</v>
      </c>
      <c r="G447" s="94" t="n">
        <v>14.6</v>
      </c>
      <c r="H447" s="94" t="n">
        <v>-7.7</v>
      </c>
      <c r="I447" s="94" t="n">
        <v>-16.5</v>
      </c>
      <c r="J447" s="94" t="n">
        <v>-19.1</v>
      </c>
      <c r="K447" s="95" t="inlineStr">
        <is>
          <t>6938 RIBOLIFE-B</t>
        </is>
      </c>
    </row>
    <row r="448">
      <c r="A448" s="16" t="inlineStr">
        <is>
          <t>Mingxin Growth Ventures LS2 Limited</t>
        </is>
      </c>
      <c r="B448" s="88" t="n">
        <v>1</v>
      </c>
      <c r="C448" s="93" t="n">
        <v>100</v>
      </c>
      <c r="D448" s="94" t="n">
        <v>41.6</v>
      </c>
      <c r="E448" s="94" t="n">
        <v>30.8</v>
      </c>
      <c r="F448" s="94" t="n">
        <v>18.2</v>
      </c>
      <c r="G448" s="94" t="n">
        <v>14.6</v>
      </c>
      <c r="H448" s="94" t="n">
        <v>-7.7</v>
      </c>
      <c r="I448" s="94" t="n">
        <v>-16.5</v>
      </c>
      <c r="J448" s="94" t="n">
        <v>-19.1</v>
      </c>
      <c r="K448" s="95" t="inlineStr">
        <is>
          <t>6938 RIBOLIFE-B</t>
        </is>
      </c>
    </row>
    <row r="449">
      <c r="A449" s="16" t="inlineStr">
        <is>
          <t>William WONG ( ˮጳ਷)</t>
        </is>
      </c>
      <c r="B449" s="88" t="n">
        <v>1</v>
      </c>
      <c r="C449" s="93" t="n">
        <v>100</v>
      </c>
      <c r="D449" s="94" t="n">
        <v>41.6</v>
      </c>
      <c r="E449" s="94" t="n">
        <v>30.8</v>
      </c>
      <c r="F449" s="94" t="n">
        <v>18.2</v>
      </c>
      <c r="G449" s="94" t="n">
        <v>14.6</v>
      </c>
      <c r="H449" s="94" t="n">
        <v>-7.7</v>
      </c>
      <c r="I449" s="94" t="n">
        <v>-16.5</v>
      </c>
      <c r="J449" s="94" t="n">
        <v>-19.1</v>
      </c>
      <c r="K449" s="95" t="inlineStr">
        <is>
          <t>6938 RIBOLIFE-B</t>
        </is>
      </c>
    </row>
    <row r="450">
      <c r="A450" s="16" t="inlineStr">
        <is>
          <t>Worldstar Global Holdings Limited</t>
        </is>
      </c>
      <c r="B450" s="88" t="n">
        <v>1</v>
      </c>
      <c r="C450" s="93" t="n">
        <v>100</v>
      </c>
      <c r="D450" s="94" t="n">
        <v>41.6</v>
      </c>
      <c r="E450" s="94" t="n">
        <v>30.8</v>
      </c>
      <c r="F450" s="94" t="n">
        <v>18.2</v>
      </c>
      <c r="G450" s="94" t="n">
        <v>14.6</v>
      </c>
      <c r="H450" s="94" t="n">
        <v>-7.7</v>
      </c>
      <c r="I450" s="94" t="n">
        <v>-16.5</v>
      </c>
      <c r="J450" s="94" t="n">
        <v>-19.1</v>
      </c>
      <c r="K450" s="95" t="inlineStr">
        <is>
          <t>6938 RIBOLIFE-B</t>
        </is>
      </c>
    </row>
    <row r="451">
      <c r="A451" s="16" t="inlineStr">
        <is>
          <t>Wise Vigour Limited</t>
        </is>
      </c>
      <c r="B451" s="88" t="n">
        <v>1</v>
      </c>
      <c r="C451" s="93" t="n">
        <v>100</v>
      </c>
      <c r="D451" s="94" t="n">
        <v>41.6</v>
      </c>
      <c r="E451" s="94" t="n">
        <v>30.8</v>
      </c>
      <c r="F451" s="94" t="n">
        <v>18.2</v>
      </c>
      <c r="G451" s="94" t="n">
        <v>14.6</v>
      </c>
      <c r="H451" s="94" t="n">
        <v>-7.7</v>
      </c>
      <c r="I451" s="94" t="n">
        <v>-16.5</v>
      </c>
      <c r="J451" s="94" t="n">
        <v>-19.1</v>
      </c>
      <c r="K451" s="95" t="inlineStr">
        <is>
          <t>6938 RIBOLIFE-B</t>
        </is>
      </c>
    </row>
    <row r="452">
      <c r="A452" s="16" t="inlineStr">
        <is>
          <t>CURA International (Hong Kong) Investment Management Company Limited</t>
        </is>
      </c>
      <c r="B452" s="88" t="n">
        <v>1</v>
      </c>
      <c r="C452" s="93" t="n">
        <v>100</v>
      </c>
      <c r="D452" s="94" t="n">
        <v>41.5</v>
      </c>
      <c r="E452" s="94" t="n">
        <v>2.5</v>
      </c>
      <c r="F452" s="94" t="n">
        <v>0</v>
      </c>
      <c r="G452" s="94" t="n">
        <v>3.8</v>
      </c>
      <c r="H452" s="94" t="n">
        <v>-27.6</v>
      </c>
      <c r="I452" s="94" t="n">
        <v>-29.3</v>
      </c>
      <c r="J452" s="94" t="n">
        <v>-26.7</v>
      </c>
      <c r="K452" s="95" t="inlineStr">
        <is>
          <t>1965 LANDSEA LIFE</t>
        </is>
      </c>
    </row>
    <row r="453">
      <c r="A453" s="16" t="inlineStr">
        <is>
          <t>Dato Sri Ng Chong Keong</t>
        </is>
      </c>
      <c r="B453" s="88" t="n">
        <v>1</v>
      </c>
      <c r="C453" s="93" t="n">
        <v>100</v>
      </c>
      <c r="D453" s="94" t="n">
        <v>41.1</v>
      </c>
      <c r="E453" s="94" t="n">
        <v>62.5</v>
      </c>
      <c r="F453" s="94" t="n">
        <v>96.40000000000001</v>
      </c>
      <c r="G453" s="94" t="n">
        <v>258.9</v>
      </c>
      <c r="H453" s="94" t="n">
        <v>15.2</v>
      </c>
      <c r="I453" s="94" t="n">
        <v>39.2</v>
      </c>
      <c r="J453" s="94" t="n">
        <v>154.4</v>
      </c>
      <c r="K453" s="95" t="inlineStr">
        <is>
          <t>2321 SWANGCHAICHUAN</t>
        </is>
      </c>
    </row>
    <row r="454">
      <c r="A454" s="16" t="inlineStr">
        <is>
          <t>Huihuang Resources Limited</t>
        </is>
      </c>
      <c r="B454" s="88" t="n">
        <v>1</v>
      </c>
      <c r="C454" s="93" t="n">
        <v>100</v>
      </c>
      <c r="D454" s="94" t="n">
        <v>41.1</v>
      </c>
      <c r="E454" s="94" t="n">
        <v>62.5</v>
      </c>
      <c r="F454" s="94" t="n">
        <v>96.40000000000001</v>
      </c>
      <c r="G454" s="94" t="n">
        <v>258.9</v>
      </c>
      <c r="H454" s="94" t="n">
        <v>15.2</v>
      </c>
      <c r="I454" s="94" t="n">
        <v>39.2</v>
      </c>
      <c r="J454" s="94" t="n">
        <v>154.4</v>
      </c>
      <c r="K454" s="95" t="inlineStr">
        <is>
          <t>2321 SWANGCHAICHUAN</t>
        </is>
      </c>
    </row>
    <row r="455">
      <c r="A455" s="16" t="inlineStr">
        <is>
          <t>Mr. Tee Kian Heng</t>
        </is>
      </c>
      <c r="B455" s="88" t="n">
        <v>1</v>
      </c>
      <c r="C455" s="93" t="n">
        <v>100</v>
      </c>
      <c r="D455" s="94" t="n">
        <v>41.1</v>
      </c>
      <c r="E455" s="94" t="n">
        <v>62.5</v>
      </c>
      <c r="F455" s="94" t="n">
        <v>96.40000000000001</v>
      </c>
      <c r="G455" s="94" t="n">
        <v>258.9</v>
      </c>
      <c r="H455" s="94" t="n">
        <v>15.2</v>
      </c>
      <c r="I455" s="94" t="n">
        <v>39.2</v>
      </c>
      <c r="J455" s="94" t="n">
        <v>154.4</v>
      </c>
      <c r="K455" s="95" t="inlineStr">
        <is>
          <t>2321 SWANGCHAICHUAN</t>
        </is>
      </c>
    </row>
    <row r="456">
      <c r="A456" s="16" t="inlineStr">
        <is>
          <t>Nayuki Holdings Limited</t>
        </is>
      </c>
      <c r="B456" s="88" t="n">
        <v>1</v>
      </c>
      <c r="C456" s="93" t="n">
        <v>100</v>
      </c>
      <c r="D456" s="94" t="n">
        <v>40.9</v>
      </c>
      <c r="E456" s="94" t="n">
        <v>20.8</v>
      </c>
      <c r="F456" s="94" t="n">
        <v>55.9</v>
      </c>
      <c r="G456" s="94" t="n">
        <v>79.09999999999999</v>
      </c>
      <c r="H456" s="94" t="n">
        <v>-14.3</v>
      </c>
      <c r="I456" s="94" t="n">
        <v>10.7</v>
      </c>
      <c r="J456" s="94" t="n">
        <v>27.2</v>
      </c>
      <c r="K456" s="95" t="inlineStr">
        <is>
          <t>2429 UBOX ONLINE</t>
        </is>
      </c>
    </row>
    <row r="457">
      <c r="A457" s="16" t="inlineStr">
        <is>
          <t>Shenzhen Maliujia Network Technology Co., Ltd</t>
        </is>
      </c>
      <c r="B457" s="88" t="n">
        <v>1</v>
      </c>
      <c r="C457" s="93" t="n">
        <v>100</v>
      </c>
      <c r="D457" s="94" t="n">
        <v>40.9</v>
      </c>
      <c r="E457" s="94" t="n">
        <v>20.8</v>
      </c>
      <c r="F457" s="94" t="n">
        <v>55.9</v>
      </c>
      <c r="G457" s="94" t="n">
        <v>79.09999999999999</v>
      </c>
      <c r="H457" s="94" t="n">
        <v>-14.3</v>
      </c>
      <c r="I457" s="94" t="n">
        <v>10.7</v>
      </c>
      <c r="J457" s="94" t="n">
        <v>27.2</v>
      </c>
      <c r="K457" s="95" t="inlineStr">
        <is>
          <t>2429 UBOX ONLINE</t>
        </is>
      </c>
    </row>
    <row r="458">
      <c r="A458" s="16" t="inlineStr">
        <is>
          <t>Wei Jinbing</t>
        </is>
      </c>
      <c r="B458" s="88" t="n">
        <v>1</v>
      </c>
      <c r="C458" s="93" t="n">
        <v>100</v>
      </c>
      <c r="D458" s="94" t="n">
        <v>40.9</v>
      </c>
      <c r="E458" s="94" t="n">
        <v>20.8</v>
      </c>
      <c r="F458" s="94" t="n">
        <v>55.9</v>
      </c>
      <c r="G458" s="94" t="n">
        <v>79.09999999999999</v>
      </c>
      <c r="H458" s="94" t="n">
        <v>-14.3</v>
      </c>
      <c r="I458" s="94" t="n">
        <v>10.7</v>
      </c>
      <c r="J458" s="94" t="n">
        <v>27.2</v>
      </c>
      <c r="K458" s="95" t="inlineStr">
        <is>
          <t>2429 UBOX ONLINE</t>
        </is>
      </c>
    </row>
    <row r="459">
      <c r="A459" s="16" t="inlineStr">
        <is>
          <t>Gaintex Investment Limited</t>
        </is>
      </c>
      <c r="B459" s="88" t="n">
        <v>1</v>
      </c>
      <c r="C459" s="93" t="n">
        <v>100</v>
      </c>
      <c r="D459" s="94" t="n">
        <v>40.9</v>
      </c>
      <c r="E459" s="94" t="n">
        <v>49.6</v>
      </c>
      <c r="F459" s="94" t="n">
        <v>40.2</v>
      </c>
      <c r="G459" s="94" t="n">
        <v>101.7</v>
      </c>
      <c r="H459" s="94" t="n">
        <v>6.2</v>
      </c>
      <c r="I459" s="94" t="n">
        <v>-0.5</v>
      </c>
      <c r="J459" s="94" t="n">
        <v>43.2</v>
      </c>
      <c r="K459" s="95" t="inlineStr">
        <is>
          <t>0325 BLOKS</t>
        </is>
      </c>
    </row>
    <row r="460">
      <c r="A460" s="16" t="inlineStr">
        <is>
          <t>Plus Force Enterprise Limited</t>
        </is>
      </c>
      <c r="B460" s="88" t="n">
        <v>1</v>
      </c>
      <c r="C460" s="93" t="n">
        <v>100</v>
      </c>
      <c r="D460" s="94" t="n">
        <v>40.9</v>
      </c>
      <c r="E460" s="94" t="n">
        <v>49.6</v>
      </c>
      <c r="F460" s="94" t="n">
        <v>40.2</v>
      </c>
      <c r="G460" s="94" t="n">
        <v>101.7</v>
      </c>
      <c r="H460" s="94" t="n">
        <v>6.2</v>
      </c>
      <c r="I460" s="94" t="n">
        <v>-0.5</v>
      </c>
      <c r="J460" s="94" t="n">
        <v>43.2</v>
      </c>
      <c r="K460" s="95" t="inlineStr">
        <is>
          <t>0325 BLOKS</t>
        </is>
      </c>
    </row>
    <row r="461">
      <c r="A461" s="16" t="inlineStr">
        <is>
          <t>Merron Ventures Limited</t>
        </is>
      </c>
      <c r="B461" s="88" t="n">
        <v>1</v>
      </c>
      <c r="C461" s="93" t="n">
        <v>100</v>
      </c>
      <c r="D461" s="94" t="n">
        <v>40.9</v>
      </c>
      <c r="E461" s="94" t="n">
        <v>49.6</v>
      </c>
      <c r="F461" s="94" t="n">
        <v>40.2</v>
      </c>
      <c r="G461" s="94" t="n">
        <v>101.7</v>
      </c>
      <c r="H461" s="94" t="n">
        <v>6.2</v>
      </c>
      <c r="I461" s="94" t="n">
        <v>-0.5</v>
      </c>
      <c r="J461" s="94" t="n">
        <v>43.2</v>
      </c>
      <c r="K461" s="95" t="inlineStr">
        <is>
          <t>0325 BLOKS</t>
        </is>
      </c>
    </row>
    <row r="462">
      <c r="A462" s="16" t="inlineStr">
        <is>
          <t>JYCP Holding Limited</t>
        </is>
      </c>
      <c r="B462" s="88" t="n">
        <v>1</v>
      </c>
      <c r="C462" s="93" t="n">
        <v>100</v>
      </c>
      <c r="D462" s="94" t="n">
        <v>40.9</v>
      </c>
      <c r="E462" s="94" t="n">
        <v>49.6</v>
      </c>
      <c r="F462" s="94" t="n">
        <v>40.2</v>
      </c>
      <c r="G462" s="94" t="n">
        <v>101.7</v>
      </c>
      <c r="H462" s="94" t="n">
        <v>6.2</v>
      </c>
      <c r="I462" s="94" t="n">
        <v>-0.5</v>
      </c>
      <c r="J462" s="94" t="n">
        <v>43.2</v>
      </c>
      <c r="K462" s="95" t="inlineStr">
        <is>
          <t>0325 BLOKS</t>
        </is>
      </c>
    </row>
    <row r="463">
      <c r="A463" s="16" t="inlineStr">
        <is>
          <t>JYMB Holding Limited</t>
        </is>
      </c>
      <c r="B463" s="88" t="n">
        <v>1</v>
      </c>
      <c r="C463" s="93" t="n">
        <v>100</v>
      </c>
      <c r="D463" s="94" t="n">
        <v>40.9</v>
      </c>
      <c r="E463" s="94" t="n">
        <v>49.6</v>
      </c>
      <c r="F463" s="94" t="n">
        <v>40.2</v>
      </c>
      <c r="G463" s="94" t="n">
        <v>101.7</v>
      </c>
      <c r="H463" s="94" t="n">
        <v>6.2</v>
      </c>
      <c r="I463" s="94" t="n">
        <v>-0.5</v>
      </c>
      <c r="J463" s="94" t="n">
        <v>43.2</v>
      </c>
      <c r="K463" s="95" t="inlineStr">
        <is>
          <t>0325 BLOKS</t>
        </is>
      </c>
    </row>
    <row r="464">
      <c r="A464" s="16" t="inlineStr">
        <is>
          <t>Beihai Kmind Management Consulting Limited</t>
        </is>
      </c>
      <c r="B464" s="88" t="n">
        <v>1</v>
      </c>
      <c r="C464" s="93" t="n">
        <v>100</v>
      </c>
      <c r="D464" s="94" t="n">
        <v>40.9</v>
      </c>
      <c r="E464" s="94" t="n">
        <v>49.6</v>
      </c>
      <c r="F464" s="94" t="n">
        <v>40.2</v>
      </c>
      <c r="G464" s="94" t="n">
        <v>101.7</v>
      </c>
      <c r="H464" s="94" t="n">
        <v>6.2</v>
      </c>
      <c r="I464" s="94" t="n">
        <v>-0.5</v>
      </c>
      <c r="J464" s="94" t="n">
        <v>43.2</v>
      </c>
      <c r="K464" s="95" t="inlineStr">
        <is>
          <t>0325 BLOKS</t>
        </is>
      </c>
    </row>
    <row r="465">
      <c r="A465" s="16" t="inlineStr">
        <is>
          <t>BlueCo Investment L.P</t>
        </is>
      </c>
      <c r="B465" s="88" t="n">
        <v>1</v>
      </c>
      <c r="C465" s="93" t="n">
        <v>100</v>
      </c>
      <c r="D465" s="94" t="n">
        <v>40.9</v>
      </c>
      <c r="E465" s="94" t="n">
        <v>49.6</v>
      </c>
      <c r="F465" s="94" t="n">
        <v>40.2</v>
      </c>
      <c r="G465" s="94" t="n">
        <v>101.7</v>
      </c>
      <c r="H465" s="94" t="n">
        <v>6.2</v>
      </c>
      <c r="I465" s="94" t="n">
        <v>-0.5</v>
      </c>
      <c r="J465" s="94" t="n">
        <v>43.2</v>
      </c>
      <c r="K465" s="95" t="inlineStr">
        <is>
          <t>0325 BLOKS</t>
        </is>
      </c>
    </row>
    <row r="466">
      <c r="A466" s="16" t="inlineStr">
        <is>
          <t>Lenient Investment L.P</t>
        </is>
      </c>
      <c r="B466" s="88" t="n">
        <v>1</v>
      </c>
      <c r="C466" s="93" t="n">
        <v>100</v>
      </c>
      <c r="D466" s="94" t="n">
        <v>40.9</v>
      </c>
      <c r="E466" s="94" t="n">
        <v>49.6</v>
      </c>
      <c r="F466" s="94" t="n">
        <v>40.2</v>
      </c>
      <c r="G466" s="94" t="n">
        <v>101.7</v>
      </c>
      <c r="H466" s="94" t="n">
        <v>6.2</v>
      </c>
      <c r="I466" s="94" t="n">
        <v>-0.5</v>
      </c>
      <c r="J466" s="94" t="n">
        <v>43.2</v>
      </c>
      <c r="K466" s="95" t="inlineStr">
        <is>
          <t>0325 BLOKS</t>
        </is>
      </c>
    </row>
    <row r="467">
      <c r="A467" s="16" t="inlineStr">
        <is>
          <t>Golden Future LPF</t>
        </is>
      </c>
      <c r="B467" s="88" t="n">
        <v>1</v>
      </c>
      <c r="C467" s="93" t="n">
        <v>100</v>
      </c>
      <c r="D467" s="94" t="n">
        <v>40</v>
      </c>
      <c r="E467" s="94" t="n">
        <v>58.8</v>
      </c>
      <c r="F467" s="94" t="n">
        <v>110.6</v>
      </c>
      <c r="G467" s="94" t="n">
        <v>105.8</v>
      </c>
      <c r="H467" s="94" t="n">
        <v>13.4</v>
      </c>
      <c r="I467" s="94" t="n">
        <v>50.4</v>
      </c>
      <c r="J467" s="94" t="n">
        <v>47</v>
      </c>
      <c r="K467" s="95" t="inlineStr">
        <is>
          <t>0917 QUNABOX GROUP</t>
        </is>
      </c>
    </row>
    <row r="468">
      <c r="A468" s="16" t="inlineStr">
        <is>
          <t>Changfeng Growth Equity Fund</t>
        </is>
      </c>
      <c r="B468" s="88" t="n">
        <v>1</v>
      </c>
      <c r="C468" s="93" t="n">
        <v>100</v>
      </c>
      <c r="D468" s="94" t="n">
        <v>38.3</v>
      </c>
      <c r="E468" s="94" t="n">
        <v>31.1</v>
      </c>
      <c r="F468" s="94" t="n">
        <v>79.40000000000001</v>
      </c>
      <c r="G468" s="94" t="n">
        <v>53.3</v>
      </c>
      <c r="H468" s="94" t="n">
        <v>-5.2</v>
      </c>
      <c r="I468" s="94" t="n">
        <v>29.7</v>
      </c>
      <c r="J468" s="94" t="n">
        <v>10.8</v>
      </c>
      <c r="K468" s="95" t="inlineStr">
        <is>
          <t>1333 BRETON</t>
        </is>
      </c>
    </row>
    <row r="469">
      <c r="A469" s="16" t="inlineStr">
        <is>
          <t>Xiaomi</t>
        </is>
      </c>
      <c r="B469" s="88" t="n">
        <v>1</v>
      </c>
      <c r="C469" s="93" t="n">
        <v>100</v>
      </c>
      <c r="D469" s="94" t="n">
        <v>37.5</v>
      </c>
      <c r="E469" s="94" t="n">
        <v>88.90000000000001</v>
      </c>
      <c r="F469" s="94" t="n">
        <v>82.7</v>
      </c>
      <c r="G469" s="94" t="n">
        <v>161.1</v>
      </c>
      <c r="H469" s="94" t="n">
        <v>37.3</v>
      </c>
      <c r="I469" s="94" t="n">
        <v>32.9</v>
      </c>
      <c r="J469" s="94" t="n">
        <v>89.90000000000001</v>
      </c>
      <c r="K469" s="95" t="inlineStr">
        <is>
          <t>3986 GIGADEVICE</t>
        </is>
      </c>
    </row>
    <row r="470">
      <c r="A470" s="16" t="inlineStr">
        <is>
          <t>TCL Industries</t>
        </is>
      </c>
      <c r="B470" s="88" t="n">
        <v>1</v>
      </c>
      <c r="C470" s="93" t="n">
        <v>100</v>
      </c>
      <c r="D470" s="94" t="n">
        <v>37.5</v>
      </c>
      <c r="E470" s="94" t="n">
        <v>88.90000000000001</v>
      </c>
      <c r="F470" s="94" t="n">
        <v>82.7</v>
      </c>
      <c r="G470" s="94" t="n">
        <v>161.1</v>
      </c>
      <c r="H470" s="94" t="n">
        <v>37.3</v>
      </c>
      <c r="I470" s="94" t="n">
        <v>32.9</v>
      </c>
      <c r="J470" s="94" t="n">
        <v>89.90000000000001</v>
      </c>
      <c r="K470" s="95" t="inlineStr">
        <is>
          <t>3986 GIGADEVICE</t>
        </is>
      </c>
    </row>
    <row r="471">
      <c r="A471" s="16" t="inlineStr">
        <is>
          <t>Yuanfeng Future Growth Fund and CGII</t>
        </is>
      </c>
      <c r="B471" s="88" t="n">
        <v>1</v>
      </c>
      <c r="C471" s="93" t="n">
        <v>100</v>
      </c>
      <c r="D471" s="94" t="n">
        <v>37.2</v>
      </c>
      <c r="E471" s="94" t="n">
        <v>49.8</v>
      </c>
      <c r="F471" s="94" t="n">
        <v>-1.1</v>
      </c>
      <c r="G471" s="94" t="n"/>
      <c r="H471" s="94" t="n">
        <v>9.199999999999999</v>
      </c>
      <c r="I471" s="94" t="n">
        <v>-27.9</v>
      </c>
      <c r="J471" s="94" t="n"/>
      <c r="K471" s="95" t="inlineStr">
        <is>
          <t>1779 LONGBIO-B</t>
        </is>
      </c>
    </row>
    <row r="472">
      <c r="A472" s="16" t="inlineStr">
        <is>
          <t>Affluent Base Limited</t>
        </is>
      </c>
      <c r="B472" s="88" t="n">
        <v>1</v>
      </c>
      <c r="C472" s="93" t="n">
        <v>100</v>
      </c>
      <c r="D472" s="94" t="n">
        <v>36.7</v>
      </c>
      <c r="E472" s="94" t="n">
        <v>98</v>
      </c>
      <c r="F472" s="94" t="n">
        <v>71.8</v>
      </c>
      <c r="G472" s="94" t="n">
        <v>303.2</v>
      </c>
      <c r="H472" s="94" t="n">
        <v>44.8</v>
      </c>
      <c r="I472" s="94" t="n">
        <v>25.7</v>
      </c>
      <c r="J472" s="94" t="n">
        <v>195</v>
      </c>
      <c r="K472" s="95" t="inlineStr">
        <is>
          <t>2587 HEALTHYWAY INC</t>
        </is>
      </c>
    </row>
    <row r="473">
      <c r="A473" s="16" t="inlineStr">
        <is>
          <t>HW MedSpect Limited</t>
        </is>
      </c>
      <c r="B473" s="88" t="n">
        <v>1</v>
      </c>
      <c r="C473" s="93" t="n">
        <v>100</v>
      </c>
      <c r="D473" s="94" t="n">
        <v>36.7</v>
      </c>
      <c r="E473" s="94" t="n">
        <v>98</v>
      </c>
      <c r="F473" s="94" t="n">
        <v>71.8</v>
      </c>
      <c r="G473" s="94" t="n">
        <v>303.2</v>
      </c>
      <c r="H473" s="94" t="n">
        <v>44.8</v>
      </c>
      <c r="I473" s="94" t="n">
        <v>25.7</v>
      </c>
      <c r="J473" s="94" t="n">
        <v>195</v>
      </c>
      <c r="K473" s="95" t="inlineStr">
        <is>
          <t>2587 HEALTHYWAY INC</t>
        </is>
      </c>
    </row>
    <row r="474">
      <c r="A474" s="16" t="inlineStr">
        <is>
          <t>Strait One Investment LTD</t>
        </is>
      </c>
      <c r="B474" s="88" t="n">
        <v>1</v>
      </c>
      <c r="C474" s="93" t="n">
        <v>100</v>
      </c>
      <c r="D474" s="94" t="n">
        <v>36.7</v>
      </c>
      <c r="E474" s="94" t="n">
        <v>98</v>
      </c>
      <c r="F474" s="94" t="n">
        <v>71.8</v>
      </c>
      <c r="G474" s="94" t="n">
        <v>303.2</v>
      </c>
      <c r="H474" s="94" t="n">
        <v>44.8</v>
      </c>
      <c r="I474" s="94" t="n">
        <v>25.7</v>
      </c>
      <c r="J474" s="94" t="n">
        <v>195</v>
      </c>
      <c r="K474" s="95" t="inlineStr">
        <is>
          <t>2587 HEALTHYWAY INC</t>
        </is>
      </c>
    </row>
    <row r="475">
      <c r="A475" s="16" t="inlineStr">
        <is>
          <t>May Jyu Limited</t>
        </is>
      </c>
      <c r="B475" s="88" t="n">
        <v>1</v>
      </c>
      <c r="C475" s="93" t="n">
        <v>100</v>
      </c>
      <c r="D475" s="94" t="n">
        <v>36.7</v>
      </c>
      <c r="E475" s="94" t="n">
        <v>98</v>
      </c>
      <c r="F475" s="94" t="n">
        <v>71.8</v>
      </c>
      <c r="G475" s="94" t="n">
        <v>303.2</v>
      </c>
      <c r="H475" s="94" t="n">
        <v>44.8</v>
      </c>
      <c r="I475" s="94" t="n">
        <v>25.7</v>
      </c>
      <c r="J475" s="94" t="n">
        <v>195</v>
      </c>
      <c r="K475" s="95" t="inlineStr">
        <is>
          <t>2587 HEALTHYWAY INC</t>
        </is>
      </c>
    </row>
    <row r="476">
      <c r="A476" s="16" t="inlineStr">
        <is>
          <t>Jyun Jing Limited</t>
        </is>
      </c>
      <c r="B476" s="88" t="n">
        <v>1</v>
      </c>
      <c r="C476" s="93" t="n">
        <v>100</v>
      </c>
      <c r="D476" s="94" t="n">
        <v>36.7</v>
      </c>
      <c r="E476" s="94" t="n">
        <v>98</v>
      </c>
      <c r="F476" s="94" t="n">
        <v>71.8</v>
      </c>
      <c r="G476" s="94" t="n">
        <v>303.2</v>
      </c>
      <c r="H476" s="94" t="n">
        <v>44.8</v>
      </c>
      <c r="I476" s="94" t="n">
        <v>25.7</v>
      </c>
      <c r="J476" s="94" t="n">
        <v>195</v>
      </c>
      <c r="K476" s="95" t="inlineStr">
        <is>
          <t>2587 HEALTHYWAY INC</t>
        </is>
      </c>
    </row>
    <row r="477">
      <c r="A477" s="16" t="inlineStr">
        <is>
          <t>Bai Sheng Enterprises Limited</t>
        </is>
      </c>
      <c r="B477" s="88" t="n">
        <v>1</v>
      </c>
      <c r="C477" s="93" t="n">
        <v>100</v>
      </c>
      <c r="D477" s="94" t="n">
        <v>36.7</v>
      </c>
      <c r="E477" s="94" t="n">
        <v>98</v>
      </c>
      <c r="F477" s="94" t="n">
        <v>71.8</v>
      </c>
      <c r="G477" s="94" t="n">
        <v>303.2</v>
      </c>
      <c r="H477" s="94" t="n">
        <v>44.8</v>
      </c>
      <c r="I477" s="94" t="n">
        <v>25.7</v>
      </c>
      <c r="J477" s="94" t="n">
        <v>195</v>
      </c>
      <c r="K477" s="95" t="inlineStr">
        <is>
          <t>2587 HEALTHYWAY INC</t>
        </is>
      </c>
    </row>
    <row r="478">
      <c r="A478" s="16" t="inlineStr">
        <is>
          <t>Novo Holdings A / S</t>
        </is>
      </c>
      <c r="B478" s="88" t="n">
        <v>1</v>
      </c>
      <c r="C478" s="93" t="n">
        <v>100</v>
      </c>
      <c r="D478" s="94" t="n">
        <v>35.9</v>
      </c>
      <c r="E478" s="94" t="n">
        <v>40.8</v>
      </c>
      <c r="F478" s="94" t="n">
        <v>51.2</v>
      </c>
      <c r="G478" s="94" t="n">
        <v>-10</v>
      </c>
      <c r="H478" s="94" t="n">
        <v>3.6</v>
      </c>
      <c r="I478" s="94" t="n">
        <v>11.2</v>
      </c>
      <c r="J478" s="94" t="n">
        <v>-33.8</v>
      </c>
      <c r="K478" s="95" t="inlineStr">
        <is>
          <t>2268 WUXI XDC</t>
        </is>
      </c>
    </row>
    <row r="479">
      <c r="A479" s="16" t="inlineStr">
        <is>
          <t>JKKB Limited</t>
        </is>
      </c>
      <c r="B479" s="88" t="n">
        <v>1</v>
      </c>
      <c r="C479" s="93" t="n">
        <v>100</v>
      </c>
      <c r="D479" s="94" t="n">
        <v>33.7</v>
      </c>
      <c r="E479" s="94" t="n">
        <v>0.5</v>
      </c>
      <c r="F479" s="94" t="n">
        <v>16.4</v>
      </c>
      <c r="G479" s="94" t="n">
        <v>-6.5</v>
      </c>
      <c r="H479" s="94" t="n">
        <v>-24.9</v>
      </c>
      <c r="I479" s="94" t="n">
        <v>-13</v>
      </c>
      <c r="J479" s="94" t="n">
        <v>-30.1</v>
      </c>
      <c r="K479" s="95" t="inlineStr">
        <is>
          <t>2508 SAINT BELLA</t>
        </is>
      </c>
    </row>
    <row r="480">
      <c r="A480" s="16" t="inlineStr">
        <is>
          <t>Carl Wu / 吳啟楠</t>
        </is>
      </c>
      <c r="B480" s="88" t="n">
        <v>1</v>
      </c>
      <c r="C480" s="93" t="n">
        <v>100</v>
      </c>
      <c r="D480" s="94" t="n">
        <v>33.7</v>
      </c>
      <c r="E480" s="94" t="n">
        <v>0.5</v>
      </c>
      <c r="F480" s="94" t="n">
        <v>16.4</v>
      </c>
      <c r="G480" s="94" t="n">
        <v>-6.5</v>
      </c>
      <c r="H480" s="94" t="n">
        <v>-24.9</v>
      </c>
      <c r="I480" s="94" t="n">
        <v>-13</v>
      </c>
      <c r="J480" s="94" t="n">
        <v>-30.1</v>
      </c>
      <c r="K480" s="95" t="inlineStr">
        <is>
          <t>2508 SAINT BELLA</t>
        </is>
      </c>
    </row>
    <row r="481">
      <c r="A481" s="16" t="inlineStr">
        <is>
          <t>Gigantic Wealth Holdings Limited</t>
        </is>
      </c>
      <c r="B481" s="88" t="n">
        <v>1</v>
      </c>
      <c r="C481" s="93" t="n">
        <v>100</v>
      </c>
      <c r="D481" s="94" t="n">
        <v>33</v>
      </c>
      <c r="E481" s="94" t="n">
        <v>44.3</v>
      </c>
      <c r="F481" s="94" t="n">
        <v>25.5</v>
      </c>
      <c r="G481" s="94" t="n">
        <v>-10.5</v>
      </c>
      <c r="H481" s="94" t="n">
        <v>8.5</v>
      </c>
      <c r="I481" s="94" t="n">
        <v>-5.7</v>
      </c>
      <c r="J481" s="94" t="n">
        <v>-32.7</v>
      </c>
      <c r="K481" s="95" t="inlineStr">
        <is>
          <t>2219 CHAOJU EYE CARE</t>
        </is>
      </c>
    </row>
    <row r="482">
      <c r="A482" s="16" t="inlineStr">
        <is>
          <t>GT Cedar Capital (Hong Kong) Limited</t>
        </is>
      </c>
      <c r="B482" s="88" t="n">
        <v>1</v>
      </c>
      <c r="C482" s="93" t="n">
        <v>100</v>
      </c>
      <c r="D482" s="94" t="n">
        <v>33</v>
      </c>
      <c r="E482" s="94" t="n">
        <v>44.3</v>
      </c>
      <c r="F482" s="94" t="n">
        <v>25.5</v>
      </c>
      <c r="G482" s="94" t="n">
        <v>-10.5</v>
      </c>
      <c r="H482" s="94" t="n">
        <v>8.5</v>
      </c>
      <c r="I482" s="94" t="n">
        <v>-5.7</v>
      </c>
      <c r="J482" s="94" t="n">
        <v>-32.7</v>
      </c>
      <c r="K482" s="95" t="inlineStr">
        <is>
          <t>2219 CHAOJU EYE CARE</t>
        </is>
      </c>
    </row>
    <row r="483">
      <c r="A483" s="16" t="inlineStr">
        <is>
          <t>Management (HK) Limited</t>
        </is>
      </c>
      <c r="B483" s="88" t="n">
        <v>1</v>
      </c>
      <c r="C483" s="93" t="n">
        <v>100</v>
      </c>
      <c r="D483" s="94" t="n">
        <v>32.8</v>
      </c>
      <c r="E483" s="94" t="n">
        <v>59.4</v>
      </c>
      <c r="F483" s="94" t="n">
        <v>78.3</v>
      </c>
      <c r="G483" s="94" t="n">
        <v>115.7</v>
      </c>
      <c r="H483" s="94" t="n">
        <v>20.1</v>
      </c>
      <c r="I483" s="94" t="n">
        <v>34.3</v>
      </c>
      <c r="J483" s="94" t="n">
        <v>62.4</v>
      </c>
      <c r="K483" s="95" t="inlineStr">
        <is>
          <t>2788 CHUANGXIN IND</t>
        </is>
      </c>
    </row>
    <row r="484">
      <c r="A484" s="16" t="inlineStr">
        <is>
          <t>CCB International Capital Limited</t>
        </is>
      </c>
      <c r="B484" s="88" t="n">
        <v>1</v>
      </c>
      <c r="C484" s="93" t="n">
        <v>100</v>
      </c>
      <c r="D484" s="94" t="n">
        <v>31.3</v>
      </c>
      <c r="E484" s="94" t="n">
        <v>20.1</v>
      </c>
      <c r="F484" s="94" t="n">
        <v>24.4</v>
      </c>
      <c r="G484" s="94" t="n">
        <v>20.1</v>
      </c>
      <c r="H484" s="94" t="n">
        <v>-8.6</v>
      </c>
      <c r="I484" s="94" t="n">
        <v>-5.2</v>
      </c>
      <c r="J484" s="94" t="n">
        <v>-8.6</v>
      </c>
      <c r="K484" s="95" t="inlineStr">
        <is>
          <t>6960 SHUANGDENG</t>
        </is>
      </c>
    </row>
    <row r="485">
      <c r="A485" s="16" t="inlineStr">
        <is>
          <t>Connected Client CSOP Asset Management Limited</t>
        </is>
      </c>
      <c r="B485" s="88" t="n">
        <v>1</v>
      </c>
      <c r="C485" s="93" t="n">
        <v>100</v>
      </c>
      <c r="D485" s="94" t="n">
        <v>31.3</v>
      </c>
      <c r="E485" s="94" t="n">
        <v>20.1</v>
      </c>
      <c r="F485" s="94" t="n">
        <v>24.4</v>
      </c>
      <c r="G485" s="94" t="n">
        <v>20.1</v>
      </c>
      <c r="H485" s="94" t="n">
        <v>-8.6</v>
      </c>
      <c r="I485" s="94" t="n">
        <v>-5.2</v>
      </c>
      <c r="J485" s="94" t="n">
        <v>-8.6</v>
      </c>
      <c r="K485" s="95" t="inlineStr">
        <is>
          <t>6960 SHUANGDENG</t>
        </is>
      </c>
    </row>
    <row r="486">
      <c r="A486" s="16" t="inlineStr">
        <is>
          <t>Abu Dhabi Investment Authority</t>
        </is>
      </c>
      <c r="B486" s="88" t="n">
        <v>1</v>
      </c>
      <c r="C486" s="93" t="n">
        <v>100</v>
      </c>
      <c r="D486" s="94" t="n">
        <v>30.9</v>
      </c>
      <c r="E486" s="94" t="n">
        <v>55.5</v>
      </c>
      <c r="F486" s="94" t="n">
        <v>37.7</v>
      </c>
      <c r="G486" s="94" t="n">
        <v>24.9</v>
      </c>
      <c r="H486" s="94" t="n">
        <v>18.8</v>
      </c>
      <c r="I486" s="94" t="n">
        <v>5.2</v>
      </c>
      <c r="J486" s="94" t="n">
        <v>-4.6</v>
      </c>
      <c r="K486" s="95" t="inlineStr">
        <is>
          <t>2675 EDGE MEDICAL-B</t>
        </is>
      </c>
    </row>
    <row r="487">
      <c r="A487" s="16" t="inlineStr">
        <is>
          <t>China Alpha Fund Management (HK) Ltd</t>
        </is>
      </c>
      <c r="B487" s="88" t="n">
        <v>1</v>
      </c>
      <c r="C487" s="93" t="n">
        <v>100</v>
      </c>
      <c r="D487" s="94" t="n">
        <v>30.9</v>
      </c>
      <c r="E487" s="94" t="n">
        <v>55.5</v>
      </c>
      <c r="F487" s="94" t="n">
        <v>37.7</v>
      </c>
      <c r="G487" s="94" t="n">
        <v>24.9</v>
      </c>
      <c r="H487" s="94" t="n">
        <v>18.8</v>
      </c>
      <c r="I487" s="94" t="n">
        <v>5.2</v>
      </c>
      <c r="J487" s="94" t="n">
        <v>-4.6</v>
      </c>
      <c r="K487" s="95" t="inlineStr">
        <is>
          <t>2675 EDGE MEDICAL-B</t>
        </is>
      </c>
    </row>
    <row r="488">
      <c r="A488" s="16" t="inlineStr">
        <is>
          <t>Tekful Limited</t>
        </is>
      </c>
      <c r="B488" s="88" t="n">
        <v>1</v>
      </c>
      <c r="C488" s="93" t="n">
        <v>100</v>
      </c>
      <c r="D488" s="94" t="n">
        <v>30.9</v>
      </c>
      <c r="E488" s="94" t="n">
        <v>55.5</v>
      </c>
      <c r="F488" s="94" t="n">
        <v>37.7</v>
      </c>
      <c r="G488" s="94" t="n">
        <v>24.9</v>
      </c>
      <c r="H488" s="94" t="n">
        <v>18.8</v>
      </c>
      <c r="I488" s="94" t="n">
        <v>5.2</v>
      </c>
      <c r="J488" s="94" t="n">
        <v>-4.6</v>
      </c>
      <c r="K488" s="95" t="inlineStr">
        <is>
          <t>2675 EDGE MEDICAL-B</t>
        </is>
      </c>
    </row>
    <row r="489">
      <c r="A489" s="16" t="inlineStr">
        <is>
          <t>Novotech SG Holdings Pte. Ltd</t>
        </is>
      </c>
      <c r="B489" s="88" t="n">
        <v>1</v>
      </c>
      <c r="C489" s="93" t="n">
        <v>100</v>
      </c>
      <c r="D489" s="94" t="n">
        <v>30</v>
      </c>
      <c r="E489" s="94" t="n">
        <v>75</v>
      </c>
      <c r="F489" s="94" t="n">
        <v>74.7</v>
      </c>
      <c r="G489" s="94" t="n">
        <v>-2.9</v>
      </c>
      <c r="H489" s="94" t="n">
        <v>34.6</v>
      </c>
      <c r="I489" s="94" t="n">
        <v>34.4</v>
      </c>
      <c r="J489" s="94" t="n">
        <v>-25.3</v>
      </c>
      <c r="K489" s="95" t="inlineStr">
        <is>
          <t>2563 BIOSTAR PHARM-B</t>
        </is>
      </c>
    </row>
    <row r="490">
      <c r="A490" s="16" t="inlineStr">
        <is>
          <t>Mr. Li Yi</t>
        </is>
      </c>
      <c r="B490" s="88" t="n">
        <v>1</v>
      </c>
      <c r="C490" s="93" t="n">
        <v>100</v>
      </c>
      <c r="D490" s="94" t="n">
        <v>29.9</v>
      </c>
      <c r="E490" s="94" t="n">
        <v>51.5</v>
      </c>
      <c r="F490" s="94" t="n">
        <v>212.5</v>
      </c>
      <c r="G490" s="94" t="n">
        <v>18.8</v>
      </c>
      <c r="H490" s="94" t="n">
        <v>16.6</v>
      </c>
      <c r="I490" s="94" t="n">
        <v>140.5</v>
      </c>
      <c r="J490" s="94" t="n">
        <v>-8.5</v>
      </c>
      <c r="K490" s="95" t="inlineStr">
        <is>
          <t>6651 51WORLD</t>
        </is>
      </c>
    </row>
    <row r="491">
      <c r="A491" s="16" t="inlineStr">
        <is>
          <t>III, L.P.</t>
        </is>
      </c>
      <c r="B491" s="88" t="n">
        <v>1</v>
      </c>
      <c r="C491" s="93" t="n">
        <v>100</v>
      </c>
      <c r="D491" s="94" t="n">
        <v>28.8</v>
      </c>
      <c r="E491" s="94" t="n">
        <v>25.3</v>
      </c>
      <c r="F491" s="94" t="n">
        <v>44.4</v>
      </c>
      <c r="G491" s="94" t="n">
        <v>87.5</v>
      </c>
      <c r="H491" s="94" t="n">
        <v>-2.7</v>
      </c>
      <c r="I491" s="94" t="n">
        <v>12.2</v>
      </c>
      <c r="J491" s="94" t="n">
        <v>45.7</v>
      </c>
      <c r="K491" s="95" t="inlineStr">
        <is>
          <t>2629 MIRXES-B</t>
        </is>
      </c>
    </row>
    <row r="492">
      <c r="A492" s="16" t="inlineStr">
        <is>
          <t>Creation Pte. Ltd.</t>
        </is>
      </c>
      <c r="B492" s="88" t="n">
        <v>1</v>
      </c>
      <c r="C492" s="93" t="n">
        <v>100</v>
      </c>
      <c r="D492" s="94" t="n">
        <v>28.8</v>
      </c>
      <c r="E492" s="94" t="n">
        <v>25.3</v>
      </c>
      <c r="F492" s="94" t="n">
        <v>44.4</v>
      </c>
      <c r="G492" s="94" t="n">
        <v>87.5</v>
      </c>
      <c r="H492" s="94" t="n">
        <v>-2.7</v>
      </c>
      <c r="I492" s="94" t="n">
        <v>12.2</v>
      </c>
      <c r="J492" s="94" t="n">
        <v>45.7</v>
      </c>
      <c r="K492" s="95" t="inlineStr">
        <is>
          <t>2629 MIRXES-B</t>
        </is>
      </c>
    </row>
    <row r="493">
      <c r="A493" s="16" t="inlineStr">
        <is>
          <t>NHH Venture Fund, L.P</t>
        </is>
      </c>
      <c r="B493" s="88" t="n">
        <v>1</v>
      </c>
      <c r="C493" s="93" t="n">
        <v>100</v>
      </c>
      <c r="D493" s="94" t="n">
        <v>28.8</v>
      </c>
      <c r="E493" s="94" t="n">
        <v>25.3</v>
      </c>
      <c r="F493" s="94" t="n">
        <v>44.4</v>
      </c>
      <c r="G493" s="94" t="n">
        <v>87.5</v>
      </c>
      <c r="H493" s="94" t="n">
        <v>-2.7</v>
      </c>
      <c r="I493" s="94" t="n">
        <v>12.2</v>
      </c>
      <c r="J493" s="94" t="n">
        <v>45.7</v>
      </c>
      <c r="K493" s="95" t="inlineStr">
        <is>
          <t>2629 MIRXES-B</t>
        </is>
      </c>
    </row>
    <row r="494">
      <c r="A494" s="16" t="inlineStr">
        <is>
          <t>源九號有限合夥基金</t>
        </is>
      </c>
      <c r="B494" s="88" t="n">
        <v>1</v>
      </c>
      <c r="C494" s="93" t="n">
        <v>100</v>
      </c>
      <c r="D494" s="94" t="n">
        <v>28.8</v>
      </c>
      <c r="E494" s="94" t="n">
        <v>25.3</v>
      </c>
      <c r="F494" s="94" t="n">
        <v>44.4</v>
      </c>
      <c r="G494" s="94" t="n">
        <v>87.5</v>
      </c>
      <c r="H494" s="94" t="n">
        <v>-2.7</v>
      </c>
      <c r="I494" s="94" t="n">
        <v>12.2</v>
      </c>
      <c r="J494" s="94" t="n">
        <v>45.7</v>
      </c>
      <c r="K494" s="95" t="inlineStr">
        <is>
          <t>2629 MIRXES-B</t>
        </is>
      </c>
    </row>
    <row r="495">
      <c r="A495" s="16" t="inlineStr">
        <is>
          <t>SDG Alpha Win PE LPF</t>
        </is>
      </c>
      <c r="B495" s="88" t="n">
        <v>1</v>
      </c>
      <c r="C495" s="93" t="n">
        <v>100</v>
      </c>
      <c r="D495" s="94" t="n">
        <v>28.8</v>
      </c>
      <c r="E495" s="94" t="n">
        <v>25.3</v>
      </c>
      <c r="F495" s="94" t="n">
        <v>44.4</v>
      </c>
      <c r="G495" s="94" t="n">
        <v>87.5</v>
      </c>
      <c r="H495" s="94" t="n">
        <v>-2.7</v>
      </c>
      <c r="I495" s="94" t="n">
        <v>12.2</v>
      </c>
      <c r="J495" s="94" t="n">
        <v>45.7</v>
      </c>
      <c r="K495" s="95" t="inlineStr">
        <is>
          <t>2629 MIRXES-B</t>
        </is>
      </c>
    </row>
    <row r="496">
      <c r="A496" s="16" t="inlineStr">
        <is>
          <t>Holdings Company Limited</t>
        </is>
      </c>
      <c r="B496" s="88" t="n">
        <v>1</v>
      </c>
      <c r="C496" s="93" t="n">
        <v>100</v>
      </c>
      <c r="D496" s="94" t="n">
        <v>28.8</v>
      </c>
      <c r="E496" s="94" t="n">
        <v>25.3</v>
      </c>
      <c r="F496" s="94" t="n">
        <v>44.4</v>
      </c>
      <c r="G496" s="94" t="n">
        <v>87.5</v>
      </c>
      <c r="H496" s="94" t="n">
        <v>-2.7</v>
      </c>
      <c r="I496" s="94" t="n">
        <v>12.2</v>
      </c>
      <c r="J496" s="94" t="n">
        <v>45.7</v>
      </c>
      <c r="K496" s="95" t="inlineStr">
        <is>
          <t>2629 MIRXES-B</t>
        </is>
      </c>
    </row>
    <row r="497">
      <c r="A497" s="16" t="inlineStr">
        <is>
          <t>BPC SPV MRX LIMITED</t>
        </is>
      </c>
      <c r="B497" s="88" t="n">
        <v>1</v>
      </c>
      <c r="C497" s="93" t="n">
        <v>100</v>
      </c>
      <c r="D497" s="94" t="n">
        <v>28.8</v>
      </c>
      <c r="E497" s="94" t="n">
        <v>25.3</v>
      </c>
      <c r="F497" s="94" t="n">
        <v>44.4</v>
      </c>
      <c r="G497" s="94" t="n">
        <v>87.5</v>
      </c>
      <c r="H497" s="94" t="n">
        <v>-2.7</v>
      </c>
      <c r="I497" s="94" t="n">
        <v>12.2</v>
      </c>
      <c r="J497" s="94" t="n">
        <v>45.7</v>
      </c>
      <c r="K497" s="95" t="inlineStr">
        <is>
          <t>2629 MIRXES-B</t>
        </is>
      </c>
    </row>
    <row r="498">
      <c r="A498" s="16" t="inlineStr">
        <is>
          <t>Accurate Gene Limited</t>
        </is>
      </c>
      <c r="B498" s="88" t="n">
        <v>1</v>
      </c>
      <c r="C498" s="93" t="n">
        <v>100</v>
      </c>
      <c r="D498" s="94" t="n">
        <v>28.8</v>
      </c>
      <c r="E498" s="94" t="n">
        <v>25.3</v>
      </c>
      <c r="F498" s="94" t="n">
        <v>44.4</v>
      </c>
      <c r="G498" s="94" t="n">
        <v>87.5</v>
      </c>
      <c r="H498" s="94" t="n">
        <v>-2.7</v>
      </c>
      <c r="I498" s="94" t="n">
        <v>12.2</v>
      </c>
      <c r="J498" s="94" t="n">
        <v>45.7</v>
      </c>
      <c r="K498" s="95" t="inlineStr">
        <is>
          <t>2629 MIRXES-B</t>
        </is>
      </c>
    </row>
    <row r="499">
      <c r="A499" s="16" t="inlineStr">
        <is>
          <t>Technologies Pte. Ltd.</t>
        </is>
      </c>
      <c r="B499" s="88" t="n">
        <v>1</v>
      </c>
      <c r="C499" s="93" t="n">
        <v>100</v>
      </c>
      <c r="D499" s="94" t="n">
        <v>28.8</v>
      </c>
      <c r="E499" s="94" t="n">
        <v>25.3</v>
      </c>
      <c r="F499" s="94" t="n">
        <v>44.4</v>
      </c>
      <c r="G499" s="94" t="n">
        <v>87.5</v>
      </c>
      <c r="H499" s="94" t="n">
        <v>-2.7</v>
      </c>
      <c r="I499" s="94" t="n">
        <v>12.2</v>
      </c>
      <c r="J499" s="94" t="n">
        <v>45.7</v>
      </c>
      <c r="K499" s="95" t="inlineStr">
        <is>
          <t>2629 MIRXES-B</t>
        </is>
      </c>
    </row>
    <row r="500">
      <c r="A500" s="16" t="inlineStr">
        <is>
          <t>Luo Jinhong</t>
        </is>
      </c>
      <c r="B500" s="88" t="n">
        <v>1</v>
      </c>
      <c r="C500" s="93" t="n">
        <v>100</v>
      </c>
      <c r="D500" s="94" t="n">
        <v>28.4</v>
      </c>
      <c r="E500" s="94" t="n">
        <v>28</v>
      </c>
      <c r="F500" s="94" t="n">
        <v>28.9</v>
      </c>
      <c r="G500" s="94" t="n">
        <v>27.1</v>
      </c>
      <c r="H500" s="94" t="n">
        <v>-0.4</v>
      </c>
      <c r="I500" s="94" t="n">
        <v>0.4</v>
      </c>
      <c r="J500" s="94" t="n">
        <v>-1.1</v>
      </c>
      <c r="K500" s="95" t="inlineStr">
        <is>
          <t>2285 CHERVON</t>
        </is>
      </c>
    </row>
    <row r="501">
      <c r="A501" s="16" t="inlineStr">
        <is>
          <t>Double Joy Ventures Limited</t>
        </is>
      </c>
      <c r="B501" s="88" t="n">
        <v>1</v>
      </c>
      <c r="C501" s="93" t="n">
        <v>100</v>
      </c>
      <c r="D501" s="94" t="n">
        <v>27.6</v>
      </c>
      <c r="E501" s="94" t="n">
        <v>27.9</v>
      </c>
      <c r="F501" s="94" t="n">
        <v>22.5</v>
      </c>
      <c r="G501" s="94" t="n">
        <v>-6.2</v>
      </c>
      <c r="H501" s="94" t="n">
        <v>0.3</v>
      </c>
      <c r="I501" s="94" t="n">
        <v>-4</v>
      </c>
      <c r="J501" s="94" t="n">
        <v>-26.5</v>
      </c>
      <c r="K501" s="95" t="inlineStr">
        <is>
          <t>2162 KEYMED BIO-B</t>
        </is>
      </c>
    </row>
    <row r="502">
      <c r="A502" s="16" t="inlineStr">
        <is>
          <t>Zhengxin Group Investment Limited</t>
        </is>
      </c>
      <c r="B502" s="88" t="n">
        <v>1</v>
      </c>
      <c r="C502" s="93" t="n">
        <v>100</v>
      </c>
      <c r="D502" s="94" t="n">
        <v>26</v>
      </c>
      <c r="E502" s="94" t="n">
        <v>31.3</v>
      </c>
      <c r="F502" s="94" t="n">
        <v>25.5</v>
      </c>
      <c r="G502" s="94" t="n">
        <v>-12.7</v>
      </c>
      <c r="H502" s="94" t="n">
        <v>4.2</v>
      </c>
      <c r="I502" s="94" t="n">
        <v>-0.4</v>
      </c>
      <c r="J502" s="94" t="n">
        <v>-30.7</v>
      </c>
      <c r="K502" s="95" t="inlineStr">
        <is>
          <t>3636 JINXUN RESOURCE</t>
        </is>
      </c>
    </row>
    <row r="503">
      <c r="A503" s="16" t="inlineStr">
        <is>
          <t>New Asia Ferrell Asset Management Limited</t>
        </is>
      </c>
      <c r="B503" s="88" t="n">
        <v>1</v>
      </c>
      <c r="C503" s="93" t="n">
        <v>100</v>
      </c>
      <c r="D503" s="94" t="n">
        <v>26</v>
      </c>
      <c r="E503" s="94" t="n">
        <v>31.3</v>
      </c>
      <c r="F503" s="94" t="n">
        <v>25.5</v>
      </c>
      <c r="G503" s="94" t="n">
        <v>-12.7</v>
      </c>
      <c r="H503" s="94" t="n">
        <v>4.2</v>
      </c>
      <c r="I503" s="94" t="n">
        <v>-0.4</v>
      </c>
      <c r="J503" s="94" t="n">
        <v>-30.7</v>
      </c>
      <c r="K503" s="95" t="inlineStr">
        <is>
          <t>3636 JINXUN RESOURCE</t>
        </is>
      </c>
    </row>
    <row r="504">
      <c r="A504" s="16" t="inlineStr">
        <is>
          <t>Mobilewise Limited</t>
        </is>
      </c>
      <c r="B504" s="88" t="n">
        <v>1</v>
      </c>
      <c r="C504" s="93" t="n">
        <v>100</v>
      </c>
      <c r="D504" s="94" t="n">
        <v>25.9</v>
      </c>
      <c r="E504" s="94" t="n">
        <v>66.09999999999999</v>
      </c>
      <c r="F504" s="94" t="n">
        <v>139.4</v>
      </c>
      <c r="G504" s="94" t="n">
        <v>167.2</v>
      </c>
      <c r="H504" s="94" t="n">
        <v>31.9</v>
      </c>
      <c r="I504" s="94" t="n">
        <v>90.09999999999999</v>
      </c>
      <c r="J504" s="94" t="n">
        <v>112.2</v>
      </c>
      <c r="K504" s="95" t="inlineStr">
        <is>
          <t>1244 3D MEDICINES-B</t>
        </is>
      </c>
    </row>
    <row r="505">
      <c r="A505" s="16" t="inlineStr">
        <is>
          <t>NewTrails Capital</t>
        </is>
      </c>
      <c r="B505" s="88" t="n">
        <v>1</v>
      </c>
      <c r="C505" s="93" t="n">
        <v>100</v>
      </c>
      <c r="D505" s="94" t="n">
        <v>25.9</v>
      </c>
      <c r="E505" s="94" t="n">
        <v>17.7</v>
      </c>
      <c r="F505" s="94" t="n">
        <v>14.5</v>
      </c>
      <c r="G505" s="94" t="n">
        <v>17.1</v>
      </c>
      <c r="H505" s="94" t="n">
        <v>-6.5</v>
      </c>
      <c r="I505" s="94" t="n">
        <v>-9.1</v>
      </c>
      <c r="J505" s="94" t="n">
        <v>-7</v>
      </c>
      <c r="K505" s="95" t="inlineStr">
        <is>
          <t>2698 SOFTCARE</t>
        </is>
      </c>
    </row>
    <row r="506">
      <c r="A506" s="16" t="inlineStr">
        <is>
          <t>Qihui Runjin</t>
        </is>
      </c>
      <c r="B506" s="88" t="n">
        <v>1</v>
      </c>
      <c r="C506" s="93" t="n">
        <v>100</v>
      </c>
      <c r="D506" s="94" t="n">
        <v>25.9</v>
      </c>
      <c r="E506" s="94" t="n">
        <v>17.7</v>
      </c>
      <c r="F506" s="94" t="n">
        <v>14.5</v>
      </c>
      <c r="G506" s="94" t="n">
        <v>17.1</v>
      </c>
      <c r="H506" s="94" t="n">
        <v>-6.5</v>
      </c>
      <c r="I506" s="94" t="n">
        <v>-9.1</v>
      </c>
      <c r="J506" s="94" t="n">
        <v>-7</v>
      </c>
      <c r="K506" s="95" t="inlineStr">
        <is>
          <t>2698 SOFTCARE</t>
        </is>
      </c>
    </row>
    <row r="507">
      <c r="A507" s="16" t="inlineStr">
        <is>
          <t>Strategies (Asia) Pte. Ltd</t>
        </is>
      </c>
      <c r="B507" s="88" t="n">
        <v>1</v>
      </c>
      <c r="C507" s="93" t="n">
        <v>100</v>
      </c>
      <c r="D507" s="94" t="n">
        <v>25.2</v>
      </c>
      <c r="E507" s="94" t="n">
        <v>31.7</v>
      </c>
      <c r="F507" s="94" t="n">
        <v>26.8</v>
      </c>
      <c r="G507" s="94" t="n">
        <v>76.5</v>
      </c>
      <c r="H507" s="94" t="n">
        <v>5.2</v>
      </c>
      <c r="I507" s="94" t="n">
        <v>1.3</v>
      </c>
      <c r="J507" s="94" t="n">
        <v>41</v>
      </c>
      <c r="K507" s="95" t="inlineStr">
        <is>
          <t>1276 HENGRUI PHARMA</t>
        </is>
      </c>
    </row>
    <row r="508">
      <c r="A508" s="16" t="inlineStr">
        <is>
          <t>Cordial Solar</t>
        </is>
      </c>
      <c r="B508" s="88" t="n">
        <v>1</v>
      </c>
      <c r="C508" s="93" t="n">
        <v>100</v>
      </c>
      <c r="D508" s="94" t="n">
        <v>25.2</v>
      </c>
      <c r="E508" s="94" t="n">
        <v>31.7</v>
      </c>
      <c r="F508" s="94" t="n">
        <v>26.8</v>
      </c>
      <c r="G508" s="94" t="n">
        <v>76.5</v>
      </c>
      <c r="H508" s="94" t="n">
        <v>5.2</v>
      </c>
      <c r="I508" s="94" t="n">
        <v>1.3</v>
      </c>
      <c r="J508" s="94" t="n">
        <v>41</v>
      </c>
      <c r="K508" s="95" t="inlineStr">
        <is>
          <t>1276 HENGRUI PHARMA</t>
        </is>
      </c>
    </row>
    <row r="509">
      <c r="A509" s="16" t="inlineStr">
        <is>
          <t>Zhou Keting</t>
        </is>
      </c>
      <c r="B509" s="88" t="n">
        <v>1</v>
      </c>
      <c r="C509" s="93" t="n">
        <v>100</v>
      </c>
      <c r="D509" s="94" t="n">
        <v>23.9</v>
      </c>
      <c r="E509" s="94" t="n">
        <v>8.5</v>
      </c>
      <c r="F509" s="94" t="n">
        <v>-15.1</v>
      </c>
      <c r="G509" s="94" t="n">
        <v>-6.3</v>
      </c>
      <c r="H509" s="94" t="n">
        <v>-12.4</v>
      </c>
      <c r="I509" s="94" t="n">
        <v>-31.4</v>
      </c>
      <c r="J509" s="94" t="n">
        <v>-24.3</v>
      </c>
      <c r="K509" s="95" t="inlineStr">
        <is>
          <t>6687 JST GROUP</t>
        </is>
      </c>
    </row>
    <row r="510">
      <c r="A510" s="16" t="inlineStr">
        <is>
          <t>CUAM Entities</t>
        </is>
      </c>
      <c r="B510" s="88" t="n">
        <v>1</v>
      </c>
      <c r="C510" s="93" t="n">
        <v>100</v>
      </c>
      <c r="D510" s="94" t="n">
        <v>23.9</v>
      </c>
      <c r="E510" s="94" t="n">
        <v>8.5</v>
      </c>
      <c r="F510" s="94" t="n">
        <v>-15.1</v>
      </c>
      <c r="G510" s="94" t="n">
        <v>-6.3</v>
      </c>
      <c r="H510" s="94" t="n">
        <v>-12.4</v>
      </c>
      <c r="I510" s="94" t="n">
        <v>-31.4</v>
      </c>
      <c r="J510" s="94" t="n">
        <v>-24.3</v>
      </c>
      <c r="K510" s="95" t="inlineStr">
        <is>
          <t>6687 JST GROUP</t>
        </is>
      </c>
    </row>
    <row r="511">
      <c r="A511" s="16" t="inlineStr">
        <is>
          <t>GTCS Holdings</t>
        </is>
      </c>
      <c r="B511" s="88" t="n">
        <v>1</v>
      </c>
      <c r="C511" s="93" t="n">
        <v>100</v>
      </c>
      <c r="D511" s="94" t="n">
        <v>23.9</v>
      </c>
      <c r="E511" s="94" t="n">
        <v>8.5</v>
      </c>
      <c r="F511" s="94" t="n">
        <v>-15.1</v>
      </c>
      <c r="G511" s="94" t="n">
        <v>-6.3</v>
      </c>
      <c r="H511" s="94" t="n">
        <v>-12.4</v>
      </c>
      <c r="I511" s="94" t="n">
        <v>-31.4</v>
      </c>
      <c r="J511" s="94" t="n">
        <v>-24.3</v>
      </c>
      <c r="K511" s="95" t="inlineStr">
        <is>
          <t>6687 JST GROUP</t>
        </is>
      </c>
    </row>
    <row r="512">
      <c r="A512" s="16" t="inlineStr">
        <is>
          <t>Blink Field Limited</t>
        </is>
      </c>
      <c r="B512" s="88" t="n">
        <v>1</v>
      </c>
      <c r="C512" s="93" t="n">
        <v>100</v>
      </c>
      <c r="D512" s="94" t="n">
        <v>23.8</v>
      </c>
      <c r="E512" s="94" t="n">
        <v>67.09999999999999</v>
      </c>
      <c r="F512" s="94" t="n">
        <v>34.4</v>
      </c>
      <c r="G512" s="94" t="n">
        <v>102.3</v>
      </c>
      <c r="H512" s="94" t="n">
        <v>35</v>
      </c>
      <c r="I512" s="94" t="n">
        <v>8.6</v>
      </c>
      <c r="J512" s="94" t="n">
        <v>63.5</v>
      </c>
      <c r="K512" s="95" t="inlineStr">
        <is>
          <t>6683 STARPLUS LEGEND</t>
        </is>
      </c>
    </row>
    <row r="513">
      <c r="A513" s="16" t="inlineStr">
        <is>
          <t>NETDRAGON WEBSOFT INC</t>
        </is>
      </c>
      <c r="B513" s="88" t="n">
        <v>1</v>
      </c>
      <c r="C513" s="93" t="n">
        <v>100</v>
      </c>
      <c r="D513" s="94" t="n">
        <v>23.8</v>
      </c>
      <c r="E513" s="94" t="n">
        <v>67.09999999999999</v>
      </c>
      <c r="F513" s="94" t="n">
        <v>34.4</v>
      </c>
      <c r="G513" s="94" t="n">
        <v>102.3</v>
      </c>
      <c r="H513" s="94" t="n">
        <v>35</v>
      </c>
      <c r="I513" s="94" t="n">
        <v>8.6</v>
      </c>
      <c r="J513" s="94" t="n">
        <v>63.5</v>
      </c>
      <c r="K513" s="95" t="inlineStr">
        <is>
          <t>6683 STARPLUS LEGEND</t>
        </is>
      </c>
    </row>
    <row r="514">
      <c r="A514" s="16" t="inlineStr">
        <is>
          <t>Beevest Capital Limited</t>
        </is>
      </c>
      <c r="B514" s="88" t="n">
        <v>1</v>
      </c>
      <c r="C514" s="93" t="n">
        <v>100</v>
      </c>
      <c r="D514" s="94" t="n">
        <v>23.7</v>
      </c>
      <c r="E514" s="94" t="n">
        <v>21</v>
      </c>
      <c r="F514" s="94" t="n">
        <v>20.7</v>
      </c>
      <c r="G514" s="94" t="n">
        <v>39.6</v>
      </c>
      <c r="H514" s="94" t="n">
        <v>-2.2</v>
      </c>
      <c r="I514" s="94" t="n">
        <v>-2.5</v>
      </c>
      <c r="J514" s="94" t="n">
        <v>12.9</v>
      </c>
      <c r="K514" s="95" t="inlineStr">
        <is>
          <t>2509 QYUNS-B</t>
        </is>
      </c>
    </row>
    <row r="515">
      <c r="A515" s="16" t="inlineStr">
        <is>
          <t>Huadong Medicine Investment Holding (Hong Kong) Limited</t>
        </is>
      </c>
      <c r="B515" s="88" t="n">
        <v>1</v>
      </c>
      <c r="C515" s="93" t="n">
        <v>100</v>
      </c>
      <c r="D515" s="94" t="n">
        <v>23.7</v>
      </c>
      <c r="E515" s="94" t="n">
        <v>21</v>
      </c>
      <c r="F515" s="94" t="n">
        <v>20.7</v>
      </c>
      <c r="G515" s="94" t="n">
        <v>39.6</v>
      </c>
      <c r="H515" s="94" t="n">
        <v>-2.2</v>
      </c>
      <c r="I515" s="94" t="n">
        <v>-2.5</v>
      </c>
      <c r="J515" s="94" t="n">
        <v>12.9</v>
      </c>
      <c r="K515" s="95" t="inlineStr">
        <is>
          <t>2509 QYUNS-B</t>
        </is>
      </c>
    </row>
    <row r="516">
      <c r="A516" s="16" t="inlineStr">
        <is>
          <t>JianXin Medical Technology Limited</t>
        </is>
      </c>
      <c r="B516" s="88" t="n">
        <v>1</v>
      </c>
      <c r="C516" s="93" t="n">
        <v>100</v>
      </c>
      <c r="D516" s="94" t="n">
        <v>23.7</v>
      </c>
      <c r="E516" s="94" t="n">
        <v>21</v>
      </c>
      <c r="F516" s="94" t="n">
        <v>20.7</v>
      </c>
      <c r="G516" s="94" t="n">
        <v>39.6</v>
      </c>
      <c r="H516" s="94" t="n">
        <v>-2.2</v>
      </c>
      <c r="I516" s="94" t="n">
        <v>-2.5</v>
      </c>
      <c r="J516" s="94" t="n">
        <v>12.9</v>
      </c>
      <c r="K516" s="95" t="inlineStr">
        <is>
          <t>2509 QYUNS-B</t>
        </is>
      </c>
    </row>
    <row r="517">
      <c r="A517" s="16" t="inlineStr">
        <is>
          <t>Xinmin Tianshi Agricultural Industry Development Company Limited</t>
        </is>
      </c>
      <c r="B517" s="88" t="n">
        <v>1</v>
      </c>
      <c r="C517" s="93" t="n">
        <v>100</v>
      </c>
      <c r="D517" s="94" t="n">
        <v>22.7</v>
      </c>
      <c r="E517" s="94" t="n">
        <v>60.8</v>
      </c>
      <c r="F517" s="94" t="n">
        <v>61.5</v>
      </c>
      <c r="G517" s="94" t="n">
        <v>68.3</v>
      </c>
      <c r="H517" s="94" t="n">
        <v>31.1</v>
      </c>
      <c r="I517" s="94" t="n">
        <v>31.6</v>
      </c>
      <c r="J517" s="94" t="n">
        <v>37.2</v>
      </c>
      <c r="K517" s="95" t="inlineStr">
        <is>
          <t>9676 SHIYUE DAOTIAN</t>
        </is>
      </c>
    </row>
    <row r="518">
      <c r="A518" s="16" t="inlineStr">
        <is>
          <t>Bona Star Consultant Limited</t>
        </is>
      </c>
      <c r="B518" s="88" t="n">
        <v>1</v>
      </c>
      <c r="C518" s="93" t="n">
        <v>100</v>
      </c>
      <c r="D518" s="94" t="n">
        <v>22.5</v>
      </c>
      <c r="E518" s="94" t="n">
        <v>10.2</v>
      </c>
      <c r="F518" s="94" t="n">
        <v>-12.2</v>
      </c>
      <c r="G518" s="94" t="n"/>
      <c r="H518" s="94" t="n">
        <v>-10</v>
      </c>
      <c r="I518" s="94" t="n">
        <v>-28.4</v>
      </c>
      <c r="J518" s="94" t="n"/>
      <c r="K518" s="95" t="inlineStr">
        <is>
          <t>6067 SENIOR MATERIAL</t>
        </is>
      </c>
    </row>
    <row r="519">
      <c r="A519" s="16" t="inlineStr">
        <is>
          <t>JINKOSOLAR INVESTMENT LIMITED</t>
        </is>
      </c>
      <c r="B519" s="88" t="n">
        <v>1</v>
      </c>
      <c r="C519" s="93" t="n">
        <v>100</v>
      </c>
      <c r="D519" s="94" t="n">
        <v>22.5</v>
      </c>
      <c r="E519" s="94" t="n">
        <v>10.2</v>
      </c>
      <c r="F519" s="94" t="n">
        <v>-12.2</v>
      </c>
      <c r="G519" s="94" t="n"/>
      <c r="H519" s="94" t="n">
        <v>-10</v>
      </c>
      <c r="I519" s="94" t="n">
        <v>-28.4</v>
      </c>
      <c r="J519" s="94" t="n"/>
      <c r="K519" s="95" t="inlineStr">
        <is>
          <t>6067 SENIOR MATERIAL</t>
        </is>
      </c>
    </row>
    <row r="520">
      <c r="A520" s="16" t="inlineStr">
        <is>
          <t>Mondeomax Limited</t>
        </is>
      </c>
      <c r="B520" s="88" t="n">
        <v>1</v>
      </c>
      <c r="C520" s="93" t="n">
        <v>100</v>
      </c>
      <c r="D520" s="94" t="n">
        <v>22.5</v>
      </c>
      <c r="E520" s="94" t="n">
        <v>10.2</v>
      </c>
      <c r="F520" s="94" t="n">
        <v>-12.2</v>
      </c>
      <c r="G520" s="94" t="n"/>
      <c r="H520" s="94" t="n">
        <v>-10</v>
      </c>
      <c r="I520" s="94" t="n">
        <v>-28.4</v>
      </c>
      <c r="J520" s="94" t="n"/>
      <c r="K520" s="95" t="inlineStr">
        <is>
          <t>6067 SENIOR MATERIAL</t>
        </is>
      </c>
    </row>
    <row r="521">
      <c r="A521" s="16" t="inlineStr">
        <is>
          <t>SHEEN NATION HOLDINGS LIMITED</t>
        </is>
      </c>
      <c r="B521" s="88" t="n">
        <v>1</v>
      </c>
      <c r="C521" s="93" t="n">
        <v>100</v>
      </c>
      <c r="D521" s="94" t="n">
        <v>22.5</v>
      </c>
      <c r="E521" s="94" t="n">
        <v>10.2</v>
      </c>
      <c r="F521" s="94" t="n">
        <v>-12.2</v>
      </c>
      <c r="G521" s="94" t="n"/>
      <c r="H521" s="94" t="n">
        <v>-10</v>
      </c>
      <c r="I521" s="94" t="n">
        <v>-28.4</v>
      </c>
      <c r="J521" s="94" t="n"/>
      <c r="K521" s="95" t="inlineStr">
        <is>
          <t>6067 SENIOR MATERIAL</t>
        </is>
      </c>
    </row>
    <row r="522">
      <c r="A522" s="16" t="inlineStr">
        <is>
          <t>SINSANWA HOLDINGS (H.K.) CO., LIMITED</t>
        </is>
      </c>
      <c r="B522" s="88" t="n">
        <v>1</v>
      </c>
      <c r="C522" s="93" t="n">
        <v>100</v>
      </c>
      <c r="D522" s="94" t="n">
        <v>22.5</v>
      </c>
      <c r="E522" s="94" t="n">
        <v>10.2</v>
      </c>
      <c r="F522" s="94" t="n">
        <v>-12.2</v>
      </c>
      <c r="G522" s="94" t="n"/>
      <c r="H522" s="94" t="n">
        <v>-10</v>
      </c>
      <c r="I522" s="94" t="n">
        <v>-28.4</v>
      </c>
      <c r="J522" s="94" t="n"/>
      <c r="K522" s="95" t="inlineStr">
        <is>
          <t>6067 SENIOR MATERIAL</t>
        </is>
      </c>
    </row>
    <row r="523">
      <c r="A523" s="16" t="inlineStr">
        <is>
          <t>Coast Flagship Investment SPC</t>
        </is>
      </c>
      <c r="B523" s="88" t="n">
        <v>1</v>
      </c>
      <c r="C523" s="93" t="n">
        <v>100</v>
      </c>
      <c r="D523" s="94" t="n">
        <v>21.9</v>
      </c>
      <c r="E523" s="94" t="n">
        <v>10.6</v>
      </c>
      <c r="F523" s="94" t="n">
        <v>8.1</v>
      </c>
      <c r="G523" s="94" t="n">
        <v>21.1</v>
      </c>
      <c r="H523" s="94" t="n">
        <v>-9.300000000000001</v>
      </c>
      <c r="I523" s="94" t="n">
        <v>-11.3</v>
      </c>
      <c r="J523" s="94" t="n">
        <v>-0.7</v>
      </c>
      <c r="K523" s="95" t="inlineStr">
        <is>
          <t>1490 CHESHI</t>
        </is>
      </c>
    </row>
    <row r="524">
      <c r="A524" s="16" t="inlineStr">
        <is>
          <t>Goldstream Capital Management Limited</t>
        </is>
      </c>
      <c r="B524" s="88" t="n">
        <v>1</v>
      </c>
      <c r="C524" s="93" t="n">
        <v>100</v>
      </c>
      <c r="D524" s="94" t="n">
        <v>21.9</v>
      </c>
      <c r="E524" s="94" t="n">
        <v>10.6</v>
      </c>
      <c r="F524" s="94" t="n">
        <v>8.1</v>
      </c>
      <c r="G524" s="94" t="n">
        <v>21.1</v>
      </c>
      <c r="H524" s="94" t="n">
        <v>-9.300000000000001</v>
      </c>
      <c r="I524" s="94" t="n">
        <v>-11.3</v>
      </c>
      <c r="J524" s="94" t="n">
        <v>-0.7</v>
      </c>
      <c r="K524" s="95" t="inlineStr">
        <is>
          <t>1490 CHESHI</t>
        </is>
      </c>
    </row>
    <row r="525">
      <c r="A525" s="16" t="inlineStr">
        <is>
          <t>Shimmering Skyline L.P</t>
        </is>
      </c>
      <c r="B525" s="88" t="n">
        <v>1</v>
      </c>
      <c r="C525" s="93" t="n">
        <v>100</v>
      </c>
      <c r="D525" s="94" t="n">
        <v>21.9</v>
      </c>
      <c r="E525" s="94" t="n">
        <v>10.6</v>
      </c>
      <c r="F525" s="94" t="n">
        <v>8.1</v>
      </c>
      <c r="G525" s="94" t="n">
        <v>21.1</v>
      </c>
      <c r="H525" s="94" t="n">
        <v>-9.300000000000001</v>
      </c>
      <c r="I525" s="94" t="n">
        <v>-11.3</v>
      </c>
      <c r="J525" s="94" t="n">
        <v>-0.7</v>
      </c>
      <c r="K525" s="95" t="inlineStr">
        <is>
          <t>1490 CHESHI</t>
        </is>
      </c>
    </row>
    <row r="526">
      <c r="A526" s="16" t="inlineStr">
        <is>
          <t>Pingtan Xinghang Investment</t>
        </is>
      </c>
      <c r="B526" s="88" t="n">
        <v>1</v>
      </c>
      <c r="C526" s="93" t="n">
        <v>100</v>
      </c>
      <c r="D526" s="94" t="n">
        <v>21.4</v>
      </c>
      <c r="E526" s="94" t="n">
        <v>-16.8</v>
      </c>
      <c r="F526" s="94" t="n">
        <v>-34.6</v>
      </c>
      <c r="G526" s="94" t="n">
        <v>-34.9</v>
      </c>
      <c r="H526" s="94" t="n">
        <v>-31.5</v>
      </c>
      <c r="I526" s="94" t="n">
        <v>-46.1</v>
      </c>
      <c r="J526" s="94" t="n">
        <v>-46.4</v>
      </c>
      <c r="K526" s="95" t="inlineStr">
        <is>
          <t>2573 NEWTREND GROUP</t>
        </is>
      </c>
    </row>
    <row r="527">
      <c r="A527" s="16" t="inlineStr">
        <is>
          <t>Ms. Huang</t>
        </is>
      </c>
      <c r="B527" s="88" t="n">
        <v>1</v>
      </c>
      <c r="C527" s="93" t="n">
        <v>100</v>
      </c>
      <c r="D527" s="94" t="n">
        <v>21.4</v>
      </c>
      <c r="E527" s="94" t="n">
        <v>-16.8</v>
      </c>
      <c r="F527" s="94" t="n">
        <v>-34.6</v>
      </c>
      <c r="G527" s="94" t="n">
        <v>-34.9</v>
      </c>
      <c r="H527" s="94" t="n">
        <v>-31.5</v>
      </c>
      <c r="I527" s="94" t="n">
        <v>-46.1</v>
      </c>
      <c r="J527" s="94" t="n">
        <v>-46.4</v>
      </c>
      <c r="K527" s="95" t="inlineStr">
        <is>
          <t>2573 NEWTREND GROUP</t>
        </is>
      </c>
    </row>
    <row r="528">
      <c r="A528" s="16" t="inlineStr">
        <is>
          <t>Ms. He</t>
        </is>
      </c>
      <c r="B528" s="88" t="n">
        <v>1</v>
      </c>
      <c r="C528" s="93" t="n">
        <v>100</v>
      </c>
      <c r="D528" s="94" t="n">
        <v>21.4</v>
      </c>
      <c r="E528" s="94" t="n">
        <v>-16.8</v>
      </c>
      <c r="F528" s="94" t="n">
        <v>-34.6</v>
      </c>
      <c r="G528" s="94" t="n">
        <v>-34.9</v>
      </c>
      <c r="H528" s="94" t="n">
        <v>-31.5</v>
      </c>
      <c r="I528" s="94" t="n">
        <v>-46.1</v>
      </c>
      <c r="J528" s="94" t="n">
        <v>-46.4</v>
      </c>
      <c r="K528" s="95" t="inlineStr">
        <is>
          <t>2573 NEWTREND GROUP</t>
        </is>
      </c>
    </row>
    <row r="529">
      <c r="A529" s="16" t="inlineStr">
        <is>
          <t>Ms. Chen</t>
        </is>
      </c>
      <c r="B529" s="88" t="n">
        <v>1</v>
      </c>
      <c r="C529" s="93" t="n">
        <v>100</v>
      </c>
      <c r="D529" s="94" t="n">
        <v>21.4</v>
      </c>
      <c r="E529" s="94" t="n">
        <v>-16.8</v>
      </c>
      <c r="F529" s="94" t="n">
        <v>-34.6</v>
      </c>
      <c r="G529" s="94" t="n">
        <v>-34.9</v>
      </c>
      <c r="H529" s="94" t="n">
        <v>-31.5</v>
      </c>
      <c r="I529" s="94" t="n">
        <v>-46.1</v>
      </c>
      <c r="J529" s="94" t="n">
        <v>-46.4</v>
      </c>
      <c r="K529" s="95" t="inlineStr">
        <is>
          <t>2573 NEWTREND GROUP</t>
        </is>
      </c>
    </row>
    <row r="530">
      <c r="A530" s="16" t="inlineStr">
        <is>
          <t>He Win Hong Kong Holdings</t>
        </is>
      </c>
      <c r="B530" s="88" t="n">
        <v>1</v>
      </c>
      <c r="C530" s="93" t="n">
        <v>100</v>
      </c>
      <c r="D530" s="94" t="n">
        <v>21.4</v>
      </c>
      <c r="E530" s="94" t="n">
        <v>-16.8</v>
      </c>
      <c r="F530" s="94" t="n">
        <v>-34.6</v>
      </c>
      <c r="G530" s="94" t="n">
        <v>-34.9</v>
      </c>
      <c r="H530" s="94" t="n">
        <v>-31.5</v>
      </c>
      <c r="I530" s="94" t="n">
        <v>-46.1</v>
      </c>
      <c r="J530" s="94" t="n">
        <v>-46.4</v>
      </c>
      <c r="K530" s="95" t="inlineStr">
        <is>
          <t>2573 NEWTREND GROUP</t>
        </is>
      </c>
    </row>
    <row r="531">
      <c r="A531" s="16" t="inlineStr">
        <is>
          <t>Apex Insight Investment L.P</t>
        </is>
      </c>
      <c r="B531" s="88" t="n">
        <v>1</v>
      </c>
      <c r="C531" s="93" t="n">
        <v>100</v>
      </c>
      <c r="D531" s="94" t="n">
        <v>21.3</v>
      </c>
      <c r="E531" s="94" t="n">
        <v>11.2</v>
      </c>
      <c r="F531" s="94" t="n">
        <v>38.7</v>
      </c>
      <c r="G531" s="94" t="n"/>
      <c r="H531" s="94" t="n">
        <v>-8.300000000000001</v>
      </c>
      <c r="I531" s="94" t="n">
        <v>14.4</v>
      </c>
      <c r="J531" s="94" t="n"/>
      <c r="K531" s="95" t="inlineStr">
        <is>
          <t>3388 CREALITY</t>
        </is>
      </c>
    </row>
    <row r="532">
      <c r="A532" s="16" t="inlineStr">
        <is>
          <t>Colloway Group Limited</t>
        </is>
      </c>
      <c r="B532" s="88" t="n">
        <v>1</v>
      </c>
      <c r="C532" s="93" t="n">
        <v>100</v>
      </c>
      <c r="D532" s="94" t="n">
        <v>21.3</v>
      </c>
      <c r="E532" s="94" t="n">
        <v>11.2</v>
      </c>
      <c r="F532" s="94" t="n">
        <v>38.7</v>
      </c>
      <c r="G532" s="94" t="n"/>
      <c r="H532" s="94" t="n">
        <v>-8.300000000000001</v>
      </c>
      <c r="I532" s="94" t="n">
        <v>14.4</v>
      </c>
      <c r="J532" s="94" t="n"/>
      <c r="K532" s="95" t="inlineStr">
        <is>
          <t>3388 CREALITY</t>
        </is>
      </c>
    </row>
    <row r="533">
      <c r="A533" s="16" t="inlineStr">
        <is>
          <t>Dingxin (Securities) Limited</t>
        </is>
      </c>
      <c r="B533" s="88" t="n">
        <v>1</v>
      </c>
      <c r="C533" s="93" t="n">
        <v>100</v>
      </c>
      <c r="D533" s="94" t="n">
        <v>21.3</v>
      </c>
      <c r="E533" s="94" t="n">
        <v>11.2</v>
      </c>
      <c r="F533" s="94" t="n">
        <v>38.7</v>
      </c>
      <c r="G533" s="94" t="n"/>
      <c r="H533" s="94" t="n">
        <v>-8.300000000000001</v>
      </c>
      <c r="I533" s="94" t="n">
        <v>14.4</v>
      </c>
      <c r="J533" s="94" t="n"/>
      <c r="K533" s="95" t="inlineStr">
        <is>
          <t>3388 CREALITY</t>
        </is>
      </c>
    </row>
    <row r="534">
      <c r="A534" s="16" t="inlineStr">
        <is>
          <t>GBA Homeland Limited</t>
        </is>
      </c>
      <c r="B534" s="88" t="n">
        <v>1</v>
      </c>
      <c r="C534" s="93" t="n">
        <v>100</v>
      </c>
      <c r="D534" s="94" t="n">
        <v>21.3</v>
      </c>
      <c r="E534" s="94" t="n">
        <v>11.2</v>
      </c>
      <c r="F534" s="94" t="n">
        <v>38.7</v>
      </c>
      <c r="G534" s="94" t="n"/>
      <c r="H534" s="94" t="n">
        <v>-8.300000000000001</v>
      </c>
      <c r="I534" s="94" t="n">
        <v>14.4</v>
      </c>
      <c r="J534" s="94" t="n"/>
      <c r="K534" s="95" t="inlineStr">
        <is>
          <t>3388 CREALITY</t>
        </is>
      </c>
    </row>
    <row r="535">
      <c r="A535" s="16" t="inlineStr">
        <is>
          <t>Optimas ACM Fund LP</t>
        </is>
      </c>
      <c r="B535" s="88" t="n">
        <v>1</v>
      </c>
      <c r="C535" s="93" t="n">
        <v>100</v>
      </c>
      <c r="D535" s="94" t="n">
        <v>21.3</v>
      </c>
      <c r="E535" s="94" t="n">
        <v>11.2</v>
      </c>
      <c r="F535" s="94" t="n">
        <v>38.7</v>
      </c>
      <c r="G535" s="94" t="n"/>
      <c r="H535" s="94" t="n">
        <v>-8.300000000000001</v>
      </c>
      <c r="I535" s="94" t="n">
        <v>14.4</v>
      </c>
      <c r="J535" s="94" t="n"/>
      <c r="K535" s="95" t="inlineStr">
        <is>
          <t>3388 CREALITY</t>
        </is>
      </c>
    </row>
    <row r="536">
      <c r="A536" s="16" t="inlineStr">
        <is>
          <t>Yuyao Yangming Equity Investment Fund Co., Ltd</t>
        </is>
      </c>
      <c r="B536" s="88" t="n">
        <v>1</v>
      </c>
      <c r="C536" s="93" t="n">
        <v>100</v>
      </c>
      <c r="D536" s="94" t="n">
        <v>20.9</v>
      </c>
      <c r="E536" s="94" t="n">
        <v>22.3</v>
      </c>
      <c r="F536" s="94" t="n">
        <v>16.5</v>
      </c>
      <c r="G536" s="94" t="n">
        <v>10.4</v>
      </c>
      <c r="H536" s="94" t="n">
        <v>1.2</v>
      </c>
      <c r="I536" s="94" t="n">
        <v>-3.6</v>
      </c>
      <c r="J536" s="94" t="n">
        <v>-8.699999999999999</v>
      </c>
      <c r="K536" s="95" t="inlineStr">
        <is>
          <t>2105 LAEKNA-B</t>
        </is>
      </c>
    </row>
    <row r="537">
      <c r="A537" s="16" t="inlineStr">
        <is>
          <t>Guosen (HK) Financial Products Company Limited</t>
        </is>
      </c>
      <c r="B537" s="88" t="n">
        <v>1</v>
      </c>
      <c r="C537" s="93" t="n">
        <v>100</v>
      </c>
      <c r="D537" s="94" t="n">
        <v>20.6</v>
      </c>
      <c r="E537" s="94" t="n">
        <v>30.7</v>
      </c>
      <c r="F537" s="94" t="n">
        <v>47.6</v>
      </c>
      <c r="G537" s="94" t="n">
        <v>62.9</v>
      </c>
      <c r="H537" s="94" t="n">
        <v>8.300000000000001</v>
      </c>
      <c r="I537" s="94" t="n">
        <v>22.4</v>
      </c>
      <c r="J537" s="94" t="n">
        <v>35</v>
      </c>
      <c r="K537" s="95" t="inlineStr">
        <is>
          <t>2637 HAIXI PHARMA</t>
        </is>
      </c>
    </row>
    <row r="538">
      <c r="A538" s="16" t="inlineStr">
        <is>
          <t>Zhuhai Gokin New Energy Investment Co., Ltd</t>
        </is>
      </c>
      <c r="B538" s="88" t="n">
        <v>1</v>
      </c>
      <c r="C538" s="93" t="n">
        <v>100</v>
      </c>
      <c r="D538" s="94" t="n">
        <v>20.1</v>
      </c>
      <c r="E538" s="94" t="n">
        <v>3.6</v>
      </c>
      <c r="F538" s="94" t="n">
        <v>8.1</v>
      </c>
      <c r="G538" s="94" t="n">
        <v>-2.5</v>
      </c>
      <c r="H538" s="94" t="n">
        <v>-13.7</v>
      </c>
      <c r="I538" s="94" t="n">
        <v>-10</v>
      </c>
      <c r="J538" s="94" t="n">
        <v>-18.8</v>
      </c>
      <c r="K538" s="95" t="inlineStr">
        <is>
          <t>2865 DRINDA</t>
        </is>
      </c>
    </row>
    <row r="539">
      <c r="A539" s="16" t="inlineStr">
        <is>
          <t>Modern Direct Investment New Energy Technology Co., Limited</t>
        </is>
      </c>
      <c r="B539" s="88" t="n">
        <v>1</v>
      </c>
      <c r="C539" s="93" t="n">
        <v>100</v>
      </c>
      <c r="D539" s="94" t="n">
        <v>20.1</v>
      </c>
      <c r="E539" s="94" t="n">
        <v>3.6</v>
      </c>
      <c r="F539" s="94" t="n">
        <v>8.1</v>
      </c>
      <c r="G539" s="94" t="n">
        <v>-2.5</v>
      </c>
      <c r="H539" s="94" t="n">
        <v>-13.7</v>
      </c>
      <c r="I539" s="94" t="n">
        <v>-10</v>
      </c>
      <c r="J539" s="94" t="n">
        <v>-18.8</v>
      </c>
      <c r="K539" s="95" t="inlineStr">
        <is>
          <t>2865 DRINDA</t>
        </is>
      </c>
    </row>
    <row r="540">
      <c r="A540" s="16" t="inlineStr">
        <is>
          <t>Yue Chuang New Energy HK Limited</t>
        </is>
      </c>
      <c r="B540" s="88" t="n">
        <v>1</v>
      </c>
      <c r="C540" s="93" t="n">
        <v>100</v>
      </c>
      <c r="D540" s="94" t="n">
        <v>20</v>
      </c>
      <c r="E540" s="94" t="n">
        <v>48.5</v>
      </c>
      <c r="F540" s="94" t="n">
        <v>69.8</v>
      </c>
      <c r="G540" s="94" t="n">
        <v>132.2</v>
      </c>
      <c r="H540" s="94" t="n">
        <v>23.8</v>
      </c>
      <c r="I540" s="94" t="n">
        <v>41.5</v>
      </c>
      <c r="J540" s="94" t="n">
        <v>93.5</v>
      </c>
      <c r="K540" s="95" t="inlineStr">
        <is>
          <t>2582 GUOFUHEE</t>
        </is>
      </c>
    </row>
    <row r="541">
      <c r="A541" s="16" t="inlineStr">
        <is>
          <t>Barjai Trading Company Limited</t>
        </is>
      </c>
      <c r="B541" s="88" t="n">
        <v>1</v>
      </c>
      <c r="C541" s="93" t="n">
        <v>100</v>
      </c>
      <c r="D541" s="94" t="n">
        <v>18.5</v>
      </c>
      <c r="E541" s="94" t="n">
        <v>40</v>
      </c>
      <c r="F541" s="94" t="n">
        <v>90.2</v>
      </c>
      <c r="G541" s="94" t="n">
        <v>125.3</v>
      </c>
      <c r="H541" s="94" t="n">
        <v>18.2</v>
      </c>
      <c r="I541" s="94" t="n">
        <v>60.6</v>
      </c>
      <c r="J541" s="94" t="n">
        <v>90.2</v>
      </c>
      <c r="K541" s="95" t="inlineStr">
        <is>
          <t>2556 MARKETINGFORCE</t>
        </is>
      </c>
    </row>
    <row r="542">
      <c r="A542" s="16" t="inlineStr">
        <is>
          <t>VH Nanchang Donghu Asset Capital LPF</t>
        </is>
      </c>
      <c r="B542" s="88" t="n">
        <v>1</v>
      </c>
      <c r="C542" s="93" t="n">
        <v>100</v>
      </c>
      <c r="D542" s="94" t="n">
        <v>18.5</v>
      </c>
      <c r="E542" s="94" t="n">
        <v>40</v>
      </c>
      <c r="F542" s="94" t="n">
        <v>90.2</v>
      </c>
      <c r="G542" s="94" t="n">
        <v>125.3</v>
      </c>
      <c r="H542" s="94" t="n">
        <v>18.2</v>
      </c>
      <c r="I542" s="94" t="n">
        <v>60.6</v>
      </c>
      <c r="J542" s="94" t="n">
        <v>90.2</v>
      </c>
      <c r="K542" s="95" t="inlineStr">
        <is>
          <t>2556 MARKETINGFORCE</t>
        </is>
      </c>
    </row>
    <row r="543">
      <c r="A543" s="16" t="inlineStr">
        <is>
          <t>Kuwait Investment</t>
        </is>
      </c>
      <c r="B543" s="88" t="n">
        <v>1</v>
      </c>
      <c r="C543" s="93" t="n">
        <v>100</v>
      </c>
      <c r="D543" s="94" t="n">
        <v>16.4</v>
      </c>
      <c r="E543" s="94" t="n">
        <v>17.5</v>
      </c>
      <c r="F543" s="94" t="n">
        <v>16.5</v>
      </c>
      <c r="G543" s="94" t="n">
        <v>57.4</v>
      </c>
      <c r="H543" s="94" t="n">
        <v>0.9</v>
      </c>
      <c r="I543" s="94" t="n">
        <v>0.1</v>
      </c>
      <c r="J543" s="94" t="n">
        <v>35.2</v>
      </c>
      <c r="K543" s="95" t="inlineStr">
        <is>
          <t>3750 CATL</t>
        </is>
      </c>
    </row>
    <row r="544">
      <c r="A544" s="16" t="inlineStr">
        <is>
          <t>Zenith Hop International Limited</t>
        </is>
      </c>
      <c r="B544" s="88" t="n">
        <v>1</v>
      </c>
      <c r="C544" s="93" t="n">
        <v>100</v>
      </c>
      <c r="D544" s="94" t="n">
        <v>16.4</v>
      </c>
      <c r="E544" s="94" t="n">
        <v>17.5</v>
      </c>
      <c r="F544" s="94" t="n">
        <v>16.5</v>
      </c>
      <c r="G544" s="94" t="n">
        <v>57.4</v>
      </c>
      <c r="H544" s="94" t="n">
        <v>0.9</v>
      </c>
      <c r="I544" s="94" t="n">
        <v>0.1</v>
      </c>
      <c r="J544" s="94" t="n">
        <v>35.2</v>
      </c>
      <c r="K544" s="95" t="inlineStr">
        <is>
          <t>3750 CATL</t>
        </is>
      </c>
    </row>
    <row r="545">
      <c r="A545" s="16" t="inlineStr">
        <is>
          <t>UG Investment</t>
        </is>
      </c>
      <c r="B545" s="88" t="n">
        <v>1</v>
      </c>
      <c r="C545" s="93" t="n">
        <v>100</v>
      </c>
      <c r="D545" s="94" t="n">
        <v>16.2</v>
      </c>
      <c r="E545" s="94" t="n">
        <v>11.2</v>
      </c>
      <c r="F545" s="94" t="n">
        <v>-0.1</v>
      </c>
      <c r="G545" s="94" t="n">
        <v>-25.1</v>
      </c>
      <c r="H545" s="94" t="n">
        <v>-4.3</v>
      </c>
      <c r="I545" s="94" t="n">
        <v>-14</v>
      </c>
      <c r="J545" s="94" t="n">
        <v>-35.5</v>
      </c>
      <c r="K545" s="95" t="inlineStr">
        <is>
          <t>0501 OMNIVISION</t>
        </is>
      </c>
    </row>
    <row r="546">
      <c r="A546" s="16" t="inlineStr">
        <is>
          <t>OPPO (Tiantian Trading)</t>
        </is>
      </c>
      <c r="B546" s="88" t="n">
        <v>1</v>
      </c>
      <c r="C546" s="93" t="n">
        <v>100</v>
      </c>
      <c r="D546" s="94" t="n">
        <v>16.2</v>
      </c>
      <c r="E546" s="94" t="n">
        <v>11.2</v>
      </c>
      <c r="F546" s="94" t="n">
        <v>-0.1</v>
      </c>
      <c r="G546" s="94" t="n">
        <v>-25.1</v>
      </c>
      <c r="H546" s="94" t="n">
        <v>-4.3</v>
      </c>
      <c r="I546" s="94" t="n">
        <v>-14</v>
      </c>
      <c r="J546" s="94" t="n">
        <v>-35.5</v>
      </c>
      <c r="K546" s="95" t="inlineStr">
        <is>
          <t>0501 OMNIVISION</t>
        </is>
      </c>
    </row>
    <row r="547">
      <c r="A547" s="16" t="inlineStr">
        <is>
          <t>Torus</t>
        </is>
      </c>
      <c r="B547" s="88" t="n">
        <v>1</v>
      </c>
      <c r="C547" s="93" t="n">
        <v>100</v>
      </c>
      <c r="D547" s="94" t="n">
        <v>16</v>
      </c>
      <c r="E547" s="94" t="n">
        <v>25.8</v>
      </c>
      <c r="F547" s="94" t="n">
        <v>30.9</v>
      </c>
      <c r="G547" s="94" t="n">
        <v>65.09999999999999</v>
      </c>
      <c r="H547" s="94" t="n">
        <v>8.4</v>
      </c>
      <c r="I547" s="94" t="n">
        <v>12.8</v>
      </c>
      <c r="J547" s="94" t="n">
        <v>42.3</v>
      </c>
      <c r="K547" s="95" t="inlineStr">
        <is>
          <t>1304 FORTIOR</t>
        </is>
      </c>
    </row>
    <row r="548">
      <c r="A548" s="16" t="inlineStr">
        <is>
          <t>Intac</t>
        </is>
      </c>
      <c r="B548" s="88" t="n">
        <v>1</v>
      </c>
      <c r="C548" s="93" t="n">
        <v>100</v>
      </c>
      <c r="D548" s="94" t="n">
        <v>16</v>
      </c>
      <c r="E548" s="94" t="n">
        <v>25.8</v>
      </c>
      <c r="F548" s="94" t="n">
        <v>30.9</v>
      </c>
      <c r="G548" s="94" t="n">
        <v>65.09999999999999</v>
      </c>
      <c r="H548" s="94" t="n">
        <v>8.4</v>
      </c>
      <c r="I548" s="94" t="n">
        <v>12.8</v>
      </c>
      <c r="J548" s="94" t="n">
        <v>42.3</v>
      </c>
      <c r="K548" s="95" t="inlineStr">
        <is>
          <t>1304 FORTIOR</t>
        </is>
      </c>
    </row>
    <row r="549">
      <c r="A549" s="16" t="inlineStr">
        <is>
          <t>Franklin Templeton Sealand Fund Management Co., Ltd</t>
        </is>
      </c>
      <c r="B549" s="88" t="n">
        <v>1</v>
      </c>
      <c r="C549" s="93" t="n">
        <v>100</v>
      </c>
      <c r="D549" s="94" t="n">
        <v>15.7</v>
      </c>
      <c r="E549" s="94" t="n">
        <v>1.3</v>
      </c>
      <c r="F549" s="94" t="n">
        <v>10.6</v>
      </c>
      <c r="G549" s="94" t="n"/>
      <c r="H549" s="94" t="n">
        <v>-12.4</v>
      </c>
      <c r="I549" s="94" t="n">
        <v>-4.4</v>
      </c>
      <c r="J549" s="94" t="n"/>
      <c r="K549" s="95" t="inlineStr">
        <is>
          <t>0668 ANKER</t>
        </is>
      </c>
    </row>
    <row r="550">
      <c r="A550" s="16" t="inlineStr">
        <is>
          <t>HACF, L.P</t>
        </is>
      </c>
      <c r="B550" s="88" t="n">
        <v>1</v>
      </c>
      <c r="C550" s="93" t="n">
        <v>100</v>
      </c>
      <c r="D550" s="94" t="n">
        <v>15.7</v>
      </c>
      <c r="E550" s="94" t="n">
        <v>1.3</v>
      </c>
      <c r="F550" s="94" t="n">
        <v>10.6</v>
      </c>
      <c r="G550" s="94" t="n"/>
      <c r="H550" s="94" t="n">
        <v>-12.4</v>
      </c>
      <c r="I550" s="94" t="n">
        <v>-4.4</v>
      </c>
      <c r="J550" s="94" t="n"/>
      <c r="K550" s="95" t="inlineStr">
        <is>
          <t>0668 ANKER</t>
        </is>
      </c>
    </row>
    <row r="551">
      <c r="A551" s="16" t="inlineStr">
        <is>
          <t>Principal Asset Management Company (Asia) Limited</t>
        </is>
      </c>
      <c r="B551" s="88" t="n">
        <v>1</v>
      </c>
      <c r="C551" s="93" t="n">
        <v>100</v>
      </c>
      <c r="D551" s="94" t="n">
        <v>15.7</v>
      </c>
      <c r="E551" s="94" t="n">
        <v>1.3</v>
      </c>
      <c r="F551" s="94" t="n">
        <v>10.6</v>
      </c>
      <c r="G551" s="94" t="n"/>
      <c r="H551" s="94" t="n">
        <v>-12.4</v>
      </c>
      <c r="I551" s="94" t="n">
        <v>-4.4</v>
      </c>
      <c r="J551" s="94" t="n"/>
      <c r="K551" s="95" t="inlineStr">
        <is>
          <t>0668 ANKER</t>
        </is>
      </c>
    </row>
    <row r="552">
      <c r="A552" s="16" t="inlineStr">
        <is>
          <t>All View Focus Fund LPF</t>
        </is>
      </c>
      <c r="B552" s="88" t="n">
        <v>1</v>
      </c>
      <c r="C552" s="93" t="n">
        <v>100</v>
      </c>
      <c r="D552" s="94" t="n">
        <v>15.2</v>
      </c>
      <c r="E552" s="94" t="n">
        <v>28.6</v>
      </c>
      <c r="F552" s="94" t="n">
        <v>89</v>
      </c>
      <c r="G552" s="94" t="n"/>
      <c r="H552" s="94" t="n">
        <v>11.7</v>
      </c>
      <c r="I552" s="94" t="n">
        <v>64</v>
      </c>
      <c r="J552" s="94" t="n"/>
      <c r="K552" s="95" t="inlineStr">
        <is>
          <t>3752 ROKAE ROBOTICS</t>
        </is>
      </c>
    </row>
    <row r="553">
      <c r="A553" s="16" t="inlineStr">
        <is>
          <t>Beijing Financial Street Capital Operation Group Co., Ltd</t>
        </is>
      </c>
      <c r="B553" s="88" t="n">
        <v>1</v>
      </c>
      <c r="C553" s="93" t="n">
        <v>100</v>
      </c>
      <c r="D553" s="94" t="n">
        <v>15.2</v>
      </c>
      <c r="E553" s="94" t="n">
        <v>28.6</v>
      </c>
      <c r="F553" s="94" t="n">
        <v>89</v>
      </c>
      <c r="G553" s="94" t="n"/>
      <c r="H553" s="94" t="n">
        <v>11.7</v>
      </c>
      <c r="I553" s="94" t="n">
        <v>64</v>
      </c>
      <c r="J553" s="94" t="n"/>
      <c r="K553" s="95" t="inlineStr">
        <is>
          <t>3752 ROKAE ROBOTICS</t>
        </is>
      </c>
    </row>
    <row r="554">
      <c r="A554" s="16" t="inlineStr">
        <is>
          <t>China Travel Service (Holdings) Hong Kong Limited</t>
        </is>
      </c>
      <c r="B554" s="88" t="n">
        <v>1</v>
      </c>
      <c r="C554" s="93" t="n">
        <v>100</v>
      </c>
      <c r="D554" s="94" t="n">
        <v>15</v>
      </c>
      <c r="E554" s="94" t="n">
        <v>6.6</v>
      </c>
      <c r="F554" s="94" t="n">
        <v>-15</v>
      </c>
      <c r="G554" s="94" t="n">
        <v>-18.1</v>
      </c>
      <c r="H554" s="94" t="n">
        <v>-7.3</v>
      </c>
      <c r="I554" s="94" t="n">
        <v>-26.1</v>
      </c>
      <c r="J554" s="94" t="n">
        <v>-28.8</v>
      </c>
      <c r="K554" s="95" t="inlineStr">
        <is>
          <t>2460 CR BEVERAGE</t>
        </is>
      </c>
    </row>
    <row r="555">
      <c r="A555" s="16" t="inlineStr">
        <is>
          <t>Wildlife Willow Limited</t>
        </is>
      </c>
      <c r="B555" s="88" t="n">
        <v>1</v>
      </c>
      <c r="C555" s="93" t="n">
        <v>100</v>
      </c>
      <c r="D555" s="94" t="n">
        <v>15</v>
      </c>
      <c r="E555" s="94" t="n">
        <v>6.6</v>
      </c>
      <c r="F555" s="94" t="n">
        <v>-15</v>
      </c>
      <c r="G555" s="94" t="n">
        <v>-18.1</v>
      </c>
      <c r="H555" s="94" t="n">
        <v>-7.3</v>
      </c>
      <c r="I555" s="94" t="n">
        <v>-26.1</v>
      </c>
      <c r="J555" s="94" t="n">
        <v>-28.8</v>
      </c>
      <c r="K555" s="95" t="inlineStr">
        <is>
          <t>2460 CR BEVERAGE</t>
        </is>
      </c>
    </row>
    <row r="556">
      <c r="A556" s="16" t="inlineStr">
        <is>
          <t>Asia Pacific Limited</t>
        </is>
      </c>
      <c r="B556" s="88" t="n">
        <v>1</v>
      </c>
      <c r="C556" s="93" t="n">
        <v>100</v>
      </c>
      <c r="D556" s="94" t="n">
        <v>14.9</v>
      </c>
      <c r="E556" s="94" t="n">
        <v>30</v>
      </c>
      <c r="F556" s="94" t="n">
        <v>0.9</v>
      </c>
      <c r="G556" s="94" t="n">
        <v>-17.4</v>
      </c>
      <c r="H556" s="94" t="n">
        <v>13.1</v>
      </c>
      <c r="I556" s="94" t="n">
        <v>-12.2</v>
      </c>
      <c r="J556" s="94" t="n">
        <v>-28.2</v>
      </c>
      <c r="K556" s="95" t="inlineStr">
        <is>
          <t>2543 DAHON TECH</t>
        </is>
      </c>
    </row>
    <row r="557">
      <c r="A557" s="16" t="inlineStr">
        <is>
          <t>Allianz Global Investors Asia Pacific Limited</t>
        </is>
      </c>
      <c r="B557" s="88" t="n">
        <v>1</v>
      </c>
      <c r="C557" s="93" t="n">
        <v>100</v>
      </c>
      <c r="D557" s="94" t="n">
        <v>14.9</v>
      </c>
      <c r="E557" s="94" t="n">
        <v>30</v>
      </c>
      <c r="F557" s="94" t="n">
        <v>0.9</v>
      </c>
      <c r="G557" s="94" t="n">
        <v>-17.4</v>
      </c>
      <c r="H557" s="94" t="n">
        <v>13.1</v>
      </c>
      <c r="I557" s="94" t="n">
        <v>-12.2</v>
      </c>
      <c r="J557" s="94" t="n">
        <v>-28.2</v>
      </c>
      <c r="K557" s="95" t="inlineStr">
        <is>
          <t>2543 DAHON TECH</t>
        </is>
      </c>
    </row>
    <row r="558">
      <c r="A558" s="16" t="inlineStr">
        <is>
          <t>GBAD Fund Management</t>
        </is>
      </c>
      <c r="B558" s="88" t="n">
        <v>1</v>
      </c>
      <c r="C558" s="93" t="n">
        <v>100</v>
      </c>
      <c r="D558" s="94" t="n">
        <v>14.9</v>
      </c>
      <c r="E558" s="94" t="n">
        <v>30</v>
      </c>
      <c r="F558" s="94" t="n">
        <v>0.9</v>
      </c>
      <c r="G558" s="94" t="n">
        <v>-17.4</v>
      </c>
      <c r="H558" s="94" t="n">
        <v>13.1</v>
      </c>
      <c r="I558" s="94" t="n">
        <v>-12.2</v>
      </c>
      <c r="J558" s="94" t="n">
        <v>-28.2</v>
      </c>
      <c r="K558" s="95" t="inlineStr">
        <is>
          <t>2543 DAHON TECH</t>
        </is>
      </c>
    </row>
    <row r="559">
      <c r="A559" s="16" t="inlineStr">
        <is>
          <t>Dahon Tech Enterprise LP</t>
        </is>
      </c>
      <c r="B559" s="88" t="n">
        <v>1</v>
      </c>
      <c r="C559" s="93" t="n">
        <v>100</v>
      </c>
      <c r="D559" s="94" t="n">
        <v>14.9</v>
      </c>
      <c r="E559" s="94" t="n">
        <v>30</v>
      </c>
      <c r="F559" s="94" t="n">
        <v>0.9</v>
      </c>
      <c r="G559" s="94" t="n">
        <v>-17.4</v>
      </c>
      <c r="H559" s="94" t="n">
        <v>13.1</v>
      </c>
      <c r="I559" s="94" t="n">
        <v>-12.2</v>
      </c>
      <c r="J559" s="94" t="n">
        <v>-28.2</v>
      </c>
      <c r="K559" s="95" t="inlineStr">
        <is>
          <t>2543 DAHON TECH</t>
        </is>
      </c>
    </row>
    <row r="560">
      <c r="A560" s="16" t="inlineStr">
        <is>
          <t>Industrial Bank WM</t>
        </is>
      </c>
      <c r="B560" s="88" t="n">
        <v>1</v>
      </c>
      <c r="C560" s="93" t="n">
        <v>100</v>
      </c>
      <c r="D560" s="94" t="n">
        <v>14.8</v>
      </c>
      <c r="E560" s="94" t="n">
        <v>17.5</v>
      </c>
      <c r="F560" s="94" t="n">
        <v>21.9</v>
      </c>
      <c r="G560" s="94" t="n">
        <v>69.40000000000001</v>
      </c>
      <c r="H560" s="94" t="n">
        <v>2.4</v>
      </c>
      <c r="I560" s="94" t="n">
        <v>6.2</v>
      </c>
      <c r="J560" s="94" t="n">
        <v>47.5</v>
      </c>
      <c r="K560" s="95" t="inlineStr">
        <is>
          <t>3200 HANS CNC</t>
        </is>
      </c>
    </row>
    <row r="561">
      <c r="A561" s="16" t="inlineStr">
        <is>
          <t>Emsdom Limited</t>
        </is>
      </c>
      <c r="B561" s="88" t="n">
        <v>1</v>
      </c>
      <c r="C561" s="93" t="n">
        <v>100</v>
      </c>
      <c r="D561" s="94" t="n">
        <v>14.3</v>
      </c>
      <c r="E561" s="94" t="n">
        <v>9.5</v>
      </c>
      <c r="F561" s="94" t="n">
        <v>-19.1</v>
      </c>
      <c r="G561" s="94" t="n">
        <v>-15.2</v>
      </c>
      <c r="H561" s="94" t="n">
        <v>-4.2</v>
      </c>
      <c r="I561" s="94" t="n">
        <v>-29.2</v>
      </c>
      <c r="J561" s="94" t="n">
        <v>-25.8</v>
      </c>
      <c r="K561" s="95" t="inlineStr">
        <is>
          <t>1334 RUICHANG INTL</t>
        </is>
      </c>
    </row>
    <row r="562">
      <c r="A562" s="16" t="inlineStr">
        <is>
          <t>Shanghai Huijin Asset Management Co., Ltd</t>
        </is>
      </c>
      <c r="B562" s="88" t="n">
        <v>1</v>
      </c>
      <c r="C562" s="93" t="n">
        <v>100</v>
      </c>
      <c r="D562" s="94" t="n">
        <v>13.8</v>
      </c>
      <c r="E562" s="94" t="n">
        <v>26.5</v>
      </c>
      <c r="F562" s="94" t="n">
        <v>93.8</v>
      </c>
      <c r="G562" s="94" t="n">
        <v>61.5</v>
      </c>
      <c r="H562" s="94" t="n">
        <v>11.1</v>
      </c>
      <c r="I562" s="94" t="n">
        <v>70.3</v>
      </c>
      <c r="J562" s="94" t="n">
        <v>41.9</v>
      </c>
      <c r="K562" s="95" t="inlineStr">
        <is>
          <t>6616 GLOBAL NEW MAT</t>
        </is>
      </c>
    </row>
    <row r="563">
      <c r="A563" s="16" t="inlineStr">
        <is>
          <t>YBN Investments</t>
        </is>
      </c>
      <c r="B563" s="88" t="n">
        <v>1</v>
      </c>
      <c r="C563" s="93" t="n">
        <v>100</v>
      </c>
      <c r="D563" s="94" t="n">
        <v>13.8</v>
      </c>
      <c r="E563" s="94" t="n">
        <v>26.5</v>
      </c>
      <c r="F563" s="94" t="n">
        <v>93.8</v>
      </c>
      <c r="G563" s="94" t="n">
        <v>61.5</v>
      </c>
      <c r="H563" s="94" t="n">
        <v>11.1</v>
      </c>
      <c r="I563" s="94" t="n">
        <v>70.3</v>
      </c>
      <c r="J563" s="94" t="n">
        <v>41.9</v>
      </c>
      <c r="K563" s="95" t="inlineStr">
        <is>
          <t>6616 GLOBAL NEW MAT</t>
        </is>
      </c>
    </row>
    <row r="564">
      <c r="A564" s="16" t="inlineStr">
        <is>
          <t>Aether Wave Fund L.P</t>
        </is>
      </c>
      <c r="B564" s="88" t="n">
        <v>1</v>
      </c>
      <c r="C564" s="93" t="n">
        <v>100</v>
      </c>
      <c r="D564" s="94" t="n">
        <v>13.5</v>
      </c>
      <c r="E564" s="94" t="n">
        <v>3.9</v>
      </c>
      <c r="F564" s="94" t="n">
        <v>7.5</v>
      </c>
      <c r="G564" s="94" t="n">
        <v>-14</v>
      </c>
      <c r="H564" s="94" t="n">
        <v>-8.4</v>
      </c>
      <c r="I564" s="94" t="n">
        <v>-5.2</v>
      </c>
      <c r="J564" s="94" t="n">
        <v>-24.2</v>
      </c>
      <c r="K564" s="95" t="inlineStr">
        <is>
          <t>3355 FS.COM</t>
        </is>
      </c>
    </row>
    <row r="565">
      <c r="A565" s="16" t="inlineStr">
        <is>
          <t>Great Holding Development Limited</t>
        </is>
      </c>
      <c r="B565" s="88" t="n">
        <v>1</v>
      </c>
      <c r="C565" s="93" t="n">
        <v>100</v>
      </c>
      <c r="D565" s="94" t="n">
        <v>13.5</v>
      </c>
      <c r="E565" s="94" t="n">
        <v>3.9</v>
      </c>
      <c r="F565" s="94" t="n">
        <v>7.5</v>
      </c>
      <c r="G565" s="94" t="n">
        <v>-14</v>
      </c>
      <c r="H565" s="94" t="n">
        <v>-8.4</v>
      </c>
      <c r="I565" s="94" t="n">
        <v>-5.2</v>
      </c>
      <c r="J565" s="94" t="n">
        <v>-24.2</v>
      </c>
      <c r="K565" s="95" t="inlineStr">
        <is>
          <t>3355 FS.COM</t>
        </is>
      </c>
    </row>
    <row r="566">
      <c r="A566" s="16" t="inlineStr">
        <is>
          <t>Wider Huge Group Limited</t>
        </is>
      </c>
      <c r="B566" s="88" t="n">
        <v>1</v>
      </c>
      <c r="C566" s="93" t="n">
        <v>100</v>
      </c>
      <c r="D566" s="94" t="n">
        <v>13.5</v>
      </c>
      <c r="E566" s="94" t="n">
        <v>3.9</v>
      </c>
      <c r="F566" s="94" t="n">
        <v>7.5</v>
      </c>
      <c r="G566" s="94" t="n">
        <v>-14</v>
      </c>
      <c r="H566" s="94" t="n">
        <v>-8.4</v>
      </c>
      <c r="I566" s="94" t="n">
        <v>-5.2</v>
      </c>
      <c r="J566" s="94" t="n">
        <v>-24.2</v>
      </c>
      <c r="K566" s="95" t="inlineStr">
        <is>
          <t>3355 FS.COM</t>
        </is>
      </c>
    </row>
    <row r="567">
      <c r="A567" s="16" t="inlineStr">
        <is>
          <t>Health Vision Hong Kong Limited</t>
        </is>
      </c>
      <c r="B567" s="88" t="n">
        <v>1</v>
      </c>
      <c r="C567" s="93" t="n">
        <v>100</v>
      </c>
      <c r="D567" s="94" t="n">
        <v>13.4</v>
      </c>
      <c r="E567" s="94" t="n">
        <v>-3.2</v>
      </c>
      <c r="F567" s="94" t="n">
        <v>9.1</v>
      </c>
      <c r="G567" s="94" t="n">
        <v>-54.5</v>
      </c>
      <c r="H567" s="94" t="n">
        <v>-14.6</v>
      </c>
      <c r="I567" s="94" t="n">
        <v>-3.8</v>
      </c>
      <c r="J567" s="94" t="n">
        <v>-59.9</v>
      </c>
      <c r="K567" s="95" t="inlineStr">
        <is>
          <t>2677 DISTINCT HEALTH</t>
        </is>
      </c>
    </row>
    <row r="568">
      <c r="A568" s="16" t="inlineStr">
        <is>
          <t>KingMed Diagnostics (Hong Kong) Limited (ਹᏨ᜕ (ಥ)ʮ̡</t>
        </is>
      </c>
      <c r="B568" s="88" t="n">
        <v>1</v>
      </c>
      <c r="C568" s="93" t="n">
        <v>100</v>
      </c>
      <c r="D568" s="94" t="n">
        <v>13.4</v>
      </c>
      <c r="E568" s="94" t="n">
        <v>-3.2</v>
      </c>
      <c r="F568" s="94" t="n">
        <v>9.1</v>
      </c>
      <c r="G568" s="94" t="n">
        <v>-54.5</v>
      </c>
      <c r="H568" s="94" t="n">
        <v>-14.6</v>
      </c>
      <c r="I568" s="94" t="n">
        <v>-3.8</v>
      </c>
      <c r="J568" s="94" t="n">
        <v>-59.9</v>
      </c>
      <c r="K568" s="95" t="inlineStr">
        <is>
          <t>2677 DISTINCT HEALTH</t>
        </is>
      </c>
    </row>
    <row r="569">
      <c r="A569" s="16" t="inlineStr">
        <is>
          <t>Mininglamp Technology</t>
        </is>
      </c>
      <c r="B569" s="88" t="n">
        <v>1</v>
      </c>
      <c r="C569" s="93" t="n">
        <v>100</v>
      </c>
      <c r="D569" s="94" t="n">
        <v>13.4</v>
      </c>
      <c r="E569" s="94" t="n">
        <v>-3.2</v>
      </c>
      <c r="F569" s="94" t="n">
        <v>9.1</v>
      </c>
      <c r="G569" s="94" t="n">
        <v>-54.5</v>
      </c>
      <c r="H569" s="94" t="n">
        <v>-14.6</v>
      </c>
      <c r="I569" s="94" t="n">
        <v>-3.8</v>
      </c>
      <c r="J569" s="94" t="n">
        <v>-59.9</v>
      </c>
      <c r="K569" s="95" t="inlineStr">
        <is>
          <t>2677 DISTINCT HEALTH</t>
        </is>
      </c>
    </row>
    <row r="570">
      <c r="A570" s="16" t="inlineStr">
        <is>
          <t>Awinic Technology Limited</t>
        </is>
      </c>
      <c r="B570" s="88" t="n">
        <v>1</v>
      </c>
      <c r="C570" s="93" t="n">
        <v>100</v>
      </c>
      <c r="D570" s="94" t="n">
        <v>13.3</v>
      </c>
      <c r="E570" s="94" t="n">
        <v>17.1</v>
      </c>
      <c r="F570" s="94" t="n">
        <v>52.2</v>
      </c>
      <c r="G570" s="94" t="n">
        <v>21.2</v>
      </c>
      <c r="H570" s="94" t="n">
        <v>3.4</v>
      </c>
      <c r="I570" s="94" t="n">
        <v>34.4</v>
      </c>
      <c r="J570" s="94" t="n">
        <v>7</v>
      </c>
      <c r="K570" s="95" t="inlineStr">
        <is>
          <t>3296 HUAQIN</t>
        </is>
      </c>
    </row>
    <row r="571">
      <c r="A571" s="16" t="inlineStr">
        <is>
          <t>Cloud Map Holdings Limited</t>
        </is>
      </c>
      <c r="B571" s="88" t="n">
        <v>1</v>
      </c>
      <c r="C571" s="93" t="n">
        <v>100</v>
      </c>
      <c r="D571" s="94" t="n">
        <v>13.3</v>
      </c>
      <c r="E571" s="94" t="n">
        <v>17.1</v>
      </c>
      <c r="F571" s="94" t="n">
        <v>52.2</v>
      </c>
      <c r="G571" s="94" t="n">
        <v>21.2</v>
      </c>
      <c r="H571" s="94" t="n">
        <v>3.4</v>
      </c>
      <c r="I571" s="94" t="n">
        <v>34.4</v>
      </c>
      <c r="J571" s="94" t="n">
        <v>7</v>
      </c>
      <c r="K571" s="95" t="inlineStr">
        <is>
          <t>3296 HUAQIN</t>
        </is>
      </c>
    </row>
    <row r="572">
      <c r="A572" s="16" t="inlineStr">
        <is>
          <t>Ingenic Semiconductor (HongKong) Group Limited</t>
        </is>
      </c>
      <c r="B572" s="88" t="n">
        <v>1</v>
      </c>
      <c r="C572" s="93" t="n">
        <v>100</v>
      </c>
      <c r="D572" s="94" t="n">
        <v>13.3</v>
      </c>
      <c r="E572" s="94" t="n">
        <v>17.1</v>
      </c>
      <c r="F572" s="94" t="n">
        <v>52.2</v>
      </c>
      <c r="G572" s="94" t="n">
        <v>21.2</v>
      </c>
      <c r="H572" s="94" t="n">
        <v>3.4</v>
      </c>
      <c r="I572" s="94" t="n">
        <v>34.4</v>
      </c>
      <c r="J572" s="94" t="n">
        <v>7</v>
      </c>
      <c r="K572" s="95" t="inlineStr">
        <is>
          <t>3296 HUAQIN</t>
        </is>
      </c>
    </row>
    <row r="573">
      <c r="A573" s="16" t="inlineStr">
        <is>
          <t>Ung Choi Kun</t>
        </is>
      </c>
      <c r="B573" s="88" t="n">
        <v>1</v>
      </c>
      <c r="C573" s="93" t="n">
        <v>100</v>
      </c>
      <c r="D573" s="94" t="n">
        <v>13</v>
      </c>
      <c r="E573" s="94" t="n">
        <v>13</v>
      </c>
      <c r="F573" s="94" t="n">
        <v>10.2</v>
      </c>
      <c r="G573" s="94" t="n">
        <v>-3.7</v>
      </c>
      <c r="H573" s="94" t="n">
        <v>0</v>
      </c>
      <c r="I573" s="94" t="n">
        <v>-2.5</v>
      </c>
      <c r="J573" s="94" t="n">
        <v>-14.8</v>
      </c>
      <c r="K573" s="95" t="inlineStr">
        <is>
          <t>1204 BOARDWARE INTEL</t>
        </is>
      </c>
    </row>
    <row r="574">
      <c r="A574" s="16" t="inlineStr">
        <is>
          <t>Corelink Group Limited</t>
        </is>
      </c>
      <c r="B574" s="88" t="n">
        <v>1</v>
      </c>
      <c r="C574" s="93" t="n">
        <v>100</v>
      </c>
      <c r="D574" s="94" t="n">
        <v>12</v>
      </c>
      <c r="E574" s="94" t="n">
        <v>1.6</v>
      </c>
      <c r="F574" s="94" t="n">
        <v>0.7</v>
      </c>
      <c r="G574" s="94" t="n">
        <v>20</v>
      </c>
      <c r="H574" s="94" t="n">
        <v>-9.300000000000001</v>
      </c>
      <c r="I574" s="94" t="n">
        <v>-10.1</v>
      </c>
      <c r="J574" s="94" t="n">
        <v>7.1</v>
      </c>
      <c r="K574" s="95" t="inlineStr">
        <is>
          <t>9860 ADICON HOLDINGS</t>
        </is>
      </c>
    </row>
    <row r="575">
      <c r="A575" s="16" t="inlineStr">
        <is>
          <t>MR Global (HK) Limited</t>
        </is>
      </c>
      <c r="B575" s="88" t="n">
        <v>1</v>
      </c>
      <c r="C575" s="93" t="n">
        <v>100</v>
      </c>
      <c r="D575" s="94" t="n">
        <v>12</v>
      </c>
      <c r="E575" s="94" t="n">
        <v>1.6</v>
      </c>
      <c r="F575" s="94" t="n">
        <v>0.7</v>
      </c>
      <c r="G575" s="94" t="n">
        <v>20</v>
      </c>
      <c r="H575" s="94" t="n">
        <v>-9.300000000000001</v>
      </c>
      <c r="I575" s="94" t="n">
        <v>-10.1</v>
      </c>
      <c r="J575" s="94" t="n">
        <v>7.1</v>
      </c>
      <c r="K575" s="95" t="inlineStr">
        <is>
          <t>9860 ADICON HOLDINGS</t>
        </is>
      </c>
    </row>
    <row r="576">
      <c r="A576" s="16" t="inlineStr">
        <is>
          <t>Snibe Diagnostic (Hong Kong) Company Limited</t>
        </is>
      </c>
      <c r="B576" s="88" t="n">
        <v>1</v>
      </c>
      <c r="C576" s="93" t="n">
        <v>100</v>
      </c>
      <c r="D576" s="94" t="n">
        <v>12</v>
      </c>
      <c r="E576" s="94" t="n">
        <v>1.6</v>
      </c>
      <c r="F576" s="94" t="n">
        <v>0.7</v>
      </c>
      <c r="G576" s="94" t="n">
        <v>20</v>
      </c>
      <c r="H576" s="94" t="n">
        <v>-9.300000000000001</v>
      </c>
      <c r="I576" s="94" t="n">
        <v>-10.1</v>
      </c>
      <c r="J576" s="94" t="n">
        <v>7.1</v>
      </c>
      <c r="K576" s="95" t="inlineStr">
        <is>
          <t>9860 ADICON HOLDINGS</t>
        </is>
      </c>
    </row>
    <row r="577">
      <c r="A577" s="16" t="inlineStr">
        <is>
          <t>Timestar Elite Limited</t>
        </is>
      </c>
      <c r="B577" s="88" t="n">
        <v>1</v>
      </c>
      <c r="C577" s="93" t="n">
        <v>100</v>
      </c>
      <c r="D577" s="94" t="n">
        <v>12</v>
      </c>
      <c r="E577" s="94" t="n">
        <v>1.6</v>
      </c>
      <c r="F577" s="94" t="n">
        <v>0.7</v>
      </c>
      <c r="G577" s="94" t="n">
        <v>20</v>
      </c>
      <c r="H577" s="94" t="n">
        <v>-9.300000000000001</v>
      </c>
      <c r="I577" s="94" t="n">
        <v>-10.1</v>
      </c>
      <c r="J577" s="94" t="n">
        <v>7.1</v>
      </c>
      <c r="K577" s="95" t="inlineStr">
        <is>
          <t>9860 ADICON HOLDINGS</t>
        </is>
      </c>
    </row>
    <row r="578">
      <c r="A578" s="16" t="inlineStr">
        <is>
          <t>Nice First</t>
        </is>
      </c>
      <c r="B578" s="88" t="n">
        <v>1</v>
      </c>
      <c r="C578" s="93" t="n">
        <v>100</v>
      </c>
      <c r="D578" s="94" t="n">
        <v>11.6</v>
      </c>
      <c r="E578" s="94" t="n">
        <v>27.2</v>
      </c>
      <c r="F578" s="94" t="n">
        <v>33.2</v>
      </c>
      <c r="G578" s="94" t="n">
        <v>43.8</v>
      </c>
      <c r="H578" s="94" t="n">
        <v>14</v>
      </c>
      <c r="I578" s="94" t="n">
        <v>19.4</v>
      </c>
      <c r="J578" s="94" t="n">
        <v>28.9</v>
      </c>
      <c r="K578" s="95" t="inlineStr">
        <is>
          <t>2768 GON TECHNOLOGY</t>
        </is>
      </c>
    </row>
    <row r="579">
      <c r="A579" s="16" t="inlineStr">
        <is>
          <t>SLD International</t>
        </is>
      </c>
      <c r="B579" s="88" t="n">
        <v>1</v>
      </c>
      <c r="C579" s="93" t="n">
        <v>100</v>
      </c>
      <c r="D579" s="94" t="n">
        <v>11.6</v>
      </c>
      <c r="E579" s="94" t="n">
        <v>27.2</v>
      </c>
      <c r="F579" s="94" t="n">
        <v>33.2</v>
      </c>
      <c r="G579" s="94" t="n">
        <v>43.8</v>
      </c>
      <c r="H579" s="94" t="n">
        <v>14</v>
      </c>
      <c r="I579" s="94" t="n">
        <v>19.4</v>
      </c>
      <c r="J579" s="94" t="n">
        <v>28.9</v>
      </c>
      <c r="K579" s="95" t="inlineStr">
        <is>
          <t>2768 GON TECHNOLOGY</t>
        </is>
      </c>
    </row>
    <row r="580">
      <c r="A580" s="16" t="inlineStr">
        <is>
          <t>Cheng A International</t>
        </is>
      </c>
      <c r="B580" s="88" t="n">
        <v>1</v>
      </c>
      <c r="C580" s="93" t="n">
        <v>100</v>
      </c>
      <c r="D580" s="94" t="n">
        <v>11.6</v>
      </c>
      <c r="E580" s="94" t="n">
        <v>27.2</v>
      </c>
      <c r="F580" s="94" t="n">
        <v>33.2</v>
      </c>
      <c r="G580" s="94" t="n">
        <v>43.8</v>
      </c>
      <c r="H580" s="94" t="n">
        <v>14</v>
      </c>
      <c r="I580" s="94" t="n">
        <v>19.4</v>
      </c>
      <c r="J580" s="94" t="n">
        <v>28.9</v>
      </c>
      <c r="K580" s="95" t="inlineStr">
        <is>
          <t>2768 GON TECHNOLOGY</t>
        </is>
      </c>
    </row>
    <row r="581">
      <c r="A581" s="16" t="inlineStr">
        <is>
          <t>Shenwan Hongyuan Securities</t>
        </is>
      </c>
      <c r="B581" s="88" t="n">
        <v>1</v>
      </c>
      <c r="C581" s="93" t="n">
        <v>100</v>
      </c>
      <c r="D581" s="94" t="n">
        <v>11.6</v>
      </c>
      <c r="E581" s="94" t="n">
        <v>27.2</v>
      </c>
      <c r="F581" s="94" t="n">
        <v>33.2</v>
      </c>
      <c r="G581" s="94" t="n">
        <v>43.8</v>
      </c>
      <c r="H581" s="94" t="n">
        <v>14</v>
      </c>
      <c r="I581" s="94" t="n">
        <v>19.4</v>
      </c>
      <c r="J581" s="94" t="n">
        <v>28.9</v>
      </c>
      <c r="K581" s="95" t="inlineStr">
        <is>
          <t>2768 GON TECHNOLOGY</t>
        </is>
      </c>
    </row>
    <row r="582">
      <c r="A582" s="16" t="inlineStr">
        <is>
          <t>New Harvest</t>
        </is>
      </c>
      <c r="B582" s="88" t="n">
        <v>1</v>
      </c>
      <c r="C582" s="93" t="n">
        <v>100</v>
      </c>
      <c r="D582" s="94" t="n">
        <v>11.6</v>
      </c>
      <c r="E582" s="94" t="n">
        <v>27.2</v>
      </c>
      <c r="F582" s="94" t="n">
        <v>33.2</v>
      </c>
      <c r="G582" s="94" t="n">
        <v>43.8</v>
      </c>
      <c r="H582" s="94" t="n">
        <v>14</v>
      </c>
      <c r="I582" s="94" t="n">
        <v>19.4</v>
      </c>
      <c r="J582" s="94" t="n">
        <v>28.9</v>
      </c>
      <c r="K582" s="95" t="inlineStr">
        <is>
          <t>2768 GON TECHNOLOGY</t>
        </is>
      </c>
    </row>
    <row r="583">
      <c r="A583" s="16" t="inlineStr">
        <is>
          <t>Luminous Horizon</t>
        </is>
      </c>
      <c r="B583" s="88" t="n">
        <v>1</v>
      </c>
      <c r="C583" s="93" t="n">
        <v>100</v>
      </c>
      <c r="D583" s="94" t="n">
        <v>11.6</v>
      </c>
      <c r="E583" s="94" t="n">
        <v>27.2</v>
      </c>
      <c r="F583" s="94" t="n">
        <v>33.2</v>
      </c>
      <c r="G583" s="94" t="n">
        <v>43.8</v>
      </c>
      <c r="H583" s="94" t="n">
        <v>14</v>
      </c>
      <c r="I583" s="94" t="n">
        <v>19.4</v>
      </c>
      <c r="J583" s="94" t="n">
        <v>28.9</v>
      </c>
      <c r="K583" s="95" t="inlineStr">
        <is>
          <t>2768 GON TECHNOLOGY</t>
        </is>
      </c>
    </row>
    <row r="584">
      <c r="A584" s="16" t="inlineStr">
        <is>
          <t>Guo Shaojun</t>
        </is>
      </c>
      <c r="B584" s="88" t="n">
        <v>1</v>
      </c>
      <c r="C584" s="93" t="n">
        <v>100</v>
      </c>
      <c r="D584" s="94" t="n">
        <v>11.1</v>
      </c>
      <c r="E584" s="94" t="n">
        <v>6.7</v>
      </c>
      <c r="F584" s="94" t="n">
        <v>-7.8</v>
      </c>
      <c r="G584" s="94" t="n">
        <v>-36.7</v>
      </c>
      <c r="H584" s="94" t="n">
        <v>-4</v>
      </c>
      <c r="I584" s="94" t="n">
        <v>-17</v>
      </c>
      <c r="J584" s="94" t="n">
        <v>-43</v>
      </c>
      <c r="K584" s="95" t="inlineStr">
        <is>
          <t>2516 FAR INTL</t>
        </is>
      </c>
    </row>
    <row r="585">
      <c r="A585" s="16" t="inlineStr">
        <is>
          <t>Liu Liyun</t>
        </is>
      </c>
      <c r="B585" s="88" t="n">
        <v>1</v>
      </c>
      <c r="C585" s="93" t="n">
        <v>100</v>
      </c>
      <c r="D585" s="94" t="n">
        <v>11.1</v>
      </c>
      <c r="E585" s="94" t="n">
        <v>6.7</v>
      </c>
      <c r="F585" s="94" t="n">
        <v>-7.8</v>
      </c>
      <c r="G585" s="94" t="n">
        <v>-36.7</v>
      </c>
      <c r="H585" s="94" t="n">
        <v>-4</v>
      </c>
      <c r="I585" s="94" t="n">
        <v>-17</v>
      </c>
      <c r="J585" s="94" t="n">
        <v>-43</v>
      </c>
      <c r="K585" s="95" t="inlineStr">
        <is>
          <t>2516 FAR INTL</t>
        </is>
      </c>
    </row>
    <row r="586">
      <c r="A586" s="16" t="inlineStr">
        <is>
          <t>Yang Yingwu</t>
        </is>
      </c>
      <c r="B586" s="88" t="n">
        <v>1</v>
      </c>
      <c r="C586" s="93" t="n">
        <v>100</v>
      </c>
      <c r="D586" s="94" t="n">
        <v>11.1</v>
      </c>
      <c r="E586" s="94" t="n">
        <v>6.7</v>
      </c>
      <c r="F586" s="94" t="n">
        <v>-7.8</v>
      </c>
      <c r="G586" s="94" t="n">
        <v>-36.7</v>
      </c>
      <c r="H586" s="94" t="n">
        <v>-4</v>
      </c>
      <c r="I586" s="94" t="n">
        <v>-17</v>
      </c>
      <c r="J586" s="94" t="n">
        <v>-43</v>
      </c>
      <c r="K586" s="95" t="inlineStr">
        <is>
          <t>2516 FAR INTL</t>
        </is>
      </c>
    </row>
    <row r="587">
      <c r="A587" s="16" t="inlineStr">
        <is>
          <t>Vital Message</t>
        </is>
      </c>
      <c r="B587" s="88" t="n">
        <v>1</v>
      </c>
      <c r="C587" s="93" t="n">
        <v>100</v>
      </c>
      <c r="D587" s="94" t="n">
        <v>10.4</v>
      </c>
      <c r="E587" s="94" t="n">
        <v>-24.3</v>
      </c>
      <c r="F587" s="94" t="n">
        <v>-45.1</v>
      </c>
      <c r="G587" s="94" t="n">
        <v>-54.9</v>
      </c>
      <c r="H587" s="94" t="n">
        <v>-31.4</v>
      </c>
      <c r="I587" s="94" t="n">
        <v>-50.2</v>
      </c>
      <c r="J587" s="94" t="n">
        <v>-59.2</v>
      </c>
      <c r="K587" s="95" t="inlineStr">
        <is>
          <t>2593 HERBS GROUP</t>
        </is>
      </c>
    </row>
    <row r="588">
      <c r="A588" s="16" t="inlineStr">
        <is>
          <t>Chu Kin Lan</t>
        </is>
      </c>
      <c r="B588" s="88" t="n">
        <v>1</v>
      </c>
      <c r="C588" s="93" t="n">
        <v>100</v>
      </c>
      <c r="D588" s="94" t="n">
        <v>10</v>
      </c>
      <c r="E588" s="94" t="n">
        <v>2</v>
      </c>
      <c r="F588" s="94" t="n">
        <v>8</v>
      </c>
      <c r="G588" s="94" t="n">
        <v>0</v>
      </c>
      <c r="H588" s="94" t="n">
        <v>-7.3</v>
      </c>
      <c r="I588" s="94" t="n">
        <v>-1.8</v>
      </c>
      <c r="J588" s="94" t="n">
        <v>-9.1</v>
      </c>
      <c r="K588" s="95" t="inlineStr">
        <is>
          <t>1489 GC CONSTRUCTION</t>
        </is>
      </c>
    </row>
    <row r="589">
      <c r="A589" s="16" t="inlineStr">
        <is>
          <t>Infinitus Wealth Limited</t>
        </is>
      </c>
      <c r="B589" s="88" t="n">
        <v>1</v>
      </c>
      <c r="C589" s="93" t="n">
        <v>100</v>
      </c>
      <c r="D589" s="94" t="n">
        <v>10</v>
      </c>
      <c r="E589" s="94" t="n">
        <v>2</v>
      </c>
      <c r="F589" s="94" t="n">
        <v>8</v>
      </c>
      <c r="G589" s="94" t="n">
        <v>0</v>
      </c>
      <c r="H589" s="94" t="n">
        <v>-7.3</v>
      </c>
      <c r="I589" s="94" t="n">
        <v>-1.8</v>
      </c>
      <c r="J589" s="94" t="n">
        <v>-9.1</v>
      </c>
      <c r="K589" s="95" t="inlineStr">
        <is>
          <t>1489 GC CONSTRUCTION</t>
        </is>
      </c>
    </row>
    <row r="590">
      <c r="A590" s="16" t="inlineStr">
        <is>
          <t>Grab Inc</t>
        </is>
      </c>
      <c r="B590" s="88" t="n">
        <v>1</v>
      </c>
      <c r="C590" s="93" t="n">
        <v>100</v>
      </c>
      <c r="D590" s="94" t="n">
        <v>10</v>
      </c>
      <c r="E590" s="94" t="n">
        <v>8.1</v>
      </c>
      <c r="F590" s="94" t="n">
        <v>-20.5</v>
      </c>
      <c r="G590" s="94" t="n">
        <v>-20.4</v>
      </c>
      <c r="H590" s="94" t="n">
        <v>-1.7</v>
      </c>
      <c r="I590" s="94" t="n">
        <v>-27.7</v>
      </c>
      <c r="J590" s="94" t="n">
        <v>-27.6</v>
      </c>
      <c r="K590" s="95" t="inlineStr">
        <is>
          <t>2525 HESAI-W</t>
        </is>
      </c>
    </row>
    <row r="591">
      <c r="A591" s="16" t="inlineStr">
        <is>
          <t>Commando Global Fund</t>
        </is>
      </c>
      <c r="B591" s="88" t="n">
        <v>1</v>
      </c>
      <c r="C591" s="93" t="n">
        <v>100</v>
      </c>
      <c r="D591" s="94" t="n">
        <v>10</v>
      </c>
      <c r="E591" s="94" t="n">
        <v>8.1</v>
      </c>
      <c r="F591" s="94" t="n">
        <v>-20.5</v>
      </c>
      <c r="G591" s="94" t="n">
        <v>-20.4</v>
      </c>
      <c r="H591" s="94" t="n">
        <v>-1.7</v>
      </c>
      <c r="I591" s="94" t="n">
        <v>-27.7</v>
      </c>
      <c r="J591" s="94" t="n">
        <v>-27.6</v>
      </c>
      <c r="K591" s="95" t="inlineStr">
        <is>
          <t>2525 HESAI-W</t>
        </is>
      </c>
    </row>
    <row r="592">
      <c r="A592" s="16" t="inlineStr">
        <is>
          <t>Regal Partners Holdings Pty Limited</t>
        </is>
      </c>
      <c r="B592" s="88" t="n">
        <v>1</v>
      </c>
      <c r="C592" s="93" t="n">
        <v>100</v>
      </c>
      <c r="D592" s="94" t="n">
        <v>10</v>
      </c>
      <c r="E592" s="94" t="n">
        <v>2.6</v>
      </c>
      <c r="F592" s="94" t="n">
        <v>-5.6</v>
      </c>
      <c r="G592" s="94" t="n"/>
      <c r="H592" s="94" t="n">
        <v>-6.7</v>
      </c>
      <c r="I592" s="94" t="n">
        <v>-14.2</v>
      </c>
      <c r="J592" s="94" t="n"/>
      <c r="K592" s="95" t="inlineStr">
        <is>
          <t>7687 EACON</t>
        </is>
      </c>
    </row>
    <row r="593">
      <c r="A593" s="16" t="inlineStr">
        <is>
          <t>ZIJINNING Limited Partnership</t>
        </is>
      </c>
      <c r="B593" s="88" t="n">
        <v>1</v>
      </c>
      <c r="C593" s="93" t="n">
        <v>100</v>
      </c>
      <c r="D593" s="94" t="n">
        <v>10</v>
      </c>
      <c r="E593" s="94" t="n">
        <v>2.6</v>
      </c>
      <c r="F593" s="94" t="n">
        <v>-5.6</v>
      </c>
      <c r="G593" s="94" t="n"/>
      <c r="H593" s="94" t="n">
        <v>-6.7</v>
      </c>
      <c r="I593" s="94" t="n">
        <v>-14.2</v>
      </c>
      <c r="J593" s="94" t="n"/>
      <c r="K593" s="95" t="inlineStr">
        <is>
          <t>7687 EACON</t>
        </is>
      </c>
    </row>
    <row r="594">
      <c r="A594" s="16" t="inlineStr">
        <is>
          <t>Ontario Teachers Pension Plan Board</t>
        </is>
      </c>
      <c r="B594" s="88" t="n">
        <v>1</v>
      </c>
      <c r="C594" s="93" t="n">
        <v>100</v>
      </c>
      <c r="D594" s="94" t="n">
        <v>9.9</v>
      </c>
      <c r="E594" s="94" t="n">
        <v>25.4</v>
      </c>
      <c r="F594" s="94" t="n">
        <v>25.1</v>
      </c>
      <c r="G594" s="94" t="n">
        <v>-17.4</v>
      </c>
      <c r="H594" s="94" t="n">
        <v>14.1</v>
      </c>
      <c r="I594" s="94" t="n">
        <v>13.9</v>
      </c>
      <c r="J594" s="94" t="n">
        <v>-24.9</v>
      </c>
      <c r="K594" s="95" t="inlineStr">
        <is>
          <t>9959 LINKLOGIS–W</t>
        </is>
      </c>
    </row>
    <row r="595">
      <c r="A595" s="16" t="inlineStr">
        <is>
          <t>Sequoia Funds</t>
        </is>
      </c>
      <c r="B595" s="88" t="n">
        <v>1</v>
      </c>
      <c r="C595" s="93" t="n">
        <v>100</v>
      </c>
      <c r="D595" s="94" t="n">
        <v>9.9</v>
      </c>
      <c r="E595" s="94" t="n">
        <v>25.4</v>
      </c>
      <c r="F595" s="94" t="n">
        <v>25.1</v>
      </c>
      <c r="G595" s="94" t="n">
        <v>-17.4</v>
      </c>
      <c r="H595" s="94" t="n">
        <v>14.1</v>
      </c>
      <c r="I595" s="94" t="n">
        <v>13.9</v>
      </c>
      <c r="J595" s="94" t="n">
        <v>-24.9</v>
      </c>
      <c r="K595" s="95" t="inlineStr">
        <is>
          <t>9959 LINKLOGIS–W</t>
        </is>
      </c>
    </row>
    <row r="596">
      <c r="A596" s="16" t="inlineStr">
        <is>
          <t>Begonia No. 1 LPF</t>
        </is>
      </c>
      <c r="B596" s="88" t="n">
        <v>1</v>
      </c>
      <c r="C596" s="93" t="n">
        <v>100</v>
      </c>
      <c r="D596" s="94" t="n">
        <v>9.800000000000001</v>
      </c>
      <c r="E596" s="94" t="n">
        <v>0.4</v>
      </c>
      <c r="F596" s="94" t="n">
        <v>9.800000000000001</v>
      </c>
      <c r="G596" s="94" t="n">
        <v>165.9</v>
      </c>
      <c r="H596" s="94" t="n">
        <v>-8.6</v>
      </c>
      <c r="I596" s="94" t="n">
        <v>0</v>
      </c>
      <c r="J596" s="94" t="n">
        <v>142.1</v>
      </c>
      <c r="K596" s="95" t="inlineStr">
        <is>
          <t>2228 QUANTUMPH-P</t>
        </is>
      </c>
    </row>
    <row r="597">
      <c r="A597" s="16" t="inlineStr">
        <is>
          <t>Biocytogen Pharmaceuticals (Beijing) Co., Ltd</t>
        </is>
      </c>
      <c r="B597" s="88" t="n">
        <v>1</v>
      </c>
      <c r="C597" s="93" t="n">
        <v>100</v>
      </c>
      <c r="D597" s="94" t="n">
        <v>9.800000000000001</v>
      </c>
      <c r="E597" s="94" t="n">
        <v>0.4</v>
      </c>
      <c r="F597" s="94" t="n">
        <v>9.800000000000001</v>
      </c>
      <c r="G597" s="94" t="n">
        <v>165.9</v>
      </c>
      <c r="H597" s="94" t="n">
        <v>-8.6</v>
      </c>
      <c r="I597" s="94" t="n">
        <v>0</v>
      </c>
      <c r="J597" s="94" t="n">
        <v>142.1</v>
      </c>
      <c r="K597" s="95" t="inlineStr">
        <is>
          <t>2228 QUANTUMPH-P</t>
        </is>
      </c>
    </row>
    <row r="598">
      <c r="A598" s="16" t="inlineStr">
        <is>
          <t>Bradley Lether Pentelute</t>
        </is>
      </c>
      <c r="B598" s="88" t="n">
        <v>1</v>
      </c>
      <c r="C598" s="93" t="n">
        <v>100</v>
      </c>
      <c r="D598" s="94" t="n">
        <v>9.800000000000001</v>
      </c>
      <c r="E598" s="94" t="n">
        <v>0.4</v>
      </c>
      <c r="F598" s="94" t="n">
        <v>9.800000000000001</v>
      </c>
      <c r="G598" s="94" t="n">
        <v>165.9</v>
      </c>
      <c r="H598" s="94" t="n">
        <v>-8.6</v>
      </c>
      <c r="I598" s="94" t="n">
        <v>0</v>
      </c>
      <c r="J598" s="94" t="n">
        <v>142.1</v>
      </c>
      <c r="K598" s="95" t="inlineStr">
        <is>
          <t>2228 QUANTUMPH-P</t>
        </is>
      </c>
    </row>
    <row r="599">
      <c r="A599" s="16" t="inlineStr">
        <is>
          <t>FaaS Capital Longevity Limited</t>
        </is>
      </c>
      <c r="B599" s="88" t="n">
        <v>1</v>
      </c>
      <c r="C599" s="93" t="n">
        <v>100</v>
      </c>
      <c r="D599" s="94" t="n">
        <v>9.800000000000001</v>
      </c>
      <c r="E599" s="94" t="n">
        <v>0.4</v>
      </c>
      <c r="F599" s="94" t="n">
        <v>9.800000000000001</v>
      </c>
      <c r="G599" s="94" t="n">
        <v>165.9</v>
      </c>
      <c r="H599" s="94" t="n">
        <v>-8.6</v>
      </c>
      <c r="I599" s="94" t="n">
        <v>0</v>
      </c>
      <c r="J599" s="94" t="n">
        <v>142.1</v>
      </c>
      <c r="K599" s="95" t="inlineStr">
        <is>
          <t>2228 QUANTUMPH-P</t>
        </is>
      </c>
    </row>
    <row r="600">
      <c r="A600" s="16" t="inlineStr">
        <is>
          <t>Ginkgo Capital Global Fund SPC-Ginkgo Capital Global Fund I SP</t>
        </is>
      </c>
      <c r="B600" s="88" t="n">
        <v>1</v>
      </c>
      <c r="C600" s="93" t="n">
        <v>100</v>
      </c>
      <c r="D600" s="94" t="n">
        <v>9.800000000000001</v>
      </c>
      <c r="E600" s="94" t="n">
        <v>0.4</v>
      </c>
      <c r="F600" s="94" t="n">
        <v>9.800000000000001</v>
      </c>
      <c r="G600" s="94" t="n">
        <v>165.9</v>
      </c>
      <c r="H600" s="94" t="n">
        <v>-8.6</v>
      </c>
      <c r="I600" s="94" t="n">
        <v>0</v>
      </c>
      <c r="J600" s="94" t="n">
        <v>142.1</v>
      </c>
      <c r="K600" s="95" t="inlineStr">
        <is>
          <t>2228 QUANTUMPH-P</t>
        </is>
      </c>
    </row>
    <row r="601">
      <c r="A601" s="16" t="inlineStr">
        <is>
          <t>IntelliMed One Investment Limited</t>
        </is>
      </c>
      <c r="B601" s="88" t="n">
        <v>1</v>
      </c>
      <c r="C601" s="93" t="n">
        <v>100</v>
      </c>
      <c r="D601" s="94" t="n">
        <v>9.800000000000001</v>
      </c>
      <c r="E601" s="94" t="n">
        <v>0.4</v>
      </c>
      <c r="F601" s="94" t="n">
        <v>9.800000000000001</v>
      </c>
      <c r="G601" s="94" t="n">
        <v>165.9</v>
      </c>
      <c r="H601" s="94" t="n">
        <v>-8.6</v>
      </c>
      <c r="I601" s="94" t="n">
        <v>0</v>
      </c>
      <c r="J601" s="94" t="n">
        <v>142.1</v>
      </c>
      <c r="K601" s="95" t="inlineStr">
        <is>
          <t>2228 QUANTUMPH-P</t>
        </is>
      </c>
    </row>
    <row r="602">
      <c r="A602" s="16" t="inlineStr">
        <is>
          <t>Mammoth Medical Solutions</t>
        </is>
      </c>
      <c r="B602" s="88" t="n">
        <v>1</v>
      </c>
      <c r="C602" s="93" t="n">
        <v>100</v>
      </c>
      <c r="D602" s="94" t="n">
        <v>9.800000000000001</v>
      </c>
      <c r="E602" s="94" t="n">
        <v>0.4</v>
      </c>
      <c r="F602" s="94" t="n">
        <v>9.800000000000001</v>
      </c>
      <c r="G602" s="94" t="n">
        <v>165.9</v>
      </c>
      <c r="H602" s="94" t="n">
        <v>-8.6</v>
      </c>
      <c r="I602" s="94" t="n">
        <v>0</v>
      </c>
      <c r="J602" s="94" t="n">
        <v>142.1</v>
      </c>
      <c r="K602" s="95" t="inlineStr">
        <is>
          <t>2228 QUANTUMPH-P</t>
        </is>
      </c>
    </row>
    <row r="603">
      <c r="A603" s="16" t="inlineStr">
        <is>
          <t>Successful Lotus Limited</t>
        </is>
      </c>
      <c r="B603" s="88" t="n">
        <v>1</v>
      </c>
      <c r="C603" s="93" t="n">
        <v>100</v>
      </c>
      <c r="D603" s="94" t="n">
        <v>9.800000000000001</v>
      </c>
      <c r="E603" s="94" t="n">
        <v>0.4</v>
      </c>
      <c r="F603" s="94" t="n">
        <v>9.800000000000001</v>
      </c>
      <c r="G603" s="94" t="n">
        <v>165.9</v>
      </c>
      <c r="H603" s="94" t="n">
        <v>-8.6</v>
      </c>
      <c r="I603" s="94" t="n">
        <v>0</v>
      </c>
      <c r="J603" s="94" t="n">
        <v>142.1</v>
      </c>
      <c r="K603" s="95" t="inlineStr">
        <is>
          <t>2228 QUANTUMPH-P</t>
        </is>
      </c>
    </row>
    <row r="604">
      <c r="A604" s="16" t="inlineStr">
        <is>
          <t>SynerSuccess Capital Ltd</t>
        </is>
      </c>
      <c r="B604" s="88" t="n">
        <v>1</v>
      </c>
      <c r="C604" s="93" t="n">
        <v>100</v>
      </c>
      <c r="D604" s="94" t="n">
        <v>9.300000000000001</v>
      </c>
      <c r="E604" s="94" t="n">
        <v>6.7</v>
      </c>
      <c r="F604" s="94" t="n">
        <v>3.6</v>
      </c>
      <c r="G604" s="94" t="n">
        <v>-18.3</v>
      </c>
      <c r="H604" s="94" t="n">
        <v>-2.4</v>
      </c>
      <c r="I604" s="94" t="n">
        <v>-5.2</v>
      </c>
      <c r="J604" s="94" t="n">
        <v>-25.2</v>
      </c>
      <c r="K604" s="95" t="inlineStr">
        <is>
          <t>2657 FOREST CABIN</t>
        </is>
      </c>
    </row>
    <row r="605">
      <c r="A605" s="16" t="inlineStr">
        <is>
          <t>SS Capital</t>
        </is>
      </c>
      <c r="B605" s="88" t="n">
        <v>1</v>
      </c>
      <c r="C605" s="93" t="n">
        <v>100</v>
      </c>
      <c r="D605" s="94" t="n">
        <v>9.300000000000001</v>
      </c>
      <c r="E605" s="94" t="n">
        <v>6.7</v>
      </c>
      <c r="F605" s="94" t="n">
        <v>3.6</v>
      </c>
      <c r="G605" s="94" t="n">
        <v>-18.3</v>
      </c>
      <c r="H605" s="94" t="n">
        <v>-2.4</v>
      </c>
      <c r="I605" s="94" t="n">
        <v>-5.2</v>
      </c>
      <c r="J605" s="94" t="n">
        <v>-25.2</v>
      </c>
      <c r="K605" s="95" t="inlineStr">
        <is>
          <t>2657 FOREST CABIN</t>
        </is>
      </c>
    </row>
    <row r="606">
      <c r="A606" s="16" t="inlineStr">
        <is>
          <t>Youngor Fashion –</t>
        </is>
      </c>
      <c r="B606" s="88" t="n">
        <v>1</v>
      </c>
      <c r="C606" s="93" t="n">
        <v>100</v>
      </c>
      <c r="D606" s="94" t="n">
        <v>9.300000000000001</v>
      </c>
      <c r="E606" s="94" t="n">
        <v>6.7</v>
      </c>
      <c r="F606" s="94" t="n">
        <v>3.6</v>
      </c>
      <c r="G606" s="94" t="n">
        <v>-18.3</v>
      </c>
      <c r="H606" s="94" t="n">
        <v>-2.4</v>
      </c>
      <c r="I606" s="94" t="n">
        <v>-5.2</v>
      </c>
      <c r="J606" s="94" t="n">
        <v>-25.2</v>
      </c>
      <c r="K606" s="95" t="inlineStr">
        <is>
          <t>2657 FOREST CABIN</t>
        </is>
      </c>
    </row>
    <row r="607">
      <c r="A607" s="16" t="inlineStr">
        <is>
          <t>Toutoushidao –</t>
        </is>
      </c>
      <c r="B607" s="88" t="n">
        <v>1</v>
      </c>
      <c r="C607" s="93" t="n">
        <v>100</v>
      </c>
      <c r="D607" s="94" t="n">
        <v>9.300000000000001</v>
      </c>
      <c r="E607" s="94" t="n">
        <v>6.7</v>
      </c>
      <c r="F607" s="94" t="n">
        <v>3.6</v>
      </c>
      <c r="G607" s="94" t="n">
        <v>-18.3</v>
      </c>
      <c r="H607" s="94" t="n">
        <v>-2.4</v>
      </c>
      <c r="I607" s="94" t="n">
        <v>-5.2</v>
      </c>
      <c r="J607" s="94" t="n">
        <v>-25.2</v>
      </c>
      <c r="K607" s="95" t="inlineStr">
        <is>
          <t>2657 FOREST CABIN</t>
        </is>
      </c>
    </row>
    <row r="608">
      <c r="A608" s="16" t="inlineStr">
        <is>
          <t>Olympic Country</t>
        </is>
      </c>
      <c r="B608" s="88" t="n">
        <v>1</v>
      </c>
      <c r="C608" s="93" t="n">
        <v>100</v>
      </c>
      <c r="D608" s="94" t="n">
        <v>9.1</v>
      </c>
      <c r="E608" s="94" t="n">
        <v>6.4</v>
      </c>
      <c r="F608" s="94" t="n">
        <v>16.1</v>
      </c>
      <c r="G608" s="94" t="n">
        <v>76.8</v>
      </c>
      <c r="H608" s="94" t="n">
        <v>-2.5</v>
      </c>
      <c r="I608" s="94" t="n">
        <v>6.3</v>
      </c>
      <c r="J608" s="94" t="n">
        <v>62</v>
      </c>
      <c r="K608" s="95" t="inlineStr">
        <is>
          <t>6613 LENS</t>
        </is>
      </c>
    </row>
    <row r="609">
      <c r="A609" s="16" t="inlineStr">
        <is>
          <t>CMB International Capital Limited</t>
        </is>
      </c>
      <c r="B609" s="88" t="n">
        <v>1</v>
      </c>
      <c r="C609" s="93" t="n">
        <v>100</v>
      </c>
      <c r="D609" s="94" t="n">
        <v>8.4</v>
      </c>
      <c r="E609" s="94" t="n">
        <v>21.7</v>
      </c>
      <c r="F609" s="94" t="n">
        <v>14.2</v>
      </c>
      <c r="G609" s="94" t="n">
        <v>156.6</v>
      </c>
      <c r="H609" s="94" t="n">
        <v>12.2</v>
      </c>
      <c r="I609" s="94" t="n">
        <v>5.4</v>
      </c>
      <c r="J609" s="94" t="n">
        <v>136.6</v>
      </c>
      <c r="K609" s="95" t="inlineStr">
        <is>
          <t>9903 ILUVATAR COREX</t>
        </is>
      </c>
    </row>
    <row r="610">
      <c r="A610" s="16" t="inlineStr">
        <is>
          <t>XN Mountain International Limited</t>
        </is>
      </c>
      <c r="B610" s="88" t="n">
        <v>1</v>
      </c>
      <c r="C610" s="93" t="n">
        <v>100</v>
      </c>
      <c r="D610" s="94" t="n">
        <v>8.4</v>
      </c>
      <c r="E610" s="94" t="n">
        <v>21.7</v>
      </c>
      <c r="F610" s="94" t="n">
        <v>14.2</v>
      </c>
      <c r="G610" s="94" t="n">
        <v>156.6</v>
      </c>
      <c r="H610" s="94" t="n">
        <v>12.2</v>
      </c>
      <c r="I610" s="94" t="n">
        <v>5.4</v>
      </c>
      <c r="J610" s="94" t="n">
        <v>136.6</v>
      </c>
      <c r="K610" s="95" t="inlineStr">
        <is>
          <t>9903 ILUVATAR COREX</t>
        </is>
      </c>
    </row>
    <row r="611">
      <c r="A611" s="16" t="inlineStr">
        <is>
          <t>Engine International Technology Co., Limited</t>
        </is>
      </c>
      <c r="B611" s="88" t="n">
        <v>1</v>
      </c>
      <c r="C611" s="93" t="n">
        <v>100</v>
      </c>
      <c r="D611" s="94" t="n">
        <v>8.4</v>
      </c>
      <c r="E611" s="94" t="n">
        <v>21.7</v>
      </c>
      <c r="F611" s="94" t="n">
        <v>14.2</v>
      </c>
      <c r="G611" s="94" t="n">
        <v>156.6</v>
      </c>
      <c r="H611" s="94" t="n">
        <v>12.2</v>
      </c>
      <c r="I611" s="94" t="n">
        <v>5.4</v>
      </c>
      <c r="J611" s="94" t="n">
        <v>136.6</v>
      </c>
      <c r="K611" s="95" t="inlineStr">
        <is>
          <t>9903 ILUVATAR COREX</t>
        </is>
      </c>
    </row>
    <row r="612">
      <c r="A612" s="16" t="inlineStr">
        <is>
          <t>DeepRoot Alpha Ltd</t>
        </is>
      </c>
      <c r="B612" s="88" t="n">
        <v>1</v>
      </c>
      <c r="C612" s="93" t="n">
        <v>100</v>
      </c>
      <c r="D612" s="94" t="n">
        <v>8.4</v>
      </c>
      <c r="E612" s="94" t="n">
        <v>21.7</v>
      </c>
      <c r="F612" s="94" t="n">
        <v>14.2</v>
      </c>
      <c r="G612" s="94" t="n">
        <v>156.6</v>
      </c>
      <c r="H612" s="94" t="n">
        <v>12.2</v>
      </c>
      <c r="I612" s="94" t="n">
        <v>5.4</v>
      </c>
      <c r="J612" s="94" t="n">
        <v>136.6</v>
      </c>
      <c r="K612" s="95" t="inlineStr">
        <is>
          <t>9903 ILUVATAR COREX</t>
        </is>
      </c>
    </row>
    <row r="613">
      <c r="A613" s="16" t="inlineStr">
        <is>
          <t>CFIG Holdings Limited</t>
        </is>
      </c>
      <c r="B613" s="88" t="n">
        <v>1</v>
      </c>
      <c r="C613" s="93" t="n">
        <v>100</v>
      </c>
      <c r="D613" s="94" t="n">
        <v>8.4</v>
      </c>
      <c r="E613" s="94" t="n">
        <v>21.7</v>
      </c>
      <c r="F613" s="94" t="n">
        <v>14.2</v>
      </c>
      <c r="G613" s="94" t="n">
        <v>156.6</v>
      </c>
      <c r="H613" s="94" t="n">
        <v>12.2</v>
      </c>
      <c r="I613" s="94" t="n">
        <v>5.4</v>
      </c>
      <c r="J613" s="94" t="n">
        <v>136.6</v>
      </c>
      <c r="K613" s="95" t="inlineStr">
        <is>
          <t>9903 ILUVATAR COREX</t>
        </is>
      </c>
    </row>
    <row r="614">
      <c r="A614" s="16" t="inlineStr">
        <is>
          <t>Richfirm (Hong Kong) Development Limited</t>
        </is>
      </c>
      <c r="B614" s="88" t="n">
        <v>1</v>
      </c>
      <c r="C614" s="93" t="n">
        <v>100</v>
      </c>
      <c r="D614" s="94" t="n">
        <v>8.199999999999999</v>
      </c>
      <c r="E614" s="94" t="n">
        <v>5.4</v>
      </c>
      <c r="F614" s="94" t="n">
        <v>16.2</v>
      </c>
      <c r="G614" s="94" t="n">
        <v>-9.1</v>
      </c>
      <c r="H614" s="94" t="n">
        <v>-2.6</v>
      </c>
      <c r="I614" s="94" t="n">
        <v>7.4</v>
      </c>
      <c r="J614" s="94" t="n">
        <v>-16</v>
      </c>
      <c r="K614" s="95" t="inlineStr">
        <is>
          <t>1021 HUAYAN ROBOTICS</t>
        </is>
      </c>
    </row>
    <row r="615">
      <c r="A615" s="16" t="inlineStr">
        <is>
          <t>Samson Group Limited</t>
        </is>
      </c>
      <c r="B615" s="88" t="n">
        <v>1</v>
      </c>
      <c r="C615" s="93" t="n">
        <v>100</v>
      </c>
      <c r="D615" s="94" t="n">
        <v>8.199999999999999</v>
      </c>
      <c r="E615" s="94" t="n">
        <v>5.4</v>
      </c>
      <c r="F615" s="94" t="n">
        <v>16.2</v>
      </c>
      <c r="G615" s="94" t="n">
        <v>-9.1</v>
      </c>
      <c r="H615" s="94" t="n">
        <v>-2.6</v>
      </c>
      <c r="I615" s="94" t="n">
        <v>7.4</v>
      </c>
      <c r="J615" s="94" t="n">
        <v>-16</v>
      </c>
      <c r="K615" s="95" t="inlineStr">
        <is>
          <t>1021 HUAYAN ROBOTICS</t>
        </is>
      </c>
    </row>
    <row r="616">
      <c r="A616" s="16" t="inlineStr">
        <is>
          <t>Shrewd Pioneer Limited</t>
        </is>
      </c>
      <c r="B616" s="88" t="n">
        <v>1</v>
      </c>
      <c r="C616" s="93" t="n">
        <v>100</v>
      </c>
      <c r="D616" s="94" t="n">
        <v>8.199999999999999</v>
      </c>
      <c r="E616" s="94" t="n">
        <v>5.4</v>
      </c>
      <c r="F616" s="94" t="n">
        <v>16.2</v>
      </c>
      <c r="G616" s="94" t="n">
        <v>-9.1</v>
      </c>
      <c r="H616" s="94" t="n">
        <v>-2.6</v>
      </c>
      <c r="I616" s="94" t="n">
        <v>7.4</v>
      </c>
      <c r="J616" s="94" t="n">
        <v>-16</v>
      </c>
      <c r="K616" s="95" t="inlineStr">
        <is>
          <t>1021 HUAYAN ROBOTICS</t>
        </is>
      </c>
    </row>
    <row r="617">
      <c r="A617" s="16" t="inlineStr">
        <is>
          <t>He Sheng Overseas Holdings Limited</t>
        </is>
      </c>
      <c r="B617" s="88" t="n">
        <v>1</v>
      </c>
      <c r="C617" s="93" t="n">
        <v>100</v>
      </c>
      <c r="D617" s="94" t="n">
        <v>8.1</v>
      </c>
      <c r="E617" s="94" t="n">
        <v>11.9</v>
      </c>
      <c r="F617" s="94" t="n">
        <v>8.9</v>
      </c>
      <c r="G617" s="94" t="n">
        <v>14.1</v>
      </c>
      <c r="H617" s="94" t="n">
        <v>3.5</v>
      </c>
      <c r="I617" s="94" t="n">
        <v>0.8</v>
      </c>
      <c r="J617" s="94" t="n">
        <v>5.5</v>
      </c>
      <c r="K617" s="95" t="inlineStr">
        <is>
          <t>0606 SCE CM</t>
        </is>
      </c>
    </row>
    <row r="618">
      <c r="A618" s="16" t="inlineStr">
        <is>
          <t>Lam Yuen Ying</t>
        </is>
      </c>
      <c r="B618" s="88" t="n">
        <v>1</v>
      </c>
      <c r="C618" s="93" t="n">
        <v>100</v>
      </c>
      <c r="D618" s="94" t="n">
        <v>8.1</v>
      </c>
      <c r="E618" s="94" t="n">
        <v>11.9</v>
      </c>
      <c r="F618" s="94" t="n">
        <v>8.9</v>
      </c>
      <c r="G618" s="94" t="n">
        <v>14.1</v>
      </c>
      <c r="H618" s="94" t="n">
        <v>3.5</v>
      </c>
      <c r="I618" s="94" t="n">
        <v>0.8</v>
      </c>
      <c r="J618" s="94" t="n">
        <v>5.5</v>
      </c>
      <c r="K618" s="95" t="inlineStr">
        <is>
          <t>0606 SCE CM</t>
        </is>
      </c>
    </row>
    <row r="619">
      <c r="A619" s="16" t="inlineStr">
        <is>
          <t>TX Capital Value Fund</t>
        </is>
      </c>
      <c r="B619" s="88" t="n">
        <v>1</v>
      </c>
      <c r="C619" s="93" t="n">
        <v>100</v>
      </c>
      <c r="D619" s="94" t="n">
        <v>8.1</v>
      </c>
      <c r="E619" s="94" t="n">
        <v>11.9</v>
      </c>
      <c r="F619" s="94" t="n">
        <v>8.9</v>
      </c>
      <c r="G619" s="94" t="n">
        <v>14.1</v>
      </c>
      <c r="H619" s="94" t="n">
        <v>3.5</v>
      </c>
      <c r="I619" s="94" t="n">
        <v>0.8</v>
      </c>
      <c r="J619" s="94" t="n">
        <v>5.5</v>
      </c>
      <c r="K619" s="95" t="inlineStr">
        <is>
          <t>0606 SCE CM</t>
        </is>
      </c>
    </row>
    <row r="620">
      <c r="A620" s="16" t="inlineStr">
        <is>
          <t>Splendor Achieve Limited</t>
        </is>
      </c>
      <c r="B620" s="88" t="n">
        <v>1</v>
      </c>
      <c r="C620" s="93" t="n">
        <v>100</v>
      </c>
      <c r="D620" s="94" t="n">
        <v>7.8</v>
      </c>
      <c r="E620" s="94" t="n">
        <v>29</v>
      </c>
      <c r="F620" s="94" t="n">
        <v>36.7</v>
      </c>
      <c r="G620" s="94" t="n">
        <v>39</v>
      </c>
      <c r="H620" s="94" t="n">
        <v>19.6</v>
      </c>
      <c r="I620" s="94" t="n">
        <v>26.7</v>
      </c>
      <c r="J620" s="94" t="n">
        <v>28.9</v>
      </c>
      <c r="K620" s="95" t="inlineStr">
        <is>
          <t>0300 MIDEA GROUP</t>
        </is>
      </c>
    </row>
    <row r="621">
      <c r="A621" s="16" t="inlineStr">
        <is>
          <t>Vanguard Focus Limited</t>
        </is>
      </c>
      <c r="B621" s="88" t="n">
        <v>1</v>
      </c>
      <c r="C621" s="93" t="n">
        <v>100</v>
      </c>
      <c r="D621" s="94" t="n">
        <v>7.8</v>
      </c>
      <c r="E621" s="94" t="n">
        <v>29</v>
      </c>
      <c r="F621" s="94" t="n">
        <v>36.7</v>
      </c>
      <c r="G621" s="94" t="n">
        <v>39</v>
      </c>
      <c r="H621" s="94" t="n">
        <v>19.6</v>
      </c>
      <c r="I621" s="94" t="n">
        <v>26.7</v>
      </c>
      <c r="J621" s="94" t="n">
        <v>28.9</v>
      </c>
      <c r="K621" s="95" t="inlineStr">
        <is>
          <t>0300 MIDEA GROUP</t>
        </is>
      </c>
    </row>
    <row r="622">
      <c r="A622" s="16" t="inlineStr">
        <is>
          <t>YHLO (Hong Kong) Limited</t>
        </is>
      </c>
      <c r="B622" s="88" t="n">
        <v>1</v>
      </c>
      <c r="C622" s="93" t="n">
        <v>100</v>
      </c>
      <c r="D622" s="94" t="n">
        <v>7.7</v>
      </c>
      <c r="E622" s="94" t="n">
        <v>15.3</v>
      </c>
      <c r="F622" s="94" t="n">
        <v>94.40000000000001</v>
      </c>
      <c r="G622" s="94" t="n">
        <v>129.4</v>
      </c>
      <c r="H622" s="94" t="n">
        <v>7.1</v>
      </c>
      <c r="I622" s="94" t="n">
        <v>80.5</v>
      </c>
      <c r="J622" s="94" t="n">
        <v>112.9</v>
      </c>
      <c r="K622" s="95" t="inlineStr">
        <is>
          <t>2325 YUNKANG GROUP</t>
        </is>
      </c>
    </row>
    <row r="623">
      <c r="A623" s="16" t="inlineStr">
        <is>
          <t>Cangzhou Chuangrong Equity Investment Fund Co., Ltd</t>
        </is>
      </c>
      <c r="B623" s="88" t="n">
        <v>1</v>
      </c>
      <c r="C623" s="93" t="n">
        <v>100</v>
      </c>
      <c r="D623" s="94" t="n">
        <v>7.7</v>
      </c>
      <c r="E623" s="94" t="n">
        <v>1.9</v>
      </c>
      <c r="F623" s="94" t="n">
        <v>5.2</v>
      </c>
      <c r="G623" s="94" t="n">
        <v>-50.6</v>
      </c>
      <c r="H623" s="94" t="n">
        <v>-5.3</v>
      </c>
      <c r="I623" s="94" t="n">
        <v>-2.3</v>
      </c>
      <c r="J623" s="94" t="n">
        <v>-54.1</v>
      </c>
      <c r="K623" s="95" t="inlineStr">
        <is>
          <t>2511 HIGHTIDE-B</t>
        </is>
      </c>
    </row>
    <row r="624">
      <c r="A624" s="16" t="inlineStr">
        <is>
          <t>No5XJR Limited</t>
        </is>
      </c>
      <c r="B624" s="88" t="n">
        <v>1</v>
      </c>
      <c r="C624" s="93" t="n">
        <v>100</v>
      </c>
      <c r="D624" s="94" t="n">
        <v>7.6</v>
      </c>
      <c r="E624" s="94" t="n">
        <v>-47.4</v>
      </c>
      <c r="F624" s="94" t="n">
        <v>-60</v>
      </c>
      <c r="G624" s="94" t="n">
        <v>-49.6</v>
      </c>
      <c r="H624" s="94" t="n">
        <v>-51.1</v>
      </c>
      <c r="I624" s="94" t="n">
        <v>-62.8</v>
      </c>
      <c r="J624" s="94" t="n">
        <v>-53.2</v>
      </c>
      <c r="K624" s="95" t="inlineStr">
        <is>
          <t>2898 SUNHO BIO-B</t>
        </is>
      </c>
    </row>
    <row r="625">
      <c r="A625" s="16" t="inlineStr">
        <is>
          <t>Tiny Jade</t>
        </is>
      </c>
      <c r="B625" s="88" t="n">
        <v>1</v>
      </c>
      <c r="C625" s="93" t="n">
        <v>100</v>
      </c>
      <c r="D625" s="94" t="n">
        <v>7.6</v>
      </c>
      <c r="E625" s="94" t="n">
        <v>4.2</v>
      </c>
      <c r="F625" s="94" t="n">
        <v>-29.6</v>
      </c>
      <c r="G625" s="94" t="n">
        <v>-42.2</v>
      </c>
      <c r="H625" s="94" t="n">
        <v>-3.1</v>
      </c>
      <c r="I625" s="94" t="n">
        <v>-34.6</v>
      </c>
      <c r="J625" s="94" t="n">
        <v>-46.3</v>
      </c>
      <c r="K625" s="95" t="inlineStr">
        <is>
          <t>2671 USAS BUILDING</t>
        </is>
      </c>
    </row>
    <row r="626">
      <c r="A626" s="16" t="inlineStr">
        <is>
          <t>Logic Selective</t>
        </is>
      </c>
      <c r="B626" s="88" t="n">
        <v>1</v>
      </c>
      <c r="C626" s="93" t="n">
        <v>100</v>
      </c>
      <c r="D626" s="94" t="n">
        <v>7.6</v>
      </c>
      <c r="E626" s="94" t="n">
        <v>4.2</v>
      </c>
      <c r="F626" s="94" t="n">
        <v>-29.6</v>
      </c>
      <c r="G626" s="94" t="n">
        <v>-42.2</v>
      </c>
      <c r="H626" s="94" t="n">
        <v>-3.1</v>
      </c>
      <c r="I626" s="94" t="n">
        <v>-34.6</v>
      </c>
      <c r="J626" s="94" t="n">
        <v>-46.3</v>
      </c>
      <c r="K626" s="95" t="inlineStr">
        <is>
          <t>2671 USAS BUILDING</t>
        </is>
      </c>
    </row>
    <row r="627">
      <c r="A627" s="16" t="inlineStr">
        <is>
          <t>Swift Grace</t>
        </is>
      </c>
      <c r="B627" s="88" t="n">
        <v>1</v>
      </c>
      <c r="C627" s="93" t="n">
        <v>100</v>
      </c>
      <c r="D627" s="94" t="n">
        <v>7.5</v>
      </c>
      <c r="E627" s="94" t="n">
        <v>-3.3</v>
      </c>
      <c r="F627" s="94" t="n">
        <v>13.5</v>
      </c>
      <c r="G627" s="94" t="n">
        <v>48.7</v>
      </c>
      <c r="H627" s="94" t="n">
        <v>-10.1</v>
      </c>
      <c r="I627" s="94" t="n">
        <v>5.6</v>
      </c>
      <c r="J627" s="94" t="n">
        <v>38.3</v>
      </c>
      <c r="K627" s="95" t="inlineStr">
        <is>
          <t>2585 MOKINGRAN</t>
        </is>
      </c>
    </row>
    <row r="628">
      <c r="A628" s="16" t="inlineStr">
        <is>
          <t>C-MER Eye Care Holdings Limited</t>
        </is>
      </c>
      <c r="B628" s="88" t="n">
        <v>1</v>
      </c>
      <c r="C628" s="93" t="n">
        <v>100</v>
      </c>
      <c r="D628" s="94" t="n">
        <v>7.3</v>
      </c>
      <c r="E628" s="94" t="n">
        <v>106.5</v>
      </c>
      <c r="F628" s="94" t="n">
        <v>64.2</v>
      </c>
      <c r="G628" s="94" t="n">
        <v>59</v>
      </c>
      <c r="H628" s="94" t="n">
        <v>92.5</v>
      </c>
      <c r="I628" s="94" t="n">
        <v>53</v>
      </c>
      <c r="J628" s="94" t="n">
        <v>48.2</v>
      </c>
      <c r="K628" s="95" t="inlineStr">
        <is>
          <t>0020 SENSETIME-W</t>
        </is>
      </c>
    </row>
    <row r="629">
      <c r="A629" s="16" t="inlineStr">
        <is>
          <t>Guosheng Overseas Holdings (Hong Kong) Limited</t>
        </is>
      </c>
      <c r="B629" s="88" t="n">
        <v>1</v>
      </c>
      <c r="C629" s="93" t="n">
        <v>100</v>
      </c>
      <c r="D629" s="94" t="n">
        <v>7.3</v>
      </c>
      <c r="E629" s="94" t="n">
        <v>106.5</v>
      </c>
      <c r="F629" s="94" t="n">
        <v>64.2</v>
      </c>
      <c r="G629" s="94" t="n">
        <v>59</v>
      </c>
      <c r="H629" s="94" t="n">
        <v>92.5</v>
      </c>
      <c r="I629" s="94" t="n">
        <v>53</v>
      </c>
      <c r="J629" s="94" t="n">
        <v>48.2</v>
      </c>
      <c r="K629" s="95" t="inlineStr">
        <is>
          <t>0020 SENSETIME-W</t>
        </is>
      </c>
    </row>
    <row r="630">
      <c r="A630" s="16" t="inlineStr">
        <is>
          <t>HKSTP Venture Fund</t>
        </is>
      </c>
      <c r="B630" s="88" t="n">
        <v>1</v>
      </c>
      <c r="C630" s="93" t="n">
        <v>100</v>
      </c>
      <c r="D630" s="94" t="n">
        <v>7.3</v>
      </c>
      <c r="E630" s="94" t="n">
        <v>106.5</v>
      </c>
      <c r="F630" s="94" t="n">
        <v>64.2</v>
      </c>
      <c r="G630" s="94" t="n">
        <v>59</v>
      </c>
      <c r="H630" s="94" t="n">
        <v>92.5</v>
      </c>
      <c r="I630" s="94" t="n">
        <v>53</v>
      </c>
      <c r="J630" s="94" t="n">
        <v>48.2</v>
      </c>
      <c r="K630" s="95" t="inlineStr">
        <is>
          <t>0020 SENSETIME-W</t>
        </is>
      </c>
    </row>
    <row r="631">
      <c r="A631" s="16" t="inlineStr">
        <is>
          <t>SAIC Motor HK Investment Limited</t>
        </is>
      </c>
      <c r="B631" s="88" t="n">
        <v>1</v>
      </c>
      <c r="C631" s="93" t="n">
        <v>100</v>
      </c>
      <c r="D631" s="94" t="n">
        <v>7.3</v>
      </c>
      <c r="E631" s="94" t="n">
        <v>106.5</v>
      </c>
      <c r="F631" s="94" t="n">
        <v>64.2</v>
      </c>
      <c r="G631" s="94" t="n">
        <v>59</v>
      </c>
      <c r="H631" s="94" t="n">
        <v>92.5</v>
      </c>
      <c r="I631" s="94" t="n">
        <v>53</v>
      </c>
      <c r="J631" s="94" t="n">
        <v>48.2</v>
      </c>
      <c r="K631" s="95" t="inlineStr">
        <is>
          <t>0020 SENSETIME-W</t>
        </is>
      </c>
    </row>
    <row r="632">
      <c r="A632" s="16" t="inlineStr">
        <is>
          <t>Shanghai Xuhui Capital Investment Co., Ltd</t>
        </is>
      </c>
      <c r="B632" s="88" t="n">
        <v>1</v>
      </c>
      <c r="C632" s="93" t="n">
        <v>100</v>
      </c>
      <c r="D632" s="94" t="n">
        <v>7.3</v>
      </c>
      <c r="E632" s="94" t="n">
        <v>106.5</v>
      </c>
      <c r="F632" s="94" t="n">
        <v>64.2</v>
      </c>
      <c r="G632" s="94" t="n">
        <v>59</v>
      </c>
      <c r="H632" s="94" t="n">
        <v>92.5</v>
      </c>
      <c r="I632" s="94" t="n">
        <v>53</v>
      </c>
      <c r="J632" s="94" t="n">
        <v>48.2</v>
      </c>
      <c r="K632" s="95" t="inlineStr">
        <is>
          <t>0020 SENSETIME-W</t>
        </is>
      </c>
    </row>
    <row r="633">
      <c r="A633" s="16" t="inlineStr">
        <is>
          <t>Taizhou Culture &amp; Tourism Development Group Ltd</t>
        </is>
      </c>
      <c r="B633" s="88" t="n">
        <v>1</v>
      </c>
      <c r="C633" s="93" t="n">
        <v>100</v>
      </c>
      <c r="D633" s="94" t="n">
        <v>7.3</v>
      </c>
      <c r="E633" s="94" t="n">
        <v>106.5</v>
      </c>
      <c r="F633" s="94" t="n">
        <v>64.2</v>
      </c>
      <c r="G633" s="94" t="n">
        <v>59</v>
      </c>
      <c r="H633" s="94" t="n">
        <v>92.5</v>
      </c>
      <c r="I633" s="94" t="n">
        <v>53</v>
      </c>
      <c r="J633" s="94" t="n">
        <v>48.2</v>
      </c>
      <c r="K633" s="95" t="inlineStr">
        <is>
          <t>0020 SENSETIME-W</t>
        </is>
      </c>
    </row>
    <row r="634">
      <c r="A634" s="16" t="inlineStr">
        <is>
          <t>HONG KONG BAIJIADA NEW MATERIAL LIMITED</t>
        </is>
      </c>
      <c r="B634" s="88" t="n">
        <v>1</v>
      </c>
      <c r="C634" s="93" t="n">
        <v>100</v>
      </c>
      <c r="D634" s="94" t="n">
        <v>7.1</v>
      </c>
      <c r="E634" s="94" t="n">
        <v>1.1</v>
      </c>
      <c r="F634" s="94" t="n">
        <v>0.7</v>
      </c>
      <c r="G634" s="94" t="n">
        <v>5.5</v>
      </c>
      <c r="H634" s="94" t="n">
        <v>-5.7</v>
      </c>
      <c r="I634" s="94" t="n">
        <v>-6</v>
      </c>
      <c r="J634" s="94" t="n">
        <v>-1.5</v>
      </c>
      <c r="K634" s="95" t="inlineStr">
        <is>
          <t>2411 PAGODA GP</t>
        </is>
      </c>
    </row>
    <row r="635">
      <c r="A635" s="16" t="inlineStr">
        <is>
          <t>Nantong Douson Drilling and Production Equipment Co., Ltd</t>
        </is>
      </c>
      <c r="B635" s="88" t="n">
        <v>1</v>
      </c>
      <c r="C635" s="93" t="n">
        <v>100</v>
      </c>
      <c r="D635" s="94" t="n">
        <v>7.1</v>
      </c>
      <c r="E635" s="94" t="n">
        <v>1.1</v>
      </c>
      <c r="F635" s="94" t="n">
        <v>0.7</v>
      </c>
      <c r="G635" s="94" t="n">
        <v>5.5</v>
      </c>
      <c r="H635" s="94" t="n">
        <v>-5.7</v>
      </c>
      <c r="I635" s="94" t="n">
        <v>-6</v>
      </c>
      <c r="J635" s="94" t="n">
        <v>-1.5</v>
      </c>
      <c r="K635" s="95" t="inlineStr">
        <is>
          <t>2411 PAGODA GP</t>
        </is>
      </c>
    </row>
    <row r="636">
      <c r="A636" s="16" t="inlineStr">
        <is>
          <t>Yip Wing Kui</t>
        </is>
      </c>
      <c r="B636" s="88" t="n">
        <v>1</v>
      </c>
      <c r="C636" s="93" t="n">
        <v>100</v>
      </c>
      <c r="D636" s="94" t="n">
        <v>7.1</v>
      </c>
      <c r="E636" s="94" t="n">
        <v>1.1</v>
      </c>
      <c r="F636" s="94" t="n">
        <v>0.7</v>
      </c>
      <c r="G636" s="94" t="n">
        <v>5.5</v>
      </c>
      <c r="H636" s="94" t="n">
        <v>-5.7</v>
      </c>
      <c r="I636" s="94" t="n">
        <v>-6</v>
      </c>
      <c r="J636" s="94" t="n">
        <v>-1.5</v>
      </c>
      <c r="K636" s="95" t="inlineStr">
        <is>
          <t>2411 PAGODA GP</t>
        </is>
      </c>
    </row>
    <row r="637">
      <c r="A637" s="16" t="inlineStr">
        <is>
          <t>H&amp;T Intelligent Control International Co., Limited</t>
        </is>
      </c>
      <c r="B637" s="88" t="n">
        <v>1</v>
      </c>
      <c r="C637" s="93" t="n">
        <v>100</v>
      </c>
      <c r="D637" s="94" t="n">
        <v>6.4</v>
      </c>
      <c r="E637" s="94" t="n">
        <v>2.3</v>
      </c>
      <c r="F637" s="94" t="n">
        <v>42.3</v>
      </c>
      <c r="G637" s="94" t="n">
        <v>23.2</v>
      </c>
      <c r="H637" s="94" t="n">
        <v>-3.8</v>
      </c>
      <c r="I637" s="94" t="n">
        <v>33.7</v>
      </c>
      <c r="J637" s="94" t="n">
        <v>15.8</v>
      </c>
      <c r="K637" s="95" t="inlineStr">
        <is>
          <t>2631 SICC</t>
        </is>
      </c>
    </row>
    <row r="638">
      <c r="A638" s="16" t="inlineStr">
        <is>
          <t>Mr. Lan Kun ( ᚆտ)</t>
        </is>
      </c>
      <c r="B638" s="88" t="n">
        <v>1</v>
      </c>
      <c r="C638" s="93" t="n">
        <v>100</v>
      </c>
      <c r="D638" s="94" t="n">
        <v>6.4</v>
      </c>
      <c r="E638" s="94" t="n">
        <v>2.3</v>
      </c>
      <c r="F638" s="94" t="n">
        <v>42.3</v>
      </c>
      <c r="G638" s="94" t="n">
        <v>23.2</v>
      </c>
      <c r="H638" s="94" t="n">
        <v>-3.8</v>
      </c>
      <c r="I638" s="94" t="n">
        <v>33.7</v>
      </c>
      <c r="J638" s="94" t="n">
        <v>15.8</v>
      </c>
      <c r="K638" s="95" t="inlineStr">
        <is>
          <t>2631 SICC</t>
        </is>
      </c>
    </row>
    <row r="639">
      <c r="A639" s="16" t="inlineStr">
        <is>
          <t>Mr. Tiago Braz</t>
        </is>
      </c>
      <c r="B639" s="88" t="n">
        <v>1</v>
      </c>
      <c r="C639" s="93" t="n">
        <v>100</v>
      </c>
      <c r="D639" s="94" t="n">
        <v>6.3</v>
      </c>
      <c r="E639" s="94" t="n">
        <v>-5.7</v>
      </c>
      <c r="F639" s="94" t="n">
        <v>-4.1</v>
      </c>
      <c r="G639" s="94" t="n">
        <v>-8.699999999999999</v>
      </c>
      <c r="H639" s="94" t="n">
        <v>-11.2</v>
      </c>
      <c r="I639" s="94" t="n">
        <v>-9.800000000000001</v>
      </c>
      <c r="J639" s="94" t="n">
        <v>-14.1</v>
      </c>
      <c r="K639" s="95" t="inlineStr">
        <is>
          <t>2613 CONTIOCEAN</t>
        </is>
      </c>
    </row>
    <row r="640">
      <c r="A640" s="16" t="inlineStr">
        <is>
          <t>Yorkool International Limited</t>
        </is>
      </c>
      <c r="B640" s="88" t="n">
        <v>1</v>
      </c>
      <c r="C640" s="93" t="n">
        <v>100</v>
      </c>
      <c r="D640" s="94" t="n">
        <v>6</v>
      </c>
      <c r="E640" s="94" t="n">
        <v>34</v>
      </c>
      <c r="F640" s="94" t="n">
        <v>24.2</v>
      </c>
      <c r="G640" s="94" t="n">
        <v>9.9</v>
      </c>
      <c r="H640" s="94" t="n">
        <v>26.4</v>
      </c>
      <c r="I640" s="94" t="n">
        <v>17.1</v>
      </c>
      <c r="J640" s="94" t="n">
        <v>3.7</v>
      </c>
      <c r="K640" s="95" t="inlineStr">
        <is>
          <t>2252 MEDBOT-B</t>
        </is>
      </c>
    </row>
    <row r="641">
      <c r="A641" s="16" t="inlineStr">
        <is>
          <t>CS Logistics Holdings Ltd</t>
        </is>
      </c>
      <c r="B641" s="88" t="n">
        <v>1</v>
      </c>
      <c r="C641" s="93" t="n">
        <v>100</v>
      </c>
      <c r="D641" s="94" t="n">
        <v>5.5</v>
      </c>
      <c r="E641" s="94" t="n">
        <v>-7.6</v>
      </c>
      <c r="F641" s="94" t="n">
        <v>-20.1</v>
      </c>
      <c r="G641" s="94" t="n">
        <v>-56.1</v>
      </c>
      <c r="H641" s="94" t="n">
        <v>-12.4</v>
      </c>
      <c r="I641" s="94" t="n">
        <v>-24.3</v>
      </c>
      <c r="J641" s="94" t="n">
        <v>-58.4</v>
      </c>
      <c r="K641" s="95" t="inlineStr">
        <is>
          <t>2209 YESASIA HLDGS</t>
        </is>
      </c>
    </row>
    <row r="642">
      <c r="A642" s="16" t="inlineStr">
        <is>
          <t>De Well Group Singapore Pte. Ltd</t>
        </is>
      </c>
      <c r="B642" s="88" t="n">
        <v>1</v>
      </c>
      <c r="C642" s="93" t="n">
        <v>100</v>
      </c>
      <c r="D642" s="94" t="n">
        <v>5.5</v>
      </c>
      <c r="E642" s="94" t="n">
        <v>-16.4</v>
      </c>
      <c r="F642" s="94" t="n">
        <v>-20.9</v>
      </c>
      <c r="G642" s="94" t="n">
        <v>-33.8</v>
      </c>
      <c r="H642" s="94" t="n">
        <v>-20.8</v>
      </c>
      <c r="I642" s="94" t="n">
        <v>-25</v>
      </c>
      <c r="J642" s="94" t="n">
        <v>-37.3</v>
      </c>
      <c r="K642" s="95" t="inlineStr">
        <is>
          <t>2420 ZIBUYU</t>
        </is>
      </c>
    </row>
    <row r="643">
      <c r="A643" s="16" t="inlineStr">
        <is>
          <t>Castrol Holdings International Limited</t>
        </is>
      </c>
      <c r="B643" s="88" t="n">
        <v>1</v>
      </c>
      <c r="C643" s="93" t="n">
        <v>100</v>
      </c>
      <c r="D643" s="94" t="n">
        <v>5.4</v>
      </c>
      <c r="E643" s="94" t="n">
        <v>2.5</v>
      </c>
      <c r="F643" s="94" t="n">
        <v>25.7</v>
      </c>
      <c r="G643" s="94" t="n">
        <v>7</v>
      </c>
      <c r="H643" s="94" t="n">
        <v>-2.7</v>
      </c>
      <c r="I643" s="94" t="n">
        <v>19.3</v>
      </c>
      <c r="J643" s="94" t="n">
        <v>1.5</v>
      </c>
      <c r="K643" s="95" t="inlineStr">
        <is>
          <t>9690 TUHU-W</t>
        </is>
      </c>
    </row>
    <row r="644">
      <c r="A644" s="16" t="inlineStr">
        <is>
          <t>Image Frame Investment (HK) Limited</t>
        </is>
      </c>
      <c r="B644" s="88" t="n">
        <v>1</v>
      </c>
      <c r="C644" s="93" t="n">
        <v>100</v>
      </c>
      <c r="D644" s="94" t="n">
        <v>5.4</v>
      </c>
      <c r="E644" s="94" t="n">
        <v>2.5</v>
      </c>
      <c r="F644" s="94" t="n">
        <v>25.7</v>
      </c>
      <c r="G644" s="94" t="n">
        <v>7</v>
      </c>
      <c r="H644" s="94" t="n">
        <v>-2.7</v>
      </c>
      <c r="I644" s="94" t="n">
        <v>19.3</v>
      </c>
      <c r="J644" s="94" t="n">
        <v>1.5</v>
      </c>
      <c r="K644" s="95" t="inlineStr">
        <is>
          <t>9690 TUHU-W</t>
        </is>
      </c>
    </row>
    <row r="645">
      <c r="A645" s="16" t="inlineStr">
        <is>
          <t>Shanghai Zizhu High-tech Zone (Group) Co., Ltd</t>
        </is>
      </c>
      <c r="B645" s="88" t="n">
        <v>1</v>
      </c>
      <c r="C645" s="93" t="n">
        <v>100</v>
      </c>
      <c r="D645" s="94" t="n">
        <v>5.4</v>
      </c>
      <c r="E645" s="94" t="n">
        <v>2.5</v>
      </c>
      <c r="F645" s="94" t="n">
        <v>25.7</v>
      </c>
      <c r="G645" s="94" t="n">
        <v>7</v>
      </c>
      <c r="H645" s="94" t="n">
        <v>-2.7</v>
      </c>
      <c r="I645" s="94" t="n">
        <v>19.3</v>
      </c>
      <c r="J645" s="94" t="n">
        <v>1.5</v>
      </c>
      <c r="K645" s="95" t="inlineStr">
        <is>
          <t>9690 TUHU-W</t>
        </is>
      </c>
    </row>
    <row r="646">
      <c r="A646" s="16" t="inlineStr">
        <is>
          <t>Accelerator VI Ltd</t>
        </is>
      </c>
      <c r="B646" s="88" t="n">
        <v>1</v>
      </c>
      <c r="C646" s="93" t="n">
        <v>100</v>
      </c>
      <c r="D646" s="94" t="n">
        <v>5.4</v>
      </c>
      <c r="E646" s="94" t="n">
        <v>12.6</v>
      </c>
      <c r="F646" s="94" t="n">
        <v>9.9</v>
      </c>
      <c r="G646" s="94" t="n">
        <v>92.5</v>
      </c>
      <c r="H646" s="94" t="n">
        <v>6.9</v>
      </c>
      <c r="I646" s="94" t="n">
        <v>4.3</v>
      </c>
      <c r="J646" s="94" t="n">
        <v>82.7</v>
      </c>
      <c r="K646" s="95" t="inlineStr">
        <is>
          <t>2590 GEEKPLUS-W</t>
        </is>
      </c>
    </row>
    <row r="647">
      <c r="A647" s="16" t="inlineStr">
        <is>
          <t>Primus Cabibbo Limited</t>
        </is>
      </c>
      <c r="B647" s="88" t="n">
        <v>1</v>
      </c>
      <c r="C647" s="93" t="n">
        <v>100</v>
      </c>
      <c r="D647" s="94" t="n">
        <v>5.4</v>
      </c>
      <c r="E647" s="94" t="n">
        <v>12.6</v>
      </c>
      <c r="F647" s="94" t="n">
        <v>9.9</v>
      </c>
      <c r="G647" s="94" t="n">
        <v>92.5</v>
      </c>
      <c r="H647" s="94" t="n">
        <v>6.9</v>
      </c>
      <c r="I647" s="94" t="n">
        <v>4.3</v>
      </c>
      <c r="J647" s="94" t="n">
        <v>82.7</v>
      </c>
      <c r="K647" s="95" t="inlineStr">
        <is>
          <t>2590 GEEKPLUS-W</t>
        </is>
      </c>
    </row>
    <row r="648">
      <c r="A648" s="16" t="inlineStr">
        <is>
          <t>NCC China A-Share Master Fund</t>
        </is>
      </c>
      <c r="B648" s="88" t="n">
        <v>1</v>
      </c>
      <c r="C648" s="93" t="n">
        <v>100</v>
      </c>
      <c r="D648" s="94" t="n">
        <v>5.1</v>
      </c>
      <c r="E648" s="94" t="n">
        <v>1.1</v>
      </c>
      <c r="F648" s="94" t="n">
        <v>-17.3</v>
      </c>
      <c r="G648" s="94" t="n">
        <v>-38.1</v>
      </c>
      <c r="H648" s="94" t="n">
        <v>-3.7</v>
      </c>
      <c r="I648" s="94" t="n">
        <v>-21.3</v>
      </c>
      <c r="J648" s="94" t="n">
        <v>-41.1</v>
      </c>
      <c r="K648" s="95" t="inlineStr">
        <is>
          <t>2279 YONGHE MEDICAL</t>
        </is>
      </c>
    </row>
    <row r="649">
      <c r="A649" s="16" t="inlineStr">
        <is>
          <t>Xunyi Limited</t>
        </is>
      </c>
      <c r="B649" s="88" t="n">
        <v>1</v>
      </c>
      <c r="C649" s="93" t="n">
        <v>100</v>
      </c>
      <c r="D649" s="94" t="n">
        <v>5.1</v>
      </c>
      <c r="E649" s="94" t="n">
        <v>2.2</v>
      </c>
      <c r="F649" s="94" t="n">
        <v>5.4</v>
      </c>
      <c r="G649" s="94" t="n">
        <v>60.8</v>
      </c>
      <c r="H649" s="94" t="n">
        <v>-2.8</v>
      </c>
      <c r="I649" s="94" t="n">
        <v>0.3</v>
      </c>
      <c r="J649" s="94" t="n">
        <v>53</v>
      </c>
      <c r="K649" s="95" t="inlineStr">
        <is>
          <t>2506 XUNFEIHEALTH</t>
        </is>
      </c>
    </row>
    <row r="650">
      <c r="A650" s="16" t="inlineStr">
        <is>
          <t>ClinChoice Medical Development Limited</t>
        </is>
      </c>
      <c r="B650" s="88" t="n">
        <v>1</v>
      </c>
      <c r="C650" s="93" t="n">
        <v>100</v>
      </c>
      <c r="D650" s="94" t="n">
        <v>5</v>
      </c>
      <c r="E650" s="94" t="n">
        <v>34.4</v>
      </c>
      <c r="F650" s="94" t="n">
        <v>38.2</v>
      </c>
      <c r="G650" s="94" t="n">
        <v>53</v>
      </c>
      <c r="H650" s="94" t="n">
        <v>28.1</v>
      </c>
      <c r="I650" s="94" t="n">
        <v>31.6</v>
      </c>
      <c r="J650" s="94" t="n">
        <v>45.8</v>
      </c>
      <c r="K650" s="95" t="inlineStr">
        <is>
          <t>1541 IMMUNEONCO-B</t>
        </is>
      </c>
    </row>
    <row r="651">
      <c r="A651" s="16" t="inlineStr">
        <is>
          <t>Hong Tai International III LPF</t>
        </is>
      </c>
      <c r="B651" s="88" t="n">
        <v>1</v>
      </c>
      <c r="C651" s="93" t="n">
        <v>100</v>
      </c>
      <c r="D651" s="94" t="n">
        <v>5</v>
      </c>
      <c r="E651" s="94" t="n">
        <v>-19.4</v>
      </c>
      <c r="F651" s="94" t="n">
        <v>-17.1</v>
      </c>
      <c r="G651" s="94" t="n">
        <v>-2.7</v>
      </c>
      <c r="H651" s="94" t="n">
        <v>-23.3</v>
      </c>
      <c r="I651" s="94" t="n">
        <v>-21.1</v>
      </c>
      <c r="J651" s="94" t="n">
        <v>-7.3</v>
      </c>
      <c r="K651" s="95" t="inlineStr">
        <is>
          <t>1471 ZHONGMIAO</t>
        </is>
      </c>
    </row>
    <row r="652">
      <c r="A652" s="16" t="inlineStr">
        <is>
          <t>Golden Feather Corporation</t>
        </is>
      </c>
      <c r="B652" s="88" t="n">
        <v>1</v>
      </c>
      <c r="C652" s="93" t="n">
        <v>100</v>
      </c>
      <c r="D652" s="94" t="n">
        <v>4.9</v>
      </c>
      <c r="E652" s="94" t="n">
        <v>0</v>
      </c>
      <c r="F652" s="94" t="n">
        <v>-8.5</v>
      </c>
      <c r="G652" s="94" t="n">
        <v>3</v>
      </c>
      <c r="H652" s="94" t="n">
        <v>-4.7</v>
      </c>
      <c r="I652" s="94" t="n">
        <v>-12.8</v>
      </c>
      <c r="J652" s="94" t="n">
        <v>-1.8</v>
      </c>
      <c r="K652" s="95" t="inlineStr">
        <is>
          <t>9878 HUITONGDA NET</t>
        </is>
      </c>
    </row>
    <row r="653">
      <c r="A653" s="16" t="inlineStr">
        <is>
          <t>Skyworth Overseas Investment Holdings Limited</t>
        </is>
      </c>
      <c r="B653" s="88" t="n">
        <v>1</v>
      </c>
      <c r="C653" s="93" t="n">
        <v>100</v>
      </c>
      <c r="D653" s="94" t="n">
        <v>4.9</v>
      </c>
      <c r="E653" s="94" t="n">
        <v>0</v>
      </c>
      <c r="F653" s="94" t="n">
        <v>-8.5</v>
      </c>
      <c r="G653" s="94" t="n">
        <v>3</v>
      </c>
      <c r="H653" s="94" t="n">
        <v>-4.7</v>
      </c>
      <c r="I653" s="94" t="n">
        <v>-12.8</v>
      </c>
      <c r="J653" s="94" t="n">
        <v>-1.8</v>
      </c>
      <c r="K653" s="95" t="inlineStr">
        <is>
          <t>9878 HUITONGDA NET</t>
        </is>
      </c>
    </row>
    <row r="654">
      <c r="A654" s="16" t="inlineStr">
        <is>
          <t>Windfall T&amp;L SPC</t>
        </is>
      </c>
      <c r="B654" s="88" t="n">
        <v>1</v>
      </c>
      <c r="C654" s="93" t="n">
        <v>100</v>
      </c>
      <c r="D654" s="94" t="n">
        <v>4.9</v>
      </c>
      <c r="E654" s="94" t="n">
        <v>0</v>
      </c>
      <c r="F654" s="94" t="n">
        <v>-8.5</v>
      </c>
      <c r="G654" s="94" t="n">
        <v>3</v>
      </c>
      <c r="H654" s="94" t="n">
        <v>-4.7</v>
      </c>
      <c r="I654" s="94" t="n">
        <v>-12.8</v>
      </c>
      <c r="J654" s="94" t="n">
        <v>-1.8</v>
      </c>
      <c r="K654" s="95" t="inlineStr">
        <is>
          <t>9878 HUITONGDA NET</t>
        </is>
      </c>
    </row>
    <row r="655">
      <c r="A655" s="16" t="inlineStr">
        <is>
          <t>Manulife Investment Management (Hong Kong) Limited</t>
        </is>
      </c>
      <c r="B655" s="88" t="n">
        <v>1</v>
      </c>
      <c r="C655" s="93" t="n">
        <v>100</v>
      </c>
      <c r="D655" s="94" t="n">
        <v>4.7</v>
      </c>
      <c r="E655" s="94" t="n">
        <v>-2.3</v>
      </c>
      <c r="F655" s="94" t="n">
        <v>6.7</v>
      </c>
      <c r="G655" s="94" t="n"/>
      <c r="H655" s="94" t="n">
        <v>-6.7</v>
      </c>
      <c r="I655" s="94" t="n">
        <v>1.9</v>
      </c>
      <c r="J655" s="94" t="n"/>
      <c r="K655" s="95" t="inlineStr">
        <is>
          <t>6951 CCTC</t>
        </is>
      </c>
    </row>
    <row r="656">
      <c r="A656" s="16" t="inlineStr">
        <is>
          <t>Yuanbao Family Office Limited</t>
        </is>
      </c>
      <c r="B656" s="88" t="n">
        <v>1</v>
      </c>
      <c r="C656" s="93" t="n">
        <v>100</v>
      </c>
      <c r="D656" s="94" t="n">
        <v>4.3</v>
      </c>
      <c r="E656" s="94" t="n">
        <v>-19.5</v>
      </c>
      <c r="F656" s="94" t="n">
        <v>-44.7</v>
      </c>
      <c r="G656" s="94" t="n"/>
      <c r="H656" s="94" t="n">
        <v>-22.9</v>
      </c>
      <c r="I656" s="94" t="n">
        <v>-47</v>
      </c>
      <c r="J656" s="94" t="n"/>
      <c r="K656" s="95" t="inlineStr">
        <is>
          <t>6106 SEER TECH</t>
        </is>
      </c>
    </row>
    <row r="657">
      <c r="A657" s="16" t="inlineStr">
        <is>
          <t>Fook Man Development Company Limited</t>
        </is>
      </c>
      <c r="B657" s="88" t="n">
        <v>1</v>
      </c>
      <c r="C657" s="93" t="n">
        <v>100</v>
      </c>
      <c r="D657" s="94" t="n">
        <v>4.2</v>
      </c>
      <c r="E657" s="94" t="n">
        <v>-4.9</v>
      </c>
      <c r="F657" s="94" t="n">
        <v>-8.6</v>
      </c>
      <c r="G657" s="94" t="n">
        <v>-4.7</v>
      </c>
      <c r="H657" s="94" t="n">
        <v>-8.699999999999999</v>
      </c>
      <c r="I657" s="94" t="n">
        <v>-12.2</v>
      </c>
      <c r="J657" s="94" t="n">
        <v>-8.5</v>
      </c>
      <c r="K657" s="95" t="inlineStr">
        <is>
          <t>9889 DRCB</t>
        </is>
      </c>
    </row>
    <row r="658">
      <c r="A658" s="16" t="inlineStr">
        <is>
          <t>Guohua Life Insurance Co., Ltd</t>
        </is>
      </c>
      <c r="B658" s="88" t="n">
        <v>1</v>
      </c>
      <c r="C658" s="93" t="n">
        <v>100</v>
      </c>
      <c r="D658" s="94" t="n">
        <v>4.2</v>
      </c>
      <c r="E658" s="94" t="n">
        <v>21.1</v>
      </c>
      <c r="F658" s="94" t="n">
        <v>14.5</v>
      </c>
      <c r="G658" s="94" t="n">
        <v>17.8</v>
      </c>
      <c r="H658" s="94" t="n">
        <v>16.3</v>
      </c>
      <c r="I658" s="94" t="n">
        <v>9.9</v>
      </c>
      <c r="J658" s="94" t="n">
        <v>13.1</v>
      </c>
      <c r="K658" s="95" t="inlineStr">
        <is>
          <t>2701 NSING TECH</t>
        </is>
      </c>
    </row>
    <row r="659">
      <c r="A659" s="16" t="inlineStr">
        <is>
          <t>Mr. An Jiangbo</t>
        </is>
      </c>
      <c r="B659" s="88" t="n">
        <v>1</v>
      </c>
      <c r="C659" s="93" t="n">
        <v>100</v>
      </c>
      <c r="D659" s="94" t="n">
        <v>4.2</v>
      </c>
      <c r="E659" s="94" t="n">
        <v>21.1</v>
      </c>
      <c r="F659" s="94" t="n">
        <v>14.5</v>
      </c>
      <c r="G659" s="94" t="n">
        <v>17.8</v>
      </c>
      <c r="H659" s="94" t="n">
        <v>16.3</v>
      </c>
      <c r="I659" s="94" t="n">
        <v>9.9</v>
      </c>
      <c r="J659" s="94" t="n">
        <v>13.1</v>
      </c>
      <c r="K659" s="95" t="inlineStr">
        <is>
          <t>2701 NSING TECH</t>
        </is>
      </c>
    </row>
    <row r="660">
      <c r="A660" s="16" t="inlineStr">
        <is>
          <t>Ms. Christine Tai</t>
        </is>
      </c>
      <c r="B660" s="88" t="n">
        <v>1</v>
      </c>
      <c r="C660" s="93" t="n">
        <v>100</v>
      </c>
      <c r="D660" s="94" t="n">
        <v>4.2</v>
      </c>
      <c r="E660" s="94" t="n">
        <v>21.1</v>
      </c>
      <c r="F660" s="94" t="n">
        <v>14.5</v>
      </c>
      <c r="G660" s="94" t="n">
        <v>17.8</v>
      </c>
      <c r="H660" s="94" t="n">
        <v>16.3</v>
      </c>
      <c r="I660" s="94" t="n">
        <v>9.9</v>
      </c>
      <c r="J660" s="94" t="n">
        <v>13.1</v>
      </c>
      <c r="K660" s="95" t="inlineStr">
        <is>
          <t>2701 NSING TECH</t>
        </is>
      </c>
    </row>
    <row r="661">
      <c r="A661" s="16" t="inlineStr">
        <is>
          <t>Hangzhou Fuyang Industrial Fund Investment Management Co., Ltd</t>
        </is>
      </c>
      <c r="B661" s="88" t="n">
        <v>1</v>
      </c>
      <c r="C661" s="93" t="n">
        <v>100</v>
      </c>
      <c r="D661" s="94" t="n">
        <v>4</v>
      </c>
      <c r="E661" s="94" t="n">
        <v>-5.1</v>
      </c>
      <c r="F661" s="94" t="n">
        <v>-6.2</v>
      </c>
      <c r="G661" s="94" t="n">
        <v>45.7</v>
      </c>
      <c r="H661" s="94" t="n">
        <v>-8.699999999999999</v>
      </c>
      <c r="I661" s="94" t="n">
        <v>-9.800000000000001</v>
      </c>
      <c r="J661" s="94" t="n">
        <v>40.1</v>
      </c>
      <c r="K661" s="95" t="inlineStr">
        <is>
          <t>6929 ORBUSNEICH</t>
        </is>
      </c>
    </row>
    <row r="662">
      <c r="A662" s="16" t="inlineStr">
        <is>
          <t>Wii Pte Ltd (Wilmar)</t>
        </is>
      </c>
      <c r="B662" s="88" t="n">
        <v>1</v>
      </c>
      <c r="C662" s="93" t="n">
        <v>100</v>
      </c>
      <c r="D662" s="94" t="n">
        <v>3.9</v>
      </c>
      <c r="E662" s="94" t="n">
        <v>0.5</v>
      </c>
      <c r="F662" s="94" t="n">
        <v>19.7</v>
      </c>
      <c r="G662" s="94" t="n">
        <v>0.7</v>
      </c>
      <c r="H662" s="94" t="n">
        <v>-3.3</v>
      </c>
      <c r="I662" s="94" t="n">
        <v>15.2</v>
      </c>
      <c r="J662" s="94" t="n">
        <v>-3.1</v>
      </c>
      <c r="K662" s="95" t="inlineStr">
        <is>
          <t>2714 MUYUAN</t>
        </is>
      </c>
    </row>
    <row r="663">
      <c r="A663" s="16" t="inlineStr">
        <is>
          <t>HPRY Holdings (Wilmar)</t>
        </is>
      </c>
      <c r="B663" s="88" t="n">
        <v>1</v>
      </c>
      <c r="C663" s="93" t="n">
        <v>100</v>
      </c>
      <c r="D663" s="94" t="n">
        <v>3.9</v>
      </c>
      <c r="E663" s="94" t="n">
        <v>0.5</v>
      </c>
      <c r="F663" s="94" t="n">
        <v>19.7</v>
      </c>
      <c r="G663" s="94" t="n">
        <v>0.7</v>
      </c>
      <c r="H663" s="94" t="n">
        <v>-3.3</v>
      </c>
      <c r="I663" s="94" t="n">
        <v>15.2</v>
      </c>
      <c r="J663" s="94" t="n">
        <v>-3.1</v>
      </c>
      <c r="K663" s="95" t="inlineStr">
        <is>
          <t>2714 MUYUAN</t>
        </is>
      </c>
    </row>
    <row r="664">
      <c r="A664" s="16" t="inlineStr">
        <is>
          <t>Sinochem Hong Kong (Group)</t>
        </is>
      </c>
      <c r="B664" s="88" t="n">
        <v>1</v>
      </c>
      <c r="C664" s="93" t="n">
        <v>100</v>
      </c>
      <c r="D664" s="94" t="n">
        <v>3.9</v>
      </c>
      <c r="E664" s="94" t="n">
        <v>0.5</v>
      </c>
      <c r="F664" s="94" t="n">
        <v>19.7</v>
      </c>
      <c r="G664" s="94" t="n">
        <v>0.7</v>
      </c>
      <c r="H664" s="94" t="n">
        <v>-3.3</v>
      </c>
      <c r="I664" s="94" t="n">
        <v>15.2</v>
      </c>
      <c r="J664" s="94" t="n">
        <v>-3.1</v>
      </c>
      <c r="K664" s="95" t="inlineStr">
        <is>
          <t>2714 MUYUAN</t>
        </is>
      </c>
    </row>
    <row r="665">
      <c r="A665" s="16" t="inlineStr">
        <is>
          <t>Hong Kong Henan Agri International</t>
        </is>
      </c>
      <c r="B665" s="88" t="n">
        <v>1</v>
      </c>
      <c r="C665" s="93" t="n">
        <v>100</v>
      </c>
      <c r="D665" s="94" t="n">
        <v>3.9</v>
      </c>
      <c r="E665" s="94" t="n">
        <v>0.5</v>
      </c>
      <c r="F665" s="94" t="n">
        <v>19.7</v>
      </c>
      <c r="G665" s="94" t="n">
        <v>0.7</v>
      </c>
      <c r="H665" s="94" t="n">
        <v>-3.3</v>
      </c>
      <c r="I665" s="94" t="n">
        <v>15.2</v>
      </c>
      <c r="J665" s="94" t="n">
        <v>-3.1</v>
      </c>
      <c r="K665" s="95" t="inlineStr">
        <is>
          <t>2714 MUYUAN</t>
        </is>
      </c>
    </row>
    <row r="666">
      <c r="A666" s="16" t="inlineStr">
        <is>
          <t>Midea Development Holding (BVI)</t>
        </is>
      </c>
      <c r="B666" s="88" t="n">
        <v>1</v>
      </c>
      <c r="C666" s="93" t="n">
        <v>100</v>
      </c>
      <c r="D666" s="94" t="n">
        <v>3.9</v>
      </c>
      <c r="E666" s="94" t="n">
        <v>0.5</v>
      </c>
      <c r="F666" s="94" t="n">
        <v>19.7</v>
      </c>
      <c r="G666" s="94" t="n">
        <v>0.7</v>
      </c>
      <c r="H666" s="94" t="n">
        <v>-3.3</v>
      </c>
      <c r="I666" s="94" t="n">
        <v>15.2</v>
      </c>
      <c r="J666" s="94" t="n">
        <v>-3.1</v>
      </c>
      <c r="K666" s="95" t="inlineStr">
        <is>
          <t>2714 MUYUAN</t>
        </is>
      </c>
    </row>
    <row r="667">
      <c r="A667" s="16" t="inlineStr">
        <is>
          <t>Cheng Hung Ping</t>
        </is>
      </c>
      <c r="B667" s="88" t="n">
        <v>1</v>
      </c>
      <c r="C667" s="93" t="n">
        <v>100</v>
      </c>
      <c r="D667" s="94" t="n">
        <v>3.8</v>
      </c>
      <c r="E667" s="94" t="n">
        <v>25</v>
      </c>
      <c r="F667" s="94" t="n">
        <v>60</v>
      </c>
      <c r="G667" s="94" t="n">
        <v>22.5</v>
      </c>
      <c r="H667" s="94" t="n">
        <v>20.5</v>
      </c>
      <c r="I667" s="94" t="n">
        <v>54.2</v>
      </c>
      <c r="J667" s="94" t="n">
        <v>18.1</v>
      </c>
      <c r="K667" s="95" t="inlineStr">
        <is>
          <t>1440 DEYUN HOLDING</t>
        </is>
      </c>
    </row>
    <row r="668">
      <c r="A668" s="16" t="inlineStr">
        <is>
          <t>Tam Yuk Ching Jenny</t>
        </is>
      </c>
      <c r="B668" s="88" t="n">
        <v>1</v>
      </c>
      <c r="C668" s="93" t="n">
        <v>100</v>
      </c>
      <c r="D668" s="94" t="n">
        <v>3.8</v>
      </c>
      <c r="E668" s="94" t="n">
        <v>25</v>
      </c>
      <c r="F668" s="94" t="n">
        <v>60</v>
      </c>
      <c r="G668" s="94" t="n">
        <v>22.5</v>
      </c>
      <c r="H668" s="94" t="n">
        <v>20.5</v>
      </c>
      <c r="I668" s="94" t="n">
        <v>54.2</v>
      </c>
      <c r="J668" s="94" t="n">
        <v>18.1</v>
      </c>
      <c r="K668" s="95" t="inlineStr">
        <is>
          <t>1440 DEYUN HOLDING</t>
        </is>
      </c>
    </row>
    <row r="669">
      <c r="A669" s="16" t="inlineStr">
        <is>
          <t>Tsai Chuen Sui Robert</t>
        </is>
      </c>
      <c r="B669" s="88" t="n">
        <v>1</v>
      </c>
      <c r="C669" s="93" t="n">
        <v>100</v>
      </c>
      <c r="D669" s="94" t="n">
        <v>3.8</v>
      </c>
      <c r="E669" s="94" t="n">
        <v>25</v>
      </c>
      <c r="F669" s="94" t="n">
        <v>60</v>
      </c>
      <c r="G669" s="94" t="n">
        <v>22.5</v>
      </c>
      <c r="H669" s="94" t="n">
        <v>20.5</v>
      </c>
      <c r="I669" s="94" t="n">
        <v>54.2</v>
      </c>
      <c r="J669" s="94" t="n">
        <v>18.1</v>
      </c>
      <c r="K669" s="95" t="inlineStr">
        <is>
          <t>1440 DEYUN HOLDING</t>
        </is>
      </c>
    </row>
    <row r="670">
      <c r="A670" s="16" t="inlineStr">
        <is>
          <t>Xingyu Automotive Lighting (Hong Kong) Company Limited</t>
        </is>
      </c>
      <c r="B670" s="88" t="n">
        <v>1</v>
      </c>
      <c r="C670" s="93" t="n">
        <v>100</v>
      </c>
      <c r="D670" s="94" t="n">
        <v>3.8</v>
      </c>
      <c r="E670" s="94" t="n">
        <v>3.7</v>
      </c>
      <c r="F670" s="94" t="n">
        <v>6.4</v>
      </c>
      <c r="G670" s="94" t="n">
        <v>-0.2</v>
      </c>
      <c r="H670" s="94" t="n">
        <v>-0.1</v>
      </c>
      <c r="I670" s="94" t="n">
        <v>2.5</v>
      </c>
      <c r="J670" s="94" t="n">
        <v>-3.8</v>
      </c>
      <c r="K670" s="95" t="inlineStr">
        <is>
          <t>9973 CHERY AUTO</t>
        </is>
      </c>
    </row>
    <row r="671">
      <c r="A671" s="16" t="inlineStr">
        <is>
          <t>Pilgrim Ever Project Company Limited</t>
        </is>
      </c>
      <c r="B671" s="88" t="n">
        <v>1</v>
      </c>
      <c r="C671" s="93" t="n">
        <v>100</v>
      </c>
      <c r="D671" s="94" t="n">
        <v>3.6</v>
      </c>
      <c r="E671" s="94" t="n">
        <v>3.1</v>
      </c>
      <c r="F671" s="94" t="n">
        <v>-8</v>
      </c>
      <c r="G671" s="94" t="n">
        <v>16.6</v>
      </c>
      <c r="H671" s="94" t="n">
        <v>-0.5</v>
      </c>
      <c r="I671" s="94" t="n">
        <v>-11.2</v>
      </c>
      <c r="J671" s="94" t="n">
        <v>12.5</v>
      </c>
      <c r="K671" s="95" t="inlineStr">
        <is>
          <t>6668 E-STAR CM</t>
        </is>
      </c>
    </row>
    <row r="672">
      <c r="A672" s="16" t="inlineStr">
        <is>
          <t>Shenzhen Qichang Investment Holding Limited</t>
        </is>
      </c>
      <c r="B672" s="88" t="n">
        <v>1</v>
      </c>
      <c r="C672" s="93" t="n">
        <v>100</v>
      </c>
      <c r="D672" s="94" t="n">
        <v>3.6</v>
      </c>
      <c r="E672" s="94" t="n">
        <v>3.1</v>
      </c>
      <c r="F672" s="94" t="n">
        <v>-8</v>
      </c>
      <c r="G672" s="94" t="n">
        <v>16.6</v>
      </c>
      <c r="H672" s="94" t="n">
        <v>-0.5</v>
      </c>
      <c r="I672" s="94" t="n">
        <v>-11.2</v>
      </c>
      <c r="J672" s="94" t="n">
        <v>12.5</v>
      </c>
      <c r="K672" s="95" t="inlineStr">
        <is>
          <t>6668 E-STAR CM</t>
        </is>
      </c>
    </row>
    <row r="673">
      <c r="A673" s="16" t="inlineStr">
        <is>
          <t>Virtues Origin SPC</t>
        </is>
      </c>
      <c r="B673" s="88" t="n">
        <v>1</v>
      </c>
      <c r="C673" s="93" t="n">
        <v>100</v>
      </c>
      <c r="D673" s="94" t="n">
        <v>3.6</v>
      </c>
      <c r="E673" s="94" t="n">
        <v>3.1</v>
      </c>
      <c r="F673" s="94" t="n">
        <v>-8</v>
      </c>
      <c r="G673" s="94" t="n">
        <v>16.6</v>
      </c>
      <c r="H673" s="94" t="n">
        <v>-0.5</v>
      </c>
      <c r="I673" s="94" t="n">
        <v>-11.2</v>
      </c>
      <c r="J673" s="94" t="n">
        <v>12.5</v>
      </c>
      <c r="K673" s="95" t="inlineStr">
        <is>
          <t>6668 E-STAR CM</t>
        </is>
      </c>
    </row>
    <row r="674">
      <c r="A674" s="16" t="inlineStr">
        <is>
          <t>Guokong Xinzhi Co., Limited</t>
        </is>
      </c>
      <c r="B674" s="88" t="n">
        <v>1</v>
      </c>
      <c r="C674" s="93" t="n">
        <v>100</v>
      </c>
      <c r="D674" s="94" t="n">
        <v>3.5</v>
      </c>
      <c r="E674" s="94" t="n">
        <v>-1.6</v>
      </c>
      <c r="F674" s="94" t="n">
        <v>-3.7</v>
      </c>
      <c r="G674" s="94" t="n">
        <v>-29.1</v>
      </c>
      <c r="H674" s="94" t="n">
        <v>-5</v>
      </c>
      <c r="I674" s="94" t="n">
        <v>-7</v>
      </c>
      <c r="J674" s="94" t="n">
        <v>-31.5</v>
      </c>
      <c r="K674" s="95" t="inlineStr">
        <is>
          <t>9611 LONGCHEER</t>
        </is>
      </c>
    </row>
    <row r="675">
      <c r="A675" s="16" t="inlineStr">
        <is>
          <t>Endless Growth NH Limited</t>
        </is>
      </c>
      <c r="B675" s="88" t="n">
        <v>1</v>
      </c>
      <c r="C675" s="93" t="n">
        <v>100</v>
      </c>
      <c r="D675" s="94" t="n">
        <v>3.5</v>
      </c>
      <c r="E675" s="94" t="n">
        <v>-1.6</v>
      </c>
      <c r="F675" s="94" t="n">
        <v>-3.7</v>
      </c>
      <c r="G675" s="94" t="n">
        <v>-29.1</v>
      </c>
      <c r="H675" s="94" t="n">
        <v>-5</v>
      </c>
      <c r="I675" s="94" t="n">
        <v>-7</v>
      </c>
      <c r="J675" s="94" t="n">
        <v>-31.5</v>
      </c>
      <c r="K675" s="95" t="inlineStr">
        <is>
          <t>9611 LONGCHEER</t>
        </is>
      </c>
    </row>
    <row r="676">
      <c r="A676" s="16" t="inlineStr">
        <is>
          <t>Qualcomm Ventures LLC</t>
        </is>
      </c>
      <c r="B676" s="88" t="n">
        <v>1</v>
      </c>
      <c r="C676" s="93" t="n">
        <v>100</v>
      </c>
      <c r="D676" s="94" t="n">
        <v>3.5</v>
      </c>
      <c r="E676" s="94" t="n">
        <v>-1.6</v>
      </c>
      <c r="F676" s="94" t="n">
        <v>-3.7</v>
      </c>
      <c r="G676" s="94" t="n">
        <v>-29.1</v>
      </c>
      <c r="H676" s="94" t="n">
        <v>-5</v>
      </c>
      <c r="I676" s="94" t="n">
        <v>-7</v>
      </c>
      <c r="J676" s="94" t="n">
        <v>-31.5</v>
      </c>
      <c r="K676" s="95" t="inlineStr">
        <is>
          <t>9611 LONGCHEER</t>
        </is>
      </c>
    </row>
    <row r="677">
      <c r="A677" s="16" t="inlineStr">
        <is>
          <t>Hong Kong Yuto Printing Company Limited</t>
        </is>
      </c>
      <c r="B677" s="88" t="n">
        <v>1</v>
      </c>
      <c r="C677" s="93" t="n">
        <v>100</v>
      </c>
      <c r="D677" s="94" t="n">
        <v>3.5</v>
      </c>
      <c r="E677" s="94" t="n">
        <v>-1.6</v>
      </c>
      <c r="F677" s="94" t="n">
        <v>-3.7</v>
      </c>
      <c r="G677" s="94" t="n">
        <v>-29.1</v>
      </c>
      <c r="H677" s="94" t="n">
        <v>-5</v>
      </c>
      <c r="I677" s="94" t="n">
        <v>-7</v>
      </c>
      <c r="J677" s="94" t="n">
        <v>-31.5</v>
      </c>
      <c r="K677" s="95" t="inlineStr">
        <is>
          <t>9611 LONGCHEER</t>
        </is>
      </c>
    </row>
    <row r="678">
      <c r="A678" s="16" t="inlineStr">
        <is>
          <t>Liugong Machinery Hongkong Co., Limited</t>
        </is>
      </c>
      <c r="B678" s="88" t="n">
        <v>1</v>
      </c>
      <c r="C678" s="93" t="n">
        <v>100</v>
      </c>
      <c r="D678" s="94" t="n">
        <v>3.4</v>
      </c>
      <c r="E678" s="94" t="n">
        <v>3.8</v>
      </c>
      <c r="F678" s="94" t="n">
        <v>2.7</v>
      </c>
      <c r="G678" s="94" t="n">
        <v>0.1</v>
      </c>
      <c r="H678" s="94" t="n">
        <v>0.4</v>
      </c>
      <c r="I678" s="94" t="n">
        <v>-0.7</v>
      </c>
      <c r="J678" s="94" t="n">
        <v>-3.1</v>
      </c>
      <c r="K678" s="95" t="inlineStr">
        <is>
          <t>2499 FOLANGSI</t>
        </is>
      </c>
    </row>
    <row r="679">
      <c r="A679" s="16" t="inlineStr">
        <is>
          <t>Huang Guangwei</t>
        </is>
      </c>
      <c r="B679" s="88" t="n">
        <v>1</v>
      </c>
      <c r="C679" s="93" t="n">
        <v>100</v>
      </c>
      <c r="D679" s="94" t="n">
        <v>3.4</v>
      </c>
      <c r="E679" s="94" t="n">
        <v>14.9</v>
      </c>
      <c r="F679" s="94" t="n">
        <v>73.90000000000001</v>
      </c>
      <c r="G679" s="94" t="n">
        <v>89.8</v>
      </c>
      <c r="H679" s="94" t="n">
        <v>11.1</v>
      </c>
      <c r="I679" s="94" t="n">
        <v>68.2</v>
      </c>
      <c r="J679" s="94" t="n">
        <v>83.5</v>
      </c>
      <c r="K679" s="95" t="inlineStr">
        <is>
          <t>6681 BRAINAURORA-B</t>
        </is>
      </c>
    </row>
    <row r="680">
      <c r="A680" s="16" t="inlineStr">
        <is>
          <t>Internet Fund IIIA Pte Ltd</t>
        </is>
      </c>
      <c r="B680" s="88" t="n">
        <v>1</v>
      </c>
      <c r="C680" s="93" t="n">
        <v>100</v>
      </c>
      <c r="D680" s="94" t="n">
        <v>3.3</v>
      </c>
      <c r="E680" s="94" t="n">
        <v>16.3</v>
      </c>
      <c r="F680" s="94" t="n">
        <v>4.2</v>
      </c>
      <c r="G680" s="94" t="n">
        <v>-24.2</v>
      </c>
      <c r="H680" s="94" t="n">
        <v>12.6</v>
      </c>
      <c r="I680" s="94" t="n">
        <v>0.8</v>
      </c>
      <c r="J680" s="94" t="n">
        <v>-26.6</v>
      </c>
      <c r="K680" s="95" t="inlineStr">
        <is>
          <t>2618 JD LOGISTICS</t>
        </is>
      </c>
    </row>
    <row r="681">
      <c r="A681" s="16" t="inlineStr">
        <is>
          <t>SoftBank Group</t>
        </is>
      </c>
      <c r="B681" s="88" t="n">
        <v>1</v>
      </c>
      <c r="C681" s="93" t="n">
        <v>100</v>
      </c>
      <c r="D681" s="94" t="n">
        <v>3.3</v>
      </c>
      <c r="E681" s="94" t="n">
        <v>16.3</v>
      </c>
      <c r="F681" s="94" t="n">
        <v>4.2</v>
      </c>
      <c r="G681" s="94" t="n">
        <v>-24.2</v>
      </c>
      <c r="H681" s="94" t="n">
        <v>12.6</v>
      </c>
      <c r="I681" s="94" t="n">
        <v>0.8</v>
      </c>
      <c r="J681" s="94" t="n">
        <v>-26.6</v>
      </c>
      <c r="K681" s="95" t="inlineStr">
        <is>
          <t>2618 JD LOGISTICS</t>
        </is>
      </c>
    </row>
    <row r="682">
      <c r="A682" s="16" t="inlineStr">
        <is>
          <t>The Blackstone Group Inc</t>
        </is>
      </c>
      <c r="B682" s="88" t="n">
        <v>1</v>
      </c>
      <c r="C682" s="93" t="n">
        <v>100</v>
      </c>
      <c r="D682" s="94" t="n">
        <v>3.3</v>
      </c>
      <c r="E682" s="94" t="n">
        <v>16.3</v>
      </c>
      <c r="F682" s="94" t="n">
        <v>4.2</v>
      </c>
      <c r="G682" s="94" t="n">
        <v>-24.2</v>
      </c>
      <c r="H682" s="94" t="n">
        <v>12.6</v>
      </c>
      <c r="I682" s="94" t="n">
        <v>0.8</v>
      </c>
      <c r="J682" s="94" t="n">
        <v>-26.6</v>
      </c>
      <c r="K682" s="95" t="inlineStr">
        <is>
          <t>2618 JD LOGISTICS</t>
        </is>
      </c>
    </row>
    <row r="683">
      <c r="A683" s="16" t="inlineStr">
        <is>
          <t>Youyu Global Limited</t>
        </is>
      </c>
      <c r="B683" s="88" t="n">
        <v>1</v>
      </c>
      <c r="C683" s="93" t="n">
        <v>100</v>
      </c>
      <c r="D683" s="94" t="n">
        <v>3.1</v>
      </c>
      <c r="E683" s="94" t="n">
        <v>-6.5</v>
      </c>
      <c r="F683" s="94" t="n">
        <v>79.8</v>
      </c>
      <c r="G683" s="94" t="n">
        <v>22</v>
      </c>
      <c r="H683" s="94" t="n">
        <v>-9.4</v>
      </c>
      <c r="I683" s="94" t="n">
        <v>74.3</v>
      </c>
      <c r="J683" s="94" t="n">
        <v>18.3</v>
      </c>
      <c r="K683" s="95" t="inlineStr">
        <is>
          <t>2137 BRII - B</t>
        </is>
      </c>
    </row>
    <row r="684">
      <c r="A684" s="16" t="inlineStr">
        <is>
          <t>Beijing Xingxing Equity Investment Partnership (Limited Partnership)</t>
        </is>
      </c>
      <c r="B684" s="88" t="n">
        <v>1</v>
      </c>
      <c r="C684" s="93" t="n">
        <v>100</v>
      </c>
      <c r="D684" s="94" t="n">
        <v>3.1</v>
      </c>
      <c r="E684" s="94" t="n">
        <v>0.7</v>
      </c>
      <c r="F684" s="94" t="n">
        <v>5.5</v>
      </c>
      <c r="G684" s="94" t="n">
        <v>3.1</v>
      </c>
      <c r="H684" s="94" t="n">
        <v>-2.3</v>
      </c>
      <c r="I684" s="94" t="n">
        <v>2.3</v>
      </c>
      <c r="J684" s="94" t="n">
        <v>0</v>
      </c>
      <c r="K684" s="95" t="inlineStr">
        <is>
          <t>2315 BIOCYTOGEN-B</t>
        </is>
      </c>
    </row>
    <row r="685">
      <c r="A685" s="16" t="inlineStr">
        <is>
          <t>VEKEN (HONGKONG) ECONOMIC AND TRADE CO., LIMITED</t>
        </is>
      </c>
      <c r="B685" s="88" t="n">
        <v>1</v>
      </c>
      <c r="C685" s="93" t="n">
        <v>100</v>
      </c>
      <c r="D685" s="94" t="n">
        <v>3.1</v>
      </c>
      <c r="E685" s="94" t="n">
        <v>0.7</v>
      </c>
      <c r="F685" s="94" t="n">
        <v>5.5</v>
      </c>
      <c r="G685" s="94" t="n">
        <v>3.1</v>
      </c>
      <c r="H685" s="94" t="n">
        <v>-2.3</v>
      </c>
      <c r="I685" s="94" t="n">
        <v>2.3</v>
      </c>
      <c r="J685" s="94" t="n">
        <v>0</v>
      </c>
      <c r="K685" s="95" t="inlineStr">
        <is>
          <t>2315 BIOCYTOGEN-B</t>
        </is>
      </c>
    </row>
    <row r="686">
      <c r="A686" s="16" t="inlineStr">
        <is>
          <t>Kelun International Development Co., Limited</t>
        </is>
      </c>
      <c r="B686" s="88" t="n">
        <v>1</v>
      </c>
      <c r="C686" s="93" t="n">
        <v>100</v>
      </c>
      <c r="D686" s="94" t="n">
        <v>3.1</v>
      </c>
      <c r="E686" s="94" t="n">
        <v>8.9</v>
      </c>
      <c r="F686" s="94" t="n">
        <v>19.6</v>
      </c>
      <c r="G686" s="94" t="n">
        <v>33.7</v>
      </c>
      <c r="H686" s="94" t="n">
        <v>5.6</v>
      </c>
      <c r="I686" s="94" t="n">
        <v>16</v>
      </c>
      <c r="J686" s="94" t="n">
        <v>29.6</v>
      </c>
      <c r="K686" s="95" t="inlineStr">
        <is>
          <t>6990 SKB BIO-B</t>
        </is>
      </c>
    </row>
    <row r="687">
      <c r="A687" s="16" t="inlineStr">
        <is>
          <t>Jiangxi Copper (via GTJA OTC swaps)</t>
        </is>
      </c>
      <c r="B687" s="88" t="n">
        <v>1</v>
      </c>
      <c r="C687" s="93" t="n">
        <v>100</v>
      </c>
      <c r="D687" s="94" t="n">
        <v>2.9</v>
      </c>
      <c r="E687" s="94" t="n">
        <v>3</v>
      </c>
      <c r="F687" s="94" t="n">
        <v>1.1</v>
      </c>
      <c r="G687" s="94" t="n">
        <v>-28.1</v>
      </c>
      <c r="H687" s="94" t="n">
        <v>0.1</v>
      </c>
      <c r="I687" s="94" t="n">
        <v>-1.8</v>
      </c>
      <c r="J687" s="94" t="n">
        <v>-30.1</v>
      </c>
      <c r="K687" s="95" t="inlineStr">
        <is>
          <t>9981 WOER</t>
        </is>
      </c>
    </row>
    <row r="688">
      <c r="A688" s="16" t="inlineStr">
        <is>
          <t>Shen Zhen New World Investment (H.K.)</t>
        </is>
      </c>
      <c r="B688" s="88" t="n">
        <v>1</v>
      </c>
      <c r="C688" s="93" t="n">
        <v>100</v>
      </c>
      <c r="D688" s="94" t="n">
        <v>2.9</v>
      </c>
      <c r="E688" s="94" t="n">
        <v>3</v>
      </c>
      <c r="F688" s="94" t="n">
        <v>1.1</v>
      </c>
      <c r="G688" s="94" t="n">
        <v>-28.1</v>
      </c>
      <c r="H688" s="94" t="n">
        <v>0.1</v>
      </c>
      <c r="I688" s="94" t="n">
        <v>-1.8</v>
      </c>
      <c r="J688" s="94" t="n">
        <v>-30.1</v>
      </c>
      <c r="K688" s="95" t="inlineStr">
        <is>
          <t>9981 WOER</t>
        </is>
      </c>
    </row>
    <row r="689">
      <c r="A689" s="16" t="inlineStr">
        <is>
          <t>Best Cheer Development</t>
        </is>
      </c>
      <c r="B689" s="88" t="n">
        <v>1</v>
      </c>
      <c r="C689" s="93" t="n">
        <v>100</v>
      </c>
      <c r="D689" s="94" t="n">
        <v>2.9</v>
      </c>
      <c r="E689" s="94" t="n">
        <v>3</v>
      </c>
      <c r="F689" s="94" t="n">
        <v>1.1</v>
      </c>
      <c r="G689" s="94" t="n">
        <v>-28.1</v>
      </c>
      <c r="H689" s="94" t="n">
        <v>0.1</v>
      </c>
      <c r="I689" s="94" t="n">
        <v>-1.8</v>
      </c>
      <c r="J689" s="94" t="n">
        <v>-30.1</v>
      </c>
      <c r="K689" s="95" t="inlineStr">
        <is>
          <t>9981 WOER</t>
        </is>
      </c>
    </row>
    <row r="690">
      <c r="A690" s="16" t="inlineStr">
        <is>
          <t>SCV Alpha LP</t>
        </is>
      </c>
      <c r="B690" s="88" t="n">
        <v>1</v>
      </c>
      <c r="C690" s="93" t="n">
        <v>100</v>
      </c>
      <c r="D690" s="94" t="n">
        <v>2.9</v>
      </c>
      <c r="E690" s="94" t="n">
        <v>3</v>
      </c>
      <c r="F690" s="94" t="n">
        <v>1.1</v>
      </c>
      <c r="G690" s="94" t="n">
        <v>-28.1</v>
      </c>
      <c r="H690" s="94" t="n">
        <v>0.1</v>
      </c>
      <c r="I690" s="94" t="n">
        <v>-1.8</v>
      </c>
      <c r="J690" s="94" t="n">
        <v>-30.1</v>
      </c>
      <c r="K690" s="95" t="inlineStr">
        <is>
          <t>9981 WOER</t>
        </is>
      </c>
    </row>
    <row r="691">
      <c r="A691" s="16" t="inlineStr">
        <is>
          <t>Pu Xin (via GTJA OTC swaps)</t>
        </is>
      </c>
      <c r="B691" s="88" t="n">
        <v>1</v>
      </c>
      <c r="C691" s="93" t="n">
        <v>100</v>
      </c>
      <c r="D691" s="94" t="n">
        <v>2.9</v>
      </c>
      <c r="E691" s="94" t="n">
        <v>3</v>
      </c>
      <c r="F691" s="94" t="n">
        <v>1.1</v>
      </c>
      <c r="G691" s="94" t="n">
        <v>-28.1</v>
      </c>
      <c r="H691" s="94" t="n">
        <v>0.1</v>
      </c>
      <c r="I691" s="94" t="n">
        <v>-1.8</v>
      </c>
      <c r="J691" s="94" t="n">
        <v>-30.1</v>
      </c>
      <c r="K691" s="95" t="inlineStr">
        <is>
          <t>9981 WOER</t>
        </is>
      </c>
    </row>
    <row r="692">
      <c r="A692" s="16" t="inlineStr">
        <is>
          <t>Capchem (Hongkong)</t>
        </is>
      </c>
      <c r="B692" s="88" t="n">
        <v>1</v>
      </c>
      <c r="C692" s="93" t="n">
        <v>100</v>
      </c>
      <c r="D692" s="94" t="n">
        <v>2.9</v>
      </c>
      <c r="E692" s="94" t="n">
        <v>3</v>
      </c>
      <c r="F692" s="94" t="n">
        <v>1.1</v>
      </c>
      <c r="G692" s="94" t="n">
        <v>-28.1</v>
      </c>
      <c r="H692" s="94" t="n">
        <v>0.1</v>
      </c>
      <c r="I692" s="94" t="n">
        <v>-1.8</v>
      </c>
      <c r="J692" s="94" t="n">
        <v>-30.1</v>
      </c>
      <c r="K692" s="95" t="inlineStr">
        <is>
          <t>9981 WOER</t>
        </is>
      </c>
    </row>
    <row r="693">
      <c r="A693" s="16" t="inlineStr">
        <is>
          <t>Enhanced Investment Products (EIP)</t>
        </is>
      </c>
      <c r="B693" s="88" t="n">
        <v>1</v>
      </c>
      <c r="C693" s="93" t="n">
        <v>100</v>
      </c>
      <c r="D693" s="94" t="n">
        <v>2.9</v>
      </c>
      <c r="E693" s="94" t="n">
        <v>3</v>
      </c>
      <c r="F693" s="94" t="n">
        <v>1.1</v>
      </c>
      <c r="G693" s="94" t="n">
        <v>-28.1</v>
      </c>
      <c r="H693" s="94" t="n">
        <v>0.1</v>
      </c>
      <c r="I693" s="94" t="n">
        <v>-1.8</v>
      </c>
      <c r="J693" s="94" t="n">
        <v>-30.1</v>
      </c>
      <c r="K693" s="95" t="inlineStr">
        <is>
          <t>9981 WOER</t>
        </is>
      </c>
    </row>
    <row r="694">
      <c r="A694" s="16" t="inlineStr">
        <is>
          <t>PARTICIPATIONS 1</t>
        </is>
      </c>
      <c r="B694" s="88" t="n">
        <v>1</v>
      </c>
      <c r="C694" s="93" t="n">
        <v>100</v>
      </c>
      <c r="D694" s="94" t="n">
        <v>2.8</v>
      </c>
      <c r="E694" s="94" t="n">
        <v>19.6</v>
      </c>
      <c r="F694" s="94" t="n">
        <v>-4.8</v>
      </c>
      <c r="G694" s="94" t="n">
        <v>10</v>
      </c>
      <c r="H694" s="94" t="n">
        <v>16.3</v>
      </c>
      <c r="I694" s="94" t="n">
        <v>-7.3</v>
      </c>
      <c r="J694" s="94" t="n">
        <v>7.1</v>
      </c>
      <c r="K694" s="95" t="inlineStr">
        <is>
          <t>9660 HORIZONROBOT-W</t>
        </is>
      </c>
    </row>
    <row r="695">
      <c r="A695" s="16" t="inlineStr">
        <is>
          <t>Temasek</t>
        </is>
      </c>
      <c r="B695" s="88" t="n">
        <v>1</v>
      </c>
      <c r="C695" s="93" t="n">
        <v>100</v>
      </c>
      <c r="D695" s="94" t="n">
        <v>2.8</v>
      </c>
      <c r="E695" s="94" t="n">
        <v>6.7</v>
      </c>
      <c r="F695" s="94" t="n">
        <v>0.2</v>
      </c>
      <c r="G695" s="94" t="n">
        <v>18.8</v>
      </c>
      <c r="H695" s="94" t="n">
        <v>3.7</v>
      </c>
      <c r="I695" s="94" t="n">
        <v>-2.6</v>
      </c>
      <c r="J695" s="94" t="n">
        <v>15.5</v>
      </c>
      <c r="K695" s="95" t="inlineStr">
        <is>
          <t>6031 SANY HEAVY IND</t>
        </is>
      </c>
    </row>
    <row r="696">
      <c r="A696" s="16" t="inlineStr">
        <is>
          <t>Weichai Power</t>
        </is>
      </c>
      <c r="B696" s="88" t="n">
        <v>1</v>
      </c>
      <c r="C696" s="93" t="n">
        <v>100</v>
      </c>
      <c r="D696" s="94" t="n">
        <v>2.8</v>
      </c>
      <c r="E696" s="94" t="n">
        <v>6.7</v>
      </c>
      <c r="F696" s="94" t="n">
        <v>0.2</v>
      </c>
      <c r="G696" s="94" t="n">
        <v>18.8</v>
      </c>
      <c r="H696" s="94" t="n">
        <v>3.7</v>
      </c>
      <c r="I696" s="94" t="n">
        <v>-2.6</v>
      </c>
      <c r="J696" s="94" t="n">
        <v>15.5</v>
      </c>
      <c r="K696" s="95" t="inlineStr">
        <is>
          <t>6031 SANY HEAVY IND</t>
        </is>
      </c>
    </row>
    <row r="697">
      <c r="A697" s="16" t="inlineStr">
        <is>
          <t>Heyuan Trading (Hong Kong) Limited</t>
        </is>
      </c>
      <c r="B697" s="88" t="n">
        <v>1</v>
      </c>
      <c r="C697" s="93" t="n">
        <v>100</v>
      </c>
      <c r="D697" s="94" t="n">
        <v>2.5</v>
      </c>
      <c r="E697" s="94" t="n">
        <v>-10.2</v>
      </c>
      <c r="F697" s="94" t="n">
        <v>-27.1</v>
      </c>
      <c r="G697" s="94" t="n">
        <v>-43.2</v>
      </c>
      <c r="H697" s="94" t="n">
        <v>-12.4</v>
      </c>
      <c r="I697" s="94" t="n">
        <v>-28.9</v>
      </c>
      <c r="J697" s="94" t="n">
        <v>-44.6</v>
      </c>
      <c r="K697" s="95" t="inlineStr">
        <is>
          <t>2271 ZHONGAN SERVICE</t>
        </is>
      </c>
    </row>
    <row r="698">
      <c r="A698" s="16" t="inlineStr">
        <is>
          <t>Wu Mingwu</t>
        </is>
      </c>
      <c r="B698" s="88" t="n">
        <v>1</v>
      </c>
      <c r="C698" s="93" t="n">
        <v>100</v>
      </c>
      <c r="D698" s="94" t="n">
        <v>2.5</v>
      </c>
      <c r="E698" s="94" t="n">
        <v>-10.2</v>
      </c>
      <c r="F698" s="94" t="n">
        <v>-27.1</v>
      </c>
      <c r="G698" s="94" t="n">
        <v>-43.2</v>
      </c>
      <c r="H698" s="94" t="n">
        <v>-12.4</v>
      </c>
      <c r="I698" s="94" t="n">
        <v>-28.9</v>
      </c>
      <c r="J698" s="94" t="n">
        <v>-44.6</v>
      </c>
      <c r="K698" s="95" t="inlineStr">
        <is>
          <t>2271 ZHONGAN SERVICE</t>
        </is>
      </c>
    </row>
    <row r="699">
      <c r="A699" s="16" t="inlineStr">
        <is>
          <t>BeingBoom Capital Limited</t>
        </is>
      </c>
      <c r="B699" s="88" t="n">
        <v>1</v>
      </c>
      <c r="C699" s="93" t="n">
        <v>100</v>
      </c>
      <c r="D699" s="94" t="n">
        <v>2.4</v>
      </c>
      <c r="E699" s="94" t="n">
        <v>11.4</v>
      </c>
      <c r="F699" s="94" t="n">
        <v>-7.5</v>
      </c>
      <c r="G699" s="94" t="n">
        <v>-13.1</v>
      </c>
      <c r="H699" s="94" t="n">
        <v>8.800000000000001</v>
      </c>
      <c r="I699" s="94" t="n">
        <v>-9.699999999999999</v>
      </c>
      <c r="J699" s="94" t="n">
        <v>-15.1</v>
      </c>
      <c r="K699" s="95" t="inlineStr">
        <is>
          <t>2692 ZHAOWEI</t>
        </is>
      </c>
    </row>
    <row r="700">
      <c r="A700" s="16" t="inlineStr">
        <is>
          <t>Hengbang and China Galaxy International Investment Company Limited</t>
        </is>
      </c>
      <c r="B700" s="88" t="n">
        <v>1</v>
      </c>
      <c r="C700" s="93" t="n">
        <v>100</v>
      </c>
      <c r="D700" s="94" t="n">
        <v>2.4</v>
      </c>
      <c r="E700" s="94" t="n">
        <v>11.4</v>
      </c>
      <c r="F700" s="94" t="n">
        <v>-7.5</v>
      </c>
      <c r="G700" s="94" t="n">
        <v>-13.1</v>
      </c>
      <c r="H700" s="94" t="n">
        <v>8.800000000000001</v>
      </c>
      <c r="I700" s="94" t="n">
        <v>-9.699999999999999</v>
      </c>
      <c r="J700" s="94" t="n">
        <v>-15.1</v>
      </c>
      <c r="K700" s="95" t="inlineStr">
        <is>
          <t>2692 ZHAOWEI</t>
        </is>
      </c>
    </row>
    <row r="701">
      <c r="A701" s="16" t="inlineStr">
        <is>
          <t>Mr. He Maoling</t>
        </is>
      </c>
      <c r="B701" s="88" t="n">
        <v>1</v>
      </c>
      <c r="C701" s="93" t="n">
        <v>100</v>
      </c>
      <c r="D701" s="94" t="n">
        <v>2.4</v>
      </c>
      <c r="E701" s="94" t="n">
        <v>11.4</v>
      </c>
      <c r="F701" s="94" t="n">
        <v>-7.5</v>
      </c>
      <c r="G701" s="94" t="n">
        <v>-13.1</v>
      </c>
      <c r="H701" s="94" t="n">
        <v>8.800000000000001</v>
      </c>
      <c r="I701" s="94" t="n">
        <v>-9.699999999999999</v>
      </c>
      <c r="J701" s="94" t="n">
        <v>-15.1</v>
      </c>
      <c r="K701" s="95" t="inlineStr">
        <is>
          <t>2692 ZHAOWEI</t>
        </is>
      </c>
    </row>
    <row r="702">
      <c r="A702" s="16" t="inlineStr">
        <is>
          <t>TOPSTAR WORLDWIDE GROUP LIMITED</t>
        </is>
      </c>
      <c r="B702" s="88" t="n">
        <v>1</v>
      </c>
      <c r="C702" s="93" t="n">
        <v>100</v>
      </c>
      <c r="D702" s="94" t="n">
        <v>2.4</v>
      </c>
      <c r="E702" s="94" t="n">
        <v>11.4</v>
      </c>
      <c r="F702" s="94" t="n">
        <v>-7.5</v>
      </c>
      <c r="G702" s="94" t="n">
        <v>-13.1</v>
      </c>
      <c r="H702" s="94" t="n">
        <v>8.800000000000001</v>
      </c>
      <c r="I702" s="94" t="n">
        <v>-9.699999999999999</v>
      </c>
      <c r="J702" s="94" t="n">
        <v>-15.1</v>
      </c>
      <c r="K702" s="95" t="inlineStr">
        <is>
          <t>2692 ZHAOWEI</t>
        </is>
      </c>
    </row>
    <row r="703">
      <c r="A703" s="16" t="inlineStr">
        <is>
          <t>W Investment Company Limited</t>
        </is>
      </c>
      <c r="B703" s="88" t="n">
        <v>1</v>
      </c>
      <c r="C703" s="93" t="n">
        <v>100</v>
      </c>
      <c r="D703" s="94" t="n">
        <v>2.4</v>
      </c>
      <c r="E703" s="94" t="n">
        <v>11.4</v>
      </c>
      <c r="F703" s="94" t="n">
        <v>-7.5</v>
      </c>
      <c r="G703" s="94" t="n">
        <v>-13.1</v>
      </c>
      <c r="H703" s="94" t="n">
        <v>8.800000000000001</v>
      </c>
      <c r="I703" s="94" t="n">
        <v>-9.699999999999999</v>
      </c>
      <c r="J703" s="94" t="n">
        <v>-15.1</v>
      </c>
      <c r="K703" s="95" t="inlineStr">
        <is>
          <t>2692 ZHAOWEI</t>
        </is>
      </c>
    </row>
    <row r="704">
      <c r="A704" s="16" t="inlineStr">
        <is>
          <t>Lai Shixian</t>
        </is>
      </c>
      <c r="B704" s="88" t="n">
        <v>1</v>
      </c>
      <c r="C704" s="93" t="n">
        <v>100</v>
      </c>
      <c r="D704" s="94" t="n">
        <v>2</v>
      </c>
      <c r="E704" s="94" t="n">
        <v>-15.8</v>
      </c>
      <c r="F704" s="94" t="n">
        <v>-64.3</v>
      </c>
      <c r="G704" s="94" t="n">
        <v>-70.90000000000001</v>
      </c>
      <c r="H704" s="94" t="n">
        <v>-17.5</v>
      </c>
      <c r="I704" s="94" t="n">
        <v>-65</v>
      </c>
      <c r="J704" s="94" t="n">
        <v>-71.5</v>
      </c>
      <c r="K704" s="95" t="inlineStr">
        <is>
          <t>6696 MANY IDEA CLOUD</t>
        </is>
      </c>
    </row>
    <row r="705">
      <c r="A705" s="16" t="inlineStr">
        <is>
          <t>SCHP Master Fund</t>
        </is>
      </c>
      <c r="B705" s="88" t="n">
        <v>1</v>
      </c>
      <c r="C705" s="93" t="n">
        <v>100</v>
      </c>
      <c r="D705" s="94" t="n">
        <v>1.8</v>
      </c>
      <c r="E705" s="94" t="n">
        <v>10.1</v>
      </c>
      <c r="F705" s="94" t="n">
        <v>0.2</v>
      </c>
      <c r="G705" s="94" t="n">
        <v>-8.699999999999999</v>
      </c>
      <c r="H705" s="94" t="n">
        <v>8.1</v>
      </c>
      <c r="I705" s="94" t="n">
        <v>-1.6</v>
      </c>
      <c r="J705" s="94" t="n">
        <v>-10.3</v>
      </c>
      <c r="K705" s="95" t="inlineStr">
        <is>
          <t>2179 RECBIO-B</t>
        </is>
      </c>
    </row>
    <row r="706">
      <c r="A706" s="16" t="inlineStr">
        <is>
          <t>Dongfang Gold Industry (Hong Kong) Limited</t>
        </is>
      </c>
      <c r="B706" s="88" t="n">
        <v>1</v>
      </c>
      <c r="C706" s="93" t="n">
        <v>100</v>
      </c>
      <c r="D706" s="94" t="n">
        <v>1.8</v>
      </c>
      <c r="E706" s="94" t="n">
        <v>0</v>
      </c>
      <c r="F706" s="94" t="n">
        <v>1.8</v>
      </c>
      <c r="G706" s="94" t="n">
        <v>12.7</v>
      </c>
      <c r="H706" s="94" t="n">
        <v>-1.8</v>
      </c>
      <c r="I706" s="94" t="n">
        <v>0</v>
      </c>
      <c r="J706" s="94" t="n">
        <v>10.7</v>
      </c>
      <c r="K706" s="95" t="inlineStr">
        <is>
          <t>2489 PERSISTENCE RES</t>
        </is>
      </c>
    </row>
    <row r="707">
      <c r="A707" s="16" t="inlineStr">
        <is>
          <t>LifeTech Scientific Corporation</t>
        </is>
      </c>
      <c r="B707" s="88" t="n">
        <v>1</v>
      </c>
      <c r="C707" s="93" t="n">
        <v>100</v>
      </c>
      <c r="D707" s="94" t="n">
        <v>1.6</v>
      </c>
      <c r="E707" s="94" t="n">
        <v>0.5</v>
      </c>
      <c r="F707" s="94" t="n">
        <v>11.5</v>
      </c>
      <c r="G707" s="94" t="n">
        <v>28.4</v>
      </c>
      <c r="H707" s="94" t="n">
        <v>-1.1</v>
      </c>
      <c r="I707" s="94" t="n">
        <v>9.699999999999999</v>
      </c>
      <c r="J707" s="94" t="n">
        <v>26.4</v>
      </c>
      <c r="K707" s="95" t="inlineStr">
        <is>
          <t>9877 JENSCARE-B</t>
        </is>
      </c>
    </row>
    <row r="708">
      <c r="A708" s="16" t="inlineStr">
        <is>
          <t>Guiyang Agricultural Investment Development Co., Ltd</t>
        </is>
      </c>
      <c r="B708" s="88" t="n">
        <v>1</v>
      </c>
      <c r="C708" s="93" t="n">
        <v>100</v>
      </c>
      <c r="D708" s="94" t="n">
        <v>1.5</v>
      </c>
      <c r="E708" s="94" t="n">
        <v>2.2</v>
      </c>
      <c r="F708" s="94" t="n">
        <v>59.7</v>
      </c>
      <c r="G708" s="94" t="n">
        <v>18.9</v>
      </c>
      <c r="H708" s="94" t="n">
        <v>0.7</v>
      </c>
      <c r="I708" s="94" t="n">
        <v>57.3</v>
      </c>
      <c r="J708" s="94" t="n">
        <v>17.2</v>
      </c>
      <c r="K708" s="95" t="inlineStr">
        <is>
          <t>2419 DEKON AGR</t>
        </is>
      </c>
    </row>
    <row r="709">
      <c r="A709" s="16" t="inlineStr">
        <is>
          <t>Quxian Huixing Industrial Investment Co., Ltd</t>
        </is>
      </c>
      <c r="B709" s="88" t="n">
        <v>1</v>
      </c>
      <c r="C709" s="93" t="n">
        <v>100</v>
      </c>
      <c r="D709" s="94" t="n">
        <v>1.5</v>
      </c>
      <c r="E709" s="94" t="n">
        <v>2.2</v>
      </c>
      <c r="F709" s="94" t="n">
        <v>59.7</v>
      </c>
      <c r="G709" s="94" t="n">
        <v>18.9</v>
      </c>
      <c r="H709" s="94" t="n">
        <v>0.7</v>
      </c>
      <c r="I709" s="94" t="n">
        <v>57.3</v>
      </c>
      <c r="J709" s="94" t="n">
        <v>17.2</v>
      </c>
      <c r="K709" s="95" t="inlineStr">
        <is>
          <t>2419 DEKON AGR</t>
        </is>
      </c>
    </row>
    <row r="710">
      <c r="A710" s="16" t="inlineStr">
        <is>
          <t>Xiushan County Xinzhiyuan Market Management Co., Ltd</t>
        </is>
      </c>
      <c r="B710" s="88" t="n">
        <v>1</v>
      </c>
      <c r="C710" s="93" t="n">
        <v>100</v>
      </c>
      <c r="D710" s="94" t="n">
        <v>1.5</v>
      </c>
      <c r="E710" s="94" t="n">
        <v>2.2</v>
      </c>
      <c r="F710" s="94" t="n">
        <v>59.7</v>
      </c>
      <c r="G710" s="94" t="n">
        <v>18.9</v>
      </c>
      <c r="H710" s="94" t="n">
        <v>0.7</v>
      </c>
      <c r="I710" s="94" t="n">
        <v>57.3</v>
      </c>
      <c r="J710" s="94" t="n">
        <v>17.2</v>
      </c>
      <c r="K710" s="95" t="inlineStr">
        <is>
          <t>2419 DEKON AGR</t>
        </is>
      </c>
    </row>
    <row r="711">
      <c r="A711" s="16" t="inlineStr">
        <is>
          <t>True Light Investments H Pte. Ltd</t>
        </is>
      </c>
      <c r="B711" s="88" t="n">
        <v>1</v>
      </c>
      <c r="C711" s="93" t="n">
        <v>100</v>
      </c>
      <c r="D711" s="94" t="n">
        <v>1.5</v>
      </c>
      <c r="E711" s="94" t="n">
        <v>0.8</v>
      </c>
      <c r="F711" s="94" t="n">
        <v>-13.9</v>
      </c>
      <c r="G711" s="94" t="n">
        <v>-12.5</v>
      </c>
      <c r="H711" s="94" t="n">
        <v>-0.7</v>
      </c>
      <c r="I711" s="94" t="n">
        <v>-15.2</v>
      </c>
      <c r="J711" s="94" t="n">
        <v>-13.8</v>
      </c>
      <c r="K711" s="95" t="inlineStr">
        <is>
          <t>9980 EASTROC</t>
        </is>
      </c>
    </row>
    <row r="712">
      <c r="A712" s="16" t="inlineStr">
        <is>
          <t>Investments 1 Limited</t>
        </is>
      </c>
      <c r="B712" s="88" t="n">
        <v>1</v>
      </c>
      <c r="C712" s="93" t="n">
        <v>100</v>
      </c>
      <c r="D712" s="94" t="n">
        <v>1.5</v>
      </c>
      <c r="E712" s="94" t="n">
        <v>0.8</v>
      </c>
      <c r="F712" s="94" t="n">
        <v>-13.9</v>
      </c>
      <c r="G712" s="94" t="n">
        <v>-12.5</v>
      </c>
      <c r="H712" s="94" t="n">
        <v>-0.7</v>
      </c>
      <c r="I712" s="94" t="n">
        <v>-15.2</v>
      </c>
      <c r="J712" s="94" t="n">
        <v>-13.8</v>
      </c>
      <c r="K712" s="95" t="inlineStr">
        <is>
          <t>9980 EASTROC</t>
        </is>
      </c>
    </row>
    <row r="713">
      <c r="A713" s="16" t="inlineStr">
        <is>
          <t>Amazing Mountain Limited</t>
        </is>
      </c>
      <c r="B713" s="88" t="n">
        <v>1</v>
      </c>
      <c r="C713" s="93" t="n">
        <v>100</v>
      </c>
      <c r="D713" s="94" t="n">
        <v>1.5</v>
      </c>
      <c r="E713" s="94" t="n">
        <v>0.8</v>
      </c>
      <c r="F713" s="94" t="n">
        <v>-13.9</v>
      </c>
      <c r="G713" s="94" t="n">
        <v>-12.5</v>
      </c>
      <c r="H713" s="94" t="n">
        <v>-0.7</v>
      </c>
      <c r="I713" s="94" t="n">
        <v>-15.2</v>
      </c>
      <c r="J713" s="94" t="n">
        <v>-13.8</v>
      </c>
      <c r="K713" s="95" t="inlineStr">
        <is>
          <t>9980 EASTROC</t>
        </is>
      </c>
    </row>
    <row r="714">
      <c r="A714" s="16" t="inlineStr">
        <is>
          <t>Phase II L.P</t>
        </is>
      </c>
      <c r="B714" s="88" t="n">
        <v>1</v>
      </c>
      <c r="C714" s="93" t="n">
        <v>100</v>
      </c>
      <c r="D714" s="94" t="n">
        <v>1.5</v>
      </c>
      <c r="E714" s="94" t="n">
        <v>0.8</v>
      </c>
      <c r="F714" s="94" t="n">
        <v>-13.9</v>
      </c>
      <c r="G714" s="94" t="n">
        <v>-12.5</v>
      </c>
      <c r="H714" s="94" t="n">
        <v>-0.7</v>
      </c>
      <c r="I714" s="94" t="n">
        <v>-15.2</v>
      </c>
      <c r="J714" s="94" t="n">
        <v>-13.8</v>
      </c>
      <c r="K714" s="95" t="inlineStr">
        <is>
          <t>9980 EASTROC</t>
        </is>
      </c>
    </row>
    <row r="715">
      <c r="A715" s="16" t="inlineStr">
        <is>
          <t>China Winning Limited</t>
        </is>
      </c>
      <c r="B715" s="88" t="n">
        <v>1</v>
      </c>
      <c r="C715" s="93" t="n">
        <v>100</v>
      </c>
      <c r="D715" s="94" t="n">
        <v>1.5</v>
      </c>
      <c r="E715" s="94" t="n">
        <v>-10.1</v>
      </c>
      <c r="F715" s="94" t="n">
        <v>-20</v>
      </c>
      <c r="G715" s="94" t="n">
        <v>-29.1</v>
      </c>
      <c r="H715" s="94" t="n">
        <v>-11.4</v>
      </c>
      <c r="I715" s="94" t="n">
        <v>-21.2</v>
      </c>
      <c r="J715" s="94" t="n">
        <v>-30.2</v>
      </c>
      <c r="K715" s="95" t="inlineStr">
        <is>
          <t>3268 MEIG</t>
        </is>
      </c>
    </row>
    <row r="716">
      <c r="A716" s="16" t="inlineStr">
        <is>
          <t>Meiko Elec. Hong Kong Co., Limited</t>
        </is>
      </c>
      <c r="B716" s="88" t="n">
        <v>1</v>
      </c>
      <c r="C716" s="93" t="n">
        <v>100</v>
      </c>
      <c r="D716" s="94" t="n">
        <v>1.5</v>
      </c>
      <c r="E716" s="94" t="n">
        <v>-10.1</v>
      </c>
      <c r="F716" s="94" t="n">
        <v>-20</v>
      </c>
      <c r="G716" s="94" t="n">
        <v>-29.1</v>
      </c>
      <c r="H716" s="94" t="n">
        <v>-11.4</v>
      </c>
      <c r="I716" s="94" t="n">
        <v>-21.2</v>
      </c>
      <c r="J716" s="94" t="n">
        <v>-30.2</v>
      </c>
      <c r="K716" s="95" t="inlineStr">
        <is>
          <t>3268 MEIG</t>
        </is>
      </c>
    </row>
    <row r="717">
      <c r="A717" s="16" t="inlineStr">
        <is>
          <t>Mr. Chau Tsang Cheong</t>
        </is>
      </c>
      <c r="B717" s="88" t="n">
        <v>1</v>
      </c>
      <c r="C717" s="93" t="n">
        <v>100</v>
      </c>
      <c r="D717" s="94" t="n">
        <v>1.5</v>
      </c>
      <c r="E717" s="94" t="n">
        <v>-10.1</v>
      </c>
      <c r="F717" s="94" t="n">
        <v>-20</v>
      </c>
      <c r="G717" s="94" t="n">
        <v>-29.1</v>
      </c>
      <c r="H717" s="94" t="n">
        <v>-11.4</v>
      </c>
      <c r="I717" s="94" t="n">
        <v>-21.2</v>
      </c>
      <c r="J717" s="94" t="n">
        <v>-30.2</v>
      </c>
      <c r="K717" s="95" t="inlineStr">
        <is>
          <t>3268 MEIG</t>
        </is>
      </c>
    </row>
    <row r="718">
      <c r="A718" s="16" t="inlineStr">
        <is>
          <t>Open Wealth Management Limited</t>
        </is>
      </c>
      <c r="B718" s="88" t="n">
        <v>1</v>
      </c>
      <c r="C718" s="93" t="n">
        <v>100</v>
      </c>
      <c r="D718" s="94" t="n">
        <v>1.5</v>
      </c>
      <c r="E718" s="94" t="n">
        <v>-10.1</v>
      </c>
      <c r="F718" s="94" t="n">
        <v>-20</v>
      </c>
      <c r="G718" s="94" t="n">
        <v>-29.1</v>
      </c>
      <c r="H718" s="94" t="n">
        <v>-11.4</v>
      </c>
      <c r="I718" s="94" t="n">
        <v>-21.2</v>
      </c>
      <c r="J718" s="94" t="n">
        <v>-30.2</v>
      </c>
      <c r="K718" s="95" t="inlineStr">
        <is>
          <t>3268 MEIG</t>
        </is>
      </c>
    </row>
    <row r="719">
      <c r="A719" s="16" t="inlineStr">
        <is>
          <t>WinTwin Capital Limited</t>
        </is>
      </c>
      <c r="B719" s="88" t="n">
        <v>1</v>
      </c>
      <c r="C719" s="93" t="n">
        <v>100</v>
      </c>
      <c r="D719" s="94" t="n">
        <v>1.2</v>
      </c>
      <c r="E719" s="94" t="n">
        <v>17</v>
      </c>
      <c r="F719" s="94" t="n">
        <v>-25.3</v>
      </c>
      <c r="G719" s="94" t="n">
        <v>-1.3</v>
      </c>
      <c r="H719" s="94" t="n">
        <v>15.5</v>
      </c>
      <c r="I719" s="94" t="n">
        <v>-26.2</v>
      </c>
      <c r="J719" s="94" t="n">
        <v>-2.5</v>
      </c>
      <c r="K719" s="95" t="inlineStr">
        <is>
          <t>2170 BASECARE-B</t>
        </is>
      </c>
    </row>
    <row r="720">
      <c r="A720" s="16" t="inlineStr">
        <is>
          <t>RSC Ltd</t>
        </is>
      </c>
      <c r="B720" s="88" t="n">
        <v>1</v>
      </c>
      <c r="C720" s="93" t="n">
        <v>100</v>
      </c>
      <c r="D720" s="94" t="n">
        <v>1.1</v>
      </c>
      <c r="E720" s="94" t="n">
        <v>0.7</v>
      </c>
      <c r="F720" s="94" t="n">
        <v>0.3</v>
      </c>
      <c r="G720" s="94" t="n">
        <v>21.1</v>
      </c>
      <c r="H720" s="94" t="n">
        <v>-0.4</v>
      </c>
      <c r="I720" s="94" t="n">
        <v>-0.8</v>
      </c>
      <c r="J720" s="94" t="n">
        <v>19.8</v>
      </c>
      <c r="K720" s="95" t="inlineStr">
        <is>
          <t>1828 FWD</t>
        </is>
      </c>
    </row>
    <row r="721">
      <c r="A721" s="16" t="inlineStr">
        <is>
          <t>Crimson White Investment Pte. Ltd</t>
        </is>
      </c>
      <c r="B721" s="88" t="n">
        <v>1</v>
      </c>
      <c r="C721" s="93" t="n">
        <v>100</v>
      </c>
      <c r="D721" s="94" t="n">
        <v>1.1</v>
      </c>
      <c r="E721" s="94" t="n">
        <v>0.7</v>
      </c>
      <c r="F721" s="94" t="n">
        <v>0.3</v>
      </c>
      <c r="G721" s="94" t="n">
        <v>21.1</v>
      </c>
      <c r="H721" s="94" t="n">
        <v>-0.4</v>
      </c>
      <c r="I721" s="94" t="n">
        <v>-0.8</v>
      </c>
      <c r="J721" s="94" t="n">
        <v>19.8</v>
      </c>
      <c r="K721" s="95" t="inlineStr">
        <is>
          <t>1828 FWD</t>
        </is>
      </c>
    </row>
    <row r="722">
      <c r="A722" s="16" t="inlineStr">
        <is>
          <t>Apollo Principal Holdings C, L.P</t>
        </is>
      </c>
      <c r="B722" s="88" t="n">
        <v>1</v>
      </c>
      <c r="C722" s="93" t="n">
        <v>100</v>
      </c>
      <c r="D722" s="94" t="n">
        <v>1.1</v>
      </c>
      <c r="E722" s="94" t="n">
        <v>0.7</v>
      </c>
      <c r="F722" s="94" t="n">
        <v>0.3</v>
      </c>
      <c r="G722" s="94" t="n">
        <v>21.1</v>
      </c>
      <c r="H722" s="94" t="n">
        <v>-0.4</v>
      </c>
      <c r="I722" s="94" t="n">
        <v>-0.8</v>
      </c>
      <c r="J722" s="94" t="n">
        <v>19.8</v>
      </c>
      <c r="K722" s="95" t="inlineStr">
        <is>
          <t>1828 FWD</t>
        </is>
      </c>
    </row>
    <row r="723">
      <c r="A723" s="16" t="inlineStr">
        <is>
          <t>SCB X Public Company Limited</t>
        </is>
      </c>
      <c r="B723" s="88" t="n">
        <v>1</v>
      </c>
      <c r="C723" s="93" t="n">
        <v>100</v>
      </c>
      <c r="D723" s="94" t="n">
        <v>1.1</v>
      </c>
      <c r="E723" s="94" t="n">
        <v>0.7</v>
      </c>
      <c r="F723" s="94" t="n">
        <v>0.3</v>
      </c>
      <c r="G723" s="94" t="n">
        <v>21.1</v>
      </c>
      <c r="H723" s="94" t="n">
        <v>-0.4</v>
      </c>
      <c r="I723" s="94" t="n">
        <v>-0.8</v>
      </c>
      <c r="J723" s="94" t="n">
        <v>19.8</v>
      </c>
      <c r="K723" s="95" t="inlineStr">
        <is>
          <t>1828 FWD</t>
        </is>
      </c>
    </row>
    <row r="724">
      <c r="A724" s="16" t="inlineStr">
        <is>
          <t>DGA Capital (Master) Fund I LP</t>
        </is>
      </c>
      <c r="B724" s="88" t="n">
        <v>1</v>
      </c>
      <c r="C724" s="93" t="n">
        <v>100</v>
      </c>
      <c r="D724" s="94" t="n">
        <v>1.1</v>
      </c>
      <c r="E724" s="94" t="n">
        <v>0.7</v>
      </c>
      <c r="F724" s="94" t="n">
        <v>0.3</v>
      </c>
      <c r="G724" s="94" t="n">
        <v>21.1</v>
      </c>
      <c r="H724" s="94" t="n">
        <v>-0.4</v>
      </c>
      <c r="I724" s="94" t="n">
        <v>-0.8</v>
      </c>
      <c r="J724" s="94" t="n">
        <v>19.8</v>
      </c>
      <c r="K724" s="95" t="inlineStr">
        <is>
          <t>1828 FWD</t>
        </is>
      </c>
    </row>
    <row r="725">
      <c r="A725" s="16" t="inlineStr">
        <is>
          <t>Mr. Wang Wei</t>
        </is>
      </c>
      <c r="B725" s="88" t="n">
        <v>1</v>
      </c>
      <c r="C725" s="93" t="n">
        <v>100</v>
      </c>
      <c r="D725" s="94" t="n">
        <v>1</v>
      </c>
      <c r="E725" s="94" t="n">
        <v>1.5</v>
      </c>
      <c r="F725" s="94" t="n">
        <v>23.8</v>
      </c>
      <c r="G725" s="94" t="n">
        <v>313.5</v>
      </c>
      <c r="H725" s="94" t="n">
        <v>0.5</v>
      </c>
      <c r="I725" s="94" t="n">
        <v>22.5</v>
      </c>
      <c r="J725" s="94" t="n">
        <v>309.3</v>
      </c>
      <c r="K725" s="95" t="inlineStr">
        <is>
          <t>3317 XUNCE</t>
        </is>
      </c>
    </row>
    <row r="726">
      <c r="A726" s="16" t="inlineStr">
        <is>
          <t>Chongqing Dazuhuaiyuan Construction Investment Co., L</t>
        </is>
      </c>
      <c r="B726" s="88" t="n">
        <v>1</v>
      </c>
      <c r="C726" s="93" t="n">
        <v>100</v>
      </c>
      <c r="D726" s="94" t="n">
        <v>0.9</v>
      </c>
      <c r="E726" s="94" t="n">
        <v>-1.6</v>
      </c>
      <c r="F726" s="94" t="n">
        <v>0.5</v>
      </c>
      <c r="G726" s="94" t="n">
        <v>-1.4</v>
      </c>
      <c r="H726" s="94" t="n">
        <v>-2.6</v>
      </c>
      <c r="I726" s="94" t="n">
        <v>-0.4</v>
      </c>
      <c r="J726" s="94" t="n">
        <v>-2.3</v>
      </c>
      <c r="K726" s="95" t="inlineStr">
        <is>
          <t>2451 LUYUAN GP HLDG</t>
        </is>
      </c>
    </row>
    <row r="727">
      <c r="A727" s="16" t="inlineStr">
        <is>
          <t>Phylion Battery Co., Ltd</t>
        </is>
      </c>
      <c r="B727" s="88" t="n">
        <v>1</v>
      </c>
      <c r="C727" s="93" t="n">
        <v>100</v>
      </c>
      <c r="D727" s="94" t="n">
        <v>0.9</v>
      </c>
      <c r="E727" s="94" t="n">
        <v>-1.6</v>
      </c>
      <c r="F727" s="94" t="n">
        <v>0.5</v>
      </c>
      <c r="G727" s="94" t="n">
        <v>-1.4</v>
      </c>
      <c r="H727" s="94" t="n">
        <v>-2.6</v>
      </c>
      <c r="I727" s="94" t="n">
        <v>-0.4</v>
      </c>
      <c r="J727" s="94" t="n">
        <v>-2.3</v>
      </c>
      <c r="K727" s="95" t="inlineStr">
        <is>
          <t>2451 LUYUAN GP HLDG</t>
        </is>
      </c>
    </row>
    <row r="728">
      <c r="A728" s="16" t="inlineStr">
        <is>
          <t>E-Town International Holding (Hong Kong) Co., Limited</t>
        </is>
      </c>
      <c r="B728" s="88" t="n">
        <v>1</v>
      </c>
      <c r="C728" s="93" t="n">
        <v>100</v>
      </c>
      <c r="D728" s="94" t="n">
        <v>0.9</v>
      </c>
      <c r="E728" s="94" t="n">
        <v>-2.2</v>
      </c>
      <c r="F728" s="94" t="n">
        <v>0</v>
      </c>
      <c r="G728" s="94" t="n">
        <v>143.8</v>
      </c>
      <c r="H728" s="94" t="n">
        <v>-3.1</v>
      </c>
      <c r="I728" s="94" t="n">
        <v>-0.9</v>
      </c>
      <c r="J728" s="94" t="n">
        <v>141.5</v>
      </c>
      <c r="K728" s="95" t="inlineStr">
        <is>
          <t>9880 UBTECH ROBOTICS</t>
        </is>
      </c>
    </row>
    <row r="729">
      <c r="A729" s="16" t="inlineStr">
        <is>
          <t>Chen Xiong</t>
        </is>
      </c>
      <c r="B729" s="88" t="n">
        <v>1</v>
      </c>
      <c r="C729" s="93" t="n">
        <v>100</v>
      </c>
      <c r="D729" s="94" t="n">
        <v>0.8</v>
      </c>
      <c r="E729" s="94" t="n">
        <v>0.8</v>
      </c>
      <c r="F729" s="94" t="n">
        <v>0</v>
      </c>
      <c r="G729" s="94" t="n">
        <v>0</v>
      </c>
      <c r="H729" s="94" t="n">
        <v>0</v>
      </c>
      <c r="I729" s="94" t="n">
        <v>-0.8</v>
      </c>
      <c r="J729" s="94" t="n">
        <v>-0.8</v>
      </c>
      <c r="K729" s="95" t="inlineStr">
        <is>
          <t>2260 VANOV HOLDINGS</t>
        </is>
      </c>
    </row>
    <row r="730">
      <c r="A730" s="16" t="inlineStr">
        <is>
          <t>Gong Chaohui</t>
        </is>
      </c>
      <c r="B730" s="88" t="n">
        <v>1</v>
      </c>
      <c r="C730" s="93" t="n">
        <v>100</v>
      </c>
      <c r="D730" s="94" t="n">
        <v>0.8</v>
      </c>
      <c r="E730" s="94" t="n">
        <v>0.8</v>
      </c>
      <c r="F730" s="94" t="n">
        <v>0</v>
      </c>
      <c r="G730" s="94" t="n">
        <v>0</v>
      </c>
      <c r="H730" s="94" t="n">
        <v>0</v>
      </c>
      <c r="I730" s="94" t="n">
        <v>-0.8</v>
      </c>
      <c r="J730" s="94" t="n">
        <v>-0.8</v>
      </c>
      <c r="K730" s="95" t="inlineStr">
        <is>
          <t>2260 VANOV HOLDINGS</t>
        </is>
      </c>
    </row>
    <row r="731">
      <c r="A731" s="16" t="inlineStr">
        <is>
          <t>Duke King Holdings Limited</t>
        </is>
      </c>
      <c r="B731" s="88" t="n">
        <v>1</v>
      </c>
      <c r="C731" s="93" t="n">
        <v>100</v>
      </c>
      <c r="D731" s="94" t="n">
        <v>0.8</v>
      </c>
      <c r="E731" s="94" t="n">
        <v>-0.8</v>
      </c>
      <c r="F731" s="94" t="n">
        <v>-7.7</v>
      </c>
      <c r="G731" s="94" t="n">
        <v>-4.8</v>
      </c>
      <c r="H731" s="94" t="n">
        <v>-1.6</v>
      </c>
      <c r="I731" s="94" t="n">
        <v>-8.4</v>
      </c>
      <c r="J731" s="94" t="n">
        <v>-5.6</v>
      </c>
      <c r="K731" s="95" t="inlineStr">
        <is>
          <t>9636 JF WEALTH</t>
        </is>
      </c>
    </row>
    <row r="732">
      <c r="A732" s="16" t="inlineStr">
        <is>
          <t>Garland Glory Holdings Limited</t>
        </is>
      </c>
      <c r="B732" s="88" t="n">
        <v>1</v>
      </c>
      <c r="C732" s="93" t="n">
        <v>100</v>
      </c>
      <c r="D732" s="94" t="n">
        <v>0.8</v>
      </c>
      <c r="E732" s="94" t="n">
        <v>-0.8</v>
      </c>
      <c r="F732" s="94" t="n">
        <v>-7.7</v>
      </c>
      <c r="G732" s="94" t="n">
        <v>-4.8</v>
      </c>
      <c r="H732" s="94" t="n">
        <v>-1.6</v>
      </c>
      <c r="I732" s="94" t="n">
        <v>-8.4</v>
      </c>
      <c r="J732" s="94" t="n">
        <v>-5.6</v>
      </c>
      <c r="K732" s="95" t="inlineStr">
        <is>
          <t>9636 JF WEALTH</t>
        </is>
      </c>
    </row>
    <row r="733">
      <c r="A733" s="16" t="inlineStr">
        <is>
          <t>Orchid Asia V Co-Investment, Limited</t>
        </is>
      </c>
      <c r="B733" s="88" t="n">
        <v>1</v>
      </c>
      <c r="C733" s="93" t="n">
        <v>100</v>
      </c>
      <c r="D733" s="94" t="n">
        <v>0.8</v>
      </c>
      <c r="E733" s="94" t="n">
        <v>-0.8</v>
      </c>
      <c r="F733" s="94" t="n">
        <v>-7.7</v>
      </c>
      <c r="G733" s="94" t="n">
        <v>-4.8</v>
      </c>
      <c r="H733" s="94" t="n">
        <v>-1.6</v>
      </c>
      <c r="I733" s="94" t="n">
        <v>-8.4</v>
      </c>
      <c r="J733" s="94" t="n">
        <v>-5.6</v>
      </c>
      <c r="K733" s="95" t="inlineStr">
        <is>
          <t>9636 JF WEALTH</t>
        </is>
      </c>
    </row>
    <row r="734">
      <c r="A734" s="16" t="inlineStr">
        <is>
          <t>Welight Capital L.P</t>
        </is>
      </c>
      <c r="B734" s="88" t="n">
        <v>1</v>
      </c>
      <c r="C734" s="93" t="n">
        <v>100</v>
      </c>
      <c r="D734" s="94" t="n">
        <v>0.7</v>
      </c>
      <c r="E734" s="94" t="n">
        <v>1.6</v>
      </c>
      <c r="F734" s="94" t="n">
        <v>15.5</v>
      </c>
      <c r="G734" s="94" t="n">
        <v>0</v>
      </c>
      <c r="H734" s="94" t="n">
        <v>1</v>
      </c>
      <c r="I734" s="94" t="n">
        <v>14.8</v>
      </c>
      <c r="J734" s="94" t="n">
        <v>-0.7</v>
      </c>
      <c r="K734" s="95" t="inlineStr">
        <is>
          <t>3880 MEDTIDE</t>
        </is>
      </c>
    </row>
    <row r="735">
      <c r="A735" s="16" t="inlineStr">
        <is>
          <t>Shenzhen Victory Investment Fund Management Company Limited</t>
        </is>
      </c>
      <c r="B735" s="88" t="n">
        <v>1</v>
      </c>
      <c r="C735" s="93" t="n">
        <v>100</v>
      </c>
      <c r="D735" s="94" t="n">
        <v>0.6</v>
      </c>
      <c r="E735" s="94" t="n">
        <v>-3.4</v>
      </c>
      <c r="F735" s="94" t="n">
        <v>-1.6</v>
      </c>
      <c r="G735" s="94" t="n">
        <v>-6.5</v>
      </c>
      <c r="H735" s="94" t="n">
        <v>-4</v>
      </c>
      <c r="I735" s="94" t="n">
        <v>-2.2</v>
      </c>
      <c r="J735" s="94" t="n">
        <v>-7</v>
      </c>
      <c r="K735" s="95" t="inlineStr">
        <is>
          <t>3288 HAITIAN FLAV</t>
        </is>
      </c>
    </row>
    <row r="736">
      <c r="A736" s="16" t="inlineStr">
        <is>
          <t>Charm Harvest International Limited</t>
        </is>
      </c>
      <c r="B736" s="88" t="n">
        <v>1</v>
      </c>
      <c r="C736" s="93" t="n">
        <v>100</v>
      </c>
      <c r="D736" s="94" t="n">
        <v>0.6</v>
      </c>
      <c r="E736" s="94" t="n">
        <v>-2</v>
      </c>
      <c r="F736" s="94" t="n">
        <v>-17.6</v>
      </c>
      <c r="G736" s="94" t="n">
        <v>-24.2</v>
      </c>
      <c r="H736" s="94" t="n">
        <v>-2.6</v>
      </c>
      <c r="I736" s="94" t="n">
        <v>-18.1</v>
      </c>
      <c r="J736" s="94" t="n">
        <v>-24.6</v>
      </c>
      <c r="K736" s="95" t="inlineStr">
        <is>
          <t>2493 MABWELL-B</t>
        </is>
      </c>
    </row>
    <row r="737">
      <c r="A737" s="16" t="inlineStr">
        <is>
          <t>Junshi Hong Kong Limited</t>
        </is>
      </c>
      <c r="B737" s="88" t="n">
        <v>1</v>
      </c>
      <c r="C737" s="93" t="n">
        <v>100</v>
      </c>
      <c r="D737" s="94" t="n">
        <v>0.6</v>
      </c>
      <c r="E737" s="94" t="n">
        <v>-2</v>
      </c>
      <c r="F737" s="94" t="n">
        <v>-17.6</v>
      </c>
      <c r="G737" s="94" t="n">
        <v>-24.2</v>
      </c>
      <c r="H737" s="94" t="n">
        <v>-2.6</v>
      </c>
      <c r="I737" s="94" t="n">
        <v>-18.1</v>
      </c>
      <c r="J737" s="94" t="n">
        <v>-24.6</v>
      </c>
      <c r="K737" s="95" t="inlineStr">
        <is>
          <t>2493 MABWELL-B</t>
        </is>
      </c>
    </row>
    <row r="738">
      <c r="A738" s="16" t="inlineStr">
        <is>
          <t>Golden Star International Pty Limited</t>
        </is>
      </c>
      <c r="B738" s="88" t="n">
        <v>1</v>
      </c>
      <c r="C738" s="93" t="n">
        <v>100</v>
      </c>
      <c r="D738" s="94" t="n">
        <v>0.5</v>
      </c>
      <c r="E738" s="94" t="n">
        <v>5</v>
      </c>
      <c r="F738" s="94" t="n">
        <v>-25.8</v>
      </c>
      <c r="G738" s="94" t="n">
        <v>-45.3</v>
      </c>
      <c r="H738" s="94" t="n">
        <v>4.5</v>
      </c>
      <c r="I738" s="94" t="n">
        <v>-26.2</v>
      </c>
      <c r="J738" s="94" t="n">
        <v>-45.5</v>
      </c>
      <c r="K738" s="95" t="inlineStr">
        <is>
          <t>3658 NEW HOPE SERV</t>
        </is>
      </c>
    </row>
    <row r="739">
      <c r="A739" s="16" t="inlineStr">
        <is>
          <t>Neptune Investments Holdings Limited</t>
        </is>
      </c>
      <c r="B739" s="88" t="n">
        <v>1</v>
      </c>
      <c r="C739" s="93" t="n">
        <v>100</v>
      </c>
      <c r="D739" s="94" t="n">
        <v>0.5</v>
      </c>
      <c r="E739" s="94" t="n">
        <v>5</v>
      </c>
      <c r="F739" s="94" t="n">
        <v>-25.8</v>
      </c>
      <c r="G739" s="94" t="n">
        <v>-45.3</v>
      </c>
      <c r="H739" s="94" t="n">
        <v>4.5</v>
      </c>
      <c r="I739" s="94" t="n">
        <v>-26.2</v>
      </c>
      <c r="J739" s="94" t="n">
        <v>-45.5</v>
      </c>
      <c r="K739" s="95" t="inlineStr">
        <is>
          <t>3658 NEW HOPE SERV</t>
        </is>
      </c>
    </row>
    <row r="740">
      <c r="A740" s="16" t="inlineStr">
        <is>
          <t>Peak Reinsurance Company Limited</t>
        </is>
      </c>
      <c r="B740" s="88" t="n">
        <v>1</v>
      </c>
      <c r="C740" s="93" t="n">
        <v>100</v>
      </c>
      <c r="D740" s="94" t="n">
        <v>0.5</v>
      </c>
      <c r="E740" s="94" t="n">
        <v>5</v>
      </c>
      <c r="F740" s="94" t="n">
        <v>-25.8</v>
      </c>
      <c r="G740" s="94" t="n">
        <v>-45.3</v>
      </c>
      <c r="H740" s="94" t="n">
        <v>4.5</v>
      </c>
      <c r="I740" s="94" t="n">
        <v>-26.2</v>
      </c>
      <c r="J740" s="94" t="n">
        <v>-45.5</v>
      </c>
      <c r="K740" s="95" t="inlineStr">
        <is>
          <t>3658 NEW HOPE SERV</t>
        </is>
      </c>
    </row>
    <row r="741">
      <c r="A741" s="16" t="inlineStr">
        <is>
          <t>So-Young Hong Kong Limited</t>
        </is>
      </c>
      <c r="B741" s="88" t="n">
        <v>1</v>
      </c>
      <c r="C741" s="93" t="n">
        <v>100</v>
      </c>
      <c r="D741" s="94" t="n">
        <v>0.5</v>
      </c>
      <c r="E741" s="94" t="n">
        <v>38.7</v>
      </c>
      <c r="F741" s="94" t="n">
        <v>-1.6</v>
      </c>
      <c r="G741" s="94" t="n">
        <v>1.4</v>
      </c>
      <c r="H741" s="94" t="n">
        <v>38</v>
      </c>
      <c r="I741" s="94" t="n">
        <v>-2</v>
      </c>
      <c r="J741" s="94" t="n">
        <v>0.9</v>
      </c>
      <c r="K741" s="95" t="inlineStr">
        <is>
          <t>2487 CUTIA-B</t>
        </is>
      </c>
    </row>
    <row r="742">
      <c r="A742" s="16" t="inlineStr">
        <is>
          <t>HK InnoSC</t>
        </is>
      </c>
      <c r="B742" s="88" t="n">
        <v>1</v>
      </c>
      <c r="C742" s="93" t="n">
        <v>100</v>
      </c>
      <c r="D742" s="94" t="n">
        <v>0.5</v>
      </c>
      <c r="E742" s="94" t="n">
        <v>-0</v>
      </c>
      <c r="F742" s="94" t="n">
        <v>32.7</v>
      </c>
      <c r="G742" s="94" t="n">
        <v>44.2</v>
      </c>
      <c r="H742" s="94" t="n">
        <v>-0.5</v>
      </c>
      <c r="I742" s="94" t="n">
        <v>32.1</v>
      </c>
      <c r="J742" s="94" t="n">
        <v>43.5</v>
      </c>
      <c r="K742" s="95" t="inlineStr">
        <is>
          <t>2577 INNOSCIENCE</t>
        </is>
      </c>
    </row>
    <row r="743">
      <c r="A743" s="16" t="inlineStr">
        <is>
          <t>Inno CL</t>
        </is>
      </c>
      <c r="B743" s="88" t="n">
        <v>1</v>
      </c>
      <c r="C743" s="93" t="n">
        <v>100</v>
      </c>
      <c r="D743" s="94" t="n">
        <v>0.5</v>
      </c>
      <c r="E743" s="94" t="n">
        <v>-0</v>
      </c>
      <c r="F743" s="94" t="n">
        <v>32.7</v>
      </c>
      <c r="G743" s="94" t="n">
        <v>44.2</v>
      </c>
      <c r="H743" s="94" t="n">
        <v>-0.5</v>
      </c>
      <c r="I743" s="94" t="n">
        <v>32.1</v>
      </c>
      <c r="J743" s="94" t="n">
        <v>43.5</v>
      </c>
      <c r="K743" s="95" t="inlineStr">
        <is>
          <t>2577 INNOSCIENCE</t>
        </is>
      </c>
    </row>
    <row r="744">
      <c r="A744" s="16" t="inlineStr">
        <is>
          <t>Fuqing Shengde Calorie Investment Co., Ltd</t>
        </is>
      </c>
      <c r="B744" s="88" t="n">
        <v>1</v>
      </c>
      <c r="C744" s="93" t="n">
        <v>100</v>
      </c>
      <c r="D744" s="94" t="n">
        <v>0.3</v>
      </c>
      <c r="E744" s="94" t="n">
        <v>-0.2</v>
      </c>
      <c r="F744" s="94" t="n">
        <v>9.300000000000001</v>
      </c>
      <c r="G744" s="94" t="n">
        <v>0.6</v>
      </c>
      <c r="H744" s="94" t="n">
        <v>-0.5</v>
      </c>
      <c r="I744" s="94" t="n">
        <v>9</v>
      </c>
      <c r="J744" s="94" t="n">
        <v>0.3</v>
      </c>
      <c r="K744" s="95" t="inlineStr">
        <is>
          <t>3650 KEEP</t>
        </is>
      </c>
    </row>
    <row r="745">
      <c r="A745" s="16" t="inlineStr">
        <is>
          <t>Shenzhen Fenda Technology Co., Ltd</t>
        </is>
      </c>
      <c r="B745" s="88" t="n">
        <v>1</v>
      </c>
      <c r="C745" s="93" t="n">
        <v>100</v>
      </c>
      <c r="D745" s="94" t="n">
        <v>0.3</v>
      </c>
      <c r="E745" s="94" t="n">
        <v>-0.2</v>
      </c>
      <c r="F745" s="94" t="n">
        <v>9.300000000000001</v>
      </c>
      <c r="G745" s="94" t="n">
        <v>0.6</v>
      </c>
      <c r="H745" s="94" t="n">
        <v>-0.5</v>
      </c>
      <c r="I745" s="94" t="n">
        <v>9</v>
      </c>
      <c r="J745" s="94" t="n">
        <v>0.3</v>
      </c>
      <c r="K745" s="95" t="inlineStr">
        <is>
          <t>3650 KEEP</t>
        </is>
      </c>
    </row>
    <row r="746">
      <c r="A746" s="16" t="inlineStr">
        <is>
          <t>Leyard (HongKong) Co., Limited</t>
        </is>
      </c>
      <c r="B746" s="88" t="n">
        <v>1</v>
      </c>
      <c r="C746" s="93" t="n">
        <v>100</v>
      </c>
      <c r="D746" s="94" t="n">
        <v>0.3</v>
      </c>
      <c r="E746" s="94" t="n">
        <v>-19.4</v>
      </c>
      <c r="F746" s="94" t="n">
        <v>-7.8</v>
      </c>
      <c r="G746" s="94" t="n">
        <v>-12.5</v>
      </c>
      <c r="H746" s="94" t="n">
        <v>-19.6</v>
      </c>
      <c r="I746" s="94" t="n">
        <v>-8.1</v>
      </c>
      <c r="J746" s="94" t="n">
        <v>-12.8</v>
      </c>
      <c r="K746" s="95" t="inlineStr">
        <is>
          <t>2529 HOLLWIN URBAN</t>
        </is>
      </c>
    </row>
    <row r="747">
      <c r="A747" s="16" t="inlineStr">
        <is>
          <t>Sanan International Holding Co., Limited</t>
        </is>
      </c>
      <c r="B747" s="88" t="n">
        <v>1</v>
      </c>
      <c r="C747" s="93" t="n">
        <v>100</v>
      </c>
      <c r="D747" s="94" t="n">
        <v>0.3</v>
      </c>
      <c r="E747" s="94" t="n">
        <v>-19.4</v>
      </c>
      <c r="F747" s="94" t="n">
        <v>-7.8</v>
      </c>
      <c r="G747" s="94" t="n">
        <v>-12.5</v>
      </c>
      <c r="H747" s="94" t="n">
        <v>-19.6</v>
      </c>
      <c r="I747" s="94" t="n">
        <v>-8.1</v>
      </c>
      <c r="J747" s="94" t="n">
        <v>-12.8</v>
      </c>
      <c r="K747" s="95" t="inlineStr">
        <is>
          <t>2529 HOLLWIN URBAN</t>
        </is>
      </c>
    </row>
    <row r="748">
      <c r="A748" s="16" t="inlineStr">
        <is>
          <t>Xiangzheng Capital Limited</t>
        </is>
      </c>
      <c r="B748" s="88" t="n">
        <v>1</v>
      </c>
      <c r="C748" s="93" t="n">
        <v>100</v>
      </c>
      <c r="D748" s="94" t="n">
        <v>0.3</v>
      </c>
      <c r="E748" s="94" t="n">
        <v>-19.4</v>
      </c>
      <c r="F748" s="94" t="n">
        <v>-7.8</v>
      </c>
      <c r="G748" s="94" t="n">
        <v>-12.5</v>
      </c>
      <c r="H748" s="94" t="n">
        <v>-19.6</v>
      </c>
      <c r="I748" s="94" t="n">
        <v>-8.1</v>
      </c>
      <c r="J748" s="94" t="n">
        <v>-12.8</v>
      </c>
      <c r="K748" s="95" t="inlineStr">
        <is>
          <t>2529 HOLLWIN URBAN</t>
        </is>
      </c>
    </row>
    <row r="749">
      <c r="A749" s="16" t="inlineStr">
        <is>
          <t>FUHUIDA HK</t>
        </is>
      </c>
      <c r="B749" s="88" t="n">
        <v>1</v>
      </c>
      <c r="C749" s="93" t="n">
        <v>100</v>
      </c>
      <c r="D749" s="94" t="n">
        <v>0.3</v>
      </c>
      <c r="E749" s="94" t="n">
        <v>-18.8</v>
      </c>
      <c r="F749" s="94" t="n">
        <v>-30.5</v>
      </c>
      <c r="G749" s="94" t="n">
        <v>-42.1</v>
      </c>
      <c r="H749" s="94" t="n">
        <v>-19</v>
      </c>
      <c r="I749" s="94" t="n">
        <v>-30.7</v>
      </c>
      <c r="J749" s="94" t="n">
        <v>-42.3</v>
      </c>
      <c r="K749" s="95" t="inlineStr">
        <is>
          <t>1641 HX COLDCHAIN</t>
        </is>
      </c>
    </row>
    <row r="750">
      <c r="A750" s="16" t="inlineStr">
        <is>
          <t>Huang Fusheng (黃福生)</t>
        </is>
      </c>
      <c r="B750" s="88" t="n">
        <v>1</v>
      </c>
      <c r="C750" s="93" t="n">
        <v>100</v>
      </c>
      <c r="D750" s="94" t="n">
        <v>0.3</v>
      </c>
      <c r="E750" s="94" t="n">
        <v>-18.8</v>
      </c>
      <c r="F750" s="94" t="n">
        <v>-30.5</v>
      </c>
      <c r="G750" s="94" t="n">
        <v>-42.1</v>
      </c>
      <c r="H750" s="94" t="n">
        <v>-19</v>
      </c>
      <c r="I750" s="94" t="n">
        <v>-30.7</v>
      </c>
      <c r="J750" s="94" t="n">
        <v>-42.3</v>
      </c>
      <c r="K750" s="95" t="inlineStr">
        <is>
          <t>1641 HX COLDCHAIN</t>
        </is>
      </c>
    </row>
    <row r="751">
      <c r="A751" s="16" t="inlineStr">
        <is>
          <t>Cheng Yan (成燕)</t>
        </is>
      </c>
      <c r="B751" s="88" t="n">
        <v>1</v>
      </c>
      <c r="C751" s="93" t="n">
        <v>100</v>
      </c>
      <c r="D751" s="94" t="n">
        <v>0.3</v>
      </c>
      <c r="E751" s="94" t="n">
        <v>-18.8</v>
      </c>
      <c r="F751" s="94" t="n">
        <v>-30.5</v>
      </c>
      <c r="G751" s="94" t="n">
        <v>-42.1</v>
      </c>
      <c r="H751" s="94" t="n">
        <v>-19</v>
      </c>
      <c r="I751" s="94" t="n">
        <v>-30.7</v>
      </c>
      <c r="J751" s="94" t="n">
        <v>-42.3</v>
      </c>
      <c r="K751" s="95" t="inlineStr">
        <is>
          <t>1641 HX COLDCHAIN</t>
        </is>
      </c>
    </row>
    <row r="752">
      <c r="A752" s="16" t="inlineStr">
        <is>
          <t>Luo Tiexing (羅鐵興)</t>
        </is>
      </c>
      <c r="B752" s="88" t="n">
        <v>1</v>
      </c>
      <c r="C752" s="93" t="n">
        <v>100</v>
      </c>
      <c r="D752" s="94" t="n">
        <v>0.3</v>
      </c>
      <c r="E752" s="94" t="n">
        <v>-18.8</v>
      </c>
      <c r="F752" s="94" t="n">
        <v>-30.5</v>
      </c>
      <c r="G752" s="94" t="n">
        <v>-42.1</v>
      </c>
      <c r="H752" s="94" t="n">
        <v>-19</v>
      </c>
      <c r="I752" s="94" t="n">
        <v>-30.7</v>
      </c>
      <c r="J752" s="94" t="n">
        <v>-42.3</v>
      </c>
      <c r="K752" s="95" t="inlineStr">
        <is>
          <t>1641 HX COLDCHAIN</t>
        </is>
      </c>
    </row>
    <row r="753">
      <c r="A753" s="16" t="inlineStr">
        <is>
          <t>Li Changxiao (李昌孝)</t>
        </is>
      </c>
      <c r="B753" s="88" t="n">
        <v>1</v>
      </c>
      <c r="C753" s="93" t="n">
        <v>100</v>
      </c>
      <c r="D753" s="94" t="n">
        <v>0.3</v>
      </c>
      <c r="E753" s="94" t="n">
        <v>-18.8</v>
      </c>
      <c r="F753" s="94" t="n">
        <v>-30.5</v>
      </c>
      <c r="G753" s="94" t="n">
        <v>-42.1</v>
      </c>
      <c r="H753" s="94" t="n">
        <v>-19</v>
      </c>
      <c r="I753" s="94" t="n">
        <v>-30.7</v>
      </c>
      <c r="J753" s="94" t="n">
        <v>-42.3</v>
      </c>
      <c r="K753" s="95" t="inlineStr">
        <is>
          <t>1641 HX COLDCHAIN</t>
        </is>
      </c>
    </row>
    <row r="754">
      <c r="A754" s="16" t="inlineStr">
        <is>
          <t>Kong Yu (孔昱)</t>
        </is>
      </c>
      <c r="B754" s="88" t="n">
        <v>1</v>
      </c>
      <c r="C754" s="93" t="n">
        <v>100</v>
      </c>
      <c r="D754" s="94" t="n">
        <v>0.3</v>
      </c>
      <c r="E754" s="94" t="n">
        <v>-18.8</v>
      </c>
      <c r="F754" s="94" t="n">
        <v>-30.5</v>
      </c>
      <c r="G754" s="94" t="n">
        <v>-42.1</v>
      </c>
      <c r="H754" s="94" t="n">
        <v>-19</v>
      </c>
      <c r="I754" s="94" t="n">
        <v>-30.7</v>
      </c>
      <c r="J754" s="94" t="n">
        <v>-42.3</v>
      </c>
      <c r="K754" s="95" t="inlineStr">
        <is>
          <t>1641 HX COLDCHAIN</t>
        </is>
      </c>
    </row>
    <row r="755">
      <c r="A755" s="16" t="inlineStr">
        <is>
          <t>Zou Songqiu (鄒松球)</t>
        </is>
      </c>
      <c r="B755" s="88" t="n">
        <v>1</v>
      </c>
      <c r="C755" s="93" t="n">
        <v>100</v>
      </c>
      <c r="D755" s="94" t="n">
        <v>0.3</v>
      </c>
      <c r="E755" s="94" t="n">
        <v>-18.8</v>
      </c>
      <c r="F755" s="94" t="n">
        <v>-30.5</v>
      </c>
      <c r="G755" s="94" t="n">
        <v>-42.1</v>
      </c>
      <c r="H755" s="94" t="n">
        <v>-19</v>
      </c>
      <c r="I755" s="94" t="n">
        <v>-30.7</v>
      </c>
      <c r="J755" s="94" t="n">
        <v>-42.3</v>
      </c>
      <c r="K755" s="95" t="inlineStr">
        <is>
          <t>1641 HX COLDCHAIN</t>
        </is>
      </c>
    </row>
    <row r="756">
      <c r="A756" s="16" t="inlineStr">
        <is>
          <t>Li Zhenbin (李振斌)</t>
        </is>
      </c>
      <c r="B756" s="88" t="n">
        <v>1</v>
      </c>
      <c r="C756" s="93" t="n">
        <v>100</v>
      </c>
      <c r="D756" s="94" t="n">
        <v>0.3</v>
      </c>
      <c r="E756" s="94" t="n">
        <v>-18.8</v>
      </c>
      <c r="F756" s="94" t="n">
        <v>-30.5</v>
      </c>
      <c r="G756" s="94" t="n">
        <v>-42.1</v>
      </c>
      <c r="H756" s="94" t="n">
        <v>-19</v>
      </c>
      <c r="I756" s="94" t="n">
        <v>-30.7</v>
      </c>
      <c r="J756" s="94" t="n">
        <v>-42.3</v>
      </c>
      <c r="K756" s="95" t="inlineStr">
        <is>
          <t>1641 HX COLDCHAIN</t>
        </is>
      </c>
    </row>
    <row r="757">
      <c r="A757" s="16" t="inlineStr">
        <is>
          <t>Li Zhenwu (李振武)</t>
        </is>
      </c>
      <c r="B757" s="88" t="n">
        <v>1</v>
      </c>
      <c r="C757" s="93" t="n">
        <v>100</v>
      </c>
      <c r="D757" s="94" t="n">
        <v>0.3</v>
      </c>
      <c r="E757" s="94" t="n">
        <v>-18.8</v>
      </c>
      <c r="F757" s="94" t="n">
        <v>-30.5</v>
      </c>
      <c r="G757" s="94" t="n">
        <v>-42.1</v>
      </c>
      <c r="H757" s="94" t="n">
        <v>-19</v>
      </c>
      <c r="I757" s="94" t="n">
        <v>-30.7</v>
      </c>
      <c r="J757" s="94" t="n">
        <v>-42.3</v>
      </c>
      <c r="K757" s="95" t="inlineStr">
        <is>
          <t>1641 HX COLDCHAIN</t>
        </is>
      </c>
    </row>
    <row r="758">
      <c r="A758" s="16" t="inlineStr">
        <is>
          <t>Li Dengyun (李登雲)</t>
        </is>
      </c>
      <c r="B758" s="88" t="n">
        <v>1</v>
      </c>
      <c r="C758" s="93" t="n">
        <v>100</v>
      </c>
      <c r="D758" s="94" t="n">
        <v>0.3</v>
      </c>
      <c r="E758" s="94" t="n">
        <v>-18.8</v>
      </c>
      <c r="F758" s="94" t="n">
        <v>-30.5</v>
      </c>
      <c r="G758" s="94" t="n">
        <v>-42.1</v>
      </c>
      <c r="H758" s="94" t="n">
        <v>-19</v>
      </c>
      <c r="I758" s="94" t="n">
        <v>-30.7</v>
      </c>
      <c r="J758" s="94" t="n">
        <v>-42.3</v>
      </c>
      <c r="K758" s="95" t="inlineStr">
        <is>
          <t>1641 HX COLDCHAIN</t>
        </is>
      </c>
    </row>
    <row r="759">
      <c r="A759" s="16" t="inlineStr">
        <is>
          <t>Zhang Ying (張穎)</t>
        </is>
      </c>
      <c r="B759" s="88" t="n">
        <v>1</v>
      </c>
      <c r="C759" s="93" t="n">
        <v>100</v>
      </c>
      <c r="D759" s="94" t="n">
        <v>0.3</v>
      </c>
      <c r="E759" s="94" t="n">
        <v>-18.8</v>
      </c>
      <c r="F759" s="94" t="n">
        <v>-30.5</v>
      </c>
      <c r="G759" s="94" t="n">
        <v>-42.1</v>
      </c>
      <c r="H759" s="94" t="n">
        <v>-19</v>
      </c>
      <c r="I759" s="94" t="n">
        <v>-30.7</v>
      </c>
      <c r="J759" s="94" t="n">
        <v>-42.3</v>
      </c>
      <c r="K759" s="95" t="inlineStr">
        <is>
          <t>1641 HX COLDCHAIN</t>
        </is>
      </c>
    </row>
    <row r="760">
      <c r="A760" s="16" t="inlineStr">
        <is>
          <t>Pioneer Top Holdings Limited</t>
        </is>
      </c>
      <c r="B760" s="88" t="n">
        <v>1</v>
      </c>
      <c r="C760" s="93" t="n">
        <v>100</v>
      </c>
      <c r="D760" s="94" t="n">
        <v>0.2</v>
      </c>
      <c r="E760" s="94" t="n">
        <v>0</v>
      </c>
      <c r="F760" s="94" t="n">
        <v>31.1</v>
      </c>
      <c r="G760" s="94" t="n">
        <v>98.5</v>
      </c>
      <c r="H760" s="94" t="n">
        <v>-0.2</v>
      </c>
      <c r="I760" s="94" t="n">
        <v>30.8</v>
      </c>
      <c r="J760" s="94" t="n">
        <v>98</v>
      </c>
      <c r="K760" s="95" t="inlineStr">
        <is>
          <t>9879 MIGAO GROUP</t>
        </is>
      </c>
    </row>
    <row r="761">
      <c r="A761" s="16" t="inlineStr">
        <is>
          <t>Shenyang Xinchang Grain Trade Co., Ltd</t>
        </is>
      </c>
      <c r="B761" s="88" t="n">
        <v>1</v>
      </c>
      <c r="C761" s="93" t="n">
        <v>100</v>
      </c>
      <c r="D761" s="94" t="n">
        <v>0.2</v>
      </c>
      <c r="E761" s="94" t="n">
        <v>0</v>
      </c>
      <c r="F761" s="94" t="n">
        <v>31.1</v>
      </c>
      <c r="G761" s="94" t="n">
        <v>98.5</v>
      </c>
      <c r="H761" s="94" t="n">
        <v>-0.2</v>
      </c>
      <c r="I761" s="94" t="n">
        <v>30.8</v>
      </c>
      <c r="J761" s="94" t="n">
        <v>98</v>
      </c>
      <c r="K761" s="95" t="inlineStr">
        <is>
          <t>9879 MIGAO GROUP</t>
        </is>
      </c>
    </row>
    <row r="762">
      <c r="A762" s="16" t="inlineStr">
        <is>
          <t>Tongzhou International</t>
        </is>
      </c>
      <c r="B762" s="88" t="n">
        <v>1</v>
      </c>
      <c r="C762" s="93" t="n">
        <v>100</v>
      </c>
      <c r="D762" s="94" t="n">
        <v>0.2</v>
      </c>
      <c r="E762" s="94" t="n">
        <v>-0.4</v>
      </c>
      <c r="F762" s="94" t="n">
        <v>-0.4</v>
      </c>
      <c r="G762" s="94" t="n">
        <v>47.6</v>
      </c>
      <c r="H762" s="94" t="n">
        <v>-0.6</v>
      </c>
      <c r="I762" s="94" t="n">
        <v>-0.6</v>
      </c>
      <c r="J762" s="94" t="n">
        <v>47.3</v>
      </c>
      <c r="K762" s="95" t="inlineStr">
        <is>
          <t>2597 XUNZHONG</t>
        </is>
      </c>
    </row>
    <row r="763">
      <c r="A763" s="16" t="inlineStr">
        <is>
          <t>China New Rich Medicine Holding Co. Limited</t>
        </is>
      </c>
      <c r="B763" s="88" t="n">
        <v>1</v>
      </c>
      <c r="C763" s="93" t="n">
        <v>100</v>
      </c>
      <c r="D763" s="94" t="n">
        <v>0.1</v>
      </c>
      <c r="E763" s="94" t="n">
        <v>28.3</v>
      </c>
      <c r="F763" s="94" t="n">
        <v>15.1</v>
      </c>
      <c r="G763" s="94" t="n">
        <v>34.2</v>
      </c>
      <c r="H763" s="94" t="n">
        <v>28.1</v>
      </c>
      <c r="I763" s="94" t="n">
        <v>14.9</v>
      </c>
      <c r="J763" s="94" t="n">
        <v>34</v>
      </c>
      <c r="K763" s="95" t="inlineStr">
        <is>
          <t>2522 RIMAG GROUP</t>
        </is>
      </c>
    </row>
    <row r="764">
      <c r="A764" s="16" t="inlineStr">
        <is>
          <t>Excellent Investment Enterprise Management (Hong Kong) Co., Limited</t>
        </is>
      </c>
      <c r="B764" s="88" t="n">
        <v>1</v>
      </c>
      <c r="C764" s="93" t="n">
        <v>100</v>
      </c>
      <c r="D764" s="94" t="n">
        <v>0.1</v>
      </c>
      <c r="E764" s="94" t="n">
        <v>28.3</v>
      </c>
      <c r="F764" s="94" t="n">
        <v>15.1</v>
      </c>
      <c r="G764" s="94" t="n">
        <v>34.2</v>
      </c>
      <c r="H764" s="94" t="n">
        <v>28.1</v>
      </c>
      <c r="I764" s="94" t="n">
        <v>14.9</v>
      </c>
      <c r="J764" s="94" t="n">
        <v>34</v>
      </c>
      <c r="K764" s="95" t="inlineStr">
        <is>
          <t>2522 RIMAG GROUP</t>
        </is>
      </c>
    </row>
    <row r="765">
      <c r="A765" s="16" t="inlineStr">
        <is>
          <t>Crotona Assets Limited</t>
        </is>
      </c>
      <c r="B765" s="88" t="n">
        <v>1</v>
      </c>
      <c r="C765" s="93" t="n">
        <v>0</v>
      </c>
      <c r="D765" s="94" t="n">
        <v>0</v>
      </c>
      <c r="E765" s="94" t="n">
        <v>10</v>
      </c>
      <c r="F765" s="94" t="n">
        <v>-13.9</v>
      </c>
      <c r="G765" s="94" t="n">
        <v>-33.8</v>
      </c>
      <c r="H765" s="94" t="n">
        <v>10</v>
      </c>
      <c r="I765" s="94" t="n">
        <v>-13.9</v>
      </c>
      <c r="J765" s="94" t="n">
        <v>-33.8</v>
      </c>
      <c r="K765" s="95" t="inlineStr">
        <is>
          <t>6626 YUEXIU SERVICES</t>
        </is>
      </c>
    </row>
    <row r="766">
      <c r="A766" s="16" t="inlineStr">
        <is>
          <t>Goingup Inc Limited</t>
        </is>
      </c>
      <c r="B766" s="88" t="n">
        <v>1</v>
      </c>
      <c r="C766" s="93" t="n">
        <v>0</v>
      </c>
      <c r="D766" s="94" t="n">
        <v>0</v>
      </c>
      <c r="E766" s="94" t="n">
        <v>10</v>
      </c>
      <c r="F766" s="94" t="n">
        <v>-13.9</v>
      </c>
      <c r="G766" s="94" t="n">
        <v>-33.8</v>
      </c>
      <c r="H766" s="94" t="n">
        <v>10</v>
      </c>
      <c r="I766" s="94" t="n">
        <v>-13.9</v>
      </c>
      <c r="J766" s="94" t="n">
        <v>-33.8</v>
      </c>
      <c r="K766" s="95" t="inlineStr">
        <is>
          <t>6626 YUEXIU SERVICES</t>
        </is>
      </c>
    </row>
    <row r="767">
      <c r="A767" s="16" t="inlineStr">
        <is>
          <t>Jiang Ganjun</t>
        </is>
      </c>
      <c r="B767" s="88" t="n">
        <v>1</v>
      </c>
      <c r="C767" s="93" t="n">
        <v>0</v>
      </c>
      <c r="D767" s="94" t="n">
        <v>0</v>
      </c>
      <c r="E767" s="94" t="n">
        <v>10</v>
      </c>
      <c r="F767" s="94" t="n">
        <v>-13.9</v>
      </c>
      <c r="G767" s="94" t="n">
        <v>-33.8</v>
      </c>
      <c r="H767" s="94" t="n">
        <v>10</v>
      </c>
      <c r="I767" s="94" t="n">
        <v>-13.9</v>
      </c>
      <c r="J767" s="94" t="n">
        <v>-33.8</v>
      </c>
      <c r="K767" s="95" t="inlineStr">
        <is>
          <t>6626 YUEXIU SERVICES</t>
        </is>
      </c>
    </row>
    <row r="768">
      <c r="A768" s="16" t="inlineStr">
        <is>
          <t>Kaiser Private Equity Fund SPC-SPI</t>
        </is>
      </c>
      <c r="B768" s="88" t="n">
        <v>1</v>
      </c>
      <c r="C768" s="93" t="n">
        <v>0</v>
      </c>
      <c r="D768" s="94" t="n">
        <v>0</v>
      </c>
      <c r="E768" s="94" t="n">
        <v>10</v>
      </c>
      <c r="F768" s="94" t="n">
        <v>-13.9</v>
      </c>
      <c r="G768" s="94" t="n">
        <v>-33.8</v>
      </c>
      <c r="H768" s="94" t="n">
        <v>10</v>
      </c>
      <c r="I768" s="94" t="n">
        <v>-13.9</v>
      </c>
      <c r="J768" s="94" t="n">
        <v>-33.8</v>
      </c>
      <c r="K768" s="95" t="inlineStr">
        <is>
          <t>6626 YUEXIU SERVICES</t>
        </is>
      </c>
    </row>
    <row r="769">
      <c r="A769" s="16" t="inlineStr">
        <is>
          <t>Ke Jiansheng</t>
        </is>
      </c>
      <c r="B769" s="88" t="n">
        <v>1</v>
      </c>
      <c r="C769" s="93" t="n">
        <v>0</v>
      </c>
      <c r="D769" s="94" t="n">
        <v>0</v>
      </c>
      <c r="E769" s="94" t="n">
        <v>10</v>
      </c>
      <c r="F769" s="94" t="n">
        <v>-13.9</v>
      </c>
      <c r="G769" s="94" t="n">
        <v>-33.8</v>
      </c>
      <c r="H769" s="94" t="n">
        <v>10</v>
      </c>
      <c r="I769" s="94" t="n">
        <v>-13.9</v>
      </c>
      <c r="J769" s="94" t="n">
        <v>-33.8</v>
      </c>
      <c r="K769" s="95" t="inlineStr">
        <is>
          <t>6626 YUEXIU SERVICES</t>
        </is>
      </c>
    </row>
    <row r="770">
      <c r="A770" s="16" t="inlineStr">
        <is>
          <t>Sunfly Holding Co., Ltd</t>
        </is>
      </c>
      <c r="B770" s="88" t="n">
        <v>1</v>
      </c>
      <c r="C770" s="93" t="n">
        <v>0</v>
      </c>
      <c r="D770" s="94" t="n">
        <v>0</v>
      </c>
      <c r="E770" s="94" t="n">
        <v>10</v>
      </c>
      <c r="F770" s="94" t="n">
        <v>-13.9</v>
      </c>
      <c r="G770" s="94" t="n">
        <v>-33.8</v>
      </c>
      <c r="H770" s="94" t="n">
        <v>10</v>
      </c>
      <c r="I770" s="94" t="n">
        <v>-13.9</v>
      </c>
      <c r="J770" s="94" t="n">
        <v>-33.8</v>
      </c>
      <c r="K770" s="95" t="inlineStr">
        <is>
          <t>6626 YUEXIU SERVICES</t>
        </is>
      </c>
    </row>
    <row r="771">
      <c r="A771" s="16" t="inlineStr">
        <is>
          <t>Wealthking Investments Limited</t>
        </is>
      </c>
      <c r="B771" s="88" t="n">
        <v>1</v>
      </c>
      <c r="C771" s="93" t="n">
        <v>0</v>
      </c>
      <c r="D771" s="94" t="n">
        <v>0</v>
      </c>
      <c r="E771" s="94" t="n">
        <v>10</v>
      </c>
      <c r="F771" s="94" t="n">
        <v>-13.9</v>
      </c>
      <c r="G771" s="94" t="n">
        <v>-33.8</v>
      </c>
      <c r="H771" s="94" t="n">
        <v>10</v>
      </c>
      <c r="I771" s="94" t="n">
        <v>-13.9</v>
      </c>
      <c r="J771" s="94" t="n">
        <v>-33.8</v>
      </c>
      <c r="K771" s="95" t="inlineStr">
        <is>
          <t>6626 YUEXIU SERVICES</t>
        </is>
      </c>
    </row>
    <row r="772">
      <c r="A772" s="16" t="inlineStr">
        <is>
          <t>Hangzhou Jintou Shenghan Investment Partnership (Limited Partnership)</t>
        </is>
      </c>
      <c r="B772" s="88" t="n">
        <v>1</v>
      </c>
      <c r="C772" s="93" t="n">
        <v>0</v>
      </c>
      <c r="D772" s="94" t="n">
        <v>0</v>
      </c>
      <c r="E772" s="94" t="n">
        <v>0</v>
      </c>
      <c r="F772" s="94" t="n">
        <v>9.800000000000001</v>
      </c>
      <c r="G772" s="94" t="n">
        <v>10.1</v>
      </c>
      <c r="H772" s="94" t="n">
        <v>0</v>
      </c>
      <c r="I772" s="94" t="n">
        <v>9.800000000000001</v>
      </c>
      <c r="J772" s="94" t="n">
        <v>10.1</v>
      </c>
      <c r="K772" s="95" t="inlineStr">
        <is>
          <t>2215 DEXIN SER GROUP</t>
        </is>
      </c>
    </row>
    <row r="773">
      <c r="A773" s="16" t="inlineStr">
        <is>
          <t>Hangzhou Light Industrial Association Investment Group Co.,Ltd</t>
        </is>
      </c>
      <c r="B773" s="88" t="n">
        <v>1</v>
      </c>
      <c r="C773" s="93" t="n">
        <v>0</v>
      </c>
      <c r="D773" s="94" t="n">
        <v>0</v>
      </c>
      <c r="E773" s="94" t="n">
        <v>0</v>
      </c>
      <c r="F773" s="94" t="n">
        <v>9.800000000000001</v>
      </c>
      <c r="G773" s="94" t="n">
        <v>10.1</v>
      </c>
      <c r="H773" s="94" t="n">
        <v>0</v>
      </c>
      <c r="I773" s="94" t="n">
        <v>9.800000000000001</v>
      </c>
      <c r="J773" s="94" t="n">
        <v>10.1</v>
      </c>
      <c r="K773" s="95" t="inlineStr">
        <is>
          <t>2215 DEXIN SER GROUP</t>
        </is>
      </c>
    </row>
    <row r="774">
      <c r="A774" s="16" t="inlineStr">
        <is>
          <t>JIC TRUST CO., LTD</t>
        </is>
      </c>
      <c r="B774" s="88" t="n">
        <v>1</v>
      </c>
      <c r="C774" s="93" t="n">
        <v>0</v>
      </c>
      <c r="D774" s="94" t="n">
        <v>0</v>
      </c>
      <c r="E774" s="94" t="n">
        <v>0</v>
      </c>
      <c r="F774" s="94" t="n">
        <v>9.800000000000001</v>
      </c>
      <c r="G774" s="94" t="n">
        <v>10.1</v>
      </c>
      <c r="H774" s="94" t="n">
        <v>0</v>
      </c>
      <c r="I774" s="94" t="n">
        <v>9.800000000000001</v>
      </c>
      <c r="J774" s="94" t="n">
        <v>10.1</v>
      </c>
      <c r="K774" s="95" t="inlineStr">
        <is>
          <t>2215 DEXIN SER GROUP</t>
        </is>
      </c>
    </row>
    <row r="775">
      <c r="A775" s="16" t="inlineStr">
        <is>
          <t>Maccura Biotechnology Co., Ltd</t>
        </is>
      </c>
      <c r="B775" s="88" t="n">
        <v>1</v>
      </c>
      <c r="C775" s="93" t="n">
        <v>0</v>
      </c>
      <c r="D775" s="94" t="n">
        <v>0</v>
      </c>
      <c r="E775" s="94" t="n">
        <v>-1.1</v>
      </c>
      <c r="F775" s="94" t="n">
        <v>-1.2</v>
      </c>
      <c r="G775" s="94" t="n">
        <v>-24.2</v>
      </c>
      <c r="H775" s="94" t="n">
        <v>-1.1</v>
      </c>
      <c r="I775" s="94" t="n">
        <v>-1.2</v>
      </c>
      <c r="J775" s="94" t="n">
        <v>-24.2</v>
      </c>
      <c r="K775" s="95" t="inlineStr">
        <is>
          <t>6667 MEGA GENOMICS</t>
        </is>
      </c>
    </row>
    <row r="776">
      <c r="A776" s="16" t="inlineStr">
        <is>
          <t>Nanchang Financial Holdings Co., Ltd</t>
        </is>
      </c>
      <c r="B776" s="88" t="n">
        <v>1</v>
      </c>
      <c r="C776" s="93" t="n">
        <v>0</v>
      </c>
      <c r="D776" s="94" t="n">
        <v>0</v>
      </c>
      <c r="E776" s="94" t="n">
        <v>-1.1</v>
      </c>
      <c r="F776" s="94" t="n">
        <v>-1.2</v>
      </c>
      <c r="G776" s="94" t="n">
        <v>-24.2</v>
      </c>
      <c r="H776" s="94" t="n">
        <v>-1.1</v>
      </c>
      <c r="I776" s="94" t="n">
        <v>-1.2</v>
      </c>
      <c r="J776" s="94" t="n">
        <v>-24.2</v>
      </c>
      <c r="K776" s="95" t="inlineStr">
        <is>
          <t>6667 MEGA GENOMICS</t>
        </is>
      </c>
    </row>
    <row r="777">
      <c r="A777" s="16" t="inlineStr">
        <is>
          <t>Kangshi No.1 LP</t>
        </is>
      </c>
      <c r="B777" s="88" t="n">
        <v>1</v>
      </c>
      <c r="C777" s="93" t="n">
        <v>0</v>
      </c>
      <c r="D777" s="94" t="n">
        <v>0</v>
      </c>
      <c r="E777" s="94" t="n">
        <v>11.9</v>
      </c>
      <c r="F777" s="94" t="n">
        <v>-1.5</v>
      </c>
      <c r="G777" s="94" t="n">
        <v>-38.1</v>
      </c>
      <c r="H777" s="94" t="n">
        <v>11.9</v>
      </c>
      <c r="I777" s="94" t="n">
        <v>-1.5</v>
      </c>
      <c r="J777" s="94" t="n">
        <v>-38.1</v>
      </c>
      <c r="K777" s="95" t="inlineStr">
        <is>
          <t>2361 SINOHEALTH HLDG</t>
        </is>
      </c>
    </row>
    <row r="778">
      <c r="A778" s="16" t="inlineStr">
        <is>
          <t>Luns Family Holdings Limited</t>
        </is>
      </c>
      <c r="B778" s="88" t="n">
        <v>1</v>
      </c>
      <c r="C778" s="93" t="n">
        <v>0</v>
      </c>
      <c r="D778" s="94" t="n">
        <v>0</v>
      </c>
      <c r="E778" s="94" t="n">
        <v>11.9</v>
      </c>
      <c r="F778" s="94" t="n">
        <v>-1.5</v>
      </c>
      <c r="G778" s="94" t="n">
        <v>-38.1</v>
      </c>
      <c r="H778" s="94" t="n">
        <v>11.9</v>
      </c>
      <c r="I778" s="94" t="n">
        <v>-1.5</v>
      </c>
      <c r="J778" s="94" t="n">
        <v>-38.1</v>
      </c>
      <c r="K778" s="95" t="inlineStr">
        <is>
          <t>2361 SINOHEALTH HLDG</t>
        </is>
      </c>
    </row>
    <row r="779">
      <c r="A779" s="16" t="inlineStr">
        <is>
          <t>Zheng Jingjie</t>
        </is>
      </c>
      <c r="B779" s="88" t="n">
        <v>1</v>
      </c>
      <c r="C779" s="93" t="n">
        <v>0</v>
      </c>
      <c r="D779" s="94" t="n">
        <v>0</v>
      </c>
      <c r="E779" s="94" t="n">
        <v>11.9</v>
      </c>
      <c r="F779" s="94" t="n">
        <v>-1.5</v>
      </c>
      <c r="G779" s="94" t="n">
        <v>-38.1</v>
      </c>
      <c r="H779" s="94" t="n">
        <v>11.9</v>
      </c>
      <c r="I779" s="94" t="n">
        <v>-1.5</v>
      </c>
      <c r="J779" s="94" t="n">
        <v>-38.1</v>
      </c>
      <c r="K779" s="95" t="inlineStr">
        <is>
          <t>2361 SINOHEALTH HLDG</t>
        </is>
      </c>
    </row>
    <row r="780">
      <c r="A780" s="16" t="inlineStr">
        <is>
          <t>LG Chem, Ltd</t>
        </is>
      </c>
      <c r="B780" s="88" t="n">
        <v>1</v>
      </c>
      <c r="C780" s="93" t="n">
        <v>0</v>
      </c>
      <c r="D780" s="94" t="n">
        <v>0</v>
      </c>
      <c r="E780" s="94" t="n">
        <v>-3.8</v>
      </c>
      <c r="F780" s="94" t="n">
        <v>4.3</v>
      </c>
      <c r="G780" s="94" t="n">
        <v>-21.2</v>
      </c>
      <c r="H780" s="94" t="n">
        <v>-3.8</v>
      </c>
      <c r="I780" s="94" t="n">
        <v>4.3</v>
      </c>
      <c r="J780" s="94" t="n">
        <v>-21.2</v>
      </c>
      <c r="K780" s="95" t="inlineStr">
        <is>
          <t>9696 TIANQI LITHIUM</t>
        </is>
      </c>
    </row>
    <row r="781">
      <c r="A781" s="16" t="inlineStr">
        <is>
          <t>Shenzhen Dynanonic Company Limited</t>
        </is>
      </c>
      <c r="B781" s="88" t="n">
        <v>1</v>
      </c>
      <c r="C781" s="93" t="n">
        <v>0</v>
      </c>
      <c r="D781" s="94" t="n">
        <v>0</v>
      </c>
      <c r="E781" s="94" t="n">
        <v>-3.8</v>
      </c>
      <c r="F781" s="94" t="n">
        <v>4.3</v>
      </c>
      <c r="G781" s="94" t="n">
        <v>-21.2</v>
      </c>
      <c r="H781" s="94" t="n">
        <v>-3.8</v>
      </c>
      <c r="I781" s="94" t="n">
        <v>4.3</v>
      </c>
      <c r="J781" s="94" t="n">
        <v>-21.2</v>
      </c>
      <c r="K781" s="95" t="inlineStr">
        <is>
          <t>9696 TIANQI LITHIUM</t>
        </is>
      </c>
    </row>
    <row r="782">
      <c r="A782" s="16" t="inlineStr">
        <is>
          <t>Shaanxi Tide Automobile Air Conditioning Co., Ltd</t>
        </is>
      </c>
      <c r="B782" s="88" t="n">
        <v>1</v>
      </c>
      <c r="C782" s="93" t="n">
        <v>0</v>
      </c>
      <c r="D782" s="94" t="n">
        <v>0</v>
      </c>
      <c r="E782" s="94" t="n">
        <v>-8.9</v>
      </c>
      <c r="F782" s="94" t="n">
        <v>-31.7</v>
      </c>
      <c r="G782" s="94" t="n">
        <v>-46.1</v>
      </c>
      <c r="H782" s="94" t="n">
        <v>-8.9</v>
      </c>
      <c r="I782" s="94" t="n">
        <v>-31.7</v>
      </c>
      <c r="J782" s="94" t="n">
        <v>-46.1</v>
      </c>
      <c r="K782" s="95" t="inlineStr">
        <is>
          <t>2418 DEEWIN</t>
        </is>
      </c>
    </row>
    <row r="783">
      <c r="A783" s="16" t="inlineStr">
        <is>
          <t>AMOREPACIFIC Group</t>
        </is>
      </c>
      <c r="B783" s="88" t="n">
        <v>1</v>
      </c>
      <c r="C783" s="93" t="n">
        <v>0</v>
      </c>
      <c r="D783" s="94" t="n">
        <v>0</v>
      </c>
      <c r="E783" s="94" t="n">
        <v>8.199999999999999</v>
      </c>
      <c r="F783" s="94" t="n">
        <v>17.1</v>
      </c>
      <c r="G783" s="94" t="n">
        <v>9.300000000000001</v>
      </c>
      <c r="H783" s="94" t="n">
        <v>8.199999999999999</v>
      </c>
      <c r="I783" s="94" t="n">
        <v>17.1</v>
      </c>
      <c r="J783" s="94" t="n">
        <v>9.300000000000001</v>
      </c>
      <c r="K783" s="95" t="inlineStr">
        <is>
          <t>1880 CTG DUTY-FREE</t>
        </is>
      </c>
    </row>
    <row r="784">
      <c r="A784" s="16" t="inlineStr">
        <is>
          <t>Luzhou Laojiao Co., Ltd</t>
        </is>
      </c>
      <c r="B784" s="88" t="n">
        <v>1</v>
      </c>
      <c r="C784" s="93" t="n">
        <v>0</v>
      </c>
      <c r="D784" s="94" t="n">
        <v>0</v>
      </c>
      <c r="E784" s="94" t="n">
        <v>8.199999999999999</v>
      </c>
      <c r="F784" s="94" t="n">
        <v>17.1</v>
      </c>
      <c r="G784" s="94" t="n">
        <v>9.300000000000001</v>
      </c>
      <c r="H784" s="94" t="n">
        <v>8.199999999999999</v>
      </c>
      <c r="I784" s="94" t="n">
        <v>17.1</v>
      </c>
      <c r="J784" s="94" t="n">
        <v>9.300000000000001</v>
      </c>
      <c r="K784" s="95" t="inlineStr">
        <is>
          <t>1880 CTG DUTY-FREE</t>
        </is>
      </c>
    </row>
    <row r="785">
      <c r="A785" s="16" t="inlineStr">
        <is>
          <t>Rongshi International Holding Company Limited</t>
        </is>
      </c>
      <c r="B785" s="88" t="n">
        <v>1</v>
      </c>
      <c r="C785" s="93" t="n">
        <v>0</v>
      </c>
      <c r="D785" s="94" t="n">
        <v>0</v>
      </c>
      <c r="E785" s="94" t="n">
        <v>8.199999999999999</v>
      </c>
      <c r="F785" s="94" t="n">
        <v>17.1</v>
      </c>
      <c r="G785" s="94" t="n">
        <v>9.300000000000001</v>
      </c>
      <c r="H785" s="94" t="n">
        <v>8.199999999999999</v>
      </c>
      <c r="I785" s="94" t="n">
        <v>17.1</v>
      </c>
      <c r="J785" s="94" t="n">
        <v>9.300000000000001</v>
      </c>
      <c r="K785" s="95" t="inlineStr">
        <is>
          <t>1880 CTG DUTY-FREE</t>
        </is>
      </c>
    </row>
    <row r="786">
      <c r="A786" s="16" t="inlineStr">
        <is>
          <t>Shanghai Airport Investment Corporation Limited</t>
        </is>
      </c>
      <c r="B786" s="88" t="n">
        <v>1</v>
      </c>
      <c r="C786" s="93" t="n">
        <v>0</v>
      </c>
      <c r="D786" s="94" t="n">
        <v>0</v>
      </c>
      <c r="E786" s="94" t="n">
        <v>8.199999999999999</v>
      </c>
      <c r="F786" s="94" t="n">
        <v>17.1</v>
      </c>
      <c r="G786" s="94" t="n">
        <v>9.300000000000001</v>
      </c>
      <c r="H786" s="94" t="n">
        <v>8.199999999999999</v>
      </c>
      <c r="I786" s="94" t="n">
        <v>17.1</v>
      </c>
      <c r="J786" s="94" t="n">
        <v>9.300000000000001</v>
      </c>
      <c r="K786" s="95" t="inlineStr">
        <is>
          <t>1880 CTG DUTY-FREE</t>
        </is>
      </c>
    </row>
    <row r="787">
      <c r="A787" s="16" t="inlineStr">
        <is>
          <t>Jumpcan International Co., Ltd</t>
        </is>
      </c>
      <c r="B787" s="88" t="n">
        <v>1</v>
      </c>
      <c r="C787" s="93" t="n">
        <v>0</v>
      </c>
      <c r="D787" s="94" t="n">
        <v>0</v>
      </c>
      <c r="E787" s="94" t="n">
        <v>0.3</v>
      </c>
      <c r="F787" s="94" t="n">
        <v>-1</v>
      </c>
      <c r="G787" s="94" t="n">
        <v>0</v>
      </c>
      <c r="H787" s="94" t="n">
        <v>0.3</v>
      </c>
      <c r="I787" s="94" t="n">
        <v>-1</v>
      </c>
      <c r="J787" s="94" t="n">
        <v>0</v>
      </c>
      <c r="K787" s="95" t="inlineStr">
        <is>
          <t>9886 DINGDANG HEALTH</t>
        </is>
      </c>
    </row>
    <row r="788">
      <c r="A788" s="16" t="inlineStr">
        <is>
          <t>Changzhou Jingce New Energy Tech Co., Ltd</t>
        </is>
      </c>
      <c r="B788" s="88" t="n">
        <v>1</v>
      </c>
      <c r="C788" s="93" t="n">
        <v>0</v>
      </c>
      <c r="D788" s="94" t="n">
        <v>0</v>
      </c>
      <c r="E788" s="94" t="n">
        <v>-2.6</v>
      </c>
      <c r="F788" s="94" t="n">
        <v>-37.8</v>
      </c>
      <c r="G788" s="94" t="n">
        <v>-45.8</v>
      </c>
      <c r="H788" s="94" t="n">
        <v>-2.6</v>
      </c>
      <c r="I788" s="94" t="n">
        <v>-37.8</v>
      </c>
      <c r="J788" s="94" t="n">
        <v>-45.8</v>
      </c>
      <c r="K788" s="95" t="inlineStr">
        <is>
          <t>3931 CALB</t>
        </is>
      </c>
    </row>
    <row r="789">
      <c r="A789" s="16" t="inlineStr">
        <is>
          <t>Hans Laser Technology Co., Limited</t>
        </is>
      </c>
      <c r="B789" s="88" t="n">
        <v>1</v>
      </c>
      <c r="C789" s="93" t="n">
        <v>0</v>
      </c>
      <c r="D789" s="94" t="n">
        <v>0</v>
      </c>
      <c r="E789" s="94" t="n">
        <v>-2.6</v>
      </c>
      <c r="F789" s="94" t="n">
        <v>-37.8</v>
      </c>
      <c r="G789" s="94" t="n">
        <v>-45.8</v>
      </c>
      <c r="H789" s="94" t="n">
        <v>-2.6</v>
      </c>
      <c r="I789" s="94" t="n">
        <v>-37.8</v>
      </c>
      <c r="J789" s="94" t="n">
        <v>-45.8</v>
      </c>
      <c r="K789" s="95" t="inlineStr">
        <is>
          <t>3931 CALB</t>
        </is>
      </c>
    </row>
    <row r="790">
      <c r="A790" s="16" t="inlineStr">
        <is>
          <t>Jiangmen New Energy</t>
        </is>
      </c>
      <c r="B790" s="88" t="n">
        <v>1</v>
      </c>
      <c r="C790" s="93" t="n">
        <v>0</v>
      </c>
      <c r="D790" s="94" t="n">
        <v>0</v>
      </c>
      <c r="E790" s="94" t="n">
        <v>-2.6</v>
      </c>
      <c r="F790" s="94" t="n">
        <v>-37.8</v>
      </c>
      <c r="G790" s="94" t="n">
        <v>-45.8</v>
      </c>
      <c r="H790" s="94" t="n">
        <v>-2.6</v>
      </c>
      <c r="I790" s="94" t="n">
        <v>-37.8</v>
      </c>
      <c r="J790" s="94" t="n">
        <v>-45.8</v>
      </c>
      <c r="K790" s="95" t="inlineStr">
        <is>
          <t>3931 CALB</t>
        </is>
      </c>
    </row>
    <row r="791">
      <c r="A791" s="16" t="inlineStr">
        <is>
          <t>Lv Lizhi</t>
        </is>
      </c>
      <c r="B791" s="88" t="n">
        <v>1</v>
      </c>
      <c r="C791" s="93" t="n">
        <v>0</v>
      </c>
      <c r="D791" s="94" t="n">
        <v>0</v>
      </c>
      <c r="E791" s="94" t="n">
        <v>-2.6</v>
      </c>
      <c r="F791" s="94" t="n">
        <v>-37.8</v>
      </c>
      <c r="G791" s="94" t="n">
        <v>-45.8</v>
      </c>
      <c r="H791" s="94" t="n">
        <v>-2.6</v>
      </c>
      <c r="I791" s="94" t="n">
        <v>-37.8</v>
      </c>
      <c r="J791" s="94" t="n">
        <v>-45.8</v>
      </c>
      <c r="K791" s="95" t="inlineStr">
        <is>
          <t>3931 CALB</t>
        </is>
      </c>
    </row>
    <row r="792">
      <c r="A792" s="16" t="inlineStr">
        <is>
          <t>Tianqi Lithium HK Co., Limited</t>
        </is>
      </c>
      <c r="B792" s="88" t="n">
        <v>1</v>
      </c>
      <c r="C792" s="93" t="n">
        <v>0</v>
      </c>
      <c r="D792" s="94" t="n">
        <v>0</v>
      </c>
      <c r="E792" s="94" t="n">
        <v>-2.6</v>
      </c>
      <c r="F792" s="94" t="n">
        <v>-37.8</v>
      </c>
      <c r="G792" s="94" t="n">
        <v>-45.8</v>
      </c>
      <c r="H792" s="94" t="n">
        <v>-2.6</v>
      </c>
      <c r="I792" s="94" t="n">
        <v>-37.8</v>
      </c>
      <c r="J792" s="94" t="n">
        <v>-45.8</v>
      </c>
      <c r="K792" s="95" t="inlineStr">
        <is>
          <t>3931 CALB</t>
        </is>
      </c>
    </row>
    <row r="793">
      <c r="A793" s="16" t="inlineStr">
        <is>
          <t>Tibet Nord Technology Co., Ltd</t>
        </is>
      </c>
      <c r="B793" s="88" t="n">
        <v>1</v>
      </c>
      <c r="C793" s="93" t="n">
        <v>0</v>
      </c>
      <c r="D793" s="94" t="n">
        <v>0</v>
      </c>
      <c r="E793" s="94" t="n">
        <v>-2.6</v>
      </c>
      <c r="F793" s="94" t="n">
        <v>-37.8</v>
      </c>
      <c r="G793" s="94" t="n">
        <v>-45.8</v>
      </c>
      <c r="H793" s="94" t="n">
        <v>-2.6</v>
      </c>
      <c r="I793" s="94" t="n">
        <v>-37.8</v>
      </c>
      <c r="J793" s="94" t="n">
        <v>-45.8</v>
      </c>
      <c r="K793" s="95" t="inlineStr">
        <is>
          <t>3931 CALB</t>
        </is>
      </c>
    </row>
    <row r="794">
      <c r="A794" s="16" t="inlineStr">
        <is>
          <t>TMA International PTE. LTD</t>
        </is>
      </c>
      <c r="B794" s="88" t="n">
        <v>1</v>
      </c>
      <c r="C794" s="93" t="n">
        <v>0</v>
      </c>
      <c r="D794" s="94" t="n">
        <v>0</v>
      </c>
      <c r="E794" s="94" t="n">
        <v>-2.6</v>
      </c>
      <c r="F794" s="94" t="n">
        <v>-37.8</v>
      </c>
      <c r="G794" s="94" t="n">
        <v>-45.8</v>
      </c>
      <c r="H794" s="94" t="n">
        <v>-2.6</v>
      </c>
      <c r="I794" s="94" t="n">
        <v>-37.8</v>
      </c>
      <c r="J794" s="94" t="n">
        <v>-45.8</v>
      </c>
      <c r="K794" s="95" t="inlineStr">
        <is>
          <t>3931 CALB</t>
        </is>
      </c>
    </row>
    <row r="795">
      <c r="A795" s="16" t="inlineStr">
        <is>
          <t>Wang Sing International Resources Limited</t>
        </is>
      </c>
      <c r="B795" s="88" t="n">
        <v>1</v>
      </c>
      <c r="C795" s="93" t="n">
        <v>0</v>
      </c>
      <c r="D795" s="94" t="n">
        <v>0</v>
      </c>
      <c r="E795" s="94" t="n">
        <v>-2.6</v>
      </c>
      <c r="F795" s="94" t="n">
        <v>-37.8</v>
      </c>
      <c r="G795" s="94" t="n">
        <v>-45.8</v>
      </c>
      <c r="H795" s="94" t="n">
        <v>-2.6</v>
      </c>
      <c r="I795" s="94" t="n">
        <v>-37.8</v>
      </c>
      <c r="J795" s="94" t="n">
        <v>-45.8</v>
      </c>
      <c r="K795" s="95" t="inlineStr">
        <is>
          <t>3931 CALB</t>
        </is>
      </c>
    </row>
    <row r="796">
      <c r="A796" s="16" t="inlineStr">
        <is>
          <t>XPeng Inc</t>
        </is>
      </c>
      <c r="B796" s="88" t="n">
        <v>1</v>
      </c>
      <c r="C796" s="93" t="n">
        <v>0</v>
      </c>
      <c r="D796" s="94" t="n">
        <v>0</v>
      </c>
      <c r="E796" s="94" t="n">
        <v>-2.6</v>
      </c>
      <c r="F796" s="94" t="n">
        <v>-37.8</v>
      </c>
      <c r="G796" s="94" t="n">
        <v>-45.8</v>
      </c>
      <c r="H796" s="94" t="n">
        <v>-2.6</v>
      </c>
      <c r="I796" s="94" t="n">
        <v>-37.8</v>
      </c>
      <c r="J796" s="94" t="n">
        <v>-45.8</v>
      </c>
      <c r="K796" s="95" t="inlineStr">
        <is>
          <t>3931 CALB</t>
        </is>
      </c>
    </row>
    <row r="797">
      <c r="A797" s="16" t="inlineStr">
        <is>
          <t>Zhenshi Group (HK) Heshi Composite Materials Co., Limited</t>
        </is>
      </c>
      <c r="B797" s="88" t="n">
        <v>1</v>
      </c>
      <c r="C797" s="93" t="n">
        <v>0</v>
      </c>
      <c r="D797" s="94" t="n">
        <v>0</v>
      </c>
      <c r="E797" s="94" t="n">
        <v>-2.6</v>
      </c>
      <c r="F797" s="94" t="n">
        <v>-37.8</v>
      </c>
      <c r="G797" s="94" t="n">
        <v>-45.8</v>
      </c>
      <c r="H797" s="94" t="n">
        <v>-2.6</v>
      </c>
      <c r="I797" s="94" t="n">
        <v>-37.8</v>
      </c>
      <c r="J797" s="94" t="n">
        <v>-45.8</v>
      </c>
      <c r="K797" s="95" t="inlineStr">
        <is>
          <t>3931 CALB</t>
        </is>
      </c>
    </row>
    <row r="798">
      <c r="A798" s="16" t="inlineStr">
        <is>
          <t>GEM Hong Kong International Co., Limited</t>
        </is>
      </c>
      <c r="B798" s="88" t="n">
        <v>1</v>
      </c>
      <c r="C798" s="93" t="n">
        <v>0</v>
      </c>
      <c r="D798" s="94" t="n">
        <v>0</v>
      </c>
      <c r="E798" s="94" t="n">
        <v>-3.7</v>
      </c>
      <c r="F798" s="94" t="n">
        <v>1.1</v>
      </c>
      <c r="G798" s="94" t="n">
        <v>-19.4</v>
      </c>
      <c r="H798" s="94" t="n">
        <v>-3.7</v>
      </c>
      <c r="I798" s="94" t="n">
        <v>1.1</v>
      </c>
      <c r="J798" s="94" t="n">
        <v>-19.4</v>
      </c>
      <c r="K798" s="95" t="inlineStr">
        <is>
          <t>2245 LYGEND RESOURCE</t>
        </is>
      </c>
    </row>
    <row r="799">
      <c r="A799" s="16" t="inlineStr">
        <is>
          <t>Hubei Ronbay Battery Triangle No. 1 Equity Investment Fund Partnership</t>
        </is>
      </c>
      <c r="B799" s="88" t="n">
        <v>1</v>
      </c>
      <c r="C799" s="93" t="n">
        <v>0</v>
      </c>
      <c r="D799" s="94" t="n">
        <v>0</v>
      </c>
      <c r="E799" s="94" t="n">
        <v>-3.7</v>
      </c>
      <c r="F799" s="94" t="n">
        <v>1.1</v>
      </c>
      <c r="G799" s="94" t="n">
        <v>-19.4</v>
      </c>
      <c r="H799" s="94" t="n">
        <v>-3.7</v>
      </c>
      <c r="I799" s="94" t="n">
        <v>1.1</v>
      </c>
      <c r="J799" s="94" t="n">
        <v>-19.4</v>
      </c>
      <c r="K799" s="95" t="inlineStr">
        <is>
          <t>2245 LYGEND RESOURCE</t>
        </is>
      </c>
    </row>
    <row r="800">
      <c r="A800" s="16" t="inlineStr">
        <is>
          <t>CL Kiwi Holding Ltd</t>
        </is>
      </c>
      <c r="B800" s="88" t="n">
        <v>1</v>
      </c>
      <c r="C800" s="93" t="n">
        <v>0</v>
      </c>
      <c r="D800" s="94" t="n">
        <v>0</v>
      </c>
      <c r="E800" s="94" t="n">
        <v>0</v>
      </c>
      <c r="F800" s="94" t="n">
        <v>-2.7</v>
      </c>
      <c r="G800" s="94" t="n">
        <v>-4.3</v>
      </c>
      <c r="H800" s="94" t="n">
        <v>0</v>
      </c>
      <c r="I800" s="94" t="n">
        <v>-2.7</v>
      </c>
      <c r="J800" s="94" t="n">
        <v>-4.3</v>
      </c>
      <c r="K800" s="95" t="inlineStr">
        <is>
          <t>2407 GAUSH MEDITECH</t>
        </is>
      </c>
    </row>
    <row r="801">
      <c r="A801" s="16" t="inlineStr">
        <is>
          <t>Fu Heliang</t>
        </is>
      </c>
      <c r="B801" s="88" t="n">
        <v>1</v>
      </c>
      <c r="C801" s="93" t="n">
        <v>0</v>
      </c>
      <c r="D801" s="94" t="n">
        <v>0</v>
      </c>
      <c r="E801" s="94" t="n">
        <v>-17.2</v>
      </c>
      <c r="F801" s="94" t="n">
        <v>-22</v>
      </c>
      <c r="G801" s="94" t="n">
        <v>-2.3</v>
      </c>
      <c r="H801" s="94" t="n">
        <v>-17.2</v>
      </c>
      <c r="I801" s="94" t="n">
        <v>-22</v>
      </c>
      <c r="J801" s="94" t="n">
        <v>-2.3</v>
      </c>
      <c r="K801" s="95" t="inlineStr">
        <is>
          <t>6955 BOAN BIOTECH-B</t>
        </is>
      </c>
    </row>
    <row r="802">
      <c r="A802" s="16" t="inlineStr">
        <is>
          <t>Sino Biopharmaceutical Limited</t>
        </is>
      </c>
      <c r="B802" s="88" t="n">
        <v>1</v>
      </c>
      <c r="C802" s="93" t="n">
        <v>0</v>
      </c>
      <c r="D802" s="94" t="n">
        <v>0</v>
      </c>
      <c r="E802" s="94" t="n">
        <v>-17.2</v>
      </c>
      <c r="F802" s="94" t="n">
        <v>-22</v>
      </c>
      <c r="G802" s="94" t="n">
        <v>-2.3</v>
      </c>
      <c r="H802" s="94" t="n">
        <v>-17.2</v>
      </c>
      <c r="I802" s="94" t="n">
        <v>-22</v>
      </c>
      <c r="J802" s="94" t="n">
        <v>-2.3</v>
      </c>
      <c r="K802" s="95" t="inlineStr">
        <is>
          <t>6955 BOAN BIOTECH-B</t>
        </is>
      </c>
    </row>
    <row r="803">
      <c r="A803" s="16" t="inlineStr">
        <is>
          <t>Astonish Investment Pte. Ltd</t>
        </is>
      </c>
      <c r="B803" s="88" t="n">
        <v>1</v>
      </c>
      <c r="C803" s="93" t="n">
        <v>0</v>
      </c>
      <c r="D803" s="94" t="n">
        <v>0</v>
      </c>
      <c r="E803" s="94" t="n">
        <v>0</v>
      </c>
      <c r="F803" s="94" t="n">
        <v>8.199999999999999</v>
      </c>
      <c r="G803" s="94" t="n">
        <v>-0.5</v>
      </c>
      <c r="H803" s="94" t="n">
        <v>0</v>
      </c>
      <c r="I803" s="94" t="n">
        <v>8.199999999999999</v>
      </c>
      <c r="J803" s="94" t="n">
        <v>-0.5</v>
      </c>
      <c r="K803" s="95" t="inlineStr">
        <is>
          <t>2402 SINOHYTEC</t>
        </is>
      </c>
    </row>
    <row r="804">
      <c r="A804" s="16" t="inlineStr">
        <is>
          <t>Jiang Gang International Investment Company Limited</t>
        </is>
      </c>
      <c r="B804" s="88" t="n">
        <v>1</v>
      </c>
      <c r="C804" s="93" t="n">
        <v>0</v>
      </c>
      <c r="D804" s="94" t="n">
        <v>0</v>
      </c>
      <c r="E804" s="94" t="n">
        <v>-19.7</v>
      </c>
      <c r="F804" s="94" t="n">
        <v>-22.2</v>
      </c>
      <c r="G804" s="94" t="n">
        <v>-26.9</v>
      </c>
      <c r="H804" s="94" t="n">
        <v>-19.7</v>
      </c>
      <c r="I804" s="94" t="n">
        <v>-22.2</v>
      </c>
      <c r="J804" s="94" t="n">
        <v>-26.9</v>
      </c>
      <c r="K804" s="95" t="inlineStr">
        <is>
          <t>2481 WISE LIVING TEC</t>
        </is>
      </c>
    </row>
    <row r="805">
      <c r="A805" s="16" t="inlineStr">
        <is>
          <t>Chengdu Puhua Kaizhi Biotechnology Co., Ltd</t>
        </is>
      </c>
      <c r="B805" s="88" t="n">
        <v>1</v>
      </c>
      <c r="C805" s="93" t="n">
        <v>0</v>
      </c>
      <c r="D805" s="94" t="n">
        <v>0</v>
      </c>
      <c r="E805" s="94" t="n">
        <v>-6.2</v>
      </c>
      <c r="F805" s="94" t="n">
        <v>-40.4</v>
      </c>
      <c r="G805" s="94" t="n">
        <v>-45.2</v>
      </c>
      <c r="H805" s="94" t="n">
        <v>-6.2</v>
      </c>
      <c r="I805" s="94" t="n">
        <v>-40.4</v>
      </c>
      <c r="J805" s="94" t="n">
        <v>-45.2</v>
      </c>
      <c r="K805" s="95" t="inlineStr">
        <is>
          <t>2496 YZYBIO-B</t>
        </is>
      </c>
    </row>
    <row r="806">
      <c r="A806" s="16" t="inlineStr">
        <is>
          <t>Wuhan Optics Valley Health Industry Investment Ltd</t>
        </is>
      </c>
      <c r="B806" s="88" t="n">
        <v>1</v>
      </c>
      <c r="C806" s="93" t="n">
        <v>0</v>
      </c>
      <c r="D806" s="94" t="n">
        <v>0</v>
      </c>
      <c r="E806" s="94" t="n">
        <v>-6.2</v>
      </c>
      <c r="F806" s="94" t="n">
        <v>-40.4</v>
      </c>
      <c r="G806" s="94" t="n">
        <v>-45.2</v>
      </c>
      <c r="H806" s="94" t="n">
        <v>-6.2</v>
      </c>
      <c r="I806" s="94" t="n">
        <v>-40.4</v>
      </c>
      <c r="J806" s="94" t="n">
        <v>-45.2</v>
      </c>
      <c r="K806" s="95" t="inlineStr">
        <is>
          <t>2496 YZYBIO-B</t>
        </is>
      </c>
    </row>
    <row r="807">
      <c r="A807" s="16" t="inlineStr">
        <is>
          <t>4399 Net Limited</t>
        </is>
      </c>
      <c r="B807" s="88" t="n">
        <v>1</v>
      </c>
      <c r="C807" s="93" t="n">
        <v>0</v>
      </c>
      <c r="D807" s="94" t="n">
        <v>0</v>
      </c>
      <c r="E807" s="94" t="n">
        <v>-3.9</v>
      </c>
      <c r="F807" s="94" t="n">
        <v>-14.3</v>
      </c>
      <c r="G807" s="94" t="n">
        <v>240.4</v>
      </c>
      <c r="H807" s="94" t="n">
        <v>-3.9</v>
      </c>
      <c r="I807" s="94" t="n">
        <v>-14.3</v>
      </c>
      <c r="J807" s="94" t="n">
        <v>240.4</v>
      </c>
      <c r="K807" s="95" t="inlineStr">
        <is>
          <t>9890 ZX INC</t>
        </is>
      </c>
    </row>
    <row r="808">
      <c r="A808" s="16" t="inlineStr">
        <is>
          <t>Aofei Data International Company Limited</t>
        </is>
      </c>
      <c r="B808" s="88" t="n">
        <v>1</v>
      </c>
      <c r="C808" s="93" t="n">
        <v>0</v>
      </c>
      <c r="D808" s="94" t="n">
        <v>0</v>
      </c>
      <c r="E808" s="94" t="n">
        <v>-3.9</v>
      </c>
      <c r="F808" s="94" t="n">
        <v>-14.3</v>
      </c>
      <c r="G808" s="94" t="n">
        <v>240.4</v>
      </c>
      <c r="H808" s="94" t="n">
        <v>-3.9</v>
      </c>
      <c r="I808" s="94" t="n">
        <v>-14.3</v>
      </c>
      <c r="J808" s="94" t="n">
        <v>240.4</v>
      </c>
      <c r="K808" s="95" t="inlineStr">
        <is>
          <t>9890 ZX INC</t>
        </is>
      </c>
    </row>
    <row r="809">
      <c r="A809" s="16" t="inlineStr">
        <is>
          <t>Hong Kong Longsin Co., Limited</t>
        </is>
      </c>
      <c r="B809" s="88" t="n">
        <v>1</v>
      </c>
      <c r="C809" s="93" t="n">
        <v>0</v>
      </c>
      <c r="D809" s="94" t="n">
        <v>0</v>
      </c>
      <c r="E809" s="94" t="n">
        <v>-3.9</v>
      </c>
      <c r="F809" s="94" t="n">
        <v>-14.3</v>
      </c>
      <c r="G809" s="94" t="n">
        <v>240.4</v>
      </c>
      <c r="H809" s="94" t="n">
        <v>-3.9</v>
      </c>
      <c r="I809" s="94" t="n">
        <v>-14.3</v>
      </c>
      <c r="J809" s="94" t="n">
        <v>240.4</v>
      </c>
      <c r="K809" s="95" t="inlineStr">
        <is>
          <t>9890 ZX INC</t>
        </is>
      </c>
    </row>
    <row r="810">
      <c r="A810" s="16" t="inlineStr">
        <is>
          <t>Shangrao High-speed Industrial Investment</t>
        </is>
      </c>
      <c r="B810" s="88" t="n">
        <v>1</v>
      </c>
      <c r="C810" s="93" t="n">
        <v>0</v>
      </c>
      <c r="D810" s="94" t="n">
        <v>0</v>
      </c>
      <c r="E810" s="94" t="n">
        <v>-3.9</v>
      </c>
      <c r="F810" s="94" t="n">
        <v>-14.3</v>
      </c>
      <c r="G810" s="94" t="n">
        <v>240.4</v>
      </c>
      <c r="H810" s="94" t="n">
        <v>-3.9</v>
      </c>
      <c r="I810" s="94" t="n">
        <v>-14.3</v>
      </c>
      <c r="J810" s="94" t="n">
        <v>240.4</v>
      </c>
      <c r="K810" s="95" t="inlineStr">
        <is>
          <t>9890 ZX INC</t>
        </is>
      </c>
    </row>
    <row r="811">
      <c r="A811" s="16" t="inlineStr">
        <is>
          <t>D1 SPV Jupiter (Hong Kong) Limited</t>
        </is>
      </c>
      <c r="B811" s="88" t="n">
        <v>1</v>
      </c>
      <c r="C811" s="93" t="n">
        <v>0</v>
      </c>
      <c r="D811" s="94" t="n">
        <v>0</v>
      </c>
      <c r="E811" s="94" t="n">
        <v>3.3</v>
      </c>
      <c r="F811" s="94" t="n">
        <v>-1.2</v>
      </c>
      <c r="G811" s="94" t="n">
        <v>34</v>
      </c>
      <c r="H811" s="94" t="n">
        <v>3.3</v>
      </c>
      <c r="I811" s="94" t="n">
        <v>-1.2</v>
      </c>
      <c r="J811" s="94" t="n">
        <v>34</v>
      </c>
      <c r="K811" s="95" t="inlineStr">
        <is>
          <t>1519 J&amp;T EXPRESS-W</t>
        </is>
      </c>
    </row>
    <row r="812">
      <c r="A812" s="16" t="inlineStr">
        <is>
          <t>Dahlia Investments Pte. Ltd</t>
        </is>
      </c>
      <c r="B812" s="88" t="n">
        <v>1</v>
      </c>
      <c r="C812" s="93" t="n">
        <v>0</v>
      </c>
      <c r="D812" s="94" t="n">
        <v>0</v>
      </c>
      <c r="E812" s="94" t="n">
        <v>3.3</v>
      </c>
      <c r="F812" s="94" t="n">
        <v>-1.2</v>
      </c>
      <c r="G812" s="94" t="n">
        <v>34</v>
      </c>
      <c r="H812" s="94" t="n">
        <v>3.3</v>
      </c>
      <c r="I812" s="94" t="n">
        <v>-1.2</v>
      </c>
      <c r="J812" s="94" t="n">
        <v>34</v>
      </c>
      <c r="K812" s="95" t="inlineStr">
        <is>
          <t>1519 J&amp;T EXPRESS-W</t>
        </is>
      </c>
    </row>
    <row r="813">
      <c r="A813" s="16" t="inlineStr">
        <is>
          <t>Hidden Hill SPV VIII</t>
        </is>
      </c>
      <c r="B813" s="88" t="n">
        <v>1</v>
      </c>
      <c r="C813" s="93" t="n">
        <v>0</v>
      </c>
      <c r="D813" s="94" t="n">
        <v>0</v>
      </c>
      <c r="E813" s="94" t="n">
        <v>3.3</v>
      </c>
      <c r="F813" s="94" t="n">
        <v>-1.2</v>
      </c>
      <c r="G813" s="94" t="n">
        <v>34</v>
      </c>
      <c r="H813" s="94" t="n">
        <v>3.3</v>
      </c>
      <c r="I813" s="94" t="n">
        <v>-1.2</v>
      </c>
      <c r="J813" s="94" t="n">
        <v>34</v>
      </c>
      <c r="K813" s="95" t="inlineStr">
        <is>
          <t>1519 J&amp;T EXPRESS-W</t>
        </is>
      </c>
    </row>
    <row r="814">
      <c r="A814" s="16" t="inlineStr">
        <is>
          <t>Jallion Global Limited</t>
        </is>
      </c>
      <c r="B814" s="88" t="n">
        <v>1</v>
      </c>
      <c r="C814" s="93" t="n">
        <v>0</v>
      </c>
      <c r="D814" s="94" t="n">
        <v>0</v>
      </c>
      <c r="E814" s="94" t="n">
        <v>3.3</v>
      </c>
      <c r="F814" s="94" t="n">
        <v>-1.2</v>
      </c>
      <c r="G814" s="94" t="n">
        <v>34</v>
      </c>
      <c r="H814" s="94" t="n">
        <v>3.3</v>
      </c>
      <c r="I814" s="94" t="n">
        <v>-1.2</v>
      </c>
      <c r="J814" s="94" t="n">
        <v>34</v>
      </c>
      <c r="K814" s="95" t="inlineStr">
        <is>
          <t>1519 J&amp;T EXPRESS-W</t>
        </is>
      </c>
    </row>
    <row r="815">
      <c r="A815" s="16" t="inlineStr">
        <is>
          <t>JNRY III HOLDINGS LIMITED</t>
        </is>
      </c>
      <c r="B815" s="88" t="n">
        <v>1</v>
      </c>
      <c r="C815" s="93" t="n">
        <v>0</v>
      </c>
      <c r="D815" s="94" t="n">
        <v>0</v>
      </c>
      <c r="E815" s="94" t="n">
        <v>3.3</v>
      </c>
      <c r="F815" s="94" t="n">
        <v>-1.2</v>
      </c>
      <c r="G815" s="94" t="n">
        <v>34</v>
      </c>
      <c r="H815" s="94" t="n">
        <v>3.3</v>
      </c>
      <c r="I815" s="94" t="n">
        <v>-1.2</v>
      </c>
      <c r="J815" s="94" t="n">
        <v>34</v>
      </c>
      <c r="K815" s="95" t="inlineStr">
        <is>
          <t>1519 J&amp;T EXPRESS-W</t>
        </is>
      </c>
    </row>
    <row r="816">
      <c r="A816" s="16" t="inlineStr">
        <is>
          <t>Joyous Tempinis Limited</t>
        </is>
      </c>
      <c r="B816" s="88" t="n">
        <v>1</v>
      </c>
      <c r="C816" s="93" t="n">
        <v>0</v>
      </c>
      <c r="D816" s="94" t="n">
        <v>0</v>
      </c>
      <c r="E816" s="94" t="n">
        <v>3.3</v>
      </c>
      <c r="F816" s="94" t="n">
        <v>-1.2</v>
      </c>
      <c r="G816" s="94" t="n">
        <v>34</v>
      </c>
      <c r="H816" s="94" t="n">
        <v>3.3</v>
      </c>
      <c r="I816" s="94" t="n">
        <v>-1.2</v>
      </c>
      <c r="J816" s="94" t="n">
        <v>34</v>
      </c>
      <c r="K816" s="95" t="inlineStr">
        <is>
          <t>1519 J&amp;T EXPRESS-W</t>
        </is>
      </c>
    </row>
    <row r="817">
      <c r="A817" s="16" t="inlineStr">
        <is>
          <t>Parallel Cluster Investment Limited</t>
        </is>
      </c>
      <c r="B817" s="88" t="n">
        <v>1</v>
      </c>
      <c r="C817" s="93" t="n">
        <v>0</v>
      </c>
      <c r="D817" s="94" t="n">
        <v>0</v>
      </c>
      <c r="E817" s="94" t="n">
        <v>3.3</v>
      </c>
      <c r="F817" s="94" t="n">
        <v>-1.2</v>
      </c>
      <c r="G817" s="94" t="n">
        <v>34</v>
      </c>
      <c r="H817" s="94" t="n">
        <v>3.3</v>
      </c>
      <c r="I817" s="94" t="n">
        <v>-1.2</v>
      </c>
      <c r="J817" s="94" t="n">
        <v>34</v>
      </c>
      <c r="K817" s="95" t="inlineStr">
        <is>
          <t>1519 J&amp;T EXPRESS-W</t>
        </is>
      </c>
    </row>
    <row r="818">
      <c r="A818" s="16" t="inlineStr">
        <is>
          <t>SC GGF III Holdco, Ltd</t>
        </is>
      </c>
      <c r="B818" s="88" t="n">
        <v>1</v>
      </c>
      <c r="C818" s="93" t="n">
        <v>0</v>
      </c>
      <c r="D818" s="94" t="n">
        <v>0</v>
      </c>
      <c r="E818" s="94" t="n">
        <v>3.3</v>
      </c>
      <c r="F818" s="94" t="n">
        <v>-1.2</v>
      </c>
      <c r="G818" s="94" t="n">
        <v>34</v>
      </c>
      <c r="H818" s="94" t="n">
        <v>3.3</v>
      </c>
      <c r="I818" s="94" t="n">
        <v>-1.2</v>
      </c>
      <c r="J818" s="94" t="n">
        <v>34</v>
      </c>
      <c r="K818" s="95" t="inlineStr">
        <is>
          <t>1519 J&amp;T EXPRESS-W</t>
        </is>
      </c>
    </row>
    <row r="819">
      <c r="A819" s="16" t="inlineStr">
        <is>
          <t>COFCO Capital Special Opportunity Fund 2 SP</t>
        </is>
      </c>
      <c r="B819" s="88" t="n">
        <v>1</v>
      </c>
      <c r="C819" s="93" t="n">
        <v>0</v>
      </c>
      <c r="D819" s="94" t="n">
        <v>0</v>
      </c>
      <c r="E819" s="94" t="n">
        <v>6.5</v>
      </c>
      <c r="F819" s="94" t="n">
        <v>22.9</v>
      </c>
      <c r="G819" s="94" t="n">
        <v>42.1</v>
      </c>
      <c r="H819" s="94" t="n">
        <v>6.5</v>
      </c>
      <c r="I819" s="94" t="n">
        <v>22.9</v>
      </c>
      <c r="J819" s="94" t="n">
        <v>42.1</v>
      </c>
      <c r="K819" s="95" t="inlineStr">
        <is>
          <t>2517 GUOQUAN</t>
        </is>
      </c>
    </row>
    <row r="820">
      <c r="A820" s="16" t="inlineStr">
        <is>
          <t>Jinding Capital Management (Shenzhen) Co., Ltd</t>
        </is>
      </c>
      <c r="B820" s="88" t="n">
        <v>1</v>
      </c>
      <c r="C820" s="93" t="n">
        <v>0</v>
      </c>
      <c r="D820" s="94" t="n">
        <v>0</v>
      </c>
      <c r="E820" s="94" t="n">
        <v>6.5</v>
      </c>
      <c r="F820" s="94" t="n">
        <v>22.9</v>
      </c>
      <c r="G820" s="94" t="n">
        <v>42.1</v>
      </c>
      <c r="H820" s="94" t="n">
        <v>6.5</v>
      </c>
      <c r="I820" s="94" t="n">
        <v>22.9</v>
      </c>
      <c r="J820" s="94" t="n">
        <v>42.1</v>
      </c>
      <c r="K820" s="95" t="inlineStr">
        <is>
          <t>2517 GUOQUAN</t>
        </is>
      </c>
    </row>
    <row r="821">
      <c r="A821" s="16" t="inlineStr">
        <is>
          <t>Profit Joy (Hong Kong) Limited</t>
        </is>
      </c>
      <c r="B821" s="88" t="n">
        <v>1</v>
      </c>
      <c r="C821" s="93" t="n">
        <v>0</v>
      </c>
      <c r="D821" s="94" t="n">
        <v>0</v>
      </c>
      <c r="E821" s="94" t="n">
        <v>6.5</v>
      </c>
      <c r="F821" s="94" t="n">
        <v>22.9</v>
      </c>
      <c r="G821" s="94" t="n">
        <v>42.1</v>
      </c>
      <c r="H821" s="94" t="n">
        <v>6.5</v>
      </c>
      <c r="I821" s="94" t="n">
        <v>22.9</v>
      </c>
      <c r="J821" s="94" t="n">
        <v>42.1</v>
      </c>
      <c r="K821" s="95" t="inlineStr">
        <is>
          <t>2517 GUOQUAN</t>
        </is>
      </c>
    </row>
    <row r="822">
      <c r="A822" s="16" t="inlineStr">
        <is>
          <t>Mingyang Smart Energy Group Co., Ltd</t>
        </is>
      </c>
      <c r="B822" s="88" t="n">
        <v>1</v>
      </c>
      <c r="C822" s="93" t="n">
        <v>0</v>
      </c>
      <c r="D822" s="94" t="n">
        <v>0</v>
      </c>
      <c r="E822" s="94" t="n">
        <v>-5.5</v>
      </c>
      <c r="F822" s="94" t="n">
        <v>-17.4</v>
      </c>
      <c r="G822" s="94" t="n">
        <v>-11.5</v>
      </c>
      <c r="H822" s="94" t="n">
        <v>-5.5</v>
      </c>
      <c r="I822" s="94" t="n">
        <v>-17.4</v>
      </c>
      <c r="J822" s="94" t="n">
        <v>-11.5</v>
      </c>
      <c r="K822" s="95" t="inlineStr">
        <is>
          <t>2520 SHANXI INSTALL</t>
        </is>
      </c>
    </row>
    <row r="823">
      <c r="A823" s="16" t="inlineStr">
        <is>
          <t>WU Chen</t>
        </is>
      </c>
      <c r="B823" s="88" t="n">
        <v>1</v>
      </c>
      <c r="C823" s="93" t="n">
        <v>0</v>
      </c>
      <c r="D823" s="94" t="n">
        <v>0</v>
      </c>
      <c r="E823" s="94" t="n">
        <v>-5.2</v>
      </c>
      <c r="F823" s="94" t="n">
        <v>1</v>
      </c>
      <c r="G823" s="94" t="n">
        <v>3.1</v>
      </c>
      <c r="H823" s="94" t="n">
        <v>-5.2</v>
      </c>
      <c r="I823" s="94" t="n">
        <v>1</v>
      </c>
      <c r="J823" s="94" t="n">
        <v>3.1</v>
      </c>
      <c r="K823" s="95" t="inlineStr">
        <is>
          <t>1497 YAN PALACE</t>
        </is>
      </c>
    </row>
    <row r="824">
      <c r="A824" s="16" t="inlineStr">
        <is>
          <t>Shenzhen Nanshan Strategic Emerging Industries Investment Co., Ltd</t>
        </is>
      </c>
      <c r="B824" s="88" t="n">
        <v>1</v>
      </c>
      <c r="C824" s="93" t="n">
        <v>0</v>
      </c>
      <c r="D824" s="94" t="n">
        <v>0</v>
      </c>
      <c r="E824" s="94" t="n">
        <v>0</v>
      </c>
      <c r="F824" s="94" t="n">
        <v>-9.300000000000001</v>
      </c>
      <c r="G824" s="94" t="n">
        <v>-1.2</v>
      </c>
      <c r="H824" s="94" t="n">
        <v>0</v>
      </c>
      <c r="I824" s="94" t="n">
        <v>-9.300000000000001</v>
      </c>
      <c r="J824" s="94" t="n">
        <v>-1.2</v>
      </c>
      <c r="K824" s="95" t="inlineStr">
        <is>
          <t>2498 ROBOSENSE</t>
        </is>
      </c>
    </row>
    <row r="825">
      <c r="A825" s="16" t="inlineStr">
        <is>
          <t>Changshu Southeast Industrial Investment Co., Ltd</t>
        </is>
      </c>
      <c r="B825" s="88" t="n">
        <v>1</v>
      </c>
      <c r="C825" s="93" t="n">
        <v>0</v>
      </c>
      <c r="D825" s="94" t="n">
        <v>0</v>
      </c>
      <c r="E825" s="94" t="n">
        <v>-10.4</v>
      </c>
      <c r="F825" s="94" t="n">
        <v>-9.6</v>
      </c>
      <c r="G825" s="94" t="n">
        <v>-30.2</v>
      </c>
      <c r="H825" s="94" t="n">
        <v>-10.4</v>
      </c>
      <c r="I825" s="94" t="n">
        <v>-9.6</v>
      </c>
      <c r="J825" s="94" t="n">
        <v>-30.2</v>
      </c>
      <c r="K825" s="95" t="inlineStr">
        <is>
          <t>2507 CIRRUS</t>
        </is>
      </c>
    </row>
    <row r="826">
      <c r="A826" s="16" t="inlineStr">
        <is>
          <t>Taicang High Tech Science and Innovation Development Co</t>
        </is>
      </c>
      <c r="B826" s="88" t="n">
        <v>1</v>
      </c>
      <c r="C826" s="93" t="n">
        <v>0</v>
      </c>
      <c r="D826" s="94" t="n">
        <v>0</v>
      </c>
      <c r="E826" s="94" t="n">
        <v>-10.4</v>
      </c>
      <c r="F826" s="94" t="n">
        <v>-9.6</v>
      </c>
      <c r="G826" s="94" t="n">
        <v>-30.2</v>
      </c>
      <c r="H826" s="94" t="n">
        <v>-10.4</v>
      </c>
      <c r="I826" s="94" t="n">
        <v>-9.6</v>
      </c>
      <c r="J826" s="94" t="n">
        <v>-30.2</v>
      </c>
      <c r="K826" s="95" t="inlineStr">
        <is>
          <t>2507 CIRRUS</t>
        </is>
      </c>
    </row>
    <row r="827">
      <c r="A827" s="16" t="inlineStr">
        <is>
          <t>Norges Bank</t>
        </is>
      </c>
      <c r="B827" s="88" t="n">
        <v>1</v>
      </c>
      <c r="C827" s="93" t="n">
        <v>0</v>
      </c>
      <c r="D827" s="94" t="n">
        <v>0</v>
      </c>
      <c r="E827" s="94" t="n">
        <v>-5</v>
      </c>
      <c r="F827" s="94" t="n">
        <v>-1.3</v>
      </c>
      <c r="G827" s="94" t="n">
        <v>10.9</v>
      </c>
      <c r="H827" s="94" t="n">
        <v>-5</v>
      </c>
      <c r="I827" s="94" t="n">
        <v>-1.3</v>
      </c>
      <c r="J827" s="94" t="n">
        <v>10.9</v>
      </c>
      <c r="K827" s="95" t="inlineStr">
        <is>
          <t>6936 SF HOLDING</t>
        </is>
      </c>
    </row>
    <row r="828">
      <c r="A828" s="16" t="inlineStr">
        <is>
          <t>International Mining Company Limited</t>
        </is>
      </c>
      <c r="B828" s="88" t="n">
        <v>1</v>
      </c>
      <c r="C828" s="93" t="n">
        <v>0</v>
      </c>
      <c r="D828" s="94" t="n">
        <v>0</v>
      </c>
      <c r="E828" s="94" t="n">
        <v>2</v>
      </c>
      <c r="F828" s="94" t="n">
        <v>25.5</v>
      </c>
      <c r="G828" s="94" t="n">
        <v>110.6</v>
      </c>
      <c r="H828" s="94" t="n">
        <v>2</v>
      </c>
      <c r="I828" s="94" t="n">
        <v>25.5</v>
      </c>
      <c r="J828" s="94" t="n">
        <v>110.6</v>
      </c>
      <c r="K828" s="95" t="inlineStr">
        <is>
          <t>6693 CHIFENG GOLD</t>
        </is>
      </c>
    </row>
    <row r="829">
      <c r="A829" s="16" t="inlineStr">
        <is>
          <t>Jefferies Hong Kong Limited</t>
        </is>
      </c>
      <c r="B829" s="88" t="n">
        <v>1</v>
      </c>
      <c r="C829" s="93" t="n">
        <v>0</v>
      </c>
      <c r="D829" s="94" t="n">
        <v>0</v>
      </c>
      <c r="E829" s="94" t="n">
        <v>-16.8</v>
      </c>
      <c r="F829" s="94" t="n">
        <v>-30.8</v>
      </c>
      <c r="G829" s="94" t="n">
        <v>-31</v>
      </c>
      <c r="H829" s="94" t="n">
        <v>-16.8</v>
      </c>
      <c r="I829" s="94" t="n">
        <v>-30.8</v>
      </c>
      <c r="J829" s="94" t="n">
        <v>-31</v>
      </c>
      <c r="K829" s="95" t="inlineStr">
        <is>
          <t>2561 VISEN PHARMA-B</t>
        </is>
      </c>
    </row>
    <row r="830">
      <c r="A830" s="16" t="inlineStr">
        <is>
          <t>Cosmic Clover Limited</t>
        </is>
      </c>
      <c r="B830" s="88" t="n">
        <v>1</v>
      </c>
      <c r="C830" s="93" t="n">
        <v>0</v>
      </c>
      <c r="D830" s="94" t="n">
        <v>0</v>
      </c>
      <c r="E830" s="94" t="n">
        <v>-16.8</v>
      </c>
      <c r="F830" s="94" t="n">
        <v>-30.8</v>
      </c>
      <c r="G830" s="94" t="n">
        <v>-31</v>
      </c>
      <c r="H830" s="94" t="n">
        <v>-16.8</v>
      </c>
      <c r="I830" s="94" t="n">
        <v>-30.8</v>
      </c>
      <c r="J830" s="94" t="n">
        <v>-31</v>
      </c>
      <c r="K830" s="95" t="inlineStr">
        <is>
          <t>2561 VISEN PHARMA-B</t>
        </is>
      </c>
    </row>
    <row r="831">
      <c r="A831" s="16" t="inlineStr">
        <is>
          <t>Logos Opportunities Fund II LP</t>
        </is>
      </c>
      <c r="B831" s="88" t="n">
        <v>1</v>
      </c>
      <c r="C831" s="93" t="n">
        <v>0</v>
      </c>
      <c r="D831" s="94" t="n">
        <v>0</v>
      </c>
      <c r="E831" s="94" t="n">
        <v>-16.8</v>
      </c>
      <c r="F831" s="94" t="n">
        <v>-30.8</v>
      </c>
      <c r="G831" s="94" t="n">
        <v>-31</v>
      </c>
      <c r="H831" s="94" t="n">
        <v>-16.8</v>
      </c>
      <c r="I831" s="94" t="n">
        <v>-30.8</v>
      </c>
      <c r="J831" s="94" t="n">
        <v>-31</v>
      </c>
      <c r="K831" s="95" t="inlineStr">
        <is>
          <t>2561 VISEN PHARMA-B</t>
        </is>
      </c>
    </row>
    <row r="832">
      <c r="A832" s="16" t="inlineStr">
        <is>
          <t>Xu Shihe (許世和)</t>
        </is>
      </c>
      <c r="B832" s="88" t="n">
        <v>1</v>
      </c>
      <c r="C832" s="93" t="n">
        <v>0</v>
      </c>
      <c r="D832" s="94" t="n">
        <v>0</v>
      </c>
      <c r="E832" s="94" t="n">
        <v>-14.4</v>
      </c>
      <c r="F832" s="94" t="n">
        <v>33.6</v>
      </c>
      <c r="G832" s="94" t="n">
        <v>11.2</v>
      </c>
      <c r="H832" s="94" t="n">
        <v>-14.4</v>
      </c>
      <c r="I832" s="94" t="n">
        <v>33.6</v>
      </c>
      <c r="J832" s="94" t="n">
        <v>11.2</v>
      </c>
      <c r="K832" s="95" t="inlineStr">
        <is>
          <t>2625 JIANGSU HORIZON</t>
        </is>
      </c>
    </row>
    <row r="833">
      <c r="A833" s="16" t="inlineStr">
        <is>
          <t>Yin Qin (印勤)</t>
        </is>
      </c>
      <c r="B833" s="88" t="n">
        <v>1</v>
      </c>
      <c r="C833" s="93" t="n">
        <v>0</v>
      </c>
      <c r="D833" s="94" t="n">
        <v>0</v>
      </c>
      <c r="E833" s="94" t="n">
        <v>-14.4</v>
      </c>
      <c r="F833" s="94" t="n">
        <v>33.6</v>
      </c>
      <c r="G833" s="94" t="n">
        <v>11.2</v>
      </c>
      <c r="H833" s="94" t="n">
        <v>-14.4</v>
      </c>
      <c r="I833" s="94" t="n">
        <v>33.6</v>
      </c>
      <c r="J833" s="94" t="n">
        <v>11.2</v>
      </c>
      <c r="K833" s="95" t="inlineStr">
        <is>
          <t>2625 JIANGSU HORIZON</t>
        </is>
      </c>
    </row>
    <row r="834">
      <c r="A834" s="16" t="inlineStr">
        <is>
          <t>Hu Qinghua (胡慶華)</t>
        </is>
      </c>
      <c r="B834" s="88" t="n">
        <v>1</v>
      </c>
      <c r="C834" s="93" t="n">
        <v>0</v>
      </c>
      <c r="D834" s="94" t="n">
        <v>0</v>
      </c>
      <c r="E834" s="94" t="n">
        <v>-14.4</v>
      </c>
      <c r="F834" s="94" t="n">
        <v>33.6</v>
      </c>
      <c r="G834" s="94" t="n">
        <v>11.2</v>
      </c>
      <c r="H834" s="94" t="n">
        <v>-14.4</v>
      </c>
      <c r="I834" s="94" t="n">
        <v>33.6</v>
      </c>
      <c r="J834" s="94" t="n">
        <v>11.2</v>
      </c>
      <c r="K834" s="95" t="inlineStr">
        <is>
          <t>2625 JIANGSU HORIZON</t>
        </is>
      </c>
    </row>
    <row r="835">
      <c r="A835" s="16" t="inlineStr">
        <is>
          <t>Zhu Zheng (朱政)</t>
        </is>
      </c>
      <c r="B835" s="88" t="n">
        <v>1</v>
      </c>
      <c r="C835" s="93" t="n">
        <v>0</v>
      </c>
      <c r="D835" s="94" t="n">
        <v>0</v>
      </c>
      <c r="E835" s="94" t="n">
        <v>-14.4</v>
      </c>
      <c r="F835" s="94" t="n">
        <v>33.6</v>
      </c>
      <c r="G835" s="94" t="n">
        <v>11.2</v>
      </c>
      <c r="H835" s="94" t="n">
        <v>-14.4</v>
      </c>
      <c r="I835" s="94" t="n">
        <v>33.6</v>
      </c>
      <c r="J835" s="94" t="n">
        <v>11.2</v>
      </c>
      <c r="K835" s="95" t="inlineStr">
        <is>
          <t>2625 JIANGSU HORIZON</t>
        </is>
      </c>
    </row>
    <row r="836">
      <c r="A836" s="16" t="inlineStr">
        <is>
          <t>Zhan Mingyu (詹明玉)</t>
        </is>
      </c>
      <c r="B836" s="88" t="n">
        <v>1</v>
      </c>
      <c r="C836" s="93" t="n">
        <v>0</v>
      </c>
      <c r="D836" s="94" t="n">
        <v>0</v>
      </c>
      <c r="E836" s="94" t="n">
        <v>-14.4</v>
      </c>
      <c r="F836" s="94" t="n">
        <v>33.6</v>
      </c>
      <c r="G836" s="94" t="n">
        <v>11.2</v>
      </c>
      <c r="H836" s="94" t="n">
        <v>-14.4</v>
      </c>
      <c r="I836" s="94" t="n">
        <v>33.6</v>
      </c>
      <c r="J836" s="94" t="n">
        <v>11.2</v>
      </c>
      <c r="K836" s="95" t="inlineStr">
        <is>
          <t>2625 JIANGSU HORIZON</t>
        </is>
      </c>
    </row>
    <row r="837">
      <c r="A837" s="16" t="inlineStr">
        <is>
          <t>Jiang Xianyue (江顯月)</t>
        </is>
      </c>
      <c r="B837" s="88" t="n">
        <v>1</v>
      </c>
      <c r="C837" s="93" t="n">
        <v>0</v>
      </c>
      <c r="D837" s="94" t="n">
        <v>0</v>
      </c>
      <c r="E837" s="94" t="n">
        <v>-14.4</v>
      </c>
      <c r="F837" s="94" t="n">
        <v>33.6</v>
      </c>
      <c r="G837" s="94" t="n">
        <v>11.2</v>
      </c>
      <c r="H837" s="94" t="n">
        <v>-14.4</v>
      </c>
      <c r="I837" s="94" t="n">
        <v>33.6</v>
      </c>
      <c r="J837" s="94" t="n">
        <v>11.2</v>
      </c>
      <c r="K837" s="95" t="inlineStr">
        <is>
          <t>2625 JIANGSU HORIZON</t>
        </is>
      </c>
    </row>
    <row r="838">
      <c r="A838" s="16" t="inlineStr">
        <is>
          <t>Yao Xinhua (姚新華)</t>
        </is>
      </c>
      <c r="B838" s="88" t="n">
        <v>1</v>
      </c>
      <c r="C838" s="93" t="n">
        <v>0</v>
      </c>
      <c r="D838" s="94" t="n">
        <v>0</v>
      </c>
      <c r="E838" s="94" t="n">
        <v>-14.4</v>
      </c>
      <c r="F838" s="94" t="n">
        <v>33.6</v>
      </c>
      <c r="G838" s="94" t="n">
        <v>11.2</v>
      </c>
      <c r="H838" s="94" t="n">
        <v>-14.4</v>
      </c>
      <c r="I838" s="94" t="n">
        <v>33.6</v>
      </c>
      <c r="J838" s="94" t="n">
        <v>11.2</v>
      </c>
      <c r="K838" s="95" t="inlineStr">
        <is>
          <t>2625 JIANGSU HORIZON</t>
        </is>
      </c>
    </row>
    <row r="839">
      <c r="A839" s="16" t="inlineStr">
        <is>
          <t>Guo Xia (郭霞)</t>
        </is>
      </c>
      <c r="B839" s="88" t="n">
        <v>1</v>
      </c>
      <c r="C839" s="93" t="n">
        <v>0</v>
      </c>
      <c r="D839" s="94" t="n">
        <v>0</v>
      </c>
      <c r="E839" s="94" t="n">
        <v>-14.4</v>
      </c>
      <c r="F839" s="94" t="n">
        <v>33.6</v>
      </c>
      <c r="G839" s="94" t="n">
        <v>11.2</v>
      </c>
      <c r="H839" s="94" t="n">
        <v>-14.4</v>
      </c>
      <c r="I839" s="94" t="n">
        <v>33.6</v>
      </c>
      <c r="J839" s="94" t="n">
        <v>11.2</v>
      </c>
      <c r="K839" s="95" t="inlineStr">
        <is>
          <t>2625 JIANGSU HORIZON</t>
        </is>
      </c>
    </row>
    <row r="840">
      <c r="A840" s="16" t="inlineStr">
        <is>
          <t>Lu Shouping (陸壽萍)</t>
        </is>
      </c>
      <c r="B840" s="88" t="n">
        <v>1</v>
      </c>
      <c r="C840" s="93" t="n">
        <v>0</v>
      </c>
      <c r="D840" s="94" t="n">
        <v>0</v>
      </c>
      <c r="E840" s="94" t="n">
        <v>-14.4</v>
      </c>
      <c r="F840" s="94" t="n">
        <v>33.6</v>
      </c>
      <c r="G840" s="94" t="n">
        <v>11.2</v>
      </c>
      <c r="H840" s="94" t="n">
        <v>-14.4</v>
      </c>
      <c r="I840" s="94" t="n">
        <v>33.6</v>
      </c>
      <c r="J840" s="94" t="n">
        <v>11.2</v>
      </c>
      <c r="K840" s="95" t="inlineStr">
        <is>
          <t>2625 JIANGSU HORIZON</t>
        </is>
      </c>
    </row>
    <row r="841">
      <c r="A841" s="16" t="inlineStr">
        <is>
          <t>Kan Chuanling (闞傳玲)</t>
        </is>
      </c>
      <c r="B841" s="88" t="n">
        <v>1</v>
      </c>
      <c r="C841" s="93" t="n">
        <v>0</v>
      </c>
      <c r="D841" s="94" t="n">
        <v>0</v>
      </c>
      <c r="E841" s="94" t="n">
        <v>-14.4</v>
      </c>
      <c r="F841" s="94" t="n">
        <v>33.6</v>
      </c>
      <c r="G841" s="94" t="n">
        <v>11.2</v>
      </c>
      <c r="H841" s="94" t="n">
        <v>-14.4</v>
      </c>
      <c r="I841" s="94" t="n">
        <v>33.6</v>
      </c>
      <c r="J841" s="94" t="n">
        <v>11.2</v>
      </c>
      <c r="K841" s="95" t="inlineStr">
        <is>
          <t>2625 JIANGSU HORIZON</t>
        </is>
      </c>
    </row>
    <row r="842">
      <c r="A842" s="16" t="inlineStr">
        <is>
          <t>Huang Haiyan (黃海燕)</t>
        </is>
      </c>
      <c r="B842" s="88" t="n">
        <v>1</v>
      </c>
      <c r="C842" s="93" t="n">
        <v>0</v>
      </c>
      <c r="D842" s="94" t="n">
        <v>0</v>
      </c>
      <c r="E842" s="94" t="n">
        <v>-14.4</v>
      </c>
      <c r="F842" s="94" t="n">
        <v>33.6</v>
      </c>
      <c r="G842" s="94" t="n">
        <v>11.2</v>
      </c>
      <c r="H842" s="94" t="n">
        <v>-14.4</v>
      </c>
      <c r="I842" s="94" t="n">
        <v>33.6</v>
      </c>
      <c r="J842" s="94" t="n">
        <v>11.2</v>
      </c>
      <c r="K842" s="95" t="inlineStr">
        <is>
          <t>2625 JIANGSU HORIZON</t>
        </is>
      </c>
    </row>
    <row r="843">
      <c r="A843" s="16" t="inlineStr">
        <is>
          <t>Zhen Yizuo (殷義左)</t>
        </is>
      </c>
      <c r="B843" s="88" t="n">
        <v>1</v>
      </c>
      <c r="C843" s="93" t="n">
        <v>0</v>
      </c>
      <c r="D843" s="94" t="n">
        <v>0</v>
      </c>
      <c r="E843" s="94" t="n">
        <v>-14.4</v>
      </c>
      <c r="F843" s="94" t="n">
        <v>33.6</v>
      </c>
      <c r="G843" s="94" t="n">
        <v>11.2</v>
      </c>
      <c r="H843" s="94" t="n">
        <v>-14.4</v>
      </c>
      <c r="I843" s="94" t="n">
        <v>33.6</v>
      </c>
      <c r="J843" s="94" t="n">
        <v>11.2</v>
      </c>
      <c r="K843" s="95" t="inlineStr">
        <is>
          <t>2625 JIANGSU HORIZON</t>
        </is>
      </c>
    </row>
    <row r="844">
      <c r="A844" s="16" t="inlineStr">
        <is>
          <t>Shen Zhigen (沈志艮)</t>
        </is>
      </c>
      <c r="B844" s="88" t="n">
        <v>1</v>
      </c>
      <c r="C844" s="93" t="n">
        <v>0</v>
      </c>
      <c r="D844" s="94" t="n">
        <v>0</v>
      </c>
      <c r="E844" s="94" t="n">
        <v>-14.4</v>
      </c>
      <c r="F844" s="94" t="n">
        <v>33.6</v>
      </c>
      <c r="G844" s="94" t="n">
        <v>11.2</v>
      </c>
      <c r="H844" s="94" t="n">
        <v>-14.4</v>
      </c>
      <c r="I844" s="94" t="n">
        <v>33.6</v>
      </c>
      <c r="J844" s="94" t="n">
        <v>11.2</v>
      </c>
      <c r="K844" s="95" t="inlineStr">
        <is>
          <t>2625 JIANGSU HORIZON</t>
        </is>
      </c>
    </row>
    <row r="845">
      <c r="A845" s="16" t="inlineStr">
        <is>
          <t>Xia Zhonglin (夏忠林)</t>
        </is>
      </c>
      <c r="B845" s="88" t="n">
        <v>1</v>
      </c>
      <c r="C845" s="93" t="n">
        <v>0</v>
      </c>
      <c r="D845" s="94" t="n">
        <v>0</v>
      </c>
      <c r="E845" s="94" t="n">
        <v>-14.4</v>
      </c>
      <c r="F845" s="94" t="n">
        <v>33.6</v>
      </c>
      <c r="G845" s="94" t="n">
        <v>11.2</v>
      </c>
      <c r="H845" s="94" t="n">
        <v>-14.4</v>
      </c>
      <c r="I845" s="94" t="n">
        <v>33.6</v>
      </c>
      <c r="J845" s="94" t="n">
        <v>11.2</v>
      </c>
      <c r="K845" s="95" t="inlineStr">
        <is>
          <t>2625 JIANGSU HORIZON</t>
        </is>
      </c>
    </row>
    <row r="846">
      <c r="A846" s="16" t="inlineStr">
        <is>
          <t>Lin Yuan</t>
        </is>
      </c>
      <c r="B846" s="88" t="n">
        <v>1</v>
      </c>
      <c r="C846" s="93" t="n">
        <v>0</v>
      </c>
      <c r="D846" s="94" t="n">
        <v>0</v>
      </c>
      <c r="E846" s="94" t="n">
        <v>-12.2</v>
      </c>
      <c r="F846" s="94" t="n">
        <v>-11.9</v>
      </c>
      <c r="G846" s="94" t="n">
        <v>-26.2</v>
      </c>
      <c r="H846" s="94" t="n">
        <v>-12.2</v>
      </c>
      <c r="I846" s="94" t="n">
        <v>-11.9</v>
      </c>
      <c r="J846" s="94" t="n">
        <v>-26.2</v>
      </c>
      <c r="K846" s="95" t="inlineStr">
        <is>
          <t>9927 SERES</t>
        </is>
      </c>
    </row>
    <row r="847">
      <c r="A847" s="16" t="inlineStr">
        <is>
          <t>Sanhua (Hong Kong)</t>
        </is>
      </c>
      <c r="B847" s="88" t="n">
        <v>1</v>
      </c>
      <c r="C847" s="93" t="n">
        <v>0</v>
      </c>
      <c r="D847" s="94" t="n">
        <v>0</v>
      </c>
      <c r="E847" s="94" t="n">
        <v>-12.2</v>
      </c>
      <c r="F847" s="94" t="n">
        <v>-11.9</v>
      </c>
      <c r="G847" s="94" t="n">
        <v>-26.2</v>
      </c>
      <c r="H847" s="94" t="n">
        <v>-12.2</v>
      </c>
      <c r="I847" s="94" t="n">
        <v>-11.9</v>
      </c>
      <c r="J847" s="94" t="n">
        <v>-26.2</v>
      </c>
      <c r="K847" s="95" t="inlineStr">
        <is>
          <t>9927 SERES</t>
        </is>
      </c>
    </row>
    <row r="848">
      <c r="A848" s="16" t="inlineStr">
        <is>
          <t>Zhink International</t>
        </is>
      </c>
      <c r="B848" s="88" t="n">
        <v>1</v>
      </c>
      <c r="C848" s="93" t="n">
        <v>0</v>
      </c>
      <c r="D848" s="94" t="n">
        <v>0</v>
      </c>
      <c r="E848" s="94" t="n">
        <v>-12.2</v>
      </c>
      <c r="F848" s="94" t="n">
        <v>-11.9</v>
      </c>
      <c r="G848" s="94" t="n">
        <v>-26.2</v>
      </c>
      <c r="H848" s="94" t="n">
        <v>-12.2</v>
      </c>
      <c r="I848" s="94" t="n">
        <v>-11.9</v>
      </c>
      <c r="J848" s="94" t="n">
        <v>-26.2</v>
      </c>
      <c r="K848" s="95" t="inlineStr">
        <is>
          <t>9927 SERES</t>
        </is>
      </c>
    </row>
    <row r="849">
      <c r="A849" s="16" t="inlineStr">
        <is>
          <t>Honour Goal Investments</t>
        </is>
      </c>
      <c r="B849" s="88" t="n">
        <v>1</v>
      </c>
      <c r="C849" s="93" t="n">
        <v>0</v>
      </c>
      <c r="D849" s="94" t="n">
        <v>0</v>
      </c>
      <c r="E849" s="94" t="n">
        <v>-12.2</v>
      </c>
      <c r="F849" s="94" t="n">
        <v>-11.9</v>
      </c>
      <c r="G849" s="94" t="n">
        <v>-26.2</v>
      </c>
      <c r="H849" s="94" t="n">
        <v>-12.2</v>
      </c>
      <c r="I849" s="94" t="n">
        <v>-11.9</v>
      </c>
      <c r="J849" s="94" t="n">
        <v>-26.2</v>
      </c>
      <c r="K849" s="95" t="inlineStr">
        <is>
          <t>9927 SERES</t>
        </is>
      </c>
    </row>
    <row r="850">
      <c r="A850" s="16" t="inlineStr">
        <is>
          <t>Hichain Logistics</t>
        </is>
      </c>
      <c r="B850" s="88" t="n">
        <v>1</v>
      </c>
      <c r="C850" s="93" t="n">
        <v>0</v>
      </c>
      <c r="D850" s="94" t="n">
        <v>0</v>
      </c>
      <c r="E850" s="94" t="n">
        <v>-12.2</v>
      </c>
      <c r="F850" s="94" t="n">
        <v>-11.9</v>
      </c>
      <c r="G850" s="94" t="n">
        <v>-26.2</v>
      </c>
      <c r="H850" s="94" t="n">
        <v>-12.2</v>
      </c>
      <c r="I850" s="94" t="n">
        <v>-11.9</v>
      </c>
      <c r="J850" s="94" t="n">
        <v>-26.2</v>
      </c>
      <c r="K850" s="95" t="inlineStr">
        <is>
          <t>9927 SERES</t>
        </is>
      </c>
    </row>
    <row r="851">
      <c r="A851" s="16" t="inlineStr">
        <is>
          <t>China Meidong</t>
        </is>
      </c>
      <c r="B851" s="88" t="n">
        <v>1</v>
      </c>
      <c r="C851" s="93" t="n">
        <v>0</v>
      </c>
      <c r="D851" s="94" t="n">
        <v>0</v>
      </c>
      <c r="E851" s="94" t="n">
        <v>-12.2</v>
      </c>
      <c r="F851" s="94" t="n">
        <v>-11.9</v>
      </c>
      <c r="G851" s="94" t="n">
        <v>-26.2</v>
      </c>
      <c r="H851" s="94" t="n">
        <v>-12.2</v>
      </c>
      <c r="I851" s="94" t="n">
        <v>-11.9</v>
      </c>
      <c r="J851" s="94" t="n">
        <v>-26.2</v>
      </c>
      <c r="K851" s="95" t="inlineStr">
        <is>
          <t>9927 SERES</t>
        </is>
      </c>
    </row>
    <row r="852">
      <c r="A852" s="16" t="inlineStr">
        <is>
          <t>CoreView</t>
        </is>
      </c>
      <c r="B852" s="88" t="n">
        <v>1</v>
      </c>
      <c r="C852" s="93" t="n">
        <v>0</v>
      </c>
      <c r="D852" s="94" t="n">
        <v>0</v>
      </c>
      <c r="E852" s="94" t="n">
        <v>-1.3</v>
      </c>
      <c r="F852" s="94" t="n">
        <v>-3.4</v>
      </c>
      <c r="G852" s="94" t="n">
        <v>-8.4</v>
      </c>
      <c r="H852" s="94" t="n">
        <v>-1.3</v>
      </c>
      <c r="I852" s="94" t="n">
        <v>-3.4</v>
      </c>
      <c r="J852" s="94" t="n">
        <v>-8.4</v>
      </c>
      <c r="K852" s="95" t="inlineStr">
        <is>
          <t>7618 JD INDUSTRIALS</t>
        </is>
      </c>
    </row>
    <row r="853">
      <c r="A853" s="16" t="inlineStr">
        <is>
          <t>Jupiter Global Master Fund Ltd.</t>
        </is>
      </c>
      <c r="B853" s="88" t="n">
        <v>1</v>
      </c>
      <c r="C853" s="93" t="n">
        <v>0</v>
      </c>
      <c r="D853" s="94" t="n">
        <v>0</v>
      </c>
      <c r="E853" s="94" t="n">
        <v>20.2</v>
      </c>
      <c r="F853" s="94" t="n">
        <v>-11.2</v>
      </c>
      <c r="G853" s="94" t="n">
        <v>-28</v>
      </c>
      <c r="H853" s="94" t="n">
        <v>20.2</v>
      </c>
      <c r="I853" s="94" t="n">
        <v>-11.2</v>
      </c>
      <c r="J853" s="94" t="n">
        <v>-28</v>
      </c>
      <c r="K853" s="95" t="inlineStr">
        <is>
          <t>0600 AXERA</t>
        </is>
      </c>
    </row>
    <row r="854">
      <c r="A854" s="16" t="inlineStr">
        <is>
          <t>NonaVerse (Hong Kong) Limited</t>
        </is>
      </c>
      <c r="B854" s="88" t="n">
        <v>1</v>
      </c>
      <c r="C854" s="93" t="n">
        <v>0</v>
      </c>
      <c r="D854" s="94" t="n">
        <v>0</v>
      </c>
      <c r="E854" s="94" t="n">
        <v>20.2</v>
      </c>
      <c r="F854" s="94" t="n">
        <v>-11.2</v>
      </c>
      <c r="G854" s="94" t="n">
        <v>-28</v>
      </c>
      <c r="H854" s="94" t="n">
        <v>20.2</v>
      </c>
      <c r="I854" s="94" t="n">
        <v>-11.2</v>
      </c>
      <c r="J854" s="94" t="n">
        <v>-28</v>
      </c>
      <c r="K854" s="95" t="inlineStr">
        <is>
          <t>0600 AXERA</t>
        </is>
      </c>
    </row>
    <row r="855">
      <c r="A855" s="16" t="inlineStr">
        <is>
          <t>Xin Ma Apparel International Limited</t>
        </is>
      </c>
      <c r="B855" s="88" t="n">
        <v>1</v>
      </c>
      <c r="C855" s="93" t="n">
        <v>0</v>
      </c>
      <c r="D855" s="94" t="n">
        <v>0</v>
      </c>
      <c r="E855" s="94" t="n">
        <v>20.2</v>
      </c>
      <c r="F855" s="94" t="n">
        <v>-11.2</v>
      </c>
      <c r="G855" s="94" t="n">
        <v>-28</v>
      </c>
      <c r="H855" s="94" t="n">
        <v>20.2</v>
      </c>
      <c r="I855" s="94" t="n">
        <v>-11.2</v>
      </c>
      <c r="J855" s="94" t="n">
        <v>-28</v>
      </c>
      <c r="K855" s="95" t="inlineStr">
        <is>
          <t>0600 AXERA</t>
        </is>
      </c>
    </row>
    <row r="856">
      <c r="A856" s="16" t="inlineStr">
        <is>
          <t>Desay SV Automotive Singapore Pte. Ltd</t>
        </is>
      </c>
      <c r="B856" s="88" t="n">
        <v>1</v>
      </c>
      <c r="C856" s="93" t="n">
        <v>0</v>
      </c>
      <c r="D856" s="94" t="n">
        <v>0</v>
      </c>
      <c r="E856" s="94" t="n">
        <v>20.2</v>
      </c>
      <c r="F856" s="94" t="n">
        <v>-11.2</v>
      </c>
      <c r="G856" s="94" t="n">
        <v>-28</v>
      </c>
      <c r="H856" s="94" t="n">
        <v>20.2</v>
      </c>
      <c r="I856" s="94" t="n">
        <v>-11.2</v>
      </c>
      <c r="J856" s="94" t="n">
        <v>-28</v>
      </c>
      <c r="K856" s="95" t="inlineStr">
        <is>
          <t>0600 AXERA</t>
        </is>
      </c>
    </row>
    <row r="857">
      <c r="A857" s="16" t="inlineStr">
        <is>
          <t>Offshore SP3</t>
        </is>
      </c>
      <c r="B857" s="88" t="n">
        <v>1</v>
      </c>
      <c r="C857" s="93" t="n">
        <v>0</v>
      </c>
      <c r="D857" s="94" t="n">
        <v>0</v>
      </c>
      <c r="E857" s="94" t="n">
        <v>0.6</v>
      </c>
      <c r="F857" s="94" t="n">
        <v>-9</v>
      </c>
      <c r="G857" s="94" t="n">
        <v>15.5</v>
      </c>
      <c r="H857" s="94" t="n">
        <v>0.6</v>
      </c>
      <c r="I857" s="94" t="n">
        <v>-9</v>
      </c>
      <c r="J857" s="94" t="n">
        <v>15.5</v>
      </c>
      <c r="K857" s="95" t="inlineStr">
        <is>
          <t>0470 WUXI LEAD</t>
        </is>
      </c>
    </row>
    <row r="858">
      <c r="A858" s="16" t="inlineStr">
        <is>
          <t>Marshall Wace Asia Limited</t>
        </is>
      </c>
      <c r="B858" s="88" t="n">
        <v>1</v>
      </c>
      <c r="C858" s="93" t="n">
        <v>0</v>
      </c>
      <c r="D858" s="94" t="n">
        <v>0</v>
      </c>
      <c r="E858" s="94" t="n">
        <v>-3.7</v>
      </c>
      <c r="F858" s="94" t="n">
        <v>-30.7</v>
      </c>
      <c r="G858" s="94" t="n"/>
      <c r="H858" s="94" t="n">
        <v>-3.7</v>
      </c>
      <c r="I858" s="94" t="n">
        <v>-30.7</v>
      </c>
      <c r="J858" s="94" t="n"/>
      <c r="K858" s="95" t="inlineStr">
        <is>
          <t>1081 DAJIN</t>
        </is>
      </c>
    </row>
    <row r="859">
      <c r="A859" s="16" t="inlineStr">
        <is>
          <t>GigaDevice Semiconductor (HK) Limited</t>
        </is>
      </c>
      <c r="B859" s="88" t="n">
        <v>1</v>
      </c>
      <c r="C859" s="93" t="n">
        <v>0</v>
      </c>
      <c r="D859" s="94" t="n">
        <v>0</v>
      </c>
      <c r="E859" s="94" t="n">
        <v>0.3</v>
      </c>
      <c r="F859" s="94" t="n">
        <v>-10.1</v>
      </c>
      <c r="G859" s="94" t="n"/>
      <c r="H859" s="94" t="n">
        <v>0.3</v>
      </c>
      <c r="I859" s="94" t="n">
        <v>-10.1</v>
      </c>
      <c r="J859" s="94" t="n"/>
      <c r="K859" s="95" t="inlineStr">
        <is>
          <t>6880 MOMENTA-W</t>
        </is>
      </c>
    </row>
    <row r="860">
      <c r="A860" s="16" t="inlineStr">
        <is>
          <t>Templeton Asset Management Ltd</t>
        </is>
      </c>
      <c r="B860" s="88" t="n">
        <v>1</v>
      </c>
      <c r="C860" s="93" t="n">
        <v>0</v>
      </c>
      <c r="D860" s="94" t="n">
        <v>0</v>
      </c>
      <c r="E860" s="94" t="n">
        <v>0.3</v>
      </c>
      <c r="F860" s="94" t="n">
        <v>-10.1</v>
      </c>
      <c r="G860" s="94" t="n"/>
      <c r="H860" s="94" t="n">
        <v>0.3</v>
      </c>
      <c r="I860" s="94" t="n">
        <v>-10.1</v>
      </c>
      <c r="J860" s="94" t="n"/>
      <c r="K860" s="95" t="inlineStr">
        <is>
          <t>6880 MOMENTA-W</t>
        </is>
      </c>
    </row>
    <row r="861">
      <c r="A861" s="16" t="inlineStr">
        <is>
          <t>Goertek (HongKong) Co., Limited</t>
        </is>
      </c>
      <c r="B861" s="88" t="n">
        <v>1</v>
      </c>
      <c r="C861" s="93" t="n">
        <v>0</v>
      </c>
      <c r="D861" s="94" t="n">
        <v>0</v>
      </c>
      <c r="E861" s="94" t="n">
        <v>-9.699999999999999</v>
      </c>
      <c r="F861" s="94" t="n">
        <v>-0.1</v>
      </c>
      <c r="G861" s="94" t="n"/>
      <c r="H861" s="94" t="n">
        <v>-9.699999999999999</v>
      </c>
      <c r="I861" s="94" t="n">
        <v>-0.1</v>
      </c>
      <c r="J861" s="94" t="n"/>
      <c r="K861" s="95" t="inlineStr">
        <is>
          <t>2249 NEXCHIP</t>
        </is>
      </c>
    </row>
    <row r="862">
      <c r="A862" s="16" t="inlineStr">
        <is>
          <t>Puxin Technology Limited</t>
        </is>
      </c>
      <c r="B862" s="88" t="n">
        <v>1</v>
      </c>
      <c r="C862" s="93" t="n">
        <v>0</v>
      </c>
      <c r="D862" s="94" t="n">
        <v>0</v>
      </c>
      <c r="E862" s="94" t="n">
        <v>-9.699999999999999</v>
      </c>
      <c r="F862" s="94" t="n">
        <v>-0.1</v>
      </c>
      <c r="G862" s="94" t="n"/>
      <c r="H862" s="94" t="n">
        <v>-9.699999999999999</v>
      </c>
      <c r="I862" s="94" t="n">
        <v>-0.1</v>
      </c>
      <c r="J862" s="94" t="n"/>
      <c r="K862" s="95" t="inlineStr">
        <is>
          <t>2249 NEXCHIP</t>
        </is>
      </c>
    </row>
    <row r="863">
      <c r="A863" s="16" t="inlineStr">
        <is>
          <t>Smartsens Technology (HK) Co., Limited</t>
        </is>
      </c>
      <c r="B863" s="88" t="n">
        <v>1</v>
      </c>
      <c r="C863" s="93" t="n">
        <v>0</v>
      </c>
      <c r="D863" s="94" t="n">
        <v>0</v>
      </c>
      <c r="E863" s="94" t="n">
        <v>-9.699999999999999</v>
      </c>
      <c r="F863" s="94" t="n">
        <v>-0.1</v>
      </c>
      <c r="G863" s="94" t="n"/>
      <c r="H863" s="94" t="n">
        <v>-9.699999999999999</v>
      </c>
      <c r="I863" s="94" t="n">
        <v>-0.1</v>
      </c>
      <c r="J863" s="94" t="n"/>
      <c r="K863" s="95" t="inlineStr">
        <is>
          <t>2249 NEXCHIP</t>
        </is>
      </c>
    </row>
    <row r="864">
      <c r="A864" s="16" t="inlineStr">
        <is>
          <t>Agora, Inc</t>
        </is>
      </c>
      <c r="B864" s="88" t="n">
        <v>1</v>
      </c>
      <c r="C864" s="93" t="n">
        <v>0</v>
      </c>
      <c r="D864" s="94" t="n">
        <v>-0.1</v>
      </c>
      <c r="E864" s="94" t="n">
        <v>2.7</v>
      </c>
      <c r="F864" s="94" t="n">
        <v>-19.1</v>
      </c>
      <c r="G864" s="94" t="n">
        <v>-22.3</v>
      </c>
      <c r="H864" s="94" t="n">
        <v>2.8</v>
      </c>
      <c r="I864" s="94" t="n">
        <v>-19</v>
      </c>
      <c r="J864" s="94" t="n">
        <v>-22.2</v>
      </c>
      <c r="K864" s="95" t="inlineStr">
        <is>
          <t>2167 TI CLOUD</t>
        </is>
      </c>
    </row>
    <row r="865">
      <c r="A865" s="16" t="inlineStr">
        <is>
          <t>Platinum Investment Management Limited</t>
        </is>
      </c>
      <c r="B865" s="88" t="n">
        <v>1</v>
      </c>
      <c r="C865" s="93" t="n">
        <v>0</v>
      </c>
      <c r="D865" s="94" t="n">
        <v>-0.1</v>
      </c>
      <c r="E865" s="94" t="n">
        <v>2.7</v>
      </c>
      <c r="F865" s="94" t="n">
        <v>-19.1</v>
      </c>
      <c r="G865" s="94" t="n">
        <v>-22.3</v>
      </c>
      <c r="H865" s="94" t="n">
        <v>2.8</v>
      </c>
      <c r="I865" s="94" t="n">
        <v>-19</v>
      </c>
      <c r="J865" s="94" t="n">
        <v>-22.2</v>
      </c>
      <c r="K865" s="95" t="inlineStr">
        <is>
          <t>2167 TI CLOUD</t>
        </is>
      </c>
    </row>
    <row r="866">
      <c r="A866" s="16" t="inlineStr">
        <is>
          <t>Chiyu International Capital Limited</t>
        </is>
      </c>
      <c r="B866" s="88" t="n">
        <v>1</v>
      </c>
      <c r="C866" s="93" t="n">
        <v>0</v>
      </c>
      <c r="D866" s="94" t="n">
        <v>-0.1</v>
      </c>
      <c r="E866" s="94" t="n">
        <v>-0.1</v>
      </c>
      <c r="F866" s="94" t="n">
        <v>-27.3</v>
      </c>
      <c r="G866" s="94" t="n">
        <v>-29.1</v>
      </c>
      <c r="H866" s="94" t="n">
        <v>0</v>
      </c>
      <c r="I866" s="94" t="n">
        <v>-27.2</v>
      </c>
      <c r="J866" s="94" t="n">
        <v>-29</v>
      </c>
      <c r="K866" s="95" t="inlineStr">
        <is>
          <t>2152 SUXIN SERVICES</t>
        </is>
      </c>
    </row>
    <row r="867">
      <c r="A867" s="16" t="inlineStr">
        <is>
          <t>Capital VIII</t>
        </is>
      </c>
      <c r="B867" s="88" t="n">
        <v>1</v>
      </c>
      <c r="C867" s="93" t="n">
        <v>0</v>
      </c>
      <c r="D867" s="94" t="n">
        <v>-0.1</v>
      </c>
      <c r="E867" s="94" t="n">
        <v>11.6</v>
      </c>
      <c r="F867" s="94" t="n">
        <v>26.5</v>
      </c>
      <c r="G867" s="94" t="n">
        <v>70.3</v>
      </c>
      <c r="H867" s="94" t="n">
        <v>11.8</v>
      </c>
      <c r="I867" s="94" t="n">
        <v>26.7</v>
      </c>
      <c r="J867" s="94" t="n">
        <v>70.59999999999999</v>
      </c>
      <c r="K867" s="95" t="inlineStr">
        <is>
          <t>2050 SANHUA</t>
        </is>
      </c>
    </row>
    <row r="868">
      <c r="A868" s="16" t="inlineStr">
        <is>
          <t>Guizhou New Industrialization Fund</t>
        </is>
      </c>
      <c r="B868" s="88" t="n">
        <v>1</v>
      </c>
      <c r="C868" s="93" t="n">
        <v>0</v>
      </c>
      <c r="D868" s="94" t="n">
        <v>-0.1</v>
      </c>
      <c r="E868" s="94" t="n">
        <v>-10.9</v>
      </c>
      <c r="F868" s="94" t="n">
        <v>-22.6</v>
      </c>
      <c r="G868" s="94" t="n">
        <v>2.5</v>
      </c>
      <c r="H868" s="94" t="n">
        <v>-10.8</v>
      </c>
      <c r="I868" s="94" t="n">
        <v>-22.6</v>
      </c>
      <c r="J868" s="94" t="n">
        <v>2.6</v>
      </c>
      <c r="K868" s="95" t="inlineStr">
        <is>
          <t>2579 CNGR</t>
        </is>
      </c>
    </row>
    <row r="869">
      <c r="A869" s="16" t="inlineStr">
        <is>
          <t>Baoda Investment</t>
        </is>
      </c>
      <c r="B869" s="88" t="n">
        <v>1</v>
      </c>
      <c r="C869" s="93" t="n">
        <v>0</v>
      </c>
      <c r="D869" s="94" t="n">
        <v>-0.1</v>
      </c>
      <c r="E869" s="94" t="n">
        <v>-10.9</v>
      </c>
      <c r="F869" s="94" t="n">
        <v>-22.6</v>
      </c>
      <c r="G869" s="94" t="n">
        <v>2.5</v>
      </c>
      <c r="H869" s="94" t="n">
        <v>-10.8</v>
      </c>
      <c r="I869" s="94" t="n">
        <v>-22.6</v>
      </c>
      <c r="J869" s="94" t="n">
        <v>2.6</v>
      </c>
      <c r="K869" s="95" t="inlineStr">
        <is>
          <t>2579 CNGR</t>
        </is>
      </c>
    </row>
    <row r="870">
      <c r="A870" s="16" t="inlineStr">
        <is>
          <t>Gaoyi Asset Management</t>
        </is>
      </c>
      <c r="B870" s="88" t="n">
        <v>1</v>
      </c>
      <c r="C870" s="93" t="n">
        <v>0</v>
      </c>
      <c r="D870" s="94" t="n">
        <v>-0.1</v>
      </c>
      <c r="E870" s="94" t="n">
        <v>-10.9</v>
      </c>
      <c r="F870" s="94" t="n">
        <v>-22.6</v>
      </c>
      <c r="G870" s="94" t="n">
        <v>2.5</v>
      </c>
      <c r="H870" s="94" t="n">
        <v>-10.8</v>
      </c>
      <c r="I870" s="94" t="n">
        <v>-22.6</v>
      </c>
      <c r="J870" s="94" t="n">
        <v>2.6</v>
      </c>
      <c r="K870" s="95" t="inlineStr">
        <is>
          <t>2579 CNGR</t>
        </is>
      </c>
    </row>
    <row r="871">
      <c r="A871" s="16" t="inlineStr">
        <is>
          <t>North Rock</t>
        </is>
      </c>
      <c r="B871" s="88" t="n">
        <v>1</v>
      </c>
      <c r="C871" s="93" t="n">
        <v>0</v>
      </c>
      <c r="D871" s="94" t="n">
        <v>-0.1</v>
      </c>
      <c r="E871" s="94" t="n">
        <v>-10.9</v>
      </c>
      <c r="F871" s="94" t="n">
        <v>-22.6</v>
      </c>
      <c r="G871" s="94" t="n">
        <v>2.5</v>
      </c>
      <c r="H871" s="94" t="n">
        <v>-10.8</v>
      </c>
      <c r="I871" s="94" t="n">
        <v>-22.6</v>
      </c>
      <c r="J871" s="94" t="n">
        <v>2.6</v>
      </c>
      <c r="K871" s="95" t="inlineStr">
        <is>
          <t>2579 CNGR</t>
        </is>
      </c>
    </row>
    <row r="872">
      <c r="A872" s="16" t="inlineStr">
        <is>
          <t>Hunan Xingxiang Industry Fund</t>
        </is>
      </c>
      <c r="B872" s="88" t="n">
        <v>1</v>
      </c>
      <c r="C872" s="93" t="n">
        <v>0</v>
      </c>
      <c r="D872" s="94" t="n">
        <v>-0.1</v>
      </c>
      <c r="E872" s="94" t="n">
        <v>-10.9</v>
      </c>
      <c r="F872" s="94" t="n">
        <v>-22.6</v>
      </c>
      <c r="G872" s="94" t="n">
        <v>2.5</v>
      </c>
      <c r="H872" s="94" t="n">
        <v>-10.8</v>
      </c>
      <c r="I872" s="94" t="n">
        <v>-22.6</v>
      </c>
      <c r="J872" s="94" t="n">
        <v>2.6</v>
      </c>
      <c r="K872" s="95" t="inlineStr">
        <is>
          <t>2579 CNGR</t>
        </is>
      </c>
    </row>
    <row r="873">
      <c r="A873" s="16" t="inlineStr">
        <is>
          <t>Space Z PTE. LTD</t>
        </is>
      </c>
      <c r="B873" s="88" t="n">
        <v>1</v>
      </c>
      <c r="C873" s="93" t="n">
        <v>0</v>
      </c>
      <c r="D873" s="94" t="n">
        <v>-0.1</v>
      </c>
      <c r="E873" s="94" t="n">
        <v>-14.2</v>
      </c>
      <c r="F873" s="94" t="n">
        <v>7.3</v>
      </c>
      <c r="G873" s="94" t="n">
        <v>-29.3</v>
      </c>
      <c r="H873" s="94" t="n">
        <v>-14.1</v>
      </c>
      <c r="I873" s="94" t="n">
        <v>7.5</v>
      </c>
      <c r="J873" s="94" t="n">
        <v>-29.2</v>
      </c>
      <c r="K873" s="95" t="inlineStr">
        <is>
          <t>3887 HASHKEY HLDGS</t>
        </is>
      </c>
    </row>
    <row r="874">
      <c r="A874" s="16" t="inlineStr">
        <is>
          <t>Epoch Vantage Limited</t>
        </is>
      </c>
      <c r="B874" s="88" t="n">
        <v>1</v>
      </c>
      <c r="C874" s="93" t="n">
        <v>0</v>
      </c>
      <c r="D874" s="94" t="n">
        <v>-0.1</v>
      </c>
      <c r="E874" s="94" t="n">
        <v>-14.2</v>
      </c>
      <c r="F874" s="94" t="n">
        <v>7.3</v>
      </c>
      <c r="G874" s="94" t="n">
        <v>-29.3</v>
      </c>
      <c r="H874" s="94" t="n">
        <v>-14.1</v>
      </c>
      <c r="I874" s="94" t="n">
        <v>7.5</v>
      </c>
      <c r="J874" s="94" t="n">
        <v>-29.2</v>
      </c>
      <c r="K874" s="95" t="inlineStr">
        <is>
          <t>3887 HASHKEY HLDGS</t>
        </is>
      </c>
    </row>
    <row r="875">
      <c r="A875" s="16" t="inlineStr">
        <is>
          <t>XChainX Limited</t>
        </is>
      </c>
      <c r="B875" s="88" t="n">
        <v>1</v>
      </c>
      <c r="C875" s="93" t="n">
        <v>0</v>
      </c>
      <c r="D875" s="94" t="n">
        <v>-0.1</v>
      </c>
      <c r="E875" s="94" t="n">
        <v>-14.2</v>
      </c>
      <c r="F875" s="94" t="n">
        <v>7.3</v>
      </c>
      <c r="G875" s="94" t="n">
        <v>-29.3</v>
      </c>
      <c r="H875" s="94" t="n">
        <v>-14.1</v>
      </c>
      <c r="I875" s="94" t="n">
        <v>7.5</v>
      </c>
      <c r="J875" s="94" t="n">
        <v>-29.2</v>
      </c>
      <c r="K875" s="95" t="inlineStr">
        <is>
          <t>3887 HASHKEY HLDGS</t>
        </is>
      </c>
    </row>
    <row r="876">
      <c r="A876" s="16" t="inlineStr">
        <is>
          <t>TDR Investment Inc</t>
        </is>
      </c>
      <c r="B876" s="88" t="n">
        <v>1</v>
      </c>
      <c r="C876" s="93" t="n">
        <v>0</v>
      </c>
      <c r="D876" s="94" t="n">
        <v>-0.1</v>
      </c>
      <c r="E876" s="94" t="n">
        <v>-14.2</v>
      </c>
      <c r="F876" s="94" t="n">
        <v>7.3</v>
      </c>
      <c r="G876" s="94" t="n">
        <v>-29.3</v>
      </c>
      <c r="H876" s="94" t="n">
        <v>-14.1</v>
      </c>
      <c r="I876" s="94" t="n">
        <v>7.5</v>
      </c>
      <c r="J876" s="94" t="n">
        <v>-29.2</v>
      </c>
      <c r="K876" s="95" t="inlineStr">
        <is>
          <t>3887 HASHKEY HLDGS</t>
        </is>
      </c>
    </row>
    <row r="877">
      <c r="A877" s="16" t="inlineStr">
        <is>
          <t>Tomars Limited</t>
        </is>
      </c>
      <c r="B877" s="88" t="n">
        <v>1</v>
      </c>
      <c r="C877" s="93" t="n">
        <v>0</v>
      </c>
      <c r="D877" s="94" t="n">
        <v>-0.1</v>
      </c>
      <c r="E877" s="94" t="n">
        <v>-14.2</v>
      </c>
      <c r="F877" s="94" t="n">
        <v>7.3</v>
      </c>
      <c r="G877" s="94" t="n">
        <v>-29.3</v>
      </c>
      <c r="H877" s="94" t="n">
        <v>-14.1</v>
      </c>
      <c r="I877" s="94" t="n">
        <v>7.5</v>
      </c>
      <c r="J877" s="94" t="n">
        <v>-29.2</v>
      </c>
      <c r="K877" s="95" t="inlineStr">
        <is>
          <t>3887 HASHKEY HLDGS</t>
        </is>
      </c>
    </row>
    <row r="878">
      <c r="A878" s="16" t="inlineStr">
        <is>
          <t>Glodon (Hongkong) Software Limited</t>
        </is>
      </c>
      <c r="B878" s="88" t="n">
        <v>1</v>
      </c>
      <c r="C878" s="93" t="n">
        <v>0</v>
      </c>
      <c r="D878" s="94" t="n">
        <v>-0.2</v>
      </c>
      <c r="E878" s="94" t="n">
        <v>-9.300000000000001</v>
      </c>
      <c r="F878" s="94" t="n">
        <v>-31.3</v>
      </c>
      <c r="G878" s="94" t="n">
        <v>-42.6</v>
      </c>
      <c r="H878" s="94" t="n">
        <v>-9.1</v>
      </c>
      <c r="I878" s="94" t="n">
        <v>-31.1</v>
      </c>
      <c r="J878" s="94" t="n">
        <v>-42.5</v>
      </c>
      <c r="K878" s="95" t="inlineStr">
        <is>
          <t>2210 BEIJING JIAYE</t>
        </is>
      </c>
    </row>
    <row r="879">
      <c r="A879" s="16" t="inlineStr">
        <is>
          <t>Xinhuanet Co., Ltd</t>
        </is>
      </c>
      <c r="B879" s="88" t="n">
        <v>1</v>
      </c>
      <c r="C879" s="93" t="n">
        <v>0</v>
      </c>
      <c r="D879" s="94" t="n">
        <v>-0.2</v>
      </c>
      <c r="E879" s="94" t="n">
        <v>-0.4</v>
      </c>
      <c r="F879" s="94" t="n">
        <v>-1</v>
      </c>
      <c r="G879" s="94" t="n">
        <v>-0.4</v>
      </c>
      <c r="H879" s="94" t="n">
        <v>-0.2</v>
      </c>
      <c r="I879" s="94" t="n">
        <v>-0.8</v>
      </c>
      <c r="J879" s="94" t="n">
        <v>-0.2</v>
      </c>
      <c r="K879" s="95" t="inlineStr">
        <is>
          <t>2172 MICROPORT NEURO</t>
        </is>
      </c>
    </row>
    <row r="880">
      <c r="A880" s="16" t="inlineStr">
        <is>
          <t>Epsomite Gem Investments Ltd</t>
        </is>
      </c>
      <c r="B880" s="88" t="n">
        <v>1</v>
      </c>
      <c r="C880" s="93" t="n">
        <v>0</v>
      </c>
      <c r="D880" s="94" t="n">
        <v>-0.5</v>
      </c>
      <c r="E880" s="94" t="n">
        <v>-6.9</v>
      </c>
      <c r="F880" s="94" t="n">
        <v>-13</v>
      </c>
      <c r="G880" s="94" t="n">
        <v>-31.9</v>
      </c>
      <c r="H880" s="94" t="n">
        <v>-6.5</v>
      </c>
      <c r="I880" s="94" t="n">
        <v>-12.6</v>
      </c>
      <c r="J880" s="94" t="n">
        <v>-31.6</v>
      </c>
      <c r="K880" s="95" t="inlineStr">
        <is>
          <t>2256 ABBISKO-B</t>
        </is>
      </c>
    </row>
    <row r="881">
      <c r="A881" s="16" t="inlineStr">
        <is>
          <t>Proterra Asia Food Fund 3 VCC</t>
        </is>
      </c>
      <c r="B881" s="88" t="n">
        <v>1</v>
      </c>
      <c r="C881" s="93" t="n">
        <v>0</v>
      </c>
      <c r="D881" s="94" t="n">
        <v>-0.5</v>
      </c>
      <c r="E881" s="94" t="n">
        <v>-5.8</v>
      </c>
      <c r="F881" s="94" t="n">
        <v>-23</v>
      </c>
      <c r="G881" s="94" t="n">
        <v>-47.8</v>
      </c>
      <c r="H881" s="94" t="n">
        <v>-5.3</v>
      </c>
      <c r="I881" s="94" t="n">
        <v>-22.6</v>
      </c>
      <c r="J881" s="94" t="n">
        <v>-47.6</v>
      </c>
      <c r="K881" s="95" t="inlineStr">
        <is>
          <t>2425 AUSTASIA GROUP</t>
        </is>
      </c>
    </row>
    <row r="882">
      <c r="A882" s="16" t="inlineStr">
        <is>
          <t>Well Alliance Investment Holdings Limited</t>
        </is>
      </c>
      <c r="B882" s="88" t="n">
        <v>1</v>
      </c>
      <c r="C882" s="93" t="n">
        <v>0</v>
      </c>
      <c r="D882" s="94" t="n">
        <v>-0.5</v>
      </c>
      <c r="E882" s="94" t="n">
        <v>-5.8</v>
      </c>
      <c r="F882" s="94" t="n">
        <v>-23</v>
      </c>
      <c r="G882" s="94" t="n">
        <v>-47.8</v>
      </c>
      <c r="H882" s="94" t="n">
        <v>-5.3</v>
      </c>
      <c r="I882" s="94" t="n">
        <v>-22.6</v>
      </c>
      <c r="J882" s="94" t="n">
        <v>-47.6</v>
      </c>
      <c r="K882" s="95" t="inlineStr">
        <is>
          <t>2425 AUSTASIA GROUP</t>
        </is>
      </c>
    </row>
    <row r="883">
      <c r="A883" s="16" t="inlineStr">
        <is>
          <t>58.com Holdings Inc</t>
        </is>
      </c>
      <c r="B883" s="88" t="n">
        <v>1</v>
      </c>
      <c r="C883" s="93" t="n">
        <v>0</v>
      </c>
      <c r="D883" s="94" t="n">
        <v>-1.1</v>
      </c>
      <c r="E883" s="94" t="n">
        <v>-1.1</v>
      </c>
      <c r="F883" s="94" t="n">
        <v>-3</v>
      </c>
      <c r="G883" s="94" t="n">
        <v>-0.8</v>
      </c>
      <c r="H883" s="94" t="n">
        <v>0</v>
      </c>
      <c r="I883" s="94" t="n">
        <v>-1.9</v>
      </c>
      <c r="J883" s="94" t="n">
        <v>0.3</v>
      </c>
      <c r="K883" s="95" t="inlineStr">
        <is>
          <t>2205 KANGQIAO SER</t>
        </is>
      </c>
    </row>
    <row r="884">
      <c r="A884" s="16" t="inlineStr">
        <is>
          <t>Autobio Group Co., Ltd</t>
        </is>
      </c>
      <c r="B884" s="88" t="n">
        <v>1</v>
      </c>
      <c r="C884" s="93" t="n">
        <v>0</v>
      </c>
      <c r="D884" s="94" t="n">
        <v>-1.1</v>
      </c>
      <c r="E884" s="94" t="n">
        <v>-1.1</v>
      </c>
      <c r="F884" s="94" t="n">
        <v>-3</v>
      </c>
      <c r="G884" s="94" t="n">
        <v>-0.8</v>
      </c>
      <c r="H884" s="94" t="n">
        <v>0</v>
      </c>
      <c r="I884" s="94" t="n">
        <v>-1.9</v>
      </c>
      <c r="J884" s="94" t="n">
        <v>0.3</v>
      </c>
      <c r="K884" s="95" t="inlineStr">
        <is>
          <t>2205 KANGQIAO SER</t>
        </is>
      </c>
    </row>
    <row r="885">
      <c r="A885" s="16" t="inlineStr">
        <is>
          <t>Mr. Dai Junan</t>
        </is>
      </c>
      <c r="B885" s="88" t="n">
        <v>1</v>
      </c>
      <c r="C885" s="93" t="n">
        <v>0</v>
      </c>
      <c r="D885" s="94" t="n">
        <v>-1.1</v>
      </c>
      <c r="E885" s="94" t="n">
        <v>-6.7</v>
      </c>
      <c r="F885" s="94" t="n">
        <v>-16.1</v>
      </c>
      <c r="G885" s="94" t="n">
        <v>-17.7</v>
      </c>
      <c r="H885" s="94" t="n">
        <v>-5.7</v>
      </c>
      <c r="I885" s="94" t="n">
        <v>-15.2</v>
      </c>
      <c r="J885" s="94" t="n">
        <v>-16.8</v>
      </c>
      <c r="K885" s="95" t="inlineStr">
        <is>
          <t>1187 COFOE MEDICAL</t>
        </is>
      </c>
    </row>
    <row r="886">
      <c r="A886" s="16" t="inlineStr">
        <is>
          <t>Mr. Huang Xuelin</t>
        </is>
      </c>
      <c r="B886" s="88" t="n">
        <v>1</v>
      </c>
      <c r="C886" s="93" t="n">
        <v>0</v>
      </c>
      <c r="D886" s="94" t="n">
        <v>-1.1</v>
      </c>
      <c r="E886" s="94" t="n">
        <v>-6.7</v>
      </c>
      <c r="F886" s="94" t="n">
        <v>-16.1</v>
      </c>
      <c r="G886" s="94" t="n">
        <v>-17.7</v>
      </c>
      <c r="H886" s="94" t="n">
        <v>-5.7</v>
      </c>
      <c r="I886" s="94" t="n">
        <v>-15.2</v>
      </c>
      <c r="J886" s="94" t="n">
        <v>-16.8</v>
      </c>
      <c r="K886" s="95" t="inlineStr">
        <is>
          <t>1187 COFOE MEDICAL</t>
        </is>
      </c>
    </row>
    <row r="887">
      <c r="A887" s="16" t="inlineStr">
        <is>
          <t>Ms. Lu Qinchao</t>
        </is>
      </c>
      <c r="B887" s="88" t="n">
        <v>1</v>
      </c>
      <c r="C887" s="93" t="n">
        <v>0</v>
      </c>
      <c r="D887" s="94" t="n">
        <v>-1.1</v>
      </c>
      <c r="E887" s="94" t="n">
        <v>-6.7</v>
      </c>
      <c r="F887" s="94" t="n">
        <v>-16.1</v>
      </c>
      <c r="G887" s="94" t="n">
        <v>-17.7</v>
      </c>
      <c r="H887" s="94" t="n">
        <v>-5.7</v>
      </c>
      <c r="I887" s="94" t="n">
        <v>-15.2</v>
      </c>
      <c r="J887" s="94" t="n">
        <v>-16.8</v>
      </c>
      <c r="K887" s="95" t="inlineStr">
        <is>
          <t>1187 COFOE MEDICAL</t>
        </is>
      </c>
    </row>
    <row r="888">
      <c r="A888" s="16" t="inlineStr">
        <is>
          <t>ODI TRUST LIMITED</t>
        </is>
      </c>
      <c r="B888" s="88" t="n">
        <v>1</v>
      </c>
      <c r="C888" s="93" t="n">
        <v>0</v>
      </c>
      <c r="D888" s="94" t="n">
        <v>-1.1</v>
      </c>
      <c r="E888" s="94" t="n">
        <v>-6.7</v>
      </c>
      <c r="F888" s="94" t="n">
        <v>-16.1</v>
      </c>
      <c r="G888" s="94" t="n">
        <v>-17.7</v>
      </c>
      <c r="H888" s="94" t="n">
        <v>-5.7</v>
      </c>
      <c r="I888" s="94" t="n">
        <v>-15.2</v>
      </c>
      <c r="J888" s="94" t="n">
        <v>-16.8</v>
      </c>
      <c r="K888" s="95" t="inlineStr">
        <is>
          <t>1187 COFOE MEDICAL</t>
        </is>
      </c>
    </row>
    <row r="889">
      <c r="A889" s="16" t="inlineStr">
        <is>
          <t>Sinohealth Technology Holdings Limited</t>
        </is>
      </c>
      <c r="B889" s="88" t="n">
        <v>1</v>
      </c>
      <c r="C889" s="93" t="n">
        <v>0</v>
      </c>
      <c r="D889" s="94" t="n">
        <v>-1.1</v>
      </c>
      <c r="E889" s="94" t="n">
        <v>-6.7</v>
      </c>
      <c r="F889" s="94" t="n">
        <v>-16.1</v>
      </c>
      <c r="G889" s="94" t="n">
        <v>-17.7</v>
      </c>
      <c r="H889" s="94" t="n">
        <v>-5.7</v>
      </c>
      <c r="I889" s="94" t="n">
        <v>-15.2</v>
      </c>
      <c r="J889" s="94" t="n">
        <v>-16.8</v>
      </c>
      <c r="K889" s="95" t="inlineStr">
        <is>
          <t>1187 COFOE MEDICAL</t>
        </is>
      </c>
    </row>
    <row r="890">
      <c r="A890" s="16" t="inlineStr">
        <is>
          <t>Dynamic Holding Co., Ltd</t>
        </is>
      </c>
      <c r="B890" s="88" t="n">
        <v>1</v>
      </c>
      <c r="C890" s="93" t="n">
        <v>0</v>
      </c>
      <c r="D890" s="94" t="n">
        <v>-1.8</v>
      </c>
      <c r="E890" s="94" t="n">
        <v>9.9</v>
      </c>
      <c r="F890" s="94" t="n">
        <v>2.6</v>
      </c>
      <c r="G890" s="94" t="n"/>
      <c r="H890" s="94" t="n">
        <v>11.9</v>
      </c>
      <c r="I890" s="94" t="n">
        <v>4.5</v>
      </c>
      <c r="J890" s="94" t="n"/>
      <c r="K890" s="95" t="inlineStr">
        <is>
          <t>1377 DTECH</t>
        </is>
      </c>
    </row>
    <row r="891">
      <c r="A891" s="16" t="inlineStr">
        <is>
          <t>IFUND SPC– Vision IX SP</t>
        </is>
      </c>
      <c r="B891" s="88" t="n">
        <v>1</v>
      </c>
      <c r="C891" s="93" t="n">
        <v>0</v>
      </c>
      <c r="D891" s="94" t="n">
        <v>-1.8</v>
      </c>
      <c r="E891" s="94" t="n">
        <v>9.9</v>
      </c>
      <c r="F891" s="94" t="n">
        <v>2.6</v>
      </c>
      <c r="G891" s="94" t="n"/>
      <c r="H891" s="94" t="n">
        <v>11.9</v>
      </c>
      <c r="I891" s="94" t="n">
        <v>4.5</v>
      </c>
      <c r="J891" s="94" t="n"/>
      <c r="K891" s="95" t="inlineStr">
        <is>
          <t>1377 DTECH</t>
        </is>
      </c>
    </row>
    <row r="892">
      <c r="A892" s="16" t="inlineStr">
        <is>
          <t>Crane Movement</t>
        </is>
      </c>
      <c r="B892" s="88" t="n">
        <v>1</v>
      </c>
      <c r="C892" s="93" t="n">
        <v>0</v>
      </c>
      <c r="D892" s="94" t="n">
        <v>-1.9</v>
      </c>
      <c r="E892" s="94" t="n">
        <v>0</v>
      </c>
      <c r="F892" s="94" t="n">
        <v>7.7</v>
      </c>
      <c r="G892" s="94" t="n">
        <v>3.4</v>
      </c>
      <c r="H892" s="94" t="n">
        <v>1.9</v>
      </c>
      <c r="I892" s="94" t="n">
        <v>9.800000000000001</v>
      </c>
      <c r="J892" s="94" t="n">
        <v>5.4</v>
      </c>
      <c r="K892" s="95" t="inlineStr">
        <is>
          <t>2510 TS LINES</t>
        </is>
      </c>
    </row>
    <row r="893">
      <c r="A893" s="16" t="inlineStr">
        <is>
          <t>HUNG Chi-Li</t>
        </is>
      </c>
      <c r="B893" s="88" t="n">
        <v>1</v>
      </c>
      <c r="C893" s="93" t="n">
        <v>0</v>
      </c>
      <c r="D893" s="94" t="n">
        <v>-1.9</v>
      </c>
      <c r="E893" s="94" t="n">
        <v>0</v>
      </c>
      <c r="F893" s="94" t="n">
        <v>7.7</v>
      </c>
      <c r="G893" s="94" t="n">
        <v>3.4</v>
      </c>
      <c r="H893" s="94" t="n">
        <v>1.9</v>
      </c>
      <c r="I893" s="94" t="n">
        <v>9.800000000000001</v>
      </c>
      <c r="J893" s="94" t="n">
        <v>5.4</v>
      </c>
      <c r="K893" s="95" t="inlineStr">
        <is>
          <t>2510 TS LINES</t>
        </is>
      </c>
    </row>
    <row r="894">
      <c r="A894" s="16" t="inlineStr">
        <is>
          <t>Indigo Rainbow Limited</t>
        </is>
      </c>
      <c r="B894" s="88" t="n">
        <v>1</v>
      </c>
      <c r="C894" s="93" t="n">
        <v>0</v>
      </c>
      <c r="D894" s="94" t="n">
        <v>-1.9</v>
      </c>
      <c r="E894" s="94" t="n">
        <v>0</v>
      </c>
      <c r="F894" s="94" t="n">
        <v>7.7</v>
      </c>
      <c r="G894" s="94" t="n">
        <v>3.4</v>
      </c>
      <c r="H894" s="94" t="n">
        <v>1.9</v>
      </c>
      <c r="I894" s="94" t="n">
        <v>9.800000000000001</v>
      </c>
      <c r="J894" s="94" t="n">
        <v>5.4</v>
      </c>
      <c r="K894" s="95" t="inlineStr">
        <is>
          <t>2510 TS LINES</t>
        </is>
      </c>
    </row>
    <row r="895">
      <c r="A895" s="16" t="inlineStr">
        <is>
          <t>Metro Shine Group Limited</t>
        </is>
      </c>
      <c r="B895" s="88" t="n">
        <v>1</v>
      </c>
      <c r="C895" s="93" t="n">
        <v>0</v>
      </c>
      <c r="D895" s="94" t="n">
        <v>-1.9</v>
      </c>
      <c r="E895" s="94" t="n">
        <v>0</v>
      </c>
      <c r="F895" s="94" t="n">
        <v>7.7</v>
      </c>
      <c r="G895" s="94" t="n">
        <v>3.4</v>
      </c>
      <c r="H895" s="94" t="n">
        <v>1.9</v>
      </c>
      <c r="I895" s="94" t="n">
        <v>9.800000000000001</v>
      </c>
      <c r="J895" s="94" t="n">
        <v>5.4</v>
      </c>
      <c r="K895" s="95" t="inlineStr">
        <is>
          <t>2510 TS LINES</t>
        </is>
      </c>
    </row>
    <row r="896">
      <c r="A896" s="16" t="inlineStr">
        <is>
          <t>WANG Yi-Fen</t>
        </is>
      </c>
      <c r="B896" s="88" t="n">
        <v>1</v>
      </c>
      <c r="C896" s="93" t="n">
        <v>0</v>
      </c>
      <c r="D896" s="94" t="n">
        <v>-1.9</v>
      </c>
      <c r="E896" s="94" t="n">
        <v>0</v>
      </c>
      <c r="F896" s="94" t="n">
        <v>7.7</v>
      </c>
      <c r="G896" s="94" t="n">
        <v>3.4</v>
      </c>
      <c r="H896" s="94" t="n">
        <v>1.9</v>
      </c>
      <c r="I896" s="94" t="n">
        <v>9.800000000000001</v>
      </c>
      <c r="J896" s="94" t="n">
        <v>5.4</v>
      </c>
      <c r="K896" s="95" t="inlineStr">
        <is>
          <t>2510 TS LINES</t>
        </is>
      </c>
    </row>
    <row r="897">
      <c r="A897" s="16" t="inlineStr">
        <is>
          <t>Worldwide Logistics Holding HK Limited</t>
        </is>
      </c>
      <c r="B897" s="88" t="n">
        <v>1</v>
      </c>
      <c r="C897" s="93" t="n">
        <v>0</v>
      </c>
      <c r="D897" s="94" t="n">
        <v>-1.9</v>
      </c>
      <c r="E897" s="94" t="n">
        <v>0</v>
      </c>
      <c r="F897" s="94" t="n">
        <v>7.7</v>
      </c>
      <c r="G897" s="94" t="n">
        <v>3.4</v>
      </c>
      <c r="H897" s="94" t="n">
        <v>1.9</v>
      </c>
      <c r="I897" s="94" t="n">
        <v>9.800000000000001</v>
      </c>
      <c r="J897" s="94" t="n">
        <v>5.4</v>
      </c>
      <c r="K897" s="95" t="inlineStr">
        <is>
          <t>2510 TS LINES</t>
        </is>
      </c>
    </row>
    <row r="898">
      <c r="A898" s="16" t="inlineStr">
        <is>
          <t>BCC Asia Aggregator, L.P</t>
        </is>
      </c>
      <c r="B898" s="88" t="n">
        <v>1</v>
      </c>
      <c r="C898" s="93" t="n">
        <v>0</v>
      </c>
      <c r="D898" s="94" t="n">
        <v>-2</v>
      </c>
      <c r="E898" s="94" t="n">
        <v>17.4</v>
      </c>
      <c r="F898" s="94" t="n"/>
      <c r="G898" s="94" t="n"/>
      <c r="H898" s="94" t="n">
        <v>19.9</v>
      </c>
      <c r="I898" s="94" t="n"/>
      <c r="J898" s="94" t="n"/>
      <c r="K898" s="95" t="inlineStr">
        <is>
          <t>3308 ZJ INNOLIGHT</t>
        </is>
      </c>
    </row>
    <row r="899">
      <c r="A899" s="16" t="inlineStr">
        <is>
          <t>Chow Tai Fook Enterprises Limited</t>
        </is>
      </c>
      <c r="B899" s="88" t="n">
        <v>1</v>
      </c>
      <c r="C899" s="93" t="n">
        <v>0</v>
      </c>
      <c r="D899" s="94" t="n">
        <v>-2</v>
      </c>
      <c r="E899" s="94" t="n">
        <v>17.4</v>
      </c>
      <c r="F899" s="94" t="n"/>
      <c r="G899" s="94" t="n"/>
      <c r="H899" s="94" t="n">
        <v>19.9</v>
      </c>
      <c r="I899" s="94" t="n"/>
      <c r="J899" s="94" t="n"/>
      <c r="K899" s="95" t="inlineStr">
        <is>
          <t>3308 ZJ INNOLIGHT</t>
        </is>
      </c>
    </row>
    <row r="900">
      <c r="A900" s="16" t="inlineStr">
        <is>
          <t>IDG Capital Project Fund Rhododendron L.P</t>
        </is>
      </c>
      <c r="B900" s="88" t="n">
        <v>1</v>
      </c>
      <c r="C900" s="93" t="n">
        <v>0</v>
      </c>
      <c r="D900" s="94" t="n">
        <v>-2</v>
      </c>
      <c r="E900" s="94" t="n">
        <v>17.4</v>
      </c>
      <c r="F900" s="94" t="n"/>
      <c r="G900" s="94" t="n"/>
      <c r="H900" s="94" t="n">
        <v>19.9</v>
      </c>
      <c r="I900" s="94" t="n"/>
      <c r="J900" s="94" t="n"/>
      <c r="K900" s="95" t="inlineStr">
        <is>
          <t>3308 ZJ INNOLIGHT</t>
        </is>
      </c>
    </row>
    <row r="901">
      <c r="A901" s="16" t="inlineStr">
        <is>
          <t>XINGTAI HOLDING COMPANY (HONG KONG) LIMITED</t>
        </is>
      </c>
      <c r="B901" s="88" t="n">
        <v>1</v>
      </c>
      <c r="C901" s="93" t="n">
        <v>0</v>
      </c>
      <c r="D901" s="94" t="n">
        <v>-2.1</v>
      </c>
      <c r="E901" s="94" t="n">
        <v>-1.4</v>
      </c>
      <c r="F901" s="94" t="n">
        <v>-4.5</v>
      </c>
      <c r="G901" s="94" t="n">
        <v>-6.9</v>
      </c>
      <c r="H901" s="94" t="n">
        <v>0.7</v>
      </c>
      <c r="I901" s="94" t="n">
        <v>-2.5</v>
      </c>
      <c r="J901" s="94" t="n">
        <v>-4.9</v>
      </c>
      <c r="K901" s="95" t="inlineStr">
        <is>
          <t>2482 LOGORY</t>
        </is>
      </c>
    </row>
    <row r="902">
      <c r="A902" s="16" t="inlineStr">
        <is>
          <t>NetEase, Inc</t>
        </is>
      </c>
      <c r="B902" s="88" t="n">
        <v>1</v>
      </c>
      <c r="C902" s="93" t="n">
        <v>0</v>
      </c>
      <c r="D902" s="94" t="n">
        <v>-2.5</v>
      </c>
      <c r="E902" s="94" t="n">
        <v>-2.7</v>
      </c>
      <c r="F902" s="94" t="n">
        <v>-27</v>
      </c>
      <c r="G902" s="94" t="n">
        <v>-55.1</v>
      </c>
      <c r="H902" s="94" t="n">
        <v>-0.2</v>
      </c>
      <c r="I902" s="94" t="n">
        <v>-25.2</v>
      </c>
      <c r="J902" s="94" t="n">
        <v>-54</v>
      </c>
      <c r="K902" s="95" t="inlineStr">
        <is>
          <t>9899 CLOUD VILLAGE</t>
        </is>
      </c>
    </row>
    <row r="903">
      <c r="A903" s="16" t="inlineStr">
        <is>
          <t>Orbis Investment Management Limited</t>
        </is>
      </c>
      <c r="B903" s="88" t="n">
        <v>1</v>
      </c>
      <c r="C903" s="93" t="n">
        <v>0</v>
      </c>
      <c r="D903" s="94" t="n">
        <v>-2.5</v>
      </c>
      <c r="E903" s="94" t="n">
        <v>-2.7</v>
      </c>
      <c r="F903" s="94" t="n">
        <v>-27</v>
      </c>
      <c r="G903" s="94" t="n">
        <v>-55.1</v>
      </c>
      <c r="H903" s="94" t="n">
        <v>-0.2</v>
      </c>
      <c r="I903" s="94" t="n">
        <v>-25.2</v>
      </c>
      <c r="J903" s="94" t="n">
        <v>-54</v>
      </c>
      <c r="K903" s="95" t="inlineStr">
        <is>
          <t>9899 CLOUD VILLAGE</t>
        </is>
      </c>
    </row>
    <row r="904">
      <c r="A904" s="16" t="inlineStr">
        <is>
          <t>Sony Music Entertainment</t>
        </is>
      </c>
      <c r="B904" s="88" t="n">
        <v>1</v>
      </c>
      <c r="C904" s="93" t="n">
        <v>0</v>
      </c>
      <c r="D904" s="94" t="n">
        <v>-2.5</v>
      </c>
      <c r="E904" s="94" t="n">
        <v>-2.7</v>
      </c>
      <c r="F904" s="94" t="n">
        <v>-27</v>
      </c>
      <c r="G904" s="94" t="n">
        <v>-55.1</v>
      </c>
      <c r="H904" s="94" t="n">
        <v>-0.2</v>
      </c>
      <c r="I904" s="94" t="n">
        <v>-25.2</v>
      </c>
      <c r="J904" s="94" t="n">
        <v>-54</v>
      </c>
      <c r="K904" s="95" t="inlineStr">
        <is>
          <t>9899 CLOUD VILLAGE</t>
        </is>
      </c>
    </row>
    <row r="905">
      <c r="A905" s="16" t="inlineStr">
        <is>
          <t>Oceanpine Capital Management Limited</t>
        </is>
      </c>
      <c r="B905" s="88" t="n">
        <v>1</v>
      </c>
      <c r="C905" s="93" t="n">
        <v>0</v>
      </c>
      <c r="D905" s="94" t="n">
        <v>-3</v>
      </c>
      <c r="E905" s="94" t="n">
        <v>-22.6</v>
      </c>
      <c r="F905" s="94" t="n">
        <v>-16.9</v>
      </c>
      <c r="G905" s="94" t="n">
        <v>-17.8</v>
      </c>
      <c r="H905" s="94" t="n">
        <v>-20.2</v>
      </c>
      <c r="I905" s="94" t="n">
        <v>-14.3</v>
      </c>
      <c r="J905" s="94" t="n">
        <v>-15.3</v>
      </c>
      <c r="K905" s="95" t="inlineStr">
        <is>
          <t>2197 CLOVER BIO-B</t>
        </is>
      </c>
    </row>
    <row r="906">
      <c r="A906" s="16" t="inlineStr">
        <is>
          <t>Rock Springs Capital Master Fund LP</t>
        </is>
      </c>
      <c r="B906" s="88" t="n">
        <v>1</v>
      </c>
      <c r="C906" s="93" t="n">
        <v>0</v>
      </c>
      <c r="D906" s="94" t="n">
        <v>-3</v>
      </c>
      <c r="E906" s="94" t="n">
        <v>-22.6</v>
      </c>
      <c r="F906" s="94" t="n">
        <v>-16.9</v>
      </c>
      <c r="G906" s="94" t="n">
        <v>-17.8</v>
      </c>
      <c r="H906" s="94" t="n">
        <v>-20.2</v>
      </c>
      <c r="I906" s="94" t="n">
        <v>-14.3</v>
      </c>
      <c r="J906" s="94" t="n">
        <v>-15.3</v>
      </c>
      <c r="K906" s="95" t="inlineStr">
        <is>
          <t>2197 CLOVER BIO-B</t>
        </is>
      </c>
    </row>
    <row r="907">
      <c r="A907" s="16" t="inlineStr">
        <is>
          <t>Toroa Master Fund</t>
        </is>
      </c>
      <c r="B907" s="88" t="n">
        <v>1</v>
      </c>
      <c r="C907" s="93" t="n">
        <v>0</v>
      </c>
      <c r="D907" s="94" t="n">
        <v>-3</v>
      </c>
      <c r="E907" s="94" t="n">
        <v>-22.6</v>
      </c>
      <c r="F907" s="94" t="n">
        <v>-16.9</v>
      </c>
      <c r="G907" s="94" t="n">
        <v>-17.8</v>
      </c>
      <c r="H907" s="94" t="n">
        <v>-20.2</v>
      </c>
      <c r="I907" s="94" t="n">
        <v>-14.3</v>
      </c>
      <c r="J907" s="94" t="n">
        <v>-15.3</v>
      </c>
      <c r="K907" s="95" t="inlineStr">
        <is>
          <t>2197 CLOVER BIO-B</t>
        </is>
      </c>
    </row>
    <row r="908">
      <c r="A908" s="16" t="inlineStr">
        <is>
          <t>Orinno Investment</t>
        </is>
      </c>
      <c r="B908" s="88" t="n">
        <v>1</v>
      </c>
      <c r="C908" s="93" t="n">
        <v>0</v>
      </c>
      <c r="D908" s="94" t="n">
        <v>-3</v>
      </c>
      <c r="E908" s="94" t="n">
        <v>8</v>
      </c>
      <c r="F908" s="94" t="n">
        <v>2.6</v>
      </c>
      <c r="G908" s="94" t="n">
        <v>-36.1</v>
      </c>
      <c r="H908" s="94" t="n">
        <v>11.3</v>
      </c>
      <c r="I908" s="94" t="n">
        <v>5.9</v>
      </c>
      <c r="J908" s="94" t="n">
        <v>-34.1</v>
      </c>
      <c r="K908" s="95" t="inlineStr">
        <is>
          <t>2416 EDIANYUN</t>
        </is>
      </c>
    </row>
    <row r="909">
      <c r="A909" s="16" t="inlineStr">
        <is>
          <t>Guangzhou Automobile Industry Group Co., Ltd</t>
        </is>
      </c>
      <c r="B909" s="88" t="n">
        <v>1</v>
      </c>
      <c r="C909" s="93" t="n">
        <v>0</v>
      </c>
      <c r="D909" s="94" t="n">
        <v>-3.1</v>
      </c>
      <c r="E909" s="94" t="n">
        <v>-20.6</v>
      </c>
      <c r="F909" s="94" t="n">
        <v>-16.6</v>
      </c>
      <c r="G909" s="94" t="n">
        <v>-34.6</v>
      </c>
      <c r="H909" s="94" t="n">
        <v>-18</v>
      </c>
      <c r="I909" s="94" t="n">
        <v>-13.9</v>
      </c>
      <c r="J909" s="94" t="n">
        <v>-32.5</v>
      </c>
      <c r="K909" s="95" t="inlineStr">
        <is>
          <t>9680 CHENQI TECH</t>
        </is>
      </c>
    </row>
    <row r="910">
      <c r="A910" s="16" t="inlineStr">
        <is>
          <t>Voyager Group Inc</t>
        </is>
      </c>
      <c r="B910" s="88" t="n">
        <v>1</v>
      </c>
      <c r="C910" s="93" t="n">
        <v>0</v>
      </c>
      <c r="D910" s="94" t="n">
        <v>-3.1</v>
      </c>
      <c r="E910" s="94" t="n">
        <v>-20.6</v>
      </c>
      <c r="F910" s="94" t="n">
        <v>-16.6</v>
      </c>
      <c r="G910" s="94" t="n">
        <v>-34.6</v>
      </c>
      <c r="H910" s="94" t="n">
        <v>-18</v>
      </c>
      <c r="I910" s="94" t="n">
        <v>-13.9</v>
      </c>
      <c r="J910" s="94" t="n">
        <v>-32.5</v>
      </c>
      <c r="K910" s="95" t="inlineStr">
        <is>
          <t>9680 CHENQI TECH</t>
        </is>
      </c>
    </row>
    <row r="911">
      <c r="A911" s="16" t="inlineStr">
        <is>
          <t>WeRide Inc</t>
        </is>
      </c>
      <c r="B911" s="88" t="n">
        <v>1</v>
      </c>
      <c r="C911" s="93" t="n">
        <v>0</v>
      </c>
      <c r="D911" s="94" t="n">
        <v>-3.1</v>
      </c>
      <c r="E911" s="94" t="n">
        <v>-20.6</v>
      </c>
      <c r="F911" s="94" t="n">
        <v>-16.6</v>
      </c>
      <c r="G911" s="94" t="n">
        <v>-34.6</v>
      </c>
      <c r="H911" s="94" t="n">
        <v>-18</v>
      </c>
      <c r="I911" s="94" t="n">
        <v>-13.9</v>
      </c>
      <c r="J911" s="94" t="n">
        <v>-32.5</v>
      </c>
      <c r="K911" s="95" t="inlineStr">
        <is>
          <t>9680 CHENQI TECH</t>
        </is>
      </c>
    </row>
    <row r="912">
      <c r="A912" s="16" t="inlineStr">
        <is>
          <t>Nanjing Jingkai Juzhi Investment L.P</t>
        </is>
      </c>
      <c r="B912" s="88" t="n">
        <v>1</v>
      </c>
      <c r="C912" s="93" t="n">
        <v>0</v>
      </c>
      <c r="D912" s="94" t="n">
        <v>-3.2</v>
      </c>
      <c r="E912" s="94" t="n">
        <v>1.3</v>
      </c>
      <c r="F912" s="94" t="n">
        <v>-5.3</v>
      </c>
      <c r="G912" s="94" t="n">
        <v>-69.7</v>
      </c>
      <c r="H912" s="94" t="n">
        <v>4.6</v>
      </c>
      <c r="I912" s="94" t="n">
        <v>-2.2</v>
      </c>
      <c r="J912" s="94" t="n">
        <v>-68.8</v>
      </c>
      <c r="K912" s="95" t="inlineStr">
        <is>
          <t>2438 MOBVOI</t>
        </is>
      </c>
    </row>
    <row r="913">
      <c r="A913" s="16" t="inlineStr">
        <is>
          <t>TradeGo FinTech Limited</t>
        </is>
      </c>
      <c r="B913" s="88" t="n">
        <v>1</v>
      </c>
      <c r="C913" s="93" t="n">
        <v>0</v>
      </c>
      <c r="D913" s="94" t="n">
        <v>-4.1</v>
      </c>
      <c r="E913" s="94" t="n">
        <v>3.6</v>
      </c>
      <c r="F913" s="94" t="n">
        <v>48</v>
      </c>
      <c r="G913" s="94" t="n">
        <v>89.59999999999999</v>
      </c>
      <c r="H913" s="94" t="n">
        <v>8</v>
      </c>
      <c r="I913" s="94" t="n">
        <v>54.2</v>
      </c>
      <c r="J913" s="94" t="n">
        <v>97.59999999999999</v>
      </c>
      <c r="K913" s="95" t="inlineStr">
        <is>
          <t>6610 FLOWING CLOUD</t>
        </is>
      </c>
    </row>
    <row r="914">
      <c r="A914" s="16" t="inlineStr">
        <is>
          <t>Hield International</t>
        </is>
      </c>
      <c r="B914" s="88" t="n">
        <v>1</v>
      </c>
      <c r="C914" s="93" t="n">
        <v>0</v>
      </c>
      <c r="D914" s="94" t="n">
        <v>-4.3</v>
      </c>
      <c r="E914" s="94" t="n">
        <v>-2.5</v>
      </c>
      <c r="F914" s="94" t="n">
        <v>20.8</v>
      </c>
      <c r="G914" s="94" t="n">
        <v>8.6</v>
      </c>
      <c r="H914" s="94" t="n">
        <v>1.9</v>
      </c>
      <c r="I914" s="94" t="n">
        <v>26.2</v>
      </c>
      <c r="J914" s="94" t="n">
        <v>13.5</v>
      </c>
      <c r="K914" s="95" t="inlineStr">
        <is>
          <t>2676 NOVOSENSE</t>
        </is>
      </c>
    </row>
    <row r="915">
      <c r="A915" s="16" t="inlineStr">
        <is>
          <t>Oriza Naxin</t>
        </is>
      </c>
      <c r="B915" s="88" t="n">
        <v>1</v>
      </c>
      <c r="C915" s="93" t="n">
        <v>0</v>
      </c>
      <c r="D915" s="94" t="n">
        <v>-4.3</v>
      </c>
      <c r="E915" s="94" t="n">
        <v>-2.5</v>
      </c>
      <c r="F915" s="94" t="n">
        <v>20.8</v>
      </c>
      <c r="G915" s="94" t="n">
        <v>8.6</v>
      </c>
      <c r="H915" s="94" t="n">
        <v>1.9</v>
      </c>
      <c r="I915" s="94" t="n">
        <v>26.2</v>
      </c>
      <c r="J915" s="94" t="n">
        <v>13.5</v>
      </c>
      <c r="K915" s="95" t="inlineStr">
        <is>
          <t>2676 NOVOSENSE</t>
        </is>
      </c>
    </row>
    <row r="916">
      <c r="A916" s="16" t="inlineStr">
        <is>
          <t>BYTEDANCE (HK) LIMITED</t>
        </is>
      </c>
      <c r="B916" s="88" t="n">
        <v>1</v>
      </c>
      <c r="C916" s="93" t="n">
        <v>0</v>
      </c>
      <c r="D916" s="94" t="n">
        <v>-4.5</v>
      </c>
      <c r="E916" s="94" t="n">
        <v>-1.9</v>
      </c>
      <c r="F916" s="94" t="n">
        <v>-19.4</v>
      </c>
      <c r="G916" s="94" t="n">
        <v>-13.6</v>
      </c>
      <c r="H916" s="94" t="n">
        <v>2.7</v>
      </c>
      <c r="I916" s="94" t="n">
        <v>-15.6</v>
      </c>
      <c r="J916" s="94" t="n">
        <v>-9.5</v>
      </c>
      <c r="K916" s="95" t="inlineStr">
        <is>
          <t>1948 UJU HOLDING</t>
        </is>
      </c>
    </row>
    <row r="917">
      <c r="A917" s="16" t="inlineStr">
        <is>
          <t>I-China Holdings Limited</t>
        </is>
      </c>
      <c r="B917" s="88" t="n">
        <v>1</v>
      </c>
      <c r="C917" s="93" t="n">
        <v>0</v>
      </c>
      <c r="D917" s="94" t="n">
        <v>-4.6</v>
      </c>
      <c r="E917" s="94" t="n">
        <v>-4.5</v>
      </c>
      <c r="F917" s="94" t="n">
        <v>-21.3</v>
      </c>
      <c r="G917" s="94" t="n">
        <v>-61.9</v>
      </c>
      <c r="H917" s="94" t="n">
        <v>0.2</v>
      </c>
      <c r="I917" s="94" t="n">
        <v>-17.5</v>
      </c>
      <c r="J917" s="94" t="n">
        <v>-60</v>
      </c>
      <c r="K917" s="95" t="inlineStr">
        <is>
          <t>6633 QINGCI GAMES</t>
        </is>
      </c>
    </row>
    <row r="918">
      <c r="A918" s="16" t="inlineStr">
        <is>
          <t>Qookka Entertainment Limited</t>
        </is>
      </c>
      <c r="B918" s="88" t="n">
        <v>1</v>
      </c>
      <c r="C918" s="93" t="n">
        <v>0</v>
      </c>
      <c r="D918" s="94" t="n">
        <v>-4.6</v>
      </c>
      <c r="E918" s="94" t="n">
        <v>-4.5</v>
      </c>
      <c r="F918" s="94" t="n">
        <v>-21.3</v>
      </c>
      <c r="G918" s="94" t="n">
        <v>-61.9</v>
      </c>
      <c r="H918" s="94" t="n">
        <v>0.2</v>
      </c>
      <c r="I918" s="94" t="n">
        <v>-17.5</v>
      </c>
      <c r="J918" s="94" t="n">
        <v>-60</v>
      </c>
      <c r="K918" s="95" t="inlineStr">
        <is>
          <t>6633 QINGCI GAMES</t>
        </is>
      </c>
    </row>
    <row r="919">
      <c r="A919" s="16" t="inlineStr">
        <is>
          <t>CYGG Holding Limited</t>
        </is>
      </c>
      <c r="B919" s="88" t="n">
        <v>1</v>
      </c>
      <c r="C919" s="93" t="n">
        <v>0</v>
      </c>
      <c r="D919" s="94" t="n">
        <v>-4.6</v>
      </c>
      <c r="E919" s="94" t="n">
        <v>22.3</v>
      </c>
      <c r="F919" s="94" t="n">
        <v>68.7</v>
      </c>
      <c r="G919" s="94" t="n">
        <v>-0.8</v>
      </c>
      <c r="H919" s="94" t="n">
        <v>28.3</v>
      </c>
      <c r="I919" s="94" t="n">
        <v>76.90000000000001</v>
      </c>
      <c r="J919" s="94" t="n">
        <v>4</v>
      </c>
      <c r="K919" s="95" t="inlineStr">
        <is>
          <t>1511 UISEE TECH</t>
        </is>
      </c>
    </row>
    <row r="920">
      <c r="A920" s="16" t="inlineStr">
        <is>
          <t>Starwin International A LPF</t>
        </is>
      </c>
      <c r="B920" s="88" t="n">
        <v>1</v>
      </c>
      <c r="C920" s="93" t="n">
        <v>0</v>
      </c>
      <c r="D920" s="94" t="n">
        <v>-4.6</v>
      </c>
      <c r="E920" s="94" t="n">
        <v>22.3</v>
      </c>
      <c r="F920" s="94" t="n">
        <v>68.7</v>
      </c>
      <c r="G920" s="94" t="n">
        <v>-0.8</v>
      </c>
      <c r="H920" s="94" t="n">
        <v>28.3</v>
      </c>
      <c r="I920" s="94" t="n">
        <v>76.90000000000001</v>
      </c>
      <c r="J920" s="94" t="n">
        <v>4</v>
      </c>
      <c r="K920" s="95" t="inlineStr">
        <is>
          <t>1511 UISEE TECH</t>
        </is>
      </c>
    </row>
    <row r="921">
      <c r="A921" s="16" t="inlineStr">
        <is>
          <t>Xiongan Autonomous Driving Limited</t>
        </is>
      </c>
      <c r="B921" s="88" t="n">
        <v>1</v>
      </c>
      <c r="C921" s="93" t="n">
        <v>0</v>
      </c>
      <c r="D921" s="94" t="n">
        <v>-4.6</v>
      </c>
      <c r="E921" s="94" t="n">
        <v>22.3</v>
      </c>
      <c r="F921" s="94" t="n">
        <v>68.7</v>
      </c>
      <c r="G921" s="94" t="n">
        <v>-0.8</v>
      </c>
      <c r="H921" s="94" t="n">
        <v>28.3</v>
      </c>
      <c r="I921" s="94" t="n">
        <v>76.90000000000001</v>
      </c>
      <c r="J921" s="94" t="n">
        <v>4</v>
      </c>
      <c r="K921" s="95" t="inlineStr">
        <is>
          <t>1511 UISEE TECH</t>
        </is>
      </c>
    </row>
    <row r="922">
      <c r="A922" s="16" t="inlineStr">
        <is>
          <t>GRANITE ASIA IX VCC</t>
        </is>
      </c>
      <c r="B922" s="88" t="n">
        <v>1</v>
      </c>
      <c r="C922" s="93" t="n">
        <v>0</v>
      </c>
      <c r="D922" s="94" t="n">
        <v>-4.6</v>
      </c>
      <c r="E922" s="94" t="n">
        <v>-5.1</v>
      </c>
      <c r="F922" s="94" t="n">
        <v>-37.2</v>
      </c>
      <c r="G922" s="94" t="n"/>
      <c r="H922" s="94" t="n">
        <v>-0.5</v>
      </c>
      <c r="I922" s="94" t="n">
        <v>-34.2</v>
      </c>
      <c r="J922" s="94" t="n"/>
      <c r="K922" s="95" t="inlineStr">
        <is>
          <t>1688 LINGYI ITECH</t>
        </is>
      </c>
    </row>
    <row r="923">
      <c r="A923" s="16" t="inlineStr">
        <is>
          <t>Honor Information Technology Limited</t>
        </is>
      </c>
      <c r="B923" s="88" t="n">
        <v>1</v>
      </c>
      <c r="C923" s="93" t="n">
        <v>0</v>
      </c>
      <c r="D923" s="94" t="n">
        <v>-4.6</v>
      </c>
      <c r="E923" s="94" t="n">
        <v>-5.1</v>
      </c>
      <c r="F923" s="94" t="n">
        <v>-37.2</v>
      </c>
      <c r="G923" s="94" t="n"/>
      <c r="H923" s="94" t="n">
        <v>-0.5</v>
      </c>
      <c r="I923" s="94" t="n">
        <v>-34.2</v>
      </c>
      <c r="J923" s="94" t="n"/>
      <c r="K923" s="95" t="inlineStr">
        <is>
          <t>1688 LINGYI ITECH</t>
        </is>
      </c>
    </row>
    <row r="924">
      <c r="A924" s="16" t="inlineStr">
        <is>
          <t>Kaide Global Investment Ltd</t>
        </is>
      </c>
      <c r="B924" s="88" t="n">
        <v>1</v>
      </c>
      <c r="C924" s="93" t="n">
        <v>0</v>
      </c>
      <c r="D924" s="94" t="n">
        <v>-4.6</v>
      </c>
      <c r="E924" s="94" t="n">
        <v>-5.1</v>
      </c>
      <c r="F924" s="94" t="n">
        <v>-37.2</v>
      </c>
      <c r="G924" s="94" t="n"/>
      <c r="H924" s="94" t="n">
        <v>-0.5</v>
      </c>
      <c r="I924" s="94" t="n">
        <v>-34.2</v>
      </c>
      <c r="J924" s="94" t="n"/>
      <c r="K924" s="95" t="inlineStr">
        <is>
          <t>1688 LINGYI ITECH</t>
        </is>
      </c>
    </row>
    <row r="925">
      <c r="A925" s="16" t="inlineStr">
        <is>
          <t>Qube Master Fund Ltd</t>
        </is>
      </c>
      <c r="B925" s="88" t="n">
        <v>1</v>
      </c>
      <c r="C925" s="93" t="n">
        <v>0</v>
      </c>
      <c r="D925" s="94" t="n">
        <v>-4.6</v>
      </c>
      <c r="E925" s="94" t="n">
        <v>-5.1</v>
      </c>
      <c r="F925" s="94" t="n">
        <v>-37.2</v>
      </c>
      <c r="G925" s="94" t="n"/>
      <c r="H925" s="94" t="n">
        <v>-0.5</v>
      </c>
      <c r="I925" s="94" t="n">
        <v>-34.2</v>
      </c>
      <c r="J925" s="94" t="n"/>
      <c r="K925" s="95" t="inlineStr">
        <is>
          <t>1688 LINGYI ITECH</t>
        </is>
      </c>
    </row>
    <row r="926">
      <c r="A926" s="16" t="inlineStr">
        <is>
          <t>Ti-Capital (HK) Pioneer Fund III</t>
        </is>
      </c>
      <c r="B926" s="88" t="n">
        <v>1</v>
      </c>
      <c r="C926" s="93" t="n">
        <v>0</v>
      </c>
      <c r="D926" s="94" t="n">
        <v>-4.6</v>
      </c>
      <c r="E926" s="94" t="n">
        <v>-5.1</v>
      </c>
      <c r="F926" s="94" t="n">
        <v>-37.2</v>
      </c>
      <c r="G926" s="94" t="n"/>
      <c r="H926" s="94" t="n">
        <v>-0.5</v>
      </c>
      <c r="I926" s="94" t="n">
        <v>-34.2</v>
      </c>
      <c r="J926" s="94" t="n"/>
      <c r="K926" s="95" t="inlineStr">
        <is>
          <t>1688 LINGYI ITECH</t>
        </is>
      </c>
    </row>
    <row r="927">
      <c r="A927" s="16" t="inlineStr">
        <is>
          <t>Hosen Capital</t>
        </is>
      </c>
      <c r="B927" s="88" t="n">
        <v>1</v>
      </c>
      <c r="C927" s="93" t="n">
        <v>0</v>
      </c>
      <c r="D927" s="94" t="n">
        <v>-5</v>
      </c>
      <c r="E927" s="94" t="n">
        <v>0.1</v>
      </c>
      <c r="F927" s="94" t="n">
        <v>0</v>
      </c>
      <c r="G927" s="94" t="n">
        <v>-2.6</v>
      </c>
      <c r="H927" s="94" t="n">
        <v>5.3</v>
      </c>
      <c r="I927" s="94" t="n">
        <v>5.3</v>
      </c>
      <c r="J927" s="94" t="n">
        <v>2.5</v>
      </c>
      <c r="K927" s="95" t="inlineStr">
        <is>
          <t>2648 ANJOY FOOD</t>
        </is>
      </c>
    </row>
    <row r="928">
      <c r="A928" s="16" t="inlineStr">
        <is>
          <t>FCP Domains</t>
        </is>
      </c>
      <c r="B928" s="88" t="n">
        <v>1</v>
      </c>
      <c r="C928" s="93" t="n">
        <v>0</v>
      </c>
      <c r="D928" s="94" t="n">
        <v>-5</v>
      </c>
      <c r="E928" s="94" t="n">
        <v>0.1</v>
      </c>
      <c r="F928" s="94" t="n">
        <v>0</v>
      </c>
      <c r="G928" s="94" t="n">
        <v>-2.6</v>
      </c>
      <c r="H928" s="94" t="n">
        <v>5.3</v>
      </c>
      <c r="I928" s="94" t="n">
        <v>5.3</v>
      </c>
      <c r="J928" s="94" t="n">
        <v>2.5</v>
      </c>
      <c r="K928" s="95" t="inlineStr">
        <is>
          <t>2648 ANJOY FOOD</t>
        </is>
      </c>
    </row>
    <row r="929">
      <c r="A929" s="16" t="inlineStr">
        <is>
          <t>NonaV erse</t>
        </is>
      </c>
      <c r="B929" s="88" t="n">
        <v>1</v>
      </c>
      <c r="C929" s="93" t="n">
        <v>0</v>
      </c>
      <c r="D929" s="94" t="n">
        <v>-5</v>
      </c>
      <c r="E929" s="94" t="n">
        <v>0.1</v>
      </c>
      <c r="F929" s="94" t="n">
        <v>0</v>
      </c>
      <c r="G929" s="94" t="n">
        <v>-2.6</v>
      </c>
      <c r="H929" s="94" t="n">
        <v>5.3</v>
      </c>
      <c r="I929" s="94" t="n">
        <v>5.3</v>
      </c>
      <c r="J929" s="94" t="n">
        <v>2.5</v>
      </c>
      <c r="K929" s="95" t="inlineStr">
        <is>
          <t>2648 ANJOY FOOD</t>
        </is>
      </c>
    </row>
    <row r="930">
      <c r="A930" s="16" t="inlineStr">
        <is>
          <t>Media Global Management Limited</t>
        </is>
      </c>
      <c r="B930" s="88" t="n">
        <v>1</v>
      </c>
      <c r="C930" s="93" t="n">
        <v>0</v>
      </c>
      <c r="D930" s="94" t="n">
        <v>-5.1</v>
      </c>
      <c r="E930" s="94" t="n">
        <v>-12.1</v>
      </c>
      <c r="F930" s="94" t="n">
        <v>-0.6</v>
      </c>
      <c r="G930" s="94" t="n">
        <v>8</v>
      </c>
      <c r="H930" s="94" t="n">
        <v>-7.4</v>
      </c>
      <c r="I930" s="94" t="n">
        <v>4.8</v>
      </c>
      <c r="J930" s="94" t="n">
        <v>13.8</v>
      </c>
      <c r="K930" s="95" t="inlineStr">
        <is>
          <t>9985 WEILONG</t>
        </is>
      </c>
    </row>
    <row r="931">
      <c r="A931" s="16" t="inlineStr">
        <is>
          <t>Prospect Bridge Value L.P</t>
        </is>
      </c>
      <c r="B931" s="88" t="n">
        <v>1</v>
      </c>
      <c r="C931" s="93" t="n">
        <v>0</v>
      </c>
      <c r="D931" s="94" t="n">
        <v>-5.1</v>
      </c>
      <c r="E931" s="94" t="n">
        <v>-12.1</v>
      </c>
      <c r="F931" s="94" t="n">
        <v>-0.6</v>
      </c>
      <c r="G931" s="94" t="n">
        <v>8</v>
      </c>
      <c r="H931" s="94" t="n">
        <v>-7.4</v>
      </c>
      <c r="I931" s="94" t="n">
        <v>4.8</v>
      </c>
      <c r="J931" s="94" t="n">
        <v>13.8</v>
      </c>
      <c r="K931" s="95" t="inlineStr">
        <is>
          <t>9985 WEILONG</t>
        </is>
      </c>
    </row>
    <row r="932">
      <c r="A932" s="16" t="inlineStr">
        <is>
          <t>Eastland</t>
        </is>
      </c>
      <c r="B932" s="88" t="n">
        <v>1</v>
      </c>
      <c r="C932" s="93" t="n">
        <v>0</v>
      </c>
      <c r="D932" s="94" t="n">
        <v>-5.3</v>
      </c>
      <c r="E932" s="94" t="n">
        <v>-3</v>
      </c>
      <c r="F932" s="94" t="n">
        <v>-7.9</v>
      </c>
      <c r="G932" s="94" t="n">
        <v>-6.3</v>
      </c>
      <c r="H932" s="94" t="n">
        <v>2.4</v>
      </c>
      <c r="I932" s="94" t="n">
        <v>-2.8</v>
      </c>
      <c r="J932" s="94" t="n">
        <v>-1.1</v>
      </c>
      <c r="K932" s="95" t="inlineStr">
        <is>
          <t>2385 READBOY</t>
        </is>
      </c>
    </row>
    <row r="933">
      <c r="A933" s="16" t="inlineStr">
        <is>
          <t>Gui Chunfang</t>
        </is>
      </c>
      <c r="B933" s="88" t="n">
        <v>1</v>
      </c>
      <c r="C933" s="93" t="n">
        <v>0</v>
      </c>
      <c r="D933" s="94" t="n">
        <v>-5.3</v>
      </c>
      <c r="E933" s="94" t="n">
        <v>-3</v>
      </c>
      <c r="F933" s="94" t="n">
        <v>-7.9</v>
      </c>
      <c r="G933" s="94" t="n">
        <v>-6.3</v>
      </c>
      <c r="H933" s="94" t="n">
        <v>2.4</v>
      </c>
      <c r="I933" s="94" t="n">
        <v>-2.8</v>
      </c>
      <c r="J933" s="94" t="n">
        <v>-1.1</v>
      </c>
      <c r="K933" s="95" t="inlineStr">
        <is>
          <t>2385 READBOY</t>
        </is>
      </c>
    </row>
    <row r="934">
      <c r="A934" s="16" t="inlineStr">
        <is>
          <t>Jin Tao</t>
        </is>
      </c>
      <c r="B934" s="88" t="n">
        <v>1</v>
      </c>
      <c r="C934" s="93" t="n">
        <v>0</v>
      </c>
      <c r="D934" s="94" t="n">
        <v>-5.3</v>
      </c>
      <c r="E934" s="94" t="n">
        <v>-3</v>
      </c>
      <c r="F934" s="94" t="n">
        <v>-7.9</v>
      </c>
      <c r="G934" s="94" t="n">
        <v>-6.3</v>
      </c>
      <c r="H934" s="94" t="n">
        <v>2.4</v>
      </c>
      <c r="I934" s="94" t="n">
        <v>-2.8</v>
      </c>
      <c r="J934" s="94" t="n">
        <v>-1.1</v>
      </c>
      <c r="K934" s="95" t="inlineStr">
        <is>
          <t>2385 READBOY</t>
        </is>
      </c>
    </row>
    <row r="935">
      <c r="A935" s="16" t="inlineStr">
        <is>
          <t>Tower Lead</t>
        </is>
      </c>
      <c r="B935" s="88" t="n">
        <v>1</v>
      </c>
      <c r="C935" s="93" t="n">
        <v>0</v>
      </c>
      <c r="D935" s="94" t="n">
        <v>-5.3</v>
      </c>
      <c r="E935" s="94" t="n">
        <v>-3</v>
      </c>
      <c r="F935" s="94" t="n">
        <v>-7.9</v>
      </c>
      <c r="G935" s="94" t="n">
        <v>-6.3</v>
      </c>
      <c r="H935" s="94" t="n">
        <v>2.4</v>
      </c>
      <c r="I935" s="94" t="n">
        <v>-2.8</v>
      </c>
      <c r="J935" s="94" t="n">
        <v>-1.1</v>
      </c>
      <c r="K935" s="95" t="inlineStr">
        <is>
          <t>2385 READBOY</t>
        </is>
      </c>
    </row>
    <row r="936">
      <c r="A936" s="16" t="inlineStr">
        <is>
          <t>Yang Xiaojie</t>
        </is>
      </c>
      <c r="B936" s="88" t="n">
        <v>1</v>
      </c>
      <c r="C936" s="93" t="n">
        <v>0</v>
      </c>
      <c r="D936" s="94" t="n">
        <v>-5.3</v>
      </c>
      <c r="E936" s="94" t="n">
        <v>-3</v>
      </c>
      <c r="F936" s="94" t="n">
        <v>-7.9</v>
      </c>
      <c r="G936" s="94" t="n">
        <v>-6.3</v>
      </c>
      <c r="H936" s="94" t="n">
        <v>2.4</v>
      </c>
      <c r="I936" s="94" t="n">
        <v>-2.8</v>
      </c>
      <c r="J936" s="94" t="n">
        <v>-1.1</v>
      </c>
      <c r="K936" s="95" t="inlineStr">
        <is>
          <t>2385 READBOY</t>
        </is>
      </c>
    </row>
    <row r="937">
      <c r="A937" s="16" t="inlineStr">
        <is>
          <t>Zheng Changping</t>
        </is>
      </c>
      <c r="B937" s="88" t="n">
        <v>1</v>
      </c>
      <c r="C937" s="93" t="n">
        <v>0</v>
      </c>
      <c r="D937" s="94" t="n">
        <v>-5.3</v>
      </c>
      <c r="E937" s="94" t="n">
        <v>-3</v>
      </c>
      <c r="F937" s="94" t="n">
        <v>-7.9</v>
      </c>
      <c r="G937" s="94" t="n">
        <v>-6.3</v>
      </c>
      <c r="H937" s="94" t="n">
        <v>2.4</v>
      </c>
      <c r="I937" s="94" t="n">
        <v>-2.8</v>
      </c>
      <c r="J937" s="94" t="n">
        <v>-1.1</v>
      </c>
      <c r="K937" s="95" t="inlineStr">
        <is>
          <t>2385 READBOY</t>
        </is>
      </c>
    </row>
    <row r="938">
      <c r="A938" s="16" t="inlineStr">
        <is>
          <t>Abax Asian Structured Private Credit Fund III, LP</t>
        </is>
      </c>
      <c r="B938" s="88" t="n">
        <v>1</v>
      </c>
      <c r="C938" s="93" t="n">
        <v>0</v>
      </c>
      <c r="D938" s="94" t="n">
        <v>-5.6</v>
      </c>
      <c r="E938" s="94" t="n">
        <v>-1.5</v>
      </c>
      <c r="F938" s="94" t="n">
        <v>-20.5</v>
      </c>
      <c r="G938" s="94" t="n">
        <v>-19.6</v>
      </c>
      <c r="H938" s="94" t="n">
        <v>4.3</v>
      </c>
      <c r="I938" s="94" t="n">
        <v>-15.8</v>
      </c>
      <c r="J938" s="94" t="n">
        <v>-14.8</v>
      </c>
      <c r="K938" s="95" t="inlineStr">
        <is>
          <t>6639 ARRAIL GROUP</t>
        </is>
      </c>
    </row>
    <row r="939">
      <c r="A939" s="16" t="inlineStr">
        <is>
          <t>Hony Goldstream Special Opportunity Fund I</t>
        </is>
      </c>
      <c r="B939" s="88" t="n">
        <v>1</v>
      </c>
      <c r="C939" s="93" t="n">
        <v>0</v>
      </c>
      <c r="D939" s="94" t="n">
        <v>-6</v>
      </c>
      <c r="E939" s="94" t="n">
        <v>-11.2</v>
      </c>
      <c r="F939" s="94" t="n">
        <v>-28</v>
      </c>
      <c r="G939" s="94" t="n">
        <v>-50.2</v>
      </c>
      <c r="H939" s="94" t="n">
        <v>-5.6</v>
      </c>
      <c r="I939" s="94" t="n">
        <v>-23.4</v>
      </c>
      <c r="J939" s="94" t="n">
        <v>-47.1</v>
      </c>
      <c r="K939" s="95" t="inlineStr">
        <is>
          <t>9600 NEWLINK TECH</t>
        </is>
      </c>
    </row>
    <row r="940">
      <c r="A940" s="16" t="inlineStr">
        <is>
          <t>Mr. Qi</t>
        </is>
      </c>
      <c r="B940" s="88" t="n">
        <v>1</v>
      </c>
      <c r="C940" s="93" t="n">
        <v>0</v>
      </c>
      <c r="D940" s="94" t="n">
        <v>-6.4</v>
      </c>
      <c r="E940" s="94" t="n">
        <v>-2.1</v>
      </c>
      <c r="F940" s="94" t="n">
        <v>45.1</v>
      </c>
      <c r="G940" s="94" t="n">
        <v>157</v>
      </c>
      <c r="H940" s="94" t="n">
        <v>4.6</v>
      </c>
      <c r="I940" s="94" t="n">
        <v>55.1</v>
      </c>
      <c r="J940" s="94" t="n">
        <v>174.7</v>
      </c>
      <c r="K940" s="95" t="inlineStr">
        <is>
          <t>1364 GUMING</t>
        </is>
      </c>
    </row>
    <row r="941">
      <c r="A941" s="16" t="inlineStr">
        <is>
          <t>Mr. Ruan</t>
        </is>
      </c>
      <c r="B941" s="88" t="n">
        <v>1</v>
      </c>
      <c r="C941" s="93" t="n">
        <v>0</v>
      </c>
      <c r="D941" s="94" t="n">
        <v>-6.4</v>
      </c>
      <c r="E941" s="94" t="n">
        <v>-2.1</v>
      </c>
      <c r="F941" s="94" t="n">
        <v>45.1</v>
      </c>
      <c r="G941" s="94" t="n">
        <v>157</v>
      </c>
      <c r="H941" s="94" t="n">
        <v>4.6</v>
      </c>
      <c r="I941" s="94" t="n">
        <v>55.1</v>
      </c>
      <c r="J941" s="94" t="n">
        <v>174.7</v>
      </c>
      <c r="K941" s="95" t="inlineStr">
        <is>
          <t>1364 GUMING</t>
        </is>
      </c>
    </row>
    <row r="942">
      <c r="A942" s="16" t="inlineStr">
        <is>
          <t>Intera Mining Investment Limited</t>
        </is>
      </c>
      <c r="B942" s="88" t="n">
        <v>1</v>
      </c>
      <c r="C942" s="93" t="n">
        <v>0</v>
      </c>
      <c r="D942" s="94" t="n">
        <v>-6.5</v>
      </c>
      <c r="E942" s="94" t="n">
        <v>-2.3</v>
      </c>
      <c r="F942" s="94" t="n">
        <v>-0.4</v>
      </c>
      <c r="G942" s="94" t="n"/>
      <c r="H942" s="94" t="n">
        <v>4.6</v>
      </c>
      <c r="I942" s="94" t="n">
        <v>6.6</v>
      </c>
      <c r="J942" s="94" t="n"/>
      <c r="K942" s="95" t="inlineStr">
        <is>
          <t>6228 MERDEKAGOLD-DRS</t>
        </is>
      </c>
    </row>
    <row r="943">
      <c r="A943" s="16" t="inlineStr">
        <is>
          <t>Mercuria Holdings (Singapore) Pte. Ltd</t>
        </is>
      </c>
      <c r="B943" s="88" t="n">
        <v>1</v>
      </c>
      <c r="C943" s="93" t="n">
        <v>0</v>
      </c>
      <c r="D943" s="94" t="n">
        <v>-6.5</v>
      </c>
      <c r="E943" s="94" t="n">
        <v>-2.3</v>
      </c>
      <c r="F943" s="94" t="n">
        <v>-0.4</v>
      </c>
      <c r="G943" s="94" t="n"/>
      <c r="H943" s="94" t="n">
        <v>4.6</v>
      </c>
      <c r="I943" s="94" t="n">
        <v>6.6</v>
      </c>
      <c r="J943" s="94" t="n"/>
      <c r="K943" s="95" t="inlineStr">
        <is>
          <t>6228 MERDEKAGOLD-DRS</t>
        </is>
      </c>
    </row>
    <row r="944">
      <c r="A944" s="16" t="inlineStr">
        <is>
          <t>Trafigura Group Pte. Ltd</t>
        </is>
      </c>
      <c r="B944" s="88" t="n">
        <v>1</v>
      </c>
      <c r="C944" s="93" t="n">
        <v>0</v>
      </c>
      <c r="D944" s="94" t="n">
        <v>-6.5</v>
      </c>
      <c r="E944" s="94" t="n">
        <v>-2.3</v>
      </c>
      <c r="F944" s="94" t="n">
        <v>-0.4</v>
      </c>
      <c r="G944" s="94" t="n"/>
      <c r="H944" s="94" t="n">
        <v>4.6</v>
      </c>
      <c r="I944" s="94" t="n">
        <v>6.6</v>
      </c>
      <c r="J944" s="94" t="n"/>
      <c r="K944" s="95" t="inlineStr">
        <is>
          <t>6228 MERDEKAGOLD-DRS</t>
        </is>
      </c>
    </row>
    <row r="945">
      <c r="A945" s="16" t="inlineStr">
        <is>
          <t>Wanguo Gold Group Limited</t>
        </is>
      </c>
      <c r="B945" s="88" t="n">
        <v>1</v>
      </c>
      <c r="C945" s="93" t="n">
        <v>0</v>
      </c>
      <c r="D945" s="94" t="n">
        <v>-6.5</v>
      </c>
      <c r="E945" s="94" t="n">
        <v>-2.3</v>
      </c>
      <c r="F945" s="94" t="n">
        <v>-0.4</v>
      </c>
      <c r="G945" s="94" t="n"/>
      <c r="H945" s="94" t="n">
        <v>4.6</v>
      </c>
      <c r="I945" s="94" t="n">
        <v>6.6</v>
      </c>
      <c r="J945" s="94" t="n"/>
      <c r="K945" s="95" t="inlineStr">
        <is>
          <t>6228 MERDEKAGOLD-DRS</t>
        </is>
      </c>
    </row>
    <row r="946">
      <c r="A946" s="16" t="inlineStr">
        <is>
          <t>Sanofi Foreign Participations B.V</t>
        </is>
      </c>
      <c r="B946" s="88" t="n">
        <v>1</v>
      </c>
      <c r="C946" s="93" t="n">
        <v>0</v>
      </c>
      <c r="D946" s="94" t="n">
        <v>-7.5</v>
      </c>
      <c r="E946" s="94" t="n">
        <v>-9.800000000000001</v>
      </c>
      <c r="F946" s="94" t="n">
        <v>-33.8</v>
      </c>
      <c r="G946" s="94" t="n">
        <v>-54.4</v>
      </c>
      <c r="H946" s="94" t="n">
        <v>-2.5</v>
      </c>
      <c r="I946" s="94" t="n">
        <v>-28.4</v>
      </c>
      <c r="J946" s="94" t="n">
        <v>-50.7</v>
      </c>
      <c r="K946" s="95" t="inlineStr">
        <is>
          <t>9955 CLOUDR</t>
        </is>
      </c>
    </row>
    <row r="947">
      <c r="A947" s="16" t="inlineStr">
        <is>
          <t>Tasly International Capital Limited</t>
        </is>
      </c>
      <c r="B947" s="88" t="n">
        <v>1</v>
      </c>
      <c r="C947" s="93" t="n">
        <v>0</v>
      </c>
      <c r="D947" s="94" t="n">
        <v>-7.5</v>
      </c>
      <c r="E947" s="94" t="n">
        <v>-9.800000000000001</v>
      </c>
      <c r="F947" s="94" t="n">
        <v>-33.8</v>
      </c>
      <c r="G947" s="94" t="n">
        <v>-54.4</v>
      </c>
      <c r="H947" s="94" t="n">
        <v>-2.5</v>
      </c>
      <c r="I947" s="94" t="n">
        <v>-28.4</v>
      </c>
      <c r="J947" s="94" t="n">
        <v>-50.7</v>
      </c>
      <c r="K947" s="95" t="inlineStr">
        <is>
          <t>9955 CLOUDR</t>
        </is>
      </c>
    </row>
    <row r="948">
      <c r="A948" s="16" t="inlineStr">
        <is>
          <t>DNCA Finance</t>
        </is>
      </c>
      <c r="B948" s="88" t="n">
        <v>1</v>
      </c>
      <c r="C948" s="93" t="n">
        <v>0</v>
      </c>
      <c r="D948" s="94" t="n">
        <v>-7.6</v>
      </c>
      <c r="E948" s="94" t="n">
        <v>-18</v>
      </c>
      <c r="F948" s="94" t="n">
        <v>-20.8</v>
      </c>
      <c r="G948" s="94" t="n">
        <v>-45.3</v>
      </c>
      <c r="H948" s="94" t="n">
        <v>-11.3</v>
      </c>
      <c r="I948" s="94" t="n">
        <v>-14.3</v>
      </c>
      <c r="J948" s="94" t="n">
        <v>-40.8</v>
      </c>
      <c r="K948" s="95" t="inlineStr">
        <is>
          <t>9960 KINDSTAR GLOBAL</t>
        </is>
      </c>
    </row>
    <row r="949">
      <c r="A949" s="16" t="inlineStr">
        <is>
          <t>Hangzhou High-tech Venture Capital Co., Ltd</t>
        </is>
      </c>
      <c r="B949" s="88" t="n">
        <v>1</v>
      </c>
      <c r="C949" s="93" t="n">
        <v>0</v>
      </c>
      <c r="D949" s="94" t="n">
        <v>-7.6</v>
      </c>
      <c r="E949" s="94" t="n">
        <v>-4.8</v>
      </c>
      <c r="F949" s="94" t="n">
        <v>-5.5</v>
      </c>
      <c r="G949" s="94" t="n">
        <v>-7</v>
      </c>
      <c r="H949" s="94" t="n">
        <v>3.1</v>
      </c>
      <c r="I949" s="94" t="n">
        <v>2.3</v>
      </c>
      <c r="J949" s="94" t="n">
        <v>0.6</v>
      </c>
      <c r="K949" s="95" t="inlineStr">
        <is>
          <t>2598 LIANLIAN</t>
        </is>
      </c>
    </row>
    <row r="950">
      <c r="A950" s="16" t="inlineStr">
        <is>
          <t>Zhongding Capital Fund VIII</t>
        </is>
      </c>
      <c r="B950" s="88" t="n">
        <v>1</v>
      </c>
      <c r="C950" s="93" t="n">
        <v>0</v>
      </c>
      <c r="D950" s="94" t="n">
        <v>-8</v>
      </c>
      <c r="E950" s="94" t="n">
        <v>-20.4</v>
      </c>
      <c r="F950" s="94" t="n">
        <v>-20.8</v>
      </c>
      <c r="G950" s="94" t="n">
        <v>-22.9</v>
      </c>
      <c r="H950" s="94" t="n">
        <v>-13.5</v>
      </c>
      <c r="I950" s="94" t="n">
        <v>-13.9</v>
      </c>
      <c r="J950" s="94" t="n">
        <v>-16.1</v>
      </c>
      <c r="K950" s="95" t="inlineStr">
        <is>
          <t>0699 JOYSON ELEC</t>
        </is>
      </c>
    </row>
    <row r="951">
      <c r="A951" s="16" t="inlineStr">
        <is>
          <t>Vandi (CCB International)</t>
        </is>
      </c>
      <c r="B951" s="88" t="n">
        <v>1</v>
      </c>
      <c r="C951" s="93" t="n">
        <v>0</v>
      </c>
      <c r="D951" s="94" t="n">
        <v>-8</v>
      </c>
      <c r="E951" s="94" t="n">
        <v>-20.4</v>
      </c>
      <c r="F951" s="94" t="n">
        <v>-20.8</v>
      </c>
      <c r="G951" s="94" t="n">
        <v>-22.9</v>
      </c>
      <c r="H951" s="94" t="n">
        <v>-13.5</v>
      </c>
      <c r="I951" s="94" t="n">
        <v>-13.9</v>
      </c>
      <c r="J951" s="94" t="n">
        <v>-16.1</v>
      </c>
      <c r="K951" s="95" t="inlineStr">
        <is>
          <t>0699 JOYSON ELEC</t>
        </is>
      </c>
    </row>
    <row r="952">
      <c r="A952" s="16" t="inlineStr">
        <is>
          <t>Fidelidade (Fosun)</t>
        </is>
      </c>
      <c r="B952" s="88" t="n">
        <v>1</v>
      </c>
      <c r="C952" s="93" t="n">
        <v>0</v>
      </c>
      <c r="D952" s="94" t="n">
        <v>-8</v>
      </c>
      <c r="E952" s="94" t="n">
        <v>-20.4</v>
      </c>
      <c r="F952" s="94" t="n">
        <v>-20.8</v>
      </c>
      <c r="G952" s="94" t="n">
        <v>-22.9</v>
      </c>
      <c r="H952" s="94" t="n">
        <v>-13.5</v>
      </c>
      <c r="I952" s="94" t="n">
        <v>-13.9</v>
      </c>
      <c r="J952" s="94" t="n">
        <v>-16.1</v>
      </c>
      <c r="K952" s="95" t="inlineStr">
        <is>
          <t>0699 JOYSON ELEC</t>
        </is>
      </c>
    </row>
    <row r="953">
      <c r="A953" s="16" t="inlineStr">
        <is>
          <t>Yanlord Investment Limited</t>
        </is>
      </c>
      <c r="B953" s="88" t="n">
        <v>1</v>
      </c>
      <c r="C953" s="93" t="n">
        <v>0</v>
      </c>
      <c r="D953" s="94" t="n">
        <v>-8.699999999999999</v>
      </c>
      <c r="E953" s="94" t="n">
        <v>5.8</v>
      </c>
      <c r="F953" s="94" t="n">
        <v>-13.9</v>
      </c>
      <c r="G953" s="94" t="n">
        <v>-13.3</v>
      </c>
      <c r="H953" s="94" t="n">
        <v>15.8</v>
      </c>
      <c r="I953" s="94" t="n">
        <v>-5.7</v>
      </c>
      <c r="J953" s="94" t="n">
        <v>-5.1</v>
      </c>
      <c r="K953" s="95" t="inlineStr">
        <is>
          <t>2153 TAT HONG EQUIP</t>
        </is>
      </c>
    </row>
    <row r="954">
      <c r="A954" s="16" t="inlineStr">
        <is>
          <t>Hello Inc</t>
        </is>
      </c>
      <c r="B954" s="88" t="n">
        <v>1</v>
      </c>
      <c r="C954" s="93" t="n">
        <v>0</v>
      </c>
      <c r="D954" s="94" t="n">
        <v>-9.300000000000001</v>
      </c>
      <c r="E954" s="94" t="n">
        <v>-6.9</v>
      </c>
      <c r="F954" s="94" t="n">
        <v>-19.9</v>
      </c>
      <c r="G954" s="94" t="n">
        <v>-52</v>
      </c>
      <c r="H954" s="94" t="n">
        <v>2.6</v>
      </c>
      <c r="I954" s="94" t="n">
        <v>-11.7</v>
      </c>
      <c r="J954" s="94" t="n">
        <v>-47.1</v>
      </c>
      <c r="K954" s="95" t="inlineStr">
        <is>
          <t>9699 SF INTRA-CITY</t>
        </is>
      </c>
    </row>
    <row r="955">
      <c r="A955" s="16" t="inlineStr">
        <is>
          <t>Taobao China Holding Limited</t>
        </is>
      </c>
      <c r="B955" s="88" t="n">
        <v>1</v>
      </c>
      <c r="C955" s="93" t="n">
        <v>0</v>
      </c>
      <c r="D955" s="94" t="n">
        <v>-9.300000000000001</v>
      </c>
      <c r="E955" s="94" t="n">
        <v>-6.9</v>
      </c>
      <c r="F955" s="94" t="n">
        <v>-19.9</v>
      </c>
      <c r="G955" s="94" t="n">
        <v>-52</v>
      </c>
      <c r="H955" s="94" t="n">
        <v>2.6</v>
      </c>
      <c r="I955" s="94" t="n">
        <v>-11.7</v>
      </c>
      <c r="J955" s="94" t="n">
        <v>-47.1</v>
      </c>
      <c r="K955" s="95" t="inlineStr">
        <is>
          <t>9699 SF INTRA-CITY</t>
        </is>
      </c>
    </row>
    <row r="956">
      <c r="A956" s="16" t="inlineStr">
        <is>
          <t>Qindao Gantong</t>
        </is>
      </c>
      <c r="B956" s="88" t="n">
        <v>1</v>
      </c>
      <c r="C956" s="93" t="n">
        <v>0</v>
      </c>
      <c r="D956" s="94" t="n">
        <v>-11.7</v>
      </c>
      <c r="E956" s="94" t="n">
        <v>-10.2</v>
      </c>
      <c r="F956" s="94" t="n">
        <v>-27.9</v>
      </c>
      <c r="G956" s="94" t="n">
        <v>-24.9</v>
      </c>
      <c r="H956" s="94" t="n">
        <v>1.7</v>
      </c>
      <c r="I956" s="94" t="n">
        <v>-18.3</v>
      </c>
      <c r="J956" s="94" t="n">
        <v>-14.9</v>
      </c>
      <c r="K956" s="95" t="inlineStr">
        <is>
          <t>0638 FIBOCOM</t>
        </is>
      </c>
    </row>
    <row r="957">
      <c r="A957" s="16" t="inlineStr">
        <is>
          <t>Genimous Investment</t>
        </is>
      </c>
      <c r="B957" s="88" t="n">
        <v>1</v>
      </c>
      <c r="C957" s="93" t="n">
        <v>0</v>
      </c>
      <c r="D957" s="94" t="n">
        <v>-11.7</v>
      </c>
      <c r="E957" s="94" t="n">
        <v>-10.2</v>
      </c>
      <c r="F957" s="94" t="n">
        <v>-27.9</v>
      </c>
      <c r="G957" s="94" t="n">
        <v>-24.9</v>
      </c>
      <c r="H957" s="94" t="n">
        <v>1.7</v>
      </c>
      <c r="I957" s="94" t="n">
        <v>-18.3</v>
      </c>
      <c r="J957" s="94" t="n">
        <v>-14.9</v>
      </c>
      <c r="K957" s="95" t="inlineStr">
        <is>
          <t>0638 FIBOCOM</t>
        </is>
      </c>
    </row>
    <row r="958">
      <c r="A958" s="16" t="inlineStr">
        <is>
          <t>Mr. Zhang Xiaolei</t>
        </is>
      </c>
      <c r="B958" s="88" t="n">
        <v>1</v>
      </c>
      <c r="C958" s="93" t="n">
        <v>0</v>
      </c>
      <c r="D958" s="94" t="n">
        <v>-11.7</v>
      </c>
      <c r="E958" s="94" t="n">
        <v>-10.2</v>
      </c>
      <c r="F958" s="94" t="n">
        <v>-27.9</v>
      </c>
      <c r="G958" s="94" t="n">
        <v>-24.9</v>
      </c>
      <c r="H958" s="94" t="n">
        <v>1.7</v>
      </c>
      <c r="I958" s="94" t="n">
        <v>-18.3</v>
      </c>
      <c r="J958" s="94" t="n">
        <v>-14.9</v>
      </c>
      <c r="K958" s="95" t="inlineStr">
        <is>
          <t>0638 FIBOCOM</t>
        </is>
      </c>
    </row>
    <row r="959">
      <c r="A959" s="16" t="inlineStr">
        <is>
          <t>GTINV</t>
        </is>
      </c>
      <c r="B959" s="88" t="n">
        <v>1</v>
      </c>
      <c r="C959" s="93" t="n">
        <v>0</v>
      </c>
      <c r="D959" s="94" t="n">
        <v>-11.7</v>
      </c>
      <c r="E959" s="94" t="n">
        <v>-10.2</v>
      </c>
      <c r="F959" s="94" t="n">
        <v>-27.9</v>
      </c>
      <c r="G959" s="94" t="n">
        <v>-24.9</v>
      </c>
      <c r="H959" s="94" t="n">
        <v>1.7</v>
      </c>
      <c r="I959" s="94" t="n">
        <v>-18.3</v>
      </c>
      <c r="J959" s="94" t="n">
        <v>-14.9</v>
      </c>
      <c r="K959" s="95" t="inlineStr">
        <is>
          <t>0638 FIBOCOM</t>
        </is>
      </c>
    </row>
    <row r="960">
      <c r="A960" s="16" t="inlineStr">
        <is>
          <t>Shunjie Investment</t>
        </is>
      </c>
      <c r="B960" s="88" t="n">
        <v>1</v>
      </c>
      <c r="C960" s="93" t="n">
        <v>0</v>
      </c>
      <c r="D960" s="94" t="n">
        <v>-11.9</v>
      </c>
      <c r="E960" s="94" t="n">
        <v>-18.5</v>
      </c>
      <c r="F960" s="94" t="n">
        <v>-16.1</v>
      </c>
      <c r="G960" s="94" t="n">
        <v>-31.8</v>
      </c>
      <c r="H960" s="94" t="n">
        <v>-7.5</v>
      </c>
      <c r="I960" s="94" t="n">
        <v>-4.8</v>
      </c>
      <c r="J960" s="94" t="n">
        <v>-22.6</v>
      </c>
      <c r="K960" s="95" t="inlineStr">
        <is>
          <t>2619 XJ ELECTRICS</t>
        </is>
      </c>
    </row>
    <row r="961">
      <c r="A961" s="16" t="inlineStr">
        <is>
          <t>Xinghuang Holdings</t>
        </is>
      </c>
      <c r="B961" s="88" t="n">
        <v>1</v>
      </c>
      <c r="C961" s="93" t="n">
        <v>0</v>
      </c>
      <c r="D961" s="94" t="n">
        <v>-11.9</v>
      </c>
      <c r="E961" s="94" t="n">
        <v>-18.5</v>
      </c>
      <c r="F961" s="94" t="n">
        <v>-16.1</v>
      </c>
      <c r="G961" s="94" t="n">
        <v>-31.8</v>
      </c>
      <c r="H961" s="94" t="n">
        <v>-7.5</v>
      </c>
      <c r="I961" s="94" t="n">
        <v>-4.8</v>
      </c>
      <c r="J961" s="94" t="n">
        <v>-22.6</v>
      </c>
      <c r="K961" s="95" t="inlineStr">
        <is>
          <t>2619 XJ ELECTRICS</t>
        </is>
      </c>
    </row>
    <row r="962">
      <c r="A962" s="16" t="inlineStr">
        <is>
          <t>Yunxing Technology</t>
        </is>
      </c>
      <c r="B962" s="88" t="n">
        <v>1</v>
      </c>
      <c r="C962" s="93" t="n">
        <v>0</v>
      </c>
      <c r="D962" s="94" t="n">
        <v>-11.9</v>
      </c>
      <c r="E962" s="94" t="n">
        <v>-18.5</v>
      </c>
      <c r="F962" s="94" t="n">
        <v>-16.1</v>
      </c>
      <c r="G962" s="94" t="n">
        <v>-31.8</v>
      </c>
      <c r="H962" s="94" t="n">
        <v>-7.5</v>
      </c>
      <c r="I962" s="94" t="n">
        <v>-4.8</v>
      </c>
      <c r="J962" s="94" t="n">
        <v>-22.6</v>
      </c>
      <c r="K962" s="95" t="inlineStr">
        <is>
          <t>2619 XJ ELECTRICS</t>
        </is>
      </c>
    </row>
    <row r="963">
      <c r="A963" s="16" t="inlineStr">
        <is>
          <t>Lucky Advent Limited</t>
        </is>
      </c>
      <c r="B963" s="88" t="n">
        <v>1</v>
      </c>
      <c r="C963" s="93" t="n">
        <v>0</v>
      </c>
      <c r="D963" s="94" t="n">
        <v>-12</v>
      </c>
      <c r="E963" s="94" t="n">
        <v>-9</v>
      </c>
      <c r="F963" s="94" t="n">
        <v>-23.7</v>
      </c>
      <c r="G963" s="94" t="n">
        <v>-38.3</v>
      </c>
      <c r="H963" s="94" t="n">
        <v>3.4</v>
      </c>
      <c r="I963" s="94" t="n">
        <v>-13.3</v>
      </c>
      <c r="J963" s="94" t="n">
        <v>-29.9</v>
      </c>
      <c r="K963" s="95" t="inlineStr">
        <is>
          <t>9982 CENTRALCHINA MT</t>
        </is>
      </c>
    </row>
    <row r="964">
      <c r="A964" s="16" t="inlineStr">
        <is>
          <t>Action Chain</t>
        </is>
      </c>
      <c r="B964" s="88" t="n">
        <v>1</v>
      </c>
      <c r="C964" s="93" t="n">
        <v>0</v>
      </c>
      <c r="D964" s="94" t="n">
        <v>-12.5</v>
      </c>
      <c r="E964" s="94" t="n">
        <v>-19.6</v>
      </c>
      <c r="F964" s="94" t="n">
        <v>-11.3</v>
      </c>
      <c r="G964" s="94" t="n">
        <v>3.2</v>
      </c>
      <c r="H964" s="94" t="n">
        <v>-8.1</v>
      </c>
      <c r="I964" s="94" t="n">
        <v>1.4</v>
      </c>
      <c r="J964" s="94" t="n">
        <v>18</v>
      </c>
      <c r="K964" s="95" t="inlineStr">
        <is>
          <t>6831 GREEN TEA GROUP</t>
        </is>
      </c>
    </row>
    <row r="965">
      <c r="A965" s="16" t="inlineStr">
        <is>
          <t>Chia Tai</t>
        </is>
      </c>
      <c r="B965" s="88" t="n">
        <v>1</v>
      </c>
      <c r="C965" s="93" t="n">
        <v>0</v>
      </c>
      <c r="D965" s="94" t="n">
        <v>-12.5</v>
      </c>
      <c r="E965" s="94" t="n">
        <v>-19.6</v>
      </c>
      <c r="F965" s="94" t="n">
        <v>-11.3</v>
      </c>
      <c r="G965" s="94" t="n">
        <v>3.2</v>
      </c>
      <c r="H965" s="94" t="n">
        <v>-8.1</v>
      </c>
      <c r="I965" s="94" t="n">
        <v>1.4</v>
      </c>
      <c r="J965" s="94" t="n">
        <v>18</v>
      </c>
      <c r="K965" s="95" t="inlineStr">
        <is>
          <t>6831 GREEN TEA GROUP</t>
        </is>
      </c>
    </row>
    <row r="966">
      <c r="A966" s="16" t="inlineStr">
        <is>
          <t>Grand Rejuvenation Premium Selection Fund SPC</t>
        </is>
      </c>
      <c r="B966" s="88" t="n">
        <v>1</v>
      </c>
      <c r="C966" s="93" t="n">
        <v>0</v>
      </c>
      <c r="D966" s="94" t="n">
        <v>-13.5</v>
      </c>
      <c r="E966" s="94" t="n">
        <v>-19.1</v>
      </c>
      <c r="F966" s="94" t="n">
        <v>-42.9</v>
      </c>
      <c r="G966" s="94" t="n">
        <v>-39.2</v>
      </c>
      <c r="H966" s="94" t="n">
        <v>-6.4</v>
      </c>
      <c r="I966" s="94" t="n">
        <v>-34</v>
      </c>
      <c r="J966" s="94" t="n">
        <v>-29.7</v>
      </c>
      <c r="K966" s="95" t="inlineStr">
        <is>
          <t>2150 NAYUKI</t>
        </is>
      </c>
    </row>
    <row r="967">
      <c r="A967" s="16" t="inlineStr">
        <is>
          <t>Xiangjiang Zhicheng (Hunan state fund)</t>
        </is>
      </c>
      <c r="B967" s="88" t="n">
        <v>1</v>
      </c>
      <c r="C967" s="93" t="n">
        <v>0</v>
      </c>
      <c r="D967" s="94" t="n">
        <v>-13.7</v>
      </c>
      <c r="E967" s="94" t="n">
        <v>-15.2</v>
      </c>
      <c r="F967" s="94" t="n">
        <v>-7.8</v>
      </c>
      <c r="G967" s="94" t="n">
        <v>-11.8</v>
      </c>
      <c r="H967" s="94" t="n">
        <v>-1.8</v>
      </c>
      <c r="I967" s="94" t="n">
        <v>6.8</v>
      </c>
      <c r="J967" s="94" t="n">
        <v>2.2</v>
      </c>
      <c r="K967" s="95" t="inlineStr">
        <is>
          <t>3881 CIDI</t>
        </is>
      </c>
    </row>
    <row r="968">
      <c r="A968" s="16" t="inlineStr">
        <is>
          <t>Zhijia No. 1 (Nanning Ruiyue LP)</t>
        </is>
      </c>
      <c r="B968" s="88" t="n">
        <v>1</v>
      </c>
      <c r="C968" s="93" t="n">
        <v>0</v>
      </c>
      <c r="D968" s="94" t="n">
        <v>-13.7</v>
      </c>
      <c r="E968" s="94" t="n">
        <v>-15.2</v>
      </c>
      <c r="F968" s="94" t="n">
        <v>-7.8</v>
      </c>
      <c r="G968" s="94" t="n">
        <v>-11.8</v>
      </c>
      <c r="H968" s="94" t="n">
        <v>-1.8</v>
      </c>
      <c r="I968" s="94" t="n">
        <v>6.8</v>
      </c>
      <c r="J968" s="94" t="n">
        <v>2.2</v>
      </c>
      <c r="K968" s="95" t="inlineStr">
        <is>
          <t>3881 CIDI</t>
        </is>
      </c>
    </row>
    <row r="969">
      <c r="A969" s="16" t="inlineStr">
        <is>
          <t>EVE Asia</t>
        </is>
      </c>
      <c r="B969" s="88" t="n">
        <v>1</v>
      </c>
      <c r="C969" s="93" t="n">
        <v>0</v>
      </c>
      <c r="D969" s="94" t="n">
        <v>-14.2</v>
      </c>
      <c r="E969" s="94" t="n">
        <v>-16.2</v>
      </c>
      <c r="F969" s="94" t="n">
        <v>-3.5</v>
      </c>
      <c r="G969" s="94" t="n">
        <v>25.2</v>
      </c>
      <c r="H969" s="94" t="n">
        <v>-2.4</v>
      </c>
      <c r="I969" s="94" t="n">
        <v>12.4</v>
      </c>
      <c r="J969" s="94" t="n">
        <v>45.8</v>
      </c>
      <c r="K969" s="95" t="inlineStr">
        <is>
          <t>2643 CAOCAO INC</t>
        </is>
      </c>
    </row>
    <row r="970">
      <c r="A970" s="16" t="inlineStr">
        <is>
          <t>RoboSense Hong Kong</t>
        </is>
      </c>
      <c r="B970" s="88" t="n">
        <v>1</v>
      </c>
      <c r="C970" s="93" t="n">
        <v>0</v>
      </c>
      <c r="D970" s="94" t="n">
        <v>-14.2</v>
      </c>
      <c r="E970" s="94" t="n">
        <v>-16.2</v>
      </c>
      <c r="F970" s="94" t="n">
        <v>-3.5</v>
      </c>
      <c r="G970" s="94" t="n">
        <v>25.2</v>
      </c>
      <c r="H970" s="94" t="n">
        <v>-2.4</v>
      </c>
      <c r="I970" s="94" t="n">
        <v>12.4</v>
      </c>
      <c r="J970" s="94" t="n">
        <v>45.8</v>
      </c>
      <c r="K970" s="95" t="inlineStr">
        <is>
          <t>2643 CAOCAO INC</t>
        </is>
      </c>
    </row>
    <row r="971">
      <c r="A971" s="16" t="inlineStr">
        <is>
          <t>Eurus Holdings SPC</t>
        </is>
      </c>
      <c r="B971" s="88" t="n">
        <v>1</v>
      </c>
      <c r="C971" s="93" t="n">
        <v>0</v>
      </c>
      <c r="D971" s="94" t="n">
        <v>-14.6</v>
      </c>
      <c r="E971" s="94" t="n">
        <v>21.9</v>
      </c>
      <c r="F971" s="94" t="n">
        <v>-42.2</v>
      </c>
      <c r="G971" s="94" t="n"/>
      <c r="H971" s="94" t="n">
        <v>42.7</v>
      </c>
      <c r="I971" s="94" t="n">
        <v>-32.3</v>
      </c>
      <c r="J971" s="94" t="n"/>
      <c r="K971" s="95" t="inlineStr">
        <is>
          <t>3952 LAIFUAL</t>
        </is>
      </c>
    </row>
    <row r="972">
      <c r="A972" s="16" t="inlineStr">
        <is>
          <t>CaaS Capital Master Fund LP</t>
        </is>
      </c>
      <c r="B972" s="88" t="n">
        <v>1</v>
      </c>
      <c r="C972" s="93" t="n">
        <v>0</v>
      </c>
      <c r="D972" s="94" t="n">
        <v>-14.8</v>
      </c>
      <c r="E972" s="94" t="n">
        <v>-32.1</v>
      </c>
      <c r="F972" s="94" t="n">
        <v>-20.9</v>
      </c>
      <c r="G972" s="94" t="n">
        <v>-52.4</v>
      </c>
      <c r="H972" s="94" t="n">
        <v>-20.4</v>
      </c>
      <c r="I972" s="94" t="n">
        <v>-7.3</v>
      </c>
      <c r="J972" s="94" t="n">
        <v>-44.1</v>
      </c>
      <c r="K972" s="95" t="inlineStr">
        <is>
          <t>6622 ZHAOKE OPHTH-B</t>
        </is>
      </c>
    </row>
    <row r="973">
      <c r="A973" s="16" t="inlineStr">
        <is>
          <t>Jennison Associates LLC</t>
        </is>
      </c>
      <c r="B973" s="88" t="n">
        <v>1</v>
      </c>
      <c r="C973" s="93" t="n">
        <v>0</v>
      </c>
      <c r="D973" s="94" t="n">
        <v>-14.8</v>
      </c>
      <c r="E973" s="94" t="n">
        <v>-32.1</v>
      </c>
      <c r="F973" s="94" t="n">
        <v>-20.9</v>
      </c>
      <c r="G973" s="94" t="n">
        <v>-52.4</v>
      </c>
      <c r="H973" s="94" t="n">
        <v>-20.4</v>
      </c>
      <c r="I973" s="94" t="n">
        <v>-7.3</v>
      </c>
      <c r="J973" s="94" t="n">
        <v>-44.1</v>
      </c>
      <c r="K973" s="95" t="inlineStr">
        <is>
          <t>6622 ZHAOKE OPHTH-B</t>
        </is>
      </c>
    </row>
    <row r="974">
      <c r="A974" s="16" t="inlineStr">
        <is>
          <t>Mass Ave Global, Inc</t>
        </is>
      </c>
      <c r="B974" s="88" t="n">
        <v>1</v>
      </c>
      <c r="C974" s="93" t="n">
        <v>0</v>
      </c>
      <c r="D974" s="94" t="n">
        <v>-14.8</v>
      </c>
      <c r="E974" s="94" t="n">
        <v>-32.1</v>
      </c>
      <c r="F974" s="94" t="n">
        <v>-20.9</v>
      </c>
      <c r="G974" s="94" t="n">
        <v>-52.4</v>
      </c>
      <c r="H974" s="94" t="n">
        <v>-20.4</v>
      </c>
      <c r="I974" s="94" t="n">
        <v>-7.3</v>
      </c>
      <c r="J974" s="94" t="n">
        <v>-44.1</v>
      </c>
      <c r="K974" s="95" t="inlineStr">
        <is>
          <t>6622 ZHAOKE OPHTH-B</t>
        </is>
      </c>
    </row>
    <row r="975">
      <c r="A975" s="16" t="inlineStr">
        <is>
          <t>VMS Zhaoke Investment Fund SP</t>
        </is>
      </c>
      <c r="B975" s="88" t="n">
        <v>1</v>
      </c>
      <c r="C975" s="93" t="n">
        <v>0</v>
      </c>
      <c r="D975" s="94" t="n">
        <v>-14.8</v>
      </c>
      <c r="E975" s="94" t="n">
        <v>-32.1</v>
      </c>
      <c r="F975" s="94" t="n">
        <v>-20.9</v>
      </c>
      <c r="G975" s="94" t="n">
        <v>-52.4</v>
      </c>
      <c r="H975" s="94" t="n">
        <v>-20.4</v>
      </c>
      <c r="I975" s="94" t="n">
        <v>-7.3</v>
      </c>
      <c r="J975" s="94" t="n">
        <v>-44.1</v>
      </c>
      <c r="K975" s="95" t="inlineStr">
        <is>
          <t>6622 ZHAOKE OPHTH-B</t>
        </is>
      </c>
    </row>
    <row r="976">
      <c r="A976" s="16" t="inlineStr">
        <is>
          <t>Accel Group Holdings Limited</t>
        </is>
      </c>
      <c r="B976" s="88" t="n">
        <v>1</v>
      </c>
      <c r="C976" s="93" t="n">
        <v>0</v>
      </c>
      <c r="D976" s="94" t="n">
        <v>-15.1</v>
      </c>
      <c r="E976" s="94" t="n">
        <v>-39.7</v>
      </c>
      <c r="F976" s="94" t="n">
        <v>-37</v>
      </c>
      <c r="G976" s="94" t="n">
        <v>-44.5</v>
      </c>
      <c r="H976" s="94" t="n">
        <v>-29</v>
      </c>
      <c r="I976" s="94" t="n">
        <v>-25.8</v>
      </c>
      <c r="J976" s="94" t="n">
        <v>-34.7</v>
      </c>
      <c r="K976" s="95" t="inlineStr">
        <is>
          <t>9639 WING LEE DEV</t>
        </is>
      </c>
    </row>
    <row r="977">
      <c r="A977" s="16" t="inlineStr">
        <is>
          <t>Cederberg Capital Limited</t>
        </is>
      </c>
      <c r="B977" s="88" t="n">
        <v>1</v>
      </c>
      <c r="C977" s="93" t="n">
        <v>0</v>
      </c>
      <c r="D977" s="94" t="n">
        <v>-16</v>
      </c>
      <c r="E977" s="94" t="n">
        <v>-23.1</v>
      </c>
      <c r="F977" s="94" t="n">
        <v>-35.1</v>
      </c>
      <c r="G977" s="94" t="n">
        <v>-40.6</v>
      </c>
      <c r="H977" s="94" t="n">
        <v>-8.4</v>
      </c>
      <c r="I977" s="94" t="n">
        <v>-22.6</v>
      </c>
      <c r="J977" s="94" t="n">
        <v>-29.2</v>
      </c>
      <c r="K977" s="95" t="inlineStr">
        <is>
          <t>6608 BAIRONG-W</t>
        </is>
      </c>
    </row>
    <row r="978">
      <c r="A978" s="16" t="inlineStr">
        <is>
          <t>Franchise Fund LP</t>
        </is>
      </c>
      <c r="B978" s="88" t="n">
        <v>1</v>
      </c>
      <c r="C978" s="93" t="n">
        <v>0</v>
      </c>
      <c r="D978" s="94" t="n">
        <v>-16</v>
      </c>
      <c r="E978" s="94" t="n">
        <v>-23.1</v>
      </c>
      <c r="F978" s="94" t="n">
        <v>-35.1</v>
      </c>
      <c r="G978" s="94" t="n">
        <v>-40.6</v>
      </c>
      <c r="H978" s="94" t="n">
        <v>-8.4</v>
      </c>
      <c r="I978" s="94" t="n">
        <v>-22.6</v>
      </c>
      <c r="J978" s="94" t="n">
        <v>-29.2</v>
      </c>
      <c r="K978" s="95" t="inlineStr">
        <is>
          <t>6608 BAIRONG-W</t>
        </is>
      </c>
    </row>
    <row r="979">
      <c r="A979" s="16" t="inlineStr">
        <is>
          <t>Deep Source Holdings Limited</t>
        </is>
      </c>
      <c r="B979" s="88" t="n">
        <v>1</v>
      </c>
      <c r="C979" s="93" t="n">
        <v>0</v>
      </c>
      <c r="D979" s="94" t="n">
        <v>-16</v>
      </c>
      <c r="E979" s="94" t="n">
        <v>-16.4</v>
      </c>
      <c r="F979" s="94" t="n">
        <v>-16.7</v>
      </c>
      <c r="G979" s="94" t="n">
        <v>8.300000000000001</v>
      </c>
      <c r="H979" s="94" t="n">
        <v>-0.5</v>
      </c>
      <c r="I979" s="94" t="n">
        <v>-0.8</v>
      </c>
      <c r="J979" s="94" t="n">
        <v>28.9</v>
      </c>
      <c r="K979" s="95" t="inlineStr">
        <is>
          <t>2715 ESTUN</t>
        </is>
      </c>
    </row>
    <row r="980">
      <c r="A980" s="16" t="inlineStr">
        <is>
          <t>Haitian Huayuan (Singapore) Pte. Ltd</t>
        </is>
      </c>
      <c r="B980" s="88" t="n">
        <v>1</v>
      </c>
      <c r="C980" s="93" t="n">
        <v>0</v>
      </c>
      <c r="D980" s="94" t="n">
        <v>-16</v>
      </c>
      <c r="E980" s="94" t="n">
        <v>-16.4</v>
      </c>
      <c r="F980" s="94" t="n">
        <v>-16.7</v>
      </c>
      <c r="G980" s="94" t="n">
        <v>8.300000000000001</v>
      </c>
      <c r="H980" s="94" t="n">
        <v>-0.5</v>
      </c>
      <c r="I980" s="94" t="n">
        <v>-0.8</v>
      </c>
      <c r="J980" s="94" t="n">
        <v>28.9</v>
      </c>
      <c r="K980" s="95" t="inlineStr">
        <is>
          <t>2715 ESTUN</t>
        </is>
      </c>
    </row>
    <row r="981">
      <c r="A981" s="16" t="inlineStr">
        <is>
          <t>Hengtong Optic-electric International Co., Limited</t>
        </is>
      </c>
      <c r="B981" s="88" t="n">
        <v>1</v>
      </c>
      <c r="C981" s="93" t="n">
        <v>0</v>
      </c>
      <c r="D981" s="94" t="n">
        <v>-16</v>
      </c>
      <c r="E981" s="94" t="n">
        <v>-16.4</v>
      </c>
      <c r="F981" s="94" t="n">
        <v>-16.7</v>
      </c>
      <c r="G981" s="94" t="n">
        <v>8.300000000000001</v>
      </c>
      <c r="H981" s="94" t="n">
        <v>-0.5</v>
      </c>
      <c r="I981" s="94" t="n">
        <v>-0.8</v>
      </c>
      <c r="J981" s="94" t="n">
        <v>28.9</v>
      </c>
      <c r="K981" s="95" t="inlineStr">
        <is>
          <t>2715 ESTUN</t>
        </is>
      </c>
    </row>
    <row r="982">
      <c r="A982" s="16" t="inlineStr">
        <is>
          <t>New Fortune Holdings Group Limited</t>
        </is>
      </c>
      <c r="B982" s="88" t="n">
        <v>1</v>
      </c>
      <c r="C982" s="93" t="n">
        <v>0</v>
      </c>
      <c r="D982" s="94" t="n">
        <v>-16</v>
      </c>
      <c r="E982" s="94" t="n">
        <v>-16.4</v>
      </c>
      <c r="F982" s="94" t="n">
        <v>-16.7</v>
      </c>
      <c r="G982" s="94" t="n">
        <v>8.300000000000001</v>
      </c>
      <c r="H982" s="94" t="n">
        <v>-0.5</v>
      </c>
      <c r="I982" s="94" t="n">
        <v>-0.8</v>
      </c>
      <c r="J982" s="94" t="n">
        <v>28.9</v>
      </c>
      <c r="K982" s="95" t="inlineStr">
        <is>
          <t>2715 ESTUN</t>
        </is>
      </c>
    </row>
    <row r="983">
      <c r="A983" s="16" t="inlineStr">
        <is>
          <t>CI Global Asset Management</t>
        </is>
      </c>
      <c r="B983" s="88" t="n">
        <v>1</v>
      </c>
      <c r="C983" s="93" t="n">
        <v>0</v>
      </c>
      <c r="D983" s="94" t="n">
        <v>-16.5</v>
      </c>
      <c r="E983" s="94" t="n">
        <v>-7.6</v>
      </c>
      <c r="F983" s="94" t="n">
        <v>-9.6</v>
      </c>
      <c r="G983" s="94" t="n">
        <v>-12.4</v>
      </c>
      <c r="H983" s="94" t="n">
        <v>10.6</v>
      </c>
      <c r="I983" s="94" t="n">
        <v>8.199999999999999</v>
      </c>
      <c r="J983" s="94" t="n">
        <v>4.8</v>
      </c>
      <c r="K983" s="95" t="inlineStr">
        <is>
          <t>2191 SF REIT</t>
        </is>
      </c>
    </row>
    <row r="984">
      <c r="A984" s="16" t="inlineStr">
        <is>
          <t>SINO-BLR Industrial Investment Fund, L.P</t>
        </is>
      </c>
      <c r="B984" s="88" t="n">
        <v>1</v>
      </c>
      <c r="C984" s="93" t="n">
        <v>0</v>
      </c>
      <c r="D984" s="94" t="n">
        <v>-16.6</v>
      </c>
      <c r="E984" s="94" t="n">
        <v>-19.2</v>
      </c>
      <c r="F984" s="94" t="n">
        <v>-11.5</v>
      </c>
      <c r="G984" s="94" t="n">
        <v>-35.1</v>
      </c>
      <c r="H984" s="94" t="n">
        <v>-3.2</v>
      </c>
      <c r="I984" s="94" t="n">
        <v>6</v>
      </c>
      <c r="J984" s="94" t="n">
        <v>-22.2</v>
      </c>
      <c r="K984" s="95" t="inlineStr">
        <is>
          <t>6680 JLMAG</t>
        </is>
      </c>
    </row>
    <row r="985">
      <c r="A985" s="16" t="inlineStr">
        <is>
          <t>HiTai</t>
        </is>
      </c>
      <c r="B985" s="88" t="n">
        <v>1</v>
      </c>
      <c r="C985" s="93" t="n">
        <v>0</v>
      </c>
      <c r="D985" s="94" t="n">
        <v>-18.2</v>
      </c>
      <c r="E985" s="94" t="n">
        <v>-33</v>
      </c>
      <c r="F985" s="94" t="n">
        <v>-39.5</v>
      </c>
      <c r="G985" s="94" t="n">
        <v>-41.8</v>
      </c>
      <c r="H985" s="94" t="n">
        <v>-18.1</v>
      </c>
      <c r="I985" s="94" t="n">
        <v>-26</v>
      </c>
      <c r="J985" s="94" t="n">
        <v>-28.9</v>
      </c>
      <c r="K985" s="95" t="inlineStr">
        <is>
          <t>2621 SHOUHUI GROUP</t>
        </is>
      </c>
    </row>
    <row r="986">
      <c r="A986" s="16" t="inlineStr">
        <is>
          <t>Lancang Green Resource Investment Co., Ltd</t>
        </is>
      </c>
      <c r="B986" s="88" t="n">
        <v>1</v>
      </c>
      <c r="C986" s="93" t="n">
        <v>0</v>
      </c>
      <c r="D986" s="94" t="n">
        <v>-18.7</v>
      </c>
      <c r="E986" s="94" t="n">
        <v>0</v>
      </c>
      <c r="F986" s="94" t="n">
        <v>-14.8</v>
      </c>
      <c r="G986" s="94" t="n">
        <v>2.8</v>
      </c>
      <c r="H986" s="94" t="n">
        <v>23</v>
      </c>
      <c r="I986" s="94" t="n">
        <v>4.8</v>
      </c>
      <c r="J986" s="94" t="n">
        <v>26.4</v>
      </c>
      <c r="K986" s="95" t="inlineStr">
        <is>
          <t>6911 LANCANG TEA</t>
        </is>
      </c>
    </row>
    <row r="987">
      <c r="A987" s="16" t="inlineStr">
        <is>
          <t>ROSY DAY INVESTMENTS LIMITED</t>
        </is>
      </c>
      <c r="B987" s="88" t="n">
        <v>1</v>
      </c>
      <c r="C987" s="93" t="n">
        <v>0</v>
      </c>
      <c r="D987" s="94" t="n">
        <v>-18.7</v>
      </c>
      <c r="E987" s="94" t="n">
        <v>0</v>
      </c>
      <c r="F987" s="94" t="n">
        <v>-14.8</v>
      </c>
      <c r="G987" s="94" t="n">
        <v>2.8</v>
      </c>
      <c r="H987" s="94" t="n">
        <v>23</v>
      </c>
      <c r="I987" s="94" t="n">
        <v>4.8</v>
      </c>
      <c r="J987" s="94" t="n">
        <v>26.4</v>
      </c>
      <c r="K987" s="95" t="inlineStr">
        <is>
          <t>6911 LANCANG TEA</t>
        </is>
      </c>
    </row>
    <row r="988">
      <c r="A988" s="16" t="inlineStr">
        <is>
          <t>Wang Chunyu</t>
        </is>
      </c>
      <c r="B988" s="88" t="n">
        <v>1</v>
      </c>
      <c r="C988" s="93" t="n">
        <v>0</v>
      </c>
      <c r="D988" s="94" t="n">
        <v>-18.7</v>
      </c>
      <c r="E988" s="94" t="n">
        <v>0</v>
      </c>
      <c r="F988" s="94" t="n">
        <v>-14.8</v>
      </c>
      <c r="G988" s="94" t="n">
        <v>2.8</v>
      </c>
      <c r="H988" s="94" t="n">
        <v>23</v>
      </c>
      <c r="I988" s="94" t="n">
        <v>4.8</v>
      </c>
      <c r="J988" s="94" t="n">
        <v>26.4</v>
      </c>
      <c r="K988" s="95" t="inlineStr">
        <is>
          <t>6911 LANCANG TEA</t>
        </is>
      </c>
    </row>
    <row r="989">
      <c r="A989" s="16" t="inlineStr">
        <is>
          <t>Beijing Yian Capital Management Co. Ltd</t>
        </is>
      </c>
      <c r="B989" s="88" t="n">
        <v>1</v>
      </c>
      <c r="C989" s="93" t="n">
        <v>0</v>
      </c>
      <c r="D989" s="94" t="n">
        <v>-18.7</v>
      </c>
      <c r="E989" s="94" t="n">
        <v>-13.2</v>
      </c>
      <c r="F989" s="94" t="n">
        <v>-3.2</v>
      </c>
      <c r="G989" s="94" t="n"/>
      <c r="H989" s="94" t="n">
        <v>6.7</v>
      </c>
      <c r="I989" s="94" t="n">
        <v>19.1</v>
      </c>
      <c r="J989" s="94" t="n"/>
      <c r="K989" s="95" t="inlineStr">
        <is>
          <t>6745 BEFAR GROUP</t>
        </is>
      </c>
    </row>
    <row r="990">
      <c r="A990" s="16" t="inlineStr">
        <is>
          <t>Hyperion Venture Capital Partners Limited</t>
        </is>
      </c>
      <c r="B990" s="88" t="n">
        <v>1</v>
      </c>
      <c r="C990" s="93" t="n">
        <v>0</v>
      </c>
      <c r="D990" s="94" t="n">
        <v>-18.7</v>
      </c>
      <c r="E990" s="94" t="n">
        <v>-13.2</v>
      </c>
      <c r="F990" s="94" t="n">
        <v>-3.2</v>
      </c>
      <c r="G990" s="94" t="n"/>
      <c r="H990" s="94" t="n">
        <v>6.7</v>
      </c>
      <c r="I990" s="94" t="n">
        <v>19.1</v>
      </c>
      <c r="J990" s="94" t="n"/>
      <c r="K990" s="95" t="inlineStr">
        <is>
          <t>6745 BEFAR GROUP</t>
        </is>
      </c>
    </row>
    <row r="991">
      <c r="A991" s="16" t="inlineStr">
        <is>
          <t>Luhua Daosheng Group Co., Ltd</t>
        </is>
      </c>
      <c r="B991" s="88" t="n">
        <v>1</v>
      </c>
      <c r="C991" s="93" t="n">
        <v>0</v>
      </c>
      <c r="D991" s="94" t="n">
        <v>-18.7</v>
      </c>
      <c r="E991" s="94" t="n">
        <v>-13.2</v>
      </c>
      <c r="F991" s="94" t="n">
        <v>-3.2</v>
      </c>
      <c r="G991" s="94" t="n"/>
      <c r="H991" s="94" t="n">
        <v>6.7</v>
      </c>
      <c r="I991" s="94" t="n">
        <v>19.1</v>
      </c>
      <c r="J991" s="94" t="n"/>
      <c r="K991" s="95" t="inlineStr">
        <is>
          <t>6745 BEFAR GROUP</t>
        </is>
      </c>
    </row>
    <row r="992">
      <c r="A992" s="16" t="inlineStr">
        <is>
          <t>Safewell Equipment Limited</t>
        </is>
      </c>
      <c r="B992" s="88" t="n">
        <v>1</v>
      </c>
      <c r="C992" s="93" t="n">
        <v>0</v>
      </c>
      <c r="D992" s="94" t="n">
        <v>-18.7</v>
      </c>
      <c r="E992" s="94" t="n">
        <v>-13.2</v>
      </c>
      <c r="F992" s="94" t="n">
        <v>-3.2</v>
      </c>
      <c r="G992" s="94" t="n"/>
      <c r="H992" s="94" t="n">
        <v>6.7</v>
      </c>
      <c r="I992" s="94" t="n">
        <v>19.1</v>
      </c>
      <c r="J992" s="94" t="n"/>
      <c r="K992" s="95" t="inlineStr">
        <is>
          <t>6745 BEFAR GROUP</t>
        </is>
      </c>
    </row>
    <row r="993">
      <c r="A993" s="16" t="inlineStr">
        <is>
          <t>Tianto Technology Limited</t>
        </is>
      </c>
      <c r="B993" s="88" t="n">
        <v>1</v>
      </c>
      <c r="C993" s="93" t="n">
        <v>0</v>
      </c>
      <c r="D993" s="94" t="n">
        <v>-18.7</v>
      </c>
      <c r="E993" s="94" t="n">
        <v>-13.2</v>
      </c>
      <c r="F993" s="94" t="n">
        <v>-3.2</v>
      </c>
      <c r="G993" s="94" t="n"/>
      <c r="H993" s="94" t="n">
        <v>6.7</v>
      </c>
      <c r="I993" s="94" t="n">
        <v>19.1</v>
      </c>
      <c r="J993" s="94" t="n"/>
      <c r="K993" s="95" t="inlineStr">
        <is>
          <t>6745 BEFAR GROUP</t>
        </is>
      </c>
    </row>
    <row r="994">
      <c r="A994" s="16" t="inlineStr">
        <is>
          <t>Emerging Markets Healthcare Partners LLC</t>
        </is>
      </c>
      <c r="B994" s="88" t="n">
        <v>1</v>
      </c>
      <c r="C994" s="93" t="n">
        <v>0</v>
      </c>
      <c r="D994" s="94" t="n">
        <v>-19.8</v>
      </c>
      <c r="E994" s="94" t="n">
        <v>-27.8</v>
      </c>
      <c r="F994" s="94" t="n">
        <v>-39.6</v>
      </c>
      <c r="G994" s="94" t="n">
        <v>-56.7</v>
      </c>
      <c r="H994" s="94" t="n">
        <v>-10</v>
      </c>
      <c r="I994" s="94" t="n">
        <v>-24.7</v>
      </c>
      <c r="J994" s="94" t="n">
        <v>-46.1</v>
      </c>
      <c r="K994" s="95" t="inlineStr">
        <is>
          <t>2216 BRONCUS-B</t>
        </is>
      </c>
    </row>
    <row r="995">
      <c r="A995" s="16" t="inlineStr">
        <is>
          <t>Summer Healthcare Fund, L.P</t>
        </is>
      </c>
      <c r="B995" s="88" t="n">
        <v>1</v>
      </c>
      <c r="C995" s="93" t="n">
        <v>0</v>
      </c>
      <c r="D995" s="94" t="n">
        <v>-19.8</v>
      </c>
      <c r="E995" s="94" t="n">
        <v>-27.8</v>
      </c>
      <c r="F995" s="94" t="n">
        <v>-39.6</v>
      </c>
      <c r="G995" s="94" t="n">
        <v>-56.7</v>
      </c>
      <c r="H995" s="94" t="n">
        <v>-10</v>
      </c>
      <c r="I995" s="94" t="n">
        <v>-24.7</v>
      </c>
      <c r="J995" s="94" t="n">
        <v>-46.1</v>
      </c>
      <c r="K995" s="95" t="inlineStr">
        <is>
          <t>2216 BRONCUS-B</t>
        </is>
      </c>
    </row>
    <row r="996">
      <c r="A996" s="16" t="inlineStr">
        <is>
          <t>Danube Bridge Shipping Limited</t>
        </is>
      </c>
      <c r="B996" s="88" t="n">
        <v>1</v>
      </c>
      <c r="C996" s="93" t="n">
        <v>0</v>
      </c>
      <c r="D996" s="94" t="n">
        <v>-21.1</v>
      </c>
      <c r="E996" s="94" t="n">
        <v>-7.7</v>
      </c>
      <c r="F996" s="94" t="n">
        <v>-13.8</v>
      </c>
      <c r="G996" s="94" t="n">
        <v>-5.8</v>
      </c>
      <c r="H996" s="94" t="n">
        <v>17.1</v>
      </c>
      <c r="I996" s="94" t="n">
        <v>9.300000000000001</v>
      </c>
      <c r="J996" s="94" t="n">
        <v>19.4</v>
      </c>
      <c r="K996" s="95" t="inlineStr">
        <is>
          <t>2409 SEACON</t>
        </is>
      </c>
    </row>
    <row r="997">
      <c r="A997" s="16" t="inlineStr">
        <is>
          <t>Guodian Shipping (Hong Kong) Company Limited</t>
        </is>
      </c>
      <c r="B997" s="88" t="n">
        <v>1</v>
      </c>
      <c r="C997" s="93" t="n">
        <v>0</v>
      </c>
      <c r="D997" s="94" t="n">
        <v>-21.1</v>
      </c>
      <c r="E997" s="94" t="n">
        <v>-7.7</v>
      </c>
      <c r="F997" s="94" t="n">
        <v>-13.8</v>
      </c>
      <c r="G997" s="94" t="n">
        <v>-5.8</v>
      </c>
      <c r="H997" s="94" t="n">
        <v>17.1</v>
      </c>
      <c r="I997" s="94" t="n">
        <v>9.300000000000001</v>
      </c>
      <c r="J997" s="94" t="n">
        <v>19.4</v>
      </c>
      <c r="K997" s="95" t="inlineStr">
        <is>
          <t>2409 SEACON</t>
        </is>
      </c>
    </row>
    <row r="998">
      <c r="A998" s="16" t="inlineStr">
        <is>
          <t>BYD Company Limited –</t>
        </is>
      </c>
      <c r="B998" s="88" t="n">
        <v>1</v>
      </c>
      <c r="C998" s="93" t="n">
        <v>0</v>
      </c>
      <c r="D998" s="94" t="n">
        <v>-23</v>
      </c>
      <c r="E998" s="94" t="n">
        <v>-21.5</v>
      </c>
      <c r="F998" s="94" t="n">
        <v>-35.4</v>
      </c>
      <c r="G998" s="94" t="n">
        <v>-36.2</v>
      </c>
      <c r="H998" s="94" t="n">
        <v>1.9</v>
      </c>
      <c r="I998" s="94" t="n">
        <v>-16.2</v>
      </c>
      <c r="J998" s="94" t="n">
        <v>-17.2</v>
      </c>
      <c r="K998" s="95" t="inlineStr">
        <is>
          <t>9609 HAIWEI ELEC</t>
        </is>
      </c>
    </row>
    <row r="999">
      <c r="A999" s="16" t="inlineStr">
        <is>
          <t>Kobayashi Pharmaceutical Co., Ltd</t>
        </is>
      </c>
      <c r="B999" s="88" t="n">
        <v>1</v>
      </c>
      <c r="C999" s="93" t="n">
        <v>0</v>
      </c>
      <c r="D999" s="94" t="n">
        <v>-23.8</v>
      </c>
      <c r="E999" s="94" t="n">
        <v>-29.1</v>
      </c>
      <c r="F999" s="94" t="n">
        <v>-50.4</v>
      </c>
      <c r="G999" s="94" t="n">
        <v>-57</v>
      </c>
      <c r="H999" s="94" t="n">
        <v>-7</v>
      </c>
      <c r="I999" s="94" t="n">
        <v>-35</v>
      </c>
      <c r="J999" s="94" t="n">
        <v>-43.6</v>
      </c>
      <c r="K999" s="95" t="inlineStr">
        <is>
          <t>2177 UNQ HOLDINGS</t>
        </is>
      </c>
    </row>
    <row r="1000">
      <c r="A1000" s="16" t="inlineStr">
        <is>
          <t>Unicharm Corporation</t>
        </is>
      </c>
      <c r="B1000" s="88" t="n">
        <v>1</v>
      </c>
      <c r="C1000" s="93" t="n">
        <v>0</v>
      </c>
      <c r="D1000" s="94" t="n">
        <v>-23.8</v>
      </c>
      <c r="E1000" s="94" t="n">
        <v>-29.1</v>
      </c>
      <c r="F1000" s="94" t="n">
        <v>-50.4</v>
      </c>
      <c r="G1000" s="94" t="n">
        <v>-57</v>
      </c>
      <c r="H1000" s="94" t="n">
        <v>-7</v>
      </c>
      <c r="I1000" s="94" t="n">
        <v>-35</v>
      </c>
      <c r="J1000" s="94" t="n">
        <v>-43.6</v>
      </c>
      <c r="K1000" s="95" t="inlineStr">
        <is>
          <t>2177 UNQ HOLDINGS</t>
        </is>
      </c>
    </row>
    <row r="1001">
      <c r="A1001" s="16" t="inlineStr">
        <is>
          <t>Shenzhen Futian Guiding Fund Investment Co., Ltd</t>
        </is>
      </c>
      <c r="B1001" s="88" t="n">
        <v>1</v>
      </c>
      <c r="C1001" s="93" t="n">
        <v>0</v>
      </c>
      <c r="D1001" s="94" t="n">
        <v>-24.9</v>
      </c>
      <c r="E1001" s="94" t="n">
        <v>-38.5</v>
      </c>
      <c r="F1001" s="94" t="n">
        <v>-13.8</v>
      </c>
      <c r="G1001" s="94" t="n">
        <v>-20.1</v>
      </c>
      <c r="H1001" s="94" t="n">
        <v>-18</v>
      </c>
      <c r="I1001" s="94" t="n">
        <v>14.7</v>
      </c>
      <c r="J1001" s="94" t="n">
        <v>6.3</v>
      </c>
      <c r="K1001" s="95" t="inlineStr">
        <is>
          <t>1973 TIAN TU CAPITAL</t>
        </is>
      </c>
    </row>
    <row r="1002">
      <c r="A1002" s="16" t="inlineStr">
        <is>
          <t>SVF II Zeal</t>
        </is>
      </c>
      <c r="B1002" s="88" t="n">
        <v>1</v>
      </c>
      <c r="C1002" s="93" t="n">
        <v>0</v>
      </c>
      <c r="D1002" s="94" t="n">
        <v>-25.5</v>
      </c>
      <c r="E1002" s="94" t="n">
        <v>-34.4</v>
      </c>
      <c r="F1002" s="94" t="n">
        <v>-46.8</v>
      </c>
      <c r="G1002" s="94" t="n">
        <v>-24.1</v>
      </c>
      <c r="H1002" s="94" t="n">
        <v>-11.9</v>
      </c>
      <c r="I1002" s="94" t="n">
        <v>-28.6</v>
      </c>
      <c r="J1002" s="94" t="n">
        <v>1.8</v>
      </c>
      <c r="K1002" s="95" t="inlineStr">
        <is>
          <t>2121 AINNOVATION</t>
        </is>
      </c>
    </row>
    <row r="1003">
      <c r="A1003" s="16" t="inlineStr">
        <is>
          <t>Jinan Huaiyin Urban Construction Investment Group Co., Ltd</t>
        </is>
      </c>
      <c r="B1003" s="88" t="n">
        <v>1</v>
      </c>
      <c r="C1003" s="93" t="n">
        <v>0</v>
      </c>
      <c r="D1003" s="94" t="n">
        <v>-25.9</v>
      </c>
      <c r="E1003" s="94" t="n">
        <v>-23.5</v>
      </c>
      <c r="F1003" s="94" t="n">
        <v>-25.9</v>
      </c>
      <c r="G1003" s="94" t="n">
        <v>-20</v>
      </c>
      <c r="H1003" s="94" t="n">
        <v>3.2</v>
      </c>
      <c r="I1003" s="94" t="n">
        <v>0</v>
      </c>
      <c r="J1003" s="94" t="n">
        <v>7.9</v>
      </c>
      <c r="K1003" s="95" t="inlineStr">
        <is>
          <t>2455 RUNHUA SERVICE</t>
        </is>
      </c>
    </row>
    <row r="1004">
      <c r="A1004" s="16" t="inlineStr">
        <is>
          <t>Yizekangrui</t>
        </is>
      </c>
      <c r="B1004" s="88" t="n">
        <v>1</v>
      </c>
      <c r="C1004" s="93" t="n">
        <v>0</v>
      </c>
      <c r="D1004" s="94" t="n">
        <v>-25.9</v>
      </c>
      <c r="E1004" s="94" t="n">
        <v>-37.8</v>
      </c>
      <c r="F1004" s="94" t="n">
        <v>-42.3</v>
      </c>
      <c r="G1004" s="94" t="n">
        <v>118</v>
      </c>
      <c r="H1004" s="94" t="n">
        <v>-16.1</v>
      </c>
      <c r="I1004" s="94" t="n">
        <v>-22.1</v>
      </c>
      <c r="J1004" s="94" t="n">
        <v>194.1</v>
      </c>
      <c r="K1004" s="95" t="inlineStr">
        <is>
          <t>2565 PEGBIO CO-B</t>
        </is>
      </c>
    </row>
    <row r="1005">
      <c r="A1005" s="16" t="inlineStr">
        <is>
          <t>Unlisted Shares in issue</t>
        </is>
      </c>
      <c r="B1005" s="88" t="n">
        <v>1</v>
      </c>
      <c r="C1005" s="93" t="n">
        <v>0</v>
      </c>
      <c r="D1005" s="94" t="n">
        <v>-25.9</v>
      </c>
      <c r="E1005" s="94" t="n">
        <v>-37.8</v>
      </c>
      <c r="F1005" s="94" t="n">
        <v>-42.3</v>
      </c>
      <c r="G1005" s="94" t="n">
        <v>118</v>
      </c>
      <c r="H1005" s="94" t="n">
        <v>-16.1</v>
      </c>
      <c r="I1005" s="94" t="n">
        <v>-22.1</v>
      </c>
      <c r="J1005" s="94" t="n">
        <v>194.1</v>
      </c>
      <c r="K1005" s="95" t="inlineStr">
        <is>
          <t>2565 PEGBIO CO-B</t>
        </is>
      </c>
    </row>
    <row r="1006">
      <c r="A1006" s="16" t="inlineStr">
        <is>
          <t>H Share to be converted from Unlisted Shares</t>
        </is>
      </c>
      <c r="B1006" s="88" t="n">
        <v>1</v>
      </c>
      <c r="C1006" s="93" t="n">
        <v>0</v>
      </c>
      <c r="D1006" s="94" t="n">
        <v>-25.9</v>
      </c>
      <c r="E1006" s="94" t="n">
        <v>-37.8</v>
      </c>
      <c r="F1006" s="94" t="n">
        <v>-42.3</v>
      </c>
      <c r="G1006" s="94" t="n">
        <v>118</v>
      </c>
      <c r="H1006" s="94" t="n">
        <v>-16.1</v>
      </c>
      <c r="I1006" s="94" t="n">
        <v>-22.1</v>
      </c>
      <c r="J1006" s="94" t="n">
        <v>194.1</v>
      </c>
      <c r="K1006" s="95" t="inlineStr">
        <is>
          <t>2565 PEGBIO CO-B</t>
        </is>
      </c>
    </row>
    <row r="1007">
      <c r="A1007" s="16" t="inlineStr">
        <is>
          <t>Daguan International Limited</t>
        </is>
      </c>
      <c r="B1007" s="88" t="n">
        <v>1</v>
      </c>
      <c r="C1007" s="93" t="n">
        <v>0</v>
      </c>
      <c r="D1007" s="94" t="n">
        <v>-26.1</v>
      </c>
      <c r="E1007" s="94" t="n">
        <v>-26.9</v>
      </c>
      <c r="F1007" s="94" t="n">
        <v>-37.9</v>
      </c>
      <c r="G1007" s="94" t="n">
        <v>-41</v>
      </c>
      <c r="H1007" s="94" t="n">
        <v>-1.1</v>
      </c>
      <c r="I1007" s="94" t="n">
        <v>-16</v>
      </c>
      <c r="J1007" s="94" t="n">
        <v>-20.2</v>
      </c>
      <c r="K1007" s="95" t="inlineStr">
        <is>
          <t>6669 ACOTEC-B</t>
        </is>
      </c>
    </row>
    <row r="1008">
      <c r="A1008" s="16" t="inlineStr">
        <is>
          <t>New Journey Hospital Group Ltd</t>
        </is>
      </c>
      <c r="B1008" s="88" t="n">
        <v>1</v>
      </c>
      <c r="C1008" s="93" t="n">
        <v>0</v>
      </c>
      <c r="D1008" s="94" t="n">
        <v>-26.1</v>
      </c>
      <c r="E1008" s="94" t="n">
        <v>-26.9</v>
      </c>
      <c r="F1008" s="94" t="n">
        <v>-37.9</v>
      </c>
      <c r="G1008" s="94" t="n">
        <v>-41</v>
      </c>
      <c r="H1008" s="94" t="n">
        <v>-1.1</v>
      </c>
      <c r="I1008" s="94" t="n">
        <v>-16</v>
      </c>
      <c r="J1008" s="94" t="n">
        <v>-20.2</v>
      </c>
      <c r="K1008" s="95" t="inlineStr">
        <is>
          <t>6669 ACOTEC-B</t>
        </is>
      </c>
    </row>
    <row r="1009">
      <c r="A1009" s="16" t="inlineStr">
        <is>
          <t>PRIMEONE LUCK LIMITED</t>
        </is>
      </c>
      <c r="B1009" s="88" t="n">
        <v>1</v>
      </c>
      <c r="C1009" s="93" t="n">
        <v>0</v>
      </c>
      <c r="D1009" s="94" t="n">
        <v>-26.1</v>
      </c>
      <c r="E1009" s="94" t="n">
        <v>-26.9</v>
      </c>
      <c r="F1009" s="94" t="n">
        <v>-37.9</v>
      </c>
      <c r="G1009" s="94" t="n">
        <v>-41</v>
      </c>
      <c r="H1009" s="94" t="n">
        <v>-1.1</v>
      </c>
      <c r="I1009" s="94" t="n">
        <v>-16</v>
      </c>
      <c r="J1009" s="94" t="n">
        <v>-20.2</v>
      </c>
      <c r="K1009" s="95" t="inlineStr">
        <is>
          <t>6669 ACOTEC-B</t>
        </is>
      </c>
    </row>
    <row r="1010">
      <c r="A1010" s="16" t="inlineStr">
        <is>
          <t>Belinda A. Termeer</t>
        </is>
      </c>
      <c r="B1010" s="88" t="n">
        <v>1</v>
      </c>
      <c r="C1010" s="93" t="n">
        <v>0</v>
      </c>
      <c r="D1010" s="94" t="n">
        <v>-26.9</v>
      </c>
      <c r="E1010" s="94" t="n">
        <v>-30.1</v>
      </c>
      <c r="F1010" s="94" t="n">
        <v>-32.8</v>
      </c>
      <c r="G1010" s="94" t="n">
        <v>-64.40000000000001</v>
      </c>
      <c r="H1010" s="94" t="n">
        <v>-4.4</v>
      </c>
      <c r="I1010" s="94" t="n">
        <v>-8.1</v>
      </c>
      <c r="J1010" s="94" t="n">
        <v>-51.2</v>
      </c>
      <c r="K1010" s="95" t="inlineStr">
        <is>
          <t>1228 CANBRIDGE-B</t>
        </is>
      </c>
    </row>
    <row r="1011">
      <c r="A1011" s="16" t="inlineStr">
        <is>
          <t>RA Capital Healthcare Fund, L.P</t>
        </is>
      </c>
      <c r="B1011" s="88" t="n">
        <v>1</v>
      </c>
      <c r="C1011" s="93" t="n">
        <v>0</v>
      </c>
      <c r="D1011" s="94" t="n">
        <v>-26.9</v>
      </c>
      <c r="E1011" s="94" t="n">
        <v>-30.1</v>
      </c>
      <c r="F1011" s="94" t="n">
        <v>-32.8</v>
      </c>
      <c r="G1011" s="94" t="n">
        <v>-64.40000000000001</v>
      </c>
      <c r="H1011" s="94" t="n">
        <v>-4.4</v>
      </c>
      <c r="I1011" s="94" t="n">
        <v>-8.1</v>
      </c>
      <c r="J1011" s="94" t="n">
        <v>-51.2</v>
      </c>
      <c r="K1011" s="95" t="inlineStr">
        <is>
          <t>1228 CANBRIDGE-B</t>
        </is>
      </c>
    </row>
    <row r="1012">
      <c r="A1012" s="16" t="inlineStr">
        <is>
          <t>Gardex Development Limited</t>
        </is>
      </c>
      <c r="B1012" s="88" t="n">
        <v>1</v>
      </c>
      <c r="C1012" s="93" t="n">
        <v>0</v>
      </c>
      <c r="D1012" s="94" t="n">
        <v>-27</v>
      </c>
      <c r="E1012" s="94" t="n">
        <v>-28</v>
      </c>
      <c r="F1012" s="94" t="n">
        <v>-23.6</v>
      </c>
      <c r="G1012" s="94" t="n">
        <v>-7.7</v>
      </c>
      <c r="H1012" s="94" t="n">
        <v>-1.5</v>
      </c>
      <c r="I1012" s="94" t="n">
        <v>4.6</v>
      </c>
      <c r="J1012" s="94" t="n">
        <v>26.4</v>
      </c>
      <c r="K1012" s="95" t="inlineStr">
        <is>
          <t>2533 BLACK SESAME</t>
        </is>
      </c>
    </row>
    <row r="1013">
      <c r="A1013" s="16" t="inlineStr">
        <is>
          <t>Joyson Electronic USA LLC</t>
        </is>
      </c>
      <c r="B1013" s="88" t="n">
        <v>1</v>
      </c>
      <c r="C1013" s="93" t="n">
        <v>0</v>
      </c>
      <c r="D1013" s="94" t="n">
        <v>-27</v>
      </c>
      <c r="E1013" s="94" t="n">
        <v>-28</v>
      </c>
      <c r="F1013" s="94" t="n">
        <v>-23.6</v>
      </c>
      <c r="G1013" s="94" t="n">
        <v>-7.7</v>
      </c>
      <c r="H1013" s="94" t="n">
        <v>-1.5</v>
      </c>
      <c r="I1013" s="94" t="n">
        <v>4.6</v>
      </c>
      <c r="J1013" s="94" t="n">
        <v>26.4</v>
      </c>
      <c r="K1013" s="95" t="inlineStr">
        <is>
          <t>2533 BLACK SESAME</t>
        </is>
      </c>
    </row>
    <row r="1014">
      <c r="A1014" s="16" t="inlineStr">
        <is>
          <t>ATNT Group Management Limited</t>
        </is>
      </c>
      <c r="B1014" s="88" t="n">
        <v>1</v>
      </c>
      <c r="C1014" s="93" t="n">
        <v>0</v>
      </c>
      <c r="D1014" s="94" t="n">
        <v>-27.1</v>
      </c>
      <c r="E1014" s="94" t="n">
        <v>-34.1</v>
      </c>
      <c r="F1014" s="94" t="n">
        <v>-41.2</v>
      </c>
      <c r="G1014" s="94" t="n">
        <v>-54.1</v>
      </c>
      <c r="H1014" s="94" t="n">
        <v>-9.699999999999999</v>
      </c>
      <c r="I1014" s="94" t="n">
        <v>-19.4</v>
      </c>
      <c r="J1014" s="94" t="n">
        <v>-37.1</v>
      </c>
      <c r="K1014" s="95" t="inlineStr">
        <is>
          <t>2350 MTT GROUP</t>
        </is>
      </c>
    </row>
    <row r="1015">
      <c r="A1015" s="16" t="inlineStr">
        <is>
          <t>EC InfoTech Limited</t>
        </is>
      </c>
      <c r="B1015" s="88" t="n">
        <v>1</v>
      </c>
      <c r="C1015" s="93" t="n">
        <v>0</v>
      </c>
      <c r="D1015" s="94" t="n">
        <v>-27.1</v>
      </c>
      <c r="E1015" s="94" t="n">
        <v>-34.1</v>
      </c>
      <c r="F1015" s="94" t="n">
        <v>-41.2</v>
      </c>
      <c r="G1015" s="94" t="n">
        <v>-54.1</v>
      </c>
      <c r="H1015" s="94" t="n">
        <v>-9.699999999999999</v>
      </c>
      <c r="I1015" s="94" t="n">
        <v>-19.4</v>
      </c>
      <c r="J1015" s="94" t="n">
        <v>-37.1</v>
      </c>
      <c r="K1015" s="95" t="inlineStr">
        <is>
          <t>2350 MTT GROUP</t>
        </is>
      </c>
    </row>
    <row r="1016">
      <c r="A1016" s="16" t="inlineStr">
        <is>
          <t>Mr. Hung Kwong Yee</t>
        </is>
      </c>
      <c r="B1016" s="88" t="n">
        <v>1</v>
      </c>
      <c r="C1016" s="93" t="n">
        <v>0</v>
      </c>
      <c r="D1016" s="94" t="n">
        <v>-27.1</v>
      </c>
      <c r="E1016" s="94" t="n">
        <v>-34.1</v>
      </c>
      <c r="F1016" s="94" t="n">
        <v>-41.2</v>
      </c>
      <c r="G1016" s="94" t="n">
        <v>-54.1</v>
      </c>
      <c r="H1016" s="94" t="n">
        <v>-9.699999999999999</v>
      </c>
      <c r="I1016" s="94" t="n">
        <v>-19.4</v>
      </c>
      <c r="J1016" s="94" t="n">
        <v>-37.1</v>
      </c>
      <c r="K1016" s="95" t="inlineStr">
        <is>
          <t>2350 MTT GROUP</t>
        </is>
      </c>
    </row>
    <row r="1017">
      <c r="A1017" s="16" t="inlineStr">
        <is>
          <t>Genesis M Co., Limited</t>
        </is>
      </c>
      <c r="B1017" s="88" t="n">
        <v>1</v>
      </c>
      <c r="C1017" s="93" t="n">
        <v>0</v>
      </c>
      <c r="D1017" s="94" t="n">
        <v>-27.5</v>
      </c>
      <c r="E1017" s="94" t="n">
        <v>-20.8</v>
      </c>
      <c r="F1017" s="94" t="n">
        <v>-28.3</v>
      </c>
      <c r="G1017" s="94" t="n">
        <v>-37.5</v>
      </c>
      <c r="H1017" s="94" t="n">
        <v>9.199999999999999</v>
      </c>
      <c r="I1017" s="94" t="n">
        <v>-1.1</v>
      </c>
      <c r="J1017" s="94" t="n">
        <v>-13.8</v>
      </c>
      <c r="K1017" s="95" t="inlineStr">
        <is>
          <t>2502 JINYUAN HCHEM</t>
        </is>
      </c>
    </row>
    <row r="1018">
      <c r="A1018" s="16" t="inlineStr">
        <is>
          <t>Max Success Group Holdings Limited</t>
        </is>
      </c>
      <c r="B1018" s="88" t="n">
        <v>1</v>
      </c>
      <c r="C1018" s="93" t="n">
        <v>0</v>
      </c>
      <c r="D1018" s="94" t="n">
        <v>-27.5</v>
      </c>
      <c r="E1018" s="94" t="n">
        <v>-20.8</v>
      </c>
      <c r="F1018" s="94" t="n">
        <v>-28.3</v>
      </c>
      <c r="G1018" s="94" t="n">
        <v>-37.5</v>
      </c>
      <c r="H1018" s="94" t="n">
        <v>9.199999999999999</v>
      </c>
      <c r="I1018" s="94" t="n">
        <v>-1.1</v>
      </c>
      <c r="J1018" s="94" t="n">
        <v>-13.8</v>
      </c>
      <c r="K1018" s="95" t="inlineStr">
        <is>
          <t>2502 JINYUAN HCHEM</t>
        </is>
      </c>
    </row>
    <row r="1019">
      <c r="A1019" s="16" t="inlineStr">
        <is>
          <t>Prosperity Steel United Singapore Pte. Ltd</t>
        </is>
      </c>
      <c r="B1019" s="88" t="n">
        <v>1</v>
      </c>
      <c r="C1019" s="93" t="n">
        <v>0</v>
      </c>
      <c r="D1019" s="94" t="n">
        <v>-27.5</v>
      </c>
      <c r="E1019" s="94" t="n">
        <v>-20.8</v>
      </c>
      <c r="F1019" s="94" t="n">
        <v>-28.3</v>
      </c>
      <c r="G1019" s="94" t="n">
        <v>-37.5</v>
      </c>
      <c r="H1019" s="94" t="n">
        <v>9.199999999999999</v>
      </c>
      <c r="I1019" s="94" t="n">
        <v>-1.1</v>
      </c>
      <c r="J1019" s="94" t="n">
        <v>-13.8</v>
      </c>
      <c r="K1019" s="95" t="inlineStr">
        <is>
          <t>2502 JINYUAN HCHEM</t>
        </is>
      </c>
    </row>
    <row r="1020">
      <c r="A1020" s="16" t="inlineStr">
        <is>
          <t>Zhongsheng Holdings Company Limited</t>
        </is>
      </c>
      <c r="B1020" s="88" t="n">
        <v>1</v>
      </c>
      <c r="C1020" s="93" t="n">
        <v>0</v>
      </c>
      <c r="D1020" s="94" t="n">
        <v>-27.5</v>
      </c>
      <c r="E1020" s="94" t="n">
        <v>-20.8</v>
      </c>
      <c r="F1020" s="94" t="n">
        <v>-28.3</v>
      </c>
      <c r="G1020" s="94" t="n">
        <v>-37.5</v>
      </c>
      <c r="H1020" s="94" t="n">
        <v>9.199999999999999</v>
      </c>
      <c r="I1020" s="94" t="n">
        <v>-1.1</v>
      </c>
      <c r="J1020" s="94" t="n">
        <v>-13.8</v>
      </c>
      <c r="K1020" s="95" t="inlineStr">
        <is>
          <t>2502 JINYUAN HCHEM</t>
        </is>
      </c>
    </row>
    <row r="1021">
      <c r="A1021" s="16" t="inlineStr">
        <is>
          <t>Qingcong Capital</t>
        </is>
      </c>
      <c r="B1021" s="88" t="n">
        <v>1</v>
      </c>
      <c r="C1021" s="93" t="n">
        <v>0</v>
      </c>
      <c r="D1021" s="94" t="n">
        <v>-27.8</v>
      </c>
      <c r="E1021" s="94" t="n">
        <v>-28.7</v>
      </c>
      <c r="F1021" s="94" t="n">
        <v>-37.2</v>
      </c>
      <c r="G1021" s="94" t="n">
        <v>-33.7</v>
      </c>
      <c r="H1021" s="94" t="n">
        <v>-1.2</v>
      </c>
      <c r="I1021" s="94" t="n">
        <v>-13</v>
      </c>
      <c r="J1021" s="94" t="n">
        <v>-8.1</v>
      </c>
      <c r="K1021" s="95" t="inlineStr">
        <is>
          <t>2408 XIAO NOODLES</t>
        </is>
      </c>
    </row>
    <row r="1022">
      <c r="A1022" s="16" t="inlineStr">
        <is>
          <t>Mr. Gao Defu</t>
        </is>
      </c>
      <c r="B1022" s="88" t="n">
        <v>1</v>
      </c>
      <c r="C1022" s="93" t="n">
        <v>0</v>
      </c>
      <c r="D1022" s="94" t="n">
        <v>-27.8</v>
      </c>
      <c r="E1022" s="94" t="n">
        <v>-28.7</v>
      </c>
      <c r="F1022" s="94" t="n">
        <v>-37.2</v>
      </c>
      <c r="G1022" s="94" t="n">
        <v>-33.7</v>
      </c>
      <c r="H1022" s="94" t="n">
        <v>-1.2</v>
      </c>
      <c r="I1022" s="94" t="n">
        <v>-13</v>
      </c>
      <c r="J1022" s="94" t="n">
        <v>-8.1</v>
      </c>
      <c r="K1022" s="95" t="inlineStr">
        <is>
          <t>2408 XIAO NOODLES</t>
        </is>
      </c>
    </row>
    <row r="1023">
      <c r="A1023" s="16" t="inlineStr">
        <is>
          <t>Hong Kong Shengying Investment Limited</t>
        </is>
      </c>
      <c r="B1023" s="88" t="n">
        <v>1</v>
      </c>
      <c r="C1023" s="93" t="n">
        <v>0</v>
      </c>
      <c r="D1023" s="94" t="n">
        <v>-27.8</v>
      </c>
      <c r="E1023" s="94" t="n">
        <v>-28.7</v>
      </c>
      <c r="F1023" s="94" t="n">
        <v>-37.2</v>
      </c>
      <c r="G1023" s="94" t="n">
        <v>-33.7</v>
      </c>
      <c r="H1023" s="94" t="n">
        <v>-1.2</v>
      </c>
      <c r="I1023" s="94" t="n">
        <v>-13</v>
      </c>
      <c r="J1023" s="94" t="n">
        <v>-8.1</v>
      </c>
      <c r="K1023" s="95" t="inlineStr">
        <is>
          <t>2408 XIAO NOODLES</t>
        </is>
      </c>
    </row>
    <row r="1024">
      <c r="A1024" s="16" t="inlineStr">
        <is>
          <t>Hai Di Lao Holdings Pte. Ltd</t>
        </is>
      </c>
      <c r="B1024" s="88" t="n">
        <v>1</v>
      </c>
      <c r="C1024" s="93" t="n">
        <v>0</v>
      </c>
      <c r="D1024" s="94" t="n">
        <v>-27.8</v>
      </c>
      <c r="E1024" s="94" t="n">
        <v>-28.7</v>
      </c>
      <c r="F1024" s="94" t="n">
        <v>-37.2</v>
      </c>
      <c r="G1024" s="94" t="n">
        <v>-33.7</v>
      </c>
      <c r="H1024" s="94" t="n">
        <v>-1.2</v>
      </c>
      <c r="I1024" s="94" t="n">
        <v>-13</v>
      </c>
      <c r="J1024" s="94" t="n">
        <v>-8.1</v>
      </c>
      <c r="K1024" s="95" t="inlineStr">
        <is>
          <t>2408 XIAO NOODLES</t>
        </is>
      </c>
    </row>
    <row r="1025">
      <c r="A1025" s="16" t="inlineStr">
        <is>
          <t>Pusheng Fund</t>
        </is>
      </c>
      <c r="B1025" s="88" t="n">
        <v>1</v>
      </c>
      <c r="C1025" s="93" t="n">
        <v>0</v>
      </c>
      <c r="D1025" s="94" t="n">
        <v>-27.8</v>
      </c>
      <c r="E1025" s="94" t="n">
        <v>-28.7</v>
      </c>
      <c r="F1025" s="94" t="n">
        <v>-37.2</v>
      </c>
      <c r="G1025" s="94" t="n">
        <v>-33.7</v>
      </c>
      <c r="H1025" s="94" t="n">
        <v>-1.2</v>
      </c>
      <c r="I1025" s="94" t="n">
        <v>-13</v>
      </c>
      <c r="J1025" s="94" t="n">
        <v>-8.1</v>
      </c>
      <c r="K1025" s="95" t="inlineStr">
        <is>
          <t>2408 XIAO NOODLES</t>
        </is>
      </c>
    </row>
    <row r="1026">
      <c r="A1026" s="16" t="inlineStr">
        <is>
          <t>HK Dongbin Joint Victory Development Co. Limited</t>
        </is>
      </c>
      <c r="B1026" s="88" t="n">
        <v>1</v>
      </c>
      <c r="C1026" s="93" t="n">
        <v>0</v>
      </c>
      <c r="D1026" s="94" t="n">
        <v>-29</v>
      </c>
      <c r="E1026" s="94" t="n">
        <v>-41.4</v>
      </c>
      <c r="F1026" s="94" t="n">
        <v>-44.7</v>
      </c>
      <c r="G1026" s="94" t="n">
        <v>-37</v>
      </c>
      <c r="H1026" s="94" t="n">
        <v>-17.4</v>
      </c>
      <c r="I1026" s="94" t="n">
        <v>-22.1</v>
      </c>
      <c r="J1026" s="94" t="n">
        <v>-11.2</v>
      </c>
      <c r="K1026" s="95" t="inlineStr">
        <is>
          <t>9930 HORIZON CD</t>
        </is>
      </c>
    </row>
    <row r="1027">
      <c r="A1027" s="16" t="inlineStr">
        <is>
          <t>LGMG International Limited</t>
        </is>
      </c>
      <c r="B1027" s="88" t="n">
        <v>1</v>
      </c>
      <c r="C1027" s="93" t="n">
        <v>0</v>
      </c>
      <c r="D1027" s="94" t="n">
        <v>-29</v>
      </c>
      <c r="E1027" s="94" t="n">
        <v>-41.4</v>
      </c>
      <c r="F1027" s="94" t="n">
        <v>-44.7</v>
      </c>
      <c r="G1027" s="94" t="n">
        <v>-37</v>
      </c>
      <c r="H1027" s="94" t="n">
        <v>-17.4</v>
      </c>
      <c r="I1027" s="94" t="n">
        <v>-22.1</v>
      </c>
      <c r="J1027" s="94" t="n">
        <v>-11.2</v>
      </c>
      <c r="K1027" s="95" t="inlineStr">
        <is>
          <t>9930 HORIZON CD</t>
        </is>
      </c>
    </row>
    <row r="1028">
      <c r="A1028" s="16" t="inlineStr">
        <is>
          <t>Shanghai Gold Ring Enterprise Group Co., Ltd</t>
        </is>
      </c>
      <c r="B1028" s="88" t="n">
        <v>1</v>
      </c>
      <c r="C1028" s="93" t="n">
        <v>0</v>
      </c>
      <c r="D1028" s="94" t="n">
        <v>-29</v>
      </c>
      <c r="E1028" s="94" t="n">
        <v>-41.4</v>
      </c>
      <c r="F1028" s="94" t="n">
        <v>-44.7</v>
      </c>
      <c r="G1028" s="94" t="n">
        <v>-37</v>
      </c>
      <c r="H1028" s="94" t="n">
        <v>-17.4</v>
      </c>
      <c r="I1028" s="94" t="n">
        <v>-22.1</v>
      </c>
      <c r="J1028" s="94" t="n">
        <v>-11.2</v>
      </c>
      <c r="K1028" s="95" t="inlineStr">
        <is>
          <t>9930 HORIZON CD</t>
        </is>
      </c>
    </row>
    <row r="1029">
      <c r="A1029" s="16" t="inlineStr">
        <is>
          <t>Shanghai Putuo Science and Technology Investment Co., Ltd</t>
        </is>
      </c>
      <c r="B1029" s="88" t="n">
        <v>1</v>
      </c>
      <c r="C1029" s="93" t="n">
        <v>0</v>
      </c>
      <c r="D1029" s="94" t="n">
        <v>-29</v>
      </c>
      <c r="E1029" s="94" t="n">
        <v>-41.4</v>
      </c>
      <c r="F1029" s="94" t="n">
        <v>-44.7</v>
      </c>
      <c r="G1029" s="94" t="n">
        <v>-37</v>
      </c>
      <c r="H1029" s="94" t="n">
        <v>-17.4</v>
      </c>
      <c r="I1029" s="94" t="n">
        <v>-22.1</v>
      </c>
      <c r="J1029" s="94" t="n">
        <v>-11.2</v>
      </c>
      <c r="K1029" s="95" t="inlineStr">
        <is>
          <t>9930 HORIZON CD</t>
        </is>
      </c>
    </row>
    <row r="1030">
      <c r="A1030" s="16" t="inlineStr">
        <is>
          <t>Xinheng Holding Limited</t>
        </is>
      </c>
      <c r="B1030" s="88" t="n">
        <v>1</v>
      </c>
      <c r="C1030" s="93" t="n">
        <v>0</v>
      </c>
      <c r="D1030" s="94" t="n">
        <v>-29</v>
      </c>
      <c r="E1030" s="94" t="n">
        <v>-41.4</v>
      </c>
      <c r="F1030" s="94" t="n">
        <v>-44.7</v>
      </c>
      <c r="G1030" s="94" t="n">
        <v>-37</v>
      </c>
      <c r="H1030" s="94" t="n">
        <v>-17.4</v>
      </c>
      <c r="I1030" s="94" t="n">
        <v>-22.1</v>
      </c>
      <c r="J1030" s="94" t="n">
        <v>-11.2</v>
      </c>
      <c r="K1030" s="95" t="inlineStr">
        <is>
          <t>9930 HORIZON CD</t>
        </is>
      </c>
    </row>
    <row r="1031">
      <c r="A1031" s="16" t="inlineStr">
        <is>
          <t>Tenancy Co., Limited</t>
        </is>
      </c>
      <c r="B1031" s="88" t="n">
        <v>1</v>
      </c>
      <c r="C1031" s="93" t="n">
        <v>0</v>
      </c>
      <c r="D1031" s="94" t="n">
        <v>-29.3</v>
      </c>
      <c r="E1031" s="94" t="n">
        <v>-30</v>
      </c>
      <c r="F1031" s="94" t="n">
        <v>-23.3</v>
      </c>
      <c r="G1031" s="94" t="n">
        <v>-16</v>
      </c>
      <c r="H1031" s="94" t="n">
        <v>-0.9</v>
      </c>
      <c r="I1031" s="94" t="n">
        <v>8.5</v>
      </c>
      <c r="J1031" s="94" t="n">
        <v>18.9</v>
      </c>
      <c r="K1031" s="95" t="inlineStr">
        <is>
          <t>2187 ZHIXIN GP HLDG</t>
        </is>
      </c>
    </row>
    <row r="1032">
      <c r="A1032" s="16" t="inlineStr">
        <is>
          <t>Wang Miao</t>
        </is>
      </c>
      <c r="B1032" s="88" t="n">
        <v>1</v>
      </c>
      <c r="C1032" s="93" t="n">
        <v>0</v>
      </c>
      <c r="D1032" s="94" t="n">
        <v>-29.3</v>
      </c>
      <c r="E1032" s="94" t="n">
        <v>-30</v>
      </c>
      <c r="F1032" s="94" t="n">
        <v>-23.3</v>
      </c>
      <c r="G1032" s="94" t="n">
        <v>-16</v>
      </c>
      <c r="H1032" s="94" t="n">
        <v>-0.9</v>
      </c>
      <c r="I1032" s="94" t="n">
        <v>8.5</v>
      </c>
      <c r="J1032" s="94" t="n">
        <v>18.9</v>
      </c>
      <c r="K1032" s="95" t="inlineStr">
        <is>
          <t>2187 ZHIXIN GP HLDG</t>
        </is>
      </c>
    </row>
    <row r="1033">
      <c r="A1033" s="16" t="inlineStr">
        <is>
          <t>Mr. Mao Xiangyu</t>
        </is>
      </c>
      <c r="B1033" s="88" t="n">
        <v>1</v>
      </c>
      <c r="C1033" s="93" t="n">
        <v>0</v>
      </c>
      <c r="D1033" s="94" t="n">
        <v>-30.2</v>
      </c>
      <c r="E1033" s="94" t="n">
        <v>-21.7</v>
      </c>
      <c r="F1033" s="94" t="n">
        <v>-17.8</v>
      </c>
      <c r="G1033" s="94" t="n">
        <v>-17.9</v>
      </c>
      <c r="H1033" s="94" t="n">
        <v>12.1</v>
      </c>
      <c r="I1033" s="94" t="n">
        <v>17.7</v>
      </c>
      <c r="J1033" s="94" t="n">
        <v>17.5</v>
      </c>
      <c r="K1033" s="95" t="inlineStr">
        <is>
          <t>2658 TIANYU SEMI</t>
        </is>
      </c>
    </row>
    <row r="1034">
      <c r="A1034" s="16" t="inlineStr">
        <is>
          <t>Kwok Tai East International Group Limited</t>
        </is>
      </c>
      <c r="B1034" s="88" t="n">
        <v>1</v>
      </c>
      <c r="C1034" s="93" t="n">
        <v>0</v>
      </c>
      <c r="D1034" s="94" t="n">
        <v>-33.5</v>
      </c>
      <c r="E1034" s="94" t="n">
        <v>-48.3</v>
      </c>
      <c r="F1034" s="94" t="n">
        <v>-62.2</v>
      </c>
      <c r="G1034" s="94" t="n">
        <v>-37.1</v>
      </c>
      <c r="H1034" s="94" t="n">
        <v>-22.2</v>
      </c>
      <c r="I1034" s="94" t="n">
        <v>-43.1</v>
      </c>
      <c r="J1034" s="94" t="n">
        <v>-5.3</v>
      </c>
      <c r="K1034" s="95" t="inlineStr">
        <is>
          <t>9863 LEAPMOTOR</t>
        </is>
      </c>
    </row>
    <row r="1035">
      <c r="A1035" s="16" t="inlineStr">
        <is>
          <t>ZhongBaoNew materials. Ltd</t>
        </is>
      </c>
      <c r="B1035" s="88" t="n">
        <v>1</v>
      </c>
      <c r="C1035" s="93" t="n">
        <v>0</v>
      </c>
      <c r="D1035" s="94" t="n">
        <v>-35.2</v>
      </c>
      <c r="E1035" s="94" t="n">
        <v>-36.2</v>
      </c>
      <c r="F1035" s="94" t="n">
        <v>-39</v>
      </c>
      <c r="G1035" s="94" t="n">
        <v>-50.5</v>
      </c>
      <c r="H1035" s="94" t="n">
        <v>-1.5</v>
      </c>
      <c r="I1035" s="94" t="n">
        <v>-5.9</v>
      </c>
      <c r="J1035" s="94" t="n">
        <v>-23.5</v>
      </c>
      <c r="K1035" s="95" t="inlineStr">
        <is>
          <t>2439 CH TREASURES NM</t>
        </is>
      </c>
    </row>
    <row r="1036">
      <c r="A1036" s="16" t="inlineStr">
        <is>
          <t>Jiu Rong Holdings Limited</t>
        </is>
      </c>
      <c r="B1036" s="88" t="n">
        <v>1</v>
      </c>
      <c r="C1036" s="93" t="n">
        <v>0</v>
      </c>
      <c r="D1036" s="94" t="n">
        <v>-36</v>
      </c>
      <c r="E1036" s="94" t="n">
        <v>-48</v>
      </c>
      <c r="F1036" s="94" t="n">
        <v>-50.4</v>
      </c>
      <c r="G1036" s="94" t="n">
        <v>-52.4</v>
      </c>
      <c r="H1036" s="94" t="n">
        <v>-18.8</v>
      </c>
      <c r="I1036" s="94" t="n">
        <v>-22.5</v>
      </c>
      <c r="J1036" s="94" t="n">
        <v>-25.6</v>
      </c>
      <c r="K1036" s="95" t="inlineStr">
        <is>
          <t>9608 SUNDY SERVICE</t>
        </is>
      </c>
    </row>
    <row r="1037">
      <c r="A1037" s="16" t="inlineStr">
        <is>
          <t>Yingke No.1 (Hongkong) Limited</t>
        </is>
      </c>
      <c r="B1037" s="88" t="n">
        <v>1</v>
      </c>
      <c r="C1037" s="93" t="n">
        <v>0</v>
      </c>
      <c r="D1037" s="94" t="n">
        <v>-36.9</v>
      </c>
      <c r="E1037" s="94" t="n">
        <v>1.8</v>
      </c>
      <c r="F1037" s="94" t="n">
        <v>94.09999999999999</v>
      </c>
      <c r="G1037" s="94" t="n">
        <v>149.1</v>
      </c>
      <c r="H1037" s="94" t="n">
        <v>61.4</v>
      </c>
      <c r="I1037" s="94" t="n">
        <v>207.7</v>
      </c>
      <c r="J1037" s="94" t="n">
        <v>294.9</v>
      </c>
      <c r="K1037" s="95" t="inlineStr">
        <is>
          <t>2632 NEW VISION CO</t>
        </is>
      </c>
    </row>
    <row r="1038">
      <c r="A1038" s="16" t="inlineStr">
        <is>
          <t>Purple Diamond Ltd</t>
        </is>
      </c>
      <c r="B1038" s="88" t="n">
        <v>1</v>
      </c>
      <c r="C1038" s="93" t="n">
        <v>0</v>
      </c>
      <c r="D1038" s="94" t="n">
        <v>-37.4</v>
      </c>
      <c r="E1038" s="94" t="n">
        <v>-44.3</v>
      </c>
      <c r="F1038" s="94" t="n">
        <v>-45.1</v>
      </c>
      <c r="G1038" s="94" t="n"/>
      <c r="H1038" s="94" t="n">
        <v>-11.1</v>
      </c>
      <c r="I1038" s="94" t="n">
        <v>-12.3</v>
      </c>
      <c r="J1038" s="94" t="n"/>
      <c r="K1038" s="95" t="inlineStr">
        <is>
          <t>0537 RIGOL</t>
        </is>
      </c>
    </row>
    <row r="1039">
      <c r="A1039" s="16" t="inlineStr">
        <is>
          <t>Heda Jinyuan (HK)</t>
        </is>
      </c>
      <c r="B1039" s="88" t="n">
        <v>1</v>
      </c>
      <c r="C1039" s="93" t="n">
        <v>0</v>
      </c>
      <c r="D1039" s="94" t="n">
        <v>-38.4</v>
      </c>
      <c r="E1039" s="94" t="n">
        <v>-35.4</v>
      </c>
      <c r="F1039" s="94" t="n">
        <v>-46.9</v>
      </c>
      <c r="G1039" s="94" t="n">
        <v>-47.4</v>
      </c>
      <c r="H1039" s="94" t="n">
        <v>5</v>
      </c>
      <c r="I1039" s="94" t="n">
        <v>-13.7</v>
      </c>
      <c r="J1039" s="94" t="n">
        <v>-14.6</v>
      </c>
      <c r="K1039" s="95" t="inlineStr">
        <is>
          <t>2566 JIUYUAN GENE</t>
        </is>
      </c>
    </row>
    <row r="1040">
      <c r="A1040" s="16" t="inlineStr">
        <is>
          <t>Delta Capital Hong Kong</t>
        </is>
      </c>
      <c r="B1040" s="88" t="n">
        <v>1</v>
      </c>
      <c r="C1040" s="93" t="n">
        <v>0</v>
      </c>
      <c r="D1040" s="94" t="n">
        <v>-38.4</v>
      </c>
      <c r="E1040" s="94" t="n">
        <v>-35.4</v>
      </c>
      <c r="F1040" s="94" t="n">
        <v>-46.9</v>
      </c>
      <c r="G1040" s="94" t="n">
        <v>-47.4</v>
      </c>
      <c r="H1040" s="94" t="n">
        <v>5</v>
      </c>
      <c r="I1040" s="94" t="n">
        <v>-13.7</v>
      </c>
      <c r="J1040" s="94" t="n">
        <v>-14.6</v>
      </c>
      <c r="K1040" s="95" t="inlineStr">
        <is>
          <t>2566 JIUYUAN GENE</t>
        </is>
      </c>
    </row>
    <row r="1041">
      <c r="A1041" s="16" t="inlineStr">
        <is>
          <t>Offering WSH</t>
        </is>
      </c>
      <c r="B1041" s="88" t="n">
        <v>1</v>
      </c>
      <c r="C1041" s="93" t="n">
        <v>0</v>
      </c>
      <c r="D1041" s="94" t="n">
        <v>-38.6</v>
      </c>
      <c r="E1041" s="94" t="n">
        <v>-42.6</v>
      </c>
      <c r="F1041" s="94" t="n">
        <v>-49.5</v>
      </c>
      <c r="G1041" s="94" t="n">
        <v>-55.4</v>
      </c>
      <c r="H1041" s="94" t="n">
        <v>-6.5</v>
      </c>
      <c r="I1041" s="94" t="n">
        <v>-17.7</v>
      </c>
      <c r="J1041" s="94" t="n">
        <v>-27.3</v>
      </c>
      <c r="K1041" s="95" t="inlineStr">
        <is>
          <t>2592 CLOUDBREAK-B</t>
        </is>
      </c>
    </row>
    <row r="1042">
      <c r="A1042" s="16" t="inlineStr">
        <is>
          <t>AIRPORT TECHNOLOGY CAPITAL (HONG KONG) CO., LIMITED</t>
        </is>
      </c>
      <c r="B1042" s="88" t="n">
        <v>1</v>
      </c>
      <c r="C1042" s="93" t="n">
        <v>0</v>
      </c>
      <c r="D1042" s="94" t="n">
        <v>-39.1</v>
      </c>
      <c r="E1042" s="94" t="n">
        <v>-44.7</v>
      </c>
      <c r="F1042" s="94" t="n">
        <v>-49.1</v>
      </c>
      <c r="G1042" s="94" t="n"/>
      <c r="H1042" s="94" t="n">
        <v>-9.300000000000001</v>
      </c>
      <c r="I1042" s="94" t="n">
        <v>-16.4</v>
      </c>
      <c r="J1042" s="94" t="n"/>
      <c r="K1042" s="95" t="inlineStr">
        <is>
          <t>2667 TONGRENTANGCARE</t>
        </is>
      </c>
    </row>
    <row r="1043">
      <c r="A1043" s="16" t="inlineStr">
        <is>
          <t>Ms. Dou</t>
        </is>
      </c>
      <c r="B1043" s="88" t="n">
        <v>1</v>
      </c>
      <c r="C1043" s="93" t="n">
        <v>0</v>
      </c>
      <c r="D1043" s="94" t="n">
        <v>-39.2</v>
      </c>
      <c r="E1043" s="94" t="n">
        <v>-39.2</v>
      </c>
      <c r="F1043" s="94" t="n">
        <v>-50</v>
      </c>
      <c r="G1043" s="94" t="n">
        <v>-52.4</v>
      </c>
      <c r="H1043" s="94" t="n">
        <v>0</v>
      </c>
      <c r="I1043" s="94" t="n">
        <v>-17.8</v>
      </c>
      <c r="J1043" s="94" t="n">
        <v>-21.7</v>
      </c>
      <c r="K1043" s="95" t="inlineStr">
        <is>
          <t>2515 TJCD</t>
        </is>
      </c>
    </row>
    <row r="1044">
      <c r="A1044" s="16" t="inlineStr">
        <is>
          <t>Arda (HK) Investment Co., Limited</t>
        </is>
      </c>
      <c r="B1044" s="88" t="n">
        <v>1</v>
      </c>
      <c r="C1044" s="93" t="n">
        <v>0</v>
      </c>
      <c r="D1044" s="94" t="n">
        <v>-40</v>
      </c>
      <c r="E1044" s="94" t="n">
        <v>-25</v>
      </c>
      <c r="F1044" s="94" t="n">
        <v>-15</v>
      </c>
      <c r="G1044" s="94" t="n">
        <v>-31</v>
      </c>
      <c r="H1044" s="94" t="n">
        <v>25</v>
      </c>
      <c r="I1044" s="94" t="n">
        <v>41.7</v>
      </c>
      <c r="J1044" s="94" t="n">
        <v>15</v>
      </c>
      <c r="K1044" s="95" t="inlineStr">
        <is>
          <t>2457 BUYANG INTL</t>
        </is>
      </c>
    </row>
    <row r="1045">
      <c r="A1045" s="16" t="inlineStr">
        <is>
          <t>INFO EXPERT SERVICES LIMITED</t>
        </is>
      </c>
      <c r="B1045" s="88" t="n">
        <v>1</v>
      </c>
      <c r="C1045" s="93" t="n">
        <v>0</v>
      </c>
      <c r="D1045" s="94" t="n">
        <v>-42.9</v>
      </c>
      <c r="E1045" s="94" t="n">
        <v>-51.3</v>
      </c>
      <c r="F1045" s="94" t="n">
        <v>-66.40000000000001</v>
      </c>
      <c r="G1045" s="94" t="n">
        <v>-70.2</v>
      </c>
      <c r="H1045" s="94" t="n">
        <v>-14.7</v>
      </c>
      <c r="I1045" s="94" t="n">
        <v>-41.2</v>
      </c>
      <c r="J1045" s="94" t="n">
        <v>-47.8</v>
      </c>
      <c r="K1045" s="95" t="inlineStr">
        <is>
          <t>9686 NEUSOFT XIKANG</t>
        </is>
      </c>
    </row>
    <row r="1046">
      <c r="A1046" s="16" t="inlineStr">
        <is>
          <t>Anhui Shengchang</t>
        </is>
      </c>
      <c r="B1046" s="88" t="n">
        <v>1</v>
      </c>
      <c r="C1046" s="93" t="n">
        <v>0</v>
      </c>
      <c r="D1046" s="94" t="n">
        <v>-47.7</v>
      </c>
      <c r="E1046" s="94" t="n">
        <v>-51.7</v>
      </c>
      <c r="F1046" s="94" t="n">
        <v>-54.7</v>
      </c>
      <c r="G1046" s="94" t="n">
        <v>-41.3</v>
      </c>
      <c r="H1046" s="94" t="n">
        <v>-7.6</v>
      </c>
      <c r="I1046" s="94" t="n">
        <v>-13.4</v>
      </c>
      <c r="J1046" s="94" t="n">
        <v>12.1</v>
      </c>
      <c r="K1046" s="95" t="inlineStr">
        <is>
          <t>2560 CONCH MAT TECH</t>
        </is>
      </c>
    </row>
    <row r="1047">
      <c r="A1047" s="16" t="inlineStr">
        <is>
          <t>Wuhu Artec</t>
        </is>
      </c>
      <c r="B1047" s="88" t="n">
        <v>1</v>
      </c>
      <c r="C1047" s="93" t="n">
        <v>0</v>
      </c>
      <c r="D1047" s="94" t="n">
        <v>-47.7</v>
      </c>
      <c r="E1047" s="94" t="n">
        <v>-51.7</v>
      </c>
      <c r="F1047" s="94" t="n">
        <v>-54.7</v>
      </c>
      <c r="G1047" s="94" t="n">
        <v>-41.3</v>
      </c>
      <c r="H1047" s="94" t="n">
        <v>-7.6</v>
      </c>
      <c r="I1047" s="94" t="n">
        <v>-13.4</v>
      </c>
      <c r="J1047" s="94" t="n">
        <v>12.1</v>
      </c>
      <c r="K1047" s="95" t="inlineStr">
        <is>
          <t>2560 CONCH MAT TECH</t>
        </is>
      </c>
    </row>
    <row r="1048">
      <c r="A1048" s="16" t="inlineStr">
        <is>
          <t>Guangdong Zongxing</t>
        </is>
      </c>
      <c r="B1048" s="88" t="n">
        <v>1</v>
      </c>
      <c r="C1048" s="93" t="n">
        <v>0</v>
      </c>
      <c r="D1048" s="94" t="n">
        <v>-47.7</v>
      </c>
      <c r="E1048" s="94" t="n">
        <v>-51.7</v>
      </c>
      <c r="F1048" s="94" t="n">
        <v>-54.7</v>
      </c>
      <c r="G1048" s="94" t="n">
        <v>-41.3</v>
      </c>
      <c r="H1048" s="94" t="n">
        <v>-7.6</v>
      </c>
      <c r="I1048" s="94" t="n">
        <v>-13.4</v>
      </c>
      <c r="J1048" s="94" t="n">
        <v>12.1</v>
      </c>
      <c r="K1048" s="95" t="inlineStr">
        <is>
          <t>2560 CONCH MAT TECH</t>
        </is>
      </c>
    </row>
    <row r="1049">
      <c r="A1049" s="16" t="inlineStr">
        <is>
          <t>Shenzhen Gaodeng</t>
        </is>
      </c>
      <c r="B1049" s="88" t="n">
        <v>1</v>
      </c>
      <c r="C1049" s="93" t="n">
        <v>0</v>
      </c>
      <c r="D1049" s="94" t="n">
        <v>-47.7</v>
      </c>
      <c r="E1049" s="94" t="n">
        <v>-51.7</v>
      </c>
      <c r="F1049" s="94" t="n">
        <v>-54.7</v>
      </c>
      <c r="G1049" s="94" t="n">
        <v>-41.3</v>
      </c>
      <c r="H1049" s="94" t="n">
        <v>-7.6</v>
      </c>
      <c r="I1049" s="94" t="n">
        <v>-13.4</v>
      </c>
      <c r="J1049" s="94" t="n">
        <v>12.1</v>
      </c>
      <c r="K1049" s="95" t="inlineStr">
        <is>
          <t>2560 CONCH MAT TECH</t>
        </is>
      </c>
    </row>
    <row r="1050">
      <c r="A1050" s="16" t="inlineStr">
        <is>
          <t>Jiantou International (Hong Kong) Co., Limited</t>
        </is>
      </c>
      <c r="B1050" s="88" t="n">
        <v>1</v>
      </c>
      <c r="C1050" s="93" t="n">
        <v>0</v>
      </c>
      <c r="D1050" s="94" t="n">
        <v>-49.2</v>
      </c>
      <c r="E1050" s="94" t="n">
        <v>-53.2</v>
      </c>
      <c r="F1050" s="94" t="n">
        <v>-62.3</v>
      </c>
      <c r="G1050" s="94" t="n">
        <v>-74.8</v>
      </c>
      <c r="H1050" s="94" t="n">
        <v>-7.9</v>
      </c>
      <c r="I1050" s="94" t="n">
        <v>-25.8</v>
      </c>
      <c r="J1050" s="94" t="n">
        <v>-50.5</v>
      </c>
      <c r="K1050" s="95" t="inlineStr">
        <is>
          <t>0664 TONGSHIFU</t>
        </is>
      </c>
    </row>
    <row r="1051">
      <c r="A1051" s="16" t="inlineStr">
        <is>
          <t>Heron Neutron Medical</t>
        </is>
      </c>
      <c r="B1051" s="88" t="n">
        <v>1</v>
      </c>
      <c r="C1051" s="93" t="n">
        <v>0</v>
      </c>
      <c r="D1051" s="94" t="n">
        <v>-49.5</v>
      </c>
      <c r="E1051" s="94" t="n">
        <v>-56</v>
      </c>
      <c r="F1051" s="94" t="n">
        <v>-56.2</v>
      </c>
      <c r="G1051" s="94" t="n">
        <v>-63.1</v>
      </c>
      <c r="H1051" s="94" t="n">
        <v>-12.9</v>
      </c>
      <c r="I1051" s="94" t="n">
        <v>-13.4</v>
      </c>
      <c r="J1051" s="94" t="n">
        <v>-26.9</v>
      </c>
      <c r="K1051" s="95" t="inlineStr">
        <is>
          <t>2581 BENQ HOLDING</t>
        </is>
      </c>
    </row>
    <row r="1052">
      <c r="A1052" s="16" t="inlineStr">
        <is>
          <t>Cowealth (China)</t>
        </is>
      </c>
      <c r="B1052" s="88" t="n">
        <v>1</v>
      </c>
      <c r="C1052" s="93" t="n">
        <v>0</v>
      </c>
      <c r="D1052" s="94" t="n">
        <v>-49.5</v>
      </c>
      <c r="E1052" s="94" t="n">
        <v>-56</v>
      </c>
      <c r="F1052" s="94" t="n">
        <v>-56.2</v>
      </c>
      <c r="G1052" s="94" t="n">
        <v>-63.1</v>
      </c>
      <c r="H1052" s="94" t="n">
        <v>-12.9</v>
      </c>
      <c r="I1052" s="94" t="n">
        <v>-13.4</v>
      </c>
      <c r="J1052" s="94" t="n">
        <v>-26.9</v>
      </c>
      <c r="K1052" s="95" t="inlineStr">
        <is>
          <t>2581 BENQ HOLDING</t>
        </is>
      </c>
    </row>
    <row r="1053">
      <c r="A1053" s="16" t="inlineStr">
        <is>
          <t>DFI Development Holdings Limited</t>
        </is>
      </c>
      <c r="B1053" s="88" t="n">
        <v>1</v>
      </c>
      <c r="C1053" s="93" t="n">
        <v>0</v>
      </c>
      <c r="D1053" s="94" t="n">
        <v>-54.3</v>
      </c>
      <c r="E1053" s="94" t="n">
        <v>-79.2</v>
      </c>
      <c r="F1053" s="94" t="n">
        <v>-80.2</v>
      </c>
      <c r="G1053" s="94" t="n">
        <v>-57</v>
      </c>
      <c r="H1053" s="94" t="n">
        <v>-54.4</v>
      </c>
      <c r="I1053" s="94" t="n">
        <v>-56.6</v>
      </c>
      <c r="J1053" s="94" t="n">
        <v>-5.8</v>
      </c>
      <c r="K1053" s="95" t="inlineStr">
        <is>
          <t>2586 DMALL</t>
        </is>
      </c>
    </row>
    <row r="1054">
      <c r="A1054" s="16" t="inlineStr">
        <is>
          <t>CAPRET (SG) PTE. LTD</t>
        </is>
      </c>
      <c r="B1054" s="88" t="n">
        <v>1</v>
      </c>
      <c r="C1054" s="93" t="n">
        <v>0</v>
      </c>
      <c r="D1054" s="94" t="n">
        <v>-54.3</v>
      </c>
      <c r="E1054" s="94" t="n">
        <v>-79.2</v>
      </c>
      <c r="F1054" s="94" t="n">
        <v>-80.2</v>
      </c>
      <c r="G1054" s="94" t="n">
        <v>-57</v>
      </c>
      <c r="H1054" s="94" t="n">
        <v>-54.4</v>
      </c>
      <c r="I1054" s="94" t="n">
        <v>-56.6</v>
      </c>
      <c r="J1054" s="94" t="n">
        <v>-5.8</v>
      </c>
      <c r="K1054" s="95" t="inlineStr">
        <is>
          <t>2586 DMALL</t>
        </is>
      </c>
    </row>
    <row r="1055">
      <c r="A1055" s="16" t="inlineStr">
        <is>
          <t>Odor Nice Limited</t>
        </is>
      </c>
      <c r="B1055" s="88" t="n">
        <v>1</v>
      </c>
      <c r="C1055" s="93" t="n">
        <v>0</v>
      </c>
      <c r="D1055" s="94" t="n">
        <v>-54.3</v>
      </c>
      <c r="E1055" s="94" t="n">
        <v>-79.2</v>
      </c>
      <c r="F1055" s="94" t="n">
        <v>-80.2</v>
      </c>
      <c r="G1055" s="94" t="n">
        <v>-57</v>
      </c>
      <c r="H1055" s="94" t="n">
        <v>-54.4</v>
      </c>
      <c r="I1055" s="94" t="n">
        <v>-56.6</v>
      </c>
      <c r="J1055" s="94" t="n">
        <v>-5.8</v>
      </c>
      <c r="K1055" s="95" t="inlineStr">
        <is>
          <t>2586 DMALL</t>
        </is>
      </c>
    </row>
    <row r="1056">
      <c r="A1056" s="16" t="inlineStr">
        <is>
          <t>Woseon Limited Partnership</t>
        </is>
      </c>
      <c r="B1056" s="88" t="n">
        <v>1</v>
      </c>
      <c r="C1056" s="93" t="n">
        <v>0</v>
      </c>
      <c r="D1056" s="94" t="n">
        <v>-56.7</v>
      </c>
      <c r="E1056" s="94" t="n">
        <v>-56.7</v>
      </c>
      <c r="F1056" s="94" t="n">
        <v>-62.5</v>
      </c>
      <c r="G1056" s="94" t="n">
        <v>-75.3</v>
      </c>
      <c r="H1056" s="94" t="n">
        <v>0</v>
      </c>
      <c r="I1056" s="94" t="n">
        <v>-13.4</v>
      </c>
      <c r="J1056" s="94" t="n">
        <v>-42.9</v>
      </c>
      <c r="K1056" s="95" t="inlineStr">
        <is>
          <t>2567 QINIU</t>
        </is>
      </c>
    </row>
    <row r="1057">
      <c r="A1057" s="16" t="inlineStr">
        <is>
          <t>Key Broad Future Limited</t>
        </is>
      </c>
      <c r="B1057" s="88" t="n">
        <v>1</v>
      </c>
      <c r="C1057" s="93" t="n">
        <v>0</v>
      </c>
      <c r="D1057" s="94" t="n">
        <v>-56.9</v>
      </c>
      <c r="E1057" s="94" t="n">
        <v>-56.1</v>
      </c>
      <c r="F1057" s="94" t="n">
        <v>-42.5</v>
      </c>
      <c r="G1057" s="94" t="n"/>
      <c r="H1057" s="94" t="n">
        <v>1.7</v>
      </c>
      <c r="I1057" s="94" t="n">
        <v>33.3</v>
      </c>
      <c r="J1057" s="94" t="n"/>
      <c r="K1057" s="95" t="inlineStr">
        <is>
          <t>6132 HJ SCIENCE-B</t>
        </is>
      </c>
    </row>
  </sheetData>
  <autoFilter ref="A4:K1057"/>
  <conditionalFormatting sqref="D5:D1057">
    <cfRule type="colorScale" priority="1">
      <colorScale>
        <cfvo type="num" val="-40"/>
        <cfvo type="num" val="0"/>
        <cfvo type="num" val="60"/>
        <color rgb="00F8696B"/>
        <color rgb="00FFFFFF"/>
        <color rgb="0063BE7B"/>
      </colorScale>
    </cfRule>
  </conditionalFormatting>
  <conditionalFormatting sqref="E5:E1057">
    <cfRule type="colorScale" priority="2">
      <colorScale>
        <cfvo type="num" val="-40"/>
        <cfvo type="num" val="0"/>
        <cfvo type="num" val="60"/>
        <color rgb="00F8696B"/>
        <color rgb="00FFFFFF"/>
        <color rgb="0063BE7B"/>
      </colorScale>
    </cfRule>
  </conditionalFormatting>
  <conditionalFormatting sqref="F5:F1057">
    <cfRule type="colorScale" priority="3">
      <colorScale>
        <cfvo type="num" val="-40"/>
        <cfvo type="num" val="0"/>
        <cfvo type="num" val="60"/>
        <color rgb="00F8696B"/>
        <color rgb="00FFFFFF"/>
        <color rgb="0063BE7B"/>
      </colorScale>
    </cfRule>
  </conditionalFormatting>
  <conditionalFormatting sqref="G5:G1057">
    <cfRule type="colorScale" priority="4">
      <colorScale>
        <cfvo type="num" val="-40"/>
        <cfvo type="num" val="0"/>
        <cfvo type="num" val="60"/>
        <color rgb="00F8696B"/>
        <color rgb="00FFFFFF"/>
        <color rgb="0063BE7B"/>
      </colorScale>
    </cfRule>
  </conditionalFormatting>
  <conditionalFormatting sqref="H5:H1057">
    <cfRule type="colorScale" priority="5">
      <colorScale>
        <cfvo type="num" val="-40"/>
        <cfvo type="num" val="0"/>
        <cfvo type="num" val="60"/>
        <color rgb="00F8696B"/>
        <color rgb="00FFFFFF"/>
        <color rgb="0063BE7B"/>
      </colorScale>
    </cfRule>
  </conditionalFormatting>
  <conditionalFormatting sqref="I5:I1057">
    <cfRule type="colorScale" priority="6">
      <colorScale>
        <cfvo type="num" val="-40"/>
        <cfvo type="num" val="0"/>
        <cfvo type="num" val="60"/>
        <color rgb="00F8696B"/>
        <color rgb="00FFFFFF"/>
        <color rgb="0063BE7B"/>
      </colorScale>
    </cfRule>
  </conditionalFormatting>
  <conditionalFormatting sqref="J5:J1057">
    <cfRule type="colorScale" priority="7">
      <colorScale>
        <cfvo type="num" val="-40"/>
        <cfvo type="num" val="0"/>
        <cfvo type="num" val="60"/>
        <color rgb="00F8696B"/>
        <color rgb="00FFFFFF"/>
        <color rgb="0063BE7B"/>
      </colorScale>
    </cfRule>
  </conditionalFormatting>
  <pageMargins left="0.75" right="0.75" top="1" bottom="1" header="0.5" footer="0.5"/>
</worksheet>
</file>

<file path=xl/worksheets/sheet6.xml><?xml version="1.0" encoding="utf-8"?>
<worksheet xmlns="http://schemas.openxmlformats.org/spreadsheetml/2006/main">
  <sheetPr>
    <tabColor rgb="00BFBFBF"/>
    <outlinePr summaryBelow="1" summaryRight="1"/>
    <pageSetUpPr/>
  </sheetPr>
  <dimension ref="A1:H156"/>
  <sheetViews>
    <sheetView workbookViewId="0">
      <pane ySplit="4" topLeftCell="A5" activePane="bottomLeft" state="frozen"/>
      <selection pane="bottomLeft" activeCell="A1" sqref="A1"/>
    </sheetView>
  </sheetViews>
  <sheetFormatPr baseColWidth="8" defaultRowHeight="15"/>
  <cols>
    <col width="8" customWidth="1" min="1" max="1"/>
    <col width="24" customWidth="1" min="2" max="2"/>
    <col width="15" customWidth="1" min="3" max="3"/>
    <col width="15" customWidth="1" min="4" max="4"/>
    <col width="17" customWidth="1" min="5" max="5"/>
    <col width="17" customWidth="1" min="6" max="6"/>
    <col width="26" customWidth="1" min="7" max="7"/>
    <col width="78" customWidth="1" min="8" max="8"/>
  </cols>
  <sheetData>
    <row r="1">
      <c r="A1" s="1" t="inlineStr">
        <is>
          <t>VERIFY ON THE TERMINAL — every value the v20/v21 audits changed</t>
        </is>
      </c>
    </row>
    <row r="2">
      <c r="A2" s="2" t="inlineStr">
        <is>
          <t>Open on Bloomberg and let the BDP/BDH columns resolve. VERDICT says MATCH when Bloomberg agrees, CHECK when it does not — with both numbers side by side. Off-terminal every Bloomberg cell reads 'run on terminal', never an error. Grey rows = mnemonic still AWAITING first-use verification.</t>
        </is>
      </c>
    </row>
    <row r="3"/>
    <row r="4">
      <c r="A4" s="14" t="inlineStr">
        <is>
          <t>A · LISTING DATE + DAY-1 CLOSE  (90 deals — the stored date was the allotment-announcement day, usually a Saturday)</t>
        </is>
      </c>
    </row>
    <row r="5">
      <c r="A5" s="12" t="inlineStr">
        <is>
          <t>Code</t>
        </is>
      </c>
      <c r="B5" s="12" t="inlineStr">
        <is>
          <t>Name</t>
        </is>
      </c>
      <c r="C5" s="12" t="inlineStr">
        <is>
          <t>Our listing date</t>
        </is>
      </c>
      <c r="D5" s="12" t="inlineStr">
        <is>
          <t>Our day-1 close</t>
        </is>
      </c>
      <c r="E5" s="12" t="inlineStr">
        <is>
          <t>Our day-1 %</t>
        </is>
      </c>
      <c r="F5" s="12" t="inlineStr">
        <is>
          <t>BBG close that day</t>
        </is>
      </c>
      <c r="G5" s="12" t="inlineStr">
        <is>
          <t>VERDICT</t>
        </is>
      </c>
      <c r="H5" s="12" t="inlineStr">
        <is>
          <t>What we relied on</t>
        </is>
      </c>
    </row>
    <row r="6">
      <c r="A6" s="90" t="inlineStr">
        <is>
          <t>9608</t>
        </is>
      </c>
      <c r="B6" s="16" t="inlineStr">
        <is>
          <t>SUNDY SERVICE</t>
        </is>
      </c>
      <c r="C6" s="96" t="inlineStr">
        <is>
          <t>2021-01-18</t>
        </is>
      </c>
      <c r="D6" s="97" t="n">
        <v>0.16</v>
      </c>
      <c r="E6" s="94" t="n">
        <v>-36</v>
      </c>
      <c r="F6" s="39">
        <f>IFERROR(BDH(TEXT($A6,"0000")&amp;" HK Equity","PX_LAST",$C6,$C6),"run on terminal")</f>
        <v/>
      </c>
      <c r="G6" s="10">
        <f>IF(NOT(ISNUMBER($F6)),"run on terminal",IF(ABS($F6/$D6-1)&lt;0.005,"MATCH","CHECK — BBG "&amp;TEXT($F6,"0.000")))</f>
        <v/>
      </c>
      <c r="H6" s="95" t="inlineStr">
        <is>
          <t>AAStocks listing date (was 2021-01-16); close from the local kline session list</t>
        </is>
      </c>
    </row>
    <row r="7">
      <c r="A7" s="90" t="inlineStr">
        <is>
          <t>2170</t>
        </is>
      </c>
      <c r="B7" s="16" t="inlineStr">
        <is>
          <t>BASECARE-B</t>
        </is>
      </c>
      <c r="C7" s="96" t="inlineStr">
        <is>
          <t>2021-02-08</t>
        </is>
      </c>
      <c r="D7" s="97" t="n">
        <v>27.699</v>
      </c>
      <c r="E7" s="94" t="n">
        <v>1.24</v>
      </c>
      <c r="F7" s="39">
        <f>IFERROR(BDH(TEXT($A7,"0000")&amp;" HK Equity","PX_LAST",$C7,$C7),"run on terminal")</f>
        <v/>
      </c>
      <c r="G7" s="10">
        <f>IF(NOT(ISNUMBER($F7)),"run on terminal",IF(ABS($F7/$D7-1)&lt;0.005,"MATCH","CHECK — BBG "&amp;TEXT($F7,"0.000")))</f>
        <v/>
      </c>
      <c r="H7" s="95" t="inlineStr">
        <is>
          <t>AAStocks listing date (was 2021-02-06); close from the local kline session list</t>
        </is>
      </c>
    </row>
    <row r="8">
      <c r="A8" s="90" t="inlineStr">
        <is>
          <t>2518</t>
        </is>
      </c>
      <c r="B8" s="16" t="inlineStr">
        <is>
          <t>AUTOHOME-S</t>
        </is>
      </c>
      <c r="C8" s="96" t="inlineStr">
        <is>
          <t>2021-03-15</t>
        </is>
      </c>
      <c r="D8" s="97" t="n">
        <v>180.002</v>
      </c>
      <c r="E8" s="94" t="n">
        <v>2.1</v>
      </c>
      <c r="F8" s="39">
        <f>IFERROR(BDH(TEXT($A8,"0000")&amp;" HK Equity","PX_LAST",$C8,$C8),"run on terminal")</f>
        <v/>
      </c>
      <c r="G8" s="10">
        <f>IF(NOT(ISNUMBER($F8)),"run on terminal",IF(ABS($F8/$D8-1)&lt;0.005,"MATCH","CHECK — BBG "&amp;TEXT($F8,"0.000")))</f>
        <v/>
      </c>
      <c r="H8" s="95" t="inlineStr">
        <is>
          <t>AAStocks listing date (was 2021-03-13); close from the local kline session list</t>
        </is>
      </c>
    </row>
    <row r="9">
      <c r="A9" s="90" t="inlineStr">
        <is>
          <t>9626</t>
        </is>
      </c>
      <c r="B9" s="16" t="inlineStr">
        <is>
          <t>BILIBILI-SW</t>
        </is>
      </c>
      <c r="C9" s="96" t="inlineStr">
        <is>
          <t>2021-03-29</t>
        </is>
      </c>
      <c r="D9" s="97" t="n">
        <v>800.001</v>
      </c>
      <c r="E9" s="94" t="n">
        <v>-0.99</v>
      </c>
      <c r="F9" s="39">
        <f>IFERROR(BDH(TEXT($A9,"0000")&amp;" HK Equity","PX_LAST",$C9,$C9),"run on terminal")</f>
        <v/>
      </c>
      <c r="G9" s="10">
        <f>IF(NOT(ISNUMBER($F9)),"run on terminal",IF(ABS($F9/$D9-1)&lt;0.005,"MATCH","CHECK — BBG "&amp;TEXT($F9,"0.000")))</f>
        <v/>
      </c>
      <c r="H9" s="95" t="inlineStr">
        <is>
          <t>AAStocks listing date (was 2021-03-27); close from the local kline session list</t>
        </is>
      </c>
    </row>
    <row r="10">
      <c r="A10" s="90" t="inlineStr">
        <is>
          <t>9961</t>
        </is>
      </c>
      <c r="B10" s="16" t="inlineStr">
        <is>
          <t>TRIP.COM-S</t>
        </is>
      </c>
      <c r="C10" s="96" t="inlineStr">
        <is>
          <t>2021-04-19</t>
        </is>
      </c>
      <c r="D10" s="97" t="n">
        <v>280.194</v>
      </c>
      <c r="E10" s="94" t="n">
        <v>4.55</v>
      </c>
      <c r="F10" s="39">
        <f>IFERROR(BDH(TEXT($A10,"0000")&amp;" HK Equity","PX_LAST",$C10,$C10),"run on terminal")</f>
        <v/>
      </c>
      <c r="G10" s="10">
        <f>IF(NOT(ISNUMBER($F10)),"run on terminal",IF(ABS($F10/$D10-1)&lt;0.005,"MATCH","CHECK — BBG "&amp;TEXT($F10,"0.000")))</f>
        <v/>
      </c>
      <c r="H10" s="95" t="inlineStr">
        <is>
          <t>AAStocks listing date (was 2021-04-17); close from the local kline session list</t>
        </is>
      </c>
    </row>
    <row r="11">
      <c r="A11" s="90" t="inlineStr">
        <is>
          <t>2191</t>
        </is>
      </c>
      <c r="B11" s="16" t="inlineStr">
        <is>
          <t>SF REIT</t>
        </is>
      </c>
      <c r="C11" s="96" t="inlineStr">
        <is>
          <t>2021-05-17</t>
        </is>
      </c>
      <c r="D11" s="97" t="n">
        <v>4.16</v>
      </c>
      <c r="E11" s="94" t="n">
        <v>-16.47</v>
      </c>
      <c r="F11" s="39">
        <f>IFERROR(BDH(TEXT($A11,"0000")&amp;" HK Equity","PX_LAST",$C11,$C11),"run on terminal")</f>
        <v/>
      </c>
      <c r="G11" s="10">
        <f>IF(NOT(ISNUMBER($F11)),"run on terminal",IF(ABS($F11/$D11-1)&lt;0.005,"MATCH","CHECK — BBG "&amp;TEXT($F11,"0.000")))</f>
        <v/>
      </c>
      <c r="H11" s="95" t="inlineStr">
        <is>
          <t>AAStocks listing date (was 2021-05-15); close from the local kline session list</t>
        </is>
      </c>
    </row>
    <row r="12">
      <c r="A12" s="90" t="inlineStr">
        <is>
          <t>9982</t>
        </is>
      </c>
      <c r="B12" s="16" t="inlineStr">
        <is>
          <t>CENTRALCHINA MT</t>
        </is>
      </c>
      <c r="C12" s="96" t="inlineStr">
        <is>
          <t>2021-05-31</t>
        </is>
      </c>
      <c r="D12" s="97" t="n">
        <v>2.64</v>
      </c>
      <c r="E12" s="94" t="n">
        <v>-12</v>
      </c>
      <c r="F12" s="39">
        <f>IFERROR(BDH(TEXT($A12,"0000")&amp;" HK Equity","PX_LAST",$C12,$C12),"run on terminal")</f>
        <v/>
      </c>
      <c r="G12" s="10">
        <f>IF(NOT(ISNUMBER($F12)),"run on terminal",IF(ABS($F12/$D12-1)&lt;0.005,"MATCH","CHECK — BBG "&amp;TEXT($F12,"0.000")))</f>
        <v/>
      </c>
      <c r="H12" s="95" t="inlineStr">
        <is>
          <t>AAStocks listing date (was 2021-05-29); close from the local kline session list</t>
        </is>
      </c>
    </row>
    <row r="13">
      <c r="A13" s="90" t="inlineStr">
        <is>
          <t>2155</t>
        </is>
      </c>
      <c r="B13" s="16" t="inlineStr">
        <is>
          <t>MORIMATSU INTL</t>
        </is>
      </c>
      <c r="C13" s="96" t="inlineStr">
        <is>
          <t>2021-06-28</t>
        </is>
      </c>
      <c r="D13" s="97" t="n">
        <v>8.9</v>
      </c>
      <c r="E13" s="94" t="n">
        <v>258.87</v>
      </c>
      <c r="F13" s="39">
        <f>IFERROR(BDH(TEXT($A13,"0000")&amp;" HK Equity","PX_LAST",$C13,$C13),"run on terminal")</f>
        <v/>
      </c>
      <c r="G13" s="10">
        <f>IF(NOT(ISNUMBER($F13)),"run on terminal",IF(ABS($F13/$D13-1)&lt;0.005,"MATCH","CHECK — BBG "&amp;TEXT($F13,"0.000")))</f>
        <v/>
      </c>
      <c r="H13" s="95" t="inlineStr">
        <is>
          <t>AAStocks listing date (was 2021-06-26); close from the local kline session list</t>
        </is>
      </c>
    </row>
    <row r="14">
      <c r="A14" s="90" t="inlineStr">
        <is>
          <t>6626</t>
        </is>
      </c>
      <c r="B14" s="16" t="inlineStr">
        <is>
          <t>YUEXIU SERVICES</t>
        </is>
      </c>
      <c r="C14" s="96" t="inlineStr">
        <is>
          <t>2021-06-28</t>
        </is>
      </c>
      <c r="D14" s="97" t="n">
        <v>4.88</v>
      </c>
      <c r="E14" s="94" t="n">
        <v>0</v>
      </c>
      <c r="F14" s="39">
        <f>IFERROR(BDH(TEXT($A14,"0000")&amp;" HK Equity","PX_LAST",$C14,$C14),"run on terminal")</f>
        <v/>
      </c>
      <c r="G14" s="10">
        <f>IF(NOT(ISNUMBER($F14)),"run on terminal",IF(ABS($F14/$D14-1)&lt;0.005,"MATCH","CHECK — BBG "&amp;TEXT($F14,"0.000")))</f>
        <v/>
      </c>
      <c r="H14" s="95" t="inlineStr">
        <is>
          <t>AAStocks listing date (was 2021-06-26); close from the local kline session list</t>
        </is>
      </c>
    </row>
    <row r="15">
      <c r="A15" s="90" t="inlineStr">
        <is>
          <t>0606</t>
        </is>
      </c>
      <c r="B15" s="16" t="inlineStr">
        <is>
          <t>SCE CM</t>
        </is>
      </c>
      <c r="C15" s="96" t="inlineStr">
        <is>
          <t>2021-07-02</t>
        </is>
      </c>
      <c r="D15" s="97" t="n">
        <v>4</v>
      </c>
      <c r="E15" s="94" t="n">
        <v>8.109999999999999</v>
      </c>
      <c r="F15" s="39">
        <f>IFERROR(BDH(TEXT($A15,"0000")&amp;" HK Equity","PX_LAST",$C15,$C15),"run on terminal")</f>
        <v/>
      </c>
      <c r="G15" s="10">
        <f>IF(NOT(ISNUMBER($F15)),"run on terminal",IF(ABS($F15/$D15-1)&lt;0.005,"MATCH","CHECK — BBG "&amp;TEXT($F15,"0.000")))</f>
        <v/>
      </c>
      <c r="H15" s="95" t="inlineStr">
        <is>
          <t>AAStocks listing date (was 2021-07-01); close from the local kline session list</t>
        </is>
      </c>
    </row>
    <row r="16">
      <c r="A16" s="90" t="inlineStr">
        <is>
          <t>2190</t>
        </is>
      </c>
      <c r="B16" s="16" t="inlineStr">
        <is>
          <t>ZYLOXTB-B</t>
        </is>
      </c>
      <c r="C16" s="96" t="inlineStr">
        <is>
          <t>2021-07-05</t>
        </is>
      </c>
      <c r="D16" s="97" t="n">
        <v>60.002</v>
      </c>
      <c r="E16" s="94" t="n">
        <v>40.52</v>
      </c>
      <c r="F16" s="39">
        <f>IFERROR(BDH(TEXT($A16,"0000")&amp;" HK Equity","PX_LAST",$C16,$C16),"run on terminal")</f>
        <v/>
      </c>
      <c r="G16" s="10">
        <f>IF(NOT(ISNUMBER($F16)),"run on terminal",IF(ABS($F16/$D16-1)&lt;0.005,"MATCH","CHECK — BBG "&amp;TEXT($F16,"0.000")))</f>
        <v/>
      </c>
      <c r="H16" s="95" t="inlineStr">
        <is>
          <t>AAStocks listing date (was 2021-07-03); close from the local kline session list</t>
        </is>
      </c>
    </row>
    <row r="17">
      <c r="A17" s="90" t="inlineStr">
        <is>
          <t>2165</t>
        </is>
      </c>
      <c r="B17" s="16" t="inlineStr">
        <is>
          <t>LING YUE SER GP</t>
        </is>
      </c>
      <c r="C17" s="96" t="inlineStr">
        <is>
          <t>2021-07-12</t>
        </is>
      </c>
      <c r="D17" s="97" t="n">
        <v>4.19</v>
      </c>
      <c r="E17" s="94" t="n">
        <v>0</v>
      </c>
      <c r="F17" s="39">
        <f>IFERROR(BDH(TEXT($A17,"0000")&amp;" HK Equity","PX_LAST",$C17,$C17),"run on terminal")</f>
        <v/>
      </c>
      <c r="G17" s="10">
        <f>IF(NOT(ISNUMBER($F17)),"run on terminal",IF(ABS($F17/$D17-1)&lt;0.005,"MATCH","CHECK — BBG "&amp;TEXT($F17,"0.000")))</f>
        <v/>
      </c>
      <c r="H17" s="95" t="inlineStr">
        <is>
          <t>AAStocks listing date (was 2021-07-10); close from the local kline session list</t>
        </is>
      </c>
    </row>
    <row r="18">
      <c r="A18" s="90" t="inlineStr">
        <is>
          <t>2177</t>
        </is>
      </c>
      <c r="B18" s="16" t="inlineStr">
        <is>
          <t>UNQ HOLDINGS</t>
        </is>
      </c>
      <c r="C18" s="96" t="inlineStr">
        <is>
          <t>2021-07-12</t>
        </is>
      </c>
      <c r="D18" s="97" t="n">
        <v>9.039999999999999</v>
      </c>
      <c r="E18" s="94" t="n">
        <v>-23.78</v>
      </c>
      <c r="F18" s="39">
        <f>IFERROR(BDH(TEXT($A18,"0000")&amp;" HK Equity","PX_LAST",$C18,$C18),"run on terminal")</f>
        <v/>
      </c>
      <c r="G18" s="10">
        <f>IF(NOT(ISNUMBER($F18)),"run on terminal",IF(ABS($F18/$D18-1)&lt;0.005,"MATCH","CHECK — BBG "&amp;TEXT($F18,"0.000")))</f>
        <v/>
      </c>
      <c r="H18" s="95" t="inlineStr">
        <is>
          <t>AAStocks listing date (was 2021-07-10); close from the local kline session list</t>
        </is>
      </c>
    </row>
    <row r="19">
      <c r="A19" s="90" t="inlineStr">
        <is>
          <t>6611</t>
        </is>
      </c>
      <c r="B19" s="16" t="inlineStr">
        <is>
          <t>SANXUN GROUP</t>
        </is>
      </c>
      <c r="C19" s="96" t="inlineStr">
        <is>
          <t>2021-07-19</t>
        </is>
      </c>
      <c r="D19" s="97" t="n">
        <v>4.75</v>
      </c>
      <c r="E19" s="94" t="n">
        <v>0</v>
      </c>
      <c r="F19" s="39">
        <f>IFERROR(BDH(TEXT($A19,"0000")&amp;" HK Equity","PX_LAST",$C19,$C19),"run on terminal")</f>
        <v/>
      </c>
      <c r="G19" s="10">
        <f>IF(NOT(ISNUMBER($F19)),"run on terminal",IF(ABS($F19/$D19-1)&lt;0.005,"MATCH","CHECK — BBG "&amp;TEXT($F19,"0.000")))</f>
        <v/>
      </c>
      <c r="H19" s="95" t="inlineStr">
        <is>
          <t>AAStocks listing date (was 2021-07-17); close from the local kline session list</t>
        </is>
      </c>
    </row>
    <row r="20">
      <c r="A20" s="90" t="inlineStr">
        <is>
          <t>2378</t>
        </is>
      </c>
      <c r="B20" s="16" t="inlineStr">
        <is>
          <t>PRU</t>
        </is>
      </c>
      <c r="C20" s="96" t="inlineStr">
        <is>
          <t>2021-10-04</t>
        </is>
      </c>
      <c r="D20" s="97" t="n">
        <v>150.602</v>
      </c>
      <c r="E20" s="94" t="n">
        <v>4.73</v>
      </c>
      <c r="F20" s="39">
        <f>IFERROR(BDH(TEXT($A20,"0000")&amp;" HK Equity","PX_LAST",$C20,$C20),"run on terminal")</f>
        <v/>
      </c>
      <c r="G20" s="10">
        <f>IF(NOT(ISNUMBER($F20)),"run on terminal",IF(ABS($F20/$D20-1)&lt;0.005,"MATCH","CHECK — BBG "&amp;TEXT($F20,"0.000")))</f>
        <v/>
      </c>
      <c r="H20" s="95" t="inlineStr">
        <is>
          <t>AAStocks listing date (was 2021-10-01); close from the local kline session list</t>
        </is>
      </c>
    </row>
    <row r="21">
      <c r="A21" s="90" t="inlineStr">
        <is>
          <t>1948</t>
        </is>
      </c>
      <c r="B21" s="16" t="inlineStr">
        <is>
          <t>UJU HOLDING</t>
        </is>
      </c>
      <c r="C21" s="96" t="inlineStr">
        <is>
          <t>2021-11-08</t>
        </is>
      </c>
      <c r="D21" s="97" t="n">
        <v>6.4</v>
      </c>
      <c r="E21" s="94" t="n">
        <v>-4.48</v>
      </c>
      <c r="F21" s="39">
        <f>IFERROR(BDH(TEXT($A21,"0000")&amp;" HK Equity","PX_LAST",$C21,$C21),"run on terminal")</f>
        <v/>
      </c>
      <c r="G21" s="10">
        <f>IF(NOT(ISNUMBER($F21)),"run on terminal",IF(ABS($F21/$D21-1)&lt;0.005,"MATCH","CHECK — BBG "&amp;TEXT($F21,"0.000")))</f>
        <v/>
      </c>
      <c r="H21" s="95" t="inlineStr">
        <is>
          <t>AAStocks listing date (was 2021-11-06); close from the local kline session list</t>
        </is>
      </c>
    </row>
    <row r="22">
      <c r="A22" s="90" t="inlineStr">
        <is>
          <t>2279</t>
        </is>
      </c>
      <c r="B22" s="16" t="inlineStr">
        <is>
          <t>YONGHE MEDICAL</t>
        </is>
      </c>
      <c r="C22" s="96" t="inlineStr">
        <is>
          <t>2021-12-13</t>
        </is>
      </c>
      <c r="D22" s="97" t="n">
        <v>16.599</v>
      </c>
      <c r="E22" s="94" t="n">
        <v>5.06</v>
      </c>
      <c r="F22" s="39">
        <f>IFERROR(BDH(TEXT($A22,"0000")&amp;" HK Equity","PX_LAST",$C22,$C22),"run on terminal")</f>
        <v/>
      </c>
      <c r="G22" s="10">
        <f>IF(NOT(ISNUMBER($F22)),"run on terminal",IF(ABS($F22/$D22-1)&lt;0.005,"MATCH","CHECK — BBG "&amp;TEXT($F22,"0.000")))</f>
        <v/>
      </c>
      <c r="H22" s="95" t="inlineStr">
        <is>
          <t>AAStocks listing date (was 2021-12-11); close from the local kline session list</t>
        </is>
      </c>
    </row>
    <row r="23">
      <c r="A23" s="90" t="inlineStr">
        <is>
          <t>2250</t>
        </is>
      </c>
      <c r="B23" s="16" t="inlineStr">
        <is>
          <t>SEMK HOLDINGS</t>
        </is>
      </c>
      <c r="C23" s="96" t="inlineStr">
        <is>
          <t>2022-01-17</t>
        </is>
      </c>
      <c r="D23" s="97" t="n">
        <v>2.39</v>
      </c>
      <c r="E23" s="94" t="n">
        <v>16.59</v>
      </c>
      <c r="F23" s="39">
        <f>IFERROR(BDH(TEXT($A23,"0000")&amp;" HK Equity","PX_LAST",$C23,$C23),"run on terminal")</f>
        <v/>
      </c>
      <c r="G23" s="10">
        <f>IF(NOT(ISNUMBER($F23)),"run on terminal",IF(ABS($F23/$D23-1)&lt;0.005,"MATCH","CHECK — BBG "&amp;TEXT($F23,"0.000")))</f>
        <v/>
      </c>
      <c r="H23" s="95" t="inlineStr">
        <is>
          <t>AAStocks listing date (was 2022-01-15); close from the local kline session list</t>
        </is>
      </c>
    </row>
    <row r="24">
      <c r="A24" s="90" t="inlineStr">
        <is>
          <t>2237</t>
        </is>
      </c>
      <c r="B24" s="16" t="inlineStr">
        <is>
          <t>CHINA GRAPHITE</t>
        </is>
      </c>
      <c r="C24" s="96" t="inlineStr">
        <is>
          <t>2022-07-18</t>
        </is>
      </c>
      <c r="D24" s="97" t="n">
        <v>0.79</v>
      </c>
      <c r="E24" s="94" t="n">
        <v>143.08</v>
      </c>
      <c r="F24" s="39">
        <f>IFERROR(BDH(TEXT($A24,"0000")&amp;" HK Equity","PX_LAST",$C24,$C24),"run on terminal")</f>
        <v/>
      </c>
      <c r="G24" s="10">
        <f>IF(NOT(ISNUMBER($F24)),"run on terminal",IF(ABS($F24/$D24-1)&lt;0.005,"MATCH","CHECK — BBG "&amp;TEXT($F24,"0.000")))</f>
        <v/>
      </c>
      <c r="H24" s="95" t="inlineStr">
        <is>
          <t>AAStocks listing date (was 2022-07-16); close from the local kline session list</t>
        </is>
      </c>
    </row>
    <row r="25">
      <c r="A25" s="90" t="inlineStr">
        <is>
          <t>2350</t>
        </is>
      </c>
      <c r="B25" s="16" t="inlineStr">
        <is>
          <t>MTT GROUP</t>
        </is>
      </c>
      <c r="C25" s="96" t="inlineStr">
        <is>
          <t>2022-09-26</t>
        </is>
      </c>
      <c r="D25" s="97" t="n">
        <v>0.62</v>
      </c>
      <c r="E25" s="94" t="n">
        <v>-27.06</v>
      </c>
      <c r="F25" s="39">
        <f>IFERROR(BDH(TEXT($A25,"0000")&amp;" HK Equity","PX_LAST",$C25,$C25),"run on terminal")</f>
        <v/>
      </c>
      <c r="G25" s="10">
        <f>IF(NOT(ISNUMBER($F25)),"run on terminal",IF(ABS($F25/$D25-1)&lt;0.005,"MATCH","CHECK — BBG "&amp;TEXT($F25,"0.000")))</f>
        <v/>
      </c>
      <c r="H25" s="95" t="inlineStr">
        <is>
          <t>AAStocks listing date (was 2022-09-24); close from the local kline session list</t>
        </is>
      </c>
    </row>
    <row r="26">
      <c r="A26" s="90" t="inlineStr">
        <is>
          <t>9877</t>
        </is>
      </c>
      <c r="B26" s="16" t="inlineStr">
        <is>
          <t>JENSCARE-B</t>
        </is>
      </c>
      <c r="C26" s="96" t="inlineStr">
        <is>
          <t>2022-10-10</t>
        </is>
      </c>
      <c r="D26" s="97" t="n">
        <v>28.25</v>
      </c>
      <c r="E26" s="94" t="n">
        <v>1.62</v>
      </c>
      <c r="F26" s="39">
        <f>IFERROR(BDH(TEXT($A26,"0000")&amp;" HK Equity","PX_LAST",$C26,$C26),"run on terminal")</f>
        <v/>
      </c>
      <c r="G26" s="10">
        <f>IF(NOT(ISNUMBER($F26)),"run on terminal",IF(ABS($F26/$D26-1)&lt;0.005,"MATCH","CHECK — BBG "&amp;TEXT($F26,"0.000")))</f>
        <v/>
      </c>
      <c r="H26" s="95" t="inlineStr">
        <is>
          <t>AAStocks listing date (was 2022-10-08); close from the local kline session list</t>
        </is>
      </c>
    </row>
    <row r="27">
      <c r="A27" s="90" t="inlineStr">
        <is>
          <t>1489</t>
        </is>
      </c>
      <c r="B27" s="16" t="inlineStr">
        <is>
          <t>GC CONSTRUCTION</t>
        </is>
      </c>
      <c r="C27" s="96" t="inlineStr">
        <is>
          <t>2022-10-10</t>
        </is>
      </c>
      <c r="D27" s="97" t="n">
        <v>0.55</v>
      </c>
      <c r="E27" s="94" t="n">
        <v>10</v>
      </c>
      <c r="F27" s="39">
        <f>IFERROR(BDH(TEXT($A27,"0000")&amp;" HK Equity","PX_LAST",$C27,$C27),"run on terminal")</f>
        <v/>
      </c>
      <c r="G27" s="10">
        <f>IF(NOT(ISNUMBER($F27)),"run on terminal",IF(ABS($F27/$D27-1)&lt;0.005,"MATCH","CHECK — BBG "&amp;TEXT($F27,"0.000")))</f>
        <v/>
      </c>
      <c r="H27" s="95" t="inlineStr">
        <is>
          <t>AAStocks listing date (was 2022-10-08); close from the local kline session list</t>
        </is>
      </c>
    </row>
    <row r="28">
      <c r="A28" s="90" t="inlineStr">
        <is>
          <t>2422</t>
        </is>
      </c>
      <c r="B28" s="16" t="inlineStr">
        <is>
          <t>REGO INTERACT</t>
        </is>
      </c>
      <c r="C28" s="96" t="inlineStr">
        <is>
          <t>2022-10-17</t>
        </is>
      </c>
      <c r="D28" s="97" t="n">
        <v>1.35</v>
      </c>
      <c r="E28" s="94" t="n">
        <v>110.94</v>
      </c>
      <c r="F28" s="39">
        <f>IFERROR(BDH(TEXT($A28,"0000")&amp;" HK Equity","PX_LAST",$C28,$C28),"run on terminal")</f>
        <v/>
      </c>
      <c r="G28" s="10">
        <f>IF(NOT(ISNUMBER($F28)),"run on terminal",IF(ABS($F28/$D28-1)&lt;0.005,"MATCH","CHECK — BBG "&amp;TEXT($F28,"0.000")))</f>
        <v/>
      </c>
      <c r="H28" s="95" t="inlineStr">
        <is>
          <t>AAStocks listing date (was 2022-10-15); close from the local kline session list</t>
        </is>
      </c>
    </row>
    <row r="29">
      <c r="A29" s="90" t="inlineStr">
        <is>
          <t>2407</t>
        </is>
      </c>
      <c r="B29" s="16" t="inlineStr">
        <is>
          <t>GAUSH MEDITECH</t>
        </is>
      </c>
      <c r="C29" s="96" t="inlineStr">
        <is>
          <t>2022-12-12</t>
        </is>
      </c>
      <c r="D29" s="97" t="n">
        <v>51.4</v>
      </c>
      <c r="E29" s="94" t="n">
        <v>0</v>
      </c>
      <c r="F29" s="39">
        <f>IFERROR(BDH(TEXT($A29,"0000")&amp;" HK Equity","PX_LAST",$C29,$C29),"run on terminal")</f>
        <v/>
      </c>
      <c r="G29" s="10">
        <f>IF(NOT(ISNUMBER($F29)),"run on terminal",IF(ABS($F29/$D29-1)&lt;0.005,"MATCH","CHECK — BBG "&amp;TEXT($F29,"0.000")))</f>
        <v/>
      </c>
      <c r="H29" s="95" t="inlineStr">
        <is>
          <t>AAStocks listing date (was 2022-12-10); close from the local kline session list</t>
        </is>
      </c>
    </row>
    <row r="30">
      <c r="A30" s="90" t="inlineStr">
        <is>
          <t>2440</t>
        </is>
      </c>
      <c r="B30" s="16" t="inlineStr">
        <is>
          <t>HOWKINGTECH</t>
        </is>
      </c>
      <c r="C30" s="96" t="inlineStr">
        <is>
          <t>2022-12-12</t>
        </is>
      </c>
      <c r="D30" s="97" t="n">
        <v>2</v>
      </c>
      <c r="E30" s="94" t="n">
        <v>-26.74</v>
      </c>
      <c r="F30" s="39">
        <f>IFERROR(BDH(TEXT($A30,"0000")&amp;" HK Equity","PX_LAST",$C30,$C30),"run on terminal")</f>
        <v/>
      </c>
      <c r="G30" s="10">
        <f>IF(NOT(ISNUMBER($F30)),"run on terminal",IF(ABS($F30/$D30-1)&lt;0.005,"MATCH","CHECK — BBG "&amp;TEXT($F30,"0.000")))</f>
        <v/>
      </c>
      <c r="H30" s="95" t="inlineStr">
        <is>
          <t>AAStocks listing date (was 2022-12-10); close from the local kline session list</t>
        </is>
      </c>
    </row>
    <row r="31">
      <c r="A31" s="90" t="inlineStr">
        <is>
          <t>2469</t>
        </is>
      </c>
      <c r="B31" s="16" t="inlineStr">
        <is>
          <t>FENBI</t>
        </is>
      </c>
      <c r="C31" s="96" t="inlineStr">
        <is>
          <t>2023-01-09</t>
        </is>
      </c>
      <c r="D31" s="97" t="n">
        <v>11.1</v>
      </c>
      <c r="E31" s="94" t="n">
        <v>12.12</v>
      </c>
      <c r="F31" s="39">
        <f>IFERROR(BDH(TEXT($A31,"0000")&amp;" HK Equity","PX_LAST",$C31,$C31),"run on terminal")</f>
        <v/>
      </c>
      <c r="G31" s="10">
        <f>IF(NOT(ISNUMBER($F31)),"run on terminal",IF(ABS($F31/$D31-1)&lt;0.005,"MATCH","CHECK — BBG "&amp;TEXT($F31,"0.000")))</f>
        <v/>
      </c>
      <c r="H31" s="95" t="inlineStr">
        <is>
          <t>AAStocks listing date (was 2023-01-07); close from the local kline session list</t>
        </is>
      </c>
    </row>
    <row r="32">
      <c r="A32" s="90" t="inlineStr">
        <is>
          <t>2411</t>
        </is>
      </c>
      <c r="B32" s="16" t="inlineStr">
        <is>
          <t>PAGODA GP</t>
        </is>
      </c>
      <c r="C32" s="96" t="inlineStr">
        <is>
          <t>2023-01-16</t>
        </is>
      </c>
      <c r="D32" s="97" t="n">
        <v>6</v>
      </c>
      <c r="E32" s="94" t="n">
        <v>7.14</v>
      </c>
      <c r="F32" s="39">
        <f>IFERROR(BDH(TEXT($A32,"0000")&amp;" HK Equity","PX_LAST",$C32,$C32),"run on terminal")</f>
        <v/>
      </c>
      <c r="G32" s="10">
        <f>IF(NOT(ISNUMBER($F32)),"run on terminal",IF(ABS($F32/$D32-1)&lt;0.005,"MATCH","CHECK — BBG "&amp;TEXT($F32,"0.000")))</f>
        <v/>
      </c>
      <c r="H32" s="95" t="inlineStr">
        <is>
          <t>AAStocks listing date (was 2023-01-14); close from the local kline session list</t>
        </is>
      </c>
    </row>
    <row r="33">
      <c r="A33" s="90" t="inlineStr">
        <is>
          <t>2373</t>
        </is>
      </c>
      <c r="B33" s="16" t="inlineStr">
        <is>
          <t>BEAUTYFARM MED</t>
        </is>
      </c>
      <c r="C33" s="96" t="inlineStr">
        <is>
          <t>2023-01-16</t>
        </is>
      </c>
      <c r="D33" s="97" t="n">
        <v>29.65</v>
      </c>
      <c r="E33" s="94" t="n">
        <v>53.47</v>
      </c>
      <c r="F33" s="39">
        <f>IFERROR(BDH(TEXT($A33,"0000")&amp;" HK Equity","PX_LAST",$C33,$C33),"run on terminal")</f>
        <v/>
      </c>
      <c r="G33" s="10">
        <f>IF(NOT(ISNUMBER($F33)),"run on terminal",IF(ABS($F33/$D33-1)&lt;0.005,"MATCH","CHECK — BBG "&amp;TEXT($F33,"0.000")))</f>
        <v/>
      </c>
      <c r="H33" s="95" t="inlineStr">
        <is>
          <t>AAStocks listing date (was 2023-01-14); close from the local kline session list</t>
        </is>
      </c>
    </row>
    <row r="34">
      <c r="A34" s="90" t="inlineStr">
        <is>
          <t>2458</t>
        </is>
      </c>
      <c r="B34" s="16" t="inlineStr">
        <is>
          <t>GALA TECH HOLD</t>
        </is>
      </c>
      <c r="C34" s="96" t="inlineStr">
        <is>
          <t>2023-01-16</t>
        </is>
      </c>
      <c r="D34" s="97" t="n">
        <v>5.75</v>
      </c>
      <c r="E34" s="94" t="n">
        <v>-11.54</v>
      </c>
      <c r="F34" s="39">
        <f>IFERROR(BDH(TEXT($A34,"0000")&amp;" HK Equity","PX_LAST",$C34,$C34),"run on terminal")</f>
        <v/>
      </c>
      <c r="G34" s="10">
        <f>IF(NOT(ISNUMBER($F34)),"run on terminal",IF(ABS($F34/$D34-1)&lt;0.005,"MATCH","CHECK — BBG "&amp;TEXT($F34,"0.000")))</f>
        <v/>
      </c>
      <c r="H34" s="95" t="inlineStr">
        <is>
          <t>AAStocks listing date (was 2023-01-14); close from the local kline session list</t>
        </is>
      </c>
    </row>
    <row r="35">
      <c r="A35" s="90" t="inlineStr">
        <is>
          <t>2480</t>
        </is>
      </c>
      <c r="B35" s="16" t="inlineStr">
        <is>
          <t>LUZHU BIOTECH-B</t>
        </is>
      </c>
      <c r="C35" s="96" t="inlineStr">
        <is>
          <t>2023-05-08</t>
        </is>
      </c>
      <c r="D35" s="97" t="n">
        <v>21.999</v>
      </c>
      <c r="E35" s="94" t="n">
        <v>-32.93</v>
      </c>
      <c r="F35" s="39">
        <f>IFERROR(BDH(TEXT($A35,"0000")&amp;" HK Equity","PX_LAST",$C35,$C35),"run on terminal")</f>
        <v/>
      </c>
      <c r="G35" s="10">
        <f>IF(NOT(ISNUMBER($F35)),"run on terminal",IF(ABS($F35/$D35-1)&lt;0.005,"MATCH","CHECK — BBG "&amp;TEXT($F35,"0.000")))</f>
        <v/>
      </c>
      <c r="H35" s="95" t="inlineStr">
        <is>
          <t>AAStocks listing date (was 2023-05-06); close from the local kline session list</t>
        </is>
      </c>
    </row>
    <row r="36">
      <c r="A36" s="90" t="inlineStr">
        <is>
          <t>2487</t>
        </is>
      </c>
      <c r="B36" s="16" t="inlineStr">
        <is>
          <t>CUTIA-B</t>
        </is>
      </c>
      <c r="C36" s="96" t="inlineStr">
        <is>
          <t>2023-06-12</t>
        </is>
      </c>
      <c r="D36" s="97" t="n">
        <v>21.951</v>
      </c>
      <c r="E36" s="94" t="n">
        <v>0.46</v>
      </c>
      <c r="F36" s="39">
        <f>IFERROR(BDH(TEXT($A36,"0000")&amp;" HK Equity","PX_LAST",$C36,$C36),"run on terminal")</f>
        <v/>
      </c>
      <c r="G36" s="10">
        <f>IF(NOT(ISNUMBER($F36)),"run on terminal",IF(ABS($F36/$D36-1)&lt;0.005,"MATCH","CHECK — BBG "&amp;TEXT($F36,"0.000")))</f>
        <v/>
      </c>
      <c r="H36" s="95" t="inlineStr">
        <is>
          <t>AAStocks listing date (was 2023-06-10); close from the local kline session list</t>
        </is>
      </c>
    </row>
    <row r="37">
      <c r="A37" s="90" t="inlineStr">
        <is>
          <t>2481</t>
        </is>
      </c>
      <c r="B37" s="16" t="inlineStr">
        <is>
          <t>WISE LIVING TEC</t>
        </is>
      </c>
      <c r="C37" s="96" t="inlineStr">
        <is>
          <t>2023-07-10</t>
        </is>
      </c>
      <c r="D37" s="97" t="n">
        <v>3.6</v>
      </c>
      <c r="E37" s="94" t="n">
        <v>0</v>
      </c>
      <c r="F37" s="39">
        <f>IFERROR(BDH(TEXT($A37,"0000")&amp;" HK Equity","PX_LAST",$C37,$C37),"run on terminal")</f>
        <v/>
      </c>
      <c r="G37" s="10">
        <f>IF(NOT(ISNUMBER($F37)),"run on terminal",IF(ABS($F37/$D37-1)&lt;0.005,"MATCH","CHECK — BBG "&amp;TEXT($F37,"0.000")))</f>
        <v/>
      </c>
      <c r="H37" s="95" t="inlineStr">
        <is>
          <t>AAStocks listing date (was 2023-07-08); close from the local kline session list</t>
        </is>
      </c>
    </row>
    <row r="38">
      <c r="A38" s="90" t="inlineStr">
        <is>
          <t>1284</t>
        </is>
      </c>
      <c r="B38" s="16" t="inlineStr">
        <is>
          <t>NEW MEDIA LAB</t>
        </is>
      </c>
      <c r="C38" s="96" t="inlineStr">
        <is>
          <t>2023-07-18</t>
        </is>
      </c>
      <c r="D38" s="97" t="n">
        <v>0.93</v>
      </c>
      <c r="E38" s="94" t="n">
        <v>1.09</v>
      </c>
      <c r="F38" s="39">
        <f>IFERROR(BDH(TEXT($A38,"0000")&amp;" HK Equity","PX_LAST",$C38,$C38),"run on terminal")</f>
        <v/>
      </c>
      <c r="G38" s="10">
        <f>IF(NOT(ISNUMBER($F38)),"run on terminal",IF(ABS($F38/$D38-1)&lt;0.005,"MATCH","CHECK — BBG "&amp;TEXT($F38,"0.000")))</f>
        <v/>
      </c>
      <c r="H38" s="95" t="inlineStr">
        <is>
          <t>AAStocks listing date (was 2023-07-15); close from the local kline session list</t>
        </is>
      </c>
    </row>
    <row r="39">
      <c r="A39" s="90" t="inlineStr">
        <is>
          <t>2496</t>
        </is>
      </c>
      <c r="B39" s="16" t="inlineStr">
        <is>
          <t>YZYBIO-B</t>
        </is>
      </c>
      <c r="C39" s="96" t="inlineStr">
        <is>
          <t>2023-09-25</t>
        </is>
      </c>
      <c r="D39" s="97" t="n">
        <v>16</v>
      </c>
      <c r="E39" s="94" t="n">
        <v>0</v>
      </c>
      <c r="F39" s="39">
        <f>IFERROR(BDH(TEXT($A39,"0000")&amp;" HK Equity","PX_LAST",$C39,$C39),"run on terminal")</f>
        <v/>
      </c>
      <c r="G39" s="10">
        <f>IF(NOT(ISNUMBER($F39)),"run on terminal",IF(ABS($F39/$D39-1)&lt;0.005,"MATCH","CHECK — BBG "&amp;TEXT($F39,"0.000")))</f>
        <v/>
      </c>
      <c r="H39" s="95" t="inlineStr">
        <is>
          <t>AAStocks listing date (was 2023-09-23); close from the local kline session list</t>
        </is>
      </c>
    </row>
    <row r="40">
      <c r="A40" s="90" t="inlineStr">
        <is>
          <t>2490</t>
        </is>
      </c>
      <c r="B40" s="16" t="inlineStr">
        <is>
          <t>LC LOGISTICS</t>
        </is>
      </c>
      <c r="C40" s="96" t="inlineStr">
        <is>
          <t>2023-09-25</t>
        </is>
      </c>
      <c r="D40" s="97" t="n">
        <v>5.1</v>
      </c>
      <c r="E40" s="94" t="n">
        <v>-0.58</v>
      </c>
      <c r="F40" s="39">
        <f>IFERROR(BDH(TEXT($A40,"0000")&amp;" HK Equity","PX_LAST",$C40,$C40),"run on terminal")</f>
        <v/>
      </c>
      <c r="G40" s="10">
        <f>IF(NOT(ISNUMBER($F40)),"run on terminal",IF(ABS($F40/$D40-1)&lt;0.005,"MATCH","CHECK — BBG "&amp;TEXT($F40,"0.000")))</f>
        <v/>
      </c>
      <c r="H40" s="95" t="inlineStr">
        <is>
          <t>AAStocks listing date (was 2023-09-23); close from the local kline session list</t>
        </is>
      </c>
    </row>
    <row r="41">
      <c r="A41" s="90" t="inlineStr">
        <is>
          <t>0666</t>
        </is>
      </c>
      <c r="B41" s="16" t="inlineStr">
        <is>
          <t>REPT BATTERO</t>
        </is>
      </c>
      <c r="C41" s="96" t="inlineStr">
        <is>
          <t>2023-12-18</t>
        </is>
      </c>
      <c r="D41" s="97" t="n">
        <v>18.779</v>
      </c>
      <c r="E41" s="94" t="n">
        <v>2.62</v>
      </c>
      <c r="F41" s="39">
        <f>IFERROR(BDH(TEXT($A41,"0000")&amp;" HK Equity","PX_LAST",$C41,$C41),"run on terminal")</f>
        <v/>
      </c>
      <c r="G41" s="10">
        <f>IF(NOT(ISNUMBER($F41)),"run on terminal",IF(ABS($F41/$D41-1)&lt;0.005,"MATCH","CHECK — BBG "&amp;TEXT($F41,"0.000")))</f>
        <v/>
      </c>
      <c r="H41" s="95" t="inlineStr">
        <is>
          <t>AAStocks listing date (was 2023-12-16); close from the local kline session list</t>
        </is>
      </c>
    </row>
    <row r="42">
      <c r="A42" s="90" t="inlineStr">
        <is>
          <t>2556</t>
        </is>
      </c>
      <c r="B42" s="16" t="inlineStr">
        <is>
          <t>MARKETINGFORCE</t>
        </is>
      </c>
      <c r="C42" s="96" t="inlineStr">
        <is>
          <t>2024-05-16</t>
        </is>
      </c>
      <c r="D42" s="97" t="n">
        <v>51.649</v>
      </c>
      <c r="E42" s="94" t="n">
        <v>18.46</v>
      </c>
      <c r="F42" s="39">
        <f>IFERROR(BDH(TEXT($A42,"0000")&amp;" HK Equity","PX_LAST",$C42,$C42),"run on terminal")</f>
        <v/>
      </c>
      <c r="G42" s="10">
        <f>IF(NOT(ISNUMBER($F42)),"run on terminal",IF(ABS($F42/$D42-1)&lt;0.005,"MATCH","CHECK — BBG "&amp;TEXT($F42,"0.000")))</f>
        <v/>
      </c>
      <c r="H42" s="95" t="inlineStr">
        <is>
          <t>AAStocks listing date (was 2024-05-15); close from the local kline session list</t>
        </is>
      </c>
    </row>
    <row r="43">
      <c r="A43" s="90" t="inlineStr">
        <is>
          <t>0917</t>
        </is>
      </c>
      <c r="B43" s="16" t="inlineStr">
        <is>
          <t>QUNABOX GROUP</t>
        </is>
      </c>
      <c r="C43" s="96" t="inlineStr">
        <is>
          <t>2024-05-27</t>
        </is>
      </c>
      <c r="D43" s="97" t="n">
        <v>35</v>
      </c>
      <c r="E43" s="94" t="n">
        <v>40</v>
      </c>
      <c r="F43" s="39">
        <f>IFERROR(BDH(TEXT($A43,"0000")&amp;" HK Equity","PX_LAST",$C43,$C43),"run on terminal")</f>
        <v/>
      </c>
      <c r="G43" s="10">
        <f>IF(NOT(ISNUMBER($F43)),"run on terminal",IF(ABS($F43/$D43-1)&lt;0.005,"MATCH","CHECK — BBG "&amp;TEXT($F43,"0.000")))</f>
        <v/>
      </c>
      <c r="H43" s="95" t="inlineStr">
        <is>
          <t>AAStocks listing date (was 2024-05-25); close from the local kline session list</t>
        </is>
      </c>
    </row>
    <row r="44">
      <c r="A44" s="90" t="inlineStr">
        <is>
          <t>2531</t>
        </is>
      </c>
      <c r="B44" s="16" t="inlineStr">
        <is>
          <t>CARLINK TECH</t>
        </is>
      </c>
      <c r="C44" s="96" t="inlineStr">
        <is>
          <t>2024-07-15</t>
        </is>
      </c>
      <c r="D44" s="97" t="n">
        <v>4.8</v>
      </c>
      <c r="E44" s="94" t="n">
        <v>2.13</v>
      </c>
      <c r="F44" s="39">
        <f>IFERROR(BDH(TEXT($A44,"0000")&amp;" HK Equity","PX_LAST",$C44,$C44),"run on terminal")</f>
        <v/>
      </c>
      <c r="G44" s="10">
        <f>IF(NOT(ISNUMBER($F44)),"run on terminal",IF(ABS($F44/$D44-1)&lt;0.005,"MATCH","CHECK — BBG "&amp;TEXT($F44,"0.000")))</f>
        <v/>
      </c>
      <c r="H44" s="95" t="inlineStr">
        <is>
          <t>AAStocks listing date (was 2024-07-13); close from the local kline session list</t>
        </is>
      </c>
    </row>
    <row r="45">
      <c r="A45" s="90" t="inlineStr">
        <is>
          <t>2549</t>
        </is>
      </c>
      <c r="B45" s="16" t="inlineStr">
        <is>
          <t>CAROTE LTD</t>
        </is>
      </c>
      <c r="C45" s="96" t="inlineStr">
        <is>
          <t>2024-10-02</t>
        </is>
      </c>
      <c r="D45" s="97" t="n">
        <v>9.15</v>
      </c>
      <c r="E45" s="94" t="n">
        <v>58.3</v>
      </c>
      <c r="F45" s="39">
        <f>IFERROR(BDH(TEXT($A45,"0000")&amp;" HK Equity","PX_LAST",$C45,$C45),"run on terminal")</f>
        <v/>
      </c>
      <c r="G45" s="10">
        <f>IF(NOT(ISNUMBER($F45)),"run on terminal",IF(ABS($F45/$D45-1)&lt;0.005,"MATCH","CHECK — BBG "&amp;TEXT($F45,"0.000")))</f>
        <v/>
      </c>
      <c r="H45" s="95" t="inlineStr">
        <is>
          <t>AAStocks listing date (was 2024-10-01); close from the local kline session list</t>
        </is>
      </c>
    </row>
    <row r="46">
      <c r="A46" s="90" t="inlineStr">
        <is>
          <t>2432</t>
        </is>
      </c>
      <c r="B46" s="16" t="inlineStr">
        <is>
          <t>DOBOT</t>
        </is>
      </c>
      <c r="C46" s="96" t="inlineStr">
        <is>
          <t>2024-12-23</t>
        </is>
      </c>
      <c r="D46" s="97" t="n">
        <v>18.939</v>
      </c>
      <c r="E46" s="94" t="n">
        <v>0.74</v>
      </c>
      <c r="F46" s="39">
        <f>IFERROR(BDH(TEXT($A46,"0000")&amp;" HK Equity","PX_LAST",$C46,$C46),"run on terminal")</f>
        <v/>
      </c>
      <c r="G46" s="10">
        <f>IF(NOT(ISNUMBER($F46)),"run on terminal",IF(ABS($F46/$D46-1)&lt;0.005,"MATCH","CHECK — BBG "&amp;TEXT($F46,"0.000")))</f>
        <v/>
      </c>
      <c r="H46" s="95" t="inlineStr">
        <is>
          <t>AAStocks listing date (was 2024-12-21); close from the local kline session list</t>
        </is>
      </c>
    </row>
    <row r="47">
      <c r="A47" s="90" t="inlineStr">
        <is>
          <t>2431</t>
        </is>
      </c>
      <c r="B47" s="16" t="inlineStr">
        <is>
          <t>MINIEYE</t>
        </is>
      </c>
      <c r="C47" s="96" t="inlineStr">
        <is>
          <t>2024-12-27</t>
        </is>
      </c>
      <c r="D47" s="97" t="n">
        <v>19.4</v>
      </c>
      <c r="E47" s="94" t="n">
        <v>14.12</v>
      </c>
      <c r="F47" s="39">
        <f>IFERROR(BDH(TEXT($A47,"0000")&amp;" HK Equity","PX_LAST",$C47,$C47),"run on terminal")</f>
        <v/>
      </c>
      <c r="G47" s="10">
        <f>IF(NOT(ISNUMBER($F47)),"run on terminal",IF(ABS($F47/$D47-1)&lt;0.005,"MATCH","CHECK — BBG "&amp;TEXT($F47,"0.000")))</f>
        <v/>
      </c>
      <c r="H47" s="95" t="inlineStr">
        <is>
          <t>AAStocks listing date (was 2024-12-25); close from the local kline session list</t>
        </is>
      </c>
    </row>
    <row r="48">
      <c r="A48" s="90" t="inlineStr">
        <is>
          <t>2587</t>
        </is>
      </c>
      <c r="B48" s="16" t="inlineStr">
        <is>
          <t>HEALTHYWAY INC</t>
        </is>
      </c>
      <c r="C48" s="96" t="inlineStr">
        <is>
          <t>2024-12-30</t>
        </is>
      </c>
      <c r="D48" s="97" t="n">
        <v>10.66</v>
      </c>
      <c r="E48" s="94" t="n">
        <v>36.67</v>
      </c>
      <c r="F48" s="39">
        <f>IFERROR(BDH(TEXT($A48,"0000")&amp;" HK Equity","PX_LAST",$C48,$C48),"run on terminal")</f>
        <v/>
      </c>
      <c r="G48" s="10">
        <f>IF(NOT(ISNUMBER($F48)),"run on terminal",IF(ABS($F48/$D48-1)&lt;0.005,"MATCH","CHECK — BBG "&amp;TEXT($F48,"0.000")))</f>
        <v/>
      </c>
      <c r="H48" s="95" t="inlineStr">
        <is>
          <t>AAStocks listing date (was 2024-12-28); close from the local kline session list</t>
        </is>
      </c>
    </row>
    <row r="49">
      <c r="A49" s="90" t="inlineStr">
        <is>
          <t>2577</t>
        </is>
      </c>
      <c r="B49" s="16" t="inlineStr">
        <is>
          <t>INNOSCIENCE</t>
        </is>
      </c>
      <c r="C49" s="96" t="inlineStr">
        <is>
          <t>2024-12-30</t>
        </is>
      </c>
      <c r="D49" s="97" t="n">
        <v>30.999</v>
      </c>
      <c r="E49" s="94" t="n">
        <v>0.45</v>
      </c>
      <c r="F49" s="39">
        <f>IFERROR(BDH(TEXT($A49,"0000")&amp;" HK Equity","PX_LAST",$C49,$C49),"run on terminal")</f>
        <v/>
      </c>
      <c r="G49" s="10">
        <f>IF(NOT(ISNUMBER($F49)),"run on terminal",IF(ABS($F49/$D49-1)&lt;0.005,"MATCH","CHECK — BBG "&amp;TEXT($F49,"0.000")))</f>
        <v/>
      </c>
      <c r="H49" s="95" t="inlineStr">
        <is>
          <t>AAStocks listing date (was 2024-12-28); close from the local kline session list</t>
        </is>
      </c>
    </row>
    <row r="50">
      <c r="A50" s="90" t="inlineStr">
        <is>
          <t>2506</t>
        </is>
      </c>
      <c r="B50" s="16" t="inlineStr">
        <is>
          <t>XUNFEIHEALTH</t>
        </is>
      </c>
      <c r="C50" s="96" t="inlineStr">
        <is>
          <t>2024-12-30</t>
        </is>
      </c>
      <c r="D50" s="97" t="n">
        <v>86.998</v>
      </c>
      <c r="E50" s="94" t="n">
        <v>5.07</v>
      </c>
      <c r="F50" s="39">
        <f>IFERROR(BDH(TEXT($A50,"0000")&amp;" HK Equity","PX_LAST",$C50,$C50),"run on terminal")</f>
        <v/>
      </c>
      <c r="G50" s="10">
        <f>IF(NOT(ISNUMBER($F50)),"run on terminal",IF(ABS($F50/$D50-1)&lt;0.005,"MATCH","CHECK — BBG "&amp;TEXT($F50,"0.000")))</f>
        <v/>
      </c>
      <c r="H50" s="95" t="inlineStr">
        <is>
          <t>AAStocks listing date (was 2024-12-28); close from the local kline session list</t>
        </is>
      </c>
    </row>
    <row r="51">
      <c r="A51" s="90" t="inlineStr">
        <is>
          <t>2596</t>
        </is>
      </c>
      <c r="B51" s="16" t="inlineStr">
        <is>
          <t>YIBIN BANK</t>
        </is>
      </c>
      <c r="C51" s="96" t="inlineStr">
        <is>
          <t>2025-01-13</t>
        </is>
      </c>
      <c r="D51" s="97" t="n">
        <v>2.61</v>
      </c>
      <c r="E51" s="94" t="n">
        <v>0.77</v>
      </c>
      <c r="F51" s="39">
        <f>IFERROR(BDH(TEXT($A51,"0000")&amp;" HK Equity","PX_LAST",$C51,$C51),"run on terminal")</f>
        <v/>
      </c>
      <c r="G51" s="10">
        <f>IF(NOT(ISNUMBER($F51)),"run on terminal",IF(ABS($F51/$D51-1)&lt;0.005,"MATCH","CHECK — BBG "&amp;TEXT($F51,"0.000")))</f>
        <v/>
      </c>
      <c r="H51" s="95" t="inlineStr">
        <is>
          <t>AAStocks listing date (was 2025-01-11); close from the local kline session list</t>
        </is>
      </c>
    </row>
    <row r="52">
      <c r="A52" s="90" t="inlineStr">
        <is>
          <t>2097</t>
        </is>
      </c>
      <c r="B52" s="16" t="inlineStr">
        <is>
          <t>MIXUE GROUP</t>
        </is>
      </c>
      <c r="C52" s="96" t="inlineStr">
        <is>
          <t>2025-03-03</t>
        </is>
      </c>
      <c r="D52" s="97" t="n">
        <v>290</v>
      </c>
      <c r="E52" s="94" t="n">
        <v>43.21</v>
      </c>
      <c r="F52" s="39">
        <f>IFERROR(BDH(TEXT($A52,"0000")&amp;" HK Equity","PX_LAST",$C52,$C52),"run on terminal")</f>
        <v/>
      </c>
      <c r="G52" s="10">
        <f>IF(NOT(ISNUMBER($F52)),"run on terminal",IF(ABS($F52/$D52-1)&lt;0.005,"MATCH","CHECK — BBG "&amp;TEXT($F52,"0.000")))</f>
        <v/>
      </c>
      <c r="H52" s="95" t="inlineStr">
        <is>
          <t>AAStocks listing date (was 2025-03-01); close from the local kline session list</t>
        </is>
      </c>
    </row>
    <row r="53">
      <c r="A53" s="90" t="inlineStr">
        <is>
          <t>6693</t>
        </is>
      </c>
      <c r="B53" s="16" t="inlineStr">
        <is>
          <t>CHIFENG GOLD</t>
        </is>
      </c>
      <c r="C53" s="96" t="inlineStr">
        <is>
          <t>2025-03-10</t>
        </is>
      </c>
      <c r="D53" s="97" t="n">
        <v>13.72</v>
      </c>
      <c r="E53" s="94" t="n">
        <v>0</v>
      </c>
      <c r="F53" s="39">
        <f>IFERROR(BDH(TEXT($A53,"0000")&amp;" HK Equity","PX_LAST",$C53,$C53),"run on terminal")</f>
        <v/>
      </c>
      <c r="G53" s="10">
        <f>IF(NOT(ISNUMBER($F53)),"run on terminal",IF(ABS($F53/$D53-1)&lt;0.005,"MATCH","CHECK — BBG "&amp;TEXT($F53,"0.000")))</f>
        <v/>
      </c>
      <c r="H53" s="95" t="inlineStr">
        <is>
          <t>AAStocks listing date (was 2025-03-08); close from the local kline session list</t>
        </is>
      </c>
    </row>
    <row r="54">
      <c r="A54" s="90" t="inlineStr">
        <is>
          <t>2625</t>
        </is>
      </c>
      <c r="B54" s="16" t="inlineStr">
        <is>
          <t>JIANGSU HORIZON</t>
        </is>
      </c>
      <c r="C54" s="96" t="inlineStr">
        <is>
          <t>2025-03-31</t>
        </is>
      </c>
      <c r="D54" s="97" t="n">
        <v>2.5</v>
      </c>
      <c r="E54" s="94" t="n">
        <v>0</v>
      </c>
      <c r="F54" s="39">
        <f>IFERROR(BDH(TEXT($A54,"0000")&amp;" HK Equity","PX_LAST",$C54,$C54),"run on terminal")</f>
        <v/>
      </c>
      <c r="G54" s="10">
        <f>IF(NOT(ISNUMBER($F54)),"run on terminal",IF(ABS($F54/$D54-1)&lt;0.005,"MATCH","CHECK — BBG "&amp;TEXT($F54,"0.000")))</f>
        <v/>
      </c>
      <c r="H54" s="95" t="inlineStr">
        <is>
          <t>AAStocks listing date (was 2025-03-29); close from the local kline session list</t>
        </is>
      </c>
    </row>
    <row r="55">
      <c r="A55" s="90" t="inlineStr">
        <is>
          <t>3677</t>
        </is>
      </c>
      <c r="B55" s="16" t="inlineStr">
        <is>
          <t>ZENERGY</t>
        </is>
      </c>
      <c r="C55" s="96" t="inlineStr">
        <is>
          <t>2025-04-14</t>
        </is>
      </c>
      <c r="D55" s="97" t="n">
        <v>8.390000000000001</v>
      </c>
      <c r="E55" s="94" t="n">
        <v>1.45</v>
      </c>
      <c r="F55" s="39">
        <f>IFERROR(BDH(TEXT($A55,"0000")&amp;" HK Equity","PX_LAST",$C55,$C55),"run on terminal")</f>
        <v/>
      </c>
      <c r="G55" s="10">
        <f>IF(NOT(ISNUMBER($F55)),"run on terminal",IF(ABS($F55/$D55-1)&lt;0.005,"MATCH","CHECK — BBG "&amp;TEXT($F55,"0.000")))</f>
        <v/>
      </c>
      <c r="H55" s="95" t="inlineStr">
        <is>
          <t>AAStocks listing date (was 2025-04-12); close from the local kline session list</t>
        </is>
      </c>
    </row>
    <row r="56">
      <c r="A56" s="90" t="inlineStr">
        <is>
          <t>2609</t>
        </is>
      </c>
      <c r="B56" s="16" t="inlineStr">
        <is>
          <t>BAYZED HEALTH</t>
        </is>
      </c>
      <c r="C56" s="96" t="inlineStr">
        <is>
          <t>2025-06-23</t>
        </is>
      </c>
      <c r="D56" s="97" t="n">
        <v>6</v>
      </c>
      <c r="E56" s="94" t="n">
        <v>42.18</v>
      </c>
      <c r="F56" s="39">
        <f>IFERROR(BDH(TEXT($A56,"0000")&amp;" HK Equity","PX_LAST",$C56,$C56),"run on terminal")</f>
        <v/>
      </c>
      <c r="G56" s="10">
        <f>IF(NOT(ISNUMBER($F56)),"run on terminal",IF(ABS($F56/$D56-1)&lt;0.005,"MATCH","CHECK — BBG "&amp;TEXT($F56,"0.000")))</f>
        <v/>
      </c>
      <c r="H56" s="95" t="inlineStr">
        <is>
          <t>AAStocks listing date (was 2025-06-21); close from the local kline session list</t>
        </is>
      </c>
    </row>
    <row r="57">
      <c r="A57" s="90" t="inlineStr">
        <is>
          <t>2050</t>
        </is>
      </c>
      <c r="B57" s="16" t="inlineStr">
        <is>
          <t>SANHUA</t>
        </is>
      </c>
      <c r="C57" s="96" t="inlineStr">
        <is>
          <t>2025-06-23</t>
        </is>
      </c>
      <c r="D57" s="97" t="n">
        <v>22.501</v>
      </c>
      <c r="E57" s="94" t="n">
        <v>-0.13</v>
      </c>
      <c r="F57" s="39">
        <f>IFERROR(BDH(TEXT($A57,"0000")&amp;" HK Equity","PX_LAST",$C57,$C57),"run on terminal")</f>
        <v/>
      </c>
      <c r="G57" s="10">
        <f>IF(NOT(ISNUMBER($F57)),"run on terminal",IF(ABS($F57/$D57-1)&lt;0.005,"MATCH","CHECK — BBG "&amp;TEXT($F57,"0.000")))</f>
        <v/>
      </c>
      <c r="H57" s="95" t="inlineStr">
        <is>
          <t>AAStocks listing date (was 2025-06-21); close from the local kline session list</t>
        </is>
      </c>
    </row>
    <row r="58">
      <c r="A58" s="90" t="inlineStr">
        <is>
          <t>2617</t>
        </is>
      </c>
      <c r="B58" s="16" t="inlineStr">
        <is>
          <t>TRANSTHERA-B</t>
        </is>
      </c>
      <c r="C58" s="96" t="inlineStr">
        <is>
          <t>2025-06-23</t>
        </is>
      </c>
      <c r="D58" s="97" t="n">
        <v>23.5</v>
      </c>
      <c r="E58" s="94" t="n">
        <v>78.70999999999999</v>
      </c>
      <c r="F58" s="39">
        <f>IFERROR(BDH(TEXT($A58,"0000")&amp;" HK Equity","PX_LAST",$C58,$C58),"run on terminal")</f>
        <v/>
      </c>
      <c r="G58" s="10">
        <f>IF(NOT(ISNUMBER($F58)),"run on terminal",IF(ABS($F58/$D58-1)&lt;0.005,"MATCH","CHECK — BBG "&amp;TEXT($F58,"0.000")))</f>
        <v/>
      </c>
      <c r="H58" s="95" t="inlineStr">
        <is>
          <t>AAStocks listing date (was 2025-06-21); close from the local kline session list</t>
        </is>
      </c>
    </row>
    <row r="59">
      <c r="A59" s="90" t="inlineStr">
        <is>
          <t>6883</t>
        </is>
      </c>
      <c r="B59" s="16" t="inlineStr">
        <is>
          <t>ETERNAL BEAUTY</t>
        </is>
      </c>
      <c r="C59" s="96" t="inlineStr">
        <is>
          <t>2025-06-26</t>
        </is>
      </c>
      <c r="D59" s="97" t="n">
        <v>2.4</v>
      </c>
      <c r="E59" s="94" t="n">
        <v>-16.67</v>
      </c>
      <c r="F59" s="39">
        <f>IFERROR(BDH(TEXT($A59,"0000")&amp;" HK Equity","PX_LAST",$C59,$C59),"run on terminal")</f>
        <v/>
      </c>
      <c r="G59" s="10">
        <f>IF(NOT(ISNUMBER($F59)),"run on terminal",IF(ABS($F59/$D59-1)&lt;0.005,"MATCH","CHECK — BBG "&amp;TEXT($F59,"0.000")))</f>
        <v/>
      </c>
      <c r="H59" s="95" t="inlineStr">
        <is>
          <t>AAStocks listing date (was 2025-06-27); close from the local kline session list</t>
        </is>
      </c>
    </row>
    <row r="60">
      <c r="A60" s="90" t="inlineStr">
        <is>
          <t>9678</t>
        </is>
      </c>
      <c r="B60" s="16" t="inlineStr">
        <is>
          <t>UNISOUND</t>
        </is>
      </c>
      <c r="C60" s="96" t="inlineStr">
        <is>
          <t>2025-06-30</t>
        </is>
      </c>
      <c r="D60" s="97" t="n">
        <v>296.409</v>
      </c>
      <c r="E60" s="94" t="n">
        <v>44.59</v>
      </c>
      <c r="F60" s="39">
        <f>IFERROR(BDH(TEXT($A60,"0000")&amp;" HK Equity","PX_LAST",$C60,$C60),"run on terminal")</f>
        <v/>
      </c>
      <c r="G60" s="10">
        <f>IF(NOT(ISNUMBER($F60)),"run on terminal",IF(ABS($F60/$D60-1)&lt;0.005,"MATCH","CHECK — BBG "&amp;TEXT($F60,"0.000")))</f>
        <v/>
      </c>
      <c r="H60" s="95" t="inlineStr">
        <is>
          <t>AAStocks listing date (was 2025-06-28); close from the local kline session list</t>
        </is>
      </c>
    </row>
    <row r="61">
      <c r="A61" s="90" t="inlineStr">
        <is>
          <t>3880</t>
        </is>
      </c>
      <c r="B61" s="16" t="inlineStr">
        <is>
          <t>MEDTIDE</t>
        </is>
      </c>
      <c r="C61" s="96" t="inlineStr">
        <is>
          <t>2025-06-30</t>
        </is>
      </c>
      <c r="D61" s="97" t="n">
        <v>30.799</v>
      </c>
      <c r="E61" s="94" t="n">
        <v>0.65</v>
      </c>
      <c r="F61" s="39">
        <f>IFERROR(BDH(TEXT($A61,"0000")&amp;" HK Equity","PX_LAST",$C61,$C61),"run on terminal")</f>
        <v/>
      </c>
      <c r="G61" s="10">
        <f>IF(NOT(ISNUMBER($F61)),"run on terminal",IF(ABS($F61/$D61-1)&lt;0.005,"MATCH","CHECK — BBG "&amp;TEXT($F61,"0.000")))</f>
        <v/>
      </c>
      <c r="H61" s="95" t="inlineStr">
        <is>
          <t>AAStocks listing date (was 2025-06-28); close from the local kline session list</t>
        </is>
      </c>
    </row>
    <row r="62">
      <c r="A62" s="90" t="inlineStr">
        <is>
          <t>6603</t>
        </is>
      </c>
      <c r="B62" s="16" t="inlineStr">
        <is>
          <t>IFBH</t>
        </is>
      </c>
      <c r="C62" s="96" t="inlineStr">
        <is>
          <t>2025-06-30</t>
        </is>
      </c>
      <c r="D62" s="97" t="n">
        <v>39.501</v>
      </c>
      <c r="E62" s="94" t="n">
        <v>42.09</v>
      </c>
      <c r="F62" s="39">
        <f>IFERROR(BDH(TEXT($A62,"0000")&amp;" HK Equity","PX_LAST",$C62,$C62),"run on terminal")</f>
        <v/>
      </c>
      <c r="G62" s="10">
        <f>IF(NOT(ISNUMBER($F62)),"run on terminal",IF(ABS($F62/$D62-1)&lt;0.005,"MATCH","CHECK — BBG "&amp;TEXT($F62,"0.000")))</f>
        <v/>
      </c>
      <c r="H62" s="95" t="inlineStr">
        <is>
          <t>AAStocks listing date (was 2025-06-28); close from the local kline session list</t>
        </is>
      </c>
    </row>
    <row r="63">
      <c r="A63" s="90" t="inlineStr">
        <is>
          <t>1828</t>
        </is>
      </c>
      <c r="B63" s="16" t="inlineStr">
        <is>
          <t>FWD</t>
        </is>
      </c>
      <c r="C63" s="96" t="inlineStr">
        <is>
          <t>2025-07-07</t>
        </is>
      </c>
      <c r="D63" s="97" t="n">
        <v>38.399</v>
      </c>
      <c r="E63" s="94" t="n">
        <v>1.05</v>
      </c>
      <c r="F63" s="39">
        <f>IFERROR(BDH(TEXT($A63,"0000")&amp;" HK Equity","PX_LAST",$C63,$C63),"run on terminal")</f>
        <v/>
      </c>
      <c r="G63" s="10">
        <f>IF(NOT(ISNUMBER($F63)),"run on terminal",IF(ABS($F63/$D63-1)&lt;0.005,"MATCH","CHECK — BBG "&amp;TEXT($F63,"0.000")))</f>
        <v/>
      </c>
      <c r="H63" s="95" t="inlineStr">
        <is>
          <t>AAStocks listing date (was 2025-07-05); close from the local kline session list</t>
        </is>
      </c>
    </row>
    <row r="64">
      <c r="A64" s="90" t="inlineStr">
        <is>
          <t>2627</t>
        </is>
      </c>
      <c r="B64" s="16" t="inlineStr">
        <is>
          <t>AB&amp;B BIO-TECH-B</t>
        </is>
      </c>
      <c r="C64" s="96" t="inlineStr">
        <is>
          <t>2025-08-11</t>
        </is>
      </c>
      <c r="D64" s="97" t="n">
        <v>33.279</v>
      </c>
      <c r="E64" s="94" t="n">
        <v>157.98</v>
      </c>
      <c r="F64" s="39">
        <f>IFERROR(BDH(TEXT($A64,"0000")&amp;" HK Equity","PX_LAST",$C64,$C64),"run on terminal")</f>
        <v/>
      </c>
      <c r="G64" s="10">
        <f>IF(NOT(ISNUMBER($F64)),"run on terminal",IF(ABS($F64/$D64-1)&lt;0.005,"MATCH","CHECK — BBG "&amp;TEXT($F64,"0.000")))</f>
        <v/>
      </c>
      <c r="H64" s="95" t="inlineStr">
        <is>
          <t>AAStocks listing date (was 2025-08-09); close from the local kline session list</t>
        </is>
      </c>
    </row>
    <row r="65">
      <c r="A65" s="90" t="inlineStr">
        <is>
          <t>2652</t>
        </is>
      </c>
      <c r="B65" s="16" t="inlineStr">
        <is>
          <t>CF PHARMTECH</t>
        </is>
      </c>
      <c r="C65" s="96" t="inlineStr">
        <is>
          <t>2025-10-08</t>
        </is>
      </c>
      <c r="D65" s="97" t="n">
        <v>38.5</v>
      </c>
      <c r="E65" s="94" t="n">
        <v>161.02</v>
      </c>
      <c r="F65" s="39">
        <f>IFERROR(BDH(TEXT($A65,"0000")&amp;" HK Equity","PX_LAST",$C65,$C65),"run on terminal")</f>
        <v/>
      </c>
      <c r="G65" s="10">
        <f>IF(NOT(ISNUMBER($F65)),"run on terminal",IF(ABS($F65/$D65-1)&lt;0.005,"MATCH","CHECK — BBG "&amp;TEXT($F65,"0.000")))</f>
        <v/>
      </c>
      <c r="H65" s="95" t="inlineStr">
        <is>
          <t>AAStocks listing date (was 2025-10-07); close from the local kline session list</t>
        </is>
      </c>
    </row>
    <row r="66">
      <c r="A66" s="90" t="inlineStr">
        <is>
          <t>2637</t>
        </is>
      </c>
      <c r="B66" s="16" t="inlineStr">
        <is>
          <t>HAIXI PHARMA</t>
        </is>
      </c>
      <c r="C66" s="96" t="inlineStr">
        <is>
          <t>2025-10-20</t>
        </is>
      </c>
      <c r="D66" s="97" t="n">
        <v>104.198</v>
      </c>
      <c r="E66" s="94" t="n">
        <v>20.6</v>
      </c>
      <c r="F66" s="39">
        <f>IFERROR(BDH(TEXT($A66,"0000")&amp;" HK Equity","PX_LAST",$C66,$C66),"run on terminal")</f>
        <v/>
      </c>
      <c r="G66" s="10">
        <f>IF(NOT(ISNUMBER($F66)),"run on terminal",IF(ABS($F66/$D66-1)&lt;0.005,"MATCH","CHECK — BBG "&amp;TEXT($F66,"0.000")))</f>
        <v/>
      </c>
      <c r="H66" s="95" t="inlineStr">
        <is>
          <t>AAStocks listing date (was 2025-10-18); close from the local kline session list</t>
        </is>
      </c>
    </row>
    <row r="67">
      <c r="A67" s="90" t="inlineStr">
        <is>
          <t>2718</t>
        </is>
      </c>
      <c r="B67" s="16" t="inlineStr">
        <is>
          <t>MININGLAMP-W</t>
        </is>
      </c>
      <c r="C67" s="96" t="inlineStr">
        <is>
          <t>2025-11-03</t>
        </is>
      </c>
      <c r="D67" s="97" t="n">
        <v>290.601</v>
      </c>
      <c r="E67" s="94" t="n">
        <v>106.1</v>
      </c>
      <c r="F67" s="39">
        <f>IFERROR(BDH(TEXT($A67,"0000")&amp;" HK Equity","PX_LAST",$C67,$C67),"run on terminal")</f>
        <v/>
      </c>
      <c r="G67" s="10">
        <f>IF(NOT(ISNUMBER($F67)),"run on terminal",IF(ABS($F67/$D67-1)&lt;0.005,"MATCH","CHECK — BBG "&amp;TEXT($F67,"0.000")))</f>
        <v/>
      </c>
      <c r="H67" s="95" t="inlineStr">
        <is>
          <t>AAStocks listing date (was 2025-11-01); close from the local kline session list</t>
        </is>
      </c>
    </row>
    <row r="68">
      <c r="A68" s="90" t="inlineStr">
        <is>
          <t>2698</t>
        </is>
      </c>
      <c r="B68" s="16" t="inlineStr">
        <is>
          <t>SOFTCARE</t>
        </is>
      </c>
      <c r="C68" s="96" t="inlineStr">
        <is>
          <t>2025-11-10</t>
        </is>
      </c>
      <c r="D68" s="97" t="n">
        <v>32.999</v>
      </c>
      <c r="E68" s="94" t="n">
        <v>25.95</v>
      </c>
      <c r="F68" s="39">
        <f>IFERROR(BDH(TEXT($A68,"0000")&amp;" HK Equity","PX_LAST",$C68,$C68),"run on terminal")</f>
        <v/>
      </c>
      <c r="G68" s="10">
        <f>IF(NOT(ISNUMBER($F68)),"run on terminal",IF(ABS($F68/$D68-1)&lt;0.005,"MATCH","CHECK — BBG "&amp;TEXT($F68,"0.000")))</f>
        <v/>
      </c>
      <c r="H68" s="95" t="inlineStr">
        <is>
          <t>AAStocks listing date (was 2025-11-08); close from the local kline session list</t>
        </is>
      </c>
    </row>
    <row r="69">
      <c r="A69" s="90" t="inlineStr">
        <is>
          <t>2788</t>
        </is>
      </c>
      <c r="B69" s="16" t="inlineStr">
        <is>
          <t>CHUANGXIN IND</t>
        </is>
      </c>
      <c r="C69" s="96" t="inlineStr">
        <is>
          <t>2025-11-24</t>
        </is>
      </c>
      <c r="D69" s="97" t="n">
        <v>14.59</v>
      </c>
      <c r="E69" s="94" t="n">
        <v>32.76</v>
      </c>
      <c r="F69" s="39">
        <f>IFERROR(BDH(TEXT($A69,"0000")&amp;" HK Equity","PX_LAST",$C69,$C69),"run on terminal")</f>
        <v/>
      </c>
      <c r="G69" s="10">
        <f>IF(NOT(ISNUMBER($F69)),"run on terminal",IF(ABS($F69/$D69-1)&lt;0.005,"MATCH","CHECK — BBG "&amp;TEXT($F69,"0.000")))</f>
        <v/>
      </c>
      <c r="H69" s="95" t="inlineStr">
        <is>
          <t>AAStocks listing date (was 2025-11-22); close from the local kline session list</t>
        </is>
      </c>
    </row>
    <row r="70">
      <c r="A70" s="90" t="inlineStr">
        <is>
          <t>2676</t>
        </is>
      </c>
      <c r="B70" s="16" t="inlineStr">
        <is>
          <t>NOVOSENSE</t>
        </is>
      </c>
      <c r="C70" s="96" t="inlineStr">
        <is>
          <t>2025-12-08</t>
        </is>
      </c>
      <c r="D70" s="97" t="n">
        <v>111</v>
      </c>
      <c r="E70" s="94" t="n">
        <v>-4.31</v>
      </c>
      <c r="F70" s="39">
        <f>IFERROR(BDH(TEXT($A70,"0000")&amp;" HK Equity","PX_LAST",$C70,$C70),"run on terminal")</f>
        <v/>
      </c>
      <c r="G70" s="10">
        <f>IF(NOT(ISNUMBER($F70)),"run on terminal",IF(ABS($F70/$D70-1)&lt;0.005,"MATCH","CHECK — BBG "&amp;TEXT($F70,"0.000")))</f>
        <v/>
      </c>
      <c r="H70" s="95" t="inlineStr">
        <is>
          <t>AAStocks listing date (was 2025-12-06); close from the local kline session list</t>
        </is>
      </c>
    </row>
    <row r="71">
      <c r="A71" s="90" t="inlineStr">
        <is>
          <t>2687</t>
        </is>
      </c>
      <c r="B71" s="16" t="inlineStr">
        <is>
          <t>ABLE DIGITAL</t>
        </is>
      </c>
      <c r="C71" s="96" t="inlineStr">
        <is>
          <t>2025-12-08</t>
        </is>
      </c>
      <c r="D71" s="97" t="n">
        <v>126.401</v>
      </c>
      <c r="E71" s="94" t="n">
        <v>87.26000000000001</v>
      </c>
      <c r="F71" s="39">
        <f>IFERROR(BDH(TEXT($A71,"0000")&amp;" HK Equity","PX_LAST",$C71,$C71),"run on terminal")</f>
        <v/>
      </c>
      <c r="G71" s="10">
        <f>IF(NOT(ISNUMBER($F71)),"run on terminal",IF(ABS($F71/$D71-1)&lt;0.005,"MATCH","CHECK — BBG "&amp;TEXT($F71,"0.000")))</f>
        <v/>
      </c>
      <c r="H71" s="95" t="inlineStr">
        <is>
          <t>AAStocks listing date (was 2025-12-06); close from the local kline session list</t>
        </is>
      </c>
    </row>
    <row r="72">
      <c r="A72" s="90" t="inlineStr">
        <is>
          <t>2695</t>
        </is>
      </c>
      <c r="B72" s="16" t="inlineStr">
        <is>
          <t>IMPRESSION DHP</t>
        </is>
      </c>
      <c r="C72" s="96" t="inlineStr">
        <is>
          <t>2025-12-22</t>
        </is>
      </c>
      <c r="D72" s="97" t="n">
        <v>2.33</v>
      </c>
      <c r="E72" s="94" t="n">
        <v>-35.28</v>
      </c>
      <c r="F72" s="39">
        <f>IFERROR(BDH(TEXT($A72,"0000")&amp;" HK Equity","PX_LAST",$C72,$C72),"run on terminal")</f>
        <v/>
      </c>
      <c r="G72" s="10">
        <f>IF(NOT(ISNUMBER($F72)),"run on terminal",IF(ABS($F72/$D72-1)&lt;0.005,"MATCH","CHECK — BBG "&amp;TEXT($F72,"0.000")))</f>
        <v/>
      </c>
      <c r="H72" s="95" t="inlineStr">
        <is>
          <t>AAStocks listing date (was 2025-12-20); close from the local kline session list</t>
        </is>
      </c>
    </row>
    <row r="73">
      <c r="A73" s="90" t="inlineStr">
        <is>
          <t>2396</t>
        </is>
      </c>
      <c r="B73" s="16" t="inlineStr">
        <is>
          <t>B&amp;K CORP-B</t>
        </is>
      </c>
      <c r="C73" s="96" t="inlineStr">
        <is>
          <t>2025-12-22</t>
        </is>
      </c>
      <c r="D73" s="97" t="n">
        <v>27</v>
      </c>
      <c r="E73" s="94" t="n">
        <v>-29.32</v>
      </c>
      <c r="F73" s="39">
        <f>IFERROR(BDH(TEXT($A73,"0000")&amp;" HK Equity","PX_LAST",$C73,$C73),"run on terminal")</f>
        <v/>
      </c>
      <c r="G73" s="10">
        <f>IF(NOT(ISNUMBER($F73)),"run on terminal",IF(ABS($F73/$D73-1)&lt;0.005,"MATCH","CHECK — BBG "&amp;TEXT($F73,"0.000")))</f>
        <v/>
      </c>
      <c r="H73" s="95" t="inlineStr">
        <is>
          <t>AAStocks listing date (was 2025-12-20); close from the local kline session list</t>
        </is>
      </c>
    </row>
    <row r="74">
      <c r="A74" s="90" t="inlineStr">
        <is>
          <t>2581</t>
        </is>
      </c>
      <c r="B74" s="16" t="inlineStr">
        <is>
          <t>BENQ HOLDING</t>
        </is>
      </c>
      <c r="C74" s="96" t="inlineStr">
        <is>
          <t>2025-12-22</t>
        </is>
      </c>
      <c r="D74" s="97" t="n">
        <v>4.72</v>
      </c>
      <c r="E74" s="94" t="n">
        <v>-49.46</v>
      </c>
      <c r="F74" s="39">
        <f>IFERROR(BDH(TEXT($A74,"0000")&amp;" HK Equity","PX_LAST",$C74,$C74),"run on terminal")</f>
        <v/>
      </c>
      <c r="G74" s="10">
        <f>IF(NOT(ISNUMBER($F74)),"run on terminal",IF(ABS($F74/$D74-1)&lt;0.005,"MATCH","CHECK — BBG "&amp;TEXT($F74,"0.000")))</f>
        <v/>
      </c>
      <c r="H74" s="95" t="inlineStr">
        <is>
          <t>AAStocks listing date (was 2025-12-20); close from the local kline session list</t>
        </is>
      </c>
    </row>
    <row r="75">
      <c r="A75" s="90" t="inlineStr">
        <is>
          <t>2691</t>
        </is>
      </c>
      <c r="B75" s="16" t="inlineStr">
        <is>
          <t>NANHUA FUTURES</t>
        </is>
      </c>
      <c r="C75" s="96" t="inlineStr">
        <is>
          <t>2025-12-22</t>
        </is>
      </c>
      <c r="D75" s="97" t="n">
        <v>9.1</v>
      </c>
      <c r="E75" s="94" t="n">
        <v>-24.17</v>
      </c>
      <c r="F75" s="39">
        <f>IFERROR(BDH(TEXT($A75,"0000")&amp;" HK Equity","PX_LAST",$C75,$C75),"run on terminal")</f>
        <v/>
      </c>
      <c r="G75" s="10">
        <f>IF(NOT(ISNUMBER($F75)),"run on terminal",IF(ABS($F75/$D75-1)&lt;0.005,"MATCH","CHECK — BBG "&amp;TEXT($F75,"0.000")))</f>
        <v/>
      </c>
      <c r="H75" s="95" t="inlineStr">
        <is>
          <t>AAStocks listing date (was 2025-12-20); close from the local kline session list</t>
        </is>
      </c>
    </row>
    <row r="76">
      <c r="A76" s="90" t="inlineStr">
        <is>
          <t>6082</t>
        </is>
      </c>
      <c r="B76" s="16" t="inlineStr">
        <is>
          <t>BIREN TECH</t>
        </is>
      </c>
      <c r="C76" s="96" t="inlineStr">
        <is>
          <t>2026-01-02</t>
        </is>
      </c>
      <c r="D76" s="97" t="n">
        <v>34.461</v>
      </c>
      <c r="E76" s="94" t="n">
        <v>75.81999999999999</v>
      </c>
      <c r="F76" s="39">
        <f>IFERROR(BDH(TEXT($A76,"0000")&amp;" HK Equity","PX_LAST",$C76,$C76),"run on terminal")</f>
        <v/>
      </c>
      <c r="G76" s="10">
        <f>IF(NOT(ISNUMBER($F76)),"run on terminal",IF(ABS($F76/$D76-1)&lt;0.005,"MATCH","CHECK — BBG "&amp;TEXT($F76,"0.000")))</f>
        <v/>
      </c>
      <c r="H76" s="95" t="inlineStr">
        <is>
          <t>AAStocks listing date (was 2026-01-01); close from the local kline session list</t>
        </is>
      </c>
    </row>
    <row r="77">
      <c r="A77" s="90" t="inlineStr">
        <is>
          <t>0501</t>
        </is>
      </c>
      <c r="B77" s="16" t="inlineStr">
        <is>
          <t>OMNIVISION</t>
        </is>
      </c>
      <c r="C77" s="96" t="inlineStr">
        <is>
          <t>2026-01-12</t>
        </is>
      </c>
      <c r="D77" s="97" t="n">
        <v>121.799</v>
      </c>
      <c r="E77" s="94" t="n">
        <v>16.22</v>
      </c>
      <c r="F77" s="39">
        <f>IFERROR(BDH(TEXT($A77,"0000")&amp;" HK Equity","PX_LAST",$C77,$C77),"run on terminal")</f>
        <v/>
      </c>
      <c r="G77" s="10">
        <f>IF(NOT(ISNUMBER($F77)),"run on terminal",IF(ABS($F77/$D77-1)&lt;0.005,"MATCH","CHECK — BBG "&amp;TEXT($F77,"0.000")))</f>
        <v/>
      </c>
      <c r="H77" s="95" t="inlineStr">
        <is>
          <t>AAStocks listing date (was 2026-01-10); close from the local kline session list</t>
        </is>
      </c>
    </row>
    <row r="78">
      <c r="A78" s="90" t="inlineStr">
        <is>
          <t>6809</t>
        </is>
      </c>
      <c r="B78" s="16" t="inlineStr">
        <is>
          <t>MONTAGE TECH</t>
        </is>
      </c>
      <c r="C78" s="96" t="inlineStr">
        <is>
          <t>2026-02-09</t>
        </is>
      </c>
      <c r="D78" s="97" t="n">
        <v>175</v>
      </c>
      <c r="E78" s="94" t="n">
        <v>63.72</v>
      </c>
      <c r="F78" s="39">
        <f>IFERROR(BDH(TEXT($A78,"0000")&amp;" HK Equity","PX_LAST",$C78,$C78),"run on terminal")</f>
        <v/>
      </c>
      <c r="G78" s="10">
        <f>IF(NOT(ISNUMBER($F78)),"run on terminal",IF(ABS($F78/$D78-1)&lt;0.005,"MATCH","CHECK — BBG "&amp;TEXT($F78,"0.000")))</f>
        <v/>
      </c>
      <c r="H78" s="95" t="inlineStr">
        <is>
          <t>AAStocks listing date (was 2026-02-07); close from the local kline session list</t>
        </is>
      </c>
    </row>
    <row r="79">
      <c r="A79" s="90" t="inlineStr">
        <is>
          <t>2715</t>
        </is>
      </c>
      <c r="B79" s="16" t="inlineStr">
        <is>
          <t>ESTUN</t>
        </is>
      </c>
      <c r="C79" s="96" t="inlineStr">
        <is>
          <t>2026-03-09</t>
        </is>
      </c>
      <c r="D79" s="97" t="n">
        <v>12.899</v>
      </c>
      <c r="E79" s="94" t="n">
        <v>-16.02</v>
      </c>
      <c r="F79" s="39">
        <f>IFERROR(BDH(TEXT($A79,"0000")&amp;" HK Equity","PX_LAST",$C79,$C79),"run on terminal")</f>
        <v/>
      </c>
      <c r="G79" s="10">
        <f>IF(NOT(ISNUMBER($F79)),"run on terminal",IF(ABS($F79/$D79-1)&lt;0.005,"MATCH","CHECK — BBG "&amp;TEXT($F79,"0.000")))</f>
        <v/>
      </c>
      <c r="H79" s="95" t="inlineStr">
        <is>
          <t>AAStocks listing date (was 2026-03-07); close from the local kline session list</t>
        </is>
      </c>
    </row>
    <row r="80">
      <c r="A80" s="90" t="inlineStr">
        <is>
          <t>2649</t>
        </is>
      </c>
      <c r="B80" s="16" t="inlineStr">
        <is>
          <t>ALSCO POOLING</t>
        </is>
      </c>
      <c r="C80" s="96" t="inlineStr">
        <is>
          <t>2026-03-09</t>
        </is>
      </c>
      <c r="D80" s="97" t="n">
        <v>6.2</v>
      </c>
      <c r="E80" s="94" t="n">
        <v>-43.64</v>
      </c>
      <c r="F80" s="39">
        <f>IFERROR(BDH(TEXT($A80,"0000")&amp;" HK Equity","PX_LAST",$C80,$C80),"run on terminal")</f>
        <v/>
      </c>
      <c r="G80" s="10">
        <f>IF(NOT(ISNUMBER($F80)),"run on terminal",IF(ABS($F80/$D80-1)&lt;0.005,"MATCH","CHECK — BBG "&amp;TEXT($F80,"0.000")))</f>
        <v/>
      </c>
      <c r="H80" s="95" t="inlineStr">
        <is>
          <t>AAStocks listing date (was 2026-03-07); close from the local kline session list</t>
        </is>
      </c>
    </row>
    <row r="81">
      <c r="A81" s="90" t="inlineStr">
        <is>
          <t>2692</t>
        </is>
      </c>
      <c r="B81" s="16" t="inlineStr">
        <is>
          <t>ZHAOWEI</t>
        </is>
      </c>
      <c r="C81" s="96" t="inlineStr">
        <is>
          <t>2026-03-09</t>
        </is>
      </c>
      <c r="D81" s="97" t="n">
        <v>72.998</v>
      </c>
      <c r="E81" s="94" t="n">
        <v>2.41</v>
      </c>
      <c r="F81" s="39">
        <f>IFERROR(BDH(TEXT($A81,"0000")&amp;" HK Equity","PX_LAST",$C81,$C81),"run on terminal")</f>
        <v/>
      </c>
      <c r="G81" s="10">
        <f>IF(NOT(ISNUMBER($F81)),"run on terminal",IF(ABS($F81/$D81-1)&lt;0.005,"MATCH","CHECK — BBG "&amp;TEXT($F81,"0.000")))</f>
        <v/>
      </c>
      <c r="H81" s="95" t="inlineStr">
        <is>
          <t>AAStocks listing date (was 2026-03-07); close from the local kline session list</t>
        </is>
      </c>
    </row>
    <row r="82">
      <c r="A82" s="90" t="inlineStr">
        <is>
          <t>2701</t>
        </is>
      </c>
      <c r="B82" s="16" t="inlineStr">
        <is>
          <t>NSING TECH</t>
        </is>
      </c>
      <c r="C82" s="96" t="inlineStr">
        <is>
          <t>2026-03-23</t>
        </is>
      </c>
      <c r="D82" s="97" t="n">
        <v>11.25</v>
      </c>
      <c r="E82" s="94" t="n">
        <v>4.17</v>
      </c>
      <c r="F82" s="39">
        <f>IFERROR(BDH(TEXT($A82,"0000")&amp;" HK Equity","PX_LAST",$C82,$C82),"run on terminal")</f>
        <v/>
      </c>
      <c r="G82" s="10">
        <f>IF(NOT(ISNUMBER($F82)),"run on terminal",IF(ABS($F82/$D82-1)&lt;0.005,"MATCH","CHECK — BBG "&amp;TEXT($F82,"0.000")))</f>
        <v/>
      </c>
      <c r="H82" s="95" t="inlineStr">
        <is>
          <t>AAStocks listing date (was 2026-03-21); close from the local kline session list</t>
        </is>
      </c>
    </row>
    <row r="83">
      <c r="A83" s="90" t="inlineStr">
        <is>
          <t>3355</t>
        </is>
      </c>
      <c r="B83" s="16" t="inlineStr">
        <is>
          <t>FS.COM</t>
        </is>
      </c>
      <c r="C83" s="96" t="inlineStr">
        <is>
          <t>2026-03-23</t>
        </is>
      </c>
      <c r="D83" s="97" t="n">
        <v>47.199</v>
      </c>
      <c r="E83" s="94" t="n">
        <v>13.46</v>
      </c>
      <c r="F83" s="39">
        <f>IFERROR(BDH(TEXT($A83,"0000")&amp;" HK Equity","PX_LAST",$C83,$C83),"run on terminal")</f>
        <v/>
      </c>
      <c r="G83" s="10">
        <f>IF(NOT(ISNUMBER($F83)),"run on terminal",IF(ABS($F83/$D83-1)&lt;0.005,"MATCH","CHECK — BBG "&amp;TEXT($F83,"0.000")))</f>
        <v/>
      </c>
      <c r="H83" s="95" t="inlineStr">
        <is>
          <t>AAStocks listing date (was 2026-03-21); close from the local kline session list</t>
        </is>
      </c>
    </row>
    <row r="84">
      <c r="A84" s="90" t="inlineStr">
        <is>
          <t>2726</t>
        </is>
      </c>
      <c r="B84" s="16" t="inlineStr">
        <is>
          <t>EPIWORLD</t>
        </is>
      </c>
      <c r="C84" s="96" t="inlineStr">
        <is>
          <t>2026-03-30</t>
        </is>
      </c>
      <c r="D84" s="97" t="n">
        <v>102.997</v>
      </c>
      <c r="E84" s="94" t="n">
        <v>35.06</v>
      </c>
      <c r="F84" s="39">
        <f>IFERROR(BDH(TEXT($A84,"0000")&amp;" HK Equity","PX_LAST",$C84,$C84),"run on terminal")</f>
        <v/>
      </c>
      <c r="G84" s="10">
        <f>IF(NOT(ISNUMBER($F84)),"run on terminal",IF(ABS($F84/$D84-1)&lt;0.005,"MATCH","CHECK — BBG "&amp;TEXT($F84,"0.000")))</f>
        <v/>
      </c>
      <c r="H84" s="95" t="inlineStr">
        <is>
          <t>AAStocks listing date (was 2026-03-28); close from the local kline session list</t>
        </is>
      </c>
    </row>
    <row r="85">
      <c r="A85" s="90" t="inlineStr">
        <is>
          <t>2526</t>
        </is>
      </c>
      <c r="B85" s="16" t="inlineStr">
        <is>
          <t>DIAGENS-B</t>
        </is>
      </c>
      <c r="C85" s="96" t="inlineStr">
        <is>
          <t>2026-03-30</t>
        </is>
      </c>
      <c r="D85" s="97" t="n">
        <v>209.603</v>
      </c>
      <c r="E85" s="94" t="n">
        <v>111.72</v>
      </c>
      <c r="F85" s="39">
        <f>IFERROR(BDH(TEXT($A85,"0000")&amp;" HK Equity","PX_LAST",$C85,$C85),"run on terminal")</f>
        <v/>
      </c>
      <c r="G85" s="10">
        <f>IF(NOT(ISNUMBER($F85)),"run on terminal",IF(ABS($F85/$D85-1)&lt;0.005,"MATCH","CHECK — BBG "&amp;TEXT($F85,"0.000")))</f>
        <v/>
      </c>
      <c r="H85" s="95" t="inlineStr">
        <is>
          <t>AAStocks listing date (was 2026-03-28); close from the local kline session list</t>
        </is>
      </c>
    </row>
    <row r="86">
      <c r="A86" s="90" t="inlineStr">
        <is>
          <t>6636</t>
        </is>
      </c>
      <c r="B86" s="16" t="inlineStr">
        <is>
          <t>EXTREME VISION</t>
        </is>
      </c>
      <c r="C86" s="96" t="inlineStr">
        <is>
          <t>2026-03-30</t>
        </is>
      </c>
      <c r="D86" s="97" t="n">
        <v>100</v>
      </c>
      <c r="E86" s="94" t="n">
        <v>150</v>
      </c>
      <c r="F86" s="39">
        <f>IFERROR(BDH(TEXT($A86,"0000")&amp;" HK Equity","PX_LAST",$C86,$C86),"run on terminal")</f>
        <v/>
      </c>
      <c r="G86" s="10">
        <f>IF(NOT(ISNUMBER($F86)),"run on terminal",IF(ABS($F86/$D86-1)&lt;0.005,"MATCH","CHECK — BBG "&amp;TEXT($F86,"0.000")))</f>
        <v/>
      </c>
      <c r="H86" s="95" t="inlineStr">
        <is>
          <t>AAStocks listing date (was 2026-03-28); close from the local kline session list</t>
        </is>
      </c>
    </row>
    <row r="87">
      <c r="A87" s="90" t="inlineStr">
        <is>
          <t>1021</t>
        </is>
      </c>
      <c r="B87" s="16" t="inlineStr">
        <is>
          <t>HUAYAN ROBOTICS</t>
        </is>
      </c>
      <c r="C87" s="96" t="inlineStr">
        <is>
          <t>2026-03-30</t>
        </is>
      </c>
      <c r="D87" s="97" t="n">
        <v>18.401</v>
      </c>
      <c r="E87" s="94" t="n">
        <v>8.24</v>
      </c>
      <c r="F87" s="39">
        <f>IFERROR(BDH(TEXT($A87,"0000")&amp;" HK Equity","PX_LAST",$C87,$C87),"run on terminal")</f>
        <v/>
      </c>
      <c r="G87" s="10">
        <f>IF(NOT(ISNUMBER($F87)),"run on terminal",IF(ABS($F87/$D87-1)&lt;0.005,"MATCH","CHECK — BBG "&amp;TEXT($F87,"0.000")))</f>
        <v/>
      </c>
      <c r="H87" s="95" t="inlineStr">
        <is>
          <t>AAStocks listing date (was 2026-03-28); close from the local kline session list</t>
        </is>
      </c>
    </row>
    <row r="88">
      <c r="A88" s="90" t="inlineStr">
        <is>
          <t>1236</t>
        </is>
      </c>
      <c r="B88" s="16" t="inlineStr">
        <is>
          <t>LDROBOT</t>
        </is>
      </c>
      <c r="C88" s="96" t="inlineStr">
        <is>
          <t>2026-05-11</t>
        </is>
      </c>
      <c r="D88" s="97" t="n">
        <v>60.001</v>
      </c>
      <c r="E88" s="94" t="n">
        <v>127.62</v>
      </c>
      <c r="F88" s="39">
        <f>IFERROR(BDH(TEXT($A88,"0000")&amp;" HK Equity","PX_LAST",$C88,$C88),"run on terminal")</f>
        <v/>
      </c>
      <c r="G88" s="10">
        <f>IF(NOT(ISNUMBER($F88)),"run on terminal",IF(ABS($F88/$D88-1)&lt;0.005,"MATCH","CHECK — BBG "&amp;TEXT($F88,"0.000")))</f>
        <v/>
      </c>
      <c r="H88" s="95" t="inlineStr">
        <is>
          <t>AAStocks listing date (was 2026-05-09); close from the local kline session list</t>
        </is>
      </c>
    </row>
    <row r="89">
      <c r="A89" s="90" t="inlineStr">
        <is>
          <t>6871</t>
        </is>
      </c>
      <c r="B89" s="16" t="inlineStr">
        <is>
          <t>ROBOTPHOENIX</t>
        </is>
      </c>
      <c r="C89" s="96" t="inlineStr">
        <is>
          <t>2026-05-18</t>
        </is>
      </c>
      <c r="D89" s="97" t="n">
        <v>53.75</v>
      </c>
      <c r="E89" s="94" t="n">
        <v>76.23</v>
      </c>
      <c r="F89" s="39">
        <f>IFERROR(BDH(TEXT($A89,"0000")&amp;" HK Equity","PX_LAST",$C89,$C89),"run on terminal")</f>
        <v/>
      </c>
      <c r="G89" s="10">
        <f>IF(NOT(ISNUMBER($F89)),"run on terminal",IF(ABS($F89/$D89-1)&lt;0.005,"MATCH","CHECK — BBG "&amp;TEXT($F89,"0.000")))</f>
        <v/>
      </c>
      <c r="H89" s="95" t="inlineStr">
        <is>
          <t>AAStocks listing date (was 2026-05-16); close from the local kline session list</t>
        </is>
      </c>
    </row>
    <row r="90">
      <c r="A90" s="90" t="inlineStr">
        <is>
          <t>6658</t>
        </is>
      </c>
      <c r="B90" s="16" t="inlineStr">
        <is>
          <t>LIULIUMEI</t>
        </is>
      </c>
      <c r="C90" s="96" t="inlineStr">
        <is>
          <t>2026-06-15</t>
        </is>
      </c>
      <c r="D90" s="97" t="n">
        <v>127.999</v>
      </c>
      <c r="E90" s="94" t="n">
        <v>193.71</v>
      </c>
      <c r="F90" s="39">
        <f>IFERROR(BDH(TEXT($A90,"0000")&amp;" HK Equity","PX_LAST",$C90,$C90),"run on terminal")</f>
        <v/>
      </c>
      <c r="G90" s="10">
        <f>IF(NOT(ISNUMBER($F90)),"run on terminal",IF(ABS($F90/$D90-1)&lt;0.005,"MATCH","CHECK — BBG "&amp;TEXT($F90,"0.000")))</f>
        <v/>
      </c>
      <c r="H90" s="95" t="inlineStr">
        <is>
          <t>AAStocks listing date (was 2026-06-13); close from the local kline session list</t>
        </is>
      </c>
    </row>
    <row r="91">
      <c r="A91" s="90" t="inlineStr">
        <is>
          <t>1392</t>
        </is>
      </c>
      <c r="B91" s="16" t="inlineStr">
        <is>
          <t>HQVT</t>
        </is>
      </c>
      <c r="C91" s="96" t="inlineStr">
        <is>
          <t>2026-06-22</t>
        </is>
      </c>
      <c r="D91" s="97" t="n">
        <v>26.7</v>
      </c>
      <c r="E91" s="94" t="n">
        <v>270.83</v>
      </c>
      <c r="F91" s="39">
        <f>IFERROR(BDH(TEXT($A91,"0000")&amp;" HK Equity","PX_LAST",$C91,$C91),"run on terminal")</f>
        <v/>
      </c>
      <c r="G91" s="10">
        <f>IF(NOT(ISNUMBER($F91)),"run on terminal",IF(ABS($F91/$D91-1)&lt;0.005,"MATCH","CHECK — BBG "&amp;TEXT($F91,"0.000")))</f>
        <v/>
      </c>
      <c r="H91" s="95" t="inlineStr">
        <is>
          <t>AAStocks listing date (was 2026-06-19); close from the local kline session list</t>
        </is>
      </c>
    </row>
    <row r="92">
      <c r="A92" s="90" t="inlineStr">
        <is>
          <t>2672</t>
        </is>
      </c>
      <c r="B92" s="16" t="inlineStr">
        <is>
          <t>BAIGE DIGITAL</t>
        </is>
      </c>
      <c r="C92" s="96" t="inlineStr">
        <is>
          <t>2026-06-29</t>
        </is>
      </c>
      <c r="D92" s="97" t="n">
        <v>73</v>
      </c>
      <c r="E92" s="94" t="n">
        <v>367.95</v>
      </c>
      <c r="F92" s="39">
        <f>IFERROR(BDH(TEXT($A92,"0000")&amp;" HK Equity","PX_LAST",$C92,$C92),"run on terminal")</f>
        <v/>
      </c>
      <c r="G92" s="10">
        <f>IF(NOT(ISNUMBER($F92)),"run on terminal",IF(ABS($F92/$D92-1)&lt;0.005,"MATCH","CHECK — BBG "&amp;TEXT($F92,"0.000")))</f>
        <v/>
      </c>
      <c r="H92" s="95" t="inlineStr">
        <is>
          <t>AAStocks listing date (was 2026-06-27); close from the local kline session list</t>
        </is>
      </c>
    </row>
    <row r="93">
      <c r="A93" s="90" t="inlineStr">
        <is>
          <t>1191</t>
        </is>
      </c>
      <c r="B93" s="16" t="inlineStr">
        <is>
          <t>CREALIGHTS</t>
        </is>
      </c>
      <c r="C93" s="96" t="inlineStr">
        <is>
          <t>2026-06-29</t>
        </is>
      </c>
      <c r="D93" s="97" t="n">
        <v>165.004</v>
      </c>
      <c r="E93" s="94" t="n">
        <v>44.74</v>
      </c>
      <c r="F93" s="39">
        <f>IFERROR(BDH(TEXT($A93,"0000")&amp;" HK Equity","PX_LAST",$C93,$C93),"run on terminal")</f>
        <v/>
      </c>
      <c r="G93" s="10">
        <f>IF(NOT(ISNUMBER($F93)),"run on terminal",IF(ABS($F93/$D93-1)&lt;0.005,"MATCH","CHECK — BBG "&amp;TEXT($F93,"0.000")))</f>
        <v/>
      </c>
      <c r="H93" s="95" t="inlineStr">
        <is>
          <t>AAStocks listing date (was 2026-06-27); close from the local kline session list</t>
        </is>
      </c>
    </row>
    <row r="94">
      <c r="A94" s="90" t="inlineStr">
        <is>
          <t>9637</t>
        </is>
      </c>
      <c r="B94" s="16" t="inlineStr">
        <is>
          <t>ALEBUND-B</t>
        </is>
      </c>
      <c r="C94" s="96" t="inlineStr">
        <is>
          <t>2026-06-29</t>
        </is>
      </c>
      <c r="D94" s="97" t="n">
        <v>46</v>
      </c>
      <c r="E94" s="94" t="n">
        <v>103.54</v>
      </c>
      <c r="F94" s="39">
        <f>IFERROR(BDH(TEXT($A94,"0000")&amp;" HK Equity","PX_LAST",$C94,$C94),"run on terminal")</f>
        <v/>
      </c>
      <c r="G94" s="10">
        <f>IF(NOT(ISNUMBER($F94)),"run on terminal",IF(ABS($F94/$D94-1)&lt;0.005,"MATCH","CHECK — BBG "&amp;TEXT($F94,"0.000")))</f>
        <v/>
      </c>
      <c r="H94" s="95" t="inlineStr">
        <is>
          <t>AAStocks listing date (was 2026-06-27); close from the local kline session list</t>
        </is>
      </c>
    </row>
    <row r="95">
      <c r="A95" s="90" t="inlineStr">
        <is>
          <t>0668</t>
        </is>
      </c>
      <c r="B95" s="16" t="inlineStr">
        <is>
          <t>ANKER</t>
        </is>
      </c>
      <c r="C95" s="96" t="inlineStr">
        <is>
          <t>2026-07-02</t>
        </is>
      </c>
      <c r="D95" s="97" t="n">
        <v>114.903</v>
      </c>
      <c r="E95" s="94" t="n">
        <v>15.69</v>
      </c>
      <c r="F95" s="39">
        <f>IFERROR(BDH(TEXT($A95,"0000")&amp;" HK Equity","PX_LAST",$C95,$C95),"run on terminal")</f>
        <v/>
      </c>
      <c r="G95" s="10">
        <f>IF(NOT(ISNUMBER($F95)),"run on terminal",IF(ABS($F95/$D95-1)&lt;0.005,"MATCH","CHECK — BBG "&amp;TEXT($F95,"0.000")))</f>
        <v/>
      </c>
      <c r="H95" s="95" t="inlineStr">
        <is>
          <t>AAStocks listing date (was 2026-07-01); close from the local kline session list</t>
        </is>
      </c>
    </row>
    <row r="96"/>
    <row r="97">
      <c r="A97" s="14" t="inlineStr">
        <is>
          <t>B · OFFER PRICE  (8 deals — the filing parse had returned the MAXIMUM offer price, or a figure that was not a price at all)</t>
        </is>
      </c>
    </row>
    <row r="98">
      <c r="A98" s="12" t="inlineStr">
        <is>
          <t>Code</t>
        </is>
      </c>
      <c r="B98" s="12" t="inlineStr">
        <is>
          <t>Name</t>
        </is>
      </c>
      <c r="C98" s="12" t="inlineStr">
        <is>
          <t>Our offer price</t>
        </is>
      </c>
      <c r="D98" s="12" t="inlineStr"/>
      <c r="E98" s="12" t="inlineStr"/>
      <c r="F98" s="12" t="inlineStr">
        <is>
          <t>BBG offer price</t>
        </is>
      </c>
      <c r="G98" s="12" t="inlineStr">
        <is>
          <t>VERDICT</t>
        </is>
      </c>
      <c r="H98" s="12" t="inlineStr">
        <is>
          <t>What we relied on</t>
        </is>
      </c>
    </row>
    <row r="99">
      <c r="A99" s="90" t="inlineStr">
        <is>
          <t>2672</t>
        </is>
      </c>
      <c r="B99" s="16" t="inlineStr">
        <is>
          <t>BAIGE DIGITAL</t>
        </is>
      </c>
      <c r="C99" s="97" t="n">
        <v>15.6</v>
      </c>
      <c r="F99" s="98">
        <f>IFERROR(BDP(TEXT($A99,"0000")&amp;" HK Equity","EQY_INIT_PO_SH_PRC"),"run on terminal")</f>
        <v/>
      </c>
      <c r="G99" s="10">
        <f>IF(NOT(ISNUMBER($F99)),"run on terminal",IF(ABS($F99/$C99-1)&lt;0.005,"MATCH","CHECK — BBG "&amp;TEXT($F99,"0.000")))</f>
        <v/>
      </c>
      <c r="H99" s="95" t="inlineStr">
        <is>
          <t xml:space="preserve">OFFER PRICE: 10jqka 2026-06-29 + ifeng: 发行价15.6港元, 收报73港元 首日+367.95%, 全球发售3334.44万股, 募资总额5.2亿港元. The parse's 54,382,183 was the LISTING EXPENSES line </t>
        </is>
      </c>
    </row>
    <row r="100">
      <c r="A100" s="90" t="inlineStr">
        <is>
          <t>2525</t>
        </is>
      </c>
      <c r="B100" s="16" t="inlineStr">
        <is>
          <t>HESAI-W</t>
        </is>
      </c>
      <c r="C100" s="97" t="n">
        <v>212.8</v>
      </c>
      <c r="F100" s="98">
        <f>IFERROR(BDP(TEXT($A100,"0000")&amp;" HK Equity","EQY_INIT_PO_SH_PRC"),"run on terminal")</f>
        <v/>
      </c>
      <c r="G100" s="10">
        <f>IF(NOT(ISNUMBER($F100)),"run on terminal",IF(ABS($F100/$C100-1)&lt;0.005,"MATCH","CHECK — BBG "&amp;TEXT($F100,"0.000")))</f>
        <v/>
      </c>
      <c r="H100" s="95" t="inlineStr">
        <is>
          <t>OFFER PRICE: STCN + HKEX allotment 2025-09-15 (2025091501458.pdf): 发行价212.80港元, 收报234港元 +9.96%, 19,550,000 offer shares incl. fully-exercised offer-si</t>
        </is>
      </c>
    </row>
    <row r="101">
      <c r="A101" s="90" t="inlineStr">
        <is>
          <t>2026</t>
        </is>
      </c>
      <c r="B101" s="16" t="inlineStr">
        <is>
          <t>PONY-W</t>
        </is>
      </c>
      <c r="C101" s="97" t="n">
        <v>139</v>
      </c>
      <c r="F101" s="98">
        <f>IFERROR(BDP(TEXT($A101,"0000")&amp;" HK Equity","EQY_INIT_PO_SH_PRC"),"run on terminal")</f>
        <v/>
      </c>
      <c r="G101" s="10">
        <f>IF(NOT(ISNUMBER($F101)),"run on terminal",IF(ABS($F101/$C101-1)&lt;0.005,"MATCH","CHECK — BBG "&amp;TEXT($F101,"0.000")))</f>
        <v/>
      </c>
      <c r="H101" s="95" t="inlineStr">
        <is>
          <t>OFFER PRICE: Sina 2025-11-04 pricing + 2025-11-06 debut: 每股139.00港元 (22.8% below the HK$180 max), 收报126.10港元 -9.28%, 48,249,000 shares incl. full offe</t>
        </is>
      </c>
    </row>
    <row r="102">
      <c r="A102" s="90" t="inlineStr">
        <is>
          <t>6656</t>
        </is>
      </c>
      <c r="B102" s="16" t="inlineStr">
        <is>
          <t>SIGENERGY</t>
        </is>
      </c>
      <c r="C102" s="97" t="n">
        <v>324.2</v>
      </c>
      <c r="F102" s="98">
        <f>IFERROR(BDP(TEXT($A102,"0000")&amp;" HK Equity","EQY_INIT_PO_SH_PRC"),"run on terminal")</f>
        <v/>
      </c>
      <c r="G102" s="10">
        <f>IF(NOT(ISNUMBER($F102)),"run on terminal",IF(ABS($F102/$C102-1)&lt;0.005,"MATCH","CHECK — BBG "&amp;TEXT($F102,"0.000")))</f>
        <v/>
      </c>
      <c r="H102" s="95" t="inlineStr">
        <is>
          <t>OFFER PRICE: AAStocks debut report: opened HK$581 (+79.2%) from listing price HK$324.20, closed HK$659.5 +103.4%; 13,573,900 H shares, gross ≈HK$4.4bn</t>
        </is>
      </c>
    </row>
    <row r="103">
      <c r="A103" s="90" t="inlineStr">
        <is>
          <t>9630</t>
        </is>
      </c>
      <c r="B103" s="16" t="inlineStr">
        <is>
          <t>CFMEE</t>
        </is>
      </c>
      <c r="C103" s="97" t="n">
        <v>252.73</v>
      </c>
      <c r="F103" s="98">
        <f>IFERROR(BDP(TEXT($A103,"0000")&amp;" HK Equity","EQY_INIT_PO_SH_PRC"),"run on terminal")</f>
        <v/>
      </c>
      <c r="G103" s="10">
        <f>IF(NOT(ISNUMBER($F103)),"run on terminal",IF(ABS($F103/$C103-1)&lt;0.005,"MATCH","CHECK — BBG "&amp;TEXT($F103,"0.000")))</f>
        <v/>
      </c>
      <c r="H103" s="95" t="inlineStr">
        <is>
          <t>OFFER PRICE: Sina 2026-06-26: 发行价252.73港元 (top of range), 收报515.00港元 +103.77%, 发行1283.865万股, 募资总额32.45亿港元. NOT the midday 445.8 snapshot.</t>
        </is>
      </c>
    </row>
    <row r="104">
      <c r="A104" s="90" t="inlineStr">
        <is>
          <t>6090</t>
        </is>
      </c>
      <c r="B104" s="16" t="inlineStr">
        <is>
          <t>BUTONG GROUP</t>
        </is>
      </c>
      <c r="C104" s="97" t="n">
        <v>71.2</v>
      </c>
      <c r="F104" s="98">
        <f>IFERROR(BDP(TEXT($A104,"0000")&amp;" HK Equity","EQY_INIT_PO_SH_PRC"),"run on terminal")</f>
        <v/>
      </c>
      <c r="G104" s="10">
        <f>IF(NOT(ISNUMBER($F104)),"run on terminal",IF(ABS($F104/$C104-1)&lt;0.005,"MATCH","CHECK — BBG "&amp;TEXT($F104,"0.000")))</f>
        <v/>
      </c>
      <c r="H104" s="95" t="inlineStr">
        <is>
          <t>OFFER PRICE: Sina 2025-09-23: 发售价每股71.20港元 (top of the 62.01-71.20 range), 收报102.50港元 +43.96%, 全球发售1098.09万股.</t>
        </is>
      </c>
    </row>
    <row r="105">
      <c r="A105" s="90" t="inlineStr">
        <is>
          <t>2392</t>
        </is>
      </c>
      <c r="B105" s="16" t="inlineStr">
        <is>
          <t>XUANWU CLOUD</t>
        </is>
      </c>
      <c r="C105" s="97" t="n">
        <v>6.24</v>
      </c>
      <c r="F105" s="98">
        <f>IFERROR(BDP(TEXT($A105,"0000")&amp;" HK Equity","EQY_INIT_PO_SH_PRC"),"run on terminal")</f>
        <v/>
      </c>
      <c r="G105" s="10">
        <f>IF(NOT(ISNUMBER($F105)),"run on terminal",IF(ABS($F105/$C105-1)&lt;0.005,"MATCH","CHECK — BBG "&amp;TEXT($F105,"0.000")))</f>
        <v/>
      </c>
      <c r="H105" s="95" t="inlineStr">
        <is>
          <t xml:space="preserve">filing parse returned 6.91 = EXACTLY the stated Maximum Offer Price (the known bad-anchor line, wrong 6/6 in the v20 price research). AAStocks prints </t>
        </is>
      </c>
    </row>
    <row r="106">
      <c r="A106" s="90" t="inlineStr">
        <is>
          <t>9877</t>
        </is>
      </c>
      <c r="B106" s="16" t="inlineStr">
        <is>
          <t>JENSCARE-B</t>
        </is>
      </c>
      <c r="C106" s="97" t="n">
        <v>27.8</v>
      </c>
      <c r="F106" s="98">
        <f>IFERROR(BDP(TEXT($A106,"0000")&amp;" HK Equity","EQY_INIT_PO_SH_PRC"),"run on terminal")</f>
        <v/>
      </c>
      <c r="G106" s="10">
        <f>IF(NOT(ISNUMBER($F106)),"run on terminal",IF(ABS($F106/$C106-1)&lt;0.005,"MATCH","CHECK — BBG "&amp;TEXT($F106,"0.000")))</f>
        <v/>
      </c>
      <c r="H106" s="95" t="inlineStr">
        <is>
          <t>filing parse returned 28.80 = EXACTLY the stated Maximum Offer Price. AAStocks prints 27.80, and the ingested day-1 (+1.62%) matches 28.25/27.80-1 exa</t>
        </is>
      </c>
    </row>
    <row r="107"/>
    <row r="108">
      <c r="A108" s="14" t="inlineStr">
        <is>
          <t>C · CORPORATE ACTIONS  (26 deals — Bloomberg's history is ADJUSTED, ours is raw-plus-correction, so our day-1 close divided by the cumulative factor must equal Bloomberg's print for that day)</t>
        </is>
      </c>
    </row>
    <row r="109">
      <c r="A109" s="12" t="inlineStr">
        <is>
          <t>Code</t>
        </is>
      </c>
      <c r="B109" s="12" t="inlineStr">
        <is>
          <t>Name</t>
        </is>
      </c>
      <c r="C109" s="12" t="inlineStr">
        <is>
          <t>Listing date</t>
        </is>
      </c>
      <c r="D109" s="12" t="inlineStr">
        <is>
          <t>Our day-1 close</t>
        </is>
      </c>
      <c r="E109" s="12" t="inlineStr">
        <is>
          <t>÷ factor = expected</t>
        </is>
      </c>
      <c r="F109" s="12" t="inlineStr">
        <is>
          <t>BBG close that day</t>
        </is>
      </c>
      <c r="G109" s="12" t="inlineStr">
        <is>
          <t>VERDICT</t>
        </is>
      </c>
      <c r="H109" s="12" t="inlineStr">
        <is>
          <t>Action applied</t>
        </is>
      </c>
    </row>
    <row r="110">
      <c r="A110" s="90" t="inlineStr">
        <is>
          <t>1413</t>
        </is>
      </c>
      <c r="B110" s="16" t="inlineStr">
        <is>
          <t>KWONG LUEN ENG</t>
        </is>
      </c>
      <c r="C110" s="96" t="inlineStr">
        <is>
          <t>2021-03-11</t>
        </is>
      </c>
      <c r="D110" s="97" t="n">
        <v>0.42</v>
      </c>
      <c r="E110" s="39">
        <f>IFERROR($D110/0.2,"")</f>
        <v/>
      </c>
      <c r="F110" s="39">
        <f>IFERROR(BDH(TEXT($A110,"0000")&amp;" HK Equity","PX_LAST",$C110,$C110),"run on terminal")</f>
        <v/>
      </c>
      <c r="G110" s="10">
        <f>IF(NOT(ISNUMBER($F110)),"run on terminal",IF(ABS($F110/$E110-1)&lt;0.02,"MATCH","CHECK — BBG "&amp;TEXT($F110,"0.000")))</f>
        <v/>
      </c>
      <c r="H110" s="95" t="inlineStr">
        <is>
          <t>2025-12-16 x0.2  (cumulative x0.2)</t>
        </is>
      </c>
    </row>
    <row r="111">
      <c r="A111" s="90" t="inlineStr">
        <is>
          <t>1855</t>
        </is>
      </c>
      <c r="B111" s="16" t="inlineStr">
        <is>
          <t>ZONBONG ENVIRO</t>
        </is>
      </c>
      <c r="C111" s="96" t="inlineStr">
        <is>
          <t>2021-01-06</t>
        </is>
      </c>
      <c r="D111" s="97" t="n">
        <v>2.05</v>
      </c>
      <c r="E111" s="39">
        <f>IFERROR($D111/3.0,"")</f>
        <v/>
      </c>
      <c r="F111" s="39">
        <f>IFERROR(BDH(TEXT($A111,"0000")&amp;" HK Equity","PX_LAST",$C111,$C111),"run on terminal")</f>
        <v/>
      </c>
      <c r="G111" s="10">
        <f>IF(NOT(ISNUMBER($F111)),"run on terminal",IF(ABS($F111/$E111-1)&lt;0.02,"MATCH","CHECK — BBG "&amp;TEXT($F111,"0.000")))</f>
        <v/>
      </c>
      <c r="H111" s="95" t="inlineStr">
        <is>
          <t>2024-08-01 x3  (cumulative x3)</t>
        </is>
      </c>
    </row>
    <row r="112">
      <c r="A112" s="90" t="inlineStr">
        <is>
          <t>2147</t>
        </is>
      </c>
      <c r="B112" s="16" t="inlineStr">
        <is>
          <t>ZHENGWEI GROUP</t>
        </is>
      </c>
      <c r="C112" s="96" t="inlineStr">
        <is>
          <t>2023-01-13</t>
        </is>
      </c>
      <c r="D112" s="97" t="n">
        <v>0.5600000000000001</v>
      </c>
      <c r="E112" s="39">
        <f>IFERROR($D112/0.05,"")</f>
        <v/>
      </c>
      <c r="F112" s="39">
        <f>IFERROR(BDH(TEXT($A112,"0000")&amp;" HK Equity","PX_LAST",$C112,$C112),"run on terminal")</f>
        <v/>
      </c>
      <c r="G112" s="10">
        <f>IF(NOT(ISNUMBER($F112)),"run on terminal",IF(ABS($F112/$E112-1)&lt;0.02,"MATCH","CHECK — BBG "&amp;TEXT($F112,"0.000")))</f>
        <v/>
      </c>
      <c r="H112" s="95" t="inlineStr">
        <is>
          <t>2025-12-30 x0.05  (cumulative x0.05)</t>
        </is>
      </c>
    </row>
    <row r="113">
      <c r="A113" s="90" t="inlineStr">
        <is>
          <t>2160</t>
        </is>
      </c>
      <c r="B113" s="16" t="inlineStr">
        <is>
          <t>CARDIOFLOW-B</t>
        </is>
      </c>
      <c r="C113" s="96" t="inlineStr">
        <is>
          <t>2021-02-04</t>
        </is>
      </c>
      <c r="D113" s="97" t="n">
        <v>18.82</v>
      </c>
      <c r="E113" s="39">
        <f>IFERROR($D113/0.2,"")</f>
        <v/>
      </c>
      <c r="F113" s="39">
        <f>IFERROR(BDH(TEXT($A113,"0000")&amp;" HK Equity","PX_LAST",$C113,$C113),"run on terminal")</f>
        <v/>
      </c>
      <c r="G113" s="10">
        <f>IF(NOT(ISNUMBER($F113)),"run on terminal",IF(ABS($F113/$E113-1)&lt;0.02,"MATCH","CHECK — BBG "&amp;TEXT($F113,"0.000")))</f>
        <v/>
      </c>
      <c r="H113" s="95" t="inlineStr">
        <is>
          <t>2026-02-24 x0.2  (cumulative x0.2)</t>
        </is>
      </c>
    </row>
    <row r="114">
      <c r="A114" s="90" t="inlineStr">
        <is>
          <t>2195</t>
        </is>
      </c>
      <c r="B114" s="16" t="inlineStr">
        <is>
          <t>UNITY ENT</t>
        </is>
      </c>
      <c r="C114" s="96" t="inlineStr">
        <is>
          <t>2021-03-31</t>
        </is>
      </c>
      <c r="D114" s="97" t="n">
        <v>0.33</v>
      </c>
      <c r="E114" s="39">
        <f>IFERROR($D114/0.1,"")</f>
        <v/>
      </c>
      <c r="F114" s="39">
        <f>IFERROR(BDH(TEXT($A114,"0000")&amp;" HK Equity","PX_LAST",$C114,$C114),"run on terminal")</f>
        <v/>
      </c>
      <c r="G114" s="10">
        <f>IF(NOT(ISNUMBER($F114)),"run on terminal",IF(ABS($F114/$E114-1)&lt;0.02,"MATCH","CHECK — BBG "&amp;TEXT($F114,"0.000")))</f>
        <v/>
      </c>
      <c r="H114" s="95" t="inlineStr">
        <is>
          <t>2025-10-30 x0.1  (cumulative x0.1)</t>
        </is>
      </c>
    </row>
    <row r="115">
      <c r="A115" s="90" t="inlineStr">
        <is>
          <t>2246</t>
        </is>
      </c>
      <c r="B115" s="16" t="inlineStr">
        <is>
          <t>GOGOX</t>
        </is>
      </c>
      <c r="C115" s="96" t="inlineStr">
        <is>
          <t>2022-06-24</t>
        </is>
      </c>
      <c r="D115" s="97" t="n">
        <v>16.721</v>
      </c>
      <c r="E115" s="39">
        <f>IFERROR($D115/0.1,"")</f>
        <v/>
      </c>
      <c r="F115" s="39">
        <f>IFERROR(BDH(TEXT($A115,"0000")&amp;" HK Equity","PX_LAST",$C115,$C115),"run on terminal")</f>
        <v/>
      </c>
      <c r="G115" s="10">
        <f>IF(NOT(ISNUMBER($F115)),"run on terminal",IF(ABS($F115/$E115-1)&lt;0.02,"MATCH","CHECK — BBG "&amp;TEXT($F115,"0.000")))</f>
        <v/>
      </c>
      <c r="H115" s="95" t="inlineStr">
        <is>
          <t>2025-04-25 x0.1  (cumulative x0.1)</t>
        </is>
      </c>
    </row>
    <row r="116">
      <c r="A116" s="90" t="inlineStr">
        <is>
          <t>2402</t>
        </is>
      </c>
      <c r="B116" s="16" t="inlineStr">
        <is>
          <t>SINOHYTEC</t>
        </is>
      </c>
      <c r="C116" s="96" t="inlineStr">
        <is>
          <t>2023-01-12</t>
        </is>
      </c>
      <c r="D116" s="97" t="n">
        <v>60</v>
      </c>
      <c r="E116" s="39">
        <f>IFERROR($D116/1.9599999999999997,"")</f>
        <v/>
      </c>
      <c r="F116" s="39">
        <f>IFERROR(BDH(TEXT($A116,"0000")&amp;" HK Equity","PX_LAST",$C116,$C116),"run on terminal")</f>
        <v/>
      </c>
      <c r="G116" s="10">
        <f>IF(NOT(ISNUMBER($F116)),"run on terminal",IF(ABS($F116/$E116-1)&lt;0.02,"MATCH","CHECK — BBG "&amp;TEXT($F116,"0.000")))</f>
        <v/>
      </c>
      <c r="H116" s="95" t="inlineStr">
        <is>
          <t>2023-06-21 x1.4; 2024-07-04 x1.4  (cumulative x1.96)</t>
        </is>
      </c>
    </row>
    <row r="117">
      <c r="A117" s="90" t="inlineStr">
        <is>
          <t>2459</t>
        </is>
      </c>
      <c r="B117" s="16" t="inlineStr">
        <is>
          <t>SANERGY GROUP</t>
        </is>
      </c>
      <c r="C117" s="96" t="inlineStr">
        <is>
          <t>2023-01-17</t>
        </is>
      </c>
      <c r="D117" s="97" t="n">
        <v>1.78</v>
      </c>
      <c r="E117" s="39">
        <f>IFERROR($D117/0.1,"")</f>
        <v/>
      </c>
      <c r="F117" s="39">
        <f>IFERROR(BDH(TEXT($A117,"0000")&amp;" HK Equity","PX_LAST",$C117,$C117),"run on terminal")</f>
        <v/>
      </c>
      <c r="G117" s="10">
        <f>IF(NOT(ISNUMBER($F117)),"run on terminal",IF(ABS($F117/$E117-1)&lt;0.02,"MATCH","CHECK — BBG "&amp;TEXT($F117,"0.000")))</f>
        <v/>
      </c>
      <c r="H117" s="95" t="inlineStr">
        <is>
          <t>2026-05-14 x0.1  (cumulative x0.1)</t>
        </is>
      </c>
    </row>
    <row r="118">
      <c r="A118" s="90" t="inlineStr">
        <is>
          <t>2473</t>
        </is>
      </c>
      <c r="B118" s="16" t="inlineStr">
        <is>
          <t>XXF</t>
        </is>
      </c>
      <c r="C118" s="96" t="inlineStr">
        <is>
          <t>2023-11-09</t>
        </is>
      </c>
      <c r="D118" s="97" t="n">
        <v>1.64</v>
      </c>
      <c r="E118" s="39">
        <f>IFERROR($D118/3.0,"")</f>
        <v/>
      </c>
      <c r="F118" s="39">
        <f>IFERROR(BDH(TEXT($A118,"0000")&amp;" HK Equity","PX_LAST",$C118,$C118),"run on terminal")</f>
        <v/>
      </c>
      <c r="G118" s="10">
        <f>IF(NOT(ISNUMBER($F118)),"run on terminal",IF(ABS($F118/$E118-1)&lt;0.02,"MATCH","CHECK — BBG "&amp;TEXT($F118,"0.000")))</f>
        <v/>
      </c>
      <c r="H118" s="95" t="inlineStr">
        <is>
          <t>2024-12-06 x3  (cumulative x3)</t>
        </is>
      </c>
    </row>
    <row r="119">
      <c r="A119" s="90" t="inlineStr">
        <is>
          <t>2477</t>
        </is>
      </c>
      <c r="B119" s="16" t="inlineStr">
        <is>
          <t>WELLCELL HOLD</t>
        </is>
      </c>
      <c r="C119" s="96" t="inlineStr">
        <is>
          <t>2024-01-12</t>
        </is>
      </c>
      <c r="D119" s="97" t="n">
        <v>2.64</v>
      </c>
      <c r="E119" s="39">
        <f>IFERROR($D119/2.0,"")</f>
        <v/>
      </c>
      <c r="F119" s="39">
        <f>IFERROR(BDH(TEXT($A119,"0000")&amp;" HK Equity","PX_LAST",$C119,$C119),"run on terminal")</f>
        <v/>
      </c>
      <c r="G119" s="10">
        <f>IF(NOT(ISNUMBER($F119)),"run on terminal",IF(ABS($F119/$E119-1)&lt;0.02,"MATCH","CHECK — BBG "&amp;TEXT($F119,"0.000")))</f>
        <v/>
      </c>
      <c r="H119" s="95" t="inlineStr">
        <is>
          <t>2025-03-31 x2  (cumulative x2)</t>
        </is>
      </c>
    </row>
    <row r="120">
      <c r="A120" s="90" t="inlineStr">
        <is>
          <t>2490</t>
        </is>
      </c>
      <c r="B120" s="16" t="inlineStr">
        <is>
          <t>LC LOGISTICS</t>
        </is>
      </c>
      <c r="C120" s="96" t="inlineStr">
        <is>
          <t>2023-09-25</t>
        </is>
      </c>
      <c r="D120" s="97" t="n">
        <v>5.1</v>
      </c>
      <c r="E120" s="39">
        <f>IFERROR($D120/2.0,"")</f>
        <v/>
      </c>
      <c r="F120" s="39">
        <f>IFERROR(BDH(TEXT($A120,"0000")&amp;" HK Equity","PX_LAST",$C120,$C120),"run on terminal")</f>
        <v/>
      </c>
      <c r="G120" s="10">
        <f>IF(NOT(ISNUMBER($F120)),"run on terminal",IF(ABS($F120/$E120-1)&lt;0.02,"MATCH","CHECK — BBG "&amp;TEXT($F120,"0.000")))</f>
        <v/>
      </c>
      <c r="H120" s="95" t="inlineStr">
        <is>
          <t>2025-07-28 x2  (cumulative x2)</t>
        </is>
      </c>
    </row>
    <row r="121">
      <c r="A121" s="90" t="inlineStr">
        <is>
          <t>2525</t>
        </is>
      </c>
      <c r="B121" s="16" t="inlineStr">
        <is>
          <t>HESAI-W</t>
        </is>
      </c>
      <c r="C121" s="96" t="inlineStr">
        <is>
          <t>2025-09-16</t>
        </is>
      </c>
      <c r="D121" s="97" t="n">
        <v>233.995</v>
      </c>
      <c r="E121" s="39">
        <f>IFERROR($D121/8.0,"")</f>
        <v/>
      </c>
      <c r="F121" s="39">
        <f>IFERROR(BDH(TEXT($A121,"0000")&amp;" HK Equity","PX_LAST",$C121,$C121),"run on terminal")</f>
        <v/>
      </c>
      <c r="G121" s="10">
        <f>IF(NOT(ISNUMBER($F121)),"run on terminal",IF(ABS($F121/$E121-1)&lt;0.02,"MATCH","CHECK — BBG "&amp;TEXT($F121,"0.000")))</f>
        <v/>
      </c>
      <c r="H121" s="95" t="inlineStr">
        <is>
          <t>2026-07-10 x8  (cumulative x8)</t>
        </is>
      </c>
    </row>
    <row r="122">
      <c r="A122" s="90" t="inlineStr">
        <is>
          <t>2635</t>
        </is>
      </c>
      <c r="B122" s="16" t="inlineStr">
        <is>
          <t>NUOBIKAN</t>
        </is>
      </c>
      <c r="C122" s="96" t="inlineStr">
        <is>
          <t>2025-12-23</t>
        </is>
      </c>
      <c r="D122" s="97" t="n">
        <v>371</v>
      </c>
      <c r="E122" s="39">
        <f>IFERROR($D122/10.0,"")</f>
        <v/>
      </c>
      <c r="F122" s="39">
        <f>IFERROR(BDH(TEXT($A122,"0000")&amp;" HK Equity","PX_LAST",$C122,$C122),"run on terminal")</f>
        <v/>
      </c>
      <c r="G122" s="10">
        <f>IF(NOT(ISNUMBER($F122)),"run on terminal",IF(ABS($F122/$E122-1)&lt;0.02,"MATCH","CHECK — BBG "&amp;TEXT($F122,"0.000")))</f>
        <v/>
      </c>
      <c r="H122" s="95" t="inlineStr">
        <is>
          <t>2026-03-11 x10  (cumulative x10)</t>
        </is>
      </c>
    </row>
    <row r="123">
      <c r="A123" s="90" t="inlineStr">
        <is>
          <t>2650</t>
        </is>
      </c>
      <c r="B123" s="16" t="inlineStr">
        <is>
          <t>ZHIDA TECH</t>
        </is>
      </c>
      <c r="C123" s="96" t="inlineStr">
        <is>
          <t>2025-10-10</t>
        </is>
      </c>
      <c r="D123" s="97" t="n">
        <v>195.5</v>
      </c>
      <c r="E123" s="39">
        <f>IFERROR($D123/5.0,"")</f>
        <v/>
      </c>
      <c r="F123" s="39">
        <f>IFERROR(BDH(TEXT($A123,"0000")&amp;" HK Equity","PX_LAST",$C123,$C123),"run on terminal")</f>
        <v/>
      </c>
      <c r="G123" s="10">
        <f>IF(NOT(ISNUMBER($F123)),"run on terminal",IF(ABS($F123/$E123-1)&lt;0.02,"MATCH","CHECK — BBG "&amp;TEXT($F123,"0.000")))</f>
        <v/>
      </c>
      <c r="H123" s="95" t="inlineStr">
        <is>
          <t>2026-03-03 x5  (cumulative x5)</t>
        </is>
      </c>
    </row>
    <row r="124">
      <c r="A124" s="90" t="inlineStr">
        <is>
          <t>2691</t>
        </is>
      </c>
      <c r="B124" s="16" t="inlineStr">
        <is>
          <t>NANHUA FUTURES</t>
        </is>
      </c>
      <c r="C124" s="96" t="inlineStr">
        <is>
          <t>2025-12-22</t>
        </is>
      </c>
      <c r="D124" s="97" t="n">
        <v>9.1</v>
      </c>
      <c r="E124" s="39">
        <f>IFERROR($D124/1.45,"")</f>
        <v/>
      </c>
      <c r="F124" s="39">
        <f>IFERROR(BDH(TEXT($A124,"0000")&amp;" HK Equity","PX_LAST",$C124,$C124),"run on terminal")</f>
        <v/>
      </c>
      <c r="G124" s="10">
        <f>IF(NOT(ISNUMBER($F124)),"run on terminal",IF(ABS($F124/$E124-1)&lt;0.02,"MATCH","CHECK — BBG "&amp;TEXT($F124,"0.000")))</f>
        <v/>
      </c>
      <c r="H124" s="95" t="inlineStr">
        <is>
          <t>2026-06-17 x1.45  (cumulative x1.45)</t>
        </is>
      </c>
    </row>
    <row r="125">
      <c r="A125" s="90" t="inlineStr">
        <is>
          <t>2768</t>
        </is>
      </c>
      <c r="B125" s="16" t="inlineStr">
        <is>
          <t>GON TECHNOLOGY</t>
        </is>
      </c>
      <c r="C125" s="96" t="inlineStr">
        <is>
          <t>2026-02-04</t>
        </is>
      </c>
      <c r="D125" s="97" t="n">
        <v>40.162</v>
      </c>
      <c r="E125" s="39">
        <f>IFERROR($D125/1.48,"")</f>
        <v/>
      </c>
      <c r="F125" s="39">
        <f>IFERROR(BDH(TEXT($A125,"0000")&amp;" HK Equity","PX_LAST",$C125,$C125),"run on terminal")</f>
        <v/>
      </c>
      <c r="G125" s="10">
        <f>IF(NOT(ISNUMBER($F125)),"run on terminal",IF(ABS($F125/$E125-1)&lt;0.02,"MATCH","CHECK — BBG "&amp;TEXT($F125,"0.000")))</f>
        <v/>
      </c>
      <c r="H125" s="95" t="inlineStr">
        <is>
          <t>2026-06-17 x1.48  (cumulative x1.48)</t>
        </is>
      </c>
    </row>
    <row r="126">
      <c r="A126" s="90" t="inlineStr">
        <is>
          <t>3296</t>
        </is>
      </c>
      <c r="B126" s="16" t="inlineStr">
        <is>
          <t>HUAQIN</t>
        </is>
      </c>
      <c r="C126" s="96" t="inlineStr">
        <is>
          <t>2026-04-23</t>
        </is>
      </c>
      <c r="D126" s="97" t="n">
        <v>88.003</v>
      </c>
      <c r="E126" s="39">
        <f>IFERROR($D126/1.4,"")</f>
        <v/>
      </c>
      <c r="F126" s="39">
        <f>IFERROR(BDH(TEXT($A126,"0000")&amp;" HK Equity","PX_LAST",$C126,$C126),"run on terminal")</f>
        <v/>
      </c>
      <c r="G126" s="10">
        <f>IF(NOT(ISNUMBER($F126)),"run on terminal",IF(ABS($F126/$E126-1)&lt;0.02,"MATCH","CHECK — BBG "&amp;TEXT($F126,"0.000")))</f>
        <v/>
      </c>
      <c r="H126" s="95" t="inlineStr">
        <is>
          <t>2026-05-22 x1.4  (cumulative x1.4)</t>
        </is>
      </c>
    </row>
    <row r="127">
      <c r="A127" s="90" t="inlineStr">
        <is>
          <t>3881</t>
        </is>
      </c>
      <c r="B127" s="16" t="inlineStr">
        <is>
          <t>CIDI</t>
        </is>
      </c>
      <c r="C127" s="96" t="inlineStr">
        <is>
          <t>2025-12-19</t>
        </is>
      </c>
      <c r="D127" s="97" t="n">
        <v>226.995</v>
      </c>
      <c r="E127" s="39">
        <f>IFERROR($D127/10.0,"")</f>
        <v/>
      </c>
      <c r="F127" s="39">
        <f>IFERROR(BDH(TEXT($A127,"0000")&amp;" HK Equity","PX_LAST",$C127,$C127),"run on terminal")</f>
        <v/>
      </c>
      <c r="G127" s="10">
        <f>IF(NOT(ISNUMBER($F127)),"run on terminal",IF(ABS($F127/$E127-1)&lt;0.02,"MATCH","CHECK — BBG "&amp;TEXT($F127,"0.000")))</f>
        <v/>
      </c>
      <c r="H127" s="95" t="inlineStr">
        <is>
          <t>2026-03-02 x10  (cumulative x10)</t>
        </is>
      </c>
    </row>
    <row r="128">
      <c r="A128" s="90" t="inlineStr">
        <is>
          <t>6127</t>
        </is>
      </c>
      <c r="B128" s="16" t="inlineStr">
        <is>
          <t>JOINN</t>
        </is>
      </c>
      <c r="C128" s="96" t="inlineStr">
        <is>
          <t>2021-02-26</t>
        </is>
      </c>
      <c r="D128" s="97" t="n">
        <v>137.999</v>
      </c>
      <c r="E128" s="39">
        <f>IFERROR($D128/2.7439999999999993,"")</f>
        <v/>
      </c>
      <c r="F128" s="39">
        <f>IFERROR(BDH(TEXT($A128,"0000")&amp;" HK Equity","PX_LAST",$C128,$C128),"run on terminal")</f>
        <v/>
      </c>
      <c r="G128" s="10">
        <f>IF(NOT(ISNUMBER($F128)),"run on terminal",IF(ABS($F128/$E128-1)&lt;0.02,"MATCH","CHECK — BBG "&amp;TEXT($F128,"0.000")))</f>
        <v/>
      </c>
      <c r="H128" s="95" t="inlineStr">
        <is>
          <t>2021-06-23 x1.4; 2022-07-28 x1.4; 2023-06-20 x1.4  (cumulative x2.744)</t>
        </is>
      </c>
    </row>
    <row r="129">
      <c r="A129" s="90" t="inlineStr">
        <is>
          <t>6610</t>
        </is>
      </c>
      <c r="B129" s="16" t="inlineStr">
        <is>
          <t>FLOWING CLOUD</t>
        </is>
      </c>
      <c r="C129" s="96" t="inlineStr">
        <is>
          <t>2022-10-18</t>
        </is>
      </c>
      <c r="D129" s="97" t="n">
        <v>2.12</v>
      </c>
      <c r="E129" s="39">
        <f>IFERROR($D129/0.05,"")</f>
        <v/>
      </c>
      <c r="F129" s="39">
        <f>IFERROR(BDH(TEXT($A129,"0000")&amp;" HK Equity","PX_LAST",$C129,$C129),"run on terminal")</f>
        <v/>
      </c>
      <c r="G129" s="10">
        <f>IF(NOT(ISNUMBER($F129)),"run on terminal",IF(ABS($F129/$E129-1)&lt;0.02,"MATCH","CHECK — BBG "&amp;TEXT($F129,"0.000")))</f>
        <v/>
      </c>
      <c r="H129" s="95" t="inlineStr">
        <is>
          <t>2025-12-05 x0.05  (cumulative x0.05)</t>
        </is>
      </c>
    </row>
    <row r="130">
      <c r="A130" s="90" t="inlineStr">
        <is>
          <t>6680</t>
        </is>
      </c>
      <c r="B130" s="16" t="inlineStr">
        <is>
          <t>JLMAG</t>
        </is>
      </c>
      <c r="C130" s="96" t="inlineStr">
        <is>
          <t>2022-01-14</t>
        </is>
      </c>
      <c r="D130" s="97" t="n">
        <v>28.199</v>
      </c>
      <c r="E130" s="39">
        <f>IFERROR($D130/1.6,"")</f>
        <v/>
      </c>
      <c r="F130" s="39">
        <f>IFERROR(BDH(TEXT($A130,"0000")&amp;" HK Equity","PX_LAST",$C130,$C130),"run on terminal")</f>
        <v/>
      </c>
      <c r="G130" s="10">
        <f>IF(NOT(ISNUMBER($F130)),"run on terminal",IF(ABS($F130/$E130-1)&lt;0.02,"MATCH","CHECK — BBG "&amp;TEXT($F130,"0.000")))</f>
        <v/>
      </c>
      <c r="H130" s="95" t="inlineStr">
        <is>
          <t>2023-06-26 x1.6  (cumulative x1.6)</t>
        </is>
      </c>
    </row>
    <row r="131">
      <c r="A131" s="90" t="inlineStr">
        <is>
          <t>6686</t>
        </is>
      </c>
      <c r="B131" s="16" t="inlineStr">
        <is>
          <t>NOAH HOLDINGS-S</t>
        </is>
      </c>
      <c r="C131" s="96" t="inlineStr">
        <is>
          <t>2022-07-13</t>
        </is>
      </c>
      <c r="D131" s="97" t="n">
        <v>279.006</v>
      </c>
      <c r="E131" s="39">
        <f>IFERROR($D131/10.0,"")</f>
        <v/>
      </c>
      <c r="F131" s="39">
        <f>IFERROR(BDH(TEXT($A131,"0000")&amp;" HK Equity","PX_LAST",$C131,$C131),"run on terminal")</f>
        <v/>
      </c>
      <c r="G131" s="10">
        <f>IF(NOT(ISNUMBER($F131)),"run on terminal",IF(ABS($F131/$E131-1)&lt;0.02,"MATCH","CHECK — BBG "&amp;TEXT($F131,"0.000")))</f>
        <v/>
      </c>
      <c r="H131" s="95" t="inlineStr">
        <is>
          <t>2023-10-30 x10  (cumulative x10)</t>
        </is>
      </c>
    </row>
    <row r="132">
      <c r="A132" s="90" t="inlineStr">
        <is>
          <t>6696</t>
        </is>
      </c>
      <c r="B132" s="16" t="inlineStr">
        <is>
          <t>MANY IDEA CLOUD</t>
        </is>
      </c>
      <c r="C132" s="96" t="inlineStr">
        <is>
          <t>2022-11-09</t>
        </is>
      </c>
      <c r="D132" s="97" t="n">
        <v>2</v>
      </c>
      <c r="E132" s="39">
        <f>IFERROR($D132/0.05,"")</f>
        <v/>
      </c>
      <c r="F132" s="39">
        <f>IFERROR(BDH(TEXT($A132,"0000")&amp;" HK Equity","PX_LAST",$C132,$C132),"run on terminal")</f>
        <v/>
      </c>
      <c r="G132" s="10">
        <f>IF(NOT(ISNUMBER($F132)),"run on terminal",IF(ABS($F132/$E132-1)&lt;0.02,"MATCH","CHECK — BBG "&amp;TEXT($F132,"0.000")))</f>
        <v/>
      </c>
      <c r="H132" s="95" t="inlineStr">
        <is>
          <t>2025-02-12 x0.05  (cumulative x0.05)</t>
        </is>
      </c>
    </row>
    <row r="133">
      <c r="A133" s="90" t="inlineStr">
        <is>
          <t>6821</t>
        </is>
      </c>
      <c r="B133" s="16" t="inlineStr">
        <is>
          <t>ASYMCHEM</t>
        </is>
      </c>
      <c r="C133" s="96" t="inlineStr">
        <is>
          <t>2021-12-10</t>
        </is>
      </c>
      <c r="D133" s="97" t="n">
        <v>369.997</v>
      </c>
      <c r="E133" s="39">
        <f>IFERROR($D133/1.4,"")</f>
        <v/>
      </c>
      <c r="F133" s="39">
        <f>IFERROR(BDH(TEXT($A133,"0000")&amp;" HK Equity","PX_LAST",$C133,$C133),"run on terminal")</f>
        <v/>
      </c>
      <c r="G133" s="10">
        <f>IF(NOT(ISNUMBER($F133)),"run on terminal",IF(ABS($F133/$E133-1)&lt;0.02,"MATCH","CHECK — BBG "&amp;TEXT($F133,"0.000")))</f>
        <v/>
      </c>
      <c r="H133" s="95" t="inlineStr">
        <is>
          <t>2022-07-11 x1.4  (cumulative x1.4)</t>
        </is>
      </c>
    </row>
    <row r="134">
      <c r="A134" s="90" t="inlineStr">
        <is>
          <t>6911</t>
        </is>
      </c>
      <c r="B134" s="16" t="inlineStr">
        <is>
          <t>LANCANG TEA</t>
        </is>
      </c>
      <c r="C134" s="96" t="inlineStr">
        <is>
          <t>2023-12-22</t>
        </is>
      </c>
      <c r="D134" s="97" t="n">
        <v>8.699999999999999</v>
      </c>
      <c r="E134" s="39">
        <f>IFERROR($D134/1.5,"")</f>
        <v/>
      </c>
      <c r="F134" s="39">
        <f>IFERROR(BDH(TEXT($A134,"0000")&amp;" HK Equity","PX_LAST",$C134,$C134),"run on terminal")</f>
        <v/>
      </c>
      <c r="G134" s="10">
        <f>IF(NOT(ISNUMBER($F134)),"run on terminal",IF(ABS($F134/$E134-1)&lt;0.02,"MATCH","CHECK — BBG "&amp;TEXT($F134,"0.000")))</f>
        <v/>
      </c>
      <c r="H134" s="95" t="inlineStr">
        <is>
          <t>2024-06-11 x1.5  (cumulative x1.5)</t>
        </is>
      </c>
    </row>
    <row r="135">
      <c r="A135" s="90" t="inlineStr">
        <is>
          <t>9980</t>
        </is>
      </c>
      <c r="B135" s="16" t="inlineStr">
        <is>
          <t>EASTROC</t>
        </is>
      </c>
      <c r="C135" s="96" t="inlineStr">
        <is>
          <t>2026-02-03</t>
        </is>
      </c>
      <c r="D135" s="97" t="n">
        <v>251.794</v>
      </c>
      <c r="E135" s="39">
        <f>IFERROR($D135/1.3,"")</f>
        <v/>
      </c>
      <c r="F135" s="39">
        <f>IFERROR(BDH(TEXT($A135,"0000")&amp;" HK Equity","PX_LAST",$C135,$C135),"run on terminal")</f>
        <v/>
      </c>
      <c r="G135" s="10">
        <f>IF(NOT(ISNUMBER($F135)),"run on terminal",IF(ABS($F135/$E135-1)&lt;0.02,"MATCH","CHECK — BBG "&amp;TEXT($F135,"0.000")))</f>
        <v/>
      </c>
      <c r="H135" s="95" t="inlineStr">
        <is>
          <t>2026-05-05 x1.3  (cumulative x1.3)</t>
        </is>
      </c>
    </row>
    <row r="136"/>
    <row r="137">
      <c r="A137" s="14" t="inlineStr">
        <is>
          <t>D · DEAL SIZE  (18 deals — the stated gross was smaller than the deal's own net proceeds, which cannot happen)</t>
        </is>
      </c>
    </row>
    <row r="138">
      <c r="A138" s="12" t="inlineStr">
        <is>
          <t>Code</t>
        </is>
      </c>
      <c r="B138" s="12" t="inlineStr">
        <is>
          <t>Name</t>
        </is>
      </c>
      <c r="C138" s="12" t="inlineStr">
        <is>
          <t>Our deal size (HK$m)</t>
        </is>
      </c>
      <c r="D138" s="12" t="inlineStr">
        <is>
          <t>Basis</t>
        </is>
      </c>
      <c r="E138" s="12" t="inlineStr"/>
      <c r="F138" s="12" t="inlineStr">
        <is>
          <t>BBG offering size</t>
        </is>
      </c>
      <c r="G138" s="12" t="inlineStr">
        <is>
          <t>VERDICT</t>
        </is>
      </c>
      <c r="H138" s="12" t="inlineStr">
        <is>
          <t>What we relied on</t>
        </is>
      </c>
    </row>
    <row r="139">
      <c r="A139" s="90" t="inlineStr">
        <is>
          <t>2209</t>
        </is>
      </c>
      <c r="B139" s="16" t="inlineStr">
        <is>
          <t>YESASIA HLDGS</t>
        </is>
      </c>
      <c r="C139" s="99" t="n">
        <v>116.7</v>
      </c>
      <c r="D139" s="95" t="inlineStr">
        <is>
          <t>gross (price x shares)</t>
        </is>
      </c>
      <c r="F139" s="18">
        <f>IFERROR(BDP(TEXT($A139,"0000")&amp;" HK Equity","EQUITY_OFFERINGS"),"run on terminal")</f>
        <v/>
      </c>
      <c r="G139" s="10">
        <f>IF(NOT(ISNUMBER($F139)),"run on terminal",IF(ABS($F139/$C139-1)&lt;0.05,"MATCH","CHECK — BBG "&amp;TEXT($F139,"#,##0")))</f>
        <v/>
      </c>
      <c r="H139" s="95" t="inlineStr">
        <is>
          <t>stated gross HK$4.5m rejected — below the deal's own net proceeds HK$91.0m, which cannot happen</t>
        </is>
      </c>
    </row>
    <row r="140">
      <c r="A140" s="90" t="inlineStr">
        <is>
          <t>2235</t>
        </is>
      </c>
      <c r="B140" s="16" t="inlineStr">
        <is>
          <t>MICROTECH MED-B</t>
        </is>
      </c>
      <c r="C140" s="99" t="n">
        <v>1937.6</v>
      </c>
      <c r="D140" s="95" t="inlineStr">
        <is>
          <t>gross (price x shares)</t>
        </is>
      </c>
      <c r="F140" s="18">
        <f>IFERROR(BDP(TEXT($A140,"0000")&amp;" HK Equity","EQUITY_OFFERINGS"),"run on terminal")</f>
        <v/>
      </c>
      <c r="G140" s="10">
        <f>IF(NOT(ISNUMBER($F140)),"run on terminal",IF(ABS($F140/$C140-1)&lt;0.05,"MATCH","CHECK — BBG "&amp;TEXT($F140,"#,##0")))</f>
        <v/>
      </c>
      <c r="H140" s="95" t="inlineStr">
        <is>
          <t>stated gross HK$75.7m rejected — below the deal's own net proceeds HK$1,815.1m, which cannot happen</t>
        </is>
      </c>
    </row>
    <row r="141">
      <c r="A141" s="90" t="inlineStr">
        <is>
          <t>2185</t>
        </is>
      </c>
      <c r="B141" s="16" t="inlineStr">
        <is>
          <t>BIOHEART-B</t>
        </is>
      </c>
      <c r="C141" s="99" t="n">
        <v>508.7</v>
      </c>
      <c r="D141" s="95" t="inlineStr">
        <is>
          <t>gross (price x shares)</t>
        </is>
      </c>
      <c r="F141" s="18">
        <f>IFERROR(BDP(TEXT($A141,"0000")&amp;" HK Equity","EQUITY_OFFERINGS"),"run on terminal")</f>
        <v/>
      </c>
      <c r="G141" s="10">
        <f>IF(NOT(ISNUMBER($F141)),"run on terminal",IF(ABS($F141/$C141-1)&lt;0.05,"MATCH","CHECK — BBG "&amp;TEXT($F141,"#,##0")))</f>
        <v/>
      </c>
      <c r="H141" s="95" t="inlineStr">
        <is>
          <t>stated gross HK$26.5m rejected — below the deal's own net proceeds HK$441.7m, which cannot happen</t>
        </is>
      </c>
    </row>
    <row r="142">
      <c r="A142" s="90" t="inlineStr">
        <is>
          <t>2157</t>
        </is>
      </c>
      <c r="B142" s="16" t="inlineStr">
        <is>
          <t>LEPU BIO-B</t>
        </is>
      </c>
      <c r="C142" s="99" t="n">
        <v>904.6</v>
      </c>
      <c r="D142" s="95" t="inlineStr">
        <is>
          <t>gross (price x shares)</t>
        </is>
      </c>
      <c r="F142" s="18">
        <f>IFERROR(BDP(TEXT($A142,"0000")&amp;" HK Equity","EQUITY_OFFERINGS"),"run on terminal")</f>
        <v/>
      </c>
      <c r="G142" s="10">
        <f>IF(NOT(ISNUMBER($F142)),"run on terminal",IF(ABS($F142/$C142-1)&lt;0.05,"MATCH","CHECK — BBG "&amp;TEXT($F142,"#,##0")))</f>
        <v/>
      </c>
      <c r="H142" s="95" t="inlineStr">
        <is>
          <t>stated gross HK$36.2m rejected — below the deal's own net proceeds HK$804.2m, which cannot happen</t>
        </is>
      </c>
    </row>
    <row r="143">
      <c r="A143" s="90" t="inlineStr">
        <is>
          <t>2179</t>
        </is>
      </c>
      <c r="B143" s="16" t="inlineStr">
        <is>
          <t>RECBIO-B</t>
        </is>
      </c>
      <c r="C143" s="99" t="n">
        <v>672.4</v>
      </c>
      <c r="D143" s="95" t="inlineStr">
        <is>
          <t>net proceeds</t>
        </is>
      </c>
      <c r="F143" s="18">
        <f>IFERROR(BDP(TEXT($A143,"0000")&amp;" HK Equity","EQUITY_OFFERINGS"),"run on terminal")</f>
        <v/>
      </c>
      <c r="G143" s="10">
        <f>IF(NOT(ISNUMBER($F143)),"run on terminal",IF(ABS($F143/$C143-1)&lt;0.05,"MATCH","CHECK — BBG "&amp;TEXT($F143,"#,##0")))</f>
        <v/>
      </c>
      <c r="H143" s="95" t="inlineStr">
        <is>
          <t>stated gross HK$32.5m rejected — below the deal's own net proceeds HK$672.4m, which cannot happen</t>
        </is>
      </c>
    </row>
    <row r="144">
      <c r="A144" s="90" t="inlineStr">
        <is>
          <t>2315</t>
        </is>
      </c>
      <c r="B144" s="16" t="inlineStr">
        <is>
          <t>BIOCYTOGEN-B</t>
        </is>
      </c>
      <c r="C144" s="99" t="n">
        <v>548.7</v>
      </c>
      <c r="D144" s="95" t="inlineStr">
        <is>
          <t>gross (price x shares)</t>
        </is>
      </c>
      <c r="F144" s="18">
        <f>IFERROR(BDP(TEXT($A144,"0000")&amp;" HK Equity","EQUITY_OFFERINGS"),"run on terminal")</f>
        <v/>
      </c>
      <c r="G144" s="10">
        <f>IF(NOT(ISNUMBER($F144)),"run on terminal",IF(ABS($F144/$C144-1)&lt;0.05,"MATCH","CHECK — BBG "&amp;TEXT($F144,"#,##0")))</f>
        <v/>
      </c>
      <c r="H144" s="95" t="inlineStr">
        <is>
          <t>stated gross HK$16.9m rejected — below the deal's own net proceeds HK$471.1m, which cannot happen</t>
        </is>
      </c>
    </row>
    <row r="145">
      <c r="A145" s="90" t="inlineStr">
        <is>
          <t>9877</t>
        </is>
      </c>
      <c r="B145" s="16" t="inlineStr">
        <is>
          <t>JENSCARE-B</t>
        </is>
      </c>
      <c r="C145" s="99" t="n">
        <v>32</v>
      </c>
      <c r="D145" s="95" t="inlineStr">
        <is>
          <t>net proceeds</t>
        </is>
      </c>
      <c r="F145" s="18">
        <f>IFERROR(BDP(TEXT($A145,"0000")&amp;" HK Equity","EQUITY_OFFERINGS"),"run on terminal")</f>
        <v/>
      </c>
      <c r="G145" s="10">
        <f>IF(NOT(ISNUMBER($F145)),"run on terminal",IF(ABS($F145/$C145-1)&lt;0.05,"MATCH","CHECK — BBG "&amp;TEXT($F145,"#,##0")))</f>
        <v/>
      </c>
      <c r="H145" s="95" t="inlineStr">
        <is>
          <t>stated gross HK$11.2m rejected — below the deal's own net proceeds HK$32.0m, which cannot happen</t>
        </is>
      </c>
    </row>
    <row r="146">
      <c r="A146" s="90" t="inlineStr">
        <is>
          <t>6979</t>
        </is>
      </c>
      <c r="B146" s="16" t="inlineStr">
        <is>
          <t>ZJLD</t>
        </is>
      </c>
      <c r="C146" s="99" t="n">
        <v>5309.4</v>
      </c>
      <c r="D146" s="95" t="inlineStr">
        <is>
          <t>gross (price x shares)</t>
        </is>
      </c>
      <c r="F146" s="18">
        <f>IFERROR(BDP(TEXT($A146,"0000")&amp;" HK Equity","EQUITY_OFFERINGS"),"run on terminal")</f>
        <v/>
      </c>
      <c r="G146" s="10">
        <f>IF(NOT(ISNUMBER($F146)),"run on terminal",IF(ABS($F146/$C146-1)&lt;0.05,"MATCH","CHECK — BBG "&amp;TEXT($F146,"#,##0")))</f>
        <v/>
      </c>
      <c r="H146" s="95" t="inlineStr">
        <is>
          <t>stated gross HK$795.0m rejected — below the deal's own net proceeds HK$4,990.0m, which cannot happen</t>
        </is>
      </c>
    </row>
    <row r="147">
      <c r="A147" s="90" t="inlineStr">
        <is>
          <t>2415</t>
        </is>
      </c>
      <c r="B147" s="16" t="inlineStr">
        <is>
          <t>MEDSCI</t>
        </is>
      </c>
      <c r="C147" s="99" t="n">
        <v>607.8</v>
      </c>
      <c r="D147" s="95" t="inlineStr">
        <is>
          <t>gross (price x shares)</t>
        </is>
      </c>
      <c r="F147" s="18">
        <f>IFERROR(BDP(TEXT($A147,"0000")&amp;" HK Equity","EQUITY_OFFERINGS"),"run on terminal")</f>
        <v/>
      </c>
      <c r="G147" s="10">
        <f>IF(NOT(ISNUMBER($F147)),"run on terminal",IF(ABS($F147/$C147-1)&lt;0.05,"MATCH","CHECK — BBG "&amp;TEXT($F147,"#,##0")))</f>
        <v/>
      </c>
      <c r="H147" s="95" t="inlineStr">
        <is>
          <t>stated gross HK$18.2m rejected — below the deal's own net proceeds HK$538.2m, which cannot happen</t>
        </is>
      </c>
    </row>
    <row r="148">
      <c r="A148" s="90" t="inlineStr">
        <is>
          <t>2480</t>
        </is>
      </c>
      <c r="B148" s="16" t="inlineStr">
        <is>
          <t>LUZHU BIOTECH-B</t>
        </is>
      </c>
      <c r="C148" s="99" t="n">
        <v>51.1</v>
      </c>
      <c r="D148" s="95" t="inlineStr">
        <is>
          <t>net proceeds</t>
        </is>
      </c>
      <c r="F148" s="18">
        <f>IFERROR(BDP(TEXT($A148,"0000")&amp;" HK Equity","EQUITY_OFFERINGS"),"run on terminal")</f>
        <v/>
      </c>
      <c r="G148" s="10">
        <f>IF(NOT(ISNUMBER($F148)),"run on terminal",IF(ABS($F148/$C148-1)&lt;0.05,"MATCH","CHECK — BBG "&amp;TEXT($F148,"#,##0")))</f>
        <v/>
      </c>
      <c r="H148" s="95" t="inlineStr">
        <is>
          <t>stated gross HK$39.5m rejected — below the deal's own net proceeds HK$51.1m, which cannot happen</t>
        </is>
      </c>
    </row>
    <row r="149">
      <c r="A149" s="90" t="inlineStr">
        <is>
          <t>2487</t>
        </is>
      </c>
      <c r="B149" s="16" t="inlineStr">
        <is>
          <t>CUTIA-B</t>
        </is>
      </c>
      <c r="C149" s="99" t="n">
        <v>465</v>
      </c>
      <c r="D149" s="95" t="inlineStr">
        <is>
          <t>gross (price x shares)</t>
        </is>
      </c>
      <c r="F149" s="18">
        <f>IFERROR(BDP(TEXT($A149,"0000")&amp;" HK Equity","EQUITY_OFFERINGS"),"run on terminal")</f>
        <v/>
      </c>
      <c r="G149" s="10">
        <f>IF(NOT(ISNUMBER($F149)),"run on terminal",IF(ABS($F149/$C149-1)&lt;0.05,"MATCH","CHECK — BBG "&amp;TEXT($F149,"#,##0")))</f>
        <v/>
      </c>
      <c r="H149" s="95" t="inlineStr">
        <is>
          <t>stated gross HK$23.9m rejected — below the deal's own net proceeds HK$392.7m, which cannot happen</t>
        </is>
      </c>
    </row>
    <row r="150">
      <c r="A150" s="90" t="inlineStr">
        <is>
          <t>6990</t>
        </is>
      </c>
      <c r="B150" s="16" t="inlineStr">
        <is>
          <t>SKB BIO-B</t>
        </is>
      </c>
      <c r="C150" s="99" t="n">
        <v>1360.2</v>
      </c>
      <c r="D150" s="95" t="inlineStr">
        <is>
          <t>gross (price x shares)</t>
        </is>
      </c>
      <c r="F150" s="18">
        <f>IFERROR(BDP(TEXT($A150,"0000")&amp;" HK Equity","EQUITY_OFFERINGS"),"run on terminal")</f>
        <v/>
      </c>
      <c r="G150" s="10">
        <f>IF(NOT(ISNUMBER($F150)),"run on terminal",IF(ABS($F150/$C150-1)&lt;0.05,"MATCH","CHECK — BBG "&amp;TEXT($F150,"#,##0")))</f>
        <v/>
      </c>
      <c r="H150" s="95" t="inlineStr">
        <is>
          <t>stated gross HK$54.5m rejected — below the deal's own net proceeds HK$1,258.9m, which cannot happen</t>
        </is>
      </c>
    </row>
    <row r="151">
      <c r="A151" s="90" t="inlineStr">
        <is>
          <t>2490</t>
        </is>
      </c>
      <c r="B151" s="16" t="inlineStr">
        <is>
          <t>LC LOGISTICS</t>
        </is>
      </c>
      <c r="C151" s="99" t="n">
        <v>145.6</v>
      </c>
      <c r="D151" s="95" t="inlineStr">
        <is>
          <t>gross (price x shares)</t>
        </is>
      </c>
      <c r="F151" s="18">
        <f>IFERROR(BDP(TEXT($A151,"0000")&amp;" HK Equity","EQUITY_OFFERINGS"),"run on terminal")</f>
        <v/>
      </c>
      <c r="G151" s="10">
        <f>IF(NOT(ISNUMBER($F151)),"run on terminal",IF(ABS($F151/$C151-1)&lt;0.05,"MATCH","CHECK — BBG "&amp;TEXT($F151,"#,##0")))</f>
        <v/>
      </c>
      <c r="H151" s="95" t="inlineStr">
        <is>
          <t>stated gross HK$5.9m rejected — below the deal's own net proceeds HK$83.5m, which cannot happen</t>
        </is>
      </c>
    </row>
    <row r="152">
      <c r="A152" s="90" t="inlineStr">
        <is>
          <t>9686</t>
        </is>
      </c>
      <c r="B152" s="16" t="inlineStr">
        <is>
          <t>NEUSOFT XIKANG</t>
        </is>
      </c>
      <c r="C152" s="99" t="n">
        <v>636.9</v>
      </c>
      <c r="D152" s="95" t="inlineStr">
        <is>
          <t>gross (price x shares)</t>
        </is>
      </c>
      <c r="F152" s="18">
        <f>IFERROR(BDP(TEXT($A152,"0000")&amp;" HK Equity","EQUITY_OFFERINGS"),"run on terminal")</f>
        <v/>
      </c>
      <c r="G152" s="10">
        <f>IF(NOT(ISNUMBER($F152)),"run on terminal",IF(ABS($F152/$C152-1)&lt;0.05,"MATCH","CHECK — BBG "&amp;TEXT($F152,"#,##0")))</f>
        <v/>
      </c>
      <c r="H152" s="95" t="inlineStr">
        <is>
          <t>stated gross HK$21.6m rejected — below the deal's own net proceeds HK$554.5m, which cannot happen</t>
        </is>
      </c>
    </row>
    <row r="153">
      <c r="A153" s="90" t="inlineStr">
        <is>
          <t>9890</t>
        </is>
      </c>
      <c r="B153" s="16" t="inlineStr">
        <is>
          <t>ZX INC</t>
        </is>
      </c>
      <c r="C153" s="99" t="n">
        <v>265.7</v>
      </c>
      <c r="D153" s="95" t="inlineStr">
        <is>
          <t>gross (price x shares)</t>
        </is>
      </c>
      <c r="F153" s="18">
        <f>IFERROR(BDP(TEXT($A153,"0000")&amp;" HK Equity","EQUITY_OFFERINGS"),"run on terminal")</f>
        <v/>
      </c>
      <c r="G153" s="10">
        <f>IF(NOT(ISNUMBER($F153)),"run on terminal",IF(ABS($F153/$C153-1)&lt;0.05,"MATCH","CHECK — BBG "&amp;TEXT($F153,"#,##0")))</f>
        <v/>
      </c>
      <c r="H153" s="95" t="inlineStr">
        <is>
          <t>stated gross HK$29.5m rejected — below the deal's own net proceeds HK$138.1m, which cannot happen</t>
        </is>
      </c>
    </row>
    <row r="154">
      <c r="A154" s="90" t="inlineStr">
        <is>
          <t>2451</t>
        </is>
      </c>
      <c r="B154" s="16" t="inlineStr">
        <is>
          <t>LUYUAN GP HLDG</t>
        </is>
      </c>
      <c r="C154" s="99" t="n">
        <v>786.1</v>
      </c>
      <c r="D154" s="95" t="inlineStr">
        <is>
          <t>gross (price x shares)</t>
        </is>
      </c>
      <c r="F154" s="18">
        <f>IFERROR(BDP(TEXT($A154,"0000")&amp;" HK Equity","EQUITY_OFFERINGS"),"run on terminal")</f>
        <v/>
      </c>
      <c r="G154" s="10">
        <f>IF(NOT(ISNUMBER($F154)),"run on terminal",IF(ABS($F154/$C154-1)&lt;0.05,"MATCH","CHECK — BBG "&amp;TEXT($F154,"#,##0")))</f>
        <v/>
      </c>
      <c r="H154" s="95" t="inlineStr">
        <is>
          <t>stated gross HK$31.5m rejected — below the deal's own net proceeds HK$706.4m, which cannot happen</t>
        </is>
      </c>
    </row>
    <row r="155">
      <c r="A155" s="90" t="inlineStr">
        <is>
          <t>2517</t>
        </is>
      </c>
      <c r="B155" s="16" t="inlineStr">
        <is>
          <t>GUOQUAN</t>
        </is>
      </c>
      <c r="C155" s="99" t="n">
        <v>411.4</v>
      </c>
      <c r="D155" s="95" t="inlineStr">
        <is>
          <t>gross (price x shares)</t>
        </is>
      </c>
      <c r="F155" s="18">
        <f>IFERROR(BDP(TEXT($A155,"0000")&amp;" HK Equity","EQUITY_OFFERINGS"),"run on terminal")</f>
        <v/>
      </c>
      <c r="G155" s="10">
        <f>IF(NOT(ISNUMBER($F155)),"run on terminal",IF(ABS($F155/$C155-1)&lt;0.05,"MATCH","CHECK — BBG "&amp;TEXT($F155,"#,##0")))</f>
        <v/>
      </c>
      <c r="H155" s="95" t="inlineStr">
        <is>
          <t>stated gross HK$16.5m rejected — below the deal's own net proceeds HK$356.5m, which cannot happen</t>
        </is>
      </c>
    </row>
    <row r="156">
      <c r="A156" s="90" t="inlineStr">
        <is>
          <t>1111</t>
        </is>
      </c>
      <c r="B156" s="16" t="inlineStr">
        <is>
          <t>HUASHI GROUP</t>
        </is>
      </c>
      <c r="C156" s="99" t="n">
        <v>130</v>
      </c>
      <c r="D156" s="95" t="inlineStr">
        <is>
          <t>gross (price x shares)</t>
        </is>
      </c>
      <c r="F156" s="18">
        <f>IFERROR(BDP(TEXT($A156,"0000")&amp;" HK Equity","EQUITY_OFFERINGS"),"run on terminal")</f>
        <v/>
      </c>
      <c r="G156" s="10">
        <f>IF(NOT(ISNUMBER($F156)),"run on terminal",IF(ABS($F156/$C156-1)&lt;0.05,"MATCH","CHECK — BBG "&amp;TEXT($F156,"#,##0")))</f>
        <v/>
      </c>
      <c r="H156" s="95" t="inlineStr">
        <is>
          <t>stated gross HK$7.8m rejected — below the deal's own net proceeds HK$72.1m, which cannot happen</t>
        </is>
      </c>
    </row>
  </sheetData>
  <pageMargins left="0.75" right="0.75" top="1" bottom="1" header="0.5" footer="0.5"/>
</worksheet>
</file>

<file path=xl/worksheets/sheet7.xml><?xml version="1.0" encoding="utf-8"?>
<worksheet xmlns="http://schemas.openxmlformats.org/spreadsheetml/2006/main">
  <sheetPr>
    <tabColor rgb="00BFBFBF"/>
    <outlinePr summaryBelow="1" summaryRight="1"/>
    <pageSetUpPr/>
  </sheetPr>
  <dimension ref="A1:H209"/>
  <sheetViews>
    <sheetView workbookViewId="0">
      <selection activeCell="A1" sqref="A1"/>
    </sheetView>
  </sheetViews>
  <sheetFormatPr baseColWidth="8" defaultRowHeight="15"/>
  <cols>
    <col width="30" customWidth="1" min="1" max="1"/>
    <col width="26" customWidth="1" min="2" max="2"/>
    <col width="14" customWidth="1" min="3" max="3"/>
    <col width="8" customWidth="1" min="4" max="4"/>
    <col width="13" customWidth="1" min="5" max="5"/>
    <col width="10" customWidth="1" min="6" max="6"/>
    <col hidden="1" width="13" customWidth="1" min="7" max="7"/>
  </cols>
  <sheetData>
    <row r="1">
      <c r="A1" s="1" t="inlineStr">
        <is>
          <t>DAY-1 ANALOGS — what deals like this actually did</t>
        </is>
      </c>
    </row>
    <row r="2">
      <c r="A2" s="2" t="inlineStr">
        <is>
          <t>built from 511 deals with a listing-day price, 2021, 2022, 2023, 2024, 2025, 2026. 'Hit-rate' = % that closed above the offer price. Read n before trusting a cell.</t>
        </is>
      </c>
    </row>
    <row r="3"/>
    <row r="4">
      <c r="A4" s="14" t="inlineStr">
        <is>
          <t>BY SUBSCRIPTION LEVEL (all deals)</t>
        </is>
      </c>
    </row>
    <row r="5">
      <c r="A5" s="12" t="inlineStr">
        <is>
          <t>Subscription</t>
        </is>
      </c>
      <c r="B5" s="12" t="inlineStr">
        <is>
          <t>n</t>
        </is>
      </c>
      <c r="C5" s="12" t="inlineStr">
        <is>
          <t>Median day-1</t>
        </is>
      </c>
      <c r="D5" s="12" t="inlineStr">
        <is>
          <t>Hit-rate</t>
        </is>
      </c>
      <c r="E5" s="12" t="inlineStr">
        <is>
          <t>P25</t>
        </is>
      </c>
      <c r="F5" s="12" t="inlineStr">
        <is>
          <t>P75</t>
        </is>
      </c>
    </row>
    <row r="6">
      <c r="A6" s="16" t="inlineStr">
        <is>
          <t>&lt;10x</t>
        </is>
      </c>
      <c r="B6" s="88" t="n">
        <v>165</v>
      </c>
      <c r="C6" s="100" t="n">
        <v>0</v>
      </c>
      <c r="D6" s="93" t="n">
        <v>41</v>
      </c>
      <c r="E6" s="100" t="n">
        <v>-5.4</v>
      </c>
      <c r="F6" s="100" t="n">
        <v>3.1</v>
      </c>
    </row>
    <row r="7">
      <c r="A7" s="16" t="inlineStr">
        <is>
          <t>10-100x</t>
        </is>
      </c>
      <c r="B7" s="88" t="n">
        <v>124</v>
      </c>
      <c r="C7" s="100" t="n">
        <v>0.8</v>
      </c>
      <c r="D7" s="93" t="n">
        <v>53</v>
      </c>
      <c r="E7" s="100" t="n">
        <v>-13.7</v>
      </c>
      <c r="F7" s="100" t="n">
        <v>15.7</v>
      </c>
    </row>
    <row r="8">
      <c r="A8" s="16" t="inlineStr">
        <is>
          <t>100-1000x</t>
        </is>
      </c>
      <c r="B8" s="88" t="n">
        <v>117</v>
      </c>
      <c r="C8" s="100" t="n">
        <v>3.3</v>
      </c>
      <c r="D8" s="93" t="n">
        <v>58</v>
      </c>
      <c r="E8" s="100" t="n">
        <v>-8.6</v>
      </c>
      <c r="F8" s="100" t="n">
        <v>26.9</v>
      </c>
    </row>
    <row r="9">
      <c r="A9" s="16" t="inlineStr">
        <is>
          <t>&gt;=1000x</t>
        </is>
      </c>
      <c r="B9" s="88" t="n">
        <v>105</v>
      </c>
      <c r="C9" s="100" t="n">
        <v>76.2</v>
      </c>
      <c r="D9" s="93" t="n">
        <v>92</v>
      </c>
      <c r="E9" s="100" t="n">
        <v>21.9</v>
      </c>
      <c r="F9" s="100" t="n">
        <v>127.1</v>
      </c>
    </row>
    <row r="10"/>
    <row r="11">
      <c r="A11" s="14" t="inlineStr">
        <is>
          <t>BY SUBSECTOR x SUBSCRIPTION</t>
        </is>
      </c>
    </row>
    <row r="12">
      <c r="A12" s="12" t="inlineStr">
        <is>
          <t>Subsector</t>
        </is>
      </c>
      <c r="B12" s="12" t="inlineStr">
        <is>
          <t>Subscription</t>
        </is>
      </c>
      <c r="C12" s="12" t="inlineStr">
        <is>
          <t>n</t>
        </is>
      </c>
      <c r="D12" s="12" t="inlineStr">
        <is>
          <t>Median day-1</t>
        </is>
      </c>
      <c r="E12" s="12" t="inlineStr">
        <is>
          <t>Hit-rate</t>
        </is>
      </c>
    </row>
    <row r="13">
      <c r="A13" s="16" t="inlineStr">
        <is>
          <t>AI application / agent software</t>
        </is>
      </c>
      <c r="B13" s="16" t="inlineStr">
        <is>
          <t>10-100x</t>
        </is>
      </c>
      <c r="C13" s="88" t="n">
        <v>3</v>
      </c>
      <c r="D13" s="100" t="n">
        <v>5.2</v>
      </c>
      <c r="E13" s="93" t="n">
        <v>67</v>
      </c>
      <c r="G13" s="2" t="inlineStr">
        <is>
          <t>AI application / agent software|10-100x</t>
        </is>
      </c>
    </row>
    <row r="14">
      <c r="A14" s="16" t="inlineStr">
        <is>
          <t>AI application / agent software</t>
        </is>
      </c>
      <c r="B14" s="16" t="inlineStr">
        <is>
          <t>100-1000x</t>
        </is>
      </c>
      <c r="C14" s="88" t="n">
        <v>2</v>
      </c>
      <c r="D14" s="100" t="n">
        <v>3.3</v>
      </c>
      <c r="E14" s="93" t="n">
        <v>50</v>
      </c>
      <c r="G14" s="2" t="inlineStr">
        <is>
          <t>AI application / agent software|100-1000x</t>
        </is>
      </c>
    </row>
    <row r="15">
      <c r="A15" s="16" t="inlineStr">
        <is>
          <t>AI application / agent software</t>
        </is>
      </c>
      <c r="B15" s="16" t="inlineStr">
        <is>
          <t>&lt;10x</t>
        </is>
      </c>
      <c r="C15" s="88" t="n">
        <v>2</v>
      </c>
      <c r="D15" s="100" t="n">
        <v>22.7</v>
      </c>
      <c r="E15" s="93" t="n">
        <v>100</v>
      </c>
      <c r="G15" s="2" t="inlineStr">
        <is>
          <t>AI application / agent software|&lt;10x</t>
        </is>
      </c>
    </row>
    <row r="16">
      <c r="A16" s="16" t="inlineStr">
        <is>
          <t>AI application / agent software</t>
        </is>
      </c>
      <c r="B16" s="16" t="inlineStr">
        <is>
          <t>&gt;=1000x</t>
        </is>
      </c>
      <c r="C16" s="88" t="n">
        <v>10</v>
      </c>
      <c r="D16" s="100" t="n">
        <v>150.3</v>
      </c>
      <c r="E16" s="93" t="n">
        <v>90</v>
      </c>
      <c r="G16" s="2" t="inlineStr">
        <is>
          <t>AI application / agent software|&gt;=1000x</t>
        </is>
      </c>
    </row>
    <row r="17">
      <c r="A17" s="16" t="inlineStr">
        <is>
          <t>AI chips &amp; semis</t>
        </is>
      </c>
      <c r="B17" s="16" t="inlineStr">
        <is>
          <t>10-100x</t>
        </is>
      </c>
      <c r="C17" s="88" t="n">
        <v>5</v>
      </c>
      <c r="D17" s="100" t="n">
        <v>2.8</v>
      </c>
      <c r="E17" s="93" t="n">
        <v>60</v>
      </c>
      <c r="G17" s="2" t="inlineStr">
        <is>
          <t>AI chips &amp; semis|10-100x</t>
        </is>
      </c>
    </row>
    <row r="18">
      <c r="A18" s="16" t="inlineStr">
        <is>
          <t>AI chips &amp; semis</t>
        </is>
      </c>
      <c r="B18" s="16" t="inlineStr">
        <is>
          <t>100-1000x</t>
        </is>
      </c>
      <c r="C18" s="88" t="n">
        <v>8</v>
      </c>
      <c r="D18" s="100" t="n">
        <v>12.2</v>
      </c>
      <c r="E18" s="93" t="n">
        <v>75</v>
      </c>
      <c r="G18" s="2" t="inlineStr">
        <is>
          <t>AI chips &amp; semis|100-1000x</t>
        </is>
      </c>
    </row>
    <row r="19">
      <c r="A19" s="16" t="inlineStr">
        <is>
          <t>AI chips &amp; semis</t>
        </is>
      </c>
      <c r="B19" s="16" t="inlineStr">
        <is>
          <t>&lt;10x</t>
        </is>
      </c>
      <c r="C19" s="88" t="n">
        <v>4</v>
      </c>
      <c r="D19" s="100" t="n">
        <v>-8.5</v>
      </c>
      <c r="E19" s="93" t="n">
        <v>50</v>
      </c>
      <c r="G19" s="2" t="inlineStr">
        <is>
          <t>AI chips &amp; semis|&lt;10x</t>
        </is>
      </c>
    </row>
    <row r="20">
      <c r="A20" s="16" t="inlineStr">
        <is>
          <t>AI chips &amp; semis</t>
        </is>
      </c>
      <c r="B20" s="16" t="inlineStr">
        <is>
          <t>&gt;=1000x</t>
        </is>
      </c>
      <c r="C20" s="88" t="n">
        <v>9</v>
      </c>
      <c r="D20" s="100" t="n">
        <v>75.8</v>
      </c>
      <c r="E20" s="93" t="n">
        <v>100</v>
      </c>
      <c r="G20" s="2" t="inlineStr">
        <is>
          <t>AI chips &amp; semis|&gt;=1000x</t>
        </is>
      </c>
    </row>
    <row r="21">
      <c r="A21" s="16" t="inlineStr">
        <is>
          <t>Apparel / luxury</t>
        </is>
      </c>
      <c r="B21" s="16" t="inlineStr">
        <is>
          <t>10-100x</t>
        </is>
      </c>
      <c r="C21" s="88" t="n">
        <v>1</v>
      </c>
      <c r="D21" s="100" t="n">
        <v>7.5</v>
      </c>
      <c r="E21" s="93" t="n">
        <v>100</v>
      </c>
      <c r="G21" s="2" t="inlineStr">
        <is>
          <t>Apparel / luxury|10-100x</t>
        </is>
      </c>
    </row>
    <row r="22">
      <c r="A22" s="16" t="inlineStr">
        <is>
          <t>Apparel / luxury</t>
        </is>
      </c>
      <c r="B22" s="16" t="inlineStr">
        <is>
          <t>100-1000x</t>
        </is>
      </c>
      <c r="C22" s="88" t="n">
        <v>2</v>
      </c>
      <c r="D22" s="100" t="n">
        <v>48.9</v>
      </c>
      <c r="E22" s="93" t="n">
        <v>100</v>
      </c>
      <c r="G22" s="2" t="inlineStr">
        <is>
          <t>Apparel / luxury|100-1000x</t>
        </is>
      </c>
    </row>
    <row r="23">
      <c r="A23" s="16" t="inlineStr">
        <is>
          <t>Apparel / luxury</t>
        </is>
      </c>
      <c r="B23" s="16" t="inlineStr">
        <is>
          <t>&lt;10x</t>
        </is>
      </c>
      <c r="C23" s="88" t="n">
        <v>1</v>
      </c>
      <c r="D23" s="100" t="n">
        <v>-0.1</v>
      </c>
      <c r="E23" s="93" t="n">
        <v>0</v>
      </c>
      <c r="G23" s="2" t="inlineStr">
        <is>
          <t>Apparel / luxury|&lt;10x</t>
        </is>
      </c>
    </row>
    <row r="24">
      <c r="A24" s="16" t="inlineStr">
        <is>
          <t>Apparel / luxury</t>
        </is>
      </c>
      <c r="B24" s="16" t="inlineStr">
        <is>
          <t>&gt;=1000x</t>
        </is>
      </c>
      <c r="C24" s="88" t="n">
        <v>1</v>
      </c>
      <c r="D24" s="100" t="n">
        <v>258.1</v>
      </c>
      <c r="E24" s="93" t="n">
        <v>100</v>
      </c>
      <c r="G24" s="2" t="inlineStr">
        <is>
          <t>Apparel / luxury|&gt;=1000x</t>
        </is>
      </c>
    </row>
    <row r="25">
      <c r="A25" s="16" t="inlineStr">
        <is>
          <t>Auto parts / supply chain</t>
        </is>
      </c>
      <c r="B25" s="16" t="inlineStr">
        <is>
          <t>10-100x</t>
        </is>
      </c>
      <c r="C25" s="88" t="n">
        <v>3</v>
      </c>
      <c r="D25" s="100" t="n">
        <v>-36.9</v>
      </c>
      <c r="E25" s="93" t="n">
        <v>33</v>
      </c>
      <c r="G25" s="2" t="inlineStr">
        <is>
          <t>Auto parts / supply chain|10-100x</t>
        </is>
      </c>
    </row>
    <row r="26">
      <c r="A26" s="16" t="inlineStr">
        <is>
          <t>Auto parts / supply chain</t>
        </is>
      </c>
      <c r="B26" s="16" t="inlineStr">
        <is>
          <t>100-1000x</t>
        </is>
      </c>
      <c r="C26" s="88" t="n">
        <v>3</v>
      </c>
      <c r="D26" s="100" t="n">
        <v>-0.1</v>
      </c>
      <c r="E26" s="93" t="n">
        <v>33</v>
      </c>
      <c r="G26" s="2" t="inlineStr">
        <is>
          <t>Auto parts / supply chain|100-1000x</t>
        </is>
      </c>
    </row>
    <row r="27">
      <c r="A27" s="16" t="inlineStr">
        <is>
          <t>Auto parts / supply chain</t>
        </is>
      </c>
      <c r="B27" s="16" t="inlineStr">
        <is>
          <t>&lt;10x</t>
        </is>
      </c>
      <c r="C27" s="88" t="n">
        <v>1</v>
      </c>
      <c r="D27" s="100" t="n">
        <v>2.1</v>
      </c>
      <c r="E27" s="93" t="n">
        <v>100</v>
      </c>
      <c r="G27" s="2" t="inlineStr">
        <is>
          <t>Auto parts / supply chain|&lt;10x</t>
        </is>
      </c>
    </row>
    <row r="28">
      <c r="A28" s="16" t="inlineStr">
        <is>
          <t>Auto parts / supply chain</t>
        </is>
      </c>
      <c r="B28" s="16" t="inlineStr">
        <is>
          <t>&gt;=1000x</t>
        </is>
      </c>
      <c r="C28" s="88" t="n">
        <v>2</v>
      </c>
      <c r="D28" s="100" t="n">
        <v>128.1</v>
      </c>
      <c r="E28" s="93" t="n">
        <v>100</v>
      </c>
      <c r="G28" s="2" t="inlineStr">
        <is>
          <t>Auto parts / supply chain|&gt;=1000x</t>
        </is>
      </c>
    </row>
    <row r="29">
      <c r="A29" s="16" t="inlineStr">
        <is>
          <t>Autos (NEV OEM)</t>
        </is>
      </c>
      <c r="B29" s="16" t="inlineStr">
        <is>
          <t>10-100x</t>
        </is>
      </c>
      <c r="C29" s="88" t="n">
        <v>2</v>
      </c>
      <c r="D29" s="100" t="n">
        <v>0.5</v>
      </c>
      <c r="E29" s="93" t="n">
        <v>50</v>
      </c>
      <c r="G29" s="2" t="inlineStr">
        <is>
          <t>Autos (NEV OEM)|10-100x</t>
        </is>
      </c>
    </row>
    <row r="30">
      <c r="A30" s="16" t="inlineStr">
        <is>
          <t>Autos (NEV OEM)</t>
        </is>
      </c>
      <c r="B30" s="16" t="inlineStr">
        <is>
          <t>100-1000x</t>
        </is>
      </c>
      <c r="C30" s="88" t="n">
        <v>2</v>
      </c>
      <c r="D30" s="100" t="n">
        <v>1.9</v>
      </c>
      <c r="E30" s="93" t="n">
        <v>50</v>
      </c>
      <c r="G30" s="2" t="inlineStr">
        <is>
          <t>Autos (NEV OEM)|100-1000x</t>
        </is>
      </c>
    </row>
    <row r="31">
      <c r="A31" s="16" t="inlineStr">
        <is>
          <t>Autos (NEV OEM)</t>
        </is>
      </c>
      <c r="B31" s="16" t="inlineStr">
        <is>
          <t>&lt;10x</t>
        </is>
      </c>
      <c r="C31" s="88" t="n">
        <v>2</v>
      </c>
      <c r="D31" s="100" t="n">
        <v>-17.2</v>
      </c>
      <c r="E31" s="93" t="n">
        <v>0</v>
      </c>
      <c r="G31" s="2" t="inlineStr">
        <is>
          <t>Autos (NEV OEM)|&lt;10x</t>
        </is>
      </c>
    </row>
    <row r="32">
      <c r="A32" s="16" t="inlineStr">
        <is>
          <t>Banks</t>
        </is>
      </c>
      <c r="B32" s="16" t="inlineStr">
        <is>
          <t>&lt;10x</t>
        </is>
      </c>
      <c r="C32" s="88" t="n">
        <v>2</v>
      </c>
      <c r="D32" s="100" t="n">
        <v>2.5</v>
      </c>
      <c r="E32" s="93" t="n">
        <v>100</v>
      </c>
      <c r="G32" s="2" t="inlineStr">
        <is>
          <t>Banks|&lt;10x</t>
        </is>
      </c>
    </row>
    <row r="33">
      <c r="A33" s="16" t="inlineStr">
        <is>
          <t>Batteries / energy storage</t>
        </is>
      </c>
      <c r="B33" s="16" t="inlineStr">
        <is>
          <t>10-100x</t>
        </is>
      </c>
      <c r="C33" s="88" t="n">
        <v>2</v>
      </c>
      <c r="D33" s="100" t="n">
        <v>9.9</v>
      </c>
      <c r="E33" s="93" t="n">
        <v>50</v>
      </c>
      <c r="G33" s="2" t="inlineStr">
        <is>
          <t>Batteries / energy storage|10-100x</t>
        </is>
      </c>
    </row>
    <row r="34">
      <c r="A34" s="16" t="inlineStr">
        <is>
          <t>Batteries / energy storage</t>
        </is>
      </c>
      <c r="B34" s="16" t="inlineStr">
        <is>
          <t>100-1000x</t>
        </is>
      </c>
      <c r="C34" s="88" t="n">
        <v>1</v>
      </c>
      <c r="D34" s="100" t="n">
        <v>16.4</v>
      </c>
      <c r="E34" s="93" t="n">
        <v>100</v>
      </c>
      <c r="G34" s="2" t="inlineStr">
        <is>
          <t>Batteries / energy storage|100-1000x</t>
        </is>
      </c>
    </row>
    <row r="35">
      <c r="A35" s="16" t="inlineStr">
        <is>
          <t>Batteries / energy storage</t>
        </is>
      </c>
      <c r="B35" s="16" t="inlineStr">
        <is>
          <t>&lt;10x</t>
        </is>
      </c>
      <c r="C35" s="88" t="n">
        <v>7</v>
      </c>
      <c r="D35" s="100" t="n">
        <v>0.1</v>
      </c>
      <c r="E35" s="93" t="n">
        <v>57</v>
      </c>
      <c r="G35" s="2" t="inlineStr">
        <is>
          <t>Batteries / energy storage|&lt;10x</t>
        </is>
      </c>
    </row>
    <row r="36">
      <c r="A36" s="16" t="inlineStr">
        <is>
          <t>Batteries / energy storage</t>
        </is>
      </c>
      <c r="B36" s="16" t="inlineStr">
        <is>
          <t>&gt;=1000x</t>
        </is>
      </c>
      <c r="C36" s="88" t="n">
        <v>3</v>
      </c>
      <c r="D36" s="100" t="n">
        <v>31.3</v>
      </c>
      <c r="E36" s="93" t="n">
        <v>100</v>
      </c>
      <c r="G36" s="2" t="inlineStr">
        <is>
          <t>Batteries / energy storage|&gt;=1000x</t>
        </is>
      </c>
    </row>
    <row r="37">
      <c r="A37" s="16" t="inlineStr">
        <is>
          <t>Beauty / personal care</t>
        </is>
      </c>
      <c r="B37" s="16" t="inlineStr">
        <is>
          <t>10-100x</t>
        </is>
      </c>
      <c r="C37" s="88" t="n">
        <v>2</v>
      </c>
      <c r="D37" s="100" t="n">
        <v>18.4</v>
      </c>
      <c r="E37" s="93" t="n">
        <v>50</v>
      </c>
      <c r="G37" s="2" t="inlineStr">
        <is>
          <t>Beauty / personal care|10-100x</t>
        </is>
      </c>
    </row>
    <row r="38">
      <c r="A38" s="16" t="inlineStr">
        <is>
          <t>Beauty / personal care</t>
        </is>
      </c>
      <c r="B38" s="16" t="inlineStr">
        <is>
          <t>100-1000x</t>
        </is>
      </c>
      <c r="C38" s="88" t="n">
        <v>2</v>
      </c>
      <c r="D38" s="100" t="n">
        <v>31.7</v>
      </c>
      <c r="E38" s="93" t="n">
        <v>50</v>
      </c>
      <c r="G38" s="2" t="inlineStr">
        <is>
          <t>Beauty / personal care|100-1000x</t>
        </is>
      </c>
    </row>
    <row r="39">
      <c r="A39" s="16" t="inlineStr">
        <is>
          <t>Beauty / personal care</t>
        </is>
      </c>
      <c r="B39" s="16" t="inlineStr">
        <is>
          <t>&lt;10x</t>
        </is>
      </c>
      <c r="C39" s="88" t="n">
        <v>2</v>
      </c>
      <c r="D39" s="100" t="n">
        <v>4.9</v>
      </c>
      <c r="E39" s="93" t="n">
        <v>50</v>
      </c>
      <c r="G39" s="2" t="inlineStr">
        <is>
          <t>Beauty / personal care|&lt;10x</t>
        </is>
      </c>
    </row>
    <row r="40">
      <c r="A40" s="16" t="inlineStr">
        <is>
          <t>Beauty / personal care</t>
        </is>
      </c>
      <c r="B40" s="16" t="inlineStr">
        <is>
          <t>&gt;=1000x</t>
        </is>
      </c>
      <c r="C40" s="88" t="n">
        <v>1</v>
      </c>
      <c r="D40" s="100" t="n">
        <v>9.300000000000001</v>
      </c>
      <c r="E40" s="93" t="n">
        <v>100</v>
      </c>
      <c r="G40" s="2" t="inlineStr">
        <is>
          <t>Beauty / personal care|&gt;=1000x</t>
        </is>
      </c>
    </row>
    <row r="41">
      <c r="A41" s="16" t="inlineStr">
        <is>
          <t>Beverages / packaged food</t>
        </is>
      </c>
      <c r="B41" s="16" t="inlineStr">
        <is>
          <t>10-100x</t>
        </is>
      </c>
      <c r="C41" s="88" t="n">
        <v>8</v>
      </c>
      <c r="D41" s="100" t="n">
        <v>-9.4</v>
      </c>
      <c r="E41" s="93" t="n">
        <v>12</v>
      </c>
      <c r="G41" s="2" t="inlineStr">
        <is>
          <t>Beverages / packaged food|10-100x</t>
        </is>
      </c>
    </row>
    <row r="42">
      <c r="A42" s="16" t="inlineStr">
        <is>
          <t>Beverages / packaged food</t>
        </is>
      </c>
      <c r="B42" s="16" t="inlineStr">
        <is>
          <t>100-1000x</t>
        </is>
      </c>
      <c r="C42" s="88" t="n">
        <v>5</v>
      </c>
      <c r="D42" s="100" t="n">
        <v>15</v>
      </c>
      <c r="E42" s="93" t="n">
        <v>80</v>
      </c>
      <c r="G42" s="2" t="inlineStr">
        <is>
          <t>Beverages / packaged food|100-1000x</t>
        </is>
      </c>
    </row>
    <row r="43">
      <c r="A43" s="16" t="inlineStr">
        <is>
          <t>Beverages / packaged food</t>
        </is>
      </c>
      <c r="B43" s="16" t="inlineStr">
        <is>
          <t>&lt;10x</t>
        </is>
      </c>
      <c r="C43" s="88" t="n">
        <v>6</v>
      </c>
      <c r="D43" s="100" t="n">
        <v>0.5</v>
      </c>
      <c r="E43" s="93" t="n">
        <v>50</v>
      </c>
      <c r="G43" s="2" t="inlineStr">
        <is>
          <t>Beverages / packaged food|&lt;10x</t>
        </is>
      </c>
    </row>
    <row r="44">
      <c r="A44" s="16" t="inlineStr">
        <is>
          <t>Beverages / packaged food</t>
        </is>
      </c>
      <c r="B44" s="16" t="inlineStr">
        <is>
          <t>&gt;=1000x</t>
        </is>
      </c>
      <c r="C44" s="88" t="n">
        <v>6</v>
      </c>
      <c r="D44" s="100" t="n">
        <v>77.90000000000001</v>
      </c>
      <c r="E44" s="93" t="n">
        <v>100</v>
      </c>
      <c r="G44" s="2" t="inlineStr">
        <is>
          <t>Beverages / packaged food|&gt;=1000x</t>
        </is>
      </c>
    </row>
    <row r="45">
      <c r="A45" s="16" t="inlineStr">
        <is>
          <t>Biopharma commercial</t>
        </is>
      </c>
      <c r="B45" s="16" t="inlineStr">
        <is>
          <t>10-100x</t>
        </is>
      </c>
      <c r="C45" s="88" t="n">
        <v>2</v>
      </c>
      <c r="D45" s="100" t="n">
        <v>122</v>
      </c>
      <c r="E45" s="93" t="n">
        <v>100</v>
      </c>
      <c r="G45" s="2" t="inlineStr">
        <is>
          <t>Biopharma commercial|10-100x</t>
        </is>
      </c>
    </row>
    <row r="46">
      <c r="A46" s="16" t="inlineStr">
        <is>
          <t>Biopharma commercial</t>
        </is>
      </c>
      <c r="B46" s="16" t="inlineStr">
        <is>
          <t>100-1000x</t>
        </is>
      </c>
      <c r="C46" s="88" t="n">
        <v>3</v>
      </c>
      <c r="D46" s="100" t="n">
        <v>-12.7</v>
      </c>
      <c r="E46" s="93" t="n">
        <v>33</v>
      </c>
      <c r="G46" s="2" t="inlineStr">
        <is>
          <t>Biopharma commercial|100-1000x</t>
        </is>
      </c>
    </row>
    <row r="47">
      <c r="A47" s="16" t="inlineStr">
        <is>
          <t>Biopharma commercial</t>
        </is>
      </c>
      <c r="B47" s="16" t="inlineStr">
        <is>
          <t>&lt;10x</t>
        </is>
      </c>
      <c r="C47" s="88" t="n">
        <v>2</v>
      </c>
      <c r="D47" s="100" t="n">
        <v>26.7</v>
      </c>
      <c r="E47" s="93" t="n">
        <v>100</v>
      </c>
      <c r="G47" s="2" t="inlineStr">
        <is>
          <t>Biopharma commercial|&lt;10x</t>
        </is>
      </c>
    </row>
    <row r="48">
      <c r="A48" s="16" t="inlineStr">
        <is>
          <t>Biopharma commercial</t>
        </is>
      </c>
      <c r="B48" s="16" t="inlineStr">
        <is>
          <t>&gt;=1000x</t>
        </is>
      </c>
      <c r="C48" s="88" t="n">
        <v>2</v>
      </c>
      <c r="D48" s="100" t="n">
        <v>90.8</v>
      </c>
      <c r="E48" s="93" t="n">
        <v>100</v>
      </c>
      <c r="G48" s="2" t="inlineStr">
        <is>
          <t>Biopharma commercial|&gt;=1000x</t>
        </is>
      </c>
    </row>
    <row r="49">
      <c r="A49" s="16" t="inlineStr">
        <is>
          <t>Biotech pre-revenue (18A)</t>
        </is>
      </c>
      <c r="B49" s="16" t="inlineStr">
        <is>
          <t>10-100x</t>
        </is>
      </c>
      <c r="C49" s="88" t="n">
        <v>10</v>
      </c>
      <c r="D49" s="100" t="n">
        <v>0.9</v>
      </c>
      <c r="E49" s="93" t="n">
        <v>50</v>
      </c>
      <c r="G49" s="2" t="inlineStr">
        <is>
          <t>Biotech pre-revenue (18A)|10-100x</t>
        </is>
      </c>
    </row>
    <row r="50">
      <c r="A50" s="16" t="inlineStr">
        <is>
          <t>Biotech pre-revenue (18A)</t>
        </is>
      </c>
      <c r="B50" s="16" t="inlineStr">
        <is>
          <t>100-1000x</t>
        </is>
      </c>
      <c r="C50" s="88" t="n">
        <v>10</v>
      </c>
      <c r="D50" s="100" t="n">
        <v>13.4</v>
      </c>
      <c r="E50" s="93" t="n">
        <v>70</v>
      </c>
      <c r="G50" s="2" t="inlineStr">
        <is>
          <t>Biotech pre-revenue (18A)|100-1000x</t>
        </is>
      </c>
    </row>
    <row r="51">
      <c r="A51" s="16" t="inlineStr">
        <is>
          <t>Biotech pre-revenue (18A)</t>
        </is>
      </c>
      <c r="B51" s="16" t="inlineStr">
        <is>
          <t>&lt;10x</t>
        </is>
      </c>
      <c r="C51" s="88" t="n">
        <v>14</v>
      </c>
      <c r="D51" s="100" t="n">
        <v>1.8</v>
      </c>
      <c r="E51" s="93" t="n">
        <v>64</v>
      </c>
      <c r="G51" s="2" t="inlineStr">
        <is>
          <t>Biotech pre-revenue (18A)|&lt;10x</t>
        </is>
      </c>
    </row>
    <row r="52">
      <c r="A52" s="16" t="inlineStr">
        <is>
          <t>Biotech pre-revenue (18A)</t>
        </is>
      </c>
      <c r="B52" s="16" t="inlineStr">
        <is>
          <t>&gt;=1000x</t>
        </is>
      </c>
      <c r="C52" s="88" t="n">
        <v>15</v>
      </c>
      <c r="D52" s="100" t="n">
        <v>108.3</v>
      </c>
      <c r="E52" s="93" t="n">
        <v>87</v>
      </c>
      <c r="G52" s="2" t="inlineStr">
        <is>
          <t>Biotech pre-revenue (18A)|&gt;=1000x</t>
        </is>
      </c>
    </row>
    <row r="53">
      <c r="A53" s="16" t="inlineStr">
        <is>
          <t>Brokers / asset management</t>
        </is>
      </c>
      <c r="B53" s="16" t="inlineStr">
        <is>
          <t>&lt;10x</t>
        </is>
      </c>
      <c r="C53" s="88" t="n">
        <v>4</v>
      </c>
      <c r="D53" s="100" t="n">
        <v>-14.3</v>
      </c>
      <c r="E53" s="93" t="n">
        <v>25</v>
      </c>
      <c r="G53" s="2" t="inlineStr">
        <is>
          <t>Brokers / asset management|&lt;10x</t>
        </is>
      </c>
    </row>
    <row r="54">
      <c r="A54" s="16" t="inlineStr">
        <is>
          <t>CXO / pharma services</t>
        </is>
      </c>
      <c r="B54" s="16" t="inlineStr">
        <is>
          <t>10-100x</t>
        </is>
      </c>
      <c r="C54" s="88" t="n">
        <v>1</v>
      </c>
      <c r="D54" s="100" t="n">
        <v>35.9</v>
      </c>
      <c r="E54" s="93" t="n">
        <v>100</v>
      </c>
      <c r="G54" s="2" t="inlineStr">
        <is>
          <t>CXO / pharma services|10-100x</t>
        </is>
      </c>
    </row>
    <row r="55">
      <c r="A55" s="16" t="inlineStr">
        <is>
          <t>CXO / pharma services</t>
        </is>
      </c>
      <c r="B55" s="16" t="inlineStr">
        <is>
          <t>100-1000x</t>
        </is>
      </c>
      <c r="C55" s="88" t="n">
        <v>3</v>
      </c>
      <c r="D55" s="100" t="n">
        <v>-7.6</v>
      </c>
      <c r="E55" s="93" t="n">
        <v>33</v>
      </c>
      <c r="G55" s="2" t="inlineStr">
        <is>
          <t>CXO / pharma services|100-1000x</t>
        </is>
      </c>
    </row>
    <row r="56">
      <c r="A56" s="16" t="inlineStr">
        <is>
          <t>CXO / pharma services</t>
        </is>
      </c>
      <c r="B56" s="16" t="inlineStr">
        <is>
          <t>&lt;10x</t>
        </is>
      </c>
      <c r="C56" s="88" t="n">
        <v>5</v>
      </c>
      <c r="D56" s="100" t="n">
        <v>1.1</v>
      </c>
      <c r="E56" s="93" t="n">
        <v>60</v>
      </c>
      <c r="G56" s="2" t="inlineStr">
        <is>
          <t>CXO / pharma services|&lt;10x</t>
        </is>
      </c>
    </row>
    <row r="57">
      <c r="A57" s="16" t="inlineStr">
        <is>
          <t>Capital goods / machinery</t>
        </is>
      </c>
      <c r="B57" s="16" t="inlineStr">
        <is>
          <t>10-100x</t>
        </is>
      </c>
      <c r="C57" s="88" t="n">
        <v>7</v>
      </c>
      <c r="D57" s="100" t="n">
        <v>0.8</v>
      </c>
      <c r="E57" s="93" t="n">
        <v>57</v>
      </c>
      <c r="G57" s="2" t="inlineStr">
        <is>
          <t>Capital goods / machinery|10-100x</t>
        </is>
      </c>
    </row>
    <row r="58">
      <c r="A58" s="16" t="inlineStr">
        <is>
          <t>Capital goods / machinery</t>
        </is>
      </c>
      <c r="B58" s="16" t="inlineStr">
        <is>
          <t>100-1000x</t>
        </is>
      </c>
      <c r="C58" s="88" t="n">
        <v>3</v>
      </c>
      <c r="D58" s="100" t="n">
        <v>14.8</v>
      </c>
      <c r="E58" s="93" t="n">
        <v>67</v>
      </c>
      <c r="G58" s="2" t="inlineStr">
        <is>
          <t>Capital goods / machinery|100-1000x</t>
        </is>
      </c>
    </row>
    <row r="59">
      <c r="A59" s="16" t="inlineStr">
        <is>
          <t>Capital goods / machinery</t>
        </is>
      </c>
      <c r="B59" s="16" t="inlineStr">
        <is>
          <t>&lt;10x</t>
        </is>
      </c>
      <c r="C59" s="88" t="n">
        <v>5</v>
      </c>
      <c r="D59" s="100" t="n">
        <v>1.5</v>
      </c>
      <c r="E59" s="93" t="n">
        <v>60</v>
      </c>
      <c r="G59" s="2" t="inlineStr">
        <is>
          <t>Capital goods / machinery|&lt;10x</t>
        </is>
      </c>
    </row>
    <row r="60">
      <c r="A60" s="16" t="inlineStr">
        <is>
          <t>Capital goods / machinery</t>
        </is>
      </c>
      <c r="B60" s="16" t="inlineStr">
        <is>
          <t>&gt;=1000x</t>
        </is>
      </c>
      <c r="C60" s="88" t="n">
        <v>3</v>
      </c>
      <c r="D60" s="100" t="n">
        <v>2.4</v>
      </c>
      <c r="E60" s="93" t="n">
        <v>67</v>
      </c>
      <c r="G60" s="2" t="inlineStr">
        <is>
          <t>Capital goods / machinery|&gt;=1000x</t>
        </is>
      </c>
    </row>
    <row r="61">
      <c r="A61" s="16" t="inlineStr">
        <is>
          <t>Chemicals</t>
        </is>
      </c>
      <c r="B61" s="16" t="inlineStr">
        <is>
          <t>10-100x</t>
        </is>
      </c>
      <c r="C61" s="88" t="n">
        <v>5</v>
      </c>
      <c r="D61" s="100" t="n">
        <v>-27.5</v>
      </c>
      <c r="E61" s="93" t="n">
        <v>20</v>
      </c>
      <c r="G61" s="2" t="inlineStr">
        <is>
          <t>Chemicals|10-100x</t>
        </is>
      </c>
    </row>
    <row r="62">
      <c r="A62" s="16" t="inlineStr">
        <is>
          <t>Chemicals</t>
        </is>
      </c>
      <c r="B62" s="16" t="inlineStr">
        <is>
          <t>100-1000x</t>
        </is>
      </c>
      <c r="C62" s="88" t="n">
        <v>4</v>
      </c>
      <c r="D62" s="100" t="n">
        <v>15.3</v>
      </c>
      <c r="E62" s="93" t="n">
        <v>75</v>
      </c>
      <c r="G62" s="2" t="inlineStr">
        <is>
          <t>Chemicals|100-1000x</t>
        </is>
      </c>
    </row>
    <row r="63">
      <c r="A63" s="16" t="inlineStr">
        <is>
          <t>Chemicals</t>
        </is>
      </c>
      <c r="B63" s="16" t="inlineStr">
        <is>
          <t>&lt;10x</t>
        </is>
      </c>
      <c r="C63" s="88" t="n">
        <v>3</v>
      </c>
      <c r="D63" s="100" t="n">
        <v>0.2</v>
      </c>
      <c r="E63" s="93" t="n">
        <v>67</v>
      </c>
      <c r="G63" s="2" t="inlineStr">
        <is>
          <t>Chemicals|&lt;10x</t>
        </is>
      </c>
    </row>
    <row r="64">
      <c r="A64" s="16" t="inlineStr">
        <is>
          <t>Chemicals</t>
        </is>
      </c>
      <c r="B64" s="16" t="inlineStr">
        <is>
          <t>&gt;=1000x</t>
        </is>
      </c>
      <c r="C64" s="88" t="n">
        <v>2</v>
      </c>
      <c r="D64" s="100" t="n">
        <v>10.6</v>
      </c>
      <c r="E64" s="93" t="n">
        <v>50</v>
      </c>
      <c r="G64" s="2" t="inlineStr">
        <is>
          <t>Chemicals|&gt;=1000x</t>
        </is>
      </c>
    </row>
    <row r="65">
      <c r="A65" s="16" t="inlineStr">
        <is>
          <t>Construction / engineering</t>
        </is>
      </c>
      <c r="B65" s="16" t="inlineStr">
        <is>
          <t>10-100x</t>
        </is>
      </c>
      <c r="C65" s="88" t="n">
        <v>10</v>
      </c>
      <c r="D65" s="100" t="n">
        <v>-9.9</v>
      </c>
      <c r="E65" s="93" t="n">
        <v>50</v>
      </c>
      <c r="G65" s="2" t="inlineStr">
        <is>
          <t>Construction / engineering|10-100x</t>
        </is>
      </c>
    </row>
    <row r="66">
      <c r="A66" s="16" t="inlineStr">
        <is>
          <t>Construction / engineering</t>
        </is>
      </c>
      <c r="B66" s="16" t="inlineStr">
        <is>
          <t>100-1000x</t>
        </is>
      </c>
      <c r="C66" s="88" t="n">
        <v>4</v>
      </c>
      <c r="D66" s="100" t="n">
        <v>-21.1</v>
      </c>
      <c r="E66" s="93" t="n">
        <v>25</v>
      </c>
      <c r="G66" s="2" t="inlineStr">
        <is>
          <t>Construction / engineering|100-1000x</t>
        </is>
      </c>
    </row>
    <row r="67">
      <c r="A67" s="16" t="inlineStr">
        <is>
          <t>Construction / engineering</t>
        </is>
      </c>
      <c r="B67" s="16" t="inlineStr">
        <is>
          <t>&lt;10x</t>
        </is>
      </c>
      <c r="C67" s="88" t="n">
        <v>2</v>
      </c>
      <c r="D67" s="100" t="n">
        <v>5</v>
      </c>
      <c r="E67" s="93" t="n">
        <v>50</v>
      </c>
      <c r="G67" s="2" t="inlineStr">
        <is>
          <t>Construction / engineering|&lt;10x</t>
        </is>
      </c>
    </row>
    <row r="68">
      <c r="A68" s="16" t="inlineStr">
        <is>
          <t>Consumer services / education</t>
        </is>
      </c>
      <c r="B68" s="16" t="inlineStr">
        <is>
          <t>10-100x</t>
        </is>
      </c>
      <c r="C68" s="88" t="n">
        <v>1</v>
      </c>
      <c r="D68" s="100" t="n">
        <v>12.1</v>
      </c>
      <c r="E68" s="93" t="n">
        <v>100</v>
      </c>
      <c r="G68" s="2" t="inlineStr">
        <is>
          <t>Consumer services / education|10-100x</t>
        </is>
      </c>
    </row>
    <row r="69">
      <c r="A69" s="16" t="inlineStr">
        <is>
          <t>Consumer services / education</t>
        </is>
      </c>
      <c r="B69" s="16" t="inlineStr">
        <is>
          <t>&lt;10x</t>
        </is>
      </c>
      <c r="C69" s="88" t="n">
        <v>3</v>
      </c>
      <c r="D69" s="100" t="n">
        <v>0</v>
      </c>
      <c r="E69" s="93" t="n">
        <v>33</v>
      </c>
      <c r="G69" s="2" t="inlineStr">
        <is>
          <t>Consumer services / education|&lt;10x</t>
        </is>
      </c>
    </row>
    <row r="70">
      <c r="A70" s="16" t="inlineStr">
        <is>
          <t>Data center / cloud infra</t>
        </is>
      </c>
      <c r="B70" s="16" t="inlineStr">
        <is>
          <t>10-100x</t>
        </is>
      </c>
      <c r="C70" s="88" t="n">
        <v>2</v>
      </c>
      <c r="D70" s="100" t="n">
        <v>-37.1</v>
      </c>
      <c r="E70" s="93" t="n">
        <v>0</v>
      </c>
      <c r="G70" s="2" t="inlineStr">
        <is>
          <t>Data center / cloud infra|10-100x</t>
        </is>
      </c>
    </row>
    <row r="71">
      <c r="A71" s="16" t="inlineStr">
        <is>
          <t>Developers</t>
        </is>
      </c>
      <c r="B71" s="16" t="inlineStr">
        <is>
          <t>&lt;10x</t>
        </is>
      </c>
      <c r="C71" s="88" t="n">
        <v>1</v>
      </c>
      <c r="D71" s="100" t="n">
        <v>0</v>
      </c>
      <c r="E71" s="93" t="n">
        <v>0</v>
      </c>
      <c r="G71" s="2" t="inlineStr">
        <is>
          <t>Developers|&lt;10x</t>
        </is>
      </c>
    </row>
    <row r="72">
      <c r="A72" s="16" t="inlineStr">
        <is>
          <t>Digital health</t>
        </is>
      </c>
      <c r="B72" s="16" t="inlineStr">
        <is>
          <t>10-100x</t>
        </is>
      </c>
      <c r="C72" s="88" t="n">
        <v>3</v>
      </c>
      <c r="D72" s="100" t="n">
        <v>36.7</v>
      </c>
      <c r="E72" s="93" t="n">
        <v>67</v>
      </c>
      <c r="G72" s="2" t="inlineStr">
        <is>
          <t>Digital health|10-100x</t>
        </is>
      </c>
    </row>
    <row r="73">
      <c r="A73" s="16" t="inlineStr">
        <is>
          <t>Digital health</t>
        </is>
      </c>
      <c r="B73" s="16" t="inlineStr">
        <is>
          <t>100-1000x</t>
        </is>
      </c>
      <c r="C73" s="88" t="n">
        <v>4</v>
      </c>
      <c r="D73" s="100" t="n">
        <v>20.1</v>
      </c>
      <c r="E73" s="93" t="n">
        <v>75</v>
      </c>
      <c r="G73" s="2" t="inlineStr">
        <is>
          <t>Digital health|100-1000x</t>
        </is>
      </c>
    </row>
    <row r="74">
      <c r="A74" s="16" t="inlineStr">
        <is>
          <t>Digital health</t>
        </is>
      </c>
      <c r="B74" s="16" t="inlineStr">
        <is>
          <t>&lt;10x</t>
        </is>
      </c>
      <c r="C74" s="88" t="n">
        <v>8</v>
      </c>
      <c r="D74" s="100" t="n">
        <v>0</v>
      </c>
      <c r="E74" s="93" t="n">
        <v>38</v>
      </c>
      <c r="G74" s="2" t="inlineStr">
        <is>
          <t>Digital health|&lt;10x</t>
        </is>
      </c>
    </row>
    <row r="75">
      <c r="A75" s="16" t="inlineStr">
        <is>
          <t>Digital health</t>
        </is>
      </c>
      <c r="B75" s="16" t="inlineStr">
        <is>
          <t>&gt;=1000x</t>
        </is>
      </c>
      <c r="C75" s="88" t="n">
        <v>2</v>
      </c>
      <c r="D75" s="100" t="n">
        <v>80.59999999999999</v>
      </c>
      <c r="E75" s="93" t="n">
        <v>100</v>
      </c>
      <c r="G75" s="2" t="inlineStr">
        <is>
          <t>Digital health|&gt;=1000x</t>
        </is>
      </c>
    </row>
    <row r="76">
      <c r="A76" s="16" t="inlineStr">
        <is>
          <t>F&amp;B chains / restaurants</t>
        </is>
      </c>
      <c r="B76" s="16" t="inlineStr">
        <is>
          <t>10-100x</t>
        </is>
      </c>
      <c r="C76" s="88" t="n">
        <v>1</v>
      </c>
      <c r="D76" s="100" t="n">
        <v>22.9</v>
      </c>
      <c r="E76" s="93" t="n">
        <v>100</v>
      </c>
      <c r="G76" s="2" t="inlineStr">
        <is>
          <t>F&amp;B chains / restaurants|10-100x</t>
        </is>
      </c>
    </row>
    <row r="77">
      <c r="A77" s="16" t="inlineStr">
        <is>
          <t>F&amp;B chains / restaurants</t>
        </is>
      </c>
      <c r="B77" s="16" t="inlineStr">
        <is>
          <t>100-1000x</t>
        </is>
      </c>
      <c r="C77" s="88" t="n">
        <v>4</v>
      </c>
      <c r="D77" s="100" t="n">
        <v>-13</v>
      </c>
      <c r="E77" s="93" t="n">
        <v>0</v>
      </c>
      <c r="G77" s="2" t="inlineStr">
        <is>
          <t>F&amp;B chains / restaurants|100-1000x</t>
        </is>
      </c>
    </row>
    <row r="78">
      <c r="A78" s="16" t="inlineStr">
        <is>
          <t>F&amp;B chains / restaurants</t>
        </is>
      </c>
      <c r="B78" s="16" t="inlineStr">
        <is>
          <t>&lt;10x</t>
        </is>
      </c>
      <c r="C78" s="88" t="n">
        <v>3</v>
      </c>
      <c r="D78" s="100" t="n">
        <v>-0.1</v>
      </c>
      <c r="E78" s="93" t="n">
        <v>33</v>
      </c>
      <c r="G78" s="2" t="inlineStr">
        <is>
          <t>F&amp;B chains / restaurants|&lt;10x</t>
        </is>
      </c>
    </row>
    <row r="79">
      <c r="A79" s="16" t="inlineStr">
        <is>
          <t>F&amp;B chains / restaurants</t>
        </is>
      </c>
      <c r="B79" s="16" t="inlineStr">
        <is>
          <t>&gt;=1000x</t>
        </is>
      </c>
      <c r="C79" s="88" t="n">
        <v>2</v>
      </c>
      <c r="D79" s="100" t="n">
        <v>41.6</v>
      </c>
      <c r="E79" s="93" t="n">
        <v>100</v>
      </c>
      <c r="G79" s="2" t="inlineStr">
        <is>
          <t>F&amp;B chains / restaurants|&gt;=1000x</t>
        </is>
      </c>
    </row>
    <row r="80">
      <c r="A80" s="16" t="inlineStr">
        <is>
          <t>Fintech platform</t>
        </is>
      </c>
      <c r="B80" s="16" t="inlineStr">
        <is>
          <t>10-100x</t>
        </is>
      </c>
      <c r="C80" s="88" t="n">
        <v>3</v>
      </c>
      <c r="D80" s="100" t="n">
        <v>-0.6</v>
      </c>
      <c r="E80" s="93" t="n">
        <v>33</v>
      </c>
      <c r="G80" s="2" t="inlineStr">
        <is>
          <t>Fintech platform|10-100x</t>
        </is>
      </c>
    </row>
    <row r="81">
      <c r="A81" s="16" t="inlineStr">
        <is>
          <t>Fintech platform</t>
        </is>
      </c>
      <c r="B81" s="16" t="inlineStr">
        <is>
          <t>100-1000x</t>
        </is>
      </c>
      <c r="C81" s="88" t="n">
        <v>2</v>
      </c>
      <c r="D81" s="100" t="n">
        <v>-8.1</v>
      </c>
      <c r="E81" s="93" t="n">
        <v>0</v>
      </c>
      <c r="G81" s="2" t="inlineStr">
        <is>
          <t>Fintech platform|100-1000x</t>
        </is>
      </c>
    </row>
    <row r="82">
      <c r="A82" s="16" t="inlineStr">
        <is>
          <t>Fintech platform</t>
        </is>
      </c>
      <c r="B82" s="16" t="inlineStr">
        <is>
          <t>&lt;10x</t>
        </is>
      </c>
      <c r="C82" s="88" t="n">
        <v>2</v>
      </c>
      <c r="D82" s="100" t="n">
        <v>-4</v>
      </c>
      <c r="E82" s="93" t="n">
        <v>50</v>
      </c>
      <c r="G82" s="2" t="inlineStr">
        <is>
          <t>Fintech platform|&lt;10x</t>
        </is>
      </c>
    </row>
    <row r="83">
      <c r="A83" s="16" t="inlineStr">
        <is>
          <t>Hospitals / clinics</t>
        </is>
      </c>
      <c r="B83" s="16" t="inlineStr">
        <is>
          <t>10-100x</t>
        </is>
      </c>
      <c r="C83" s="88" t="n">
        <v>1</v>
      </c>
      <c r="D83" s="100" t="n">
        <v>-14.3</v>
      </c>
      <c r="E83" s="93" t="n">
        <v>0</v>
      </c>
      <c r="G83" s="2" t="inlineStr">
        <is>
          <t>Hospitals / clinics|10-100x</t>
        </is>
      </c>
    </row>
    <row r="84">
      <c r="A84" s="16" t="inlineStr">
        <is>
          <t>Hospitals / clinics</t>
        </is>
      </c>
      <c r="B84" s="16" t="inlineStr">
        <is>
          <t>100-1000x</t>
        </is>
      </c>
      <c r="C84" s="88" t="n">
        <v>5</v>
      </c>
      <c r="D84" s="100" t="n">
        <v>5.1</v>
      </c>
      <c r="E84" s="93" t="n">
        <v>100</v>
      </c>
      <c r="G84" s="2" t="inlineStr">
        <is>
          <t>Hospitals / clinics|100-1000x</t>
        </is>
      </c>
    </row>
    <row r="85">
      <c r="A85" s="16" t="inlineStr">
        <is>
          <t>Hospitals / clinics</t>
        </is>
      </c>
      <c r="B85" s="16" t="inlineStr">
        <is>
          <t>&lt;10x</t>
        </is>
      </c>
      <c r="C85" s="88" t="n">
        <v>3</v>
      </c>
      <c r="D85" s="100" t="n">
        <v>-5.6</v>
      </c>
      <c r="E85" s="93" t="n">
        <v>0</v>
      </c>
      <c r="G85" s="2" t="inlineStr">
        <is>
          <t>Hospitals / clinics|&lt;10x</t>
        </is>
      </c>
    </row>
    <row r="86">
      <c r="A86" s="16" t="inlineStr">
        <is>
          <t>Insurance</t>
        </is>
      </c>
      <c r="B86" s="16" t="inlineStr">
        <is>
          <t>10-100x</t>
        </is>
      </c>
      <c r="C86" s="88" t="n">
        <v>2</v>
      </c>
      <c r="D86" s="100" t="n">
        <v>3</v>
      </c>
      <c r="E86" s="93" t="n">
        <v>100</v>
      </c>
      <c r="G86" s="2" t="inlineStr">
        <is>
          <t>Insurance|10-100x</t>
        </is>
      </c>
    </row>
    <row r="87">
      <c r="A87" s="16" t="inlineStr">
        <is>
          <t>Insurance</t>
        </is>
      </c>
      <c r="B87" s="16" t="inlineStr">
        <is>
          <t>100-1000x</t>
        </is>
      </c>
      <c r="C87" s="88" t="n">
        <v>2</v>
      </c>
      <c r="D87" s="100" t="n">
        <v>174.9</v>
      </c>
      <c r="E87" s="93" t="n">
        <v>50</v>
      </c>
      <c r="G87" s="2" t="inlineStr">
        <is>
          <t>Insurance|100-1000x</t>
        </is>
      </c>
    </row>
    <row r="88">
      <c r="A88" s="16" t="inlineStr">
        <is>
          <t>Insurance</t>
        </is>
      </c>
      <c r="B88" s="16" t="inlineStr">
        <is>
          <t>&lt;10x</t>
        </is>
      </c>
      <c r="C88" s="88" t="n">
        <v>2</v>
      </c>
      <c r="D88" s="100" t="n">
        <v>2.4</v>
      </c>
      <c r="E88" s="93" t="n">
        <v>50</v>
      </c>
      <c r="G88" s="2" t="inlineStr">
        <is>
          <t>Insurance|&lt;10x</t>
        </is>
      </c>
    </row>
    <row r="89">
      <c r="A89" s="16" t="inlineStr">
        <is>
          <t>Insurance</t>
        </is>
      </c>
      <c r="B89" s="16" t="inlineStr">
        <is>
          <t>&gt;=1000x</t>
        </is>
      </c>
      <c r="C89" s="88" t="n">
        <v>1</v>
      </c>
      <c r="D89" s="100" t="n">
        <v>158.8</v>
      </c>
      <c r="E89" s="93" t="n">
        <v>100</v>
      </c>
      <c r="G89" s="2" t="inlineStr">
        <is>
          <t>Insurance|&gt;=1000x</t>
        </is>
      </c>
    </row>
    <row r="90">
      <c r="A90" s="16" t="inlineStr">
        <is>
          <t>Internet platform / e-commerce</t>
        </is>
      </c>
      <c r="B90" s="16" t="inlineStr">
        <is>
          <t>10-100x</t>
        </is>
      </c>
      <c r="C90" s="88" t="n">
        <v>7</v>
      </c>
      <c r="D90" s="100" t="n">
        <v>0.8</v>
      </c>
      <c r="E90" s="93" t="n">
        <v>57</v>
      </c>
      <c r="G90" s="2" t="inlineStr">
        <is>
          <t>Internet platform / e-commerce|10-100x</t>
        </is>
      </c>
    </row>
    <row r="91">
      <c r="A91" s="16" t="inlineStr">
        <is>
          <t>Internet platform / e-commerce</t>
        </is>
      </c>
      <c r="B91" s="16" t="inlineStr">
        <is>
          <t>100-1000x</t>
        </is>
      </c>
      <c r="C91" s="88" t="n">
        <v>6</v>
      </c>
      <c r="D91" s="100" t="n">
        <v>-0.5</v>
      </c>
      <c r="E91" s="93" t="n">
        <v>33</v>
      </c>
      <c r="G91" s="2" t="inlineStr">
        <is>
          <t>Internet platform / e-commerce|100-1000x</t>
        </is>
      </c>
    </row>
    <row r="92">
      <c r="A92" s="16" t="inlineStr">
        <is>
          <t>Internet platform / e-commerce</t>
        </is>
      </c>
      <c r="B92" s="16" t="inlineStr">
        <is>
          <t>&lt;10x</t>
        </is>
      </c>
      <c r="C92" s="88" t="n">
        <v>8</v>
      </c>
      <c r="D92" s="100" t="n">
        <v>-1.1</v>
      </c>
      <c r="E92" s="93" t="n">
        <v>50</v>
      </c>
      <c r="G92" s="2" t="inlineStr">
        <is>
          <t>Internet platform / e-commerce|&lt;10x</t>
        </is>
      </c>
    </row>
    <row r="93">
      <c r="A93" s="16" t="inlineStr">
        <is>
          <t>Internet platform / e-commerce</t>
        </is>
      </c>
      <c r="B93" s="16" t="inlineStr">
        <is>
          <t>&gt;=1000x</t>
        </is>
      </c>
      <c r="C93" s="88" t="n">
        <v>2</v>
      </c>
      <c r="D93" s="100" t="n">
        <v>124.8</v>
      </c>
      <c r="E93" s="93" t="n">
        <v>100</v>
      </c>
      <c r="G93" s="2" t="inlineStr">
        <is>
          <t>Internet platform / e-commerce|&gt;=1000x</t>
        </is>
      </c>
    </row>
    <row r="94">
      <c r="A94" s="16" t="inlineStr">
        <is>
          <t>LLM / foundation model</t>
        </is>
      </c>
      <c r="B94" s="16" t="inlineStr">
        <is>
          <t>&gt;=1000x</t>
        </is>
      </c>
      <c r="C94" s="88" t="n">
        <v>2</v>
      </c>
      <c r="D94" s="100" t="n">
        <v>61.1</v>
      </c>
      <c r="E94" s="93" t="n">
        <v>100</v>
      </c>
      <c r="G94" s="2" t="inlineStr">
        <is>
          <t>LLM / foundation model|&gt;=1000x</t>
        </is>
      </c>
    </row>
    <row r="95">
      <c r="A95" s="16" t="inlineStr">
        <is>
          <t>Logistics</t>
        </is>
      </c>
      <c r="B95" s="16" t="inlineStr">
        <is>
          <t>10-100x</t>
        </is>
      </c>
      <c r="C95" s="88" t="n">
        <v>4</v>
      </c>
      <c r="D95" s="100" t="n">
        <v>-1</v>
      </c>
      <c r="E95" s="93" t="n">
        <v>25</v>
      </c>
      <c r="G95" s="2" t="inlineStr">
        <is>
          <t>Logistics|10-100x</t>
        </is>
      </c>
    </row>
    <row r="96">
      <c r="A96" s="16" t="inlineStr">
        <is>
          <t>Logistics</t>
        </is>
      </c>
      <c r="B96" s="16" t="inlineStr">
        <is>
          <t>100-1000x</t>
        </is>
      </c>
      <c r="C96" s="88" t="n">
        <v>3</v>
      </c>
      <c r="D96" s="100" t="n">
        <v>3.3</v>
      </c>
      <c r="E96" s="93" t="n">
        <v>67</v>
      </c>
      <c r="G96" s="2" t="inlineStr">
        <is>
          <t>Logistics|100-1000x</t>
        </is>
      </c>
    </row>
    <row r="97">
      <c r="A97" s="16" t="inlineStr">
        <is>
          <t>Logistics</t>
        </is>
      </c>
      <c r="B97" s="16" t="inlineStr">
        <is>
          <t>&lt;10x</t>
        </is>
      </c>
      <c r="C97" s="88" t="n">
        <v>6</v>
      </c>
      <c r="D97" s="100" t="n">
        <v>-4.9</v>
      </c>
      <c r="E97" s="93" t="n">
        <v>0</v>
      </c>
      <c r="G97" s="2" t="inlineStr">
        <is>
          <t>Logistics|&lt;10x</t>
        </is>
      </c>
    </row>
    <row r="98">
      <c r="A98" s="16" t="inlineStr">
        <is>
          <t>Logistics</t>
        </is>
      </c>
      <c r="B98" s="16" t="inlineStr">
        <is>
          <t>&gt;=1000x</t>
        </is>
      </c>
      <c r="C98" s="88" t="n">
        <v>2</v>
      </c>
      <c r="D98" s="100" t="n">
        <v>-21.7</v>
      </c>
      <c r="E98" s="93" t="n">
        <v>50</v>
      </c>
      <c r="G98" s="2" t="inlineStr">
        <is>
          <t>Logistics|&gt;=1000x</t>
        </is>
      </c>
    </row>
    <row r="99">
      <c r="A99" s="16" t="inlineStr">
        <is>
          <t>Media / advertising</t>
        </is>
      </c>
      <c r="B99" s="16" t="inlineStr">
        <is>
          <t>10-100x</t>
        </is>
      </c>
      <c r="C99" s="88" t="n">
        <v>6</v>
      </c>
      <c r="D99" s="100" t="n">
        <v>38.2</v>
      </c>
      <c r="E99" s="93" t="n">
        <v>100</v>
      </c>
      <c r="G99" s="2" t="inlineStr">
        <is>
          <t>Media / advertising|10-100x</t>
        </is>
      </c>
    </row>
    <row r="100">
      <c r="A100" s="16" t="inlineStr">
        <is>
          <t>Media / advertising</t>
        </is>
      </c>
      <c r="B100" s="16" t="inlineStr">
        <is>
          <t>100-1000x</t>
        </is>
      </c>
      <c r="C100" s="88" t="n">
        <v>2</v>
      </c>
      <c r="D100" s="100" t="n">
        <v>41.8</v>
      </c>
      <c r="E100" s="93" t="n">
        <v>50</v>
      </c>
      <c r="G100" s="2" t="inlineStr">
        <is>
          <t>Media / advertising|100-1000x</t>
        </is>
      </c>
    </row>
    <row r="101">
      <c r="A101" s="16" t="inlineStr">
        <is>
          <t>Media / advertising</t>
        </is>
      </c>
      <c r="B101" s="16" t="inlineStr">
        <is>
          <t>&lt;10x</t>
        </is>
      </c>
      <c r="C101" s="88" t="n">
        <v>9</v>
      </c>
      <c r="D101" s="100" t="n">
        <v>-2.7</v>
      </c>
      <c r="E101" s="93" t="n">
        <v>44</v>
      </c>
      <c r="G101" s="2" t="inlineStr">
        <is>
          <t>Media / advertising|&lt;10x</t>
        </is>
      </c>
    </row>
    <row r="102">
      <c r="A102" s="16" t="inlineStr">
        <is>
          <t>Media / advertising</t>
        </is>
      </c>
      <c r="B102" s="16" t="inlineStr">
        <is>
          <t>&gt;=1000x</t>
        </is>
      </c>
      <c r="C102" s="88" t="n">
        <v>2</v>
      </c>
      <c r="D102" s="100" t="n">
        <v>-6.7</v>
      </c>
      <c r="E102" s="93" t="n">
        <v>50</v>
      </c>
      <c r="G102" s="2" t="inlineStr">
        <is>
          <t>Media / advertising|&gt;=1000x</t>
        </is>
      </c>
    </row>
    <row r="103">
      <c r="A103" s="16" t="inlineStr">
        <is>
          <t>Medical devices</t>
        </is>
      </c>
      <c r="B103" s="16" t="inlineStr">
        <is>
          <t>10-100x</t>
        </is>
      </c>
      <c r="C103" s="88" t="n">
        <v>4</v>
      </c>
      <c r="D103" s="100" t="n">
        <v>1.6</v>
      </c>
      <c r="E103" s="93" t="n">
        <v>50</v>
      </c>
      <c r="G103" s="2" t="inlineStr">
        <is>
          <t>Medical devices|10-100x</t>
        </is>
      </c>
    </row>
    <row r="104">
      <c r="A104" s="16" t="inlineStr">
        <is>
          <t>Medical devices</t>
        </is>
      </c>
      <c r="B104" s="16" t="inlineStr">
        <is>
          <t>100-1000x</t>
        </is>
      </c>
      <c r="C104" s="88" t="n">
        <v>6</v>
      </c>
      <c r="D104" s="100" t="n">
        <v>0.1</v>
      </c>
      <c r="E104" s="93" t="n">
        <v>50</v>
      </c>
      <c r="G104" s="2" t="inlineStr">
        <is>
          <t>Medical devices|100-1000x</t>
        </is>
      </c>
    </row>
    <row r="105">
      <c r="A105" s="16" t="inlineStr">
        <is>
          <t>Medical devices</t>
        </is>
      </c>
      <c r="B105" s="16" t="inlineStr">
        <is>
          <t>&lt;10x</t>
        </is>
      </c>
      <c r="C105" s="88" t="n">
        <v>9</v>
      </c>
      <c r="D105" s="100" t="n">
        <v>0</v>
      </c>
      <c r="E105" s="93" t="n">
        <v>33</v>
      </c>
      <c r="G105" s="2" t="inlineStr">
        <is>
          <t>Medical devices|&lt;10x</t>
        </is>
      </c>
    </row>
    <row r="106">
      <c r="A106" s="16" t="inlineStr">
        <is>
          <t>Medical devices</t>
        </is>
      </c>
      <c r="B106" s="16" t="inlineStr">
        <is>
          <t>&gt;=1000x</t>
        </is>
      </c>
      <c r="C106" s="88" t="n">
        <v>6</v>
      </c>
      <c r="D106" s="100" t="n">
        <v>115</v>
      </c>
      <c r="E106" s="93" t="n">
        <v>100</v>
      </c>
      <c r="G106" s="2" t="inlineStr">
        <is>
          <t>Medical devices|&gt;=1000x</t>
        </is>
      </c>
    </row>
    <row r="107">
      <c r="A107" s="16" t="inlineStr">
        <is>
          <t>Mining / metals</t>
        </is>
      </c>
      <c r="B107" s="16" t="inlineStr">
        <is>
          <t>10-100x</t>
        </is>
      </c>
      <c r="C107" s="88" t="n">
        <v>1</v>
      </c>
      <c r="D107" s="100" t="n">
        <v>143.1</v>
      </c>
      <c r="E107" s="93" t="n">
        <v>100</v>
      </c>
      <c r="G107" s="2" t="inlineStr">
        <is>
          <t>Mining / metals|10-100x</t>
        </is>
      </c>
    </row>
    <row r="108">
      <c r="A108" s="16" t="inlineStr">
        <is>
          <t>Mining / metals</t>
        </is>
      </c>
      <c r="B108" s="16" t="inlineStr">
        <is>
          <t>100-1000x</t>
        </is>
      </c>
      <c r="C108" s="88" t="n">
        <v>3</v>
      </c>
      <c r="D108" s="100" t="n">
        <v>32.8</v>
      </c>
      <c r="E108" s="93" t="n">
        <v>100</v>
      </c>
      <c r="G108" s="2" t="inlineStr">
        <is>
          <t>Mining / metals|100-1000x</t>
        </is>
      </c>
    </row>
    <row r="109">
      <c r="A109" s="16" t="inlineStr">
        <is>
          <t>Mining / metals</t>
        </is>
      </c>
      <c r="B109" s="16" t="inlineStr">
        <is>
          <t>&lt;10x</t>
        </is>
      </c>
      <c r="C109" s="88" t="n">
        <v>6</v>
      </c>
      <c r="D109" s="100" t="n">
        <v>0</v>
      </c>
      <c r="E109" s="93" t="n">
        <v>17</v>
      </c>
      <c r="G109" s="2" t="inlineStr">
        <is>
          <t>Mining / metals|&lt;10x</t>
        </is>
      </c>
    </row>
    <row r="110">
      <c r="A110" s="16" t="inlineStr">
        <is>
          <t>Mining / metals</t>
        </is>
      </c>
      <c r="B110" s="16" t="inlineStr">
        <is>
          <t>&gt;=1000x</t>
        </is>
      </c>
      <c r="C110" s="88" t="n">
        <v>3</v>
      </c>
      <c r="D110" s="100" t="n">
        <v>90.7</v>
      </c>
      <c r="E110" s="93" t="n">
        <v>100</v>
      </c>
      <c r="G110" s="2" t="inlineStr">
        <is>
          <t>Mining / metals|&gt;=1000x</t>
        </is>
      </c>
    </row>
    <row r="111">
      <c r="A111" s="16" t="inlineStr">
        <is>
          <t>Oil &amp; gas / utilities</t>
        </is>
      </c>
      <c r="B111" s="16" t="inlineStr">
        <is>
          <t>10-100x</t>
        </is>
      </c>
      <c r="C111" s="88" t="n">
        <v>2</v>
      </c>
      <c r="D111" s="100" t="n">
        <v>15.1</v>
      </c>
      <c r="E111" s="93" t="n">
        <v>50</v>
      </c>
      <c r="G111" s="2" t="inlineStr">
        <is>
          <t>Oil &amp; gas / utilities|10-100x</t>
        </is>
      </c>
    </row>
    <row r="112">
      <c r="A112" s="16" t="inlineStr">
        <is>
          <t>Oil &amp; gas / utilities</t>
        </is>
      </c>
      <c r="B112" s="16" t="inlineStr">
        <is>
          <t>&lt;10x</t>
        </is>
      </c>
      <c r="C112" s="88" t="n">
        <v>3</v>
      </c>
      <c r="D112" s="100" t="n">
        <v>0</v>
      </c>
      <c r="E112" s="93" t="n">
        <v>0</v>
      </c>
      <c r="G112" s="2" t="inlineStr">
        <is>
          <t>Oil &amp; gas / utilities|&lt;10x</t>
        </is>
      </c>
    </row>
    <row r="113">
      <c r="A113" s="16" t="inlineStr">
        <is>
          <t>Property management</t>
        </is>
      </c>
      <c r="B113" s="16" t="inlineStr">
        <is>
          <t>10-100x</t>
        </is>
      </c>
      <c r="C113" s="88" t="n">
        <v>4</v>
      </c>
      <c r="D113" s="100" t="n">
        <v>-0.4</v>
      </c>
      <c r="E113" s="93" t="n">
        <v>50</v>
      </c>
      <c r="G113" s="2" t="inlineStr">
        <is>
          <t>Property management|10-100x</t>
        </is>
      </c>
    </row>
    <row r="114">
      <c r="A114" s="16" t="inlineStr">
        <is>
          <t>Property management</t>
        </is>
      </c>
      <c r="B114" s="16" t="inlineStr">
        <is>
          <t>100-1000x</t>
        </is>
      </c>
      <c r="C114" s="88" t="n">
        <v>2</v>
      </c>
      <c r="D114" s="100" t="n">
        <v>-3.9</v>
      </c>
      <c r="E114" s="93" t="n">
        <v>50</v>
      </c>
      <c r="G114" s="2" t="inlineStr">
        <is>
          <t>Property management|100-1000x</t>
        </is>
      </c>
    </row>
    <row r="115">
      <c r="A115" s="16" t="inlineStr">
        <is>
          <t>Property management</t>
        </is>
      </c>
      <c r="B115" s="16" t="inlineStr">
        <is>
          <t>&lt;10x</t>
        </is>
      </c>
      <c r="C115" s="88" t="n">
        <v>17</v>
      </c>
      <c r="D115" s="100" t="n">
        <v>0</v>
      </c>
      <c r="E115" s="93" t="n">
        <v>29</v>
      </c>
      <c r="G115" s="2" t="inlineStr">
        <is>
          <t>Property management|&lt;10x</t>
        </is>
      </c>
    </row>
    <row r="116">
      <c r="A116" s="16" t="inlineStr">
        <is>
          <t>Property management</t>
        </is>
      </c>
      <c r="B116" s="16" t="inlineStr">
        <is>
          <t>&gt;=1000x</t>
        </is>
      </c>
      <c r="C116" s="88" t="n">
        <v>1</v>
      </c>
      <c r="D116" s="100" t="n">
        <v>36.2</v>
      </c>
      <c r="E116" s="93" t="n">
        <v>100</v>
      </c>
      <c r="G116" s="2" t="inlineStr">
        <is>
          <t>Property management|&gt;=1000x</t>
        </is>
      </c>
    </row>
    <row r="117">
      <c r="A117" s="16" t="inlineStr">
        <is>
          <t>REITs / asset-light</t>
        </is>
      </c>
      <c r="B117" s="16" t="inlineStr">
        <is>
          <t>&lt;10x</t>
        </is>
      </c>
      <c r="C117" s="88" t="n">
        <v>1</v>
      </c>
      <c r="D117" s="100" t="n">
        <v>-16.5</v>
      </c>
      <c r="E117" s="93" t="n">
        <v>0</v>
      </c>
      <c r="G117" s="2" t="inlineStr">
        <is>
          <t>REITs / asset-light|&lt;10x</t>
        </is>
      </c>
    </row>
    <row r="118">
      <c r="A118" s="16" t="inlineStr">
        <is>
          <t>Retail / distribution</t>
        </is>
      </c>
      <c r="B118" s="16" t="inlineStr">
        <is>
          <t>10-100x</t>
        </is>
      </c>
      <c r="C118" s="88" t="n">
        <v>6</v>
      </c>
      <c r="D118" s="100" t="n">
        <v>16.1</v>
      </c>
      <c r="E118" s="93" t="n">
        <v>67</v>
      </c>
      <c r="G118" s="2" t="inlineStr">
        <is>
          <t>Retail / distribution|10-100x</t>
        </is>
      </c>
    </row>
    <row r="119">
      <c r="A119" s="16" t="inlineStr">
        <is>
          <t>Retail / distribution</t>
        </is>
      </c>
      <c r="B119" s="16" t="inlineStr">
        <is>
          <t>100-1000x</t>
        </is>
      </c>
      <c r="C119" s="88" t="n">
        <v>2</v>
      </c>
      <c r="D119" s="100" t="n">
        <v>-9.4</v>
      </c>
      <c r="E119" s="93" t="n">
        <v>50</v>
      </c>
      <c r="G119" s="2" t="inlineStr">
        <is>
          <t>Retail / distribution|100-1000x</t>
        </is>
      </c>
    </row>
    <row r="120">
      <c r="A120" s="16" t="inlineStr">
        <is>
          <t>Retail / distribution</t>
        </is>
      </c>
      <c r="B120" s="16" t="inlineStr">
        <is>
          <t>&lt;10x</t>
        </is>
      </c>
      <c r="C120" s="88" t="n">
        <v>4</v>
      </c>
      <c r="D120" s="100" t="n">
        <v>0</v>
      </c>
      <c r="E120" s="93" t="n">
        <v>0</v>
      </c>
      <c r="G120" s="2" t="inlineStr">
        <is>
          <t>Retail / distribution|&lt;10x</t>
        </is>
      </c>
    </row>
    <row r="121">
      <c r="A121" s="16" t="inlineStr">
        <is>
          <t>Retail / distribution</t>
        </is>
      </c>
      <c r="B121" s="16" t="inlineStr">
        <is>
          <t>&gt;=1000x</t>
        </is>
      </c>
      <c r="C121" s="88" t="n">
        <v>5</v>
      </c>
      <c r="D121" s="100" t="n">
        <v>44</v>
      </c>
      <c r="E121" s="93" t="n">
        <v>100</v>
      </c>
      <c r="G121" s="2" t="inlineStr">
        <is>
          <t>Retail / distribution|&gt;=1000x</t>
        </is>
      </c>
    </row>
    <row r="122">
      <c r="A122" s="16" t="inlineStr">
        <is>
          <t>Robotics &amp; autonomous driving</t>
        </is>
      </c>
      <c r="B122" s="16" t="inlineStr">
        <is>
          <t>10-100x</t>
        </is>
      </c>
      <c r="C122" s="88" t="n">
        <v>4</v>
      </c>
      <c r="D122" s="100" t="n">
        <v>-11.5</v>
      </c>
      <c r="E122" s="93" t="n">
        <v>25</v>
      </c>
      <c r="G122" s="2" t="inlineStr">
        <is>
          <t>Robotics &amp; autonomous driving|10-100x</t>
        </is>
      </c>
    </row>
    <row r="123">
      <c r="A123" s="16" t="inlineStr">
        <is>
          <t>Robotics &amp; autonomous driving</t>
        </is>
      </c>
      <c r="B123" s="16" t="inlineStr">
        <is>
          <t>100-1000x</t>
        </is>
      </c>
      <c r="C123" s="88" t="n">
        <v>6</v>
      </c>
      <c r="D123" s="100" t="n">
        <v>7.7</v>
      </c>
      <c r="E123" s="93" t="n">
        <v>83</v>
      </c>
      <c r="G123" s="2" t="inlineStr">
        <is>
          <t>Robotics &amp; autonomous driving|100-1000x</t>
        </is>
      </c>
    </row>
    <row r="124">
      <c r="A124" s="16" t="inlineStr">
        <is>
          <t>Robotics &amp; autonomous driving</t>
        </is>
      </c>
      <c r="B124" s="16" t="inlineStr">
        <is>
          <t>&lt;10x</t>
        </is>
      </c>
      <c r="C124" s="88" t="n">
        <v>4</v>
      </c>
      <c r="D124" s="100" t="n">
        <v>0.4</v>
      </c>
      <c r="E124" s="93" t="n">
        <v>50</v>
      </c>
      <c r="G124" s="2" t="inlineStr">
        <is>
          <t>Robotics &amp; autonomous driving|&lt;10x</t>
        </is>
      </c>
    </row>
    <row r="125">
      <c r="A125" s="16" t="inlineStr">
        <is>
          <t>Robotics &amp; autonomous driving</t>
        </is>
      </c>
      <c r="B125" s="16" t="inlineStr">
        <is>
          <t>&gt;=1000x</t>
        </is>
      </c>
      <c r="C125" s="88" t="n">
        <v>7</v>
      </c>
      <c r="D125" s="100" t="n">
        <v>26.1</v>
      </c>
      <c r="E125" s="93" t="n">
        <v>86</v>
      </c>
      <c r="G125" s="2" t="inlineStr">
        <is>
          <t>Robotics &amp; autonomous driving|&gt;=1000x</t>
        </is>
      </c>
    </row>
    <row r="126">
      <c r="A126" s="16" t="inlineStr">
        <is>
          <t>SaaS / enterprise software</t>
        </is>
      </c>
      <c r="B126" s="16" t="inlineStr">
        <is>
          <t>10-100x</t>
        </is>
      </c>
      <c r="C126" s="88" t="n">
        <v>8</v>
      </c>
      <c r="D126" s="100" t="n">
        <v>1.6</v>
      </c>
      <c r="E126" s="93" t="n">
        <v>75</v>
      </c>
      <c r="G126" s="2" t="inlineStr">
        <is>
          <t>SaaS / enterprise software|10-100x</t>
        </is>
      </c>
    </row>
    <row r="127">
      <c r="A127" s="16" t="inlineStr">
        <is>
          <t>SaaS / enterprise software</t>
        </is>
      </c>
      <c r="B127" s="16" t="inlineStr">
        <is>
          <t>100-1000x</t>
        </is>
      </c>
      <c r="C127" s="88" t="n">
        <v>4</v>
      </c>
      <c r="D127" s="100" t="n">
        <v>1</v>
      </c>
      <c r="E127" s="93" t="n">
        <v>50</v>
      </c>
      <c r="G127" s="2" t="inlineStr">
        <is>
          <t>SaaS / enterprise software|100-1000x</t>
        </is>
      </c>
    </row>
    <row r="128">
      <c r="A128" s="16" t="inlineStr">
        <is>
          <t>SaaS / enterprise software</t>
        </is>
      </c>
      <c r="B128" s="16" t="inlineStr">
        <is>
          <t>&lt;10x</t>
        </is>
      </c>
      <c r="C128" s="88" t="n">
        <v>7</v>
      </c>
      <c r="D128" s="100" t="n">
        <v>0</v>
      </c>
      <c r="E128" s="93" t="n">
        <v>43</v>
      </c>
      <c r="G128" s="2" t="inlineStr">
        <is>
          <t>SaaS / enterprise software|&lt;10x</t>
        </is>
      </c>
    </row>
    <row r="129">
      <c r="A129" s="16" t="inlineStr">
        <is>
          <t>SaaS / enterprise software</t>
        </is>
      </c>
      <c r="B129" s="16" t="inlineStr">
        <is>
          <t>&gt;=1000x</t>
        </is>
      </c>
      <c r="C129" s="88" t="n">
        <v>5</v>
      </c>
      <c r="D129" s="100" t="n">
        <v>117.9</v>
      </c>
      <c r="E129" s="93" t="n">
        <v>100</v>
      </c>
      <c r="G129" s="2" t="inlineStr">
        <is>
          <t>SaaS / enterprise software|&gt;=1000x</t>
        </is>
      </c>
    </row>
    <row r="130">
      <c r="A130" s="16" t="inlineStr">
        <is>
          <t>Smart hardware / consumer electronics</t>
        </is>
      </c>
      <c r="B130" s="16" t="inlineStr">
        <is>
          <t>10-100x</t>
        </is>
      </c>
      <c r="C130" s="88" t="n">
        <v>3</v>
      </c>
      <c r="D130" s="100" t="n">
        <v>-2</v>
      </c>
      <c r="E130" s="93" t="n">
        <v>33</v>
      </c>
      <c r="G130" s="2" t="inlineStr">
        <is>
          <t>Smart hardware / consumer electronics|10-100x</t>
        </is>
      </c>
    </row>
    <row r="131">
      <c r="A131" s="16" t="inlineStr">
        <is>
          <t>Smart hardware / consumer electronics</t>
        </is>
      </c>
      <c r="B131" s="16" t="inlineStr">
        <is>
          <t>100-1000x</t>
        </is>
      </c>
      <c r="C131" s="88" t="n">
        <v>11</v>
      </c>
      <c r="D131" s="100" t="n">
        <v>4.7</v>
      </c>
      <c r="E131" s="93" t="n">
        <v>64</v>
      </c>
      <c r="G131" s="2" t="inlineStr">
        <is>
          <t>Smart hardware / consumer electronics|100-1000x</t>
        </is>
      </c>
    </row>
    <row r="132">
      <c r="A132" s="16" t="inlineStr">
        <is>
          <t>Smart hardware / consumer electronics</t>
        </is>
      </c>
      <c r="B132" s="16" t="inlineStr">
        <is>
          <t>&lt;10x</t>
        </is>
      </c>
      <c r="C132" s="88" t="n">
        <v>4</v>
      </c>
      <c r="D132" s="100" t="n">
        <v>-3.4</v>
      </c>
      <c r="E132" s="93" t="n">
        <v>25</v>
      </c>
      <c r="G132" s="2" t="inlineStr">
        <is>
          <t>Smart hardware / consumer electronics|&lt;10x</t>
        </is>
      </c>
    </row>
    <row r="133">
      <c r="A133" s="16" t="inlineStr">
        <is>
          <t>Smart hardware / consumer electronics</t>
        </is>
      </c>
      <c r="B133" s="16" t="inlineStr">
        <is>
          <t>&gt;=1000x</t>
        </is>
      </c>
      <c r="C133" s="88" t="n">
        <v>10</v>
      </c>
      <c r="D133" s="100" t="n">
        <v>18.1</v>
      </c>
      <c r="E133" s="93" t="n">
        <v>100</v>
      </c>
      <c r="G133" s="2" t="inlineStr">
        <is>
          <t>Smart hardware / consumer electronics|&gt;=1000x</t>
        </is>
      </c>
    </row>
    <row r="134">
      <c r="A134" s="16" t="inlineStr">
        <is>
          <t>Solar / wind supply chain</t>
        </is>
      </c>
      <c r="B134" s="16" t="inlineStr">
        <is>
          <t>100-1000x</t>
        </is>
      </c>
      <c r="C134" s="88" t="n">
        <v>1</v>
      </c>
      <c r="D134" s="100" t="n">
        <v>0</v>
      </c>
      <c r="E134" s="93" t="n">
        <v>0</v>
      </c>
      <c r="G134" s="2" t="inlineStr">
        <is>
          <t>Solar / wind supply chain|100-1000x</t>
        </is>
      </c>
    </row>
    <row r="135">
      <c r="A135" s="16" t="inlineStr">
        <is>
          <t>Solar / wind supply chain</t>
        </is>
      </c>
      <c r="B135" s="16" t="inlineStr">
        <is>
          <t>&lt;10x</t>
        </is>
      </c>
      <c r="C135" s="88" t="n">
        <v>1</v>
      </c>
      <c r="D135" s="100" t="n">
        <v>20.1</v>
      </c>
      <c r="E135" s="93" t="n">
        <v>100</v>
      </c>
      <c r="G135" s="2" t="inlineStr">
        <is>
          <t>Solar / wind supply chain|&lt;10x</t>
        </is>
      </c>
    </row>
    <row r="136">
      <c r="A136" s="16" t="inlineStr">
        <is>
          <t>TCM</t>
        </is>
      </c>
      <c r="B136" s="16" t="inlineStr">
        <is>
          <t>10-100x</t>
        </is>
      </c>
      <c r="C136" s="88" t="n">
        <v>1</v>
      </c>
      <c r="D136" s="100" t="n">
        <v>6.8</v>
      </c>
      <c r="E136" s="93" t="n">
        <v>100</v>
      </c>
      <c r="G136" s="2" t="inlineStr">
        <is>
          <t>TCM|10-100x</t>
        </is>
      </c>
    </row>
    <row r="137">
      <c r="A137" s="16" t="inlineStr">
        <is>
          <t>TCM</t>
        </is>
      </c>
      <c r="B137" s="16" t="inlineStr">
        <is>
          <t>100-1000x</t>
        </is>
      </c>
      <c r="C137" s="88" t="n">
        <v>1</v>
      </c>
      <c r="D137" s="100" t="n">
        <v>-39.1</v>
      </c>
      <c r="E137" s="93" t="n">
        <v>0</v>
      </c>
      <c r="G137" s="2" t="inlineStr">
        <is>
          <t>TCM|100-1000x</t>
        </is>
      </c>
    </row>
    <row r="138">
      <c r="A138" s="16" t="inlineStr">
        <is>
          <t>TCM</t>
        </is>
      </c>
      <c r="B138" s="16" t="inlineStr">
        <is>
          <t>&lt;10x</t>
        </is>
      </c>
      <c r="C138" s="88" t="n">
        <v>1</v>
      </c>
      <c r="D138" s="100" t="n">
        <v>0</v>
      </c>
      <c r="E138" s="93" t="n">
        <v>0</v>
      </c>
      <c r="G138" s="2" t="inlineStr">
        <is>
          <t>TCM|&lt;10x</t>
        </is>
      </c>
    </row>
    <row r="139">
      <c r="A139" s="16" t="inlineStr">
        <is>
          <t>TCM</t>
        </is>
      </c>
      <c r="B139" s="16" t="inlineStr">
        <is>
          <t>&gt;=1000x</t>
        </is>
      </c>
      <c r="C139" s="88" t="n">
        <v>1</v>
      </c>
      <c r="D139" s="100" t="n">
        <v>10.4</v>
      </c>
      <c r="E139" s="93" t="n">
        <v>100</v>
      </c>
      <c r="G139" s="2" t="inlineStr">
        <is>
          <t>TCM|&gt;=1000x</t>
        </is>
      </c>
    </row>
    <row r="140">
      <c r="A140" s="16" t="inlineStr">
        <is>
          <t>Telecom</t>
        </is>
      </c>
      <c r="B140" s="16" t="inlineStr">
        <is>
          <t>100-1000x</t>
        </is>
      </c>
      <c r="C140" s="88" t="n">
        <v>1</v>
      </c>
      <c r="D140" s="100" t="n">
        <v>-46.4</v>
      </c>
      <c r="E140" s="93" t="n">
        <v>0</v>
      </c>
      <c r="G140" s="2" t="inlineStr">
        <is>
          <t>Telecom|100-1000x</t>
        </is>
      </c>
    </row>
    <row r="141">
      <c r="A141" s="16" t="inlineStr">
        <is>
          <t>Telecom</t>
        </is>
      </c>
      <c r="B141" s="16" t="inlineStr">
        <is>
          <t>&lt;10x</t>
        </is>
      </c>
      <c r="C141" s="88" t="n">
        <v>1</v>
      </c>
      <c r="D141" s="100" t="n">
        <v>-11.2</v>
      </c>
      <c r="E141" s="93" t="n">
        <v>0</v>
      </c>
      <c r="G141" s="2" t="inlineStr">
        <is>
          <t>Telecom|&lt;10x</t>
        </is>
      </c>
    </row>
    <row r="142"/>
    <row r="143">
      <c r="A143" s="14" t="inlineStr">
        <is>
          <t>BY SUBSECTOR (any subscription)</t>
        </is>
      </c>
    </row>
    <row r="144">
      <c r="A144" s="12" t="inlineStr">
        <is>
          <t>Subsector</t>
        </is>
      </c>
      <c r="B144" s="12" t="inlineStr">
        <is>
          <t>n</t>
        </is>
      </c>
      <c r="C144" s="12" t="inlineStr">
        <is>
          <t>Median day-1</t>
        </is>
      </c>
      <c r="D144" s="12" t="inlineStr">
        <is>
          <t>Hit-rate</t>
        </is>
      </c>
      <c r="E144" s="12" t="inlineStr">
        <is>
          <t>Median P/E</t>
        </is>
      </c>
      <c r="F144" s="12" t="inlineStr">
        <is>
          <t>Median P/S</t>
        </is>
      </c>
      <c r="G144" s="12" t="inlineStr">
        <is>
          <t>n P/E</t>
        </is>
      </c>
      <c r="H144" s="12" t="inlineStr">
        <is>
          <t>n P/S</t>
        </is>
      </c>
    </row>
    <row r="145">
      <c r="A145" s="16" t="inlineStr">
        <is>
          <t>AI application / agent software</t>
        </is>
      </c>
      <c r="B145" s="88" t="n">
        <v>17</v>
      </c>
      <c r="C145" s="100" t="n">
        <v>44.6</v>
      </c>
      <c r="D145" s="93" t="n">
        <v>82</v>
      </c>
      <c r="E145" s="101" t="n">
        <v>57.8</v>
      </c>
      <c r="F145" s="101" t="n">
        <v>14.1</v>
      </c>
      <c r="G145" s="88" t="n">
        <v>3</v>
      </c>
      <c r="H145" s="88" t="n">
        <v>15</v>
      </c>
    </row>
    <row r="146">
      <c r="A146" s="16" t="inlineStr">
        <is>
          <t>AI chips &amp; semis</t>
        </is>
      </c>
      <c r="B146" s="88" t="n">
        <v>26</v>
      </c>
      <c r="C146" s="100" t="n">
        <v>12.2</v>
      </c>
      <c r="D146" s="93" t="n">
        <v>77</v>
      </c>
      <c r="E146" s="101" t="n">
        <v>83.7</v>
      </c>
      <c r="F146" s="101" t="n">
        <v>12.3</v>
      </c>
      <c r="G146" s="88" t="n">
        <v>13</v>
      </c>
      <c r="H146" s="88" t="n">
        <v>23</v>
      </c>
    </row>
    <row r="147">
      <c r="A147" s="16" t="inlineStr">
        <is>
          <t>Apparel / luxury</t>
        </is>
      </c>
      <c r="B147" s="88" t="n">
        <v>5</v>
      </c>
      <c r="C147" s="100" t="n">
        <v>25</v>
      </c>
      <c r="D147" s="93" t="n">
        <v>80</v>
      </c>
      <c r="E147" s="101" t="n">
        <v>18</v>
      </c>
      <c r="F147" s="101" t="n">
        <v>1.9</v>
      </c>
      <c r="G147" s="88" t="n">
        <v>5</v>
      </c>
      <c r="H147" s="88" t="n">
        <v>3</v>
      </c>
    </row>
    <row r="148">
      <c r="A148" s="16" t="inlineStr">
        <is>
          <t>Auto parts / supply chain</t>
        </is>
      </c>
      <c r="B148" s="88" t="n">
        <v>9</v>
      </c>
      <c r="C148" s="100" t="n">
        <v>2.1</v>
      </c>
      <c r="D148" s="93" t="n">
        <v>56</v>
      </c>
      <c r="E148" s="101" t="n">
        <v>18.3</v>
      </c>
      <c r="F148" s="101" t="n">
        <v>2.8</v>
      </c>
      <c r="G148" s="88" t="n">
        <v>5</v>
      </c>
      <c r="H148" s="88" t="n">
        <v>9</v>
      </c>
    </row>
    <row r="149">
      <c r="A149" s="16" t="inlineStr">
        <is>
          <t>Autos (NEV OEM)</t>
        </is>
      </c>
      <c r="B149" s="88" t="n">
        <v>6</v>
      </c>
      <c r="C149" s="100" t="n">
        <v>0</v>
      </c>
      <c r="D149" s="93" t="n">
        <v>33</v>
      </c>
      <c r="E149" s="101" t="n">
        <v>15</v>
      </c>
      <c r="F149" s="101" t="n">
        <v>1.4</v>
      </c>
      <c r="G149" s="88" t="n">
        <v>2</v>
      </c>
      <c r="H149" s="88" t="n">
        <v>5</v>
      </c>
    </row>
    <row r="150">
      <c r="A150" s="16" t="inlineStr">
        <is>
          <t>Banks</t>
        </is>
      </c>
      <c r="B150" s="88" t="n">
        <v>2</v>
      </c>
      <c r="C150" s="100" t="n">
        <v>2.5</v>
      </c>
      <c r="D150" s="93" t="n">
        <v>100</v>
      </c>
      <c r="E150" s="101" t="n">
        <v>20.1</v>
      </c>
      <c r="F150" s="101" t="n">
        <v>3.4</v>
      </c>
      <c r="G150" s="88" t="n">
        <v>1</v>
      </c>
      <c r="H150" s="88" t="n">
        <v>2</v>
      </c>
    </row>
    <row r="151">
      <c r="A151" s="16" t="inlineStr">
        <is>
          <t>Batteries / energy storage</t>
        </is>
      </c>
      <c r="B151" s="88" t="n">
        <v>13</v>
      </c>
      <c r="C151" s="100" t="n">
        <v>1.4</v>
      </c>
      <c r="D151" s="93" t="n">
        <v>69</v>
      </c>
      <c r="E151" s="101" t="n">
        <v>19.6</v>
      </c>
      <c r="F151" s="101" t="n">
        <v>4.5</v>
      </c>
      <c r="G151" s="88" t="n">
        <v>5</v>
      </c>
      <c r="H151" s="88" t="n">
        <v>13</v>
      </c>
    </row>
    <row r="152">
      <c r="A152" s="16" t="inlineStr">
        <is>
          <t>Beauty / personal care</t>
        </is>
      </c>
      <c r="B152" s="88" t="n">
        <v>7</v>
      </c>
      <c r="C152" s="100" t="n">
        <v>9.300000000000001</v>
      </c>
      <c r="D152" s="93" t="n">
        <v>57</v>
      </c>
      <c r="E152" s="101" t="n">
        <v>22.9</v>
      </c>
      <c r="F152" s="101" t="n">
        <v>4.4</v>
      </c>
      <c r="G152" s="88" t="n">
        <v>6</v>
      </c>
      <c r="H152" s="88" t="n">
        <v>7</v>
      </c>
    </row>
    <row r="153">
      <c r="A153" s="16" t="inlineStr">
        <is>
          <t>Beverages / packaged food</t>
        </is>
      </c>
      <c r="B153" s="88" t="n">
        <v>25</v>
      </c>
      <c r="C153" s="100" t="n">
        <v>1.5</v>
      </c>
      <c r="D153" s="93" t="n">
        <v>56</v>
      </c>
      <c r="E153" s="101" t="n">
        <v>19.3</v>
      </c>
      <c r="F153" s="101" t="n">
        <v>2.3</v>
      </c>
      <c r="G153" s="88" t="n">
        <v>24</v>
      </c>
      <c r="H153" s="88" t="n">
        <v>25</v>
      </c>
    </row>
    <row r="154">
      <c r="A154" s="16" t="inlineStr">
        <is>
          <t>Biopharma commercial</t>
        </is>
      </c>
      <c r="B154" s="88" t="n">
        <v>9</v>
      </c>
      <c r="C154" s="100" t="n">
        <v>25.2</v>
      </c>
      <c r="D154" s="93" t="n">
        <v>78</v>
      </c>
      <c r="E154" s="101" t="n">
        <v>28.6</v>
      </c>
      <c r="F154" s="101" t="n">
        <v>11.3</v>
      </c>
      <c r="G154" s="88" t="n">
        <v>6</v>
      </c>
      <c r="H154" s="88" t="n">
        <v>9</v>
      </c>
    </row>
    <row r="155">
      <c r="A155" s="16" t="inlineStr">
        <is>
          <t>Biotech pre-revenue (18A)</t>
        </is>
      </c>
      <c r="B155" s="88" t="n">
        <v>49</v>
      </c>
      <c r="C155" s="100" t="n">
        <v>7.7</v>
      </c>
      <c r="D155" s="93" t="n">
        <v>69</v>
      </c>
      <c r="E155" s="101" t="n"/>
      <c r="F155" s="101" t="n">
        <v>17</v>
      </c>
      <c r="G155" s="88" t="n">
        <v>0</v>
      </c>
      <c r="H155" s="88" t="n">
        <v>9</v>
      </c>
    </row>
    <row r="156">
      <c r="A156" s="16" t="inlineStr">
        <is>
          <t>Brokers / asset management</t>
        </is>
      </c>
      <c r="B156" s="88" t="n">
        <v>4</v>
      </c>
      <c r="C156" s="100" t="n">
        <v>-14.3</v>
      </c>
      <c r="D156" s="93" t="n">
        <v>25</v>
      </c>
      <c r="E156" s="101" t="n">
        <v>27.8</v>
      </c>
      <c r="F156" s="101" t="n">
        <v>5</v>
      </c>
      <c r="G156" s="88" t="n">
        <v>3</v>
      </c>
      <c r="H156" s="88" t="n">
        <v>3</v>
      </c>
    </row>
    <row r="157">
      <c r="A157" s="16" t="inlineStr">
        <is>
          <t>CXO / pharma services</t>
        </is>
      </c>
      <c r="B157" s="88" t="n">
        <v>9</v>
      </c>
      <c r="C157" s="100" t="n">
        <v>0.7</v>
      </c>
      <c r="D157" s="93" t="n">
        <v>56</v>
      </c>
      <c r="E157" s="101" t="n">
        <v>66.7</v>
      </c>
      <c r="F157" s="101" t="n">
        <v>12.4</v>
      </c>
      <c r="G157" s="88" t="n">
        <v>7</v>
      </c>
      <c r="H157" s="88" t="n">
        <v>8</v>
      </c>
    </row>
    <row r="158">
      <c r="A158" s="16" t="inlineStr">
        <is>
          <t>Capital goods / machinery</t>
        </is>
      </c>
      <c r="B158" s="88" t="n">
        <v>18</v>
      </c>
      <c r="C158" s="100" t="n">
        <v>1.9</v>
      </c>
      <c r="D158" s="93" t="n">
        <v>61</v>
      </c>
      <c r="E158" s="101" t="n">
        <v>27.5</v>
      </c>
      <c r="F158" s="101" t="n">
        <v>6.4</v>
      </c>
      <c r="G158" s="88" t="n">
        <v>13</v>
      </c>
      <c r="H158" s="88" t="n">
        <v>18</v>
      </c>
    </row>
    <row r="159">
      <c r="A159" s="16" t="inlineStr">
        <is>
          <t>Chemicals</t>
        </is>
      </c>
      <c r="B159" s="88" t="n">
        <v>14</v>
      </c>
      <c r="C159" s="100" t="n">
        <v>0.1</v>
      </c>
      <c r="D159" s="93" t="n">
        <v>50</v>
      </c>
      <c r="E159" s="101" t="n">
        <v>8.9</v>
      </c>
      <c r="F159" s="101" t="n">
        <v>1.2</v>
      </c>
      <c r="G159" s="88" t="n">
        <v>12</v>
      </c>
      <c r="H159" s="88" t="n">
        <v>14</v>
      </c>
    </row>
    <row r="160">
      <c r="A160" s="16" t="inlineStr">
        <is>
          <t>Construction / engineering</t>
        </is>
      </c>
      <c r="B160" s="88" t="n">
        <v>16</v>
      </c>
      <c r="C160" s="100" t="n">
        <v>-7.5</v>
      </c>
      <c r="D160" s="93" t="n">
        <v>44</v>
      </c>
      <c r="E160" s="101" t="n">
        <v>12.2</v>
      </c>
      <c r="F160" s="101" t="n">
        <v>1.4</v>
      </c>
      <c r="G160" s="88" t="n">
        <v>15</v>
      </c>
      <c r="H160" s="88" t="n">
        <v>15</v>
      </c>
    </row>
    <row r="161">
      <c r="A161" s="16" t="inlineStr">
        <is>
          <t>Consumer services / education</t>
        </is>
      </c>
      <c r="B161" s="88" t="n">
        <v>4</v>
      </c>
      <c r="C161" s="100" t="n">
        <v>6.1</v>
      </c>
      <c r="D161" s="93" t="n">
        <v>50</v>
      </c>
      <c r="E161" s="101" t="n">
        <v>13.7</v>
      </c>
      <c r="F161" s="101" t="n">
        <v>5.3</v>
      </c>
      <c r="G161" s="88" t="n">
        <v>3</v>
      </c>
      <c r="H161" s="88" t="n">
        <v>4</v>
      </c>
    </row>
    <row r="162">
      <c r="A162" s="16" t="inlineStr">
        <is>
          <t>Data center / cloud infra</t>
        </is>
      </c>
      <c r="B162" s="88" t="n">
        <v>2</v>
      </c>
      <c r="C162" s="100" t="n">
        <v>-37.1</v>
      </c>
      <c r="D162" s="93" t="n">
        <v>0</v>
      </c>
      <c r="E162" s="101" t="n">
        <v>135.6</v>
      </c>
      <c r="F162" s="101" t="n">
        <v>3.2</v>
      </c>
      <c r="G162" s="88" t="n">
        <v>1</v>
      </c>
      <c r="H162" s="88" t="n">
        <v>2</v>
      </c>
    </row>
    <row r="163">
      <c r="A163" s="16" t="inlineStr">
        <is>
          <t>Developers</t>
        </is>
      </c>
      <c r="B163" s="88" t="n">
        <v>1</v>
      </c>
      <c r="C163" s="100" t="n">
        <v>0</v>
      </c>
      <c r="D163" s="93" t="n">
        <v>0</v>
      </c>
      <c r="E163" s="101" t="n">
        <v>6.9</v>
      </c>
      <c r="F163" s="101" t="n">
        <v>0.6</v>
      </c>
      <c r="G163" s="88" t="n">
        <v>1</v>
      </c>
      <c r="H163" s="88" t="n">
        <v>1</v>
      </c>
    </row>
    <row r="164">
      <c r="A164" s="16" t="inlineStr">
        <is>
          <t>Digital health</t>
        </is>
      </c>
      <c r="B164" s="88" t="n">
        <v>17</v>
      </c>
      <c r="C164" s="100" t="n">
        <v>5.5</v>
      </c>
      <c r="D164" s="93" t="n">
        <v>59</v>
      </c>
      <c r="E164" s="101" t="n">
        <v>43.7</v>
      </c>
      <c r="F164" s="101" t="n">
        <v>5.9</v>
      </c>
      <c r="G164" s="88" t="n">
        <v>5</v>
      </c>
      <c r="H164" s="88" t="n">
        <v>15</v>
      </c>
    </row>
    <row r="165">
      <c r="A165" s="16" t="inlineStr">
        <is>
          <t>F&amp;B chains / restaurants</t>
        </is>
      </c>
      <c r="B165" s="88" t="n">
        <v>10</v>
      </c>
      <c r="C165" s="100" t="n">
        <v>-3.3</v>
      </c>
      <c r="D165" s="93" t="n">
        <v>40</v>
      </c>
      <c r="E165" s="101" t="n">
        <v>19.4</v>
      </c>
      <c r="F165" s="101" t="n">
        <v>3</v>
      </c>
      <c r="G165" s="88" t="n">
        <v>7</v>
      </c>
      <c r="H165" s="88" t="n">
        <v>10</v>
      </c>
    </row>
    <row r="166">
      <c r="A166" s="16" t="inlineStr">
        <is>
          <t>Fintech platform</t>
        </is>
      </c>
      <c r="B166" s="88" t="n">
        <v>7</v>
      </c>
      <c r="C166" s="100" t="n">
        <v>-0.6</v>
      </c>
      <c r="D166" s="93" t="n">
        <v>29</v>
      </c>
      <c r="E166" s="101" t="n">
        <v>8.9</v>
      </c>
      <c r="F166" s="101" t="n">
        <v>7.7</v>
      </c>
      <c r="G166" s="88" t="n">
        <v>2</v>
      </c>
      <c r="H166" s="88" t="n">
        <v>6</v>
      </c>
    </row>
    <row r="167">
      <c r="A167" s="16" t="inlineStr">
        <is>
          <t>Hospitals / clinics</t>
        </is>
      </c>
      <c r="B167" s="88" t="n">
        <v>9</v>
      </c>
      <c r="C167" s="100" t="n">
        <v>0.1</v>
      </c>
      <c r="D167" s="93" t="n">
        <v>56</v>
      </c>
      <c r="E167" s="101" t="n">
        <v>42.5</v>
      </c>
      <c r="F167" s="101" t="n">
        <v>4.8</v>
      </c>
      <c r="G167" s="88" t="n">
        <v>6</v>
      </c>
      <c r="H167" s="88" t="n">
        <v>9</v>
      </c>
    </row>
    <row r="168">
      <c r="A168" s="16" t="inlineStr">
        <is>
          <t>Insurance</t>
        </is>
      </c>
      <c r="B168" s="88" t="n">
        <v>7</v>
      </c>
      <c r="C168" s="100" t="n">
        <v>4.7</v>
      </c>
      <c r="D168" s="93" t="n">
        <v>71</v>
      </c>
      <c r="E168" s="101" t="n">
        <v>17.4</v>
      </c>
      <c r="F168" s="101" t="n">
        <v>3</v>
      </c>
      <c r="G168" s="88" t="n">
        <v>3</v>
      </c>
      <c r="H168" s="88" t="n">
        <v>6</v>
      </c>
    </row>
    <row r="169">
      <c r="A169" s="16" t="inlineStr">
        <is>
          <t>Internet platform / e-commerce</t>
        </is>
      </c>
      <c r="B169" s="88" t="n">
        <v>23</v>
      </c>
      <c r="C169" s="100" t="n">
        <v>0.3</v>
      </c>
      <c r="D169" s="93" t="n">
        <v>52</v>
      </c>
      <c r="E169" s="101" t="n">
        <v>30</v>
      </c>
      <c r="F169" s="101" t="n">
        <v>4.8</v>
      </c>
      <c r="G169" s="88" t="n">
        <v>12</v>
      </c>
      <c r="H169" s="88" t="n">
        <v>22</v>
      </c>
    </row>
    <row r="170">
      <c r="A170" s="16" t="inlineStr">
        <is>
          <t>LLM / foundation model</t>
        </is>
      </c>
      <c r="B170" s="88" t="n">
        <v>2</v>
      </c>
      <c r="C170" s="100" t="n">
        <v>61.1</v>
      </c>
      <c r="D170" s="93" t="n">
        <v>100</v>
      </c>
      <c r="E170" s="101" t="n"/>
      <c r="F170" s="101" t="n"/>
      <c r="G170" s="88" t="n">
        <v>0</v>
      </c>
      <c r="H170" s="88" t="n">
        <v>0</v>
      </c>
    </row>
    <row r="171">
      <c r="A171" s="16" t="inlineStr">
        <is>
          <t>Logistics</t>
        </is>
      </c>
      <c r="B171" s="88" t="n">
        <v>15</v>
      </c>
      <c r="C171" s="100" t="n">
        <v>-0.6</v>
      </c>
      <c r="D171" s="93" t="n">
        <v>27</v>
      </c>
      <c r="E171" s="101" t="n">
        <v>14.3</v>
      </c>
      <c r="F171" s="101" t="n">
        <v>1.1</v>
      </c>
      <c r="G171" s="88" t="n">
        <v>10</v>
      </c>
      <c r="H171" s="88" t="n">
        <v>15</v>
      </c>
    </row>
    <row r="172">
      <c r="A172" s="16" t="inlineStr">
        <is>
          <t>Media / advertising</t>
        </is>
      </c>
      <c r="B172" s="88" t="n">
        <v>19</v>
      </c>
      <c r="C172" s="100" t="n">
        <v>16.6</v>
      </c>
      <c r="D172" s="93" t="n">
        <v>63</v>
      </c>
      <c r="E172" s="101" t="n">
        <v>28.3</v>
      </c>
      <c r="F172" s="101" t="n">
        <v>4.2</v>
      </c>
      <c r="G172" s="88" t="n">
        <v>17</v>
      </c>
      <c r="H172" s="88" t="n">
        <v>18</v>
      </c>
    </row>
    <row r="173">
      <c r="A173" s="16" t="inlineStr">
        <is>
          <t>Medical devices</t>
        </is>
      </c>
      <c r="B173" s="88" t="n">
        <v>25</v>
      </c>
      <c r="C173" s="100" t="n">
        <v>1.6</v>
      </c>
      <c r="D173" s="93" t="n">
        <v>56</v>
      </c>
      <c r="E173" s="101" t="n">
        <v>146.8</v>
      </c>
      <c r="F173" s="101" t="n">
        <v>12.2</v>
      </c>
      <c r="G173" s="88" t="n">
        <v>5</v>
      </c>
      <c r="H173" s="88" t="n">
        <v>9</v>
      </c>
    </row>
    <row r="174">
      <c r="A174" s="16" t="inlineStr">
        <is>
          <t>Mining / metals</t>
        </is>
      </c>
      <c r="B174" s="88" t="n">
        <v>13</v>
      </c>
      <c r="C174" s="100" t="n">
        <v>2.2</v>
      </c>
      <c r="D174" s="93" t="n">
        <v>62</v>
      </c>
      <c r="E174" s="101" t="n">
        <v>17.9</v>
      </c>
      <c r="F174" s="101" t="n">
        <v>2.9</v>
      </c>
      <c r="G174" s="88" t="n">
        <v>11</v>
      </c>
      <c r="H174" s="88" t="n">
        <v>12</v>
      </c>
    </row>
    <row r="175">
      <c r="A175" s="16" t="inlineStr">
        <is>
          <t>Oil &amp; gas / utilities</t>
        </is>
      </c>
      <c r="B175" s="88" t="n">
        <v>5</v>
      </c>
      <c r="C175" s="100" t="n">
        <v>0</v>
      </c>
      <c r="D175" s="93" t="n">
        <v>20</v>
      </c>
      <c r="E175" s="101" t="n">
        <v>9.300000000000001</v>
      </c>
      <c r="F175" s="101" t="n">
        <v>0.7</v>
      </c>
      <c r="G175" s="88" t="n">
        <v>5</v>
      </c>
      <c r="H175" s="88" t="n">
        <v>5</v>
      </c>
    </row>
    <row r="176">
      <c r="A176" s="16" t="inlineStr">
        <is>
          <t>Property management</t>
        </is>
      </c>
      <c r="B176" s="88" t="n">
        <v>24</v>
      </c>
      <c r="C176" s="100" t="n">
        <v>0</v>
      </c>
      <c r="D176" s="93" t="n">
        <v>38</v>
      </c>
      <c r="E176" s="101" t="n">
        <v>16.1</v>
      </c>
      <c r="F176" s="101" t="n">
        <v>2.6</v>
      </c>
      <c r="G176" s="88" t="n">
        <v>23</v>
      </c>
      <c r="H176" s="88" t="n">
        <v>24</v>
      </c>
    </row>
    <row r="177">
      <c r="A177" s="16" t="inlineStr">
        <is>
          <t>REITs / asset-light</t>
        </is>
      </c>
      <c r="B177" s="88" t="n">
        <v>1</v>
      </c>
      <c r="C177" s="100" t="n">
        <v>-16.5</v>
      </c>
      <c r="D177" s="93" t="n">
        <v>0</v>
      </c>
      <c r="E177" s="101" t="n">
        <v>153.5</v>
      </c>
      <c r="F177" s="101" t="n">
        <v>14.8</v>
      </c>
      <c r="G177" s="88" t="n">
        <v>1</v>
      </c>
      <c r="H177" s="88" t="n">
        <v>1</v>
      </c>
    </row>
    <row r="178">
      <c r="A178" s="16" t="inlineStr">
        <is>
          <t>Retail / distribution</t>
        </is>
      </c>
      <c r="B178" s="88" t="n">
        <v>17</v>
      </c>
      <c r="C178" s="100" t="n">
        <v>25</v>
      </c>
      <c r="D178" s="93" t="n">
        <v>59</v>
      </c>
      <c r="E178" s="101" t="n">
        <v>20.3</v>
      </c>
      <c r="F178" s="101" t="n">
        <v>1.8</v>
      </c>
      <c r="G178" s="88" t="n">
        <v>12</v>
      </c>
      <c r="H178" s="88" t="n">
        <v>17</v>
      </c>
    </row>
    <row r="179">
      <c r="A179" s="16" t="inlineStr">
        <is>
          <t>Robotics &amp; autonomous driving</t>
        </is>
      </c>
      <c r="B179" s="88" t="n">
        <v>21</v>
      </c>
      <c r="C179" s="100" t="n">
        <v>4.3</v>
      </c>
      <c r="D179" s="93" t="n">
        <v>67</v>
      </c>
      <c r="E179" s="101" t="n"/>
      <c r="F179" s="101" t="n">
        <v>18.9</v>
      </c>
      <c r="G179" s="88" t="n">
        <v>0</v>
      </c>
      <c r="H179" s="88" t="n">
        <v>18</v>
      </c>
    </row>
    <row r="180">
      <c r="A180" s="16" t="inlineStr">
        <is>
          <t>SaaS / enterprise software</t>
        </is>
      </c>
      <c r="B180" s="88" t="n">
        <v>24</v>
      </c>
      <c r="C180" s="100" t="n">
        <v>5.3</v>
      </c>
      <c r="D180" s="93" t="n">
        <v>67</v>
      </c>
      <c r="E180" s="101" t="n">
        <v>29.6</v>
      </c>
      <c r="F180" s="101" t="n">
        <v>6.8</v>
      </c>
      <c r="G180" s="88" t="n">
        <v>11</v>
      </c>
      <c r="H180" s="88" t="n">
        <v>23</v>
      </c>
    </row>
    <row r="181">
      <c r="A181" s="16" t="inlineStr">
        <is>
          <t>Smart hardware / consumer electronics</t>
        </is>
      </c>
      <c r="B181" s="88" t="n">
        <v>28</v>
      </c>
      <c r="C181" s="100" t="n">
        <v>8.5</v>
      </c>
      <c r="D181" s="93" t="n">
        <v>68</v>
      </c>
      <c r="E181" s="101" t="n">
        <v>32.3</v>
      </c>
      <c r="F181" s="101" t="n">
        <v>2.5</v>
      </c>
      <c r="G181" s="88" t="n">
        <v>25</v>
      </c>
      <c r="H181" s="88" t="n">
        <v>24</v>
      </c>
    </row>
    <row r="182">
      <c r="A182" s="16" t="inlineStr">
        <is>
          <t>Solar / wind supply chain</t>
        </is>
      </c>
      <c r="B182" s="88" t="n">
        <v>2</v>
      </c>
      <c r="C182" s="100" t="n">
        <v>10</v>
      </c>
      <c r="D182" s="93" t="n">
        <v>50</v>
      </c>
      <c r="E182" s="101" t="n">
        <v>53.3</v>
      </c>
      <c r="F182" s="101" t="n">
        <v>6.3</v>
      </c>
      <c r="G182" s="88" t="n">
        <v>1</v>
      </c>
      <c r="H182" s="88" t="n">
        <v>2</v>
      </c>
    </row>
    <row r="183">
      <c r="A183" s="16" t="inlineStr">
        <is>
          <t>TCM</t>
        </is>
      </c>
      <c r="B183" s="88" t="n">
        <v>4</v>
      </c>
      <c r="C183" s="100" t="n">
        <v>3.4</v>
      </c>
      <c r="D183" s="93" t="n">
        <v>50</v>
      </c>
      <c r="E183" s="101" t="n">
        <v>16</v>
      </c>
      <c r="F183" s="101" t="n">
        <v>2.7</v>
      </c>
      <c r="G183" s="88" t="n">
        <v>3</v>
      </c>
      <c r="H183" s="88" t="n">
        <v>4</v>
      </c>
    </row>
    <row r="184">
      <c r="A184" s="16" t="inlineStr">
        <is>
          <t>Telecom</t>
        </is>
      </c>
      <c r="B184" s="88" t="n">
        <v>2</v>
      </c>
      <c r="C184" s="100" t="n">
        <v>-28.8</v>
      </c>
      <c r="D184" s="93" t="n">
        <v>0</v>
      </c>
      <c r="E184" s="101" t="n">
        <v>10.6</v>
      </c>
      <c r="F184" s="101" t="n">
        <v>5.1</v>
      </c>
      <c r="G184" s="88" t="n">
        <v>1</v>
      </c>
      <c r="H184" s="88" t="n">
        <v>2</v>
      </c>
    </row>
    <row r="185"/>
    <row r="186">
      <c r="A186" s="14" t="inlineStr">
        <is>
          <t>BY YEAR x SUBSCRIPTION — does the edge survive a bad tape?</t>
        </is>
      </c>
    </row>
    <row r="187">
      <c r="A187" s="12" t="inlineStr">
        <is>
          <t>Year</t>
        </is>
      </c>
      <c r="B187" s="12" t="inlineStr">
        <is>
          <t>Subscription</t>
        </is>
      </c>
      <c r="C187" s="12" t="inlineStr">
        <is>
          <t>n</t>
        </is>
      </c>
      <c r="D187" s="12" t="inlineStr">
        <is>
          <t>Median day-1</t>
        </is>
      </c>
      <c r="E187" s="12" t="inlineStr">
        <is>
          <t>Hit-rate</t>
        </is>
      </c>
    </row>
    <row r="188">
      <c r="A188" s="16" t="inlineStr">
        <is>
          <t>2021</t>
        </is>
      </c>
      <c r="B188" s="16" t="inlineStr">
        <is>
          <t>10-100x</t>
        </is>
      </c>
      <c r="C188" s="88" t="n">
        <v>25</v>
      </c>
      <c r="D188" s="100" t="n">
        <v>2.1</v>
      </c>
      <c r="E188" s="93" t="n">
        <v>52</v>
      </c>
    </row>
    <row r="189">
      <c r="A189" s="16" t="inlineStr">
        <is>
          <t>2021</t>
        </is>
      </c>
      <c r="B189" s="16" t="inlineStr">
        <is>
          <t>100-1000x</t>
        </is>
      </c>
      <c r="C189" s="88" t="n">
        <v>26</v>
      </c>
      <c r="D189" s="100" t="n">
        <v>0.6</v>
      </c>
      <c r="E189" s="93" t="n">
        <v>50</v>
      </c>
    </row>
    <row r="190">
      <c r="A190" s="16" t="inlineStr">
        <is>
          <t>2021</t>
        </is>
      </c>
      <c r="B190" s="16" t="inlineStr">
        <is>
          <t>&lt;10x</t>
        </is>
      </c>
      <c r="C190" s="88" t="n">
        <v>36</v>
      </c>
      <c r="D190" s="100" t="n">
        <v>-0.4</v>
      </c>
      <c r="E190" s="93" t="n">
        <v>28</v>
      </c>
    </row>
    <row r="191">
      <c r="A191" s="16" t="inlineStr">
        <is>
          <t>2021</t>
        </is>
      </c>
      <c r="B191" s="16" t="inlineStr">
        <is>
          <t>&gt;=1000x</t>
        </is>
      </c>
      <c r="C191" s="88" t="n">
        <v>5</v>
      </c>
      <c r="D191" s="100" t="n">
        <v>131.8</v>
      </c>
      <c r="E191" s="93" t="n">
        <v>100</v>
      </c>
    </row>
    <row r="192">
      <c r="A192" s="16" t="inlineStr">
        <is>
          <t>2022</t>
        </is>
      </c>
      <c r="B192" s="16" t="inlineStr">
        <is>
          <t>10-100x</t>
        </is>
      </c>
      <c r="C192" s="88" t="n">
        <v>17</v>
      </c>
      <c r="D192" s="100" t="n">
        <v>0.6</v>
      </c>
      <c r="E192" s="93" t="n">
        <v>53</v>
      </c>
    </row>
    <row r="193">
      <c r="A193" s="16" t="inlineStr">
        <is>
          <t>2022</t>
        </is>
      </c>
      <c r="B193" s="16" t="inlineStr">
        <is>
          <t>100-1000x</t>
        </is>
      </c>
      <c r="C193" s="88" t="n">
        <v>1</v>
      </c>
      <c r="D193" s="100" t="n">
        <v>-27.1</v>
      </c>
      <c r="E193" s="93" t="n">
        <v>0</v>
      </c>
    </row>
    <row r="194">
      <c r="A194" s="16" t="inlineStr">
        <is>
          <t>2022</t>
        </is>
      </c>
      <c r="B194" s="16" t="inlineStr">
        <is>
          <t>&lt;10x</t>
        </is>
      </c>
      <c r="C194" s="88" t="n">
        <v>54</v>
      </c>
      <c r="D194" s="100" t="n">
        <v>0</v>
      </c>
      <c r="E194" s="93" t="n">
        <v>31</v>
      </c>
    </row>
    <row r="195">
      <c r="A195" s="16" t="inlineStr">
        <is>
          <t>2023</t>
        </is>
      </c>
      <c r="B195" s="16" t="inlineStr">
        <is>
          <t>10-100x</t>
        </is>
      </c>
      <c r="C195" s="88" t="n">
        <v>26</v>
      </c>
      <c r="D195" s="100" t="n">
        <v>6.2</v>
      </c>
      <c r="E195" s="93" t="n">
        <v>62</v>
      </c>
    </row>
    <row r="196">
      <c r="A196" s="16" t="inlineStr">
        <is>
          <t>2023</t>
        </is>
      </c>
      <c r="B196" s="16" t="inlineStr">
        <is>
          <t>100-1000x</t>
        </is>
      </c>
      <c r="C196" s="88" t="n">
        <v>1</v>
      </c>
      <c r="D196" s="100" t="n">
        <v>0</v>
      </c>
      <c r="E196" s="93" t="n">
        <v>0</v>
      </c>
    </row>
    <row r="197">
      <c r="A197" s="16" t="inlineStr">
        <is>
          <t>2023</t>
        </is>
      </c>
      <c r="B197" s="16" t="inlineStr">
        <is>
          <t>&lt;10x</t>
        </is>
      </c>
      <c r="C197" s="88" t="n">
        <v>41</v>
      </c>
      <c r="D197" s="100" t="n">
        <v>0.3</v>
      </c>
      <c r="E197" s="93" t="n">
        <v>51</v>
      </c>
    </row>
    <row r="198">
      <c r="A198" s="16" t="inlineStr">
        <is>
          <t>2024</t>
        </is>
      </c>
      <c r="B198" s="16" t="inlineStr">
        <is>
          <t>10-100x</t>
        </is>
      </c>
      <c r="C198" s="88" t="n">
        <v>23</v>
      </c>
      <c r="D198" s="100" t="n">
        <v>7.5</v>
      </c>
      <c r="E198" s="93" t="n">
        <v>65</v>
      </c>
    </row>
    <row r="199">
      <c r="A199" s="16" t="inlineStr">
        <is>
          <t>2024</t>
        </is>
      </c>
      <c r="B199" s="16" t="inlineStr">
        <is>
          <t>100-1000x</t>
        </is>
      </c>
      <c r="C199" s="88" t="n">
        <v>20</v>
      </c>
      <c r="D199" s="100" t="n">
        <v>5</v>
      </c>
      <c r="E199" s="93" t="n">
        <v>55</v>
      </c>
    </row>
    <row r="200">
      <c r="A200" s="16" t="inlineStr">
        <is>
          <t>2024</t>
        </is>
      </c>
      <c r="B200" s="16" t="inlineStr">
        <is>
          <t>&lt;10x</t>
        </is>
      </c>
      <c r="C200" s="88" t="n">
        <v>21</v>
      </c>
      <c r="D200" s="100" t="n">
        <v>0.2</v>
      </c>
      <c r="E200" s="93" t="n">
        <v>57</v>
      </c>
    </row>
    <row r="201">
      <c r="A201" s="16" t="inlineStr">
        <is>
          <t>2024</t>
        </is>
      </c>
      <c r="B201" s="16" t="inlineStr">
        <is>
          <t>&gt;=1000x</t>
        </is>
      </c>
      <c r="C201" s="88" t="n">
        <v>3</v>
      </c>
      <c r="D201" s="100" t="n">
        <v>47.6</v>
      </c>
      <c r="E201" s="93" t="n">
        <v>100</v>
      </c>
    </row>
    <row r="202">
      <c r="A202" s="16" t="inlineStr">
        <is>
          <t>2025</t>
        </is>
      </c>
      <c r="B202" s="16" t="inlineStr">
        <is>
          <t>10-100x</t>
        </is>
      </c>
      <c r="C202" s="88" t="n">
        <v>24</v>
      </c>
      <c r="D202" s="100" t="n">
        <v>0</v>
      </c>
      <c r="E202" s="93" t="n">
        <v>42</v>
      </c>
    </row>
    <row r="203">
      <c r="A203" s="16" t="inlineStr">
        <is>
          <t>2025</t>
        </is>
      </c>
      <c r="B203" s="16" t="inlineStr">
        <is>
          <t>100-1000x</t>
        </is>
      </c>
      <c r="C203" s="88" t="n">
        <v>40</v>
      </c>
      <c r="D203" s="100" t="n">
        <v>6.5</v>
      </c>
      <c r="E203" s="93" t="n">
        <v>65</v>
      </c>
    </row>
    <row r="204">
      <c r="A204" s="16" t="inlineStr">
        <is>
          <t>2025</t>
        </is>
      </c>
      <c r="B204" s="16" t="inlineStr">
        <is>
          <t>&lt;10x</t>
        </is>
      </c>
      <c r="C204" s="88" t="n">
        <v>9</v>
      </c>
      <c r="D204" s="100" t="n">
        <v>0.8</v>
      </c>
      <c r="E204" s="93" t="n">
        <v>56</v>
      </c>
    </row>
    <row r="205">
      <c r="A205" s="16" t="inlineStr">
        <is>
          <t>2025</t>
        </is>
      </c>
      <c r="B205" s="16" t="inlineStr">
        <is>
          <t>&gt;=1000x</t>
        </is>
      </c>
      <c r="C205" s="88" t="n">
        <v>39</v>
      </c>
      <c r="D205" s="100" t="n">
        <v>78.7</v>
      </c>
      <c r="E205" s="93" t="n">
        <v>92</v>
      </c>
    </row>
    <row r="206">
      <c r="A206" s="16" t="inlineStr">
        <is>
          <t>2026</t>
        </is>
      </c>
      <c r="B206" s="16" t="inlineStr">
        <is>
          <t>10-100x</t>
        </is>
      </c>
      <c r="C206" s="88" t="n">
        <v>9</v>
      </c>
      <c r="D206" s="100" t="n">
        <v>-2</v>
      </c>
      <c r="E206" s="93" t="n">
        <v>33</v>
      </c>
    </row>
    <row r="207">
      <c r="A207" s="16" t="inlineStr">
        <is>
          <t>2026</t>
        </is>
      </c>
      <c r="B207" s="16" t="inlineStr">
        <is>
          <t>100-1000x</t>
        </is>
      </c>
      <c r="C207" s="88" t="n">
        <v>29</v>
      </c>
      <c r="D207" s="100" t="n">
        <v>4.2</v>
      </c>
      <c r="E207" s="93" t="n">
        <v>62</v>
      </c>
    </row>
    <row r="208">
      <c r="A208" s="16" t="inlineStr">
        <is>
          <t>2026</t>
        </is>
      </c>
      <c r="B208" s="16" t="inlineStr">
        <is>
          <t>&lt;10x</t>
        </is>
      </c>
      <c r="C208" s="88" t="n">
        <v>4</v>
      </c>
      <c r="D208" s="100" t="n">
        <v>1.2</v>
      </c>
      <c r="E208" s="93" t="n">
        <v>50</v>
      </c>
    </row>
    <row r="209">
      <c r="A209" s="16" t="inlineStr">
        <is>
          <t>2026</t>
        </is>
      </c>
      <c r="B209" s="16" t="inlineStr">
        <is>
          <t>&gt;=1000x</t>
        </is>
      </c>
      <c r="C209" s="88" t="n">
        <v>58</v>
      </c>
      <c r="D209" s="100" t="n">
        <v>78.09999999999999</v>
      </c>
      <c r="E209" s="93" t="n">
        <v>91</v>
      </c>
    </row>
  </sheetData>
  <pageMargins left="0.75" right="0.75" top="1" bottom="1" header="0.5" footer="0.5"/>
</worksheet>
</file>

<file path=xl/worksheets/sheet8.xml><?xml version="1.0" encoding="utf-8"?>
<worksheet xmlns="http://schemas.openxmlformats.org/spreadsheetml/2006/main">
  <sheetPr>
    <tabColor rgb="00BFBFBF"/>
    <outlinePr summaryBelow="1" summaryRight="1"/>
    <pageSetUpPr/>
  </sheetPr>
  <dimension ref="A1:I28"/>
  <sheetViews>
    <sheetView workbookViewId="0">
      <selection activeCell="A1" sqref="A1"/>
    </sheetView>
  </sheetViews>
  <sheetFormatPr baseColWidth="8" defaultRowHeight="15"/>
  <cols>
    <col width="8" customWidth="1" min="1" max="1"/>
    <col width="26" customWidth="1" min="2" max="2"/>
    <col width="11" customWidth="1" min="3" max="3"/>
    <col width="12" customWidth="1" min="4" max="4"/>
    <col width="22" customWidth="1" min="5" max="5"/>
  </cols>
  <sheetData>
    <row r="1">
      <c r="A1" s="1" t="inlineStr">
        <is>
          <t>SIZE BENCHMARKS</t>
        </is>
      </c>
    </row>
    <row r="2">
      <c r="A2" s="2" t="inlineStr">
        <is>
          <t>bucket thresholds are INPUT-BLUE (README weights section explains) — counts recompute</t>
        </is>
      </c>
    </row>
    <row r="3"/>
    <row r="4">
      <c r="A4" s="14" t="inlineStr">
        <is>
          <t>Bucket</t>
        </is>
      </c>
      <c r="B4" s="14" t="inlineStr">
        <is>
          <t>Min HK$m</t>
        </is>
      </c>
      <c r="D4" s="12" t="inlineStr">
        <is>
          <t>Year</t>
        </is>
      </c>
      <c r="E4" s="12" t="inlineStr">
        <is>
          <t>Mega</t>
        </is>
      </c>
      <c r="F4" s="12" t="inlineStr">
        <is>
          <t>Large</t>
        </is>
      </c>
      <c r="G4" s="12" t="inlineStr">
        <is>
          <t>Mid</t>
        </is>
      </c>
      <c r="H4" s="12" t="inlineStr">
        <is>
          <t>Small</t>
        </is>
      </c>
      <c r="I4" s="12" t="inlineStr">
        <is>
          <t>Sum HK$bn</t>
        </is>
      </c>
    </row>
    <row r="5">
      <c r="A5" s="16" t="inlineStr">
        <is>
          <t>Mega</t>
        </is>
      </c>
      <c r="B5" s="19" t="n">
        <v>20000</v>
      </c>
      <c r="D5" s="102" t="inlineStr">
        <is>
          <t>2021</t>
        </is>
      </c>
      <c r="E5" s="43">
        <f>COUNTIFS(Database!$H$5:$H$515,"&gt;="&amp;DATE(2021,1,1),Database!$H$5:$H$515,"&lt;="&amp;DATE(2021,12,31),Database!$I$5:$I$515,"&gt;="&amp;$B$5)</f>
        <v/>
      </c>
      <c r="F5" s="43">
        <f>COUNTIFS(Database!$H$5:$H$515,"&gt;="&amp;DATE(2021,1,1),Database!$H$5:$H$515,"&lt;="&amp;DATE(2021,12,31),Database!$I$5:$I$515,"&gt;="&amp;$B$6,Database!$I$5:$I$515,"&lt;"&amp;$B$5)</f>
        <v/>
      </c>
      <c r="G5" s="43">
        <f>COUNTIFS(Database!$H$5:$H$515,"&gt;="&amp;DATE(2021,1,1),Database!$H$5:$H$515,"&lt;="&amp;DATE(2021,12,31),Database!$I$5:$I$515,"&gt;="&amp;$B$7,Database!$I$5:$I$515,"&lt;"&amp;$B$6)</f>
        <v/>
      </c>
      <c r="H5" s="43">
        <f>COUNTIFS(Database!$H$5:$H$515,"&gt;="&amp;DATE(2021,1,1),Database!$H$5:$H$515,"&lt;="&amp;DATE(2021,12,31),Database!$I$5:$I$515,"&gt;="&amp;$B$8,Database!$I$5:$I$515,"&lt;"&amp;$B$7)</f>
        <v/>
      </c>
      <c r="I5" s="26">
        <f>SUMIFS(Database!$I$5:$I$515,Database!$H$5:$H$515,"&gt;="&amp;DATE(2021,1,1),Database!$H$5:$H$515,"&lt;="&amp;DATE(2021,12,31))/1000</f>
        <v/>
      </c>
    </row>
    <row r="6">
      <c r="A6" s="16" t="inlineStr">
        <is>
          <t>Large</t>
        </is>
      </c>
      <c r="B6" s="19" t="n">
        <v>5000</v>
      </c>
      <c r="D6" s="102" t="inlineStr">
        <is>
          <t>2022</t>
        </is>
      </c>
      <c r="E6" s="43">
        <f>COUNTIFS(Database!$H$5:$H$515,"&gt;="&amp;DATE(2022,1,1),Database!$H$5:$H$515,"&lt;="&amp;DATE(2022,12,31),Database!$I$5:$I$515,"&gt;="&amp;$B$5)</f>
        <v/>
      </c>
      <c r="F6" s="43">
        <f>COUNTIFS(Database!$H$5:$H$515,"&gt;="&amp;DATE(2022,1,1),Database!$H$5:$H$515,"&lt;="&amp;DATE(2022,12,31),Database!$I$5:$I$515,"&gt;="&amp;$B$6,Database!$I$5:$I$515,"&lt;"&amp;$B$5)</f>
        <v/>
      </c>
      <c r="G6" s="43">
        <f>COUNTIFS(Database!$H$5:$H$515,"&gt;="&amp;DATE(2022,1,1),Database!$H$5:$H$515,"&lt;="&amp;DATE(2022,12,31),Database!$I$5:$I$515,"&gt;="&amp;$B$7,Database!$I$5:$I$515,"&lt;"&amp;$B$6)</f>
        <v/>
      </c>
      <c r="H6" s="43">
        <f>COUNTIFS(Database!$H$5:$H$515,"&gt;="&amp;DATE(2022,1,1),Database!$H$5:$H$515,"&lt;="&amp;DATE(2022,12,31),Database!$I$5:$I$515,"&gt;="&amp;$B$8,Database!$I$5:$I$515,"&lt;"&amp;$B$7)</f>
        <v/>
      </c>
      <c r="I6" s="26">
        <f>SUMIFS(Database!$I$5:$I$515,Database!$H$5:$H$515,"&gt;="&amp;DATE(2022,1,1),Database!$H$5:$H$515,"&lt;="&amp;DATE(2022,12,31))/1000</f>
        <v/>
      </c>
    </row>
    <row r="7">
      <c r="A7" s="16" t="inlineStr">
        <is>
          <t>Mid</t>
        </is>
      </c>
      <c r="B7" s="19" t="n">
        <v>1000</v>
      </c>
      <c r="D7" s="102" t="inlineStr">
        <is>
          <t>2023</t>
        </is>
      </c>
      <c r="E7" s="43">
        <f>COUNTIFS(Database!$H$5:$H$515,"&gt;="&amp;DATE(2023,1,1),Database!$H$5:$H$515,"&lt;="&amp;DATE(2023,12,31),Database!$I$5:$I$515,"&gt;="&amp;$B$5)</f>
        <v/>
      </c>
      <c r="F7" s="43">
        <f>COUNTIFS(Database!$H$5:$H$515,"&gt;="&amp;DATE(2023,1,1),Database!$H$5:$H$515,"&lt;="&amp;DATE(2023,12,31),Database!$I$5:$I$515,"&gt;="&amp;$B$6,Database!$I$5:$I$515,"&lt;"&amp;$B$5)</f>
        <v/>
      </c>
      <c r="G7" s="43">
        <f>COUNTIFS(Database!$H$5:$H$515,"&gt;="&amp;DATE(2023,1,1),Database!$H$5:$H$515,"&lt;="&amp;DATE(2023,12,31),Database!$I$5:$I$515,"&gt;="&amp;$B$7,Database!$I$5:$I$515,"&lt;"&amp;$B$6)</f>
        <v/>
      </c>
      <c r="H7" s="43">
        <f>COUNTIFS(Database!$H$5:$H$515,"&gt;="&amp;DATE(2023,1,1),Database!$H$5:$H$515,"&lt;="&amp;DATE(2023,12,31),Database!$I$5:$I$515,"&gt;="&amp;$B$8,Database!$I$5:$I$515,"&lt;"&amp;$B$7)</f>
        <v/>
      </c>
      <c r="I7" s="26">
        <f>SUMIFS(Database!$I$5:$I$515,Database!$H$5:$H$515,"&gt;="&amp;DATE(2023,1,1),Database!$H$5:$H$515,"&lt;="&amp;DATE(2023,12,31))/1000</f>
        <v/>
      </c>
    </row>
    <row r="8">
      <c r="A8" s="16" t="inlineStr">
        <is>
          <t>Small</t>
        </is>
      </c>
      <c r="B8" s="19" t="n">
        <v>0</v>
      </c>
      <c r="D8" s="102" t="inlineStr">
        <is>
          <t>2024</t>
        </is>
      </c>
      <c r="E8" s="43">
        <f>COUNTIFS(Database!$H$5:$H$515,"&gt;="&amp;DATE(2024,1,1),Database!$H$5:$H$515,"&lt;="&amp;DATE(2024,12,31),Database!$I$5:$I$515,"&gt;="&amp;$B$5)</f>
        <v/>
      </c>
      <c r="F8" s="43">
        <f>COUNTIFS(Database!$H$5:$H$515,"&gt;="&amp;DATE(2024,1,1),Database!$H$5:$H$515,"&lt;="&amp;DATE(2024,12,31),Database!$I$5:$I$515,"&gt;="&amp;$B$6,Database!$I$5:$I$515,"&lt;"&amp;$B$5)</f>
        <v/>
      </c>
      <c r="G8" s="43">
        <f>COUNTIFS(Database!$H$5:$H$515,"&gt;="&amp;DATE(2024,1,1),Database!$H$5:$H$515,"&lt;="&amp;DATE(2024,12,31),Database!$I$5:$I$515,"&gt;="&amp;$B$7,Database!$I$5:$I$515,"&lt;"&amp;$B$6)</f>
        <v/>
      </c>
      <c r="H8" s="43">
        <f>COUNTIFS(Database!$H$5:$H$515,"&gt;="&amp;DATE(2024,1,1),Database!$H$5:$H$515,"&lt;="&amp;DATE(2024,12,31),Database!$I$5:$I$515,"&gt;="&amp;$B$8,Database!$I$5:$I$515,"&lt;"&amp;$B$7)</f>
        <v/>
      </c>
      <c r="I8" s="26">
        <f>SUMIFS(Database!$I$5:$I$515,Database!$H$5:$H$515,"&gt;="&amp;DATE(2024,1,1),Database!$H$5:$H$515,"&lt;="&amp;DATE(2024,12,31))/1000</f>
        <v/>
      </c>
    </row>
    <row r="9">
      <c r="D9" s="102" t="inlineStr">
        <is>
          <t>2025</t>
        </is>
      </c>
      <c r="E9" s="43">
        <f>COUNTIFS(Database!$H$5:$H$515,"&gt;="&amp;DATE(2025,1,1),Database!$H$5:$H$515,"&lt;="&amp;DATE(2025,12,31),Database!$I$5:$I$515,"&gt;="&amp;$B$5)</f>
        <v/>
      </c>
      <c r="F9" s="43">
        <f>COUNTIFS(Database!$H$5:$H$515,"&gt;="&amp;DATE(2025,1,1),Database!$H$5:$H$515,"&lt;="&amp;DATE(2025,12,31),Database!$I$5:$I$515,"&gt;="&amp;$B$6,Database!$I$5:$I$515,"&lt;"&amp;$B$5)</f>
        <v/>
      </c>
      <c r="G9" s="43">
        <f>COUNTIFS(Database!$H$5:$H$515,"&gt;="&amp;DATE(2025,1,1),Database!$H$5:$H$515,"&lt;="&amp;DATE(2025,12,31),Database!$I$5:$I$515,"&gt;="&amp;$B$7,Database!$I$5:$I$515,"&lt;"&amp;$B$6)</f>
        <v/>
      </c>
      <c r="H9" s="43">
        <f>COUNTIFS(Database!$H$5:$H$515,"&gt;="&amp;DATE(2025,1,1),Database!$H$5:$H$515,"&lt;="&amp;DATE(2025,12,31),Database!$I$5:$I$515,"&gt;="&amp;$B$8,Database!$I$5:$I$515,"&lt;"&amp;$B$7)</f>
        <v/>
      </c>
      <c r="I9" s="26">
        <f>SUMIFS(Database!$I$5:$I$515,Database!$H$5:$H$515,"&gt;="&amp;DATE(2025,1,1),Database!$H$5:$H$515,"&lt;="&amp;DATE(2025,12,31))/1000</f>
        <v/>
      </c>
    </row>
    <row r="10">
      <c r="D10" s="102" t="inlineStr">
        <is>
          <t>2026</t>
        </is>
      </c>
      <c r="E10" s="43">
        <f>COUNTIFS(Database!$H$5:$H$515,"&gt;="&amp;DATE(2026,1,1),Database!$H$5:$H$515,"&lt;="&amp;DATE(2026,12,31),Database!$I$5:$I$515,"&gt;="&amp;$B$5)</f>
        <v/>
      </c>
      <c r="F10" s="43">
        <f>COUNTIFS(Database!$H$5:$H$515,"&gt;="&amp;DATE(2026,1,1),Database!$H$5:$H$515,"&lt;="&amp;DATE(2026,12,31),Database!$I$5:$I$515,"&gt;="&amp;$B$6,Database!$I$5:$I$515,"&lt;"&amp;$B$5)</f>
        <v/>
      </c>
      <c r="G10" s="43">
        <f>COUNTIFS(Database!$H$5:$H$515,"&gt;="&amp;DATE(2026,1,1),Database!$H$5:$H$515,"&lt;="&amp;DATE(2026,12,31),Database!$I$5:$I$515,"&gt;="&amp;$B$7,Database!$I$5:$I$515,"&lt;"&amp;$B$6)</f>
        <v/>
      </c>
      <c r="H10" s="43">
        <f>COUNTIFS(Database!$H$5:$H$515,"&gt;="&amp;DATE(2026,1,1),Database!$H$5:$H$515,"&lt;="&amp;DATE(2026,12,31),Database!$I$5:$I$515,"&gt;="&amp;$B$8,Database!$I$5:$I$515,"&lt;"&amp;$B$7)</f>
        <v/>
      </c>
      <c r="I10" s="26">
        <f>SUMIFS(Database!$I$5:$I$515,Database!$H$5:$H$515,"&gt;="&amp;DATE(2026,1,1),Database!$H$5:$H$515,"&lt;="&amp;DATE(2026,12,31))/1000</f>
        <v/>
      </c>
    </row>
    <row r="11"/>
    <row r="12">
      <c r="A12" s="14" t="inlineStr">
        <is>
          <t>MEGA-DEAL PRECEDENTS (top 15 by proceeds)</t>
        </is>
      </c>
    </row>
    <row r="13">
      <c r="A13" s="12" t="inlineStr">
        <is>
          <t>Code</t>
        </is>
      </c>
      <c r="B13" s="12" t="inlineStr">
        <is>
          <t>Name</t>
        </is>
      </c>
      <c r="C13" s="12" t="inlineStr">
        <is>
          <t>IPO date</t>
        </is>
      </c>
      <c r="D13" s="12" t="inlineStr">
        <is>
          <t>HK$m</t>
        </is>
      </c>
      <c r="E13" s="12" t="inlineStr">
        <is>
          <t>Subsector</t>
        </is>
      </c>
    </row>
    <row r="14">
      <c r="A14" s="90" t="inlineStr">
        <is>
          <t>3308</t>
        </is>
      </c>
      <c r="B14" s="16" t="inlineStr">
        <is>
          <t>ZJ INNOLIGHT</t>
        </is>
      </c>
      <c r="C14" s="96" t="inlineStr">
        <is>
          <t>2026-07-30</t>
        </is>
      </c>
      <c r="D14" s="99" t="n">
        <v>53410</v>
      </c>
      <c r="E14" s="16" t="inlineStr">
        <is>
          <t>Smart hardware / consumer electronics</t>
        </is>
      </c>
    </row>
    <row r="15">
      <c r="A15" s="90" t="inlineStr">
        <is>
          <t>1024</t>
        </is>
      </c>
      <c r="B15" s="16" t="inlineStr">
        <is>
          <t>KUAISHOU-W</t>
        </is>
      </c>
      <c r="C15" s="96" t="inlineStr">
        <is>
          <t>2021-02-05</t>
        </is>
      </c>
      <c r="D15" s="99" t="n">
        <v>42000.1</v>
      </c>
      <c r="E15" s="16" t="inlineStr">
        <is>
          <t>Internet platform / e-commerce</t>
        </is>
      </c>
    </row>
    <row r="16">
      <c r="A16" s="90" t="inlineStr">
        <is>
          <t>3750</t>
        </is>
      </c>
      <c r="B16" s="16" t="inlineStr">
        <is>
          <t>CATL</t>
        </is>
      </c>
      <c r="C16" s="96" t="inlineStr">
        <is>
          <t>2025-05-20</t>
        </is>
      </c>
      <c r="D16" s="99" t="n">
        <v>35657.2</v>
      </c>
      <c r="E16" s="16" t="inlineStr">
        <is>
          <t>Batteries / energy storage</t>
        </is>
      </c>
    </row>
    <row r="17">
      <c r="A17" s="90" t="inlineStr">
        <is>
          <t>0300</t>
        </is>
      </c>
      <c r="B17" s="16" t="inlineStr">
        <is>
          <t>MIDEA GROUP</t>
        </is>
      </c>
      <c r="C17" s="96" t="inlineStr">
        <is>
          <t>2024-09-17</t>
        </is>
      </c>
      <c r="D17" s="99" t="n">
        <v>31014</v>
      </c>
      <c r="E17" s="16" t="inlineStr">
        <is>
          <t>Smart hardware / consumer electronics</t>
        </is>
      </c>
    </row>
    <row r="18">
      <c r="A18" s="90" t="inlineStr">
        <is>
          <t>2259</t>
        </is>
      </c>
      <c r="B18" s="16" t="inlineStr">
        <is>
          <t>ZIJIN GOLD INTL</t>
        </is>
      </c>
      <c r="C18" s="96" t="inlineStr">
        <is>
          <t>2025-09-30</t>
        </is>
      </c>
      <c r="D18" s="99" t="n">
        <v>24984.2</v>
      </c>
      <c r="E18" s="16" t="inlineStr">
        <is>
          <t>Mining / metals</t>
        </is>
      </c>
    </row>
    <row r="19">
      <c r="A19" s="90" t="inlineStr">
        <is>
          <t>2475</t>
        </is>
      </c>
      <c r="B19" s="16" t="inlineStr">
        <is>
          <t>LUXSHARE ICT</t>
        </is>
      </c>
      <c r="C19" s="96" t="inlineStr">
        <is>
          <t>2026-07-09</t>
        </is>
      </c>
      <c r="D19" s="99" t="n">
        <v>24266.2</v>
      </c>
      <c r="E19" s="16" t="inlineStr">
        <is>
          <t>Smart hardware / consumer electronics</t>
        </is>
      </c>
    </row>
    <row r="20">
      <c r="A20" s="90" t="inlineStr">
        <is>
          <t>9888</t>
        </is>
      </c>
      <c r="B20" s="16" t="inlineStr">
        <is>
          <t>BIDU-SW</t>
        </is>
      </c>
      <c r="C20" s="96" t="inlineStr">
        <is>
          <t>2021-03-23</t>
        </is>
      </c>
      <c r="D20" s="99" t="n">
        <v>23940</v>
      </c>
      <c r="E20" s="16" t="inlineStr">
        <is>
          <t>Internet platform / e-commerce</t>
        </is>
      </c>
    </row>
    <row r="21">
      <c r="A21" s="90" t="inlineStr">
        <is>
          <t>9626</t>
        </is>
      </c>
      <c r="B21" s="16" t="inlineStr">
        <is>
          <t>BILIBILI-SW</t>
        </is>
      </c>
      <c r="C21" s="96" t="inlineStr">
        <is>
          <t>2021-03-29</t>
        </is>
      </c>
      <c r="D21" s="99" t="n">
        <v>20200</v>
      </c>
      <c r="E21" s="16" t="inlineStr">
        <is>
          <t>Internet platform / e-commerce</t>
        </is>
      </c>
    </row>
    <row r="22">
      <c r="A22" s="90" t="inlineStr">
        <is>
          <t>2476</t>
        </is>
      </c>
      <c r="B22" s="16" t="inlineStr">
        <is>
          <t>VGT</t>
        </is>
      </c>
      <c r="C22" s="96" t="inlineStr">
        <is>
          <t>2026-04-21</t>
        </is>
      </c>
      <c r="D22" s="99" t="n">
        <v>20117</v>
      </c>
      <c r="E22" s="16" t="inlineStr">
        <is>
          <t>Smart hardware / consumer electronics</t>
        </is>
      </c>
    </row>
    <row r="23">
      <c r="A23" s="90" t="inlineStr">
        <is>
          <t>2378</t>
        </is>
      </c>
      <c r="B23" s="16" t="inlineStr">
        <is>
          <t>PRU</t>
        </is>
      </c>
      <c r="C23" s="96" t="inlineStr">
        <is>
          <t>2021-10-04</t>
        </is>
      </c>
      <c r="D23" s="99" t="n">
        <v>18500</v>
      </c>
      <c r="E23" s="16" t="inlineStr">
        <is>
          <t>Insurance</t>
        </is>
      </c>
    </row>
    <row r="24">
      <c r="A24" s="90" t="inlineStr">
        <is>
          <t>1880</t>
        </is>
      </c>
      <c r="B24" s="16" t="inlineStr">
        <is>
          <t>CTG DUTY-FREE</t>
        </is>
      </c>
      <c r="C24" s="96" t="inlineStr">
        <is>
          <t>2022-08-25</t>
        </is>
      </c>
      <c r="D24" s="99" t="n">
        <v>16236.4</v>
      </c>
      <c r="E24" s="16" t="inlineStr">
        <is>
          <t>Retail / distribution</t>
        </is>
      </c>
    </row>
    <row r="25">
      <c r="A25" s="90" t="inlineStr">
        <is>
          <t>9927</t>
        </is>
      </c>
      <c r="B25" s="16" t="inlineStr">
        <is>
          <t>SERES</t>
        </is>
      </c>
      <c r="C25" s="96" t="inlineStr">
        <is>
          <t>2025-11-05</t>
        </is>
      </c>
      <c r="D25" s="99" t="n">
        <v>14283.4</v>
      </c>
      <c r="E25" s="16" t="inlineStr">
        <is>
          <t>Autos (NEV OEM)</t>
        </is>
      </c>
    </row>
    <row r="26">
      <c r="A26" s="90" t="inlineStr">
        <is>
          <t>9868</t>
        </is>
      </c>
      <c r="B26" s="16" t="inlineStr">
        <is>
          <t>XPENG-W</t>
        </is>
      </c>
      <c r="C26" s="96" t="inlineStr">
        <is>
          <t>2021-07-07</t>
        </is>
      </c>
      <c r="D26" s="99" t="n">
        <v>14025</v>
      </c>
      <c r="E26" s="16" t="inlineStr">
        <is>
          <t>Autos (NEV OEM)</t>
        </is>
      </c>
    </row>
    <row r="27">
      <c r="A27" s="90" t="inlineStr">
        <is>
          <t>9696</t>
        </is>
      </c>
      <c r="B27" s="16" t="inlineStr">
        <is>
          <t>TIANQI LITHIUM</t>
        </is>
      </c>
      <c r="C27" s="96" t="inlineStr">
        <is>
          <t>2022-07-13</t>
        </is>
      </c>
      <c r="D27" s="99" t="n">
        <v>13458</v>
      </c>
      <c r="E27" s="16" t="inlineStr">
        <is>
          <t>Mining / metals</t>
        </is>
      </c>
    </row>
    <row r="28">
      <c r="A28" s="90" t="inlineStr">
        <is>
          <t>6031</t>
        </is>
      </c>
      <c r="B28" s="16" t="inlineStr">
        <is>
          <t>SANY HEAVY IND</t>
        </is>
      </c>
      <c r="C28" s="96" t="inlineStr">
        <is>
          <t>2025-10-28</t>
        </is>
      </c>
      <c r="D28" s="99" t="n">
        <v>13453.1</v>
      </c>
      <c r="E28" s="16" t="inlineStr">
        <is>
          <t>Capital goods / machinery</t>
        </is>
      </c>
    </row>
  </sheetData>
  <pageMargins left="0.75" right="0.75" top="1" bottom="1" header="0.5" footer="0.5"/>
</worksheet>
</file>

<file path=xl/worksheets/sheet9.xml><?xml version="1.0" encoding="utf-8"?>
<worksheet xmlns="http://schemas.openxmlformats.org/spreadsheetml/2006/main">
  <sheetPr>
    <tabColor rgb="00ED7D31"/>
    <outlinePr summaryBelow="1" summaryRight="1"/>
    <pageSetUpPr/>
  </sheetPr>
  <dimension ref="A1:R51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BLOOMBERG CROSS-CHECK — terminal only</t>
        </is>
      </c>
    </row>
    <row r="2">
      <c r="A2" s="2" t="inlineStr">
        <is>
          <t>Column B pulls each deal's Bloomberg IPO order ID (EQUITY_OFFERINGS); the columns after it feed off that ID. Compare against the scraped columns pulled in from the Database. 511 BDS calls are heavy — let it run once, then Paste-Special values if you want it static.</t>
        </is>
      </c>
    </row>
    <row r="3"/>
    <row r="4">
      <c r="A4" s="12" t="inlineStr">
        <is>
          <t>Code / Name</t>
        </is>
      </c>
      <c r="B4" s="12" t="inlineStr">
        <is>
          <t>BBG IPO order ID</t>
        </is>
      </c>
      <c r="C4" s="12" t="inlineStr">
        <is>
          <t>Retail o/sub CP036</t>
        </is>
      </c>
      <c r="D4" s="12" t="inlineStr">
        <is>
          <t>Scraped public sub</t>
        </is>
      </c>
      <c r="E4" s="12" t="inlineStr">
        <is>
          <t>Instn o/sub CP037</t>
        </is>
      </c>
      <c r="F4" s="12" t="inlineStr">
        <is>
          <t>Scraped intl sub</t>
        </is>
      </c>
      <c r="G4" s="12" t="inlineStr">
        <is>
          <t>Greenshoe facility</t>
        </is>
      </c>
      <c r="H4" s="12" t="inlineStr">
        <is>
          <t>Shoe exercised (BBG)</t>
        </is>
      </c>
      <c r="I4" s="12" t="inlineStr">
        <is>
          <t>Shoe outcome (scraped)</t>
        </is>
      </c>
      <c r="J4" s="12" t="inlineStr">
        <is>
          <t>Current P/E (BBG)</t>
        </is>
      </c>
      <c r="K4" s="12" t="inlineStr">
        <is>
          <t>A/H conversion (BBG)</t>
        </is>
      </c>
      <c r="L4" s="12" t="inlineStr">
        <is>
          <t>A-share (scraped)</t>
        </is>
      </c>
      <c r="M4" s="12" t="inlineStr">
        <is>
          <t>Mkt cap at listing (BBG)</t>
        </is>
      </c>
      <c r="N4" s="12" t="inlineStr">
        <is>
          <t>Mkt cap (scraped)</t>
        </is>
      </c>
      <c r="O4" s="12" t="inlineStr">
        <is>
          <t>P/E at listing (BBG)</t>
        </is>
      </c>
      <c r="P4" s="12" t="inlineStr">
        <is>
          <t>P/E at IPO (scraped)</t>
        </is>
      </c>
      <c r="Q4" s="12" t="inlineStr">
        <is>
          <t>A-share P/E at H-IPO (BBG)</t>
        </is>
      </c>
      <c r="R4" s="12" t="inlineStr">
        <is>
          <t>HSAHP Index at IPO (BBG)</t>
        </is>
      </c>
    </row>
    <row r="5">
      <c r="A5" s="16">
        <f>Database!A5&amp;"  "&amp;Database!B5</f>
        <v/>
      </c>
      <c r="B5" s="10">
        <f>IFERROR(INDEX(BDS(Database!$A5&amp;" HK Equity","EQUITY_OFFERINGS","array=t","endcol=1"),MATCH("IPO",BDS(Database!$A5&amp;" HK Equity","EQUITY_OFFERINGS","array=t","startcol=2","endcol=2"),0)),"")</f>
        <v/>
      </c>
      <c r="C5" s="103">
        <f>IF($B5="","",IFERROR(BDP($B5&amp;" Action","CP036"),""))</f>
        <v/>
      </c>
      <c r="D5" s="104">
        <f>Database!S5</f>
        <v/>
      </c>
      <c r="E5" s="103">
        <f>IF($B5="","",IFERROR(BDP($B5&amp;" Action","CP037"),""))</f>
        <v/>
      </c>
      <c r="F5" s="104">
        <f>Database!T5</f>
        <v/>
      </c>
      <c r="G5" s="103">
        <f>IF($B5="","",IFERROR(BDP($B5&amp;" Action","GREENSHOE_FACILITY"),""))</f>
        <v/>
      </c>
      <c r="H5" s="103">
        <f>IF($B5="","",IFERROR(BDP($B5&amp;" Action","OFFERING_GREENSHOE_SHARES_EX"),""))</f>
        <v/>
      </c>
      <c r="I5" s="16">
        <f>Database!Z5</f>
        <v/>
      </c>
      <c r="J5" s="24">
        <f>IFERROR(BDP(Database!$A5&amp;" HK Equity","PE_RATIO"),"")</f>
        <v/>
      </c>
      <c r="K5" s="10">
        <f>IFERROR(BDP(Database!$A5&amp;" HK Equity","A/H_SHARE_CONVERSION"),"")</f>
        <v/>
      </c>
      <c r="L5" s="16">
        <f>IF(Database!BA5="","(none found)",Database!BA5)</f>
        <v/>
      </c>
      <c r="M5" s="18">
        <f>IFERROR(BDH(Database!$A5&amp;" HK Equity","CUR_MKT_CAP",Database!$H5,Database!$H5),"")</f>
        <v/>
      </c>
      <c r="N5" s="99">
        <f>Database!Q5</f>
        <v/>
      </c>
      <c r="O5" s="24">
        <f>IFERROR(BDH(Database!$A5&amp;" HK Equity","PE_RATIO",Database!$H5,Database!$H5),"")</f>
        <v/>
      </c>
      <c r="P5" s="101">
        <f>IF(Database!AV5="","(n/m or not derivable)",Database!AV5)</f>
        <v/>
      </c>
      <c r="Q5" s="24">
        <f>IF(Database!BA5="","",IFERROR(BDH(LEFT(Database!BA5,FIND(".",Database!BA5)-1)&amp;" CH Equity","PE_RATIO",Database!$H5,Database!$H5),""))</f>
        <v/>
      </c>
      <c r="R5" s="24">
        <f>IF(Database!BA5="","",IFERROR(BDH("HSAHP Index","PX_LAST",Database!$H5,Database!$H5),""))</f>
        <v/>
      </c>
    </row>
    <row r="6">
      <c r="A6" s="16">
        <f>Database!A6&amp;"  "&amp;Database!B6</f>
        <v/>
      </c>
      <c r="B6" s="10">
        <f>IFERROR(INDEX(BDS(Database!$A6&amp;" HK Equity","EQUITY_OFFERINGS","array=t","endcol=1"),MATCH("IPO",BDS(Database!$A6&amp;" HK Equity","EQUITY_OFFERINGS","array=t","startcol=2","endcol=2"),0)),"")</f>
        <v/>
      </c>
      <c r="C6" s="103">
        <f>IF($B6="","",IFERROR(BDP($B6&amp;" Action","CP036"),""))</f>
        <v/>
      </c>
      <c r="D6" s="104">
        <f>Database!S6</f>
        <v/>
      </c>
      <c r="E6" s="103">
        <f>IF($B6="","",IFERROR(BDP($B6&amp;" Action","CP037"),""))</f>
        <v/>
      </c>
      <c r="F6" s="104">
        <f>Database!T6</f>
        <v/>
      </c>
      <c r="G6" s="103">
        <f>IF($B6="","",IFERROR(BDP($B6&amp;" Action","GREENSHOE_FACILITY"),""))</f>
        <v/>
      </c>
      <c r="H6" s="103">
        <f>IF($B6="","",IFERROR(BDP($B6&amp;" Action","OFFERING_GREENSHOE_SHARES_EX"),""))</f>
        <v/>
      </c>
      <c r="I6" s="16">
        <f>Database!Z6</f>
        <v/>
      </c>
      <c r="J6" s="24">
        <f>IFERROR(BDP(Database!$A6&amp;" HK Equity","PE_RATIO"),"")</f>
        <v/>
      </c>
      <c r="K6" s="10">
        <f>IFERROR(BDP(Database!$A6&amp;" HK Equity","A/H_SHARE_CONVERSION"),"")</f>
        <v/>
      </c>
      <c r="L6" s="16">
        <f>IF(Database!BA6="","(none found)",Database!BA6)</f>
        <v/>
      </c>
      <c r="M6" s="18">
        <f>IFERROR(BDH(Database!$A6&amp;" HK Equity","CUR_MKT_CAP",Database!$H6,Database!$H6),"")</f>
        <v/>
      </c>
      <c r="N6" s="99">
        <f>Database!Q6</f>
        <v/>
      </c>
      <c r="O6" s="24">
        <f>IFERROR(BDH(Database!$A6&amp;" HK Equity","PE_RATIO",Database!$H6,Database!$H6),"")</f>
        <v/>
      </c>
      <c r="P6" s="101">
        <f>IF(Database!AV6="","(n/m or not derivable)",Database!AV6)</f>
        <v/>
      </c>
      <c r="Q6" s="24">
        <f>IF(Database!BA6="","",IFERROR(BDH(LEFT(Database!BA6,FIND(".",Database!BA6)-1)&amp;" CH Equity","PE_RATIO",Database!$H6,Database!$H6),""))</f>
        <v/>
      </c>
      <c r="R6" s="24">
        <f>IF(Database!BA6="","",IFERROR(BDH("HSAHP Index","PX_LAST",Database!$H6,Database!$H6),""))</f>
        <v/>
      </c>
    </row>
    <row r="7">
      <c r="A7" s="16">
        <f>Database!A7&amp;"  "&amp;Database!B7</f>
        <v/>
      </c>
      <c r="B7" s="10">
        <f>IFERROR(INDEX(BDS(Database!$A7&amp;" HK Equity","EQUITY_OFFERINGS","array=t","endcol=1"),MATCH("IPO",BDS(Database!$A7&amp;" HK Equity","EQUITY_OFFERINGS","array=t","startcol=2","endcol=2"),0)),"")</f>
        <v/>
      </c>
      <c r="C7" s="103">
        <f>IF($B7="","",IFERROR(BDP($B7&amp;" Action","CP036"),""))</f>
        <v/>
      </c>
      <c r="D7" s="104">
        <f>Database!S7</f>
        <v/>
      </c>
      <c r="E7" s="103">
        <f>IF($B7="","",IFERROR(BDP($B7&amp;" Action","CP037"),""))</f>
        <v/>
      </c>
      <c r="F7" s="104">
        <f>Database!T7</f>
        <v/>
      </c>
      <c r="G7" s="103">
        <f>IF($B7="","",IFERROR(BDP($B7&amp;" Action","GREENSHOE_FACILITY"),""))</f>
        <v/>
      </c>
      <c r="H7" s="103">
        <f>IF($B7="","",IFERROR(BDP($B7&amp;" Action","OFFERING_GREENSHOE_SHARES_EX"),""))</f>
        <v/>
      </c>
      <c r="I7" s="16">
        <f>Database!Z7</f>
        <v/>
      </c>
      <c r="J7" s="24">
        <f>IFERROR(BDP(Database!$A7&amp;" HK Equity","PE_RATIO"),"")</f>
        <v/>
      </c>
      <c r="K7" s="10">
        <f>IFERROR(BDP(Database!$A7&amp;" HK Equity","A/H_SHARE_CONVERSION"),"")</f>
        <v/>
      </c>
      <c r="L7" s="16">
        <f>IF(Database!BA7="","(none found)",Database!BA7)</f>
        <v/>
      </c>
      <c r="M7" s="18">
        <f>IFERROR(BDH(Database!$A7&amp;" HK Equity","CUR_MKT_CAP",Database!$H7,Database!$H7),"")</f>
        <v/>
      </c>
      <c r="N7" s="99">
        <f>Database!Q7</f>
        <v/>
      </c>
      <c r="O7" s="24">
        <f>IFERROR(BDH(Database!$A7&amp;" HK Equity","PE_RATIO",Database!$H7,Database!$H7),"")</f>
        <v/>
      </c>
      <c r="P7" s="101">
        <f>IF(Database!AV7="","(n/m or not derivable)",Database!AV7)</f>
        <v/>
      </c>
      <c r="Q7" s="24">
        <f>IF(Database!BA7="","",IFERROR(BDH(LEFT(Database!BA7,FIND(".",Database!BA7)-1)&amp;" CH Equity","PE_RATIO",Database!$H7,Database!$H7),""))</f>
        <v/>
      </c>
      <c r="R7" s="24">
        <f>IF(Database!BA7="","",IFERROR(BDH("HSAHP Index","PX_LAST",Database!$H7,Database!$H7),""))</f>
        <v/>
      </c>
    </row>
    <row r="8">
      <c r="A8" s="16">
        <f>Database!A8&amp;"  "&amp;Database!B8</f>
        <v/>
      </c>
      <c r="B8" s="10">
        <f>IFERROR(INDEX(BDS(Database!$A8&amp;" HK Equity","EQUITY_OFFERINGS","array=t","endcol=1"),MATCH("IPO",BDS(Database!$A8&amp;" HK Equity","EQUITY_OFFERINGS","array=t","startcol=2","endcol=2"),0)),"")</f>
        <v/>
      </c>
      <c r="C8" s="103">
        <f>IF($B8="","",IFERROR(BDP($B8&amp;" Action","CP036"),""))</f>
        <v/>
      </c>
      <c r="D8" s="104">
        <f>Database!S8</f>
        <v/>
      </c>
      <c r="E8" s="103">
        <f>IF($B8="","",IFERROR(BDP($B8&amp;" Action","CP037"),""))</f>
        <v/>
      </c>
      <c r="F8" s="104">
        <f>Database!T8</f>
        <v/>
      </c>
      <c r="G8" s="103">
        <f>IF($B8="","",IFERROR(BDP($B8&amp;" Action","GREENSHOE_FACILITY"),""))</f>
        <v/>
      </c>
      <c r="H8" s="103">
        <f>IF($B8="","",IFERROR(BDP($B8&amp;" Action","OFFERING_GREENSHOE_SHARES_EX"),""))</f>
        <v/>
      </c>
      <c r="I8" s="16">
        <f>Database!Z8</f>
        <v/>
      </c>
      <c r="J8" s="24">
        <f>IFERROR(BDP(Database!$A8&amp;" HK Equity","PE_RATIO"),"")</f>
        <v/>
      </c>
      <c r="K8" s="10">
        <f>IFERROR(BDP(Database!$A8&amp;" HK Equity","A/H_SHARE_CONVERSION"),"")</f>
        <v/>
      </c>
      <c r="L8" s="16">
        <f>IF(Database!BA8="","(none found)",Database!BA8)</f>
        <v/>
      </c>
      <c r="M8" s="18">
        <f>IFERROR(BDH(Database!$A8&amp;" HK Equity","CUR_MKT_CAP",Database!$H8,Database!$H8),"")</f>
        <v/>
      </c>
      <c r="N8" s="99">
        <f>Database!Q8</f>
        <v/>
      </c>
      <c r="O8" s="24">
        <f>IFERROR(BDH(Database!$A8&amp;" HK Equity","PE_RATIO",Database!$H8,Database!$H8),"")</f>
        <v/>
      </c>
      <c r="P8" s="101">
        <f>IF(Database!AV8="","(n/m or not derivable)",Database!AV8)</f>
        <v/>
      </c>
      <c r="Q8" s="24">
        <f>IF(Database!BA8="","",IFERROR(BDH(LEFT(Database!BA8,FIND(".",Database!BA8)-1)&amp;" CH Equity","PE_RATIO",Database!$H8,Database!$H8),""))</f>
        <v/>
      </c>
      <c r="R8" s="24">
        <f>IF(Database!BA8="","",IFERROR(BDH("HSAHP Index","PX_LAST",Database!$H8,Database!$H8),""))</f>
        <v/>
      </c>
    </row>
    <row r="9">
      <c r="A9" s="16">
        <f>Database!A9&amp;"  "&amp;Database!B9</f>
        <v/>
      </c>
      <c r="B9" s="10">
        <f>IFERROR(INDEX(BDS(Database!$A9&amp;" HK Equity","EQUITY_OFFERINGS","array=t","endcol=1"),MATCH("IPO",BDS(Database!$A9&amp;" HK Equity","EQUITY_OFFERINGS","array=t","startcol=2","endcol=2"),0)),"")</f>
        <v/>
      </c>
      <c r="C9" s="103">
        <f>IF($B9="","",IFERROR(BDP($B9&amp;" Action","CP036"),""))</f>
        <v/>
      </c>
      <c r="D9" s="104">
        <f>Database!S9</f>
        <v/>
      </c>
      <c r="E9" s="103">
        <f>IF($B9="","",IFERROR(BDP($B9&amp;" Action","CP037"),""))</f>
        <v/>
      </c>
      <c r="F9" s="104">
        <f>Database!T9</f>
        <v/>
      </c>
      <c r="G9" s="103">
        <f>IF($B9="","",IFERROR(BDP($B9&amp;" Action","GREENSHOE_FACILITY"),""))</f>
        <v/>
      </c>
      <c r="H9" s="103">
        <f>IF($B9="","",IFERROR(BDP($B9&amp;" Action","OFFERING_GREENSHOE_SHARES_EX"),""))</f>
        <v/>
      </c>
      <c r="I9" s="16">
        <f>Database!Z9</f>
        <v/>
      </c>
      <c r="J9" s="24">
        <f>IFERROR(BDP(Database!$A9&amp;" HK Equity","PE_RATIO"),"")</f>
        <v/>
      </c>
      <c r="K9" s="10">
        <f>IFERROR(BDP(Database!$A9&amp;" HK Equity","A/H_SHARE_CONVERSION"),"")</f>
        <v/>
      </c>
      <c r="L9" s="16">
        <f>IF(Database!BA9="","(none found)",Database!BA9)</f>
        <v/>
      </c>
      <c r="M9" s="18">
        <f>IFERROR(BDH(Database!$A9&amp;" HK Equity","CUR_MKT_CAP",Database!$H9,Database!$H9),"")</f>
        <v/>
      </c>
      <c r="N9" s="99">
        <f>Database!Q9</f>
        <v/>
      </c>
      <c r="O9" s="24">
        <f>IFERROR(BDH(Database!$A9&amp;" HK Equity","PE_RATIO",Database!$H9,Database!$H9),"")</f>
        <v/>
      </c>
      <c r="P9" s="101">
        <f>IF(Database!AV9="","(n/m or not derivable)",Database!AV9)</f>
        <v/>
      </c>
      <c r="Q9" s="24">
        <f>IF(Database!BA9="","",IFERROR(BDH(LEFT(Database!BA9,FIND(".",Database!BA9)-1)&amp;" CH Equity","PE_RATIO",Database!$H9,Database!$H9),""))</f>
        <v/>
      </c>
      <c r="R9" s="24">
        <f>IF(Database!BA9="","",IFERROR(BDH("HSAHP Index","PX_LAST",Database!$H9,Database!$H9),""))</f>
        <v/>
      </c>
    </row>
    <row r="10">
      <c r="A10" s="16">
        <f>Database!A10&amp;"  "&amp;Database!B10</f>
        <v/>
      </c>
      <c r="B10" s="10">
        <f>IFERROR(INDEX(BDS(Database!$A10&amp;" HK Equity","EQUITY_OFFERINGS","array=t","endcol=1"),MATCH("IPO",BDS(Database!$A10&amp;" HK Equity","EQUITY_OFFERINGS","array=t","startcol=2","endcol=2"),0)),"")</f>
        <v/>
      </c>
      <c r="C10" s="103">
        <f>IF($B10="","",IFERROR(BDP($B10&amp;" Action","CP036"),""))</f>
        <v/>
      </c>
      <c r="D10" s="104">
        <f>Database!S10</f>
        <v/>
      </c>
      <c r="E10" s="103">
        <f>IF($B10="","",IFERROR(BDP($B10&amp;" Action","CP037"),""))</f>
        <v/>
      </c>
      <c r="F10" s="104">
        <f>Database!T10</f>
        <v/>
      </c>
      <c r="G10" s="103">
        <f>IF($B10="","",IFERROR(BDP($B10&amp;" Action","GREENSHOE_FACILITY"),""))</f>
        <v/>
      </c>
      <c r="H10" s="103">
        <f>IF($B10="","",IFERROR(BDP($B10&amp;" Action","OFFERING_GREENSHOE_SHARES_EX"),""))</f>
        <v/>
      </c>
      <c r="I10" s="16">
        <f>Database!Z10</f>
        <v/>
      </c>
      <c r="J10" s="24">
        <f>IFERROR(BDP(Database!$A10&amp;" HK Equity","PE_RATIO"),"")</f>
        <v/>
      </c>
      <c r="K10" s="10">
        <f>IFERROR(BDP(Database!$A10&amp;" HK Equity","A/H_SHARE_CONVERSION"),"")</f>
        <v/>
      </c>
      <c r="L10" s="16">
        <f>IF(Database!BA10="","(none found)",Database!BA10)</f>
        <v/>
      </c>
      <c r="M10" s="18">
        <f>IFERROR(BDH(Database!$A10&amp;" HK Equity","CUR_MKT_CAP",Database!$H10,Database!$H10),"")</f>
        <v/>
      </c>
      <c r="N10" s="99">
        <f>Database!Q10</f>
        <v/>
      </c>
      <c r="O10" s="24">
        <f>IFERROR(BDH(Database!$A10&amp;" HK Equity","PE_RATIO",Database!$H10,Database!$H10),"")</f>
        <v/>
      </c>
      <c r="P10" s="101">
        <f>IF(Database!AV10="","(n/m or not derivable)",Database!AV10)</f>
        <v/>
      </c>
      <c r="Q10" s="24">
        <f>IF(Database!BA10="","",IFERROR(BDH(LEFT(Database!BA10,FIND(".",Database!BA10)-1)&amp;" CH Equity","PE_RATIO",Database!$H10,Database!$H10),""))</f>
        <v/>
      </c>
      <c r="R10" s="24">
        <f>IF(Database!BA10="","",IFERROR(BDH("HSAHP Index","PX_LAST",Database!$H10,Database!$H10),""))</f>
        <v/>
      </c>
    </row>
    <row r="11">
      <c r="A11" s="16">
        <f>Database!A11&amp;"  "&amp;Database!B11</f>
        <v/>
      </c>
      <c r="B11" s="10">
        <f>IFERROR(INDEX(BDS(Database!$A11&amp;" HK Equity","EQUITY_OFFERINGS","array=t","endcol=1"),MATCH("IPO",BDS(Database!$A11&amp;" HK Equity","EQUITY_OFFERINGS","array=t","startcol=2","endcol=2"),0)),"")</f>
        <v/>
      </c>
      <c r="C11" s="103">
        <f>IF($B11="","",IFERROR(BDP($B11&amp;" Action","CP036"),""))</f>
        <v/>
      </c>
      <c r="D11" s="104">
        <f>Database!S11</f>
        <v/>
      </c>
      <c r="E11" s="103">
        <f>IF($B11="","",IFERROR(BDP($B11&amp;" Action","CP037"),""))</f>
        <v/>
      </c>
      <c r="F11" s="104">
        <f>Database!T11</f>
        <v/>
      </c>
      <c r="G11" s="103">
        <f>IF($B11="","",IFERROR(BDP($B11&amp;" Action","GREENSHOE_FACILITY"),""))</f>
        <v/>
      </c>
      <c r="H11" s="103">
        <f>IF($B11="","",IFERROR(BDP($B11&amp;" Action","OFFERING_GREENSHOE_SHARES_EX"),""))</f>
        <v/>
      </c>
      <c r="I11" s="16">
        <f>Database!Z11</f>
        <v/>
      </c>
      <c r="J11" s="24">
        <f>IFERROR(BDP(Database!$A11&amp;" HK Equity","PE_RATIO"),"")</f>
        <v/>
      </c>
      <c r="K11" s="10">
        <f>IFERROR(BDP(Database!$A11&amp;" HK Equity","A/H_SHARE_CONVERSION"),"")</f>
        <v/>
      </c>
      <c r="L11" s="16">
        <f>IF(Database!BA11="","(none found)",Database!BA11)</f>
        <v/>
      </c>
      <c r="M11" s="18">
        <f>IFERROR(BDH(Database!$A11&amp;" HK Equity","CUR_MKT_CAP",Database!$H11,Database!$H11),"")</f>
        <v/>
      </c>
      <c r="N11" s="99">
        <f>Database!Q11</f>
        <v/>
      </c>
      <c r="O11" s="24">
        <f>IFERROR(BDH(Database!$A11&amp;" HK Equity","PE_RATIO",Database!$H11,Database!$H11),"")</f>
        <v/>
      </c>
      <c r="P11" s="101">
        <f>IF(Database!AV11="","(n/m or not derivable)",Database!AV11)</f>
        <v/>
      </c>
      <c r="Q11" s="24">
        <f>IF(Database!BA11="","",IFERROR(BDH(LEFT(Database!BA11,FIND(".",Database!BA11)-1)&amp;" CH Equity","PE_RATIO",Database!$H11,Database!$H11),""))</f>
        <v/>
      </c>
      <c r="R11" s="24">
        <f>IF(Database!BA11="","",IFERROR(BDH("HSAHP Index","PX_LAST",Database!$H11,Database!$H11),""))</f>
        <v/>
      </c>
    </row>
    <row r="12">
      <c r="A12" s="16">
        <f>Database!A12&amp;"  "&amp;Database!B12</f>
        <v/>
      </c>
      <c r="B12" s="10">
        <f>IFERROR(INDEX(BDS(Database!$A12&amp;" HK Equity","EQUITY_OFFERINGS","array=t","endcol=1"),MATCH("IPO",BDS(Database!$A12&amp;" HK Equity","EQUITY_OFFERINGS","array=t","startcol=2","endcol=2"),0)),"")</f>
        <v/>
      </c>
      <c r="C12" s="103">
        <f>IF($B12="","",IFERROR(BDP($B12&amp;" Action","CP036"),""))</f>
        <v/>
      </c>
      <c r="D12" s="104">
        <f>Database!S12</f>
        <v/>
      </c>
      <c r="E12" s="103">
        <f>IF($B12="","",IFERROR(BDP($B12&amp;" Action","CP037"),""))</f>
        <v/>
      </c>
      <c r="F12" s="104">
        <f>Database!T12</f>
        <v/>
      </c>
      <c r="G12" s="103">
        <f>IF($B12="","",IFERROR(BDP($B12&amp;" Action","GREENSHOE_FACILITY"),""))</f>
        <v/>
      </c>
      <c r="H12" s="103">
        <f>IF($B12="","",IFERROR(BDP($B12&amp;" Action","OFFERING_GREENSHOE_SHARES_EX"),""))</f>
        <v/>
      </c>
      <c r="I12" s="16">
        <f>Database!Z12</f>
        <v/>
      </c>
      <c r="J12" s="24">
        <f>IFERROR(BDP(Database!$A12&amp;" HK Equity","PE_RATIO"),"")</f>
        <v/>
      </c>
      <c r="K12" s="10">
        <f>IFERROR(BDP(Database!$A12&amp;" HK Equity","A/H_SHARE_CONVERSION"),"")</f>
        <v/>
      </c>
      <c r="L12" s="16">
        <f>IF(Database!BA12="","(none found)",Database!BA12)</f>
        <v/>
      </c>
      <c r="M12" s="18">
        <f>IFERROR(BDH(Database!$A12&amp;" HK Equity","CUR_MKT_CAP",Database!$H12,Database!$H12),"")</f>
        <v/>
      </c>
      <c r="N12" s="99">
        <f>Database!Q12</f>
        <v/>
      </c>
      <c r="O12" s="24">
        <f>IFERROR(BDH(Database!$A12&amp;" HK Equity","PE_RATIO",Database!$H12,Database!$H12),"")</f>
        <v/>
      </c>
      <c r="P12" s="101">
        <f>IF(Database!AV12="","(n/m or not derivable)",Database!AV12)</f>
        <v/>
      </c>
      <c r="Q12" s="24">
        <f>IF(Database!BA12="","",IFERROR(BDH(LEFT(Database!BA12,FIND(".",Database!BA12)-1)&amp;" CH Equity","PE_RATIO",Database!$H12,Database!$H12),""))</f>
        <v/>
      </c>
      <c r="R12" s="24">
        <f>IF(Database!BA12="","",IFERROR(BDH("HSAHP Index","PX_LAST",Database!$H12,Database!$H12),""))</f>
        <v/>
      </c>
    </row>
    <row r="13">
      <c r="A13" s="16">
        <f>Database!A13&amp;"  "&amp;Database!B13</f>
        <v/>
      </c>
      <c r="B13" s="10">
        <f>IFERROR(INDEX(BDS(Database!$A13&amp;" HK Equity","EQUITY_OFFERINGS","array=t","endcol=1"),MATCH("IPO",BDS(Database!$A13&amp;" HK Equity","EQUITY_OFFERINGS","array=t","startcol=2","endcol=2"),0)),"")</f>
        <v/>
      </c>
      <c r="C13" s="103">
        <f>IF($B13="","",IFERROR(BDP($B13&amp;" Action","CP036"),""))</f>
        <v/>
      </c>
      <c r="D13" s="104">
        <f>Database!S13</f>
        <v/>
      </c>
      <c r="E13" s="103">
        <f>IF($B13="","",IFERROR(BDP($B13&amp;" Action","CP037"),""))</f>
        <v/>
      </c>
      <c r="F13" s="104">
        <f>Database!T13</f>
        <v/>
      </c>
      <c r="G13" s="103">
        <f>IF($B13="","",IFERROR(BDP($B13&amp;" Action","GREENSHOE_FACILITY"),""))</f>
        <v/>
      </c>
      <c r="H13" s="103">
        <f>IF($B13="","",IFERROR(BDP($B13&amp;" Action","OFFERING_GREENSHOE_SHARES_EX"),""))</f>
        <v/>
      </c>
      <c r="I13" s="16">
        <f>Database!Z13</f>
        <v/>
      </c>
      <c r="J13" s="24">
        <f>IFERROR(BDP(Database!$A13&amp;" HK Equity","PE_RATIO"),"")</f>
        <v/>
      </c>
      <c r="K13" s="10">
        <f>IFERROR(BDP(Database!$A13&amp;" HK Equity","A/H_SHARE_CONVERSION"),"")</f>
        <v/>
      </c>
      <c r="L13" s="16">
        <f>IF(Database!BA13="","(none found)",Database!BA13)</f>
        <v/>
      </c>
      <c r="M13" s="18">
        <f>IFERROR(BDH(Database!$A13&amp;" HK Equity","CUR_MKT_CAP",Database!$H13,Database!$H13),"")</f>
        <v/>
      </c>
      <c r="N13" s="99">
        <f>Database!Q13</f>
        <v/>
      </c>
      <c r="O13" s="24">
        <f>IFERROR(BDH(Database!$A13&amp;" HK Equity","PE_RATIO",Database!$H13,Database!$H13),"")</f>
        <v/>
      </c>
      <c r="P13" s="101">
        <f>IF(Database!AV13="","(n/m or not derivable)",Database!AV13)</f>
        <v/>
      </c>
      <c r="Q13" s="24">
        <f>IF(Database!BA13="","",IFERROR(BDH(LEFT(Database!BA13,FIND(".",Database!BA13)-1)&amp;" CH Equity","PE_RATIO",Database!$H13,Database!$H13),""))</f>
        <v/>
      </c>
      <c r="R13" s="24">
        <f>IF(Database!BA13="","",IFERROR(BDH("HSAHP Index","PX_LAST",Database!$H13,Database!$H13),""))</f>
        <v/>
      </c>
    </row>
    <row r="14">
      <c r="A14" s="16">
        <f>Database!A14&amp;"  "&amp;Database!B14</f>
        <v/>
      </c>
      <c r="B14" s="10">
        <f>IFERROR(INDEX(BDS(Database!$A14&amp;" HK Equity","EQUITY_OFFERINGS","array=t","endcol=1"),MATCH("IPO",BDS(Database!$A14&amp;" HK Equity","EQUITY_OFFERINGS","array=t","startcol=2","endcol=2"),0)),"")</f>
        <v/>
      </c>
      <c r="C14" s="103">
        <f>IF($B14="","",IFERROR(BDP($B14&amp;" Action","CP036"),""))</f>
        <v/>
      </c>
      <c r="D14" s="104">
        <f>Database!S14</f>
        <v/>
      </c>
      <c r="E14" s="103">
        <f>IF($B14="","",IFERROR(BDP($B14&amp;" Action","CP037"),""))</f>
        <v/>
      </c>
      <c r="F14" s="104">
        <f>Database!T14</f>
        <v/>
      </c>
      <c r="G14" s="103">
        <f>IF($B14="","",IFERROR(BDP($B14&amp;" Action","GREENSHOE_FACILITY"),""))</f>
        <v/>
      </c>
      <c r="H14" s="103">
        <f>IF($B14="","",IFERROR(BDP($B14&amp;" Action","OFFERING_GREENSHOE_SHARES_EX"),""))</f>
        <v/>
      </c>
      <c r="I14" s="16">
        <f>Database!Z14</f>
        <v/>
      </c>
      <c r="J14" s="24">
        <f>IFERROR(BDP(Database!$A14&amp;" HK Equity","PE_RATIO"),"")</f>
        <v/>
      </c>
      <c r="K14" s="10">
        <f>IFERROR(BDP(Database!$A14&amp;" HK Equity","A/H_SHARE_CONVERSION"),"")</f>
        <v/>
      </c>
      <c r="L14" s="16">
        <f>IF(Database!BA14="","(none found)",Database!BA14)</f>
        <v/>
      </c>
      <c r="M14" s="18">
        <f>IFERROR(BDH(Database!$A14&amp;" HK Equity","CUR_MKT_CAP",Database!$H14,Database!$H14),"")</f>
        <v/>
      </c>
      <c r="N14" s="99">
        <f>Database!Q14</f>
        <v/>
      </c>
      <c r="O14" s="24">
        <f>IFERROR(BDH(Database!$A14&amp;" HK Equity","PE_RATIO",Database!$H14,Database!$H14),"")</f>
        <v/>
      </c>
      <c r="P14" s="101">
        <f>IF(Database!AV14="","(n/m or not derivable)",Database!AV14)</f>
        <v/>
      </c>
      <c r="Q14" s="24">
        <f>IF(Database!BA14="","",IFERROR(BDH(LEFT(Database!BA14,FIND(".",Database!BA14)-1)&amp;" CH Equity","PE_RATIO",Database!$H14,Database!$H14),""))</f>
        <v/>
      </c>
      <c r="R14" s="24">
        <f>IF(Database!BA14="","",IFERROR(BDH("HSAHP Index","PX_LAST",Database!$H14,Database!$H14),""))</f>
        <v/>
      </c>
    </row>
    <row r="15">
      <c r="A15" s="16">
        <f>Database!A15&amp;"  "&amp;Database!B15</f>
        <v/>
      </c>
      <c r="B15" s="10">
        <f>IFERROR(INDEX(BDS(Database!$A15&amp;" HK Equity","EQUITY_OFFERINGS","array=t","endcol=1"),MATCH("IPO",BDS(Database!$A15&amp;" HK Equity","EQUITY_OFFERINGS","array=t","startcol=2","endcol=2"),0)),"")</f>
        <v/>
      </c>
      <c r="C15" s="103">
        <f>IF($B15="","",IFERROR(BDP($B15&amp;" Action","CP036"),""))</f>
        <v/>
      </c>
      <c r="D15" s="104">
        <f>Database!S15</f>
        <v/>
      </c>
      <c r="E15" s="103">
        <f>IF($B15="","",IFERROR(BDP($B15&amp;" Action","CP037"),""))</f>
        <v/>
      </c>
      <c r="F15" s="104">
        <f>Database!T15</f>
        <v/>
      </c>
      <c r="G15" s="103">
        <f>IF($B15="","",IFERROR(BDP($B15&amp;" Action","GREENSHOE_FACILITY"),""))</f>
        <v/>
      </c>
      <c r="H15" s="103">
        <f>IF($B15="","",IFERROR(BDP($B15&amp;" Action","OFFERING_GREENSHOE_SHARES_EX"),""))</f>
        <v/>
      </c>
      <c r="I15" s="16">
        <f>Database!Z15</f>
        <v/>
      </c>
      <c r="J15" s="24">
        <f>IFERROR(BDP(Database!$A15&amp;" HK Equity","PE_RATIO"),"")</f>
        <v/>
      </c>
      <c r="K15" s="10">
        <f>IFERROR(BDP(Database!$A15&amp;" HK Equity","A/H_SHARE_CONVERSION"),"")</f>
        <v/>
      </c>
      <c r="L15" s="16">
        <f>IF(Database!BA15="","(none found)",Database!BA15)</f>
        <v/>
      </c>
      <c r="M15" s="18">
        <f>IFERROR(BDH(Database!$A15&amp;" HK Equity","CUR_MKT_CAP",Database!$H15,Database!$H15),"")</f>
        <v/>
      </c>
      <c r="N15" s="99">
        <f>Database!Q15</f>
        <v/>
      </c>
      <c r="O15" s="24">
        <f>IFERROR(BDH(Database!$A15&amp;" HK Equity","PE_RATIO",Database!$H15,Database!$H15),"")</f>
        <v/>
      </c>
      <c r="P15" s="101">
        <f>IF(Database!AV15="","(n/m or not derivable)",Database!AV15)</f>
        <v/>
      </c>
      <c r="Q15" s="24">
        <f>IF(Database!BA15="","",IFERROR(BDH(LEFT(Database!BA15,FIND(".",Database!BA15)-1)&amp;" CH Equity","PE_RATIO",Database!$H15,Database!$H15),""))</f>
        <v/>
      </c>
      <c r="R15" s="24">
        <f>IF(Database!BA15="","",IFERROR(BDH("HSAHP Index","PX_LAST",Database!$H15,Database!$H15),""))</f>
        <v/>
      </c>
    </row>
    <row r="16">
      <c r="A16" s="16">
        <f>Database!A16&amp;"  "&amp;Database!B16</f>
        <v/>
      </c>
      <c r="B16" s="10">
        <f>IFERROR(INDEX(BDS(Database!$A16&amp;" HK Equity","EQUITY_OFFERINGS","array=t","endcol=1"),MATCH("IPO",BDS(Database!$A16&amp;" HK Equity","EQUITY_OFFERINGS","array=t","startcol=2","endcol=2"),0)),"")</f>
        <v/>
      </c>
      <c r="C16" s="103">
        <f>IF($B16="","",IFERROR(BDP($B16&amp;" Action","CP036"),""))</f>
        <v/>
      </c>
      <c r="D16" s="104">
        <f>Database!S16</f>
        <v/>
      </c>
      <c r="E16" s="103">
        <f>IF($B16="","",IFERROR(BDP($B16&amp;" Action","CP037"),""))</f>
        <v/>
      </c>
      <c r="F16" s="104">
        <f>Database!T16</f>
        <v/>
      </c>
      <c r="G16" s="103">
        <f>IF($B16="","",IFERROR(BDP($B16&amp;" Action","GREENSHOE_FACILITY"),""))</f>
        <v/>
      </c>
      <c r="H16" s="103">
        <f>IF($B16="","",IFERROR(BDP($B16&amp;" Action","OFFERING_GREENSHOE_SHARES_EX"),""))</f>
        <v/>
      </c>
      <c r="I16" s="16">
        <f>Database!Z16</f>
        <v/>
      </c>
      <c r="J16" s="24">
        <f>IFERROR(BDP(Database!$A16&amp;" HK Equity","PE_RATIO"),"")</f>
        <v/>
      </c>
      <c r="K16" s="10">
        <f>IFERROR(BDP(Database!$A16&amp;" HK Equity","A/H_SHARE_CONVERSION"),"")</f>
        <v/>
      </c>
      <c r="L16" s="16">
        <f>IF(Database!BA16="","(none found)",Database!BA16)</f>
        <v/>
      </c>
      <c r="M16" s="18">
        <f>IFERROR(BDH(Database!$A16&amp;" HK Equity","CUR_MKT_CAP",Database!$H16,Database!$H16),"")</f>
        <v/>
      </c>
      <c r="N16" s="99">
        <f>Database!Q16</f>
        <v/>
      </c>
      <c r="O16" s="24">
        <f>IFERROR(BDH(Database!$A16&amp;" HK Equity","PE_RATIO",Database!$H16,Database!$H16),"")</f>
        <v/>
      </c>
      <c r="P16" s="101">
        <f>IF(Database!AV16="","(n/m or not derivable)",Database!AV16)</f>
        <v/>
      </c>
      <c r="Q16" s="24">
        <f>IF(Database!BA16="","",IFERROR(BDH(LEFT(Database!BA16,FIND(".",Database!BA16)-1)&amp;" CH Equity","PE_RATIO",Database!$H16,Database!$H16),""))</f>
        <v/>
      </c>
      <c r="R16" s="24">
        <f>IF(Database!BA16="","",IFERROR(BDH("HSAHP Index","PX_LAST",Database!$H16,Database!$H16),""))</f>
        <v/>
      </c>
    </row>
    <row r="17">
      <c r="A17" s="16">
        <f>Database!A17&amp;"  "&amp;Database!B17</f>
        <v/>
      </c>
      <c r="B17" s="10">
        <f>IFERROR(INDEX(BDS(Database!$A17&amp;" HK Equity","EQUITY_OFFERINGS","array=t","endcol=1"),MATCH("IPO",BDS(Database!$A17&amp;" HK Equity","EQUITY_OFFERINGS","array=t","startcol=2","endcol=2"),0)),"")</f>
        <v/>
      </c>
      <c r="C17" s="103">
        <f>IF($B17="","",IFERROR(BDP($B17&amp;" Action","CP036"),""))</f>
        <v/>
      </c>
      <c r="D17" s="104">
        <f>Database!S17</f>
        <v/>
      </c>
      <c r="E17" s="103">
        <f>IF($B17="","",IFERROR(BDP($B17&amp;" Action","CP037"),""))</f>
        <v/>
      </c>
      <c r="F17" s="104">
        <f>Database!T17</f>
        <v/>
      </c>
      <c r="G17" s="103">
        <f>IF($B17="","",IFERROR(BDP($B17&amp;" Action","GREENSHOE_FACILITY"),""))</f>
        <v/>
      </c>
      <c r="H17" s="103">
        <f>IF($B17="","",IFERROR(BDP($B17&amp;" Action","OFFERING_GREENSHOE_SHARES_EX"),""))</f>
        <v/>
      </c>
      <c r="I17" s="16">
        <f>Database!Z17</f>
        <v/>
      </c>
      <c r="J17" s="24">
        <f>IFERROR(BDP(Database!$A17&amp;" HK Equity","PE_RATIO"),"")</f>
        <v/>
      </c>
      <c r="K17" s="10">
        <f>IFERROR(BDP(Database!$A17&amp;" HK Equity","A/H_SHARE_CONVERSION"),"")</f>
        <v/>
      </c>
      <c r="L17" s="16">
        <f>IF(Database!BA17="","(none found)",Database!BA17)</f>
        <v/>
      </c>
      <c r="M17" s="18">
        <f>IFERROR(BDH(Database!$A17&amp;" HK Equity","CUR_MKT_CAP",Database!$H17,Database!$H17),"")</f>
        <v/>
      </c>
      <c r="N17" s="99">
        <f>Database!Q17</f>
        <v/>
      </c>
      <c r="O17" s="24">
        <f>IFERROR(BDH(Database!$A17&amp;" HK Equity","PE_RATIO",Database!$H17,Database!$H17),"")</f>
        <v/>
      </c>
      <c r="P17" s="101">
        <f>IF(Database!AV17="","(n/m or not derivable)",Database!AV17)</f>
        <v/>
      </c>
      <c r="Q17" s="24">
        <f>IF(Database!BA17="","",IFERROR(BDH(LEFT(Database!BA17,FIND(".",Database!BA17)-1)&amp;" CH Equity","PE_RATIO",Database!$H17,Database!$H17),""))</f>
        <v/>
      </c>
      <c r="R17" s="24">
        <f>IF(Database!BA17="","",IFERROR(BDH("HSAHP Index","PX_LAST",Database!$H17,Database!$H17),""))</f>
        <v/>
      </c>
    </row>
    <row r="18">
      <c r="A18" s="16">
        <f>Database!A18&amp;"  "&amp;Database!B18</f>
        <v/>
      </c>
      <c r="B18" s="10">
        <f>IFERROR(INDEX(BDS(Database!$A18&amp;" HK Equity","EQUITY_OFFERINGS","array=t","endcol=1"),MATCH("IPO",BDS(Database!$A18&amp;" HK Equity","EQUITY_OFFERINGS","array=t","startcol=2","endcol=2"),0)),"")</f>
        <v/>
      </c>
      <c r="C18" s="103">
        <f>IF($B18="","",IFERROR(BDP($B18&amp;" Action","CP036"),""))</f>
        <v/>
      </c>
      <c r="D18" s="104">
        <f>Database!S18</f>
        <v/>
      </c>
      <c r="E18" s="103">
        <f>IF($B18="","",IFERROR(BDP($B18&amp;" Action","CP037"),""))</f>
        <v/>
      </c>
      <c r="F18" s="104">
        <f>Database!T18</f>
        <v/>
      </c>
      <c r="G18" s="103">
        <f>IF($B18="","",IFERROR(BDP($B18&amp;" Action","GREENSHOE_FACILITY"),""))</f>
        <v/>
      </c>
      <c r="H18" s="103">
        <f>IF($B18="","",IFERROR(BDP($B18&amp;" Action","OFFERING_GREENSHOE_SHARES_EX"),""))</f>
        <v/>
      </c>
      <c r="I18" s="16">
        <f>Database!Z18</f>
        <v/>
      </c>
      <c r="J18" s="24">
        <f>IFERROR(BDP(Database!$A18&amp;" HK Equity","PE_RATIO"),"")</f>
        <v/>
      </c>
      <c r="K18" s="10">
        <f>IFERROR(BDP(Database!$A18&amp;" HK Equity","A/H_SHARE_CONVERSION"),"")</f>
        <v/>
      </c>
      <c r="L18" s="16">
        <f>IF(Database!BA18="","(none found)",Database!BA18)</f>
        <v/>
      </c>
      <c r="M18" s="18">
        <f>IFERROR(BDH(Database!$A18&amp;" HK Equity","CUR_MKT_CAP",Database!$H18,Database!$H18),"")</f>
        <v/>
      </c>
      <c r="N18" s="99">
        <f>Database!Q18</f>
        <v/>
      </c>
      <c r="O18" s="24">
        <f>IFERROR(BDH(Database!$A18&amp;" HK Equity","PE_RATIO",Database!$H18,Database!$H18),"")</f>
        <v/>
      </c>
      <c r="P18" s="101">
        <f>IF(Database!AV18="","(n/m or not derivable)",Database!AV18)</f>
        <v/>
      </c>
      <c r="Q18" s="24">
        <f>IF(Database!BA18="","",IFERROR(BDH(LEFT(Database!BA18,FIND(".",Database!BA18)-1)&amp;" CH Equity","PE_RATIO",Database!$H18,Database!$H18),""))</f>
        <v/>
      </c>
      <c r="R18" s="24">
        <f>IF(Database!BA18="","",IFERROR(BDH("HSAHP Index","PX_LAST",Database!$H18,Database!$H18),""))</f>
        <v/>
      </c>
    </row>
    <row r="19">
      <c r="A19" s="16">
        <f>Database!A19&amp;"  "&amp;Database!B19</f>
        <v/>
      </c>
      <c r="B19" s="10">
        <f>IFERROR(INDEX(BDS(Database!$A19&amp;" HK Equity","EQUITY_OFFERINGS","array=t","endcol=1"),MATCH("IPO",BDS(Database!$A19&amp;" HK Equity","EQUITY_OFFERINGS","array=t","startcol=2","endcol=2"),0)),"")</f>
        <v/>
      </c>
      <c r="C19" s="103">
        <f>IF($B19="","",IFERROR(BDP($B19&amp;" Action","CP036"),""))</f>
        <v/>
      </c>
      <c r="D19" s="104">
        <f>Database!S19</f>
        <v/>
      </c>
      <c r="E19" s="103">
        <f>IF($B19="","",IFERROR(BDP($B19&amp;" Action","CP037"),""))</f>
        <v/>
      </c>
      <c r="F19" s="104">
        <f>Database!T19</f>
        <v/>
      </c>
      <c r="G19" s="103">
        <f>IF($B19="","",IFERROR(BDP($B19&amp;" Action","GREENSHOE_FACILITY"),""))</f>
        <v/>
      </c>
      <c r="H19" s="103">
        <f>IF($B19="","",IFERROR(BDP($B19&amp;" Action","OFFERING_GREENSHOE_SHARES_EX"),""))</f>
        <v/>
      </c>
      <c r="I19" s="16">
        <f>Database!Z19</f>
        <v/>
      </c>
      <c r="J19" s="24">
        <f>IFERROR(BDP(Database!$A19&amp;" HK Equity","PE_RATIO"),"")</f>
        <v/>
      </c>
      <c r="K19" s="10">
        <f>IFERROR(BDP(Database!$A19&amp;" HK Equity","A/H_SHARE_CONVERSION"),"")</f>
        <v/>
      </c>
      <c r="L19" s="16">
        <f>IF(Database!BA19="","(none found)",Database!BA19)</f>
        <v/>
      </c>
      <c r="M19" s="18">
        <f>IFERROR(BDH(Database!$A19&amp;" HK Equity","CUR_MKT_CAP",Database!$H19,Database!$H19),"")</f>
        <v/>
      </c>
      <c r="N19" s="99">
        <f>Database!Q19</f>
        <v/>
      </c>
      <c r="O19" s="24">
        <f>IFERROR(BDH(Database!$A19&amp;" HK Equity","PE_RATIO",Database!$H19,Database!$H19),"")</f>
        <v/>
      </c>
      <c r="P19" s="101">
        <f>IF(Database!AV19="","(n/m or not derivable)",Database!AV19)</f>
        <v/>
      </c>
      <c r="Q19" s="24">
        <f>IF(Database!BA19="","",IFERROR(BDH(LEFT(Database!BA19,FIND(".",Database!BA19)-1)&amp;" CH Equity","PE_RATIO",Database!$H19,Database!$H19),""))</f>
        <v/>
      </c>
      <c r="R19" s="24">
        <f>IF(Database!BA19="","",IFERROR(BDH("HSAHP Index","PX_LAST",Database!$H19,Database!$H19),""))</f>
        <v/>
      </c>
    </row>
    <row r="20">
      <c r="A20" s="16">
        <f>Database!A20&amp;"  "&amp;Database!B20</f>
        <v/>
      </c>
      <c r="B20" s="10">
        <f>IFERROR(INDEX(BDS(Database!$A20&amp;" HK Equity","EQUITY_OFFERINGS","array=t","endcol=1"),MATCH("IPO",BDS(Database!$A20&amp;" HK Equity","EQUITY_OFFERINGS","array=t","startcol=2","endcol=2"),0)),"")</f>
        <v/>
      </c>
      <c r="C20" s="103">
        <f>IF($B20="","",IFERROR(BDP($B20&amp;" Action","CP036"),""))</f>
        <v/>
      </c>
      <c r="D20" s="104">
        <f>Database!S20</f>
        <v/>
      </c>
      <c r="E20" s="103">
        <f>IF($B20="","",IFERROR(BDP($B20&amp;" Action","CP037"),""))</f>
        <v/>
      </c>
      <c r="F20" s="104">
        <f>Database!T20</f>
        <v/>
      </c>
      <c r="G20" s="103">
        <f>IF($B20="","",IFERROR(BDP($B20&amp;" Action","GREENSHOE_FACILITY"),""))</f>
        <v/>
      </c>
      <c r="H20" s="103">
        <f>IF($B20="","",IFERROR(BDP($B20&amp;" Action","OFFERING_GREENSHOE_SHARES_EX"),""))</f>
        <v/>
      </c>
      <c r="I20" s="16">
        <f>Database!Z20</f>
        <v/>
      </c>
      <c r="J20" s="24">
        <f>IFERROR(BDP(Database!$A20&amp;" HK Equity","PE_RATIO"),"")</f>
        <v/>
      </c>
      <c r="K20" s="10">
        <f>IFERROR(BDP(Database!$A20&amp;" HK Equity","A/H_SHARE_CONVERSION"),"")</f>
        <v/>
      </c>
      <c r="L20" s="16">
        <f>IF(Database!BA20="","(none found)",Database!BA20)</f>
        <v/>
      </c>
      <c r="M20" s="18">
        <f>IFERROR(BDH(Database!$A20&amp;" HK Equity","CUR_MKT_CAP",Database!$H20,Database!$H20),"")</f>
        <v/>
      </c>
      <c r="N20" s="99">
        <f>Database!Q20</f>
        <v/>
      </c>
      <c r="O20" s="24">
        <f>IFERROR(BDH(Database!$A20&amp;" HK Equity","PE_RATIO",Database!$H20,Database!$H20),"")</f>
        <v/>
      </c>
      <c r="P20" s="101">
        <f>IF(Database!AV20="","(n/m or not derivable)",Database!AV20)</f>
        <v/>
      </c>
      <c r="Q20" s="24">
        <f>IF(Database!BA20="","",IFERROR(BDH(LEFT(Database!BA20,FIND(".",Database!BA20)-1)&amp;" CH Equity","PE_RATIO",Database!$H20,Database!$H20),""))</f>
        <v/>
      </c>
      <c r="R20" s="24">
        <f>IF(Database!BA20="","",IFERROR(BDH("HSAHP Index","PX_LAST",Database!$H20,Database!$H20),""))</f>
        <v/>
      </c>
    </row>
    <row r="21">
      <c r="A21" s="16">
        <f>Database!A21&amp;"  "&amp;Database!B21</f>
        <v/>
      </c>
      <c r="B21" s="10">
        <f>IFERROR(INDEX(BDS(Database!$A21&amp;" HK Equity","EQUITY_OFFERINGS","array=t","endcol=1"),MATCH("IPO",BDS(Database!$A21&amp;" HK Equity","EQUITY_OFFERINGS","array=t","startcol=2","endcol=2"),0)),"")</f>
        <v/>
      </c>
      <c r="C21" s="103">
        <f>IF($B21="","",IFERROR(BDP($B21&amp;" Action","CP036"),""))</f>
        <v/>
      </c>
      <c r="D21" s="104">
        <f>Database!S21</f>
        <v/>
      </c>
      <c r="E21" s="103">
        <f>IF($B21="","",IFERROR(BDP($B21&amp;" Action","CP037"),""))</f>
        <v/>
      </c>
      <c r="F21" s="104">
        <f>Database!T21</f>
        <v/>
      </c>
      <c r="G21" s="103">
        <f>IF($B21="","",IFERROR(BDP($B21&amp;" Action","GREENSHOE_FACILITY"),""))</f>
        <v/>
      </c>
      <c r="H21" s="103">
        <f>IF($B21="","",IFERROR(BDP($B21&amp;" Action","OFFERING_GREENSHOE_SHARES_EX"),""))</f>
        <v/>
      </c>
      <c r="I21" s="16">
        <f>Database!Z21</f>
        <v/>
      </c>
      <c r="J21" s="24">
        <f>IFERROR(BDP(Database!$A21&amp;" HK Equity","PE_RATIO"),"")</f>
        <v/>
      </c>
      <c r="K21" s="10">
        <f>IFERROR(BDP(Database!$A21&amp;" HK Equity","A/H_SHARE_CONVERSION"),"")</f>
        <v/>
      </c>
      <c r="L21" s="16">
        <f>IF(Database!BA21="","(none found)",Database!BA21)</f>
        <v/>
      </c>
      <c r="M21" s="18">
        <f>IFERROR(BDH(Database!$A21&amp;" HK Equity","CUR_MKT_CAP",Database!$H21,Database!$H21),"")</f>
        <v/>
      </c>
      <c r="N21" s="99">
        <f>Database!Q21</f>
        <v/>
      </c>
      <c r="O21" s="24">
        <f>IFERROR(BDH(Database!$A21&amp;" HK Equity","PE_RATIO",Database!$H21,Database!$H21),"")</f>
        <v/>
      </c>
      <c r="P21" s="101">
        <f>IF(Database!AV21="","(n/m or not derivable)",Database!AV21)</f>
        <v/>
      </c>
      <c r="Q21" s="24">
        <f>IF(Database!BA21="","",IFERROR(BDH(LEFT(Database!BA21,FIND(".",Database!BA21)-1)&amp;" CH Equity","PE_RATIO",Database!$H21,Database!$H21),""))</f>
        <v/>
      </c>
      <c r="R21" s="24">
        <f>IF(Database!BA21="","",IFERROR(BDH("HSAHP Index","PX_LAST",Database!$H21,Database!$H21),""))</f>
        <v/>
      </c>
    </row>
    <row r="22">
      <c r="A22" s="16">
        <f>Database!A22&amp;"  "&amp;Database!B22</f>
        <v/>
      </c>
      <c r="B22" s="10">
        <f>IFERROR(INDEX(BDS(Database!$A22&amp;" HK Equity","EQUITY_OFFERINGS","array=t","endcol=1"),MATCH("IPO",BDS(Database!$A22&amp;" HK Equity","EQUITY_OFFERINGS","array=t","startcol=2","endcol=2"),0)),"")</f>
        <v/>
      </c>
      <c r="C22" s="103">
        <f>IF($B22="","",IFERROR(BDP($B22&amp;" Action","CP036"),""))</f>
        <v/>
      </c>
      <c r="D22" s="104">
        <f>Database!S22</f>
        <v/>
      </c>
      <c r="E22" s="103">
        <f>IF($B22="","",IFERROR(BDP($B22&amp;" Action","CP037"),""))</f>
        <v/>
      </c>
      <c r="F22" s="104">
        <f>Database!T22</f>
        <v/>
      </c>
      <c r="G22" s="103">
        <f>IF($B22="","",IFERROR(BDP($B22&amp;" Action","GREENSHOE_FACILITY"),""))</f>
        <v/>
      </c>
      <c r="H22" s="103">
        <f>IF($B22="","",IFERROR(BDP($B22&amp;" Action","OFFERING_GREENSHOE_SHARES_EX"),""))</f>
        <v/>
      </c>
      <c r="I22" s="16">
        <f>Database!Z22</f>
        <v/>
      </c>
      <c r="J22" s="24">
        <f>IFERROR(BDP(Database!$A22&amp;" HK Equity","PE_RATIO"),"")</f>
        <v/>
      </c>
      <c r="K22" s="10">
        <f>IFERROR(BDP(Database!$A22&amp;" HK Equity","A/H_SHARE_CONVERSION"),"")</f>
        <v/>
      </c>
      <c r="L22" s="16">
        <f>IF(Database!BA22="","(none found)",Database!BA22)</f>
        <v/>
      </c>
      <c r="M22" s="18">
        <f>IFERROR(BDH(Database!$A22&amp;" HK Equity","CUR_MKT_CAP",Database!$H22,Database!$H22),"")</f>
        <v/>
      </c>
      <c r="N22" s="99">
        <f>Database!Q22</f>
        <v/>
      </c>
      <c r="O22" s="24">
        <f>IFERROR(BDH(Database!$A22&amp;" HK Equity","PE_RATIO",Database!$H22,Database!$H22),"")</f>
        <v/>
      </c>
      <c r="P22" s="101">
        <f>IF(Database!AV22="","(n/m or not derivable)",Database!AV22)</f>
        <v/>
      </c>
      <c r="Q22" s="24">
        <f>IF(Database!BA22="","",IFERROR(BDH(LEFT(Database!BA22,FIND(".",Database!BA22)-1)&amp;" CH Equity","PE_RATIO",Database!$H22,Database!$H22),""))</f>
        <v/>
      </c>
      <c r="R22" s="24">
        <f>IF(Database!BA22="","",IFERROR(BDH("HSAHP Index","PX_LAST",Database!$H22,Database!$H22),""))</f>
        <v/>
      </c>
    </row>
    <row r="23">
      <c r="A23" s="16">
        <f>Database!A23&amp;"  "&amp;Database!B23</f>
        <v/>
      </c>
      <c r="B23" s="10">
        <f>IFERROR(INDEX(BDS(Database!$A23&amp;" HK Equity","EQUITY_OFFERINGS","array=t","endcol=1"),MATCH("IPO",BDS(Database!$A23&amp;" HK Equity","EQUITY_OFFERINGS","array=t","startcol=2","endcol=2"),0)),"")</f>
        <v/>
      </c>
      <c r="C23" s="103">
        <f>IF($B23="","",IFERROR(BDP($B23&amp;" Action","CP036"),""))</f>
        <v/>
      </c>
      <c r="D23" s="104">
        <f>Database!S23</f>
        <v/>
      </c>
      <c r="E23" s="103">
        <f>IF($B23="","",IFERROR(BDP($B23&amp;" Action","CP037"),""))</f>
        <v/>
      </c>
      <c r="F23" s="104">
        <f>Database!T23</f>
        <v/>
      </c>
      <c r="G23" s="103">
        <f>IF($B23="","",IFERROR(BDP($B23&amp;" Action","GREENSHOE_FACILITY"),""))</f>
        <v/>
      </c>
      <c r="H23" s="103">
        <f>IF($B23="","",IFERROR(BDP($B23&amp;" Action","OFFERING_GREENSHOE_SHARES_EX"),""))</f>
        <v/>
      </c>
      <c r="I23" s="16">
        <f>Database!Z23</f>
        <v/>
      </c>
      <c r="J23" s="24">
        <f>IFERROR(BDP(Database!$A23&amp;" HK Equity","PE_RATIO"),"")</f>
        <v/>
      </c>
      <c r="K23" s="10">
        <f>IFERROR(BDP(Database!$A23&amp;" HK Equity","A/H_SHARE_CONVERSION"),"")</f>
        <v/>
      </c>
      <c r="L23" s="16">
        <f>IF(Database!BA23="","(none found)",Database!BA23)</f>
        <v/>
      </c>
      <c r="M23" s="18">
        <f>IFERROR(BDH(Database!$A23&amp;" HK Equity","CUR_MKT_CAP",Database!$H23,Database!$H23),"")</f>
        <v/>
      </c>
      <c r="N23" s="99">
        <f>Database!Q23</f>
        <v/>
      </c>
      <c r="O23" s="24">
        <f>IFERROR(BDH(Database!$A23&amp;" HK Equity","PE_RATIO",Database!$H23,Database!$H23),"")</f>
        <v/>
      </c>
      <c r="P23" s="101">
        <f>IF(Database!AV23="","(n/m or not derivable)",Database!AV23)</f>
        <v/>
      </c>
      <c r="Q23" s="24">
        <f>IF(Database!BA23="","",IFERROR(BDH(LEFT(Database!BA23,FIND(".",Database!BA23)-1)&amp;" CH Equity","PE_RATIO",Database!$H23,Database!$H23),""))</f>
        <v/>
      </c>
      <c r="R23" s="24">
        <f>IF(Database!BA23="","",IFERROR(BDH("HSAHP Index","PX_LAST",Database!$H23,Database!$H23),""))</f>
        <v/>
      </c>
    </row>
    <row r="24">
      <c r="A24" s="16">
        <f>Database!A24&amp;"  "&amp;Database!B24</f>
        <v/>
      </c>
      <c r="B24" s="10">
        <f>IFERROR(INDEX(BDS(Database!$A24&amp;" HK Equity","EQUITY_OFFERINGS","array=t","endcol=1"),MATCH("IPO",BDS(Database!$A24&amp;" HK Equity","EQUITY_OFFERINGS","array=t","startcol=2","endcol=2"),0)),"")</f>
        <v/>
      </c>
      <c r="C24" s="103">
        <f>IF($B24="","",IFERROR(BDP($B24&amp;" Action","CP036"),""))</f>
        <v/>
      </c>
      <c r="D24" s="104">
        <f>Database!S24</f>
        <v/>
      </c>
      <c r="E24" s="103">
        <f>IF($B24="","",IFERROR(BDP($B24&amp;" Action","CP037"),""))</f>
        <v/>
      </c>
      <c r="F24" s="104">
        <f>Database!T24</f>
        <v/>
      </c>
      <c r="G24" s="103">
        <f>IF($B24="","",IFERROR(BDP($B24&amp;" Action","GREENSHOE_FACILITY"),""))</f>
        <v/>
      </c>
      <c r="H24" s="103">
        <f>IF($B24="","",IFERROR(BDP($B24&amp;" Action","OFFERING_GREENSHOE_SHARES_EX"),""))</f>
        <v/>
      </c>
      <c r="I24" s="16">
        <f>Database!Z24</f>
        <v/>
      </c>
      <c r="J24" s="24">
        <f>IFERROR(BDP(Database!$A24&amp;" HK Equity","PE_RATIO"),"")</f>
        <v/>
      </c>
      <c r="K24" s="10">
        <f>IFERROR(BDP(Database!$A24&amp;" HK Equity","A/H_SHARE_CONVERSION"),"")</f>
        <v/>
      </c>
      <c r="L24" s="16">
        <f>IF(Database!BA24="","(none found)",Database!BA24)</f>
        <v/>
      </c>
      <c r="M24" s="18">
        <f>IFERROR(BDH(Database!$A24&amp;" HK Equity","CUR_MKT_CAP",Database!$H24,Database!$H24),"")</f>
        <v/>
      </c>
      <c r="N24" s="99">
        <f>Database!Q24</f>
        <v/>
      </c>
      <c r="O24" s="24">
        <f>IFERROR(BDH(Database!$A24&amp;" HK Equity","PE_RATIO",Database!$H24,Database!$H24),"")</f>
        <v/>
      </c>
      <c r="P24" s="101">
        <f>IF(Database!AV24="","(n/m or not derivable)",Database!AV24)</f>
        <v/>
      </c>
      <c r="Q24" s="24">
        <f>IF(Database!BA24="","",IFERROR(BDH(LEFT(Database!BA24,FIND(".",Database!BA24)-1)&amp;" CH Equity","PE_RATIO",Database!$H24,Database!$H24),""))</f>
        <v/>
      </c>
      <c r="R24" s="24">
        <f>IF(Database!BA24="","",IFERROR(BDH("HSAHP Index","PX_LAST",Database!$H24,Database!$H24),""))</f>
        <v/>
      </c>
    </row>
    <row r="25">
      <c r="A25" s="16">
        <f>Database!A25&amp;"  "&amp;Database!B25</f>
        <v/>
      </c>
      <c r="B25" s="10">
        <f>IFERROR(INDEX(BDS(Database!$A25&amp;" HK Equity","EQUITY_OFFERINGS","array=t","endcol=1"),MATCH("IPO",BDS(Database!$A25&amp;" HK Equity","EQUITY_OFFERINGS","array=t","startcol=2","endcol=2"),0)),"")</f>
        <v/>
      </c>
      <c r="C25" s="103">
        <f>IF($B25="","",IFERROR(BDP($B25&amp;" Action","CP036"),""))</f>
        <v/>
      </c>
      <c r="D25" s="104">
        <f>Database!S25</f>
        <v/>
      </c>
      <c r="E25" s="103">
        <f>IF($B25="","",IFERROR(BDP($B25&amp;" Action","CP037"),""))</f>
        <v/>
      </c>
      <c r="F25" s="104">
        <f>Database!T25</f>
        <v/>
      </c>
      <c r="G25" s="103">
        <f>IF($B25="","",IFERROR(BDP($B25&amp;" Action","GREENSHOE_FACILITY"),""))</f>
        <v/>
      </c>
      <c r="H25" s="103">
        <f>IF($B25="","",IFERROR(BDP($B25&amp;" Action","OFFERING_GREENSHOE_SHARES_EX"),""))</f>
        <v/>
      </c>
      <c r="I25" s="16">
        <f>Database!Z25</f>
        <v/>
      </c>
      <c r="J25" s="24">
        <f>IFERROR(BDP(Database!$A25&amp;" HK Equity","PE_RATIO"),"")</f>
        <v/>
      </c>
      <c r="K25" s="10">
        <f>IFERROR(BDP(Database!$A25&amp;" HK Equity","A/H_SHARE_CONVERSION"),"")</f>
        <v/>
      </c>
      <c r="L25" s="16">
        <f>IF(Database!BA25="","(none found)",Database!BA25)</f>
        <v/>
      </c>
      <c r="M25" s="18">
        <f>IFERROR(BDH(Database!$A25&amp;" HK Equity","CUR_MKT_CAP",Database!$H25,Database!$H25),"")</f>
        <v/>
      </c>
      <c r="N25" s="99">
        <f>Database!Q25</f>
        <v/>
      </c>
      <c r="O25" s="24">
        <f>IFERROR(BDH(Database!$A25&amp;" HK Equity","PE_RATIO",Database!$H25,Database!$H25),"")</f>
        <v/>
      </c>
      <c r="P25" s="101">
        <f>IF(Database!AV25="","(n/m or not derivable)",Database!AV25)</f>
        <v/>
      </c>
      <c r="Q25" s="24">
        <f>IF(Database!BA25="","",IFERROR(BDH(LEFT(Database!BA25,FIND(".",Database!BA25)-1)&amp;" CH Equity","PE_RATIO",Database!$H25,Database!$H25),""))</f>
        <v/>
      </c>
      <c r="R25" s="24">
        <f>IF(Database!BA25="","",IFERROR(BDH("HSAHP Index","PX_LAST",Database!$H25,Database!$H25),""))</f>
        <v/>
      </c>
    </row>
    <row r="26">
      <c r="A26" s="16">
        <f>Database!A26&amp;"  "&amp;Database!B26</f>
        <v/>
      </c>
      <c r="B26" s="10">
        <f>IFERROR(INDEX(BDS(Database!$A26&amp;" HK Equity","EQUITY_OFFERINGS","array=t","endcol=1"),MATCH("IPO",BDS(Database!$A26&amp;" HK Equity","EQUITY_OFFERINGS","array=t","startcol=2","endcol=2"),0)),"")</f>
        <v/>
      </c>
      <c r="C26" s="103">
        <f>IF($B26="","",IFERROR(BDP($B26&amp;" Action","CP036"),""))</f>
        <v/>
      </c>
      <c r="D26" s="104">
        <f>Database!S26</f>
        <v/>
      </c>
      <c r="E26" s="103">
        <f>IF($B26="","",IFERROR(BDP($B26&amp;" Action","CP037"),""))</f>
        <v/>
      </c>
      <c r="F26" s="104">
        <f>Database!T26</f>
        <v/>
      </c>
      <c r="G26" s="103">
        <f>IF($B26="","",IFERROR(BDP($B26&amp;" Action","GREENSHOE_FACILITY"),""))</f>
        <v/>
      </c>
      <c r="H26" s="103">
        <f>IF($B26="","",IFERROR(BDP($B26&amp;" Action","OFFERING_GREENSHOE_SHARES_EX"),""))</f>
        <v/>
      </c>
      <c r="I26" s="16">
        <f>Database!Z26</f>
        <v/>
      </c>
      <c r="J26" s="24">
        <f>IFERROR(BDP(Database!$A26&amp;" HK Equity","PE_RATIO"),"")</f>
        <v/>
      </c>
      <c r="K26" s="10">
        <f>IFERROR(BDP(Database!$A26&amp;" HK Equity","A/H_SHARE_CONVERSION"),"")</f>
        <v/>
      </c>
      <c r="L26" s="16">
        <f>IF(Database!BA26="","(none found)",Database!BA26)</f>
        <v/>
      </c>
      <c r="M26" s="18">
        <f>IFERROR(BDH(Database!$A26&amp;" HK Equity","CUR_MKT_CAP",Database!$H26,Database!$H26),"")</f>
        <v/>
      </c>
      <c r="N26" s="99">
        <f>Database!Q26</f>
        <v/>
      </c>
      <c r="O26" s="24">
        <f>IFERROR(BDH(Database!$A26&amp;" HK Equity","PE_RATIO",Database!$H26,Database!$H26),"")</f>
        <v/>
      </c>
      <c r="P26" s="101">
        <f>IF(Database!AV26="","(n/m or not derivable)",Database!AV26)</f>
        <v/>
      </c>
      <c r="Q26" s="24">
        <f>IF(Database!BA26="","",IFERROR(BDH(LEFT(Database!BA26,FIND(".",Database!BA26)-1)&amp;" CH Equity","PE_RATIO",Database!$H26,Database!$H26),""))</f>
        <v/>
      </c>
      <c r="R26" s="24">
        <f>IF(Database!BA26="","",IFERROR(BDH("HSAHP Index","PX_LAST",Database!$H26,Database!$H26),""))</f>
        <v/>
      </c>
    </row>
    <row r="27">
      <c r="A27" s="16">
        <f>Database!A27&amp;"  "&amp;Database!B27</f>
        <v/>
      </c>
      <c r="B27" s="10">
        <f>IFERROR(INDEX(BDS(Database!$A27&amp;" HK Equity","EQUITY_OFFERINGS","array=t","endcol=1"),MATCH("IPO",BDS(Database!$A27&amp;" HK Equity","EQUITY_OFFERINGS","array=t","startcol=2","endcol=2"),0)),"")</f>
        <v/>
      </c>
      <c r="C27" s="103">
        <f>IF($B27="","",IFERROR(BDP($B27&amp;" Action","CP036"),""))</f>
        <v/>
      </c>
      <c r="D27" s="104">
        <f>Database!S27</f>
        <v/>
      </c>
      <c r="E27" s="103">
        <f>IF($B27="","",IFERROR(BDP($B27&amp;" Action","CP037"),""))</f>
        <v/>
      </c>
      <c r="F27" s="104">
        <f>Database!T27</f>
        <v/>
      </c>
      <c r="G27" s="103">
        <f>IF($B27="","",IFERROR(BDP($B27&amp;" Action","GREENSHOE_FACILITY"),""))</f>
        <v/>
      </c>
      <c r="H27" s="103">
        <f>IF($B27="","",IFERROR(BDP($B27&amp;" Action","OFFERING_GREENSHOE_SHARES_EX"),""))</f>
        <v/>
      </c>
      <c r="I27" s="16">
        <f>Database!Z27</f>
        <v/>
      </c>
      <c r="J27" s="24">
        <f>IFERROR(BDP(Database!$A27&amp;" HK Equity","PE_RATIO"),"")</f>
        <v/>
      </c>
      <c r="K27" s="10">
        <f>IFERROR(BDP(Database!$A27&amp;" HK Equity","A/H_SHARE_CONVERSION"),"")</f>
        <v/>
      </c>
      <c r="L27" s="16">
        <f>IF(Database!BA27="","(none found)",Database!BA27)</f>
        <v/>
      </c>
      <c r="M27" s="18">
        <f>IFERROR(BDH(Database!$A27&amp;" HK Equity","CUR_MKT_CAP",Database!$H27,Database!$H27),"")</f>
        <v/>
      </c>
      <c r="N27" s="99">
        <f>Database!Q27</f>
        <v/>
      </c>
      <c r="O27" s="24">
        <f>IFERROR(BDH(Database!$A27&amp;" HK Equity","PE_RATIO",Database!$H27,Database!$H27),"")</f>
        <v/>
      </c>
      <c r="P27" s="101">
        <f>IF(Database!AV27="","(n/m or not derivable)",Database!AV27)</f>
        <v/>
      </c>
      <c r="Q27" s="24">
        <f>IF(Database!BA27="","",IFERROR(BDH(LEFT(Database!BA27,FIND(".",Database!BA27)-1)&amp;" CH Equity","PE_RATIO",Database!$H27,Database!$H27),""))</f>
        <v/>
      </c>
      <c r="R27" s="24">
        <f>IF(Database!BA27="","",IFERROR(BDH("HSAHP Index","PX_LAST",Database!$H27,Database!$H27),""))</f>
        <v/>
      </c>
    </row>
    <row r="28">
      <c r="A28" s="16">
        <f>Database!A28&amp;"  "&amp;Database!B28</f>
        <v/>
      </c>
      <c r="B28" s="10">
        <f>IFERROR(INDEX(BDS(Database!$A28&amp;" HK Equity","EQUITY_OFFERINGS","array=t","endcol=1"),MATCH("IPO",BDS(Database!$A28&amp;" HK Equity","EQUITY_OFFERINGS","array=t","startcol=2","endcol=2"),0)),"")</f>
        <v/>
      </c>
      <c r="C28" s="103">
        <f>IF($B28="","",IFERROR(BDP($B28&amp;" Action","CP036"),""))</f>
        <v/>
      </c>
      <c r="D28" s="104">
        <f>Database!S28</f>
        <v/>
      </c>
      <c r="E28" s="103">
        <f>IF($B28="","",IFERROR(BDP($B28&amp;" Action","CP037"),""))</f>
        <v/>
      </c>
      <c r="F28" s="104">
        <f>Database!T28</f>
        <v/>
      </c>
      <c r="G28" s="103">
        <f>IF($B28="","",IFERROR(BDP($B28&amp;" Action","GREENSHOE_FACILITY"),""))</f>
        <v/>
      </c>
      <c r="H28" s="103">
        <f>IF($B28="","",IFERROR(BDP($B28&amp;" Action","OFFERING_GREENSHOE_SHARES_EX"),""))</f>
        <v/>
      </c>
      <c r="I28" s="16">
        <f>Database!Z28</f>
        <v/>
      </c>
      <c r="J28" s="24">
        <f>IFERROR(BDP(Database!$A28&amp;" HK Equity","PE_RATIO"),"")</f>
        <v/>
      </c>
      <c r="K28" s="10">
        <f>IFERROR(BDP(Database!$A28&amp;" HK Equity","A/H_SHARE_CONVERSION"),"")</f>
        <v/>
      </c>
      <c r="L28" s="16">
        <f>IF(Database!BA28="","(none found)",Database!BA28)</f>
        <v/>
      </c>
      <c r="M28" s="18">
        <f>IFERROR(BDH(Database!$A28&amp;" HK Equity","CUR_MKT_CAP",Database!$H28,Database!$H28),"")</f>
        <v/>
      </c>
      <c r="N28" s="99">
        <f>Database!Q28</f>
        <v/>
      </c>
      <c r="O28" s="24">
        <f>IFERROR(BDH(Database!$A28&amp;" HK Equity","PE_RATIO",Database!$H28,Database!$H28),"")</f>
        <v/>
      </c>
      <c r="P28" s="101">
        <f>IF(Database!AV28="","(n/m or not derivable)",Database!AV28)</f>
        <v/>
      </c>
      <c r="Q28" s="24">
        <f>IF(Database!BA28="","",IFERROR(BDH(LEFT(Database!BA28,FIND(".",Database!BA28)-1)&amp;" CH Equity","PE_RATIO",Database!$H28,Database!$H28),""))</f>
        <v/>
      </c>
      <c r="R28" s="24">
        <f>IF(Database!BA28="","",IFERROR(BDH("HSAHP Index","PX_LAST",Database!$H28,Database!$H28),""))</f>
        <v/>
      </c>
    </row>
    <row r="29">
      <c r="A29" s="16">
        <f>Database!A29&amp;"  "&amp;Database!B29</f>
        <v/>
      </c>
      <c r="B29" s="10">
        <f>IFERROR(INDEX(BDS(Database!$A29&amp;" HK Equity","EQUITY_OFFERINGS","array=t","endcol=1"),MATCH("IPO",BDS(Database!$A29&amp;" HK Equity","EQUITY_OFFERINGS","array=t","startcol=2","endcol=2"),0)),"")</f>
        <v/>
      </c>
      <c r="C29" s="103">
        <f>IF($B29="","",IFERROR(BDP($B29&amp;" Action","CP036"),""))</f>
        <v/>
      </c>
      <c r="D29" s="104">
        <f>Database!S29</f>
        <v/>
      </c>
      <c r="E29" s="103">
        <f>IF($B29="","",IFERROR(BDP($B29&amp;" Action","CP037"),""))</f>
        <v/>
      </c>
      <c r="F29" s="104">
        <f>Database!T29</f>
        <v/>
      </c>
      <c r="G29" s="103">
        <f>IF($B29="","",IFERROR(BDP($B29&amp;" Action","GREENSHOE_FACILITY"),""))</f>
        <v/>
      </c>
      <c r="H29" s="103">
        <f>IF($B29="","",IFERROR(BDP($B29&amp;" Action","OFFERING_GREENSHOE_SHARES_EX"),""))</f>
        <v/>
      </c>
      <c r="I29" s="16">
        <f>Database!Z29</f>
        <v/>
      </c>
      <c r="J29" s="24">
        <f>IFERROR(BDP(Database!$A29&amp;" HK Equity","PE_RATIO"),"")</f>
        <v/>
      </c>
      <c r="K29" s="10">
        <f>IFERROR(BDP(Database!$A29&amp;" HK Equity","A/H_SHARE_CONVERSION"),"")</f>
        <v/>
      </c>
      <c r="L29" s="16">
        <f>IF(Database!BA29="","(none found)",Database!BA29)</f>
        <v/>
      </c>
      <c r="M29" s="18">
        <f>IFERROR(BDH(Database!$A29&amp;" HK Equity","CUR_MKT_CAP",Database!$H29,Database!$H29),"")</f>
        <v/>
      </c>
      <c r="N29" s="99">
        <f>Database!Q29</f>
        <v/>
      </c>
      <c r="O29" s="24">
        <f>IFERROR(BDH(Database!$A29&amp;" HK Equity","PE_RATIO",Database!$H29,Database!$H29),"")</f>
        <v/>
      </c>
      <c r="P29" s="101">
        <f>IF(Database!AV29="","(n/m or not derivable)",Database!AV29)</f>
        <v/>
      </c>
      <c r="Q29" s="24">
        <f>IF(Database!BA29="","",IFERROR(BDH(LEFT(Database!BA29,FIND(".",Database!BA29)-1)&amp;" CH Equity","PE_RATIO",Database!$H29,Database!$H29),""))</f>
        <v/>
      </c>
      <c r="R29" s="24">
        <f>IF(Database!BA29="","",IFERROR(BDH("HSAHP Index","PX_LAST",Database!$H29,Database!$H29),""))</f>
        <v/>
      </c>
    </row>
    <row r="30">
      <c r="A30" s="16">
        <f>Database!A30&amp;"  "&amp;Database!B30</f>
        <v/>
      </c>
      <c r="B30" s="10">
        <f>IFERROR(INDEX(BDS(Database!$A30&amp;" HK Equity","EQUITY_OFFERINGS","array=t","endcol=1"),MATCH("IPO",BDS(Database!$A30&amp;" HK Equity","EQUITY_OFFERINGS","array=t","startcol=2","endcol=2"),0)),"")</f>
        <v/>
      </c>
      <c r="C30" s="103">
        <f>IF($B30="","",IFERROR(BDP($B30&amp;" Action","CP036"),""))</f>
        <v/>
      </c>
      <c r="D30" s="104">
        <f>Database!S30</f>
        <v/>
      </c>
      <c r="E30" s="103">
        <f>IF($B30="","",IFERROR(BDP($B30&amp;" Action","CP037"),""))</f>
        <v/>
      </c>
      <c r="F30" s="104">
        <f>Database!T30</f>
        <v/>
      </c>
      <c r="G30" s="103">
        <f>IF($B30="","",IFERROR(BDP($B30&amp;" Action","GREENSHOE_FACILITY"),""))</f>
        <v/>
      </c>
      <c r="H30" s="103">
        <f>IF($B30="","",IFERROR(BDP($B30&amp;" Action","OFFERING_GREENSHOE_SHARES_EX"),""))</f>
        <v/>
      </c>
      <c r="I30" s="16">
        <f>Database!Z30</f>
        <v/>
      </c>
      <c r="J30" s="24">
        <f>IFERROR(BDP(Database!$A30&amp;" HK Equity","PE_RATIO"),"")</f>
        <v/>
      </c>
      <c r="K30" s="10">
        <f>IFERROR(BDP(Database!$A30&amp;" HK Equity","A/H_SHARE_CONVERSION"),"")</f>
        <v/>
      </c>
      <c r="L30" s="16">
        <f>IF(Database!BA30="","(none found)",Database!BA30)</f>
        <v/>
      </c>
      <c r="M30" s="18">
        <f>IFERROR(BDH(Database!$A30&amp;" HK Equity","CUR_MKT_CAP",Database!$H30,Database!$H30),"")</f>
        <v/>
      </c>
      <c r="N30" s="99">
        <f>Database!Q30</f>
        <v/>
      </c>
      <c r="O30" s="24">
        <f>IFERROR(BDH(Database!$A30&amp;" HK Equity","PE_RATIO",Database!$H30,Database!$H30),"")</f>
        <v/>
      </c>
      <c r="P30" s="101">
        <f>IF(Database!AV30="","(n/m or not derivable)",Database!AV30)</f>
        <v/>
      </c>
      <c r="Q30" s="24">
        <f>IF(Database!BA30="","",IFERROR(BDH(LEFT(Database!BA30,FIND(".",Database!BA30)-1)&amp;" CH Equity","PE_RATIO",Database!$H30,Database!$H30),""))</f>
        <v/>
      </c>
      <c r="R30" s="24">
        <f>IF(Database!BA30="","",IFERROR(BDH("HSAHP Index","PX_LAST",Database!$H30,Database!$H30),""))</f>
        <v/>
      </c>
    </row>
    <row r="31">
      <c r="A31" s="16">
        <f>Database!A31&amp;"  "&amp;Database!B31</f>
        <v/>
      </c>
      <c r="B31" s="10">
        <f>IFERROR(INDEX(BDS(Database!$A31&amp;" HK Equity","EQUITY_OFFERINGS","array=t","endcol=1"),MATCH("IPO",BDS(Database!$A31&amp;" HK Equity","EQUITY_OFFERINGS","array=t","startcol=2","endcol=2"),0)),"")</f>
        <v/>
      </c>
      <c r="C31" s="103">
        <f>IF($B31="","",IFERROR(BDP($B31&amp;" Action","CP036"),""))</f>
        <v/>
      </c>
      <c r="D31" s="104">
        <f>Database!S31</f>
        <v/>
      </c>
      <c r="E31" s="103">
        <f>IF($B31="","",IFERROR(BDP($B31&amp;" Action","CP037"),""))</f>
        <v/>
      </c>
      <c r="F31" s="104">
        <f>Database!T31</f>
        <v/>
      </c>
      <c r="G31" s="103">
        <f>IF($B31="","",IFERROR(BDP($B31&amp;" Action","GREENSHOE_FACILITY"),""))</f>
        <v/>
      </c>
      <c r="H31" s="103">
        <f>IF($B31="","",IFERROR(BDP($B31&amp;" Action","OFFERING_GREENSHOE_SHARES_EX"),""))</f>
        <v/>
      </c>
      <c r="I31" s="16">
        <f>Database!Z31</f>
        <v/>
      </c>
      <c r="J31" s="24">
        <f>IFERROR(BDP(Database!$A31&amp;" HK Equity","PE_RATIO"),"")</f>
        <v/>
      </c>
      <c r="K31" s="10">
        <f>IFERROR(BDP(Database!$A31&amp;" HK Equity","A/H_SHARE_CONVERSION"),"")</f>
        <v/>
      </c>
      <c r="L31" s="16">
        <f>IF(Database!BA31="","(none found)",Database!BA31)</f>
        <v/>
      </c>
      <c r="M31" s="18">
        <f>IFERROR(BDH(Database!$A31&amp;" HK Equity","CUR_MKT_CAP",Database!$H31,Database!$H31),"")</f>
        <v/>
      </c>
      <c r="N31" s="99">
        <f>Database!Q31</f>
        <v/>
      </c>
      <c r="O31" s="24">
        <f>IFERROR(BDH(Database!$A31&amp;" HK Equity","PE_RATIO",Database!$H31,Database!$H31),"")</f>
        <v/>
      </c>
      <c r="P31" s="101">
        <f>IF(Database!AV31="","(n/m or not derivable)",Database!AV31)</f>
        <v/>
      </c>
      <c r="Q31" s="24">
        <f>IF(Database!BA31="","",IFERROR(BDH(LEFT(Database!BA31,FIND(".",Database!BA31)-1)&amp;" CH Equity","PE_RATIO",Database!$H31,Database!$H31),""))</f>
        <v/>
      </c>
      <c r="R31" s="24">
        <f>IF(Database!BA31="","",IFERROR(BDH("HSAHP Index","PX_LAST",Database!$H31,Database!$H31),""))</f>
        <v/>
      </c>
    </row>
    <row r="32">
      <c r="A32" s="16">
        <f>Database!A32&amp;"  "&amp;Database!B32</f>
        <v/>
      </c>
      <c r="B32" s="10">
        <f>IFERROR(INDEX(BDS(Database!$A32&amp;" HK Equity","EQUITY_OFFERINGS","array=t","endcol=1"),MATCH("IPO",BDS(Database!$A32&amp;" HK Equity","EQUITY_OFFERINGS","array=t","startcol=2","endcol=2"),0)),"")</f>
        <v/>
      </c>
      <c r="C32" s="103">
        <f>IF($B32="","",IFERROR(BDP($B32&amp;" Action","CP036"),""))</f>
        <v/>
      </c>
      <c r="D32" s="104">
        <f>Database!S32</f>
        <v/>
      </c>
      <c r="E32" s="103">
        <f>IF($B32="","",IFERROR(BDP($B32&amp;" Action","CP037"),""))</f>
        <v/>
      </c>
      <c r="F32" s="104">
        <f>Database!T32</f>
        <v/>
      </c>
      <c r="G32" s="103">
        <f>IF($B32="","",IFERROR(BDP($B32&amp;" Action","GREENSHOE_FACILITY"),""))</f>
        <v/>
      </c>
      <c r="H32" s="103">
        <f>IF($B32="","",IFERROR(BDP($B32&amp;" Action","OFFERING_GREENSHOE_SHARES_EX"),""))</f>
        <v/>
      </c>
      <c r="I32" s="16">
        <f>Database!Z32</f>
        <v/>
      </c>
      <c r="J32" s="24">
        <f>IFERROR(BDP(Database!$A32&amp;" HK Equity","PE_RATIO"),"")</f>
        <v/>
      </c>
      <c r="K32" s="10">
        <f>IFERROR(BDP(Database!$A32&amp;" HK Equity","A/H_SHARE_CONVERSION"),"")</f>
        <v/>
      </c>
      <c r="L32" s="16">
        <f>IF(Database!BA32="","(none found)",Database!BA32)</f>
        <v/>
      </c>
      <c r="M32" s="18">
        <f>IFERROR(BDH(Database!$A32&amp;" HK Equity","CUR_MKT_CAP",Database!$H32,Database!$H32),"")</f>
        <v/>
      </c>
      <c r="N32" s="99">
        <f>Database!Q32</f>
        <v/>
      </c>
      <c r="O32" s="24">
        <f>IFERROR(BDH(Database!$A32&amp;" HK Equity","PE_RATIO",Database!$H32,Database!$H32),"")</f>
        <v/>
      </c>
      <c r="P32" s="101">
        <f>IF(Database!AV32="","(n/m or not derivable)",Database!AV32)</f>
        <v/>
      </c>
      <c r="Q32" s="24">
        <f>IF(Database!BA32="","",IFERROR(BDH(LEFT(Database!BA32,FIND(".",Database!BA32)-1)&amp;" CH Equity","PE_RATIO",Database!$H32,Database!$H32),""))</f>
        <v/>
      </c>
      <c r="R32" s="24">
        <f>IF(Database!BA32="","",IFERROR(BDH("HSAHP Index","PX_LAST",Database!$H32,Database!$H32),""))</f>
        <v/>
      </c>
    </row>
    <row r="33">
      <c r="A33" s="16">
        <f>Database!A33&amp;"  "&amp;Database!B33</f>
        <v/>
      </c>
      <c r="B33" s="10">
        <f>IFERROR(INDEX(BDS(Database!$A33&amp;" HK Equity","EQUITY_OFFERINGS","array=t","endcol=1"),MATCH("IPO",BDS(Database!$A33&amp;" HK Equity","EQUITY_OFFERINGS","array=t","startcol=2","endcol=2"),0)),"")</f>
        <v/>
      </c>
      <c r="C33" s="103">
        <f>IF($B33="","",IFERROR(BDP($B33&amp;" Action","CP036"),""))</f>
        <v/>
      </c>
      <c r="D33" s="104">
        <f>Database!S33</f>
        <v/>
      </c>
      <c r="E33" s="103">
        <f>IF($B33="","",IFERROR(BDP($B33&amp;" Action","CP037"),""))</f>
        <v/>
      </c>
      <c r="F33" s="104">
        <f>Database!T33</f>
        <v/>
      </c>
      <c r="G33" s="103">
        <f>IF($B33="","",IFERROR(BDP($B33&amp;" Action","GREENSHOE_FACILITY"),""))</f>
        <v/>
      </c>
      <c r="H33" s="103">
        <f>IF($B33="","",IFERROR(BDP($B33&amp;" Action","OFFERING_GREENSHOE_SHARES_EX"),""))</f>
        <v/>
      </c>
      <c r="I33" s="16">
        <f>Database!Z33</f>
        <v/>
      </c>
      <c r="J33" s="24">
        <f>IFERROR(BDP(Database!$A33&amp;" HK Equity","PE_RATIO"),"")</f>
        <v/>
      </c>
      <c r="K33" s="10">
        <f>IFERROR(BDP(Database!$A33&amp;" HK Equity","A/H_SHARE_CONVERSION"),"")</f>
        <v/>
      </c>
      <c r="L33" s="16">
        <f>IF(Database!BA33="","(none found)",Database!BA33)</f>
        <v/>
      </c>
      <c r="M33" s="18">
        <f>IFERROR(BDH(Database!$A33&amp;" HK Equity","CUR_MKT_CAP",Database!$H33,Database!$H33),"")</f>
        <v/>
      </c>
      <c r="N33" s="99">
        <f>Database!Q33</f>
        <v/>
      </c>
      <c r="O33" s="24">
        <f>IFERROR(BDH(Database!$A33&amp;" HK Equity","PE_RATIO",Database!$H33,Database!$H33),"")</f>
        <v/>
      </c>
      <c r="P33" s="101">
        <f>IF(Database!AV33="","(n/m or not derivable)",Database!AV33)</f>
        <v/>
      </c>
      <c r="Q33" s="24">
        <f>IF(Database!BA33="","",IFERROR(BDH(LEFT(Database!BA33,FIND(".",Database!BA33)-1)&amp;" CH Equity","PE_RATIO",Database!$H33,Database!$H33),""))</f>
        <v/>
      </c>
      <c r="R33" s="24">
        <f>IF(Database!BA33="","",IFERROR(BDH("HSAHP Index","PX_LAST",Database!$H33,Database!$H33),""))</f>
        <v/>
      </c>
    </row>
    <row r="34">
      <c r="A34" s="16">
        <f>Database!A34&amp;"  "&amp;Database!B34</f>
        <v/>
      </c>
      <c r="B34" s="10">
        <f>IFERROR(INDEX(BDS(Database!$A34&amp;" HK Equity","EQUITY_OFFERINGS","array=t","endcol=1"),MATCH("IPO",BDS(Database!$A34&amp;" HK Equity","EQUITY_OFFERINGS","array=t","startcol=2","endcol=2"),0)),"")</f>
        <v/>
      </c>
      <c r="C34" s="103">
        <f>IF($B34="","",IFERROR(BDP($B34&amp;" Action","CP036"),""))</f>
        <v/>
      </c>
      <c r="D34" s="104">
        <f>Database!S34</f>
        <v/>
      </c>
      <c r="E34" s="103">
        <f>IF($B34="","",IFERROR(BDP($B34&amp;" Action","CP037"),""))</f>
        <v/>
      </c>
      <c r="F34" s="104">
        <f>Database!T34</f>
        <v/>
      </c>
      <c r="G34" s="103">
        <f>IF($B34="","",IFERROR(BDP($B34&amp;" Action","GREENSHOE_FACILITY"),""))</f>
        <v/>
      </c>
      <c r="H34" s="103">
        <f>IF($B34="","",IFERROR(BDP($B34&amp;" Action","OFFERING_GREENSHOE_SHARES_EX"),""))</f>
        <v/>
      </c>
      <c r="I34" s="16">
        <f>Database!Z34</f>
        <v/>
      </c>
      <c r="J34" s="24">
        <f>IFERROR(BDP(Database!$A34&amp;" HK Equity","PE_RATIO"),"")</f>
        <v/>
      </c>
      <c r="K34" s="10">
        <f>IFERROR(BDP(Database!$A34&amp;" HK Equity","A/H_SHARE_CONVERSION"),"")</f>
        <v/>
      </c>
      <c r="L34" s="16">
        <f>IF(Database!BA34="","(none found)",Database!BA34)</f>
        <v/>
      </c>
      <c r="M34" s="18">
        <f>IFERROR(BDH(Database!$A34&amp;" HK Equity","CUR_MKT_CAP",Database!$H34,Database!$H34),"")</f>
        <v/>
      </c>
      <c r="N34" s="99">
        <f>Database!Q34</f>
        <v/>
      </c>
      <c r="O34" s="24">
        <f>IFERROR(BDH(Database!$A34&amp;" HK Equity","PE_RATIO",Database!$H34,Database!$H34),"")</f>
        <v/>
      </c>
      <c r="P34" s="101">
        <f>IF(Database!AV34="","(n/m or not derivable)",Database!AV34)</f>
        <v/>
      </c>
      <c r="Q34" s="24">
        <f>IF(Database!BA34="","",IFERROR(BDH(LEFT(Database!BA34,FIND(".",Database!BA34)-1)&amp;" CH Equity","PE_RATIO",Database!$H34,Database!$H34),""))</f>
        <v/>
      </c>
      <c r="R34" s="24">
        <f>IF(Database!BA34="","",IFERROR(BDH("HSAHP Index","PX_LAST",Database!$H34,Database!$H34),""))</f>
        <v/>
      </c>
    </row>
    <row r="35">
      <c r="A35" s="16">
        <f>Database!A35&amp;"  "&amp;Database!B35</f>
        <v/>
      </c>
      <c r="B35" s="10">
        <f>IFERROR(INDEX(BDS(Database!$A35&amp;" HK Equity","EQUITY_OFFERINGS","array=t","endcol=1"),MATCH("IPO",BDS(Database!$A35&amp;" HK Equity","EQUITY_OFFERINGS","array=t","startcol=2","endcol=2"),0)),"")</f>
        <v/>
      </c>
      <c r="C35" s="103">
        <f>IF($B35="","",IFERROR(BDP($B35&amp;" Action","CP036"),""))</f>
        <v/>
      </c>
      <c r="D35" s="104">
        <f>Database!S35</f>
        <v/>
      </c>
      <c r="E35" s="103">
        <f>IF($B35="","",IFERROR(BDP($B35&amp;" Action","CP037"),""))</f>
        <v/>
      </c>
      <c r="F35" s="104">
        <f>Database!T35</f>
        <v/>
      </c>
      <c r="G35" s="103">
        <f>IF($B35="","",IFERROR(BDP($B35&amp;" Action","GREENSHOE_FACILITY"),""))</f>
        <v/>
      </c>
      <c r="H35" s="103">
        <f>IF($B35="","",IFERROR(BDP($B35&amp;" Action","OFFERING_GREENSHOE_SHARES_EX"),""))</f>
        <v/>
      </c>
      <c r="I35" s="16">
        <f>Database!Z35</f>
        <v/>
      </c>
      <c r="J35" s="24">
        <f>IFERROR(BDP(Database!$A35&amp;" HK Equity","PE_RATIO"),"")</f>
        <v/>
      </c>
      <c r="K35" s="10">
        <f>IFERROR(BDP(Database!$A35&amp;" HK Equity","A/H_SHARE_CONVERSION"),"")</f>
        <v/>
      </c>
      <c r="L35" s="16">
        <f>IF(Database!BA35="","(none found)",Database!BA35)</f>
        <v/>
      </c>
      <c r="M35" s="18">
        <f>IFERROR(BDH(Database!$A35&amp;" HK Equity","CUR_MKT_CAP",Database!$H35,Database!$H35),"")</f>
        <v/>
      </c>
      <c r="N35" s="99">
        <f>Database!Q35</f>
        <v/>
      </c>
      <c r="O35" s="24">
        <f>IFERROR(BDH(Database!$A35&amp;" HK Equity","PE_RATIO",Database!$H35,Database!$H35),"")</f>
        <v/>
      </c>
      <c r="P35" s="101">
        <f>IF(Database!AV35="","(n/m or not derivable)",Database!AV35)</f>
        <v/>
      </c>
      <c r="Q35" s="24">
        <f>IF(Database!BA35="","",IFERROR(BDH(LEFT(Database!BA35,FIND(".",Database!BA35)-1)&amp;" CH Equity","PE_RATIO",Database!$H35,Database!$H35),""))</f>
        <v/>
      </c>
      <c r="R35" s="24">
        <f>IF(Database!BA35="","",IFERROR(BDH("HSAHP Index","PX_LAST",Database!$H35,Database!$H35),""))</f>
        <v/>
      </c>
    </row>
    <row r="36">
      <c r="A36" s="16">
        <f>Database!A36&amp;"  "&amp;Database!B36</f>
        <v/>
      </c>
      <c r="B36" s="10">
        <f>IFERROR(INDEX(BDS(Database!$A36&amp;" HK Equity","EQUITY_OFFERINGS","array=t","endcol=1"),MATCH("IPO",BDS(Database!$A36&amp;" HK Equity","EQUITY_OFFERINGS","array=t","startcol=2","endcol=2"),0)),"")</f>
        <v/>
      </c>
      <c r="C36" s="103">
        <f>IF($B36="","",IFERROR(BDP($B36&amp;" Action","CP036"),""))</f>
        <v/>
      </c>
      <c r="D36" s="104">
        <f>Database!S36</f>
        <v/>
      </c>
      <c r="E36" s="103">
        <f>IF($B36="","",IFERROR(BDP($B36&amp;" Action","CP037"),""))</f>
        <v/>
      </c>
      <c r="F36" s="104">
        <f>Database!T36</f>
        <v/>
      </c>
      <c r="G36" s="103">
        <f>IF($B36="","",IFERROR(BDP($B36&amp;" Action","GREENSHOE_FACILITY"),""))</f>
        <v/>
      </c>
      <c r="H36" s="103">
        <f>IF($B36="","",IFERROR(BDP($B36&amp;" Action","OFFERING_GREENSHOE_SHARES_EX"),""))</f>
        <v/>
      </c>
      <c r="I36" s="16">
        <f>Database!Z36</f>
        <v/>
      </c>
      <c r="J36" s="24">
        <f>IFERROR(BDP(Database!$A36&amp;" HK Equity","PE_RATIO"),"")</f>
        <v/>
      </c>
      <c r="K36" s="10">
        <f>IFERROR(BDP(Database!$A36&amp;" HK Equity","A/H_SHARE_CONVERSION"),"")</f>
        <v/>
      </c>
      <c r="L36" s="16">
        <f>IF(Database!BA36="","(none found)",Database!BA36)</f>
        <v/>
      </c>
      <c r="M36" s="18">
        <f>IFERROR(BDH(Database!$A36&amp;" HK Equity","CUR_MKT_CAP",Database!$H36,Database!$H36),"")</f>
        <v/>
      </c>
      <c r="N36" s="99">
        <f>Database!Q36</f>
        <v/>
      </c>
      <c r="O36" s="24">
        <f>IFERROR(BDH(Database!$A36&amp;" HK Equity","PE_RATIO",Database!$H36,Database!$H36),"")</f>
        <v/>
      </c>
      <c r="P36" s="101">
        <f>IF(Database!AV36="","(n/m or not derivable)",Database!AV36)</f>
        <v/>
      </c>
      <c r="Q36" s="24">
        <f>IF(Database!BA36="","",IFERROR(BDH(LEFT(Database!BA36,FIND(".",Database!BA36)-1)&amp;" CH Equity","PE_RATIO",Database!$H36,Database!$H36),""))</f>
        <v/>
      </c>
      <c r="R36" s="24">
        <f>IF(Database!BA36="","",IFERROR(BDH("HSAHP Index","PX_LAST",Database!$H36,Database!$H36),""))</f>
        <v/>
      </c>
    </row>
    <row r="37">
      <c r="A37" s="16">
        <f>Database!A37&amp;"  "&amp;Database!B37</f>
        <v/>
      </c>
      <c r="B37" s="10">
        <f>IFERROR(INDEX(BDS(Database!$A37&amp;" HK Equity","EQUITY_OFFERINGS","array=t","endcol=1"),MATCH("IPO",BDS(Database!$A37&amp;" HK Equity","EQUITY_OFFERINGS","array=t","startcol=2","endcol=2"),0)),"")</f>
        <v/>
      </c>
      <c r="C37" s="103">
        <f>IF($B37="","",IFERROR(BDP($B37&amp;" Action","CP036"),""))</f>
        <v/>
      </c>
      <c r="D37" s="104">
        <f>Database!S37</f>
        <v/>
      </c>
      <c r="E37" s="103">
        <f>IF($B37="","",IFERROR(BDP($B37&amp;" Action","CP037"),""))</f>
        <v/>
      </c>
      <c r="F37" s="104">
        <f>Database!T37</f>
        <v/>
      </c>
      <c r="G37" s="103">
        <f>IF($B37="","",IFERROR(BDP($B37&amp;" Action","GREENSHOE_FACILITY"),""))</f>
        <v/>
      </c>
      <c r="H37" s="103">
        <f>IF($B37="","",IFERROR(BDP($B37&amp;" Action","OFFERING_GREENSHOE_SHARES_EX"),""))</f>
        <v/>
      </c>
      <c r="I37" s="16">
        <f>Database!Z37</f>
        <v/>
      </c>
      <c r="J37" s="24">
        <f>IFERROR(BDP(Database!$A37&amp;" HK Equity","PE_RATIO"),"")</f>
        <v/>
      </c>
      <c r="K37" s="10">
        <f>IFERROR(BDP(Database!$A37&amp;" HK Equity","A/H_SHARE_CONVERSION"),"")</f>
        <v/>
      </c>
      <c r="L37" s="16">
        <f>IF(Database!BA37="","(none found)",Database!BA37)</f>
        <v/>
      </c>
      <c r="M37" s="18">
        <f>IFERROR(BDH(Database!$A37&amp;" HK Equity","CUR_MKT_CAP",Database!$H37,Database!$H37),"")</f>
        <v/>
      </c>
      <c r="N37" s="99">
        <f>Database!Q37</f>
        <v/>
      </c>
      <c r="O37" s="24">
        <f>IFERROR(BDH(Database!$A37&amp;" HK Equity","PE_RATIO",Database!$H37,Database!$H37),"")</f>
        <v/>
      </c>
      <c r="P37" s="101">
        <f>IF(Database!AV37="","(n/m or not derivable)",Database!AV37)</f>
        <v/>
      </c>
      <c r="Q37" s="24">
        <f>IF(Database!BA37="","",IFERROR(BDH(LEFT(Database!BA37,FIND(".",Database!BA37)-1)&amp;" CH Equity","PE_RATIO",Database!$H37,Database!$H37),""))</f>
        <v/>
      </c>
      <c r="R37" s="24">
        <f>IF(Database!BA37="","",IFERROR(BDH("HSAHP Index","PX_LAST",Database!$H37,Database!$H37),""))</f>
        <v/>
      </c>
    </row>
    <row r="38">
      <c r="A38" s="16">
        <f>Database!A38&amp;"  "&amp;Database!B38</f>
        <v/>
      </c>
      <c r="B38" s="10">
        <f>IFERROR(INDEX(BDS(Database!$A38&amp;" HK Equity","EQUITY_OFFERINGS","array=t","endcol=1"),MATCH("IPO",BDS(Database!$A38&amp;" HK Equity","EQUITY_OFFERINGS","array=t","startcol=2","endcol=2"),0)),"")</f>
        <v/>
      </c>
      <c r="C38" s="103">
        <f>IF($B38="","",IFERROR(BDP($B38&amp;" Action","CP036"),""))</f>
        <v/>
      </c>
      <c r="D38" s="104">
        <f>Database!S38</f>
        <v/>
      </c>
      <c r="E38" s="103">
        <f>IF($B38="","",IFERROR(BDP($B38&amp;" Action","CP037"),""))</f>
        <v/>
      </c>
      <c r="F38" s="104">
        <f>Database!T38</f>
        <v/>
      </c>
      <c r="G38" s="103">
        <f>IF($B38="","",IFERROR(BDP($B38&amp;" Action","GREENSHOE_FACILITY"),""))</f>
        <v/>
      </c>
      <c r="H38" s="103">
        <f>IF($B38="","",IFERROR(BDP($B38&amp;" Action","OFFERING_GREENSHOE_SHARES_EX"),""))</f>
        <v/>
      </c>
      <c r="I38" s="16">
        <f>Database!Z38</f>
        <v/>
      </c>
      <c r="J38" s="24">
        <f>IFERROR(BDP(Database!$A38&amp;" HK Equity","PE_RATIO"),"")</f>
        <v/>
      </c>
      <c r="K38" s="10">
        <f>IFERROR(BDP(Database!$A38&amp;" HK Equity","A/H_SHARE_CONVERSION"),"")</f>
        <v/>
      </c>
      <c r="L38" s="16">
        <f>IF(Database!BA38="","(none found)",Database!BA38)</f>
        <v/>
      </c>
      <c r="M38" s="18">
        <f>IFERROR(BDH(Database!$A38&amp;" HK Equity","CUR_MKT_CAP",Database!$H38,Database!$H38),"")</f>
        <v/>
      </c>
      <c r="N38" s="99">
        <f>Database!Q38</f>
        <v/>
      </c>
      <c r="O38" s="24">
        <f>IFERROR(BDH(Database!$A38&amp;" HK Equity","PE_RATIO",Database!$H38,Database!$H38),"")</f>
        <v/>
      </c>
      <c r="P38" s="101">
        <f>IF(Database!AV38="","(n/m or not derivable)",Database!AV38)</f>
        <v/>
      </c>
      <c r="Q38" s="24">
        <f>IF(Database!BA38="","",IFERROR(BDH(LEFT(Database!BA38,FIND(".",Database!BA38)-1)&amp;" CH Equity","PE_RATIO",Database!$H38,Database!$H38),""))</f>
        <v/>
      </c>
      <c r="R38" s="24">
        <f>IF(Database!BA38="","",IFERROR(BDH("HSAHP Index","PX_LAST",Database!$H38,Database!$H38),""))</f>
        <v/>
      </c>
    </row>
    <row r="39">
      <c r="A39" s="16">
        <f>Database!A39&amp;"  "&amp;Database!B39</f>
        <v/>
      </c>
      <c r="B39" s="10">
        <f>IFERROR(INDEX(BDS(Database!$A39&amp;" HK Equity","EQUITY_OFFERINGS","array=t","endcol=1"),MATCH("IPO",BDS(Database!$A39&amp;" HK Equity","EQUITY_OFFERINGS","array=t","startcol=2","endcol=2"),0)),"")</f>
        <v/>
      </c>
      <c r="C39" s="103">
        <f>IF($B39="","",IFERROR(BDP($B39&amp;" Action","CP036"),""))</f>
        <v/>
      </c>
      <c r="D39" s="104">
        <f>Database!S39</f>
        <v/>
      </c>
      <c r="E39" s="103">
        <f>IF($B39="","",IFERROR(BDP($B39&amp;" Action","CP037"),""))</f>
        <v/>
      </c>
      <c r="F39" s="104">
        <f>Database!T39</f>
        <v/>
      </c>
      <c r="G39" s="103">
        <f>IF($B39="","",IFERROR(BDP($B39&amp;" Action","GREENSHOE_FACILITY"),""))</f>
        <v/>
      </c>
      <c r="H39" s="103">
        <f>IF($B39="","",IFERROR(BDP($B39&amp;" Action","OFFERING_GREENSHOE_SHARES_EX"),""))</f>
        <v/>
      </c>
      <c r="I39" s="16">
        <f>Database!Z39</f>
        <v/>
      </c>
      <c r="J39" s="24">
        <f>IFERROR(BDP(Database!$A39&amp;" HK Equity","PE_RATIO"),"")</f>
        <v/>
      </c>
      <c r="K39" s="10">
        <f>IFERROR(BDP(Database!$A39&amp;" HK Equity","A/H_SHARE_CONVERSION"),"")</f>
        <v/>
      </c>
      <c r="L39" s="16">
        <f>IF(Database!BA39="","(none found)",Database!BA39)</f>
        <v/>
      </c>
      <c r="M39" s="18">
        <f>IFERROR(BDH(Database!$A39&amp;" HK Equity","CUR_MKT_CAP",Database!$H39,Database!$H39),"")</f>
        <v/>
      </c>
      <c r="N39" s="99">
        <f>Database!Q39</f>
        <v/>
      </c>
      <c r="O39" s="24">
        <f>IFERROR(BDH(Database!$A39&amp;" HK Equity","PE_RATIO",Database!$H39,Database!$H39),"")</f>
        <v/>
      </c>
      <c r="P39" s="101">
        <f>IF(Database!AV39="","(n/m or not derivable)",Database!AV39)</f>
        <v/>
      </c>
      <c r="Q39" s="24">
        <f>IF(Database!BA39="","",IFERROR(BDH(LEFT(Database!BA39,FIND(".",Database!BA39)-1)&amp;" CH Equity","PE_RATIO",Database!$H39,Database!$H39),""))</f>
        <v/>
      </c>
      <c r="R39" s="24">
        <f>IF(Database!BA39="","",IFERROR(BDH("HSAHP Index","PX_LAST",Database!$H39,Database!$H39),""))</f>
        <v/>
      </c>
    </row>
    <row r="40">
      <c r="A40" s="16">
        <f>Database!A40&amp;"  "&amp;Database!B40</f>
        <v/>
      </c>
      <c r="B40" s="10">
        <f>IFERROR(INDEX(BDS(Database!$A40&amp;" HK Equity","EQUITY_OFFERINGS","array=t","endcol=1"),MATCH("IPO",BDS(Database!$A40&amp;" HK Equity","EQUITY_OFFERINGS","array=t","startcol=2","endcol=2"),0)),"")</f>
        <v/>
      </c>
      <c r="C40" s="103">
        <f>IF($B40="","",IFERROR(BDP($B40&amp;" Action","CP036"),""))</f>
        <v/>
      </c>
      <c r="D40" s="104">
        <f>Database!S40</f>
        <v/>
      </c>
      <c r="E40" s="103">
        <f>IF($B40="","",IFERROR(BDP($B40&amp;" Action","CP037"),""))</f>
        <v/>
      </c>
      <c r="F40" s="104">
        <f>Database!T40</f>
        <v/>
      </c>
      <c r="G40" s="103">
        <f>IF($B40="","",IFERROR(BDP($B40&amp;" Action","GREENSHOE_FACILITY"),""))</f>
        <v/>
      </c>
      <c r="H40" s="103">
        <f>IF($B40="","",IFERROR(BDP($B40&amp;" Action","OFFERING_GREENSHOE_SHARES_EX"),""))</f>
        <v/>
      </c>
      <c r="I40" s="16">
        <f>Database!Z40</f>
        <v/>
      </c>
      <c r="J40" s="24">
        <f>IFERROR(BDP(Database!$A40&amp;" HK Equity","PE_RATIO"),"")</f>
        <v/>
      </c>
      <c r="K40" s="10">
        <f>IFERROR(BDP(Database!$A40&amp;" HK Equity","A/H_SHARE_CONVERSION"),"")</f>
        <v/>
      </c>
      <c r="L40" s="16">
        <f>IF(Database!BA40="","(none found)",Database!BA40)</f>
        <v/>
      </c>
      <c r="M40" s="18">
        <f>IFERROR(BDH(Database!$A40&amp;" HK Equity","CUR_MKT_CAP",Database!$H40,Database!$H40),"")</f>
        <v/>
      </c>
      <c r="N40" s="99">
        <f>Database!Q40</f>
        <v/>
      </c>
      <c r="O40" s="24">
        <f>IFERROR(BDH(Database!$A40&amp;" HK Equity","PE_RATIO",Database!$H40,Database!$H40),"")</f>
        <v/>
      </c>
      <c r="P40" s="101">
        <f>IF(Database!AV40="","(n/m or not derivable)",Database!AV40)</f>
        <v/>
      </c>
      <c r="Q40" s="24">
        <f>IF(Database!BA40="","",IFERROR(BDH(LEFT(Database!BA40,FIND(".",Database!BA40)-1)&amp;" CH Equity","PE_RATIO",Database!$H40,Database!$H40),""))</f>
        <v/>
      </c>
      <c r="R40" s="24">
        <f>IF(Database!BA40="","",IFERROR(BDH("HSAHP Index","PX_LAST",Database!$H40,Database!$H40),""))</f>
        <v/>
      </c>
    </row>
    <row r="41">
      <c r="A41" s="16">
        <f>Database!A41&amp;"  "&amp;Database!B41</f>
        <v/>
      </c>
      <c r="B41" s="10">
        <f>IFERROR(INDEX(BDS(Database!$A41&amp;" HK Equity","EQUITY_OFFERINGS","array=t","endcol=1"),MATCH("IPO",BDS(Database!$A41&amp;" HK Equity","EQUITY_OFFERINGS","array=t","startcol=2","endcol=2"),0)),"")</f>
        <v/>
      </c>
      <c r="C41" s="103">
        <f>IF($B41="","",IFERROR(BDP($B41&amp;" Action","CP036"),""))</f>
        <v/>
      </c>
      <c r="D41" s="104">
        <f>Database!S41</f>
        <v/>
      </c>
      <c r="E41" s="103">
        <f>IF($B41="","",IFERROR(BDP($B41&amp;" Action","CP037"),""))</f>
        <v/>
      </c>
      <c r="F41" s="104">
        <f>Database!T41</f>
        <v/>
      </c>
      <c r="G41" s="103">
        <f>IF($B41="","",IFERROR(BDP($B41&amp;" Action","GREENSHOE_FACILITY"),""))</f>
        <v/>
      </c>
      <c r="H41" s="103">
        <f>IF($B41="","",IFERROR(BDP($B41&amp;" Action","OFFERING_GREENSHOE_SHARES_EX"),""))</f>
        <v/>
      </c>
      <c r="I41" s="16">
        <f>Database!Z41</f>
        <v/>
      </c>
      <c r="J41" s="24">
        <f>IFERROR(BDP(Database!$A41&amp;" HK Equity","PE_RATIO"),"")</f>
        <v/>
      </c>
      <c r="K41" s="10">
        <f>IFERROR(BDP(Database!$A41&amp;" HK Equity","A/H_SHARE_CONVERSION"),"")</f>
        <v/>
      </c>
      <c r="L41" s="16">
        <f>IF(Database!BA41="","(none found)",Database!BA41)</f>
        <v/>
      </c>
      <c r="M41" s="18">
        <f>IFERROR(BDH(Database!$A41&amp;" HK Equity","CUR_MKT_CAP",Database!$H41,Database!$H41),"")</f>
        <v/>
      </c>
      <c r="N41" s="99">
        <f>Database!Q41</f>
        <v/>
      </c>
      <c r="O41" s="24">
        <f>IFERROR(BDH(Database!$A41&amp;" HK Equity","PE_RATIO",Database!$H41,Database!$H41),"")</f>
        <v/>
      </c>
      <c r="P41" s="101">
        <f>IF(Database!AV41="","(n/m or not derivable)",Database!AV41)</f>
        <v/>
      </c>
      <c r="Q41" s="24">
        <f>IF(Database!BA41="","",IFERROR(BDH(LEFT(Database!BA41,FIND(".",Database!BA41)-1)&amp;" CH Equity","PE_RATIO",Database!$H41,Database!$H41),""))</f>
        <v/>
      </c>
      <c r="R41" s="24">
        <f>IF(Database!BA41="","",IFERROR(BDH("HSAHP Index","PX_LAST",Database!$H41,Database!$H41),""))</f>
        <v/>
      </c>
    </row>
    <row r="42">
      <c r="A42" s="16">
        <f>Database!A42&amp;"  "&amp;Database!B42</f>
        <v/>
      </c>
      <c r="B42" s="10">
        <f>IFERROR(INDEX(BDS(Database!$A42&amp;" HK Equity","EQUITY_OFFERINGS","array=t","endcol=1"),MATCH("IPO",BDS(Database!$A42&amp;" HK Equity","EQUITY_OFFERINGS","array=t","startcol=2","endcol=2"),0)),"")</f>
        <v/>
      </c>
      <c r="C42" s="103">
        <f>IF($B42="","",IFERROR(BDP($B42&amp;" Action","CP036"),""))</f>
        <v/>
      </c>
      <c r="D42" s="104">
        <f>Database!S42</f>
        <v/>
      </c>
      <c r="E42" s="103">
        <f>IF($B42="","",IFERROR(BDP($B42&amp;" Action","CP037"),""))</f>
        <v/>
      </c>
      <c r="F42" s="104">
        <f>Database!T42</f>
        <v/>
      </c>
      <c r="G42" s="103">
        <f>IF($B42="","",IFERROR(BDP($B42&amp;" Action","GREENSHOE_FACILITY"),""))</f>
        <v/>
      </c>
      <c r="H42" s="103">
        <f>IF($B42="","",IFERROR(BDP($B42&amp;" Action","OFFERING_GREENSHOE_SHARES_EX"),""))</f>
        <v/>
      </c>
      <c r="I42" s="16">
        <f>Database!Z42</f>
        <v/>
      </c>
      <c r="J42" s="24">
        <f>IFERROR(BDP(Database!$A42&amp;" HK Equity","PE_RATIO"),"")</f>
        <v/>
      </c>
      <c r="K42" s="10">
        <f>IFERROR(BDP(Database!$A42&amp;" HK Equity","A/H_SHARE_CONVERSION"),"")</f>
        <v/>
      </c>
      <c r="L42" s="16">
        <f>IF(Database!BA42="","(none found)",Database!BA42)</f>
        <v/>
      </c>
      <c r="M42" s="18">
        <f>IFERROR(BDH(Database!$A42&amp;" HK Equity","CUR_MKT_CAP",Database!$H42,Database!$H42),"")</f>
        <v/>
      </c>
      <c r="N42" s="99">
        <f>Database!Q42</f>
        <v/>
      </c>
      <c r="O42" s="24">
        <f>IFERROR(BDH(Database!$A42&amp;" HK Equity","PE_RATIO",Database!$H42,Database!$H42),"")</f>
        <v/>
      </c>
      <c r="P42" s="101">
        <f>IF(Database!AV42="","(n/m or not derivable)",Database!AV42)</f>
        <v/>
      </c>
      <c r="Q42" s="24">
        <f>IF(Database!BA42="","",IFERROR(BDH(LEFT(Database!BA42,FIND(".",Database!BA42)-1)&amp;" CH Equity","PE_RATIO",Database!$H42,Database!$H42),""))</f>
        <v/>
      </c>
      <c r="R42" s="24">
        <f>IF(Database!BA42="","",IFERROR(BDH("HSAHP Index","PX_LAST",Database!$H42,Database!$H42),""))</f>
        <v/>
      </c>
    </row>
    <row r="43">
      <c r="A43" s="16">
        <f>Database!A43&amp;"  "&amp;Database!B43</f>
        <v/>
      </c>
      <c r="B43" s="10">
        <f>IFERROR(INDEX(BDS(Database!$A43&amp;" HK Equity","EQUITY_OFFERINGS","array=t","endcol=1"),MATCH("IPO",BDS(Database!$A43&amp;" HK Equity","EQUITY_OFFERINGS","array=t","startcol=2","endcol=2"),0)),"")</f>
        <v/>
      </c>
      <c r="C43" s="103">
        <f>IF($B43="","",IFERROR(BDP($B43&amp;" Action","CP036"),""))</f>
        <v/>
      </c>
      <c r="D43" s="104">
        <f>Database!S43</f>
        <v/>
      </c>
      <c r="E43" s="103">
        <f>IF($B43="","",IFERROR(BDP($B43&amp;" Action","CP037"),""))</f>
        <v/>
      </c>
      <c r="F43" s="104">
        <f>Database!T43</f>
        <v/>
      </c>
      <c r="G43" s="103">
        <f>IF($B43="","",IFERROR(BDP($B43&amp;" Action","GREENSHOE_FACILITY"),""))</f>
        <v/>
      </c>
      <c r="H43" s="103">
        <f>IF($B43="","",IFERROR(BDP($B43&amp;" Action","OFFERING_GREENSHOE_SHARES_EX"),""))</f>
        <v/>
      </c>
      <c r="I43" s="16">
        <f>Database!Z43</f>
        <v/>
      </c>
      <c r="J43" s="24">
        <f>IFERROR(BDP(Database!$A43&amp;" HK Equity","PE_RATIO"),"")</f>
        <v/>
      </c>
      <c r="K43" s="10">
        <f>IFERROR(BDP(Database!$A43&amp;" HK Equity","A/H_SHARE_CONVERSION"),"")</f>
        <v/>
      </c>
      <c r="L43" s="16">
        <f>IF(Database!BA43="","(none found)",Database!BA43)</f>
        <v/>
      </c>
      <c r="M43" s="18">
        <f>IFERROR(BDH(Database!$A43&amp;" HK Equity","CUR_MKT_CAP",Database!$H43,Database!$H43),"")</f>
        <v/>
      </c>
      <c r="N43" s="99">
        <f>Database!Q43</f>
        <v/>
      </c>
      <c r="O43" s="24">
        <f>IFERROR(BDH(Database!$A43&amp;" HK Equity","PE_RATIO",Database!$H43,Database!$H43),"")</f>
        <v/>
      </c>
      <c r="P43" s="101">
        <f>IF(Database!AV43="","(n/m or not derivable)",Database!AV43)</f>
        <v/>
      </c>
      <c r="Q43" s="24">
        <f>IF(Database!BA43="","",IFERROR(BDH(LEFT(Database!BA43,FIND(".",Database!BA43)-1)&amp;" CH Equity","PE_RATIO",Database!$H43,Database!$H43),""))</f>
        <v/>
      </c>
      <c r="R43" s="24">
        <f>IF(Database!BA43="","",IFERROR(BDH("HSAHP Index","PX_LAST",Database!$H43,Database!$H43),""))</f>
        <v/>
      </c>
    </row>
    <row r="44">
      <c r="A44" s="16">
        <f>Database!A44&amp;"  "&amp;Database!B44</f>
        <v/>
      </c>
      <c r="B44" s="10">
        <f>IFERROR(INDEX(BDS(Database!$A44&amp;" HK Equity","EQUITY_OFFERINGS","array=t","endcol=1"),MATCH("IPO",BDS(Database!$A44&amp;" HK Equity","EQUITY_OFFERINGS","array=t","startcol=2","endcol=2"),0)),"")</f>
        <v/>
      </c>
      <c r="C44" s="103">
        <f>IF($B44="","",IFERROR(BDP($B44&amp;" Action","CP036"),""))</f>
        <v/>
      </c>
      <c r="D44" s="104">
        <f>Database!S44</f>
        <v/>
      </c>
      <c r="E44" s="103">
        <f>IF($B44="","",IFERROR(BDP($B44&amp;" Action","CP037"),""))</f>
        <v/>
      </c>
      <c r="F44" s="104">
        <f>Database!T44</f>
        <v/>
      </c>
      <c r="G44" s="103">
        <f>IF($B44="","",IFERROR(BDP($B44&amp;" Action","GREENSHOE_FACILITY"),""))</f>
        <v/>
      </c>
      <c r="H44" s="103">
        <f>IF($B44="","",IFERROR(BDP($B44&amp;" Action","OFFERING_GREENSHOE_SHARES_EX"),""))</f>
        <v/>
      </c>
      <c r="I44" s="16">
        <f>Database!Z44</f>
        <v/>
      </c>
      <c r="J44" s="24">
        <f>IFERROR(BDP(Database!$A44&amp;" HK Equity","PE_RATIO"),"")</f>
        <v/>
      </c>
      <c r="K44" s="10">
        <f>IFERROR(BDP(Database!$A44&amp;" HK Equity","A/H_SHARE_CONVERSION"),"")</f>
        <v/>
      </c>
      <c r="L44" s="16">
        <f>IF(Database!BA44="","(none found)",Database!BA44)</f>
        <v/>
      </c>
      <c r="M44" s="18">
        <f>IFERROR(BDH(Database!$A44&amp;" HK Equity","CUR_MKT_CAP",Database!$H44,Database!$H44),"")</f>
        <v/>
      </c>
      <c r="N44" s="99">
        <f>Database!Q44</f>
        <v/>
      </c>
      <c r="O44" s="24">
        <f>IFERROR(BDH(Database!$A44&amp;" HK Equity","PE_RATIO",Database!$H44,Database!$H44),"")</f>
        <v/>
      </c>
      <c r="P44" s="101">
        <f>IF(Database!AV44="","(n/m or not derivable)",Database!AV44)</f>
        <v/>
      </c>
      <c r="Q44" s="24">
        <f>IF(Database!BA44="","",IFERROR(BDH(LEFT(Database!BA44,FIND(".",Database!BA44)-1)&amp;" CH Equity","PE_RATIO",Database!$H44,Database!$H44),""))</f>
        <v/>
      </c>
      <c r="R44" s="24">
        <f>IF(Database!BA44="","",IFERROR(BDH("HSAHP Index","PX_LAST",Database!$H44,Database!$H44),""))</f>
        <v/>
      </c>
    </row>
    <row r="45">
      <c r="A45" s="16">
        <f>Database!A45&amp;"  "&amp;Database!B45</f>
        <v/>
      </c>
      <c r="B45" s="10">
        <f>IFERROR(INDEX(BDS(Database!$A45&amp;" HK Equity","EQUITY_OFFERINGS","array=t","endcol=1"),MATCH("IPO",BDS(Database!$A45&amp;" HK Equity","EQUITY_OFFERINGS","array=t","startcol=2","endcol=2"),0)),"")</f>
        <v/>
      </c>
      <c r="C45" s="103">
        <f>IF($B45="","",IFERROR(BDP($B45&amp;" Action","CP036"),""))</f>
        <v/>
      </c>
      <c r="D45" s="104">
        <f>Database!S45</f>
        <v/>
      </c>
      <c r="E45" s="103">
        <f>IF($B45="","",IFERROR(BDP($B45&amp;" Action","CP037"),""))</f>
        <v/>
      </c>
      <c r="F45" s="104">
        <f>Database!T45</f>
        <v/>
      </c>
      <c r="G45" s="103">
        <f>IF($B45="","",IFERROR(BDP($B45&amp;" Action","GREENSHOE_FACILITY"),""))</f>
        <v/>
      </c>
      <c r="H45" s="103">
        <f>IF($B45="","",IFERROR(BDP($B45&amp;" Action","OFFERING_GREENSHOE_SHARES_EX"),""))</f>
        <v/>
      </c>
      <c r="I45" s="16">
        <f>Database!Z45</f>
        <v/>
      </c>
      <c r="J45" s="24">
        <f>IFERROR(BDP(Database!$A45&amp;" HK Equity","PE_RATIO"),"")</f>
        <v/>
      </c>
      <c r="K45" s="10">
        <f>IFERROR(BDP(Database!$A45&amp;" HK Equity","A/H_SHARE_CONVERSION"),"")</f>
        <v/>
      </c>
      <c r="L45" s="16">
        <f>IF(Database!BA45="","(none found)",Database!BA45)</f>
        <v/>
      </c>
      <c r="M45" s="18">
        <f>IFERROR(BDH(Database!$A45&amp;" HK Equity","CUR_MKT_CAP",Database!$H45,Database!$H45),"")</f>
        <v/>
      </c>
      <c r="N45" s="99">
        <f>Database!Q45</f>
        <v/>
      </c>
      <c r="O45" s="24">
        <f>IFERROR(BDH(Database!$A45&amp;" HK Equity","PE_RATIO",Database!$H45,Database!$H45),"")</f>
        <v/>
      </c>
      <c r="P45" s="101">
        <f>IF(Database!AV45="","(n/m or not derivable)",Database!AV45)</f>
        <v/>
      </c>
      <c r="Q45" s="24">
        <f>IF(Database!BA45="","",IFERROR(BDH(LEFT(Database!BA45,FIND(".",Database!BA45)-1)&amp;" CH Equity","PE_RATIO",Database!$H45,Database!$H45),""))</f>
        <v/>
      </c>
      <c r="R45" s="24">
        <f>IF(Database!BA45="","",IFERROR(BDH("HSAHP Index","PX_LAST",Database!$H45,Database!$H45),""))</f>
        <v/>
      </c>
    </row>
    <row r="46">
      <c r="A46" s="16">
        <f>Database!A46&amp;"  "&amp;Database!B46</f>
        <v/>
      </c>
      <c r="B46" s="10">
        <f>IFERROR(INDEX(BDS(Database!$A46&amp;" HK Equity","EQUITY_OFFERINGS","array=t","endcol=1"),MATCH("IPO",BDS(Database!$A46&amp;" HK Equity","EQUITY_OFFERINGS","array=t","startcol=2","endcol=2"),0)),"")</f>
        <v/>
      </c>
      <c r="C46" s="103">
        <f>IF($B46="","",IFERROR(BDP($B46&amp;" Action","CP036"),""))</f>
        <v/>
      </c>
      <c r="D46" s="104">
        <f>Database!S46</f>
        <v/>
      </c>
      <c r="E46" s="103">
        <f>IF($B46="","",IFERROR(BDP($B46&amp;" Action","CP037"),""))</f>
        <v/>
      </c>
      <c r="F46" s="104">
        <f>Database!T46</f>
        <v/>
      </c>
      <c r="G46" s="103">
        <f>IF($B46="","",IFERROR(BDP($B46&amp;" Action","GREENSHOE_FACILITY"),""))</f>
        <v/>
      </c>
      <c r="H46" s="103">
        <f>IF($B46="","",IFERROR(BDP($B46&amp;" Action","OFFERING_GREENSHOE_SHARES_EX"),""))</f>
        <v/>
      </c>
      <c r="I46" s="16">
        <f>Database!Z46</f>
        <v/>
      </c>
      <c r="J46" s="24">
        <f>IFERROR(BDP(Database!$A46&amp;" HK Equity","PE_RATIO"),"")</f>
        <v/>
      </c>
      <c r="K46" s="10">
        <f>IFERROR(BDP(Database!$A46&amp;" HK Equity","A/H_SHARE_CONVERSION"),"")</f>
        <v/>
      </c>
      <c r="L46" s="16">
        <f>IF(Database!BA46="","(none found)",Database!BA46)</f>
        <v/>
      </c>
      <c r="M46" s="18">
        <f>IFERROR(BDH(Database!$A46&amp;" HK Equity","CUR_MKT_CAP",Database!$H46,Database!$H46),"")</f>
        <v/>
      </c>
      <c r="N46" s="99">
        <f>Database!Q46</f>
        <v/>
      </c>
      <c r="O46" s="24">
        <f>IFERROR(BDH(Database!$A46&amp;" HK Equity","PE_RATIO",Database!$H46,Database!$H46),"")</f>
        <v/>
      </c>
      <c r="P46" s="101">
        <f>IF(Database!AV46="","(n/m or not derivable)",Database!AV46)</f>
        <v/>
      </c>
      <c r="Q46" s="24">
        <f>IF(Database!BA46="","",IFERROR(BDH(LEFT(Database!BA46,FIND(".",Database!BA46)-1)&amp;" CH Equity","PE_RATIO",Database!$H46,Database!$H46),""))</f>
        <v/>
      </c>
      <c r="R46" s="24">
        <f>IF(Database!BA46="","",IFERROR(BDH("HSAHP Index","PX_LAST",Database!$H46,Database!$H46),""))</f>
        <v/>
      </c>
    </row>
    <row r="47">
      <c r="A47" s="16">
        <f>Database!A47&amp;"  "&amp;Database!B47</f>
        <v/>
      </c>
      <c r="B47" s="10">
        <f>IFERROR(INDEX(BDS(Database!$A47&amp;" HK Equity","EQUITY_OFFERINGS","array=t","endcol=1"),MATCH("IPO",BDS(Database!$A47&amp;" HK Equity","EQUITY_OFFERINGS","array=t","startcol=2","endcol=2"),0)),"")</f>
        <v/>
      </c>
      <c r="C47" s="103">
        <f>IF($B47="","",IFERROR(BDP($B47&amp;" Action","CP036"),""))</f>
        <v/>
      </c>
      <c r="D47" s="104">
        <f>Database!S47</f>
        <v/>
      </c>
      <c r="E47" s="103">
        <f>IF($B47="","",IFERROR(BDP($B47&amp;" Action","CP037"),""))</f>
        <v/>
      </c>
      <c r="F47" s="104">
        <f>Database!T47</f>
        <v/>
      </c>
      <c r="G47" s="103">
        <f>IF($B47="","",IFERROR(BDP($B47&amp;" Action","GREENSHOE_FACILITY"),""))</f>
        <v/>
      </c>
      <c r="H47" s="103">
        <f>IF($B47="","",IFERROR(BDP($B47&amp;" Action","OFFERING_GREENSHOE_SHARES_EX"),""))</f>
        <v/>
      </c>
      <c r="I47" s="16">
        <f>Database!Z47</f>
        <v/>
      </c>
      <c r="J47" s="24">
        <f>IFERROR(BDP(Database!$A47&amp;" HK Equity","PE_RATIO"),"")</f>
        <v/>
      </c>
      <c r="K47" s="10">
        <f>IFERROR(BDP(Database!$A47&amp;" HK Equity","A/H_SHARE_CONVERSION"),"")</f>
        <v/>
      </c>
      <c r="L47" s="16">
        <f>IF(Database!BA47="","(none found)",Database!BA47)</f>
        <v/>
      </c>
      <c r="M47" s="18">
        <f>IFERROR(BDH(Database!$A47&amp;" HK Equity","CUR_MKT_CAP",Database!$H47,Database!$H47),"")</f>
        <v/>
      </c>
      <c r="N47" s="99">
        <f>Database!Q47</f>
        <v/>
      </c>
      <c r="O47" s="24">
        <f>IFERROR(BDH(Database!$A47&amp;" HK Equity","PE_RATIO",Database!$H47,Database!$H47),"")</f>
        <v/>
      </c>
      <c r="P47" s="101">
        <f>IF(Database!AV47="","(n/m or not derivable)",Database!AV47)</f>
        <v/>
      </c>
      <c r="Q47" s="24">
        <f>IF(Database!BA47="","",IFERROR(BDH(LEFT(Database!BA47,FIND(".",Database!BA47)-1)&amp;" CH Equity","PE_RATIO",Database!$H47,Database!$H47),""))</f>
        <v/>
      </c>
      <c r="R47" s="24">
        <f>IF(Database!BA47="","",IFERROR(BDH("HSAHP Index","PX_LAST",Database!$H47,Database!$H47),""))</f>
        <v/>
      </c>
    </row>
    <row r="48">
      <c r="A48" s="16">
        <f>Database!A48&amp;"  "&amp;Database!B48</f>
        <v/>
      </c>
      <c r="B48" s="10">
        <f>IFERROR(INDEX(BDS(Database!$A48&amp;" HK Equity","EQUITY_OFFERINGS","array=t","endcol=1"),MATCH("IPO",BDS(Database!$A48&amp;" HK Equity","EQUITY_OFFERINGS","array=t","startcol=2","endcol=2"),0)),"")</f>
        <v/>
      </c>
      <c r="C48" s="103">
        <f>IF($B48="","",IFERROR(BDP($B48&amp;" Action","CP036"),""))</f>
        <v/>
      </c>
      <c r="D48" s="104">
        <f>Database!S48</f>
        <v/>
      </c>
      <c r="E48" s="103">
        <f>IF($B48="","",IFERROR(BDP($B48&amp;" Action","CP037"),""))</f>
        <v/>
      </c>
      <c r="F48" s="104">
        <f>Database!T48</f>
        <v/>
      </c>
      <c r="G48" s="103">
        <f>IF($B48="","",IFERROR(BDP($B48&amp;" Action","GREENSHOE_FACILITY"),""))</f>
        <v/>
      </c>
      <c r="H48" s="103">
        <f>IF($B48="","",IFERROR(BDP($B48&amp;" Action","OFFERING_GREENSHOE_SHARES_EX"),""))</f>
        <v/>
      </c>
      <c r="I48" s="16">
        <f>Database!Z48</f>
        <v/>
      </c>
      <c r="J48" s="24">
        <f>IFERROR(BDP(Database!$A48&amp;" HK Equity","PE_RATIO"),"")</f>
        <v/>
      </c>
      <c r="K48" s="10">
        <f>IFERROR(BDP(Database!$A48&amp;" HK Equity","A/H_SHARE_CONVERSION"),"")</f>
        <v/>
      </c>
      <c r="L48" s="16">
        <f>IF(Database!BA48="","(none found)",Database!BA48)</f>
        <v/>
      </c>
      <c r="M48" s="18">
        <f>IFERROR(BDH(Database!$A48&amp;" HK Equity","CUR_MKT_CAP",Database!$H48,Database!$H48),"")</f>
        <v/>
      </c>
      <c r="N48" s="99">
        <f>Database!Q48</f>
        <v/>
      </c>
      <c r="O48" s="24">
        <f>IFERROR(BDH(Database!$A48&amp;" HK Equity","PE_RATIO",Database!$H48,Database!$H48),"")</f>
        <v/>
      </c>
      <c r="P48" s="101">
        <f>IF(Database!AV48="","(n/m or not derivable)",Database!AV48)</f>
        <v/>
      </c>
      <c r="Q48" s="24">
        <f>IF(Database!BA48="","",IFERROR(BDH(LEFT(Database!BA48,FIND(".",Database!BA48)-1)&amp;" CH Equity","PE_RATIO",Database!$H48,Database!$H48),""))</f>
        <v/>
      </c>
      <c r="R48" s="24">
        <f>IF(Database!BA48="","",IFERROR(BDH("HSAHP Index","PX_LAST",Database!$H48,Database!$H48),""))</f>
        <v/>
      </c>
    </row>
    <row r="49">
      <c r="A49" s="16">
        <f>Database!A49&amp;"  "&amp;Database!B49</f>
        <v/>
      </c>
      <c r="B49" s="10">
        <f>IFERROR(INDEX(BDS(Database!$A49&amp;" HK Equity","EQUITY_OFFERINGS","array=t","endcol=1"),MATCH("IPO",BDS(Database!$A49&amp;" HK Equity","EQUITY_OFFERINGS","array=t","startcol=2","endcol=2"),0)),"")</f>
        <v/>
      </c>
      <c r="C49" s="103">
        <f>IF($B49="","",IFERROR(BDP($B49&amp;" Action","CP036"),""))</f>
        <v/>
      </c>
      <c r="D49" s="104">
        <f>Database!S49</f>
        <v/>
      </c>
      <c r="E49" s="103">
        <f>IF($B49="","",IFERROR(BDP($B49&amp;" Action","CP037"),""))</f>
        <v/>
      </c>
      <c r="F49" s="104">
        <f>Database!T49</f>
        <v/>
      </c>
      <c r="G49" s="103">
        <f>IF($B49="","",IFERROR(BDP($B49&amp;" Action","GREENSHOE_FACILITY"),""))</f>
        <v/>
      </c>
      <c r="H49" s="103">
        <f>IF($B49="","",IFERROR(BDP($B49&amp;" Action","OFFERING_GREENSHOE_SHARES_EX"),""))</f>
        <v/>
      </c>
      <c r="I49" s="16">
        <f>Database!Z49</f>
        <v/>
      </c>
      <c r="J49" s="24">
        <f>IFERROR(BDP(Database!$A49&amp;" HK Equity","PE_RATIO"),"")</f>
        <v/>
      </c>
      <c r="K49" s="10">
        <f>IFERROR(BDP(Database!$A49&amp;" HK Equity","A/H_SHARE_CONVERSION"),"")</f>
        <v/>
      </c>
      <c r="L49" s="16">
        <f>IF(Database!BA49="","(none found)",Database!BA49)</f>
        <v/>
      </c>
      <c r="M49" s="18">
        <f>IFERROR(BDH(Database!$A49&amp;" HK Equity","CUR_MKT_CAP",Database!$H49,Database!$H49),"")</f>
        <v/>
      </c>
      <c r="N49" s="99">
        <f>Database!Q49</f>
        <v/>
      </c>
      <c r="O49" s="24">
        <f>IFERROR(BDH(Database!$A49&amp;" HK Equity","PE_RATIO",Database!$H49,Database!$H49),"")</f>
        <v/>
      </c>
      <c r="P49" s="101">
        <f>IF(Database!AV49="","(n/m or not derivable)",Database!AV49)</f>
        <v/>
      </c>
      <c r="Q49" s="24">
        <f>IF(Database!BA49="","",IFERROR(BDH(LEFT(Database!BA49,FIND(".",Database!BA49)-1)&amp;" CH Equity","PE_RATIO",Database!$H49,Database!$H49),""))</f>
        <v/>
      </c>
      <c r="R49" s="24">
        <f>IF(Database!BA49="","",IFERROR(BDH("HSAHP Index","PX_LAST",Database!$H49,Database!$H49),""))</f>
        <v/>
      </c>
    </row>
    <row r="50">
      <c r="A50" s="16">
        <f>Database!A50&amp;"  "&amp;Database!B50</f>
        <v/>
      </c>
      <c r="B50" s="10">
        <f>IFERROR(INDEX(BDS(Database!$A50&amp;" HK Equity","EQUITY_OFFERINGS","array=t","endcol=1"),MATCH("IPO",BDS(Database!$A50&amp;" HK Equity","EQUITY_OFFERINGS","array=t","startcol=2","endcol=2"),0)),"")</f>
        <v/>
      </c>
      <c r="C50" s="103">
        <f>IF($B50="","",IFERROR(BDP($B50&amp;" Action","CP036"),""))</f>
        <v/>
      </c>
      <c r="D50" s="104">
        <f>Database!S50</f>
        <v/>
      </c>
      <c r="E50" s="103">
        <f>IF($B50="","",IFERROR(BDP($B50&amp;" Action","CP037"),""))</f>
        <v/>
      </c>
      <c r="F50" s="104">
        <f>Database!T50</f>
        <v/>
      </c>
      <c r="G50" s="103">
        <f>IF($B50="","",IFERROR(BDP($B50&amp;" Action","GREENSHOE_FACILITY"),""))</f>
        <v/>
      </c>
      <c r="H50" s="103">
        <f>IF($B50="","",IFERROR(BDP($B50&amp;" Action","OFFERING_GREENSHOE_SHARES_EX"),""))</f>
        <v/>
      </c>
      <c r="I50" s="16">
        <f>Database!Z50</f>
        <v/>
      </c>
      <c r="J50" s="24">
        <f>IFERROR(BDP(Database!$A50&amp;" HK Equity","PE_RATIO"),"")</f>
        <v/>
      </c>
      <c r="K50" s="10">
        <f>IFERROR(BDP(Database!$A50&amp;" HK Equity","A/H_SHARE_CONVERSION"),"")</f>
        <v/>
      </c>
      <c r="L50" s="16">
        <f>IF(Database!BA50="","(none found)",Database!BA50)</f>
        <v/>
      </c>
      <c r="M50" s="18">
        <f>IFERROR(BDH(Database!$A50&amp;" HK Equity","CUR_MKT_CAP",Database!$H50,Database!$H50),"")</f>
        <v/>
      </c>
      <c r="N50" s="99">
        <f>Database!Q50</f>
        <v/>
      </c>
      <c r="O50" s="24">
        <f>IFERROR(BDH(Database!$A50&amp;" HK Equity","PE_RATIO",Database!$H50,Database!$H50),"")</f>
        <v/>
      </c>
      <c r="P50" s="101">
        <f>IF(Database!AV50="","(n/m or not derivable)",Database!AV50)</f>
        <v/>
      </c>
      <c r="Q50" s="24">
        <f>IF(Database!BA50="","",IFERROR(BDH(LEFT(Database!BA50,FIND(".",Database!BA50)-1)&amp;" CH Equity","PE_RATIO",Database!$H50,Database!$H50),""))</f>
        <v/>
      </c>
      <c r="R50" s="24">
        <f>IF(Database!BA50="","",IFERROR(BDH("HSAHP Index","PX_LAST",Database!$H50,Database!$H50),""))</f>
        <v/>
      </c>
    </row>
    <row r="51">
      <c r="A51" s="16">
        <f>Database!A51&amp;"  "&amp;Database!B51</f>
        <v/>
      </c>
      <c r="B51" s="10">
        <f>IFERROR(INDEX(BDS(Database!$A51&amp;" HK Equity","EQUITY_OFFERINGS","array=t","endcol=1"),MATCH("IPO",BDS(Database!$A51&amp;" HK Equity","EQUITY_OFFERINGS","array=t","startcol=2","endcol=2"),0)),"")</f>
        <v/>
      </c>
      <c r="C51" s="103">
        <f>IF($B51="","",IFERROR(BDP($B51&amp;" Action","CP036"),""))</f>
        <v/>
      </c>
      <c r="D51" s="104">
        <f>Database!S51</f>
        <v/>
      </c>
      <c r="E51" s="103">
        <f>IF($B51="","",IFERROR(BDP($B51&amp;" Action","CP037"),""))</f>
        <v/>
      </c>
      <c r="F51" s="104">
        <f>Database!T51</f>
        <v/>
      </c>
      <c r="G51" s="103">
        <f>IF($B51="","",IFERROR(BDP($B51&amp;" Action","GREENSHOE_FACILITY"),""))</f>
        <v/>
      </c>
      <c r="H51" s="103">
        <f>IF($B51="","",IFERROR(BDP($B51&amp;" Action","OFFERING_GREENSHOE_SHARES_EX"),""))</f>
        <v/>
      </c>
      <c r="I51" s="16">
        <f>Database!Z51</f>
        <v/>
      </c>
      <c r="J51" s="24">
        <f>IFERROR(BDP(Database!$A51&amp;" HK Equity","PE_RATIO"),"")</f>
        <v/>
      </c>
      <c r="K51" s="10">
        <f>IFERROR(BDP(Database!$A51&amp;" HK Equity","A/H_SHARE_CONVERSION"),"")</f>
        <v/>
      </c>
      <c r="L51" s="16">
        <f>IF(Database!BA51="","(none found)",Database!BA51)</f>
        <v/>
      </c>
      <c r="M51" s="18">
        <f>IFERROR(BDH(Database!$A51&amp;" HK Equity","CUR_MKT_CAP",Database!$H51,Database!$H51),"")</f>
        <v/>
      </c>
      <c r="N51" s="99">
        <f>Database!Q51</f>
        <v/>
      </c>
      <c r="O51" s="24">
        <f>IFERROR(BDH(Database!$A51&amp;" HK Equity","PE_RATIO",Database!$H51,Database!$H51),"")</f>
        <v/>
      </c>
      <c r="P51" s="101">
        <f>IF(Database!AV51="","(n/m or not derivable)",Database!AV51)</f>
        <v/>
      </c>
      <c r="Q51" s="24">
        <f>IF(Database!BA51="","",IFERROR(BDH(LEFT(Database!BA51,FIND(".",Database!BA51)-1)&amp;" CH Equity","PE_RATIO",Database!$H51,Database!$H51),""))</f>
        <v/>
      </c>
      <c r="R51" s="24">
        <f>IF(Database!BA51="","",IFERROR(BDH("HSAHP Index","PX_LAST",Database!$H51,Database!$H51),""))</f>
        <v/>
      </c>
    </row>
    <row r="52">
      <c r="A52" s="16">
        <f>Database!A52&amp;"  "&amp;Database!B52</f>
        <v/>
      </c>
      <c r="B52" s="10">
        <f>IFERROR(INDEX(BDS(Database!$A52&amp;" HK Equity","EQUITY_OFFERINGS","array=t","endcol=1"),MATCH("IPO",BDS(Database!$A52&amp;" HK Equity","EQUITY_OFFERINGS","array=t","startcol=2","endcol=2"),0)),"")</f>
        <v/>
      </c>
      <c r="C52" s="103">
        <f>IF($B52="","",IFERROR(BDP($B52&amp;" Action","CP036"),""))</f>
        <v/>
      </c>
      <c r="D52" s="104">
        <f>Database!S52</f>
        <v/>
      </c>
      <c r="E52" s="103">
        <f>IF($B52="","",IFERROR(BDP($B52&amp;" Action","CP037"),""))</f>
        <v/>
      </c>
      <c r="F52" s="104">
        <f>Database!T52</f>
        <v/>
      </c>
      <c r="G52" s="103">
        <f>IF($B52="","",IFERROR(BDP($B52&amp;" Action","GREENSHOE_FACILITY"),""))</f>
        <v/>
      </c>
      <c r="H52" s="103">
        <f>IF($B52="","",IFERROR(BDP($B52&amp;" Action","OFFERING_GREENSHOE_SHARES_EX"),""))</f>
        <v/>
      </c>
      <c r="I52" s="16">
        <f>Database!Z52</f>
        <v/>
      </c>
      <c r="J52" s="24">
        <f>IFERROR(BDP(Database!$A52&amp;" HK Equity","PE_RATIO"),"")</f>
        <v/>
      </c>
      <c r="K52" s="10">
        <f>IFERROR(BDP(Database!$A52&amp;" HK Equity","A/H_SHARE_CONVERSION"),"")</f>
        <v/>
      </c>
      <c r="L52" s="16">
        <f>IF(Database!BA52="","(none found)",Database!BA52)</f>
        <v/>
      </c>
      <c r="M52" s="18">
        <f>IFERROR(BDH(Database!$A52&amp;" HK Equity","CUR_MKT_CAP",Database!$H52,Database!$H52),"")</f>
        <v/>
      </c>
      <c r="N52" s="99">
        <f>Database!Q52</f>
        <v/>
      </c>
      <c r="O52" s="24">
        <f>IFERROR(BDH(Database!$A52&amp;" HK Equity","PE_RATIO",Database!$H52,Database!$H52),"")</f>
        <v/>
      </c>
      <c r="P52" s="101">
        <f>IF(Database!AV52="","(n/m or not derivable)",Database!AV52)</f>
        <v/>
      </c>
      <c r="Q52" s="24">
        <f>IF(Database!BA52="","",IFERROR(BDH(LEFT(Database!BA52,FIND(".",Database!BA52)-1)&amp;" CH Equity","PE_RATIO",Database!$H52,Database!$H52),""))</f>
        <v/>
      </c>
      <c r="R52" s="24">
        <f>IF(Database!BA52="","",IFERROR(BDH("HSAHP Index","PX_LAST",Database!$H52,Database!$H52),""))</f>
        <v/>
      </c>
    </row>
    <row r="53">
      <c r="A53" s="16">
        <f>Database!A53&amp;"  "&amp;Database!B53</f>
        <v/>
      </c>
      <c r="B53" s="10">
        <f>IFERROR(INDEX(BDS(Database!$A53&amp;" HK Equity","EQUITY_OFFERINGS","array=t","endcol=1"),MATCH("IPO",BDS(Database!$A53&amp;" HK Equity","EQUITY_OFFERINGS","array=t","startcol=2","endcol=2"),0)),"")</f>
        <v/>
      </c>
      <c r="C53" s="103">
        <f>IF($B53="","",IFERROR(BDP($B53&amp;" Action","CP036"),""))</f>
        <v/>
      </c>
      <c r="D53" s="104">
        <f>Database!S53</f>
        <v/>
      </c>
      <c r="E53" s="103">
        <f>IF($B53="","",IFERROR(BDP($B53&amp;" Action","CP037"),""))</f>
        <v/>
      </c>
      <c r="F53" s="104">
        <f>Database!T53</f>
        <v/>
      </c>
      <c r="G53" s="103">
        <f>IF($B53="","",IFERROR(BDP($B53&amp;" Action","GREENSHOE_FACILITY"),""))</f>
        <v/>
      </c>
      <c r="H53" s="103">
        <f>IF($B53="","",IFERROR(BDP($B53&amp;" Action","OFFERING_GREENSHOE_SHARES_EX"),""))</f>
        <v/>
      </c>
      <c r="I53" s="16">
        <f>Database!Z53</f>
        <v/>
      </c>
      <c r="J53" s="24">
        <f>IFERROR(BDP(Database!$A53&amp;" HK Equity","PE_RATIO"),"")</f>
        <v/>
      </c>
      <c r="K53" s="10">
        <f>IFERROR(BDP(Database!$A53&amp;" HK Equity","A/H_SHARE_CONVERSION"),"")</f>
        <v/>
      </c>
      <c r="L53" s="16">
        <f>IF(Database!BA53="","(none found)",Database!BA53)</f>
        <v/>
      </c>
      <c r="M53" s="18">
        <f>IFERROR(BDH(Database!$A53&amp;" HK Equity","CUR_MKT_CAP",Database!$H53,Database!$H53),"")</f>
        <v/>
      </c>
      <c r="N53" s="99">
        <f>Database!Q53</f>
        <v/>
      </c>
      <c r="O53" s="24">
        <f>IFERROR(BDH(Database!$A53&amp;" HK Equity","PE_RATIO",Database!$H53,Database!$H53),"")</f>
        <v/>
      </c>
      <c r="P53" s="101">
        <f>IF(Database!AV53="","(n/m or not derivable)",Database!AV53)</f>
        <v/>
      </c>
      <c r="Q53" s="24">
        <f>IF(Database!BA53="","",IFERROR(BDH(LEFT(Database!BA53,FIND(".",Database!BA53)-1)&amp;" CH Equity","PE_RATIO",Database!$H53,Database!$H53),""))</f>
        <v/>
      </c>
      <c r="R53" s="24">
        <f>IF(Database!BA53="","",IFERROR(BDH("HSAHP Index","PX_LAST",Database!$H53,Database!$H53),""))</f>
        <v/>
      </c>
    </row>
    <row r="54">
      <c r="A54" s="16">
        <f>Database!A54&amp;"  "&amp;Database!B54</f>
        <v/>
      </c>
      <c r="B54" s="10">
        <f>IFERROR(INDEX(BDS(Database!$A54&amp;" HK Equity","EQUITY_OFFERINGS","array=t","endcol=1"),MATCH("IPO",BDS(Database!$A54&amp;" HK Equity","EQUITY_OFFERINGS","array=t","startcol=2","endcol=2"),0)),"")</f>
        <v/>
      </c>
      <c r="C54" s="103">
        <f>IF($B54="","",IFERROR(BDP($B54&amp;" Action","CP036"),""))</f>
        <v/>
      </c>
      <c r="D54" s="104">
        <f>Database!S54</f>
        <v/>
      </c>
      <c r="E54" s="103">
        <f>IF($B54="","",IFERROR(BDP($B54&amp;" Action","CP037"),""))</f>
        <v/>
      </c>
      <c r="F54" s="104">
        <f>Database!T54</f>
        <v/>
      </c>
      <c r="G54" s="103">
        <f>IF($B54="","",IFERROR(BDP($B54&amp;" Action","GREENSHOE_FACILITY"),""))</f>
        <v/>
      </c>
      <c r="H54" s="103">
        <f>IF($B54="","",IFERROR(BDP($B54&amp;" Action","OFFERING_GREENSHOE_SHARES_EX"),""))</f>
        <v/>
      </c>
      <c r="I54" s="16">
        <f>Database!Z54</f>
        <v/>
      </c>
      <c r="J54" s="24">
        <f>IFERROR(BDP(Database!$A54&amp;" HK Equity","PE_RATIO"),"")</f>
        <v/>
      </c>
      <c r="K54" s="10">
        <f>IFERROR(BDP(Database!$A54&amp;" HK Equity","A/H_SHARE_CONVERSION"),"")</f>
        <v/>
      </c>
      <c r="L54" s="16">
        <f>IF(Database!BA54="","(none found)",Database!BA54)</f>
        <v/>
      </c>
      <c r="M54" s="18">
        <f>IFERROR(BDH(Database!$A54&amp;" HK Equity","CUR_MKT_CAP",Database!$H54,Database!$H54),"")</f>
        <v/>
      </c>
      <c r="N54" s="99">
        <f>Database!Q54</f>
        <v/>
      </c>
      <c r="O54" s="24">
        <f>IFERROR(BDH(Database!$A54&amp;" HK Equity","PE_RATIO",Database!$H54,Database!$H54),"")</f>
        <v/>
      </c>
      <c r="P54" s="101">
        <f>IF(Database!AV54="","(n/m or not derivable)",Database!AV54)</f>
        <v/>
      </c>
      <c r="Q54" s="24">
        <f>IF(Database!BA54="","",IFERROR(BDH(LEFT(Database!BA54,FIND(".",Database!BA54)-1)&amp;" CH Equity","PE_RATIO",Database!$H54,Database!$H54),""))</f>
        <v/>
      </c>
      <c r="R54" s="24">
        <f>IF(Database!BA54="","",IFERROR(BDH("HSAHP Index","PX_LAST",Database!$H54,Database!$H54),""))</f>
        <v/>
      </c>
    </row>
    <row r="55">
      <c r="A55" s="16">
        <f>Database!A55&amp;"  "&amp;Database!B55</f>
        <v/>
      </c>
      <c r="B55" s="10">
        <f>IFERROR(INDEX(BDS(Database!$A55&amp;" HK Equity","EQUITY_OFFERINGS","array=t","endcol=1"),MATCH("IPO",BDS(Database!$A55&amp;" HK Equity","EQUITY_OFFERINGS","array=t","startcol=2","endcol=2"),0)),"")</f>
        <v/>
      </c>
      <c r="C55" s="103">
        <f>IF($B55="","",IFERROR(BDP($B55&amp;" Action","CP036"),""))</f>
        <v/>
      </c>
      <c r="D55" s="104">
        <f>Database!S55</f>
        <v/>
      </c>
      <c r="E55" s="103">
        <f>IF($B55="","",IFERROR(BDP($B55&amp;" Action","CP037"),""))</f>
        <v/>
      </c>
      <c r="F55" s="104">
        <f>Database!T55</f>
        <v/>
      </c>
      <c r="G55" s="103">
        <f>IF($B55="","",IFERROR(BDP($B55&amp;" Action","GREENSHOE_FACILITY"),""))</f>
        <v/>
      </c>
      <c r="H55" s="103">
        <f>IF($B55="","",IFERROR(BDP($B55&amp;" Action","OFFERING_GREENSHOE_SHARES_EX"),""))</f>
        <v/>
      </c>
      <c r="I55" s="16">
        <f>Database!Z55</f>
        <v/>
      </c>
      <c r="J55" s="24">
        <f>IFERROR(BDP(Database!$A55&amp;" HK Equity","PE_RATIO"),"")</f>
        <v/>
      </c>
      <c r="K55" s="10">
        <f>IFERROR(BDP(Database!$A55&amp;" HK Equity","A/H_SHARE_CONVERSION"),"")</f>
        <v/>
      </c>
      <c r="L55" s="16">
        <f>IF(Database!BA55="","(none found)",Database!BA55)</f>
        <v/>
      </c>
      <c r="M55" s="18">
        <f>IFERROR(BDH(Database!$A55&amp;" HK Equity","CUR_MKT_CAP",Database!$H55,Database!$H55),"")</f>
        <v/>
      </c>
      <c r="N55" s="99">
        <f>Database!Q55</f>
        <v/>
      </c>
      <c r="O55" s="24">
        <f>IFERROR(BDH(Database!$A55&amp;" HK Equity","PE_RATIO",Database!$H55,Database!$H55),"")</f>
        <v/>
      </c>
      <c r="P55" s="101">
        <f>IF(Database!AV55="","(n/m or not derivable)",Database!AV55)</f>
        <v/>
      </c>
      <c r="Q55" s="24">
        <f>IF(Database!BA55="","",IFERROR(BDH(LEFT(Database!BA55,FIND(".",Database!BA55)-1)&amp;" CH Equity","PE_RATIO",Database!$H55,Database!$H55),""))</f>
        <v/>
      </c>
      <c r="R55" s="24">
        <f>IF(Database!BA55="","",IFERROR(BDH("HSAHP Index","PX_LAST",Database!$H55,Database!$H55),""))</f>
        <v/>
      </c>
    </row>
    <row r="56">
      <c r="A56" s="16">
        <f>Database!A56&amp;"  "&amp;Database!B56</f>
        <v/>
      </c>
      <c r="B56" s="10">
        <f>IFERROR(INDEX(BDS(Database!$A56&amp;" HK Equity","EQUITY_OFFERINGS","array=t","endcol=1"),MATCH("IPO",BDS(Database!$A56&amp;" HK Equity","EQUITY_OFFERINGS","array=t","startcol=2","endcol=2"),0)),"")</f>
        <v/>
      </c>
      <c r="C56" s="103">
        <f>IF($B56="","",IFERROR(BDP($B56&amp;" Action","CP036"),""))</f>
        <v/>
      </c>
      <c r="D56" s="104">
        <f>Database!S56</f>
        <v/>
      </c>
      <c r="E56" s="103">
        <f>IF($B56="","",IFERROR(BDP($B56&amp;" Action","CP037"),""))</f>
        <v/>
      </c>
      <c r="F56" s="104">
        <f>Database!T56</f>
        <v/>
      </c>
      <c r="G56" s="103">
        <f>IF($B56="","",IFERROR(BDP($B56&amp;" Action","GREENSHOE_FACILITY"),""))</f>
        <v/>
      </c>
      <c r="H56" s="103">
        <f>IF($B56="","",IFERROR(BDP($B56&amp;" Action","OFFERING_GREENSHOE_SHARES_EX"),""))</f>
        <v/>
      </c>
      <c r="I56" s="16">
        <f>Database!Z56</f>
        <v/>
      </c>
      <c r="J56" s="24">
        <f>IFERROR(BDP(Database!$A56&amp;" HK Equity","PE_RATIO"),"")</f>
        <v/>
      </c>
      <c r="K56" s="10">
        <f>IFERROR(BDP(Database!$A56&amp;" HK Equity","A/H_SHARE_CONVERSION"),"")</f>
        <v/>
      </c>
      <c r="L56" s="16">
        <f>IF(Database!BA56="","(none found)",Database!BA56)</f>
        <v/>
      </c>
      <c r="M56" s="18">
        <f>IFERROR(BDH(Database!$A56&amp;" HK Equity","CUR_MKT_CAP",Database!$H56,Database!$H56),"")</f>
        <v/>
      </c>
      <c r="N56" s="99">
        <f>Database!Q56</f>
        <v/>
      </c>
      <c r="O56" s="24">
        <f>IFERROR(BDH(Database!$A56&amp;" HK Equity","PE_RATIO",Database!$H56,Database!$H56),"")</f>
        <v/>
      </c>
      <c r="P56" s="101">
        <f>IF(Database!AV56="","(n/m or not derivable)",Database!AV56)</f>
        <v/>
      </c>
      <c r="Q56" s="24">
        <f>IF(Database!BA56="","",IFERROR(BDH(LEFT(Database!BA56,FIND(".",Database!BA56)-1)&amp;" CH Equity","PE_RATIO",Database!$H56,Database!$H56),""))</f>
        <v/>
      </c>
      <c r="R56" s="24">
        <f>IF(Database!BA56="","",IFERROR(BDH("HSAHP Index","PX_LAST",Database!$H56,Database!$H56),""))</f>
        <v/>
      </c>
    </row>
    <row r="57">
      <c r="A57" s="16">
        <f>Database!A57&amp;"  "&amp;Database!B57</f>
        <v/>
      </c>
      <c r="B57" s="10">
        <f>IFERROR(INDEX(BDS(Database!$A57&amp;" HK Equity","EQUITY_OFFERINGS","array=t","endcol=1"),MATCH("IPO",BDS(Database!$A57&amp;" HK Equity","EQUITY_OFFERINGS","array=t","startcol=2","endcol=2"),0)),"")</f>
        <v/>
      </c>
      <c r="C57" s="103">
        <f>IF($B57="","",IFERROR(BDP($B57&amp;" Action","CP036"),""))</f>
        <v/>
      </c>
      <c r="D57" s="104">
        <f>Database!S57</f>
        <v/>
      </c>
      <c r="E57" s="103">
        <f>IF($B57="","",IFERROR(BDP($B57&amp;" Action","CP037"),""))</f>
        <v/>
      </c>
      <c r="F57" s="104">
        <f>Database!T57</f>
        <v/>
      </c>
      <c r="G57" s="103">
        <f>IF($B57="","",IFERROR(BDP($B57&amp;" Action","GREENSHOE_FACILITY"),""))</f>
        <v/>
      </c>
      <c r="H57" s="103">
        <f>IF($B57="","",IFERROR(BDP($B57&amp;" Action","OFFERING_GREENSHOE_SHARES_EX"),""))</f>
        <v/>
      </c>
      <c r="I57" s="16">
        <f>Database!Z57</f>
        <v/>
      </c>
      <c r="J57" s="24">
        <f>IFERROR(BDP(Database!$A57&amp;" HK Equity","PE_RATIO"),"")</f>
        <v/>
      </c>
      <c r="K57" s="10">
        <f>IFERROR(BDP(Database!$A57&amp;" HK Equity","A/H_SHARE_CONVERSION"),"")</f>
        <v/>
      </c>
      <c r="L57" s="16">
        <f>IF(Database!BA57="","(none found)",Database!BA57)</f>
        <v/>
      </c>
      <c r="M57" s="18">
        <f>IFERROR(BDH(Database!$A57&amp;" HK Equity","CUR_MKT_CAP",Database!$H57,Database!$H57),"")</f>
        <v/>
      </c>
      <c r="N57" s="99">
        <f>Database!Q57</f>
        <v/>
      </c>
      <c r="O57" s="24">
        <f>IFERROR(BDH(Database!$A57&amp;" HK Equity","PE_RATIO",Database!$H57,Database!$H57),"")</f>
        <v/>
      </c>
      <c r="P57" s="101">
        <f>IF(Database!AV57="","(n/m or not derivable)",Database!AV57)</f>
        <v/>
      </c>
      <c r="Q57" s="24">
        <f>IF(Database!BA57="","",IFERROR(BDH(LEFT(Database!BA57,FIND(".",Database!BA57)-1)&amp;" CH Equity","PE_RATIO",Database!$H57,Database!$H57),""))</f>
        <v/>
      </c>
      <c r="R57" s="24">
        <f>IF(Database!BA57="","",IFERROR(BDH("HSAHP Index","PX_LAST",Database!$H57,Database!$H57),""))</f>
        <v/>
      </c>
    </row>
    <row r="58">
      <c r="A58" s="16">
        <f>Database!A58&amp;"  "&amp;Database!B58</f>
        <v/>
      </c>
      <c r="B58" s="10">
        <f>IFERROR(INDEX(BDS(Database!$A58&amp;" HK Equity","EQUITY_OFFERINGS","array=t","endcol=1"),MATCH("IPO",BDS(Database!$A58&amp;" HK Equity","EQUITY_OFFERINGS","array=t","startcol=2","endcol=2"),0)),"")</f>
        <v/>
      </c>
      <c r="C58" s="103">
        <f>IF($B58="","",IFERROR(BDP($B58&amp;" Action","CP036"),""))</f>
        <v/>
      </c>
      <c r="D58" s="104">
        <f>Database!S58</f>
        <v/>
      </c>
      <c r="E58" s="103">
        <f>IF($B58="","",IFERROR(BDP($B58&amp;" Action","CP037"),""))</f>
        <v/>
      </c>
      <c r="F58" s="104">
        <f>Database!T58</f>
        <v/>
      </c>
      <c r="G58" s="103">
        <f>IF($B58="","",IFERROR(BDP($B58&amp;" Action","GREENSHOE_FACILITY"),""))</f>
        <v/>
      </c>
      <c r="H58" s="103">
        <f>IF($B58="","",IFERROR(BDP($B58&amp;" Action","OFFERING_GREENSHOE_SHARES_EX"),""))</f>
        <v/>
      </c>
      <c r="I58" s="16">
        <f>Database!Z58</f>
        <v/>
      </c>
      <c r="J58" s="24">
        <f>IFERROR(BDP(Database!$A58&amp;" HK Equity","PE_RATIO"),"")</f>
        <v/>
      </c>
      <c r="K58" s="10">
        <f>IFERROR(BDP(Database!$A58&amp;" HK Equity","A/H_SHARE_CONVERSION"),"")</f>
        <v/>
      </c>
      <c r="L58" s="16">
        <f>IF(Database!BA58="","(none found)",Database!BA58)</f>
        <v/>
      </c>
      <c r="M58" s="18">
        <f>IFERROR(BDH(Database!$A58&amp;" HK Equity","CUR_MKT_CAP",Database!$H58,Database!$H58),"")</f>
        <v/>
      </c>
      <c r="N58" s="99">
        <f>Database!Q58</f>
        <v/>
      </c>
      <c r="O58" s="24">
        <f>IFERROR(BDH(Database!$A58&amp;" HK Equity","PE_RATIO",Database!$H58,Database!$H58),"")</f>
        <v/>
      </c>
      <c r="P58" s="101">
        <f>IF(Database!AV58="","(n/m or not derivable)",Database!AV58)</f>
        <v/>
      </c>
      <c r="Q58" s="24">
        <f>IF(Database!BA58="","",IFERROR(BDH(LEFT(Database!BA58,FIND(".",Database!BA58)-1)&amp;" CH Equity","PE_RATIO",Database!$H58,Database!$H58),""))</f>
        <v/>
      </c>
      <c r="R58" s="24">
        <f>IF(Database!BA58="","",IFERROR(BDH("HSAHP Index","PX_LAST",Database!$H58,Database!$H58),""))</f>
        <v/>
      </c>
    </row>
    <row r="59">
      <c r="A59" s="16">
        <f>Database!A59&amp;"  "&amp;Database!B59</f>
        <v/>
      </c>
      <c r="B59" s="10">
        <f>IFERROR(INDEX(BDS(Database!$A59&amp;" HK Equity","EQUITY_OFFERINGS","array=t","endcol=1"),MATCH("IPO",BDS(Database!$A59&amp;" HK Equity","EQUITY_OFFERINGS","array=t","startcol=2","endcol=2"),0)),"")</f>
        <v/>
      </c>
      <c r="C59" s="103">
        <f>IF($B59="","",IFERROR(BDP($B59&amp;" Action","CP036"),""))</f>
        <v/>
      </c>
      <c r="D59" s="104">
        <f>Database!S59</f>
        <v/>
      </c>
      <c r="E59" s="103">
        <f>IF($B59="","",IFERROR(BDP($B59&amp;" Action","CP037"),""))</f>
        <v/>
      </c>
      <c r="F59" s="104">
        <f>Database!T59</f>
        <v/>
      </c>
      <c r="G59" s="103">
        <f>IF($B59="","",IFERROR(BDP($B59&amp;" Action","GREENSHOE_FACILITY"),""))</f>
        <v/>
      </c>
      <c r="H59" s="103">
        <f>IF($B59="","",IFERROR(BDP($B59&amp;" Action","OFFERING_GREENSHOE_SHARES_EX"),""))</f>
        <v/>
      </c>
      <c r="I59" s="16">
        <f>Database!Z59</f>
        <v/>
      </c>
      <c r="J59" s="24">
        <f>IFERROR(BDP(Database!$A59&amp;" HK Equity","PE_RATIO"),"")</f>
        <v/>
      </c>
      <c r="K59" s="10">
        <f>IFERROR(BDP(Database!$A59&amp;" HK Equity","A/H_SHARE_CONVERSION"),"")</f>
        <v/>
      </c>
      <c r="L59" s="16">
        <f>IF(Database!BA59="","(none found)",Database!BA59)</f>
        <v/>
      </c>
      <c r="M59" s="18">
        <f>IFERROR(BDH(Database!$A59&amp;" HK Equity","CUR_MKT_CAP",Database!$H59,Database!$H59),"")</f>
        <v/>
      </c>
      <c r="N59" s="99">
        <f>Database!Q59</f>
        <v/>
      </c>
      <c r="O59" s="24">
        <f>IFERROR(BDH(Database!$A59&amp;" HK Equity","PE_RATIO",Database!$H59,Database!$H59),"")</f>
        <v/>
      </c>
      <c r="P59" s="101">
        <f>IF(Database!AV59="","(n/m or not derivable)",Database!AV59)</f>
        <v/>
      </c>
      <c r="Q59" s="24">
        <f>IF(Database!BA59="","",IFERROR(BDH(LEFT(Database!BA59,FIND(".",Database!BA59)-1)&amp;" CH Equity","PE_RATIO",Database!$H59,Database!$H59),""))</f>
        <v/>
      </c>
      <c r="R59" s="24">
        <f>IF(Database!BA59="","",IFERROR(BDH("HSAHP Index","PX_LAST",Database!$H59,Database!$H59),""))</f>
        <v/>
      </c>
    </row>
    <row r="60">
      <c r="A60" s="16">
        <f>Database!A60&amp;"  "&amp;Database!B60</f>
        <v/>
      </c>
      <c r="B60" s="10">
        <f>IFERROR(INDEX(BDS(Database!$A60&amp;" HK Equity","EQUITY_OFFERINGS","array=t","endcol=1"),MATCH("IPO",BDS(Database!$A60&amp;" HK Equity","EQUITY_OFFERINGS","array=t","startcol=2","endcol=2"),0)),"")</f>
        <v/>
      </c>
      <c r="C60" s="103">
        <f>IF($B60="","",IFERROR(BDP($B60&amp;" Action","CP036"),""))</f>
        <v/>
      </c>
      <c r="D60" s="104">
        <f>Database!S60</f>
        <v/>
      </c>
      <c r="E60" s="103">
        <f>IF($B60="","",IFERROR(BDP($B60&amp;" Action","CP037"),""))</f>
        <v/>
      </c>
      <c r="F60" s="104">
        <f>Database!T60</f>
        <v/>
      </c>
      <c r="G60" s="103">
        <f>IF($B60="","",IFERROR(BDP($B60&amp;" Action","GREENSHOE_FACILITY"),""))</f>
        <v/>
      </c>
      <c r="H60" s="103">
        <f>IF($B60="","",IFERROR(BDP($B60&amp;" Action","OFFERING_GREENSHOE_SHARES_EX"),""))</f>
        <v/>
      </c>
      <c r="I60" s="16">
        <f>Database!Z60</f>
        <v/>
      </c>
      <c r="J60" s="24">
        <f>IFERROR(BDP(Database!$A60&amp;" HK Equity","PE_RATIO"),"")</f>
        <v/>
      </c>
      <c r="K60" s="10">
        <f>IFERROR(BDP(Database!$A60&amp;" HK Equity","A/H_SHARE_CONVERSION"),"")</f>
        <v/>
      </c>
      <c r="L60" s="16">
        <f>IF(Database!BA60="","(none found)",Database!BA60)</f>
        <v/>
      </c>
      <c r="M60" s="18">
        <f>IFERROR(BDH(Database!$A60&amp;" HK Equity","CUR_MKT_CAP",Database!$H60,Database!$H60),"")</f>
        <v/>
      </c>
      <c r="N60" s="99">
        <f>Database!Q60</f>
        <v/>
      </c>
      <c r="O60" s="24">
        <f>IFERROR(BDH(Database!$A60&amp;" HK Equity","PE_RATIO",Database!$H60,Database!$H60),"")</f>
        <v/>
      </c>
      <c r="P60" s="101">
        <f>IF(Database!AV60="","(n/m or not derivable)",Database!AV60)</f>
        <v/>
      </c>
      <c r="Q60" s="24">
        <f>IF(Database!BA60="","",IFERROR(BDH(LEFT(Database!BA60,FIND(".",Database!BA60)-1)&amp;" CH Equity","PE_RATIO",Database!$H60,Database!$H60),""))</f>
        <v/>
      </c>
      <c r="R60" s="24">
        <f>IF(Database!BA60="","",IFERROR(BDH("HSAHP Index","PX_LAST",Database!$H60,Database!$H60),""))</f>
        <v/>
      </c>
    </row>
    <row r="61">
      <c r="A61" s="16">
        <f>Database!A61&amp;"  "&amp;Database!B61</f>
        <v/>
      </c>
      <c r="B61" s="10">
        <f>IFERROR(INDEX(BDS(Database!$A61&amp;" HK Equity","EQUITY_OFFERINGS","array=t","endcol=1"),MATCH("IPO",BDS(Database!$A61&amp;" HK Equity","EQUITY_OFFERINGS","array=t","startcol=2","endcol=2"),0)),"")</f>
        <v/>
      </c>
      <c r="C61" s="103">
        <f>IF($B61="","",IFERROR(BDP($B61&amp;" Action","CP036"),""))</f>
        <v/>
      </c>
      <c r="D61" s="104">
        <f>Database!S61</f>
        <v/>
      </c>
      <c r="E61" s="103">
        <f>IF($B61="","",IFERROR(BDP($B61&amp;" Action","CP037"),""))</f>
        <v/>
      </c>
      <c r="F61" s="104">
        <f>Database!T61</f>
        <v/>
      </c>
      <c r="G61" s="103">
        <f>IF($B61="","",IFERROR(BDP($B61&amp;" Action","GREENSHOE_FACILITY"),""))</f>
        <v/>
      </c>
      <c r="H61" s="103">
        <f>IF($B61="","",IFERROR(BDP($B61&amp;" Action","OFFERING_GREENSHOE_SHARES_EX"),""))</f>
        <v/>
      </c>
      <c r="I61" s="16">
        <f>Database!Z61</f>
        <v/>
      </c>
      <c r="J61" s="24">
        <f>IFERROR(BDP(Database!$A61&amp;" HK Equity","PE_RATIO"),"")</f>
        <v/>
      </c>
      <c r="K61" s="10">
        <f>IFERROR(BDP(Database!$A61&amp;" HK Equity","A/H_SHARE_CONVERSION"),"")</f>
        <v/>
      </c>
      <c r="L61" s="16">
        <f>IF(Database!BA61="","(none found)",Database!BA61)</f>
        <v/>
      </c>
      <c r="M61" s="18">
        <f>IFERROR(BDH(Database!$A61&amp;" HK Equity","CUR_MKT_CAP",Database!$H61,Database!$H61),"")</f>
        <v/>
      </c>
      <c r="N61" s="99">
        <f>Database!Q61</f>
        <v/>
      </c>
      <c r="O61" s="24">
        <f>IFERROR(BDH(Database!$A61&amp;" HK Equity","PE_RATIO",Database!$H61,Database!$H61),"")</f>
        <v/>
      </c>
      <c r="P61" s="101">
        <f>IF(Database!AV61="","(n/m or not derivable)",Database!AV61)</f>
        <v/>
      </c>
      <c r="Q61" s="24">
        <f>IF(Database!BA61="","",IFERROR(BDH(LEFT(Database!BA61,FIND(".",Database!BA61)-1)&amp;" CH Equity","PE_RATIO",Database!$H61,Database!$H61),""))</f>
        <v/>
      </c>
      <c r="R61" s="24">
        <f>IF(Database!BA61="","",IFERROR(BDH("HSAHP Index","PX_LAST",Database!$H61,Database!$H61),""))</f>
        <v/>
      </c>
    </row>
    <row r="62">
      <c r="A62" s="16">
        <f>Database!A62&amp;"  "&amp;Database!B62</f>
        <v/>
      </c>
      <c r="B62" s="10">
        <f>IFERROR(INDEX(BDS(Database!$A62&amp;" HK Equity","EQUITY_OFFERINGS","array=t","endcol=1"),MATCH("IPO",BDS(Database!$A62&amp;" HK Equity","EQUITY_OFFERINGS","array=t","startcol=2","endcol=2"),0)),"")</f>
        <v/>
      </c>
      <c r="C62" s="103">
        <f>IF($B62="","",IFERROR(BDP($B62&amp;" Action","CP036"),""))</f>
        <v/>
      </c>
      <c r="D62" s="104">
        <f>Database!S62</f>
        <v/>
      </c>
      <c r="E62" s="103">
        <f>IF($B62="","",IFERROR(BDP($B62&amp;" Action","CP037"),""))</f>
        <v/>
      </c>
      <c r="F62" s="104">
        <f>Database!T62</f>
        <v/>
      </c>
      <c r="G62" s="103">
        <f>IF($B62="","",IFERROR(BDP($B62&amp;" Action","GREENSHOE_FACILITY"),""))</f>
        <v/>
      </c>
      <c r="H62" s="103">
        <f>IF($B62="","",IFERROR(BDP($B62&amp;" Action","OFFERING_GREENSHOE_SHARES_EX"),""))</f>
        <v/>
      </c>
      <c r="I62" s="16">
        <f>Database!Z62</f>
        <v/>
      </c>
      <c r="J62" s="24">
        <f>IFERROR(BDP(Database!$A62&amp;" HK Equity","PE_RATIO"),"")</f>
        <v/>
      </c>
      <c r="K62" s="10">
        <f>IFERROR(BDP(Database!$A62&amp;" HK Equity","A/H_SHARE_CONVERSION"),"")</f>
        <v/>
      </c>
      <c r="L62" s="16">
        <f>IF(Database!BA62="","(none found)",Database!BA62)</f>
        <v/>
      </c>
      <c r="M62" s="18">
        <f>IFERROR(BDH(Database!$A62&amp;" HK Equity","CUR_MKT_CAP",Database!$H62,Database!$H62),"")</f>
        <v/>
      </c>
      <c r="N62" s="99">
        <f>Database!Q62</f>
        <v/>
      </c>
      <c r="O62" s="24">
        <f>IFERROR(BDH(Database!$A62&amp;" HK Equity","PE_RATIO",Database!$H62,Database!$H62),"")</f>
        <v/>
      </c>
      <c r="P62" s="101">
        <f>IF(Database!AV62="","(n/m or not derivable)",Database!AV62)</f>
        <v/>
      </c>
      <c r="Q62" s="24">
        <f>IF(Database!BA62="","",IFERROR(BDH(LEFT(Database!BA62,FIND(".",Database!BA62)-1)&amp;" CH Equity","PE_RATIO",Database!$H62,Database!$H62),""))</f>
        <v/>
      </c>
      <c r="R62" s="24">
        <f>IF(Database!BA62="","",IFERROR(BDH("HSAHP Index","PX_LAST",Database!$H62,Database!$H62),""))</f>
        <v/>
      </c>
    </row>
    <row r="63">
      <c r="A63" s="16">
        <f>Database!A63&amp;"  "&amp;Database!B63</f>
        <v/>
      </c>
      <c r="B63" s="10">
        <f>IFERROR(INDEX(BDS(Database!$A63&amp;" HK Equity","EQUITY_OFFERINGS","array=t","endcol=1"),MATCH("IPO",BDS(Database!$A63&amp;" HK Equity","EQUITY_OFFERINGS","array=t","startcol=2","endcol=2"),0)),"")</f>
        <v/>
      </c>
      <c r="C63" s="103">
        <f>IF($B63="","",IFERROR(BDP($B63&amp;" Action","CP036"),""))</f>
        <v/>
      </c>
      <c r="D63" s="104">
        <f>Database!S63</f>
        <v/>
      </c>
      <c r="E63" s="103">
        <f>IF($B63="","",IFERROR(BDP($B63&amp;" Action","CP037"),""))</f>
        <v/>
      </c>
      <c r="F63" s="104">
        <f>Database!T63</f>
        <v/>
      </c>
      <c r="G63" s="103">
        <f>IF($B63="","",IFERROR(BDP($B63&amp;" Action","GREENSHOE_FACILITY"),""))</f>
        <v/>
      </c>
      <c r="H63" s="103">
        <f>IF($B63="","",IFERROR(BDP($B63&amp;" Action","OFFERING_GREENSHOE_SHARES_EX"),""))</f>
        <v/>
      </c>
      <c r="I63" s="16">
        <f>Database!Z63</f>
        <v/>
      </c>
      <c r="J63" s="24">
        <f>IFERROR(BDP(Database!$A63&amp;" HK Equity","PE_RATIO"),"")</f>
        <v/>
      </c>
      <c r="K63" s="10">
        <f>IFERROR(BDP(Database!$A63&amp;" HK Equity","A/H_SHARE_CONVERSION"),"")</f>
        <v/>
      </c>
      <c r="L63" s="16">
        <f>IF(Database!BA63="","(none found)",Database!BA63)</f>
        <v/>
      </c>
      <c r="M63" s="18">
        <f>IFERROR(BDH(Database!$A63&amp;" HK Equity","CUR_MKT_CAP",Database!$H63,Database!$H63),"")</f>
        <v/>
      </c>
      <c r="N63" s="99">
        <f>Database!Q63</f>
        <v/>
      </c>
      <c r="O63" s="24">
        <f>IFERROR(BDH(Database!$A63&amp;" HK Equity","PE_RATIO",Database!$H63,Database!$H63),"")</f>
        <v/>
      </c>
      <c r="P63" s="101">
        <f>IF(Database!AV63="","(n/m or not derivable)",Database!AV63)</f>
        <v/>
      </c>
      <c r="Q63" s="24">
        <f>IF(Database!BA63="","",IFERROR(BDH(LEFT(Database!BA63,FIND(".",Database!BA63)-1)&amp;" CH Equity","PE_RATIO",Database!$H63,Database!$H63),""))</f>
        <v/>
      </c>
      <c r="R63" s="24">
        <f>IF(Database!BA63="","",IFERROR(BDH("HSAHP Index","PX_LAST",Database!$H63,Database!$H63),""))</f>
        <v/>
      </c>
    </row>
    <row r="64">
      <c r="A64" s="16">
        <f>Database!A64&amp;"  "&amp;Database!B64</f>
        <v/>
      </c>
      <c r="B64" s="10">
        <f>IFERROR(INDEX(BDS(Database!$A64&amp;" HK Equity","EQUITY_OFFERINGS","array=t","endcol=1"),MATCH("IPO",BDS(Database!$A64&amp;" HK Equity","EQUITY_OFFERINGS","array=t","startcol=2","endcol=2"),0)),"")</f>
        <v/>
      </c>
      <c r="C64" s="103">
        <f>IF($B64="","",IFERROR(BDP($B64&amp;" Action","CP036"),""))</f>
        <v/>
      </c>
      <c r="D64" s="104">
        <f>Database!S64</f>
        <v/>
      </c>
      <c r="E64" s="103">
        <f>IF($B64="","",IFERROR(BDP($B64&amp;" Action","CP037"),""))</f>
        <v/>
      </c>
      <c r="F64" s="104">
        <f>Database!T64</f>
        <v/>
      </c>
      <c r="G64" s="103">
        <f>IF($B64="","",IFERROR(BDP($B64&amp;" Action","GREENSHOE_FACILITY"),""))</f>
        <v/>
      </c>
      <c r="H64" s="103">
        <f>IF($B64="","",IFERROR(BDP($B64&amp;" Action","OFFERING_GREENSHOE_SHARES_EX"),""))</f>
        <v/>
      </c>
      <c r="I64" s="16">
        <f>Database!Z64</f>
        <v/>
      </c>
      <c r="J64" s="24">
        <f>IFERROR(BDP(Database!$A64&amp;" HK Equity","PE_RATIO"),"")</f>
        <v/>
      </c>
      <c r="K64" s="10">
        <f>IFERROR(BDP(Database!$A64&amp;" HK Equity","A/H_SHARE_CONVERSION"),"")</f>
        <v/>
      </c>
      <c r="L64" s="16">
        <f>IF(Database!BA64="","(none found)",Database!BA64)</f>
        <v/>
      </c>
      <c r="M64" s="18">
        <f>IFERROR(BDH(Database!$A64&amp;" HK Equity","CUR_MKT_CAP",Database!$H64,Database!$H64),"")</f>
        <v/>
      </c>
      <c r="N64" s="99">
        <f>Database!Q64</f>
        <v/>
      </c>
      <c r="O64" s="24">
        <f>IFERROR(BDH(Database!$A64&amp;" HK Equity","PE_RATIO",Database!$H64,Database!$H64),"")</f>
        <v/>
      </c>
      <c r="P64" s="101">
        <f>IF(Database!AV64="","(n/m or not derivable)",Database!AV64)</f>
        <v/>
      </c>
      <c r="Q64" s="24">
        <f>IF(Database!BA64="","",IFERROR(BDH(LEFT(Database!BA64,FIND(".",Database!BA64)-1)&amp;" CH Equity","PE_RATIO",Database!$H64,Database!$H64),""))</f>
        <v/>
      </c>
      <c r="R64" s="24">
        <f>IF(Database!BA64="","",IFERROR(BDH("HSAHP Index","PX_LAST",Database!$H64,Database!$H64),""))</f>
        <v/>
      </c>
    </row>
    <row r="65">
      <c r="A65" s="16">
        <f>Database!A65&amp;"  "&amp;Database!B65</f>
        <v/>
      </c>
      <c r="B65" s="10">
        <f>IFERROR(INDEX(BDS(Database!$A65&amp;" HK Equity","EQUITY_OFFERINGS","array=t","endcol=1"),MATCH("IPO",BDS(Database!$A65&amp;" HK Equity","EQUITY_OFFERINGS","array=t","startcol=2","endcol=2"),0)),"")</f>
        <v/>
      </c>
      <c r="C65" s="103">
        <f>IF($B65="","",IFERROR(BDP($B65&amp;" Action","CP036"),""))</f>
        <v/>
      </c>
      <c r="D65" s="104">
        <f>Database!S65</f>
        <v/>
      </c>
      <c r="E65" s="103">
        <f>IF($B65="","",IFERROR(BDP($B65&amp;" Action","CP037"),""))</f>
        <v/>
      </c>
      <c r="F65" s="104">
        <f>Database!T65</f>
        <v/>
      </c>
      <c r="G65" s="103">
        <f>IF($B65="","",IFERROR(BDP($B65&amp;" Action","GREENSHOE_FACILITY"),""))</f>
        <v/>
      </c>
      <c r="H65" s="103">
        <f>IF($B65="","",IFERROR(BDP($B65&amp;" Action","OFFERING_GREENSHOE_SHARES_EX"),""))</f>
        <v/>
      </c>
      <c r="I65" s="16">
        <f>Database!Z65</f>
        <v/>
      </c>
      <c r="J65" s="24">
        <f>IFERROR(BDP(Database!$A65&amp;" HK Equity","PE_RATIO"),"")</f>
        <v/>
      </c>
      <c r="K65" s="10">
        <f>IFERROR(BDP(Database!$A65&amp;" HK Equity","A/H_SHARE_CONVERSION"),"")</f>
        <v/>
      </c>
      <c r="L65" s="16">
        <f>IF(Database!BA65="","(none found)",Database!BA65)</f>
        <v/>
      </c>
      <c r="M65" s="18">
        <f>IFERROR(BDH(Database!$A65&amp;" HK Equity","CUR_MKT_CAP",Database!$H65,Database!$H65),"")</f>
        <v/>
      </c>
      <c r="N65" s="99">
        <f>Database!Q65</f>
        <v/>
      </c>
      <c r="O65" s="24">
        <f>IFERROR(BDH(Database!$A65&amp;" HK Equity","PE_RATIO",Database!$H65,Database!$H65),"")</f>
        <v/>
      </c>
      <c r="P65" s="101">
        <f>IF(Database!AV65="","(n/m or not derivable)",Database!AV65)</f>
        <v/>
      </c>
      <c r="Q65" s="24">
        <f>IF(Database!BA65="","",IFERROR(BDH(LEFT(Database!BA65,FIND(".",Database!BA65)-1)&amp;" CH Equity","PE_RATIO",Database!$H65,Database!$H65),""))</f>
        <v/>
      </c>
      <c r="R65" s="24">
        <f>IF(Database!BA65="","",IFERROR(BDH("HSAHP Index","PX_LAST",Database!$H65,Database!$H65),""))</f>
        <v/>
      </c>
    </row>
    <row r="66">
      <c r="A66" s="16">
        <f>Database!A66&amp;"  "&amp;Database!B66</f>
        <v/>
      </c>
      <c r="B66" s="10">
        <f>IFERROR(INDEX(BDS(Database!$A66&amp;" HK Equity","EQUITY_OFFERINGS","array=t","endcol=1"),MATCH("IPO",BDS(Database!$A66&amp;" HK Equity","EQUITY_OFFERINGS","array=t","startcol=2","endcol=2"),0)),"")</f>
        <v/>
      </c>
      <c r="C66" s="103">
        <f>IF($B66="","",IFERROR(BDP($B66&amp;" Action","CP036"),""))</f>
        <v/>
      </c>
      <c r="D66" s="104">
        <f>Database!S66</f>
        <v/>
      </c>
      <c r="E66" s="103">
        <f>IF($B66="","",IFERROR(BDP($B66&amp;" Action","CP037"),""))</f>
        <v/>
      </c>
      <c r="F66" s="104">
        <f>Database!T66</f>
        <v/>
      </c>
      <c r="G66" s="103">
        <f>IF($B66="","",IFERROR(BDP($B66&amp;" Action","GREENSHOE_FACILITY"),""))</f>
        <v/>
      </c>
      <c r="H66" s="103">
        <f>IF($B66="","",IFERROR(BDP($B66&amp;" Action","OFFERING_GREENSHOE_SHARES_EX"),""))</f>
        <v/>
      </c>
      <c r="I66" s="16">
        <f>Database!Z66</f>
        <v/>
      </c>
      <c r="J66" s="24">
        <f>IFERROR(BDP(Database!$A66&amp;" HK Equity","PE_RATIO"),"")</f>
        <v/>
      </c>
      <c r="K66" s="10">
        <f>IFERROR(BDP(Database!$A66&amp;" HK Equity","A/H_SHARE_CONVERSION"),"")</f>
        <v/>
      </c>
      <c r="L66" s="16">
        <f>IF(Database!BA66="","(none found)",Database!BA66)</f>
        <v/>
      </c>
      <c r="M66" s="18">
        <f>IFERROR(BDH(Database!$A66&amp;" HK Equity","CUR_MKT_CAP",Database!$H66,Database!$H66),"")</f>
        <v/>
      </c>
      <c r="N66" s="99">
        <f>Database!Q66</f>
        <v/>
      </c>
      <c r="O66" s="24">
        <f>IFERROR(BDH(Database!$A66&amp;" HK Equity","PE_RATIO",Database!$H66,Database!$H66),"")</f>
        <v/>
      </c>
      <c r="P66" s="101">
        <f>IF(Database!AV66="","(n/m or not derivable)",Database!AV66)</f>
        <v/>
      </c>
      <c r="Q66" s="24">
        <f>IF(Database!BA66="","",IFERROR(BDH(LEFT(Database!BA66,FIND(".",Database!BA66)-1)&amp;" CH Equity","PE_RATIO",Database!$H66,Database!$H66),""))</f>
        <v/>
      </c>
      <c r="R66" s="24">
        <f>IF(Database!BA66="","",IFERROR(BDH("HSAHP Index","PX_LAST",Database!$H66,Database!$H66),""))</f>
        <v/>
      </c>
    </row>
    <row r="67">
      <c r="A67" s="16">
        <f>Database!A67&amp;"  "&amp;Database!B67</f>
        <v/>
      </c>
      <c r="B67" s="10">
        <f>IFERROR(INDEX(BDS(Database!$A67&amp;" HK Equity","EQUITY_OFFERINGS","array=t","endcol=1"),MATCH("IPO",BDS(Database!$A67&amp;" HK Equity","EQUITY_OFFERINGS","array=t","startcol=2","endcol=2"),0)),"")</f>
        <v/>
      </c>
      <c r="C67" s="103">
        <f>IF($B67="","",IFERROR(BDP($B67&amp;" Action","CP036"),""))</f>
        <v/>
      </c>
      <c r="D67" s="104">
        <f>Database!S67</f>
        <v/>
      </c>
      <c r="E67" s="103">
        <f>IF($B67="","",IFERROR(BDP($B67&amp;" Action","CP037"),""))</f>
        <v/>
      </c>
      <c r="F67" s="104">
        <f>Database!T67</f>
        <v/>
      </c>
      <c r="G67" s="103">
        <f>IF($B67="","",IFERROR(BDP($B67&amp;" Action","GREENSHOE_FACILITY"),""))</f>
        <v/>
      </c>
      <c r="H67" s="103">
        <f>IF($B67="","",IFERROR(BDP($B67&amp;" Action","OFFERING_GREENSHOE_SHARES_EX"),""))</f>
        <v/>
      </c>
      <c r="I67" s="16">
        <f>Database!Z67</f>
        <v/>
      </c>
      <c r="J67" s="24">
        <f>IFERROR(BDP(Database!$A67&amp;" HK Equity","PE_RATIO"),"")</f>
        <v/>
      </c>
      <c r="K67" s="10">
        <f>IFERROR(BDP(Database!$A67&amp;" HK Equity","A/H_SHARE_CONVERSION"),"")</f>
        <v/>
      </c>
      <c r="L67" s="16">
        <f>IF(Database!BA67="","(none found)",Database!BA67)</f>
        <v/>
      </c>
      <c r="M67" s="18">
        <f>IFERROR(BDH(Database!$A67&amp;" HK Equity","CUR_MKT_CAP",Database!$H67,Database!$H67),"")</f>
        <v/>
      </c>
      <c r="N67" s="99">
        <f>Database!Q67</f>
        <v/>
      </c>
      <c r="O67" s="24">
        <f>IFERROR(BDH(Database!$A67&amp;" HK Equity","PE_RATIO",Database!$H67,Database!$H67),"")</f>
        <v/>
      </c>
      <c r="P67" s="101">
        <f>IF(Database!AV67="","(n/m or not derivable)",Database!AV67)</f>
        <v/>
      </c>
      <c r="Q67" s="24">
        <f>IF(Database!BA67="","",IFERROR(BDH(LEFT(Database!BA67,FIND(".",Database!BA67)-1)&amp;" CH Equity","PE_RATIO",Database!$H67,Database!$H67),""))</f>
        <v/>
      </c>
      <c r="R67" s="24">
        <f>IF(Database!BA67="","",IFERROR(BDH("HSAHP Index","PX_LAST",Database!$H67,Database!$H67),""))</f>
        <v/>
      </c>
    </row>
    <row r="68">
      <c r="A68" s="16">
        <f>Database!A68&amp;"  "&amp;Database!B68</f>
        <v/>
      </c>
      <c r="B68" s="10">
        <f>IFERROR(INDEX(BDS(Database!$A68&amp;" HK Equity","EQUITY_OFFERINGS","array=t","endcol=1"),MATCH("IPO",BDS(Database!$A68&amp;" HK Equity","EQUITY_OFFERINGS","array=t","startcol=2","endcol=2"),0)),"")</f>
        <v/>
      </c>
      <c r="C68" s="103">
        <f>IF($B68="","",IFERROR(BDP($B68&amp;" Action","CP036"),""))</f>
        <v/>
      </c>
      <c r="D68" s="104">
        <f>Database!S68</f>
        <v/>
      </c>
      <c r="E68" s="103">
        <f>IF($B68="","",IFERROR(BDP($B68&amp;" Action","CP037"),""))</f>
        <v/>
      </c>
      <c r="F68" s="104">
        <f>Database!T68</f>
        <v/>
      </c>
      <c r="G68" s="103">
        <f>IF($B68="","",IFERROR(BDP($B68&amp;" Action","GREENSHOE_FACILITY"),""))</f>
        <v/>
      </c>
      <c r="H68" s="103">
        <f>IF($B68="","",IFERROR(BDP($B68&amp;" Action","OFFERING_GREENSHOE_SHARES_EX"),""))</f>
        <v/>
      </c>
      <c r="I68" s="16">
        <f>Database!Z68</f>
        <v/>
      </c>
      <c r="J68" s="24">
        <f>IFERROR(BDP(Database!$A68&amp;" HK Equity","PE_RATIO"),"")</f>
        <v/>
      </c>
      <c r="K68" s="10">
        <f>IFERROR(BDP(Database!$A68&amp;" HK Equity","A/H_SHARE_CONVERSION"),"")</f>
        <v/>
      </c>
      <c r="L68" s="16">
        <f>IF(Database!BA68="","(none found)",Database!BA68)</f>
        <v/>
      </c>
      <c r="M68" s="18">
        <f>IFERROR(BDH(Database!$A68&amp;" HK Equity","CUR_MKT_CAP",Database!$H68,Database!$H68),"")</f>
        <v/>
      </c>
      <c r="N68" s="99">
        <f>Database!Q68</f>
        <v/>
      </c>
      <c r="O68" s="24">
        <f>IFERROR(BDH(Database!$A68&amp;" HK Equity","PE_RATIO",Database!$H68,Database!$H68),"")</f>
        <v/>
      </c>
      <c r="P68" s="101">
        <f>IF(Database!AV68="","(n/m or not derivable)",Database!AV68)</f>
        <v/>
      </c>
      <c r="Q68" s="24">
        <f>IF(Database!BA68="","",IFERROR(BDH(LEFT(Database!BA68,FIND(".",Database!BA68)-1)&amp;" CH Equity","PE_RATIO",Database!$H68,Database!$H68),""))</f>
        <v/>
      </c>
      <c r="R68" s="24">
        <f>IF(Database!BA68="","",IFERROR(BDH("HSAHP Index","PX_LAST",Database!$H68,Database!$H68),""))</f>
        <v/>
      </c>
    </row>
    <row r="69">
      <c r="A69" s="16">
        <f>Database!A69&amp;"  "&amp;Database!B69</f>
        <v/>
      </c>
      <c r="B69" s="10">
        <f>IFERROR(INDEX(BDS(Database!$A69&amp;" HK Equity","EQUITY_OFFERINGS","array=t","endcol=1"),MATCH("IPO",BDS(Database!$A69&amp;" HK Equity","EQUITY_OFFERINGS","array=t","startcol=2","endcol=2"),0)),"")</f>
        <v/>
      </c>
      <c r="C69" s="103">
        <f>IF($B69="","",IFERROR(BDP($B69&amp;" Action","CP036"),""))</f>
        <v/>
      </c>
      <c r="D69" s="104">
        <f>Database!S69</f>
        <v/>
      </c>
      <c r="E69" s="103">
        <f>IF($B69="","",IFERROR(BDP($B69&amp;" Action","CP037"),""))</f>
        <v/>
      </c>
      <c r="F69" s="104">
        <f>Database!T69</f>
        <v/>
      </c>
      <c r="G69" s="103">
        <f>IF($B69="","",IFERROR(BDP($B69&amp;" Action","GREENSHOE_FACILITY"),""))</f>
        <v/>
      </c>
      <c r="H69" s="103">
        <f>IF($B69="","",IFERROR(BDP($B69&amp;" Action","OFFERING_GREENSHOE_SHARES_EX"),""))</f>
        <v/>
      </c>
      <c r="I69" s="16">
        <f>Database!Z69</f>
        <v/>
      </c>
      <c r="J69" s="24">
        <f>IFERROR(BDP(Database!$A69&amp;" HK Equity","PE_RATIO"),"")</f>
        <v/>
      </c>
      <c r="K69" s="10">
        <f>IFERROR(BDP(Database!$A69&amp;" HK Equity","A/H_SHARE_CONVERSION"),"")</f>
        <v/>
      </c>
      <c r="L69" s="16">
        <f>IF(Database!BA69="","(none found)",Database!BA69)</f>
        <v/>
      </c>
      <c r="M69" s="18">
        <f>IFERROR(BDH(Database!$A69&amp;" HK Equity","CUR_MKT_CAP",Database!$H69,Database!$H69),"")</f>
        <v/>
      </c>
      <c r="N69" s="99">
        <f>Database!Q69</f>
        <v/>
      </c>
      <c r="O69" s="24">
        <f>IFERROR(BDH(Database!$A69&amp;" HK Equity","PE_RATIO",Database!$H69,Database!$H69),"")</f>
        <v/>
      </c>
      <c r="P69" s="101">
        <f>IF(Database!AV69="","(n/m or not derivable)",Database!AV69)</f>
        <v/>
      </c>
      <c r="Q69" s="24">
        <f>IF(Database!BA69="","",IFERROR(BDH(LEFT(Database!BA69,FIND(".",Database!BA69)-1)&amp;" CH Equity","PE_RATIO",Database!$H69,Database!$H69),""))</f>
        <v/>
      </c>
      <c r="R69" s="24">
        <f>IF(Database!BA69="","",IFERROR(BDH("HSAHP Index","PX_LAST",Database!$H69,Database!$H69),""))</f>
        <v/>
      </c>
    </row>
    <row r="70">
      <c r="A70" s="16">
        <f>Database!A70&amp;"  "&amp;Database!B70</f>
        <v/>
      </c>
      <c r="B70" s="10">
        <f>IFERROR(INDEX(BDS(Database!$A70&amp;" HK Equity","EQUITY_OFFERINGS","array=t","endcol=1"),MATCH("IPO",BDS(Database!$A70&amp;" HK Equity","EQUITY_OFFERINGS","array=t","startcol=2","endcol=2"),0)),"")</f>
        <v/>
      </c>
      <c r="C70" s="103">
        <f>IF($B70="","",IFERROR(BDP($B70&amp;" Action","CP036"),""))</f>
        <v/>
      </c>
      <c r="D70" s="104">
        <f>Database!S70</f>
        <v/>
      </c>
      <c r="E70" s="103">
        <f>IF($B70="","",IFERROR(BDP($B70&amp;" Action","CP037"),""))</f>
        <v/>
      </c>
      <c r="F70" s="104">
        <f>Database!T70</f>
        <v/>
      </c>
      <c r="G70" s="103">
        <f>IF($B70="","",IFERROR(BDP($B70&amp;" Action","GREENSHOE_FACILITY"),""))</f>
        <v/>
      </c>
      <c r="H70" s="103">
        <f>IF($B70="","",IFERROR(BDP($B70&amp;" Action","OFFERING_GREENSHOE_SHARES_EX"),""))</f>
        <v/>
      </c>
      <c r="I70" s="16">
        <f>Database!Z70</f>
        <v/>
      </c>
      <c r="J70" s="24">
        <f>IFERROR(BDP(Database!$A70&amp;" HK Equity","PE_RATIO"),"")</f>
        <v/>
      </c>
      <c r="K70" s="10">
        <f>IFERROR(BDP(Database!$A70&amp;" HK Equity","A/H_SHARE_CONVERSION"),"")</f>
        <v/>
      </c>
      <c r="L70" s="16">
        <f>IF(Database!BA70="","(none found)",Database!BA70)</f>
        <v/>
      </c>
      <c r="M70" s="18">
        <f>IFERROR(BDH(Database!$A70&amp;" HK Equity","CUR_MKT_CAP",Database!$H70,Database!$H70),"")</f>
        <v/>
      </c>
      <c r="N70" s="99">
        <f>Database!Q70</f>
        <v/>
      </c>
      <c r="O70" s="24">
        <f>IFERROR(BDH(Database!$A70&amp;" HK Equity","PE_RATIO",Database!$H70,Database!$H70),"")</f>
        <v/>
      </c>
      <c r="P70" s="101">
        <f>IF(Database!AV70="","(n/m or not derivable)",Database!AV70)</f>
        <v/>
      </c>
      <c r="Q70" s="24">
        <f>IF(Database!BA70="","",IFERROR(BDH(LEFT(Database!BA70,FIND(".",Database!BA70)-1)&amp;" CH Equity","PE_RATIO",Database!$H70,Database!$H70),""))</f>
        <v/>
      </c>
      <c r="R70" s="24">
        <f>IF(Database!BA70="","",IFERROR(BDH("HSAHP Index","PX_LAST",Database!$H70,Database!$H70),""))</f>
        <v/>
      </c>
    </row>
    <row r="71">
      <c r="A71" s="16">
        <f>Database!A71&amp;"  "&amp;Database!B71</f>
        <v/>
      </c>
      <c r="B71" s="10">
        <f>IFERROR(INDEX(BDS(Database!$A71&amp;" HK Equity","EQUITY_OFFERINGS","array=t","endcol=1"),MATCH("IPO",BDS(Database!$A71&amp;" HK Equity","EQUITY_OFFERINGS","array=t","startcol=2","endcol=2"),0)),"")</f>
        <v/>
      </c>
      <c r="C71" s="103">
        <f>IF($B71="","",IFERROR(BDP($B71&amp;" Action","CP036"),""))</f>
        <v/>
      </c>
      <c r="D71" s="104">
        <f>Database!S71</f>
        <v/>
      </c>
      <c r="E71" s="103">
        <f>IF($B71="","",IFERROR(BDP($B71&amp;" Action","CP037"),""))</f>
        <v/>
      </c>
      <c r="F71" s="104">
        <f>Database!T71</f>
        <v/>
      </c>
      <c r="G71" s="103">
        <f>IF($B71="","",IFERROR(BDP($B71&amp;" Action","GREENSHOE_FACILITY"),""))</f>
        <v/>
      </c>
      <c r="H71" s="103">
        <f>IF($B71="","",IFERROR(BDP($B71&amp;" Action","OFFERING_GREENSHOE_SHARES_EX"),""))</f>
        <v/>
      </c>
      <c r="I71" s="16">
        <f>Database!Z71</f>
        <v/>
      </c>
      <c r="J71" s="24">
        <f>IFERROR(BDP(Database!$A71&amp;" HK Equity","PE_RATIO"),"")</f>
        <v/>
      </c>
      <c r="K71" s="10">
        <f>IFERROR(BDP(Database!$A71&amp;" HK Equity","A/H_SHARE_CONVERSION"),"")</f>
        <v/>
      </c>
      <c r="L71" s="16">
        <f>IF(Database!BA71="","(none found)",Database!BA71)</f>
        <v/>
      </c>
      <c r="M71" s="18">
        <f>IFERROR(BDH(Database!$A71&amp;" HK Equity","CUR_MKT_CAP",Database!$H71,Database!$H71),"")</f>
        <v/>
      </c>
      <c r="N71" s="99">
        <f>Database!Q71</f>
        <v/>
      </c>
      <c r="O71" s="24">
        <f>IFERROR(BDH(Database!$A71&amp;" HK Equity","PE_RATIO",Database!$H71,Database!$H71),"")</f>
        <v/>
      </c>
      <c r="P71" s="101">
        <f>IF(Database!AV71="","(n/m or not derivable)",Database!AV71)</f>
        <v/>
      </c>
      <c r="Q71" s="24">
        <f>IF(Database!BA71="","",IFERROR(BDH(LEFT(Database!BA71,FIND(".",Database!BA71)-1)&amp;" CH Equity","PE_RATIO",Database!$H71,Database!$H71),""))</f>
        <v/>
      </c>
      <c r="R71" s="24">
        <f>IF(Database!BA71="","",IFERROR(BDH("HSAHP Index","PX_LAST",Database!$H71,Database!$H71),""))</f>
        <v/>
      </c>
    </row>
    <row r="72">
      <c r="A72" s="16">
        <f>Database!A72&amp;"  "&amp;Database!B72</f>
        <v/>
      </c>
      <c r="B72" s="10">
        <f>IFERROR(INDEX(BDS(Database!$A72&amp;" HK Equity","EQUITY_OFFERINGS","array=t","endcol=1"),MATCH("IPO",BDS(Database!$A72&amp;" HK Equity","EQUITY_OFFERINGS","array=t","startcol=2","endcol=2"),0)),"")</f>
        <v/>
      </c>
      <c r="C72" s="103">
        <f>IF($B72="","",IFERROR(BDP($B72&amp;" Action","CP036"),""))</f>
        <v/>
      </c>
      <c r="D72" s="104">
        <f>Database!S72</f>
        <v/>
      </c>
      <c r="E72" s="103">
        <f>IF($B72="","",IFERROR(BDP($B72&amp;" Action","CP037"),""))</f>
        <v/>
      </c>
      <c r="F72" s="104">
        <f>Database!T72</f>
        <v/>
      </c>
      <c r="G72" s="103">
        <f>IF($B72="","",IFERROR(BDP($B72&amp;" Action","GREENSHOE_FACILITY"),""))</f>
        <v/>
      </c>
      <c r="H72" s="103">
        <f>IF($B72="","",IFERROR(BDP($B72&amp;" Action","OFFERING_GREENSHOE_SHARES_EX"),""))</f>
        <v/>
      </c>
      <c r="I72" s="16">
        <f>Database!Z72</f>
        <v/>
      </c>
      <c r="J72" s="24">
        <f>IFERROR(BDP(Database!$A72&amp;" HK Equity","PE_RATIO"),"")</f>
        <v/>
      </c>
      <c r="K72" s="10">
        <f>IFERROR(BDP(Database!$A72&amp;" HK Equity","A/H_SHARE_CONVERSION"),"")</f>
        <v/>
      </c>
      <c r="L72" s="16">
        <f>IF(Database!BA72="","(none found)",Database!BA72)</f>
        <v/>
      </c>
      <c r="M72" s="18">
        <f>IFERROR(BDH(Database!$A72&amp;" HK Equity","CUR_MKT_CAP",Database!$H72,Database!$H72),"")</f>
        <v/>
      </c>
      <c r="N72" s="99">
        <f>Database!Q72</f>
        <v/>
      </c>
      <c r="O72" s="24">
        <f>IFERROR(BDH(Database!$A72&amp;" HK Equity","PE_RATIO",Database!$H72,Database!$H72),"")</f>
        <v/>
      </c>
      <c r="P72" s="101">
        <f>IF(Database!AV72="","(n/m or not derivable)",Database!AV72)</f>
        <v/>
      </c>
      <c r="Q72" s="24">
        <f>IF(Database!BA72="","",IFERROR(BDH(LEFT(Database!BA72,FIND(".",Database!BA72)-1)&amp;" CH Equity","PE_RATIO",Database!$H72,Database!$H72),""))</f>
        <v/>
      </c>
      <c r="R72" s="24">
        <f>IF(Database!BA72="","",IFERROR(BDH("HSAHP Index","PX_LAST",Database!$H72,Database!$H72),""))</f>
        <v/>
      </c>
    </row>
    <row r="73">
      <c r="A73" s="16">
        <f>Database!A73&amp;"  "&amp;Database!B73</f>
        <v/>
      </c>
      <c r="B73" s="10">
        <f>IFERROR(INDEX(BDS(Database!$A73&amp;" HK Equity","EQUITY_OFFERINGS","array=t","endcol=1"),MATCH("IPO",BDS(Database!$A73&amp;" HK Equity","EQUITY_OFFERINGS","array=t","startcol=2","endcol=2"),0)),"")</f>
        <v/>
      </c>
      <c r="C73" s="103">
        <f>IF($B73="","",IFERROR(BDP($B73&amp;" Action","CP036"),""))</f>
        <v/>
      </c>
      <c r="D73" s="104">
        <f>Database!S73</f>
        <v/>
      </c>
      <c r="E73" s="103">
        <f>IF($B73="","",IFERROR(BDP($B73&amp;" Action","CP037"),""))</f>
        <v/>
      </c>
      <c r="F73" s="104">
        <f>Database!T73</f>
        <v/>
      </c>
      <c r="G73" s="103">
        <f>IF($B73="","",IFERROR(BDP($B73&amp;" Action","GREENSHOE_FACILITY"),""))</f>
        <v/>
      </c>
      <c r="H73" s="103">
        <f>IF($B73="","",IFERROR(BDP($B73&amp;" Action","OFFERING_GREENSHOE_SHARES_EX"),""))</f>
        <v/>
      </c>
      <c r="I73" s="16">
        <f>Database!Z73</f>
        <v/>
      </c>
      <c r="J73" s="24">
        <f>IFERROR(BDP(Database!$A73&amp;" HK Equity","PE_RATIO"),"")</f>
        <v/>
      </c>
      <c r="K73" s="10">
        <f>IFERROR(BDP(Database!$A73&amp;" HK Equity","A/H_SHARE_CONVERSION"),"")</f>
        <v/>
      </c>
      <c r="L73" s="16">
        <f>IF(Database!BA73="","(none found)",Database!BA73)</f>
        <v/>
      </c>
      <c r="M73" s="18">
        <f>IFERROR(BDH(Database!$A73&amp;" HK Equity","CUR_MKT_CAP",Database!$H73,Database!$H73),"")</f>
        <v/>
      </c>
      <c r="N73" s="99">
        <f>Database!Q73</f>
        <v/>
      </c>
      <c r="O73" s="24">
        <f>IFERROR(BDH(Database!$A73&amp;" HK Equity","PE_RATIO",Database!$H73,Database!$H73),"")</f>
        <v/>
      </c>
      <c r="P73" s="101">
        <f>IF(Database!AV73="","(n/m or not derivable)",Database!AV73)</f>
        <v/>
      </c>
      <c r="Q73" s="24">
        <f>IF(Database!BA73="","",IFERROR(BDH(LEFT(Database!BA73,FIND(".",Database!BA73)-1)&amp;" CH Equity","PE_RATIO",Database!$H73,Database!$H73),""))</f>
        <v/>
      </c>
      <c r="R73" s="24">
        <f>IF(Database!BA73="","",IFERROR(BDH("HSAHP Index","PX_LAST",Database!$H73,Database!$H73),""))</f>
        <v/>
      </c>
    </row>
    <row r="74">
      <c r="A74" s="16">
        <f>Database!A74&amp;"  "&amp;Database!B74</f>
        <v/>
      </c>
      <c r="B74" s="10">
        <f>IFERROR(INDEX(BDS(Database!$A74&amp;" HK Equity","EQUITY_OFFERINGS","array=t","endcol=1"),MATCH("IPO",BDS(Database!$A74&amp;" HK Equity","EQUITY_OFFERINGS","array=t","startcol=2","endcol=2"),0)),"")</f>
        <v/>
      </c>
      <c r="C74" s="103">
        <f>IF($B74="","",IFERROR(BDP($B74&amp;" Action","CP036"),""))</f>
        <v/>
      </c>
      <c r="D74" s="104">
        <f>Database!S74</f>
        <v/>
      </c>
      <c r="E74" s="103">
        <f>IF($B74="","",IFERROR(BDP($B74&amp;" Action","CP037"),""))</f>
        <v/>
      </c>
      <c r="F74" s="104">
        <f>Database!T74</f>
        <v/>
      </c>
      <c r="G74" s="103">
        <f>IF($B74="","",IFERROR(BDP($B74&amp;" Action","GREENSHOE_FACILITY"),""))</f>
        <v/>
      </c>
      <c r="H74" s="103">
        <f>IF($B74="","",IFERROR(BDP($B74&amp;" Action","OFFERING_GREENSHOE_SHARES_EX"),""))</f>
        <v/>
      </c>
      <c r="I74" s="16">
        <f>Database!Z74</f>
        <v/>
      </c>
      <c r="J74" s="24">
        <f>IFERROR(BDP(Database!$A74&amp;" HK Equity","PE_RATIO"),"")</f>
        <v/>
      </c>
      <c r="K74" s="10">
        <f>IFERROR(BDP(Database!$A74&amp;" HK Equity","A/H_SHARE_CONVERSION"),"")</f>
        <v/>
      </c>
      <c r="L74" s="16">
        <f>IF(Database!BA74="","(none found)",Database!BA74)</f>
        <v/>
      </c>
      <c r="M74" s="18">
        <f>IFERROR(BDH(Database!$A74&amp;" HK Equity","CUR_MKT_CAP",Database!$H74,Database!$H74),"")</f>
        <v/>
      </c>
      <c r="N74" s="99">
        <f>Database!Q74</f>
        <v/>
      </c>
      <c r="O74" s="24">
        <f>IFERROR(BDH(Database!$A74&amp;" HK Equity","PE_RATIO",Database!$H74,Database!$H74),"")</f>
        <v/>
      </c>
      <c r="P74" s="101">
        <f>IF(Database!AV74="","(n/m or not derivable)",Database!AV74)</f>
        <v/>
      </c>
      <c r="Q74" s="24">
        <f>IF(Database!BA74="","",IFERROR(BDH(LEFT(Database!BA74,FIND(".",Database!BA74)-1)&amp;" CH Equity","PE_RATIO",Database!$H74,Database!$H74),""))</f>
        <v/>
      </c>
      <c r="R74" s="24">
        <f>IF(Database!BA74="","",IFERROR(BDH("HSAHP Index","PX_LAST",Database!$H74,Database!$H74),""))</f>
        <v/>
      </c>
    </row>
    <row r="75">
      <c r="A75" s="16">
        <f>Database!A75&amp;"  "&amp;Database!B75</f>
        <v/>
      </c>
      <c r="B75" s="10">
        <f>IFERROR(INDEX(BDS(Database!$A75&amp;" HK Equity","EQUITY_OFFERINGS","array=t","endcol=1"),MATCH("IPO",BDS(Database!$A75&amp;" HK Equity","EQUITY_OFFERINGS","array=t","startcol=2","endcol=2"),0)),"")</f>
        <v/>
      </c>
      <c r="C75" s="103">
        <f>IF($B75="","",IFERROR(BDP($B75&amp;" Action","CP036"),""))</f>
        <v/>
      </c>
      <c r="D75" s="104">
        <f>Database!S75</f>
        <v/>
      </c>
      <c r="E75" s="103">
        <f>IF($B75="","",IFERROR(BDP($B75&amp;" Action","CP037"),""))</f>
        <v/>
      </c>
      <c r="F75" s="104">
        <f>Database!T75</f>
        <v/>
      </c>
      <c r="G75" s="103">
        <f>IF($B75="","",IFERROR(BDP($B75&amp;" Action","GREENSHOE_FACILITY"),""))</f>
        <v/>
      </c>
      <c r="H75" s="103">
        <f>IF($B75="","",IFERROR(BDP($B75&amp;" Action","OFFERING_GREENSHOE_SHARES_EX"),""))</f>
        <v/>
      </c>
      <c r="I75" s="16">
        <f>Database!Z75</f>
        <v/>
      </c>
      <c r="J75" s="24">
        <f>IFERROR(BDP(Database!$A75&amp;" HK Equity","PE_RATIO"),"")</f>
        <v/>
      </c>
      <c r="K75" s="10">
        <f>IFERROR(BDP(Database!$A75&amp;" HK Equity","A/H_SHARE_CONVERSION"),"")</f>
        <v/>
      </c>
      <c r="L75" s="16">
        <f>IF(Database!BA75="","(none found)",Database!BA75)</f>
        <v/>
      </c>
      <c r="M75" s="18">
        <f>IFERROR(BDH(Database!$A75&amp;" HK Equity","CUR_MKT_CAP",Database!$H75,Database!$H75),"")</f>
        <v/>
      </c>
      <c r="N75" s="99">
        <f>Database!Q75</f>
        <v/>
      </c>
      <c r="O75" s="24">
        <f>IFERROR(BDH(Database!$A75&amp;" HK Equity","PE_RATIO",Database!$H75,Database!$H75),"")</f>
        <v/>
      </c>
      <c r="P75" s="101">
        <f>IF(Database!AV75="","(n/m or not derivable)",Database!AV75)</f>
        <v/>
      </c>
      <c r="Q75" s="24">
        <f>IF(Database!BA75="","",IFERROR(BDH(LEFT(Database!BA75,FIND(".",Database!BA75)-1)&amp;" CH Equity","PE_RATIO",Database!$H75,Database!$H75),""))</f>
        <v/>
      </c>
      <c r="R75" s="24">
        <f>IF(Database!BA75="","",IFERROR(BDH("HSAHP Index","PX_LAST",Database!$H75,Database!$H75),""))</f>
        <v/>
      </c>
    </row>
    <row r="76">
      <c r="A76" s="16">
        <f>Database!A76&amp;"  "&amp;Database!B76</f>
        <v/>
      </c>
      <c r="B76" s="10">
        <f>IFERROR(INDEX(BDS(Database!$A76&amp;" HK Equity","EQUITY_OFFERINGS","array=t","endcol=1"),MATCH("IPO",BDS(Database!$A76&amp;" HK Equity","EQUITY_OFFERINGS","array=t","startcol=2","endcol=2"),0)),"")</f>
        <v/>
      </c>
      <c r="C76" s="103">
        <f>IF($B76="","",IFERROR(BDP($B76&amp;" Action","CP036"),""))</f>
        <v/>
      </c>
      <c r="D76" s="104">
        <f>Database!S76</f>
        <v/>
      </c>
      <c r="E76" s="103">
        <f>IF($B76="","",IFERROR(BDP($B76&amp;" Action","CP037"),""))</f>
        <v/>
      </c>
      <c r="F76" s="104">
        <f>Database!T76</f>
        <v/>
      </c>
      <c r="G76" s="103">
        <f>IF($B76="","",IFERROR(BDP($B76&amp;" Action","GREENSHOE_FACILITY"),""))</f>
        <v/>
      </c>
      <c r="H76" s="103">
        <f>IF($B76="","",IFERROR(BDP($B76&amp;" Action","OFFERING_GREENSHOE_SHARES_EX"),""))</f>
        <v/>
      </c>
      <c r="I76" s="16">
        <f>Database!Z76</f>
        <v/>
      </c>
      <c r="J76" s="24">
        <f>IFERROR(BDP(Database!$A76&amp;" HK Equity","PE_RATIO"),"")</f>
        <v/>
      </c>
      <c r="K76" s="10">
        <f>IFERROR(BDP(Database!$A76&amp;" HK Equity","A/H_SHARE_CONVERSION"),"")</f>
        <v/>
      </c>
      <c r="L76" s="16">
        <f>IF(Database!BA76="","(none found)",Database!BA76)</f>
        <v/>
      </c>
      <c r="M76" s="18">
        <f>IFERROR(BDH(Database!$A76&amp;" HK Equity","CUR_MKT_CAP",Database!$H76,Database!$H76),"")</f>
        <v/>
      </c>
      <c r="N76" s="99">
        <f>Database!Q76</f>
        <v/>
      </c>
      <c r="O76" s="24">
        <f>IFERROR(BDH(Database!$A76&amp;" HK Equity","PE_RATIO",Database!$H76,Database!$H76),"")</f>
        <v/>
      </c>
      <c r="P76" s="101">
        <f>IF(Database!AV76="","(n/m or not derivable)",Database!AV76)</f>
        <v/>
      </c>
      <c r="Q76" s="24">
        <f>IF(Database!BA76="","",IFERROR(BDH(LEFT(Database!BA76,FIND(".",Database!BA76)-1)&amp;" CH Equity","PE_RATIO",Database!$H76,Database!$H76),""))</f>
        <v/>
      </c>
      <c r="R76" s="24">
        <f>IF(Database!BA76="","",IFERROR(BDH("HSAHP Index","PX_LAST",Database!$H76,Database!$H76),""))</f>
        <v/>
      </c>
    </row>
    <row r="77">
      <c r="A77" s="16">
        <f>Database!A77&amp;"  "&amp;Database!B77</f>
        <v/>
      </c>
      <c r="B77" s="10">
        <f>IFERROR(INDEX(BDS(Database!$A77&amp;" HK Equity","EQUITY_OFFERINGS","array=t","endcol=1"),MATCH("IPO",BDS(Database!$A77&amp;" HK Equity","EQUITY_OFFERINGS","array=t","startcol=2","endcol=2"),0)),"")</f>
        <v/>
      </c>
      <c r="C77" s="103">
        <f>IF($B77="","",IFERROR(BDP($B77&amp;" Action","CP036"),""))</f>
        <v/>
      </c>
      <c r="D77" s="104">
        <f>Database!S77</f>
        <v/>
      </c>
      <c r="E77" s="103">
        <f>IF($B77="","",IFERROR(BDP($B77&amp;" Action","CP037"),""))</f>
        <v/>
      </c>
      <c r="F77" s="104">
        <f>Database!T77</f>
        <v/>
      </c>
      <c r="G77" s="103">
        <f>IF($B77="","",IFERROR(BDP($B77&amp;" Action","GREENSHOE_FACILITY"),""))</f>
        <v/>
      </c>
      <c r="H77" s="103">
        <f>IF($B77="","",IFERROR(BDP($B77&amp;" Action","OFFERING_GREENSHOE_SHARES_EX"),""))</f>
        <v/>
      </c>
      <c r="I77" s="16">
        <f>Database!Z77</f>
        <v/>
      </c>
      <c r="J77" s="24">
        <f>IFERROR(BDP(Database!$A77&amp;" HK Equity","PE_RATIO"),"")</f>
        <v/>
      </c>
      <c r="K77" s="10">
        <f>IFERROR(BDP(Database!$A77&amp;" HK Equity","A/H_SHARE_CONVERSION"),"")</f>
        <v/>
      </c>
      <c r="L77" s="16">
        <f>IF(Database!BA77="","(none found)",Database!BA77)</f>
        <v/>
      </c>
      <c r="M77" s="18">
        <f>IFERROR(BDH(Database!$A77&amp;" HK Equity","CUR_MKT_CAP",Database!$H77,Database!$H77),"")</f>
        <v/>
      </c>
      <c r="N77" s="99">
        <f>Database!Q77</f>
        <v/>
      </c>
      <c r="O77" s="24">
        <f>IFERROR(BDH(Database!$A77&amp;" HK Equity","PE_RATIO",Database!$H77,Database!$H77),"")</f>
        <v/>
      </c>
      <c r="P77" s="101">
        <f>IF(Database!AV77="","(n/m or not derivable)",Database!AV77)</f>
        <v/>
      </c>
      <c r="Q77" s="24">
        <f>IF(Database!BA77="","",IFERROR(BDH(LEFT(Database!BA77,FIND(".",Database!BA77)-1)&amp;" CH Equity","PE_RATIO",Database!$H77,Database!$H77),""))</f>
        <v/>
      </c>
      <c r="R77" s="24">
        <f>IF(Database!BA77="","",IFERROR(BDH("HSAHP Index","PX_LAST",Database!$H77,Database!$H77),""))</f>
        <v/>
      </c>
    </row>
    <row r="78">
      <c r="A78" s="16">
        <f>Database!A78&amp;"  "&amp;Database!B78</f>
        <v/>
      </c>
      <c r="B78" s="10">
        <f>IFERROR(INDEX(BDS(Database!$A78&amp;" HK Equity","EQUITY_OFFERINGS","array=t","endcol=1"),MATCH("IPO",BDS(Database!$A78&amp;" HK Equity","EQUITY_OFFERINGS","array=t","startcol=2","endcol=2"),0)),"")</f>
        <v/>
      </c>
      <c r="C78" s="103">
        <f>IF($B78="","",IFERROR(BDP($B78&amp;" Action","CP036"),""))</f>
        <v/>
      </c>
      <c r="D78" s="104">
        <f>Database!S78</f>
        <v/>
      </c>
      <c r="E78" s="103">
        <f>IF($B78="","",IFERROR(BDP($B78&amp;" Action","CP037"),""))</f>
        <v/>
      </c>
      <c r="F78" s="104">
        <f>Database!T78</f>
        <v/>
      </c>
      <c r="G78" s="103">
        <f>IF($B78="","",IFERROR(BDP($B78&amp;" Action","GREENSHOE_FACILITY"),""))</f>
        <v/>
      </c>
      <c r="H78" s="103">
        <f>IF($B78="","",IFERROR(BDP($B78&amp;" Action","OFFERING_GREENSHOE_SHARES_EX"),""))</f>
        <v/>
      </c>
      <c r="I78" s="16">
        <f>Database!Z78</f>
        <v/>
      </c>
      <c r="J78" s="24">
        <f>IFERROR(BDP(Database!$A78&amp;" HK Equity","PE_RATIO"),"")</f>
        <v/>
      </c>
      <c r="K78" s="10">
        <f>IFERROR(BDP(Database!$A78&amp;" HK Equity","A/H_SHARE_CONVERSION"),"")</f>
        <v/>
      </c>
      <c r="L78" s="16">
        <f>IF(Database!BA78="","(none found)",Database!BA78)</f>
        <v/>
      </c>
      <c r="M78" s="18">
        <f>IFERROR(BDH(Database!$A78&amp;" HK Equity","CUR_MKT_CAP",Database!$H78,Database!$H78),"")</f>
        <v/>
      </c>
      <c r="N78" s="99">
        <f>Database!Q78</f>
        <v/>
      </c>
      <c r="O78" s="24">
        <f>IFERROR(BDH(Database!$A78&amp;" HK Equity","PE_RATIO",Database!$H78,Database!$H78),"")</f>
        <v/>
      </c>
      <c r="P78" s="101">
        <f>IF(Database!AV78="","(n/m or not derivable)",Database!AV78)</f>
        <v/>
      </c>
      <c r="Q78" s="24">
        <f>IF(Database!BA78="","",IFERROR(BDH(LEFT(Database!BA78,FIND(".",Database!BA78)-1)&amp;" CH Equity","PE_RATIO",Database!$H78,Database!$H78),""))</f>
        <v/>
      </c>
      <c r="R78" s="24">
        <f>IF(Database!BA78="","",IFERROR(BDH("HSAHP Index","PX_LAST",Database!$H78,Database!$H78),""))</f>
        <v/>
      </c>
    </row>
    <row r="79">
      <c r="A79" s="16">
        <f>Database!A79&amp;"  "&amp;Database!B79</f>
        <v/>
      </c>
      <c r="B79" s="10">
        <f>IFERROR(INDEX(BDS(Database!$A79&amp;" HK Equity","EQUITY_OFFERINGS","array=t","endcol=1"),MATCH("IPO",BDS(Database!$A79&amp;" HK Equity","EQUITY_OFFERINGS","array=t","startcol=2","endcol=2"),0)),"")</f>
        <v/>
      </c>
      <c r="C79" s="103">
        <f>IF($B79="","",IFERROR(BDP($B79&amp;" Action","CP036"),""))</f>
        <v/>
      </c>
      <c r="D79" s="104">
        <f>Database!S79</f>
        <v/>
      </c>
      <c r="E79" s="103">
        <f>IF($B79="","",IFERROR(BDP($B79&amp;" Action","CP037"),""))</f>
        <v/>
      </c>
      <c r="F79" s="104">
        <f>Database!T79</f>
        <v/>
      </c>
      <c r="G79" s="103">
        <f>IF($B79="","",IFERROR(BDP($B79&amp;" Action","GREENSHOE_FACILITY"),""))</f>
        <v/>
      </c>
      <c r="H79" s="103">
        <f>IF($B79="","",IFERROR(BDP($B79&amp;" Action","OFFERING_GREENSHOE_SHARES_EX"),""))</f>
        <v/>
      </c>
      <c r="I79" s="16">
        <f>Database!Z79</f>
        <v/>
      </c>
      <c r="J79" s="24">
        <f>IFERROR(BDP(Database!$A79&amp;" HK Equity","PE_RATIO"),"")</f>
        <v/>
      </c>
      <c r="K79" s="10">
        <f>IFERROR(BDP(Database!$A79&amp;" HK Equity","A/H_SHARE_CONVERSION"),"")</f>
        <v/>
      </c>
      <c r="L79" s="16">
        <f>IF(Database!BA79="","(none found)",Database!BA79)</f>
        <v/>
      </c>
      <c r="M79" s="18">
        <f>IFERROR(BDH(Database!$A79&amp;" HK Equity","CUR_MKT_CAP",Database!$H79,Database!$H79),"")</f>
        <v/>
      </c>
      <c r="N79" s="99">
        <f>Database!Q79</f>
        <v/>
      </c>
      <c r="O79" s="24">
        <f>IFERROR(BDH(Database!$A79&amp;" HK Equity","PE_RATIO",Database!$H79,Database!$H79),"")</f>
        <v/>
      </c>
      <c r="P79" s="101">
        <f>IF(Database!AV79="","(n/m or not derivable)",Database!AV79)</f>
        <v/>
      </c>
      <c r="Q79" s="24">
        <f>IF(Database!BA79="","",IFERROR(BDH(LEFT(Database!BA79,FIND(".",Database!BA79)-1)&amp;" CH Equity","PE_RATIO",Database!$H79,Database!$H79),""))</f>
        <v/>
      </c>
      <c r="R79" s="24">
        <f>IF(Database!BA79="","",IFERROR(BDH("HSAHP Index","PX_LAST",Database!$H79,Database!$H79),""))</f>
        <v/>
      </c>
    </row>
    <row r="80">
      <c r="A80" s="16">
        <f>Database!A80&amp;"  "&amp;Database!B80</f>
        <v/>
      </c>
      <c r="B80" s="10">
        <f>IFERROR(INDEX(BDS(Database!$A80&amp;" HK Equity","EQUITY_OFFERINGS","array=t","endcol=1"),MATCH("IPO",BDS(Database!$A80&amp;" HK Equity","EQUITY_OFFERINGS","array=t","startcol=2","endcol=2"),0)),"")</f>
        <v/>
      </c>
      <c r="C80" s="103">
        <f>IF($B80="","",IFERROR(BDP($B80&amp;" Action","CP036"),""))</f>
        <v/>
      </c>
      <c r="D80" s="104">
        <f>Database!S80</f>
        <v/>
      </c>
      <c r="E80" s="103">
        <f>IF($B80="","",IFERROR(BDP($B80&amp;" Action","CP037"),""))</f>
        <v/>
      </c>
      <c r="F80" s="104">
        <f>Database!T80</f>
        <v/>
      </c>
      <c r="G80" s="103">
        <f>IF($B80="","",IFERROR(BDP($B80&amp;" Action","GREENSHOE_FACILITY"),""))</f>
        <v/>
      </c>
      <c r="H80" s="103">
        <f>IF($B80="","",IFERROR(BDP($B80&amp;" Action","OFFERING_GREENSHOE_SHARES_EX"),""))</f>
        <v/>
      </c>
      <c r="I80" s="16">
        <f>Database!Z80</f>
        <v/>
      </c>
      <c r="J80" s="24">
        <f>IFERROR(BDP(Database!$A80&amp;" HK Equity","PE_RATIO"),"")</f>
        <v/>
      </c>
      <c r="K80" s="10">
        <f>IFERROR(BDP(Database!$A80&amp;" HK Equity","A/H_SHARE_CONVERSION"),"")</f>
        <v/>
      </c>
      <c r="L80" s="16">
        <f>IF(Database!BA80="","(none found)",Database!BA80)</f>
        <v/>
      </c>
      <c r="M80" s="18">
        <f>IFERROR(BDH(Database!$A80&amp;" HK Equity","CUR_MKT_CAP",Database!$H80,Database!$H80),"")</f>
        <v/>
      </c>
      <c r="N80" s="99">
        <f>Database!Q80</f>
        <v/>
      </c>
      <c r="O80" s="24">
        <f>IFERROR(BDH(Database!$A80&amp;" HK Equity","PE_RATIO",Database!$H80,Database!$H80),"")</f>
        <v/>
      </c>
      <c r="P80" s="101">
        <f>IF(Database!AV80="","(n/m or not derivable)",Database!AV80)</f>
        <v/>
      </c>
      <c r="Q80" s="24">
        <f>IF(Database!BA80="","",IFERROR(BDH(LEFT(Database!BA80,FIND(".",Database!BA80)-1)&amp;" CH Equity","PE_RATIO",Database!$H80,Database!$H80),""))</f>
        <v/>
      </c>
      <c r="R80" s="24">
        <f>IF(Database!BA80="","",IFERROR(BDH("HSAHP Index","PX_LAST",Database!$H80,Database!$H80),""))</f>
        <v/>
      </c>
    </row>
    <row r="81">
      <c r="A81" s="16">
        <f>Database!A81&amp;"  "&amp;Database!B81</f>
        <v/>
      </c>
      <c r="B81" s="10">
        <f>IFERROR(INDEX(BDS(Database!$A81&amp;" HK Equity","EQUITY_OFFERINGS","array=t","endcol=1"),MATCH("IPO",BDS(Database!$A81&amp;" HK Equity","EQUITY_OFFERINGS","array=t","startcol=2","endcol=2"),0)),"")</f>
        <v/>
      </c>
      <c r="C81" s="103">
        <f>IF($B81="","",IFERROR(BDP($B81&amp;" Action","CP036"),""))</f>
        <v/>
      </c>
      <c r="D81" s="104">
        <f>Database!S81</f>
        <v/>
      </c>
      <c r="E81" s="103">
        <f>IF($B81="","",IFERROR(BDP($B81&amp;" Action","CP037"),""))</f>
        <v/>
      </c>
      <c r="F81" s="104">
        <f>Database!T81</f>
        <v/>
      </c>
      <c r="G81" s="103">
        <f>IF($B81="","",IFERROR(BDP($B81&amp;" Action","GREENSHOE_FACILITY"),""))</f>
        <v/>
      </c>
      <c r="H81" s="103">
        <f>IF($B81="","",IFERROR(BDP($B81&amp;" Action","OFFERING_GREENSHOE_SHARES_EX"),""))</f>
        <v/>
      </c>
      <c r="I81" s="16">
        <f>Database!Z81</f>
        <v/>
      </c>
      <c r="J81" s="24">
        <f>IFERROR(BDP(Database!$A81&amp;" HK Equity","PE_RATIO"),"")</f>
        <v/>
      </c>
      <c r="K81" s="10">
        <f>IFERROR(BDP(Database!$A81&amp;" HK Equity","A/H_SHARE_CONVERSION"),"")</f>
        <v/>
      </c>
      <c r="L81" s="16">
        <f>IF(Database!BA81="","(none found)",Database!BA81)</f>
        <v/>
      </c>
      <c r="M81" s="18">
        <f>IFERROR(BDH(Database!$A81&amp;" HK Equity","CUR_MKT_CAP",Database!$H81,Database!$H81),"")</f>
        <v/>
      </c>
      <c r="N81" s="99">
        <f>Database!Q81</f>
        <v/>
      </c>
      <c r="O81" s="24">
        <f>IFERROR(BDH(Database!$A81&amp;" HK Equity","PE_RATIO",Database!$H81,Database!$H81),"")</f>
        <v/>
      </c>
      <c r="P81" s="101">
        <f>IF(Database!AV81="","(n/m or not derivable)",Database!AV81)</f>
        <v/>
      </c>
      <c r="Q81" s="24">
        <f>IF(Database!BA81="","",IFERROR(BDH(LEFT(Database!BA81,FIND(".",Database!BA81)-1)&amp;" CH Equity","PE_RATIO",Database!$H81,Database!$H81),""))</f>
        <v/>
      </c>
      <c r="R81" s="24">
        <f>IF(Database!BA81="","",IFERROR(BDH("HSAHP Index","PX_LAST",Database!$H81,Database!$H81),""))</f>
        <v/>
      </c>
    </row>
    <row r="82">
      <c r="A82" s="16">
        <f>Database!A82&amp;"  "&amp;Database!B82</f>
        <v/>
      </c>
      <c r="B82" s="10">
        <f>IFERROR(INDEX(BDS(Database!$A82&amp;" HK Equity","EQUITY_OFFERINGS","array=t","endcol=1"),MATCH("IPO",BDS(Database!$A82&amp;" HK Equity","EQUITY_OFFERINGS","array=t","startcol=2","endcol=2"),0)),"")</f>
        <v/>
      </c>
      <c r="C82" s="103">
        <f>IF($B82="","",IFERROR(BDP($B82&amp;" Action","CP036"),""))</f>
        <v/>
      </c>
      <c r="D82" s="104">
        <f>Database!S82</f>
        <v/>
      </c>
      <c r="E82" s="103">
        <f>IF($B82="","",IFERROR(BDP($B82&amp;" Action","CP037"),""))</f>
        <v/>
      </c>
      <c r="F82" s="104">
        <f>Database!T82</f>
        <v/>
      </c>
      <c r="G82" s="103">
        <f>IF($B82="","",IFERROR(BDP($B82&amp;" Action","GREENSHOE_FACILITY"),""))</f>
        <v/>
      </c>
      <c r="H82" s="103">
        <f>IF($B82="","",IFERROR(BDP($B82&amp;" Action","OFFERING_GREENSHOE_SHARES_EX"),""))</f>
        <v/>
      </c>
      <c r="I82" s="16">
        <f>Database!Z82</f>
        <v/>
      </c>
      <c r="J82" s="24">
        <f>IFERROR(BDP(Database!$A82&amp;" HK Equity","PE_RATIO"),"")</f>
        <v/>
      </c>
      <c r="K82" s="10">
        <f>IFERROR(BDP(Database!$A82&amp;" HK Equity","A/H_SHARE_CONVERSION"),"")</f>
        <v/>
      </c>
      <c r="L82" s="16">
        <f>IF(Database!BA82="","(none found)",Database!BA82)</f>
        <v/>
      </c>
      <c r="M82" s="18">
        <f>IFERROR(BDH(Database!$A82&amp;" HK Equity","CUR_MKT_CAP",Database!$H82,Database!$H82),"")</f>
        <v/>
      </c>
      <c r="N82" s="99">
        <f>Database!Q82</f>
        <v/>
      </c>
      <c r="O82" s="24">
        <f>IFERROR(BDH(Database!$A82&amp;" HK Equity","PE_RATIO",Database!$H82,Database!$H82),"")</f>
        <v/>
      </c>
      <c r="P82" s="101">
        <f>IF(Database!AV82="","(n/m or not derivable)",Database!AV82)</f>
        <v/>
      </c>
      <c r="Q82" s="24">
        <f>IF(Database!BA82="","",IFERROR(BDH(LEFT(Database!BA82,FIND(".",Database!BA82)-1)&amp;" CH Equity","PE_RATIO",Database!$H82,Database!$H82),""))</f>
        <v/>
      </c>
      <c r="R82" s="24">
        <f>IF(Database!BA82="","",IFERROR(BDH("HSAHP Index","PX_LAST",Database!$H82,Database!$H82),""))</f>
        <v/>
      </c>
    </row>
    <row r="83">
      <c r="A83" s="16">
        <f>Database!A83&amp;"  "&amp;Database!B83</f>
        <v/>
      </c>
      <c r="B83" s="10">
        <f>IFERROR(INDEX(BDS(Database!$A83&amp;" HK Equity","EQUITY_OFFERINGS","array=t","endcol=1"),MATCH("IPO",BDS(Database!$A83&amp;" HK Equity","EQUITY_OFFERINGS","array=t","startcol=2","endcol=2"),0)),"")</f>
        <v/>
      </c>
      <c r="C83" s="103">
        <f>IF($B83="","",IFERROR(BDP($B83&amp;" Action","CP036"),""))</f>
        <v/>
      </c>
      <c r="D83" s="104">
        <f>Database!S83</f>
        <v/>
      </c>
      <c r="E83" s="103">
        <f>IF($B83="","",IFERROR(BDP($B83&amp;" Action","CP037"),""))</f>
        <v/>
      </c>
      <c r="F83" s="104">
        <f>Database!T83</f>
        <v/>
      </c>
      <c r="G83" s="103">
        <f>IF($B83="","",IFERROR(BDP($B83&amp;" Action","GREENSHOE_FACILITY"),""))</f>
        <v/>
      </c>
      <c r="H83" s="103">
        <f>IF($B83="","",IFERROR(BDP($B83&amp;" Action","OFFERING_GREENSHOE_SHARES_EX"),""))</f>
        <v/>
      </c>
      <c r="I83" s="16">
        <f>Database!Z83</f>
        <v/>
      </c>
      <c r="J83" s="24">
        <f>IFERROR(BDP(Database!$A83&amp;" HK Equity","PE_RATIO"),"")</f>
        <v/>
      </c>
      <c r="K83" s="10">
        <f>IFERROR(BDP(Database!$A83&amp;" HK Equity","A/H_SHARE_CONVERSION"),"")</f>
        <v/>
      </c>
      <c r="L83" s="16">
        <f>IF(Database!BA83="","(none found)",Database!BA83)</f>
        <v/>
      </c>
      <c r="M83" s="18">
        <f>IFERROR(BDH(Database!$A83&amp;" HK Equity","CUR_MKT_CAP",Database!$H83,Database!$H83),"")</f>
        <v/>
      </c>
      <c r="N83" s="99">
        <f>Database!Q83</f>
        <v/>
      </c>
      <c r="O83" s="24">
        <f>IFERROR(BDH(Database!$A83&amp;" HK Equity","PE_RATIO",Database!$H83,Database!$H83),"")</f>
        <v/>
      </c>
      <c r="P83" s="101">
        <f>IF(Database!AV83="","(n/m or not derivable)",Database!AV83)</f>
        <v/>
      </c>
      <c r="Q83" s="24">
        <f>IF(Database!BA83="","",IFERROR(BDH(LEFT(Database!BA83,FIND(".",Database!BA83)-1)&amp;" CH Equity","PE_RATIO",Database!$H83,Database!$H83),""))</f>
        <v/>
      </c>
      <c r="R83" s="24">
        <f>IF(Database!BA83="","",IFERROR(BDH("HSAHP Index","PX_LAST",Database!$H83,Database!$H83),""))</f>
        <v/>
      </c>
    </row>
    <row r="84">
      <c r="A84" s="16">
        <f>Database!A84&amp;"  "&amp;Database!B84</f>
        <v/>
      </c>
      <c r="B84" s="10">
        <f>IFERROR(INDEX(BDS(Database!$A84&amp;" HK Equity","EQUITY_OFFERINGS","array=t","endcol=1"),MATCH("IPO",BDS(Database!$A84&amp;" HK Equity","EQUITY_OFFERINGS","array=t","startcol=2","endcol=2"),0)),"")</f>
        <v/>
      </c>
      <c r="C84" s="103">
        <f>IF($B84="","",IFERROR(BDP($B84&amp;" Action","CP036"),""))</f>
        <v/>
      </c>
      <c r="D84" s="104">
        <f>Database!S84</f>
        <v/>
      </c>
      <c r="E84" s="103">
        <f>IF($B84="","",IFERROR(BDP($B84&amp;" Action","CP037"),""))</f>
        <v/>
      </c>
      <c r="F84" s="104">
        <f>Database!T84</f>
        <v/>
      </c>
      <c r="G84" s="103">
        <f>IF($B84="","",IFERROR(BDP($B84&amp;" Action","GREENSHOE_FACILITY"),""))</f>
        <v/>
      </c>
      <c r="H84" s="103">
        <f>IF($B84="","",IFERROR(BDP($B84&amp;" Action","OFFERING_GREENSHOE_SHARES_EX"),""))</f>
        <v/>
      </c>
      <c r="I84" s="16">
        <f>Database!Z84</f>
        <v/>
      </c>
      <c r="J84" s="24">
        <f>IFERROR(BDP(Database!$A84&amp;" HK Equity","PE_RATIO"),"")</f>
        <v/>
      </c>
      <c r="K84" s="10">
        <f>IFERROR(BDP(Database!$A84&amp;" HK Equity","A/H_SHARE_CONVERSION"),"")</f>
        <v/>
      </c>
      <c r="L84" s="16">
        <f>IF(Database!BA84="","(none found)",Database!BA84)</f>
        <v/>
      </c>
      <c r="M84" s="18">
        <f>IFERROR(BDH(Database!$A84&amp;" HK Equity","CUR_MKT_CAP",Database!$H84,Database!$H84),"")</f>
        <v/>
      </c>
      <c r="N84" s="99">
        <f>Database!Q84</f>
        <v/>
      </c>
      <c r="O84" s="24">
        <f>IFERROR(BDH(Database!$A84&amp;" HK Equity","PE_RATIO",Database!$H84,Database!$H84),"")</f>
        <v/>
      </c>
      <c r="P84" s="101">
        <f>IF(Database!AV84="","(n/m or not derivable)",Database!AV84)</f>
        <v/>
      </c>
      <c r="Q84" s="24">
        <f>IF(Database!BA84="","",IFERROR(BDH(LEFT(Database!BA84,FIND(".",Database!BA84)-1)&amp;" CH Equity","PE_RATIO",Database!$H84,Database!$H84),""))</f>
        <v/>
      </c>
      <c r="R84" s="24">
        <f>IF(Database!BA84="","",IFERROR(BDH("HSAHP Index","PX_LAST",Database!$H84,Database!$H84),""))</f>
        <v/>
      </c>
    </row>
    <row r="85">
      <c r="A85" s="16">
        <f>Database!A85&amp;"  "&amp;Database!B85</f>
        <v/>
      </c>
      <c r="B85" s="10">
        <f>IFERROR(INDEX(BDS(Database!$A85&amp;" HK Equity","EQUITY_OFFERINGS","array=t","endcol=1"),MATCH("IPO",BDS(Database!$A85&amp;" HK Equity","EQUITY_OFFERINGS","array=t","startcol=2","endcol=2"),0)),"")</f>
        <v/>
      </c>
      <c r="C85" s="103">
        <f>IF($B85="","",IFERROR(BDP($B85&amp;" Action","CP036"),""))</f>
        <v/>
      </c>
      <c r="D85" s="104">
        <f>Database!S85</f>
        <v/>
      </c>
      <c r="E85" s="103">
        <f>IF($B85="","",IFERROR(BDP($B85&amp;" Action","CP037"),""))</f>
        <v/>
      </c>
      <c r="F85" s="104">
        <f>Database!T85</f>
        <v/>
      </c>
      <c r="G85" s="103">
        <f>IF($B85="","",IFERROR(BDP($B85&amp;" Action","GREENSHOE_FACILITY"),""))</f>
        <v/>
      </c>
      <c r="H85" s="103">
        <f>IF($B85="","",IFERROR(BDP($B85&amp;" Action","OFFERING_GREENSHOE_SHARES_EX"),""))</f>
        <v/>
      </c>
      <c r="I85" s="16">
        <f>Database!Z85</f>
        <v/>
      </c>
      <c r="J85" s="24">
        <f>IFERROR(BDP(Database!$A85&amp;" HK Equity","PE_RATIO"),"")</f>
        <v/>
      </c>
      <c r="K85" s="10">
        <f>IFERROR(BDP(Database!$A85&amp;" HK Equity","A/H_SHARE_CONVERSION"),"")</f>
        <v/>
      </c>
      <c r="L85" s="16">
        <f>IF(Database!BA85="","(none found)",Database!BA85)</f>
        <v/>
      </c>
      <c r="M85" s="18">
        <f>IFERROR(BDH(Database!$A85&amp;" HK Equity","CUR_MKT_CAP",Database!$H85,Database!$H85),"")</f>
        <v/>
      </c>
      <c r="N85" s="99">
        <f>Database!Q85</f>
        <v/>
      </c>
      <c r="O85" s="24">
        <f>IFERROR(BDH(Database!$A85&amp;" HK Equity","PE_RATIO",Database!$H85,Database!$H85),"")</f>
        <v/>
      </c>
      <c r="P85" s="101">
        <f>IF(Database!AV85="","(n/m or not derivable)",Database!AV85)</f>
        <v/>
      </c>
      <c r="Q85" s="24">
        <f>IF(Database!BA85="","",IFERROR(BDH(LEFT(Database!BA85,FIND(".",Database!BA85)-1)&amp;" CH Equity","PE_RATIO",Database!$H85,Database!$H85),""))</f>
        <v/>
      </c>
      <c r="R85" s="24">
        <f>IF(Database!BA85="","",IFERROR(BDH("HSAHP Index","PX_LAST",Database!$H85,Database!$H85),""))</f>
        <v/>
      </c>
    </row>
    <row r="86">
      <c r="A86" s="16">
        <f>Database!A86&amp;"  "&amp;Database!B86</f>
        <v/>
      </c>
      <c r="B86" s="10">
        <f>IFERROR(INDEX(BDS(Database!$A86&amp;" HK Equity","EQUITY_OFFERINGS","array=t","endcol=1"),MATCH("IPO",BDS(Database!$A86&amp;" HK Equity","EQUITY_OFFERINGS","array=t","startcol=2","endcol=2"),0)),"")</f>
        <v/>
      </c>
      <c r="C86" s="103">
        <f>IF($B86="","",IFERROR(BDP($B86&amp;" Action","CP036"),""))</f>
        <v/>
      </c>
      <c r="D86" s="104">
        <f>Database!S86</f>
        <v/>
      </c>
      <c r="E86" s="103">
        <f>IF($B86="","",IFERROR(BDP($B86&amp;" Action","CP037"),""))</f>
        <v/>
      </c>
      <c r="F86" s="104">
        <f>Database!T86</f>
        <v/>
      </c>
      <c r="G86" s="103">
        <f>IF($B86="","",IFERROR(BDP($B86&amp;" Action","GREENSHOE_FACILITY"),""))</f>
        <v/>
      </c>
      <c r="H86" s="103">
        <f>IF($B86="","",IFERROR(BDP($B86&amp;" Action","OFFERING_GREENSHOE_SHARES_EX"),""))</f>
        <v/>
      </c>
      <c r="I86" s="16">
        <f>Database!Z86</f>
        <v/>
      </c>
      <c r="J86" s="24">
        <f>IFERROR(BDP(Database!$A86&amp;" HK Equity","PE_RATIO"),"")</f>
        <v/>
      </c>
      <c r="K86" s="10">
        <f>IFERROR(BDP(Database!$A86&amp;" HK Equity","A/H_SHARE_CONVERSION"),"")</f>
        <v/>
      </c>
      <c r="L86" s="16">
        <f>IF(Database!BA86="","(none found)",Database!BA86)</f>
        <v/>
      </c>
      <c r="M86" s="18">
        <f>IFERROR(BDH(Database!$A86&amp;" HK Equity","CUR_MKT_CAP",Database!$H86,Database!$H86),"")</f>
        <v/>
      </c>
      <c r="N86" s="99">
        <f>Database!Q86</f>
        <v/>
      </c>
      <c r="O86" s="24">
        <f>IFERROR(BDH(Database!$A86&amp;" HK Equity","PE_RATIO",Database!$H86,Database!$H86),"")</f>
        <v/>
      </c>
      <c r="P86" s="101">
        <f>IF(Database!AV86="","(n/m or not derivable)",Database!AV86)</f>
        <v/>
      </c>
      <c r="Q86" s="24">
        <f>IF(Database!BA86="","",IFERROR(BDH(LEFT(Database!BA86,FIND(".",Database!BA86)-1)&amp;" CH Equity","PE_RATIO",Database!$H86,Database!$H86),""))</f>
        <v/>
      </c>
      <c r="R86" s="24">
        <f>IF(Database!BA86="","",IFERROR(BDH("HSAHP Index","PX_LAST",Database!$H86,Database!$H86),""))</f>
        <v/>
      </c>
    </row>
    <row r="87">
      <c r="A87" s="16">
        <f>Database!A87&amp;"  "&amp;Database!B87</f>
        <v/>
      </c>
      <c r="B87" s="10">
        <f>IFERROR(INDEX(BDS(Database!$A87&amp;" HK Equity","EQUITY_OFFERINGS","array=t","endcol=1"),MATCH("IPO",BDS(Database!$A87&amp;" HK Equity","EQUITY_OFFERINGS","array=t","startcol=2","endcol=2"),0)),"")</f>
        <v/>
      </c>
      <c r="C87" s="103">
        <f>IF($B87="","",IFERROR(BDP($B87&amp;" Action","CP036"),""))</f>
        <v/>
      </c>
      <c r="D87" s="104">
        <f>Database!S87</f>
        <v/>
      </c>
      <c r="E87" s="103">
        <f>IF($B87="","",IFERROR(BDP($B87&amp;" Action","CP037"),""))</f>
        <v/>
      </c>
      <c r="F87" s="104">
        <f>Database!T87</f>
        <v/>
      </c>
      <c r="G87" s="103">
        <f>IF($B87="","",IFERROR(BDP($B87&amp;" Action","GREENSHOE_FACILITY"),""))</f>
        <v/>
      </c>
      <c r="H87" s="103">
        <f>IF($B87="","",IFERROR(BDP($B87&amp;" Action","OFFERING_GREENSHOE_SHARES_EX"),""))</f>
        <v/>
      </c>
      <c r="I87" s="16">
        <f>Database!Z87</f>
        <v/>
      </c>
      <c r="J87" s="24">
        <f>IFERROR(BDP(Database!$A87&amp;" HK Equity","PE_RATIO"),"")</f>
        <v/>
      </c>
      <c r="K87" s="10">
        <f>IFERROR(BDP(Database!$A87&amp;" HK Equity","A/H_SHARE_CONVERSION"),"")</f>
        <v/>
      </c>
      <c r="L87" s="16">
        <f>IF(Database!BA87="","(none found)",Database!BA87)</f>
        <v/>
      </c>
      <c r="M87" s="18">
        <f>IFERROR(BDH(Database!$A87&amp;" HK Equity","CUR_MKT_CAP",Database!$H87,Database!$H87),"")</f>
        <v/>
      </c>
      <c r="N87" s="99">
        <f>Database!Q87</f>
        <v/>
      </c>
      <c r="O87" s="24">
        <f>IFERROR(BDH(Database!$A87&amp;" HK Equity","PE_RATIO",Database!$H87,Database!$H87),"")</f>
        <v/>
      </c>
      <c r="P87" s="101">
        <f>IF(Database!AV87="","(n/m or not derivable)",Database!AV87)</f>
        <v/>
      </c>
      <c r="Q87" s="24">
        <f>IF(Database!BA87="","",IFERROR(BDH(LEFT(Database!BA87,FIND(".",Database!BA87)-1)&amp;" CH Equity","PE_RATIO",Database!$H87,Database!$H87),""))</f>
        <v/>
      </c>
      <c r="R87" s="24">
        <f>IF(Database!BA87="","",IFERROR(BDH("HSAHP Index","PX_LAST",Database!$H87,Database!$H87),""))</f>
        <v/>
      </c>
    </row>
    <row r="88">
      <c r="A88" s="16">
        <f>Database!A88&amp;"  "&amp;Database!B88</f>
        <v/>
      </c>
      <c r="B88" s="10">
        <f>IFERROR(INDEX(BDS(Database!$A88&amp;" HK Equity","EQUITY_OFFERINGS","array=t","endcol=1"),MATCH("IPO",BDS(Database!$A88&amp;" HK Equity","EQUITY_OFFERINGS","array=t","startcol=2","endcol=2"),0)),"")</f>
        <v/>
      </c>
      <c r="C88" s="103">
        <f>IF($B88="","",IFERROR(BDP($B88&amp;" Action","CP036"),""))</f>
        <v/>
      </c>
      <c r="D88" s="104">
        <f>Database!S88</f>
        <v/>
      </c>
      <c r="E88" s="103">
        <f>IF($B88="","",IFERROR(BDP($B88&amp;" Action","CP037"),""))</f>
        <v/>
      </c>
      <c r="F88" s="104">
        <f>Database!T88</f>
        <v/>
      </c>
      <c r="G88" s="103">
        <f>IF($B88="","",IFERROR(BDP($B88&amp;" Action","GREENSHOE_FACILITY"),""))</f>
        <v/>
      </c>
      <c r="H88" s="103">
        <f>IF($B88="","",IFERROR(BDP($B88&amp;" Action","OFFERING_GREENSHOE_SHARES_EX"),""))</f>
        <v/>
      </c>
      <c r="I88" s="16">
        <f>Database!Z88</f>
        <v/>
      </c>
      <c r="J88" s="24">
        <f>IFERROR(BDP(Database!$A88&amp;" HK Equity","PE_RATIO"),"")</f>
        <v/>
      </c>
      <c r="K88" s="10">
        <f>IFERROR(BDP(Database!$A88&amp;" HK Equity","A/H_SHARE_CONVERSION"),"")</f>
        <v/>
      </c>
      <c r="L88" s="16">
        <f>IF(Database!BA88="","(none found)",Database!BA88)</f>
        <v/>
      </c>
      <c r="M88" s="18">
        <f>IFERROR(BDH(Database!$A88&amp;" HK Equity","CUR_MKT_CAP",Database!$H88,Database!$H88),"")</f>
        <v/>
      </c>
      <c r="N88" s="99">
        <f>Database!Q88</f>
        <v/>
      </c>
      <c r="O88" s="24">
        <f>IFERROR(BDH(Database!$A88&amp;" HK Equity","PE_RATIO",Database!$H88,Database!$H88),"")</f>
        <v/>
      </c>
      <c r="P88" s="101">
        <f>IF(Database!AV88="","(n/m or not derivable)",Database!AV88)</f>
        <v/>
      </c>
      <c r="Q88" s="24">
        <f>IF(Database!BA88="","",IFERROR(BDH(LEFT(Database!BA88,FIND(".",Database!BA88)-1)&amp;" CH Equity","PE_RATIO",Database!$H88,Database!$H88),""))</f>
        <v/>
      </c>
      <c r="R88" s="24">
        <f>IF(Database!BA88="","",IFERROR(BDH("HSAHP Index","PX_LAST",Database!$H88,Database!$H88),""))</f>
        <v/>
      </c>
    </row>
    <row r="89">
      <c r="A89" s="16">
        <f>Database!A89&amp;"  "&amp;Database!B89</f>
        <v/>
      </c>
      <c r="B89" s="10">
        <f>IFERROR(INDEX(BDS(Database!$A89&amp;" HK Equity","EQUITY_OFFERINGS","array=t","endcol=1"),MATCH("IPO",BDS(Database!$A89&amp;" HK Equity","EQUITY_OFFERINGS","array=t","startcol=2","endcol=2"),0)),"")</f>
        <v/>
      </c>
      <c r="C89" s="103">
        <f>IF($B89="","",IFERROR(BDP($B89&amp;" Action","CP036"),""))</f>
        <v/>
      </c>
      <c r="D89" s="104">
        <f>Database!S89</f>
        <v/>
      </c>
      <c r="E89" s="103">
        <f>IF($B89="","",IFERROR(BDP($B89&amp;" Action","CP037"),""))</f>
        <v/>
      </c>
      <c r="F89" s="104">
        <f>Database!T89</f>
        <v/>
      </c>
      <c r="G89" s="103">
        <f>IF($B89="","",IFERROR(BDP($B89&amp;" Action","GREENSHOE_FACILITY"),""))</f>
        <v/>
      </c>
      <c r="H89" s="103">
        <f>IF($B89="","",IFERROR(BDP($B89&amp;" Action","OFFERING_GREENSHOE_SHARES_EX"),""))</f>
        <v/>
      </c>
      <c r="I89" s="16">
        <f>Database!Z89</f>
        <v/>
      </c>
      <c r="J89" s="24">
        <f>IFERROR(BDP(Database!$A89&amp;" HK Equity","PE_RATIO"),"")</f>
        <v/>
      </c>
      <c r="K89" s="10">
        <f>IFERROR(BDP(Database!$A89&amp;" HK Equity","A/H_SHARE_CONVERSION"),"")</f>
        <v/>
      </c>
      <c r="L89" s="16">
        <f>IF(Database!BA89="","(none found)",Database!BA89)</f>
        <v/>
      </c>
      <c r="M89" s="18">
        <f>IFERROR(BDH(Database!$A89&amp;" HK Equity","CUR_MKT_CAP",Database!$H89,Database!$H89),"")</f>
        <v/>
      </c>
      <c r="N89" s="99">
        <f>Database!Q89</f>
        <v/>
      </c>
      <c r="O89" s="24">
        <f>IFERROR(BDH(Database!$A89&amp;" HK Equity","PE_RATIO",Database!$H89,Database!$H89),"")</f>
        <v/>
      </c>
      <c r="P89" s="101">
        <f>IF(Database!AV89="","(n/m or not derivable)",Database!AV89)</f>
        <v/>
      </c>
      <c r="Q89" s="24">
        <f>IF(Database!BA89="","",IFERROR(BDH(LEFT(Database!BA89,FIND(".",Database!BA89)-1)&amp;" CH Equity","PE_RATIO",Database!$H89,Database!$H89),""))</f>
        <v/>
      </c>
      <c r="R89" s="24">
        <f>IF(Database!BA89="","",IFERROR(BDH("HSAHP Index","PX_LAST",Database!$H89,Database!$H89),""))</f>
        <v/>
      </c>
    </row>
    <row r="90">
      <c r="A90" s="16">
        <f>Database!A90&amp;"  "&amp;Database!B90</f>
        <v/>
      </c>
      <c r="B90" s="10">
        <f>IFERROR(INDEX(BDS(Database!$A90&amp;" HK Equity","EQUITY_OFFERINGS","array=t","endcol=1"),MATCH("IPO",BDS(Database!$A90&amp;" HK Equity","EQUITY_OFFERINGS","array=t","startcol=2","endcol=2"),0)),"")</f>
        <v/>
      </c>
      <c r="C90" s="103">
        <f>IF($B90="","",IFERROR(BDP($B90&amp;" Action","CP036"),""))</f>
        <v/>
      </c>
      <c r="D90" s="104">
        <f>Database!S90</f>
        <v/>
      </c>
      <c r="E90" s="103">
        <f>IF($B90="","",IFERROR(BDP($B90&amp;" Action","CP037"),""))</f>
        <v/>
      </c>
      <c r="F90" s="104">
        <f>Database!T90</f>
        <v/>
      </c>
      <c r="G90" s="103">
        <f>IF($B90="","",IFERROR(BDP($B90&amp;" Action","GREENSHOE_FACILITY"),""))</f>
        <v/>
      </c>
      <c r="H90" s="103">
        <f>IF($B90="","",IFERROR(BDP($B90&amp;" Action","OFFERING_GREENSHOE_SHARES_EX"),""))</f>
        <v/>
      </c>
      <c r="I90" s="16">
        <f>Database!Z90</f>
        <v/>
      </c>
      <c r="J90" s="24">
        <f>IFERROR(BDP(Database!$A90&amp;" HK Equity","PE_RATIO"),"")</f>
        <v/>
      </c>
      <c r="K90" s="10">
        <f>IFERROR(BDP(Database!$A90&amp;" HK Equity","A/H_SHARE_CONVERSION"),"")</f>
        <v/>
      </c>
      <c r="L90" s="16">
        <f>IF(Database!BA90="","(none found)",Database!BA90)</f>
        <v/>
      </c>
      <c r="M90" s="18">
        <f>IFERROR(BDH(Database!$A90&amp;" HK Equity","CUR_MKT_CAP",Database!$H90,Database!$H90),"")</f>
        <v/>
      </c>
      <c r="N90" s="99">
        <f>Database!Q90</f>
        <v/>
      </c>
      <c r="O90" s="24">
        <f>IFERROR(BDH(Database!$A90&amp;" HK Equity","PE_RATIO",Database!$H90,Database!$H90),"")</f>
        <v/>
      </c>
      <c r="P90" s="101">
        <f>IF(Database!AV90="","(n/m or not derivable)",Database!AV90)</f>
        <v/>
      </c>
      <c r="Q90" s="24">
        <f>IF(Database!BA90="","",IFERROR(BDH(LEFT(Database!BA90,FIND(".",Database!BA90)-1)&amp;" CH Equity","PE_RATIO",Database!$H90,Database!$H90),""))</f>
        <v/>
      </c>
      <c r="R90" s="24">
        <f>IF(Database!BA90="","",IFERROR(BDH("HSAHP Index","PX_LAST",Database!$H90,Database!$H90),""))</f>
        <v/>
      </c>
    </row>
    <row r="91">
      <c r="A91" s="16">
        <f>Database!A91&amp;"  "&amp;Database!B91</f>
        <v/>
      </c>
      <c r="B91" s="10">
        <f>IFERROR(INDEX(BDS(Database!$A91&amp;" HK Equity","EQUITY_OFFERINGS","array=t","endcol=1"),MATCH("IPO",BDS(Database!$A91&amp;" HK Equity","EQUITY_OFFERINGS","array=t","startcol=2","endcol=2"),0)),"")</f>
        <v/>
      </c>
      <c r="C91" s="103">
        <f>IF($B91="","",IFERROR(BDP($B91&amp;" Action","CP036"),""))</f>
        <v/>
      </c>
      <c r="D91" s="104">
        <f>Database!S91</f>
        <v/>
      </c>
      <c r="E91" s="103">
        <f>IF($B91="","",IFERROR(BDP($B91&amp;" Action","CP037"),""))</f>
        <v/>
      </c>
      <c r="F91" s="104">
        <f>Database!T91</f>
        <v/>
      </c>
      <c r="G91" s="103">
        <f>IF($B91="","",IFERROR(BDP($B91&amp;" Action","GREENSHOE_FACILITY"),""))</f>
        <v/>
      </c>
      <c r="H91" s="103">
        <f>IF($B91="","",IFERROR(BDP($B91&amp;" Action","OFFERING_GREENSHOE_SHARES_EX"),""))</f>
        <v/>
      </c>
      <c r="I91" s="16">
        <f>Database!Z91</f>
        <v/>
      </c>
      <c r="J91" s="24">
        <f>IFERROR(BDP(Database!$A91&amp;" HK Equity","PE_RATIO"),"")</f>
        <v/>
      </c>
      <c r="K91" s="10">
        <f>IFERROR(BDP(Database!$A91&amp;" HK Equity","A/H_SHARE_CONVERSION"),"")</f>
        <v/>
      </c>
      <c r="L91" s="16">
        <f>IF(Database!BA91="","(none found)",Database!BA91)</f>
        <v/>
      </c>
      <c r="M91" s="18">
        <f>IFERROR(BDH(Database!$A91&amp;" HK Equity","CUR_MKT_CAP",Database!$H91,Database!$H91),"")</f>
        <v/>
      </c>
      <c r="N91" s="99">
        <f>Database!Q91</f>
        <v/>
      </c>
      <c r="O91" s="24">
        <f>IFERROR(BDH(Database!$A91&amp;" HK Equity","PE_RATIO",Database!$H91,Database!$H91),"")</f>
        <v/>
      </c>
      <c r="P91" s="101">
        <f>IF(Database!AV91="","(n/m or not derivable)",Database!AV91)</f>
        <v/>
      </c>
      <c r="Q91" s="24">
        <f>IF(Database!BA91="","",IFERROR(BDH(LEFT(Database!BA91,FIND(".",Database!BA91)-1)&amp;" CH Equity","PE_RATIO",Database!$H91,Database!$H91),""))</f>
        <v/>
      </c>
      <c r="R91" s="24">
        <f>IF(Database!BA91="","",IFERROR(BDH("HSAHP Index","PX_LAST",Database!$H91,Database!$H91),""))</f>
        <v/>
      </c>
    </row>
    <row r="92">
      <c r="A92" s="16">
        <f>Database!A92&amp;"  "&amp;Database!B92</f>
        <v/>
      </c>
      <c r="B92" s="10">
        <f>IFERROR(INDEX(BDS(Database!$A92&amp;" HK Equity","EQUITY_OFFERINGS","array=t","endcol=1"),MATCH("IPO",BDS(Database!$A92&amp;" HK Equity","EQUITY_OFFERINGS","array=t","startcol=2","endcol=2"),0)),"")</f>
        <v/>
      </c>
      <c r="C92" s="103">
        <f>IF($B92="","",IFERROR(BDP($B92&amp;" Action","CP036"),""))</f>
        <v/>
      </c>
      <c r="D92" s="104">
        <f>Database!S92</f>
        <v/>
      </c>
      <c r="E92" s="103">
        <f>IF($B92="","",IFERROR(BDP($B92&amp;" Action","CP037"),""))</f>
        <v/>
      </c>
      <c r="F92" s="104">
        <f>Database!T92</f>
        <v/>
      </c>
      <c r="G92" s="103">
        <f>IF($B92="","",IFERROR(BDP($B92&amp;" Action","GREENSHOE_FACILITY"),""))</f>
        <v/>
      </c>
      <c r="H92" s="103">
        <f>IF($B92="","",IFERROR(BDP($B92&amp;" Action","OFFERING_GREENSHOE_SHARES_EX"),""))</f>
        <v/>
      </c>
      <c r="I92" s="16">
        <f>Database!Z92</f>
        <v/>
      </c>
      <c r="J92" s="24">
        <f>IFERROR(BDP(Database!$A92&amp;" HK Equity","PE_RATIO"),"")</f>
        <v/>
      </c>
      <c r="K92" s="10">
        <f>IFERROR(BDP(Database!$A92&amp;" HK Equity","A/H_SHARE_CONVERSION"),"")</f>
        <v/>
      </c>
      <c r="L92" s="16">
        <f>IF(Database!BA92="","(none found)",Database!BA92)</f>
        <v/>
      </c>
      <c r="M92" s="18">
        <f>IFERROR(BDH(Database!$A92&amp;" HK Equity","CUR_MKT_CAP",Database!$H92,Database!$H92),"")</f>
        <v/>
      </c>
      <c r="N92" s="99">
        <f>Database!Q92</f>
        <v/>
      </c>
      <c r="O92" s="24">
        <f>IFERROR(BDH(Database!$A92&amp;" HK Equity","PE_RATIO",Database!$H92,Database!$H92),"")</f>
        <v/>
      </c>
      <c r="P92" s="101">
        <f>IF(Database!AV92="","(n/m or not derivable)",Database!AV92)</f>
        <v/>
      </c>
      <c r="Q92" s="24">
        <f>IF(Database!BA92="","",IFERROR(BDH(LEFT(Database!BA92,FIND(".",Database!BA92)-1)&amp;" CH Equity","PE_RATIO",Database!$H92,Database!$H92),""))</f>
        <v/>
      </c>
      <c r="R92" s="24">
        <f>IF(Database!BA92="","",IFERROR(BDH("HSAHP Index","PX_LAST",Database!$H92,Database!$H92),""))</f>
        <v/>
      </c>
    </row>
    <row r="93">
      <c r="A93" s="16">
        <f>Database!A93&amp;"  "&amp;Database!B93</f>
        <v/>
      </c>
      <c r="B93" s="10">
        <f>IFERROR(INDEX(BDS(Database!$A93&amp;" HK Equity","EQUITY_OFFERINGS","array=t","endcol=1"),MATCH("IPO",BDS(Database!$A93&amp;" HK Equity","EQUITY_OFFERINGS","array=t","startcol=2","endcol=2"),0)),"")</f>
        <v/>
      </c>
      <c r="C93" s="103">
        <f>IF($B93="","",IFERROR(BDP($B93&amp;" Action","CP036"),""))</f>
        <v/>
      </c>
      <c r="D93" s="104">
        <f>Database!S93</f>
        <v/>
      </c>
      <c r="E93" s="103">
        <f>IF($B93="","",IFERROR(BDP($B93&amp;" Action","CP037"),""))</f>
        <v/>
      </c>
      <c r="F93" s="104">
        <f>Database!T93</f>
        <v/>
      </c>
      <c r="G93" s="103">
        <f>IF($B93="","",IFERROR(BDP($B93&amp;" Action","GREENSHOE_FACILITY"),""))</f>
        <v/>
      </c>
      <c r="H93" s="103">
        <f>IF($B93="","",IFERROR(BDP($B93&amp;" Action","OFFERING_GREENSHOE_SHARES_EX"),""))</f>
        <v/>
      </c>
      <c r="I93" s="16">
        <f>Database!Z93</f>
        <v/>
      </c>
      <c r="J93" s="24">
        <f>IFERROR(BDP(Database!$A93&amp;" HK Equity","PE_RATIO"),"")</f>
        <v/>
      </c>
      <c r="K93" s="10">
        <f>IFERROR(BDP(Database!$A93&amp;" HK Equity","A/H_SHARE_CONVERSION"),"")</f>
        <v/>
      </c>
      <c r="L93" s="16">
        <f>IF(Database!BA93="","(none found)",Database!BA93)</f>
        <v/>
      </c>
      <c r="M93" s="18">
        <f>IFERROR(BDH(Database!$A93&amp;" HK Equity","CUR_MKT_CAP",Database!$H93,Database!$H93),"")</f>
        <v/>
      </c>
      <c r="N93" s="99">
        <f>Database!Q93</f>
        <v/>
      </c>
      <c r="O93" s="24">
        <f>IFERROR(BDH(Database!$A93&amp;" HK Equity","PE_RATIO",Database!$H93,Database!$H93),"")</f>
        <v/>
      </c>
      <c r="P93" s="101">
        <f>IF(Database!AV93="","(n/m or not derivable)",Database!AV93)</f>
        <v/>
      </c>
      <c r="Q93" s="24">
        <f>IF(Database!BA93="","",IFERROR(BDH(LEFT(Database!BA93,FIND(".",Database!BA93)-1)&amp;" CH Equity","PE_RATIO",Database!$H93,Database!$H93),""))</f>
        <v/>
      </c>
      <c r="R93" s="24">
        <f>IF(Database!BA93="","",IFERROR(BDH("HSAHP Index","PX_LAST",Database!$H93,Database!$H93),""))</f>
        <v/>
      </c>
    </row>
    <row r="94">
      <c r="A94" s="16">
        <f>Database!A94&amp;"  "&amp;Database!B94</f>
        <v/>
      </c>
      <c r="B94" s="10">
        <f>IFERROR(INDEX(BDS(Database!$A94&amp;" HK Equity","EQUITY_OFFERINGS","array=t","endcol=1"),MATCH("IPO",BDS(Database!$A94&amp;" HK Equity","EQUITY_OFFERINGS","array=t","startcol=2","endcol=2"),0)),"")</f>
        <v/>
      </c>
      <c r="C94" s="103">
        <f>IF($B94="","",IFERROR(BDP($B94&amp;" Action","CP036"),""))</f>
        <v/>
      </c>
      <c r="D94" s="104">
        <f>Database!S94</f>
        <v/>
      </c>
      <c r="E94" s="103">
        <f>IF($B94="","",IFERROR(BDP($B94&amp;" Action","CP037"),""))</f>
        <v/>
      </c>
      <c r="F94" s="104">
        <f>Database!T94</f>
        <v/>
      </c>
      <c r="G94" s="103">
        <f>IF($B94="","",IFERROR(BDP($B94&amp;" Action","GREENSHOE_FACILITY"),""))</f>
        <v/>
      </c>
      <c r="H94" s="103">
        <f>IF($B94="","",IFERROR(BDP($B94&amp;" Action","OFFERING_GREENSHOE_SHARES_EX"),""))</f>
        <v/>
      </c>
      <c r="I94" s="16">
        <f>Database!Z94</f>
        <v/>
      </c>
      <c r="J94" s="24">
        <f>IFERROR(BDP(Database!$A94&amp;" HK Equity","PE_RATIO"),"")</f>
        <v/>
      </c>
      <c r="K94" s="10">
        <f>IFERROR(BDP(Database!$A94&amp;" HK Equity","A/H_SHARE_CONVERSION"),"")</f>
        <v/>
      </c>
      <c r="L94" s="16">
        <f>IF(Database!BA94="","(none found)",Database!BA94)</f>
        <v/>
      </c>
      <c r="M94" s="18">
        <f>IFERROR(BDH(Database!$A94&amp;" HK Equity","CUR_MKT_CAP",Database!$H94,Database!$H94),"")</f>
        <v/>
      </c>
      <c r="N94" s="99">
        <f>Database!Q94</f>
        <v/>
      </c>
      <c r="O94" s="24">
        <f>IFERROR(BDH(Database!$A94&amp;" HK Equity","PE_RATIO",Database!$H94,Database!$H94),"")</f>
        <v/>
      </c>
      <c r="P94" s="101">
        <f>IF(Database!AV94="","(n/m or not derivable)",Database!AV94)</f>
        <v/>
      </c>
      <c r="Q94" s="24">
        <f>IF(Database!BA94="","",IFERROR(BDH(LEFT(Database!BA94,FIND(".",Database!BA94)-1)&amp;" CH Equity","PE_RATIO",Database!$H94,Database!$H94),""))</f>
        <v/>
      </c>
      <c r="R94" s="24">
        <f>IF(Database!BA94="","",IFERROR(BDH("HSAHP Index","PX_LAST",Database!$H94,Database!$H94),""))</f>
        <v/>
      </c>
    </row>
    <row r="95">
      <c r="A95" s="16">
        <f>Database!A95&amp;"  "&amp;Database!B95</f>
        <v/>
      </c>
      <c r="B95" s="10">
        <f>IFERROR(INDEX(BDS(Database!$A95&amp;" HK Equity","EQUITY_OFFERINGS","array=t","endcol=1"),MATCH("IPO",BDS(Database!$A95&amp;" HK Equity","EQUITY_OFFERINGS","array=t","startcol=2","endcol=2"),0)),"")</f>
        <v/>
      </c>
      <c r="C95" s="103">
        <f>IF($B95="","",IFERROR(BDP($B95&amp;" Action","CP036"),""))</f>
        <v/>
      </c>
      <c r="D95" s="104">
        <f>Database!S95</f>
        <v/>
      </c>
      <c r="E95" s="103">
        <f>IF($B95="","",IFERROR(BDP($B95&amp;" Action","CP037"),""))</f>
        <v/>
      </c>
      <c r="F95" s="104">
        <f>Database!T95</f>
        <v/>
      </c>
      <c r="G95" s="103">
        <f>IF($B95="","",IFERROR(BDP($B95&amp;" Action","GREENSHOE_FACILITY"),""))</f>
        <v/>
      </c>
      <c r="H95" s="103">
        <f>IF($B95="","",IFERROR(BDP($B95&amp;" Action","OFFERING_GREENSHOE_SHARES_EX"),""))</f>
        <v/>
      </c>
      <c r="I95" s="16">
        <f>Database!Z95</f>
        <v/>
      </c>
      <c r="J95" s="24">
        <f>IFERROR(BDP(Database!$A95&amp;" HK Equity","PE_RATIO"),"")</f>
        <v/>
      </c>
      <c r="K95" s="10">
        <f>IFERROR(BDP(Database!$A95&amp;" HK Equity","A/H_SHARE_CONVERSION"),"")</f>
        <v/>
      </c>
      <c r="L95" s="16">
        <f>IF(Database!BA95="","(none found)",Database!BA95)</f>
        <v/>
      </c>
      <c r="M95" s="18">
        <f>IFERROR(BDH(Database!$A95&amp;" HK Equity","CUR_MKT_CAP",Database!$H95,Database!$H95),"")</f>
        <v/>
      </c>
      <c r="N95" s="99">
        <f>Database!Q95</f>
        <v/>
      </c>
      <c r="O95" s="24">
        <f>IFERROR(BDH(Database!$A95&amp;" HK Equity","PE_RATIO",Database!$H95,Database!$H95),"")</f>
        <v/>
      </c>
      <c r="P95" s="101">
        <f>IF(Database!AV95="","(n/m or not derivable)",Database!AV95)</f>
        <v/>
      </c>
      <c r="Q95" s="24">
        <f>IF(Database!BA95="","",IFERROR(BDH(LEFT(Database!BA95,FIND(".",Database!BA95)-1)&amp;" CH Equity","PE_RATIO",Database!$H95,Database!$H95),""))</f>
        <v/>
      </c>
      <c r="R95" s="24">
        <f>IF(Database!BA95="","",IFERROR(BDH("HSAHP Index","PX_LAST",Database!$H95,Database!$H95),""))</f>
        <v/>
      </c>
    </row>
    <row r="96">
      <c r="A96" s="16">
        <f>Database!A96&amp;"  "&amp;Database!B96</f>
        <v/>
      </c>
      <c r="B96" s="10">
        <f>IFERROR(INDEX(BDS(Database!$A96&amp;" HK Equity","EQUITY_OFFERINGS","array=t","endcol=1"),MATCH("IPO",BDS(Database!$A96&amp;" HK Equity","EQUITY_OFFERINGS","array=t","startcol=2","endcol=2"),0)),"")</f>
        <v/>
      </c>
      <c r="C96" s="103">
        <f>IF($B96="","",IFERROR(BDP($B96&amp;" Action","CP036"),""))</f>
        <v/>
      </c>
      <c r="D96" s="104">
        <f>Database!S96</f>
        <v/>
      </c>
      <c r="E96" s="103">
        <f>IF($B96="","",IFERROR(BDP($B96&amp;" Action","CP037"),""))</f>
        <v/>
      </c>
      <c r="F96" s="104">
        <f>Database!T96</f>
        <v/>
      </c>
      <c r="G96" s="103">
        <f>IF($B96="","",IFERROR(BDP($B96&amp;" Action","GREENSHOE_FACILITY"),""))</f>
        <v/>
      </c>
      <c r="H96" s="103">
        <f>IF($B96="","",IFERROR(BDP($B96&amp;" Action","OFFERING_GREENSHOE_SHARES_EX"),""))</f>
        <v/>
      </c>
      <c r="I96" s="16">
        <f>Database!Z96</f>
        <v/>
      </c>
      <c r="J96" s="24">
        <f>IFERROR(BDP(Database!$A96&amp;" HK Equity","PE_RATIO"),"")</f>
        <v/>
      </c>
      <c r="K96" s="10">
        <f>IFERROR(BDP(Database!$A96&amp;" HK Equity","A/H_SHARE_CONVERSION"),"")</f>
        <v/>
      </c>
      <c r="L96" s="16">
        <f>IF(Database!BA96="","(none found)",Database!BA96)</f>
        <v/>
      </c>
      <c r="M96" s="18">
        <f>IFERROR(BDH(Database!$A96&amp;" HK Equity","CUR_MKT_CAP",Database!$H96,Database!$H96),"")</f>
        <v/>
      </c>
      <c r="N96" s="99">
        <f>Database!Q96</f>
        <v/>
      </c>
      <c r="O96" s="24">
        <f>IFERROR(BDH(Database!$A96&amp;" HK Equity","PE_RATIO",Database!$H96,Database!$H96),"")</f>
        <v/>
      </c>
      <c r="P96" s="101">
        <f>IF(Database!AV96="","(n/m or not derivable)",Database!AV96)</f>
        <v/>
      </c>
      <c r="Q96" s="24">
        <f>IF(Database!BA96="","",IFERROR(BDH(LEFT(Database!BA96,FIND(".",Database!BA96)-1)&amp;" CH Equity","PE_RATIO",Database!$H96,Database!$H96),""))</f>
        <v/>
      </c>
      <c r="R96" s="24">
        <f>IF(Database!BA96="","",IFERROR(BDH("HSAHP Index","PX_LAST",Database!$H96,Database!$H96),""))</f>
        <v/>
      </c>
    </row>
    <row r="97">
      <c r="A97" s="16">
        <f>Database!A97&amp;"  "&amp;Database!B97</f>
        <v/>
      </c>
      <c r="B97" s="10">
        <f>IFERROR(INDEX(BDS(Database!$A97&amp;" HK Equity","EQUITY_OFFERINGS","array=t","endcol=1"),MATCH("IPO",BDS(Database!$A97&amp;" HK Equity","EQUITY_OFFERINGS","array=t","startcol=2","endcol=2"),0)),"")</f>
        <v/>
      </c>
      <c r="C97" s="103">
        <f>IF($B97="","",IFERROR(BDP($B97&amp;" Action","CP036"),""))</f>
        <v/>
      </c>
      <c r="D97" s="104">
        <f>Database!S97</f>
        <v/>
      </c>
      <c r="E97" s="103">
        <f>IF($B97="","",IFERROR(BDP($B97&amp;" Action","CP037"),""))</f>
        <v/>
      </c>
      <c r="F97" s="104">
        <f>Database!T97</f>
        <v/>
      </c>
      <c r="G97" s="103">
        <f>IF($B97="","",IFERROR(BDP($B97&amp;" Action","GREENSHOE_FACILITY"),""))</f>
        <v/>
      </c>
      <c r="H97" s="103">
        <f>IF($B97="","",IFERROR(BDP($B97&amp;" Action","OFFERING_GREENSHOE_SHARES_EX"),""))</f>
        <v/>
      </c>
      <c r="I97" s="16">
        <f>Database!Z97</f>
        <v/>
      </c>
      <c r="J97" s="24">
        <f>IFERROR(BDP(Database!$A97&amp;" HK Equity","PE_RATIO"),"")</f>
        <v/>
      </c>
      <c r="K97" s="10">
        <f>IFERROR(BDP(Database!$A97&amp;" HK Equity","A/H_SHARE_CONVERSION"),"")</f>
        <v/>
      </c>
      <c r="L97" s="16">
        <f>IF(Database!BA97="","(none found)",Database!BA97)</f>
        <v/>
      </c>
      <c r="M97" s="18">
        <f>IFERROR(BDH(Database!$A97&amp;" HK Equity","CUR_MKT_CAP",Database!$H97,Database!$H97),"")</f>
        <v/>
      </c>
      <c r="N97" s="99">
        <f>Database!Q97</f>
        <v/>
      </c>
      <c r="O97" s="24">
        <f>IFERROR(BDH(Database!$A97&amp;" HK Equity","PE_RATIO",Database!$H97,Database!$H97),"")</f>
        <v/>
      </c>
      <c r="P97" s="101">
        <f>IF(Database!AV97="","(n/m or not derivable)",Database!AV97)</f>
        <v/>
      </c>
      <c r="Q97" s="24">
        <f>IF(Database!BA97="","",IFERROR(BDH(LEFT(Database!BA97,FIND(".",Database!BA97)-1)&amp;" CH Equity","PE_RATIO",Database!$H97,Database!$H97),""))</f>
        <v/>
      </c>
      <c r="R97" s="24">
        <f>IF(Database!BA97="","",IFERROR(BDH("HSAHP Index","PX_LAST",Database!$H97,Database!$H97),""))</f>
        <v/>
      </c>
    </row>
    <row r="98">
      <c r="A98" s="16">
        <f>Database!A98&amp;"  "&amp;Database!B98</f>
        <v/>
      </c>
      <c r="B98" s="10">
        <f>IFERROR(INDEX(BDS(Database!$A98&amp;" HK Equity","EQUITY_OFFERINGS","array=t","endcol=1"),MATCH("IPO",BDS(Database!$A98&amp;" HK Equity","EQUITY_OFFERINGS","array=t","startcol=2","endcol=2"),0)),"")</f>
        <v/>
      </c>
      <c r="C98" s="103">
        <f>IF($B98="","",IFERROR(BDP($B98&amp;" Action","CP036"),""))</f>
        <v/>
      </c>
      <c r="D98" s="104">
        <f>Database!S98</f>
        <v/>
      </c>
      <c r="E98" s="103">
        <f>IF($B98="","",IFERROR(BDP($B98&amp;" Action","CP037"),""))</f>
        <v/>
      </c>
      <c r="F98" s="104">
        <f>Database!T98</f>
        <v/>
      </c>
      <c r="G98" s="103">
        <f>IF($B98="","",IFERROR(BDP($B98&amp;" Action","GREENSHOE_FACILITY"),""))</f>
        <v/>
      </c>
      <c r="H98" s="103">
        <f>IF($B98="","",IFERROR(BDP($B98&amp;" Action","OFFERING_GREENSHOE_SHARES_EX"),""))</f>
        <v/>
      </c>
      <c r="I98" s="16">
        <f>Database!Z98</f>
        <v/>
      </c>
      <c r="J98" s="24">
        <f>IFERROR(BDP(Database!$A98&amp;" HK Equity","PE_RATIO"),"")</f>
        <v/>
      </c>
      <c r="K98" s="10">
        <f>IFERROR(BDP(Database!$A98&amp;" HK Equity","A/H_SHARE_CONVERSION"),"")</f>
        <v/>
      </c>
      <c r="L98" s="16">
        <f>IF(Database!BA98="","(none found)",Database!BA98)</f>
        <v/>
      </c>
      <c r="M98" s="18">
        <f>IFERROR(BDH(Database!$A98&amp;" HK Equity","CUR_MKT_CAP",Database!$H98,Database!$H98),"")</f>
        <v/>
      </c>
      <c r="N98" s="99">
        <f>Database!Q98</f>
        <v/>
      </c>
      <c r="O98" s="24">
        <f>IFERROR(BDH(Database!$A98&amp;" HK Equity","PE_RATIO",Database!$H98,Database!$H98),"")</f>
        <v/>
      </c>
      <c r="P98" s="101">
        <f>IF(Database!AV98="","(n/m or not derivable)",Database!AV98)</f>
        <v/>
      </c>
      <c r="Q98" s="24">
        <f>IF(Database!BA98="","",IFERROR(BDH(LEFT(Database!BA98,FIND(".",Database!BA98)-1)&amp;" CH Equity","PE_RATIO",Database!$H98,Database!$H98),""))</f>
        <v/>
      </c>
      <c r="R98" s="24">
        <f>IF(Database!BA98="","",IFERROR(BDH("HSAHP Index","PX_LAST",Database!$H98,Database!$H98),""))</f>
        <v/>
      </c>
    </row>
    <row r="99">
      <c r="A99" s="16">
        <f>Database!A99&amp;"  "&amp;Database!B99</f>
        <v/>
      </c>
      <c r="B99" s="10">
        <f>IFERROR(INDEX(BDS(Database!$A99&amp;" HK Equity","EQUITY_OFFERINGS","array=t","endcol=1"),MATCH("IPO",BDS(Database!$A99&amp;" HK Equity","EQUITY_OFFERINGS","array=t","startcol=2","endcol=2"),0)),"")</f>
        <v/>
      </c>
      <c r="C99" s="103">
        <f>IF($B99="","",IFERROR(BDP($B99&amp;" Action","CP036"),""))</f>
        <v/>
      </c>
      <c r="D99" s="104">
        <f>Database!S99</f>
        <v/>
      </c>
      <c r="E99" s="103">
        <f>IF($B99="","",IFERROR(BDP($B99&amp;" Action","CP037"),""))</f>
        <v/>
      </c>
      <c r="F99" s="104">
        <f>Database!T99</f>
        <v/>
      </c>
      <c r="G99" s="103">
        <f>IF($B99="","",IFERROR(BDP($B99&amp;" Action","GREENSHOE_FACILITY"),""))</f>
        <v/>
      </c>
      <c r="H99" s="103">
        <f>IF($B99="","",IFERROR(BDP($B99&amp;" Action","OFFERING_GREENSHOE_SHARES_EX"),""))</f>
        <v/>
      </c>
      <c r="I99" s="16">
        <f>Database!Z99</f>
        <v/>
      </c>
      <c r="J99" s="24">
        <f>IFERROR(BDP(Database!$A99&amp;" HK Equity","PE_RATIO"),"")</f>
        <v/>
      </c>
      <c r="K99" s="10">
        <f>IFERROR(BDP(Database!$A99&amp;" HK Equity","A/H_SHARE_CONVERSION"),"")</f>
        <v/>
      </c>
      <c r="L99" s="16">
        <f>IF(Database!BA99="","(none found)",Database!BA99)</f>
        <v/>
      </c>
      <c r="M99" s="18">
        <f>IFERROR(BDH(Database!$A99&amp;" HK Equity","CUR_MKT_CAP",Database!$H99,Database!$H99),"")</f>
        <v/>
      </c>
      <c r="N99" s="99">
        <f>Database!Q99</f>
        <v/>
      </c>
      <c r="O99" s="24">
        <f>IFERROR(BDH(Database!$A99&amp;" HK Equity","PE_RATIO",Database!$H99,Database!$H99),"")</f>
        <v/>
      </c>
      <c r="P99" s="101">
        <f>IF(Database!AV99="","(n/m or not derivable)",Database!AV99)</f>
        <v/>
      </c>
      <c r="Q99" s="24">
        <f>IF(Database!BA99="","",IFERROR(BDH(LEFT(Database!BA99,FIND(".",Database!BA99)-1)&amp;" CH Equity","PE_RATIO",Database!$H99,Database!$H99),""))</f>
        <v/>
      </c>
      <c r="R99" s="24">
        <f>IF(Database!BA99="","",IFERROR(BDH("HSAHP Index","PX_LAST",Database!$H99,Database!$H99),""))</f>
        <v/>
      </c>
    </row>
    <row r="100">
      <c r="A100" s="16">
        <f>Database!A100&amp;"  "&amp;Database!B100</f>
        <v/>
      </c>
      <c r="B100" s="10">
        <f>IFERROR(INDEX(BDS(Database!$A100&amp;" HK Equity","EQUITY_OFFERINGS","array=t","endcol=1"),MATCH("IPO",BDS(Database!$A100&amp;" HK Equity","EQUITY_OFFERINGS","array=t","startcol=2","endcol=2"),0)),"")</f>
        <v/>
      </c>
      <c r="C100" s="103">
        <f>IF($B100="","",IFERROR(BDP($B100&amp;" Action","CP036"),""))</f>
        <v/>
      </c>
      <c r="D100" s="104">
        <f>Database!S100</f>
        <v/>
      </c>
      <c r="E100" s="103">
        <f>IF($B100="","",IFERROR(BDP($B100&amp;" Action","CP037"),""))</f>
        <v/>
      </c>
      <c r="F100" s="104">
        <f>Database!T100</f>
        <v/>
      </c>
      <c r="G100" s="103">
        <f>IF($B100="","",IFERROR(BDP($B100&amp;" Action","GREENSHOE_FACILITY"),""))</f>
        <v/>
      </c>
      <c r="H100" s="103">
        <f>IF($B100="","",IFERROR(BDP($B100&amp;" Action","OFFERING_GREENSHOE_SHARES_EX"),""))</f>
        <v/>
      </c>
      <c r="I100" s="16">
        <f>Database!Z100</f>
        <v/>
      </c>
      <c r="J100" s="24">
        <f>IFERROR(BDP(Database!$A100&amp;" HK Equity","PE_RATIO"),"")</f>
        <v/>
      </c>
      <c r="K100" s="10">
        <f>IFERROR(BDP(Database!$A100&amp;" HK Equity","A/H_SHARE_CONVERSION"),"")</f>
        <v/>
      </c>
      <c r="L100" s="16">
        <f>IF(Database!BA100="","(none found)",Database!BA100)</f>
        <v/>
      </c>
      <c r="M100" s="18">
        <f>IFERROR(BDH(Database!$A100&amp;" HK Equity","CUR_MKT_CAP",Database!$H100,Database!$H100),"")</f>
        <v/>
      </c>
      <c r="N100" s="99">
        <f>Database!Q100</f>
        <v/>
      </c>
      <c r="O100" s="24">
        <f>IFERROR(BDH(Database!$A100&amp;" HK Equity","PE_RATIO",Database!$H100,Database!$H100),"")</f>
        <v/>
      </c>
      <c r="P100" s="101">
        <f>IF(Database!AV100="","(n/m or not derivable)",Database!AV100)</f>
        <v/>
      </c>
      <c r="Q100" s="24">
        <f>IF(Database!BA100="","",IFERROR(BDH(LEFT(Database!BA100,FIND(".",Database!BA100)-1)&amp;" CH Equity","PE_RATIO",Database!$H100,Database!$H100),""))</f>
        <v/>
      </c>
      <c r="R100" s="24">
        <f>IF(Database!BA100="","",IFERROR(BDH("HSAHP Index","PX_LAST",Database!$H100,Database!$H100),""))</f>
        <v/>
      </c>
    </row>
    <row r="101">
      <c r="A101" s="16">
        <f>Database!A101&amp;"  "&amp;Database!B101</f>
        <v/>
      </c>
      <c r="B101" s="10">
        <f>IFERROR(INDEX(BDS(Database!$A101&amp;" HK Equity","EQUITY_OFFERINGS","array=t","endcol=1"),MATCH("IPO",BDS(Database!$A101&amp;" HK Equity","EQUITY_OFFERINGS","array=t","startcol=2","endcol=2"),0)),"")</f>
        <v/>
      </c>
      <c r="C101" s="103">
        <f>IF($B101="","",IFERROR(BDP($B101&amp;" Action","CP036"),""))</f>
        <v/>
      </c>
      <c r="D101" s="104">
        <f>Database!S101</f>
        <v/>
      </c>
      <c r="E101" s="103">
        <f>IF($B101="","",IFERROR(BDP($B101&amp;" Action","CP037"),""))</f>
        <v/>
      </c>
      <c r="F101" s="104">
        <f>Database!T101</f>
        <v/>
      </c>
      <c r="G101" s="103">
        <f>IF($B101="","",IFERROR(BDP($B101&amp;" Action","GREENSHOE_FACILITY"),""))</f>
        <v/>
      </c>
      <c r="H101" s="103">
        <f>IF($B101="","",IFERROR(BDP($B101&amp;" Action","OFFERING_GREENSHOE_SHARES_EX"),""))</f>
        <v/>
      </c>
      <c r="I101" s="16">
        <f>Database!Z101</f>
        <v/>
      </c>
      <c r="J101" s="24">
        <f>IFERROR(BDP(Database!$A101&amp;" HK Equity","PE_RATIO"),"")</f>
        <v/>
      </c>
      <c r="K101" s="10">
        <f>IFERROR(BDP(Database!$A101&amp;" HK Equity","A/H_SHARE_CONVERSION"),"")</f>
        <v/>
      </c>
      <c r="L101" s="16">
        <f>IF(Database!BA101="","(none found)",Database!BA101)</f>
        <v/>
      </c>
      <c r="M101" s="18">
        <f>IFERROR(BDH(Database!$A101&amp;" HK Equity","CUR_MKT_CAP",Database!$H101,Database!$H101),"")</f>
        <v/>
      </c>
      <c r="N101" s="99">
        <f>Database!Q101</f>
        <v/>
      </c>
      <c r="O101" s="24">
        <f>IFERROR(BDH(Database!$A101&amp;" HK Equity","PE_RATIO",Database!$H101,Database!$H101),"")</f>
        <v/>
      </c>
      <c r="P101" s="101">
        <f>IF(Database!AV101="","(n/m or not derivable)",Database!AV101)</f>
        <v/>
      </c>
      <c r="Q101" s="24">
        <f>IF(Database!BA101="","",IFERROR(BDH(LEFT(Database!BA101,FIND(".",Database!BA101)-1)&amp;" CH Equity","PE_RATIO",Database!$H101,Database!$H101),""))</f>
        <v/>
      </c>
      <c r="R101" s="24">
        <f>IF(Database!BA101="","",IFERROR(BDH("HSAHP Index","PX_LAST",Database!$H101,Database!$H101),""))</f>
        <v/>
      </c>
    </row>
    <row r="102">
      <c r="A102" s="16">
        <f>Database!A102&amp;"  "&amp;Database!B102</f>
        <v/>
      </c>
      <c r="B102" s="10">
        <f>IFERROR(INDEX(BDS(Database!$A102&amp;" HK Equity","EQUITY_OFFERINGS","array=t","endcol=1"),MATCH("IPO",BDS(Database!$A102&amp;" HK Equity","EQUITY_OFFERINGS","array=t","startcol=2","endcol=2"),0)),"")</f>
        <v/>
      </c>
      <c r="C102" s="103">
        <f>IF($B102="","",IFERROR(BDP($B102&amp;" Action","CP036"),""))</f>
        <v/>
      </c>
      <c r="D102" s="104">
        <f>Database!S102</f>
        <v/>
      </c>
      <c r="E102" s="103">
        <f>IF($B102="","",IFERROR(BDP($B102&amp;" Action","CP037"),""))</f>
        <v/>
      </c>
      <c r="F102" s="104">
        <f>Database!T102</f>
        <v/>
      </c>
      <c r="G102" s="103">
        <f>IF($B102="","",IFERROR(BDP($B102&amp;" Action","GREENSHOE_FACILITY"),""))</f>
        <v/>
      </c>
      <c r="H102" s="103">
        <f>IF($B102="","",IFERROR(BDP($B102&amp;" Action","OFFERING_GREENSHOE_SHARES_EX"),""))</f>
        <v/>
      </c>
      <c r="I102" s="16">
        <f>Database!Z102</f>
        <v/>
      </c>
      <c r="J102" s="24">
        <f>IFERROR(BDP(Database!$A102&amp;" HK Equity","PE_RATIO"),"")</f>
        <v/>
      </c>
      <c r="K102" s="10">
        <f>IFERROR(BDP(Database!$A102&amp;" HK Equity","A/H_SHARE_CONVERSION"),"")</f>
        <v/>
      </c>
      <c r="L102" s="16">
        <f>IF(Database!BA102="","(none found)",Database!BA102)</f>
        <v/>
      </c>
      <c r="M102" s="18">
        <f>IFERROR(BDH(Database!$A102&amp;" HK Equity","CUR_MKT_CAP",Database!$H102,Database!$H102),"")</f>
        <v/>
      </c>
      <c r="N102" s="99">
        <f>Database!Q102</f>
        <v/>
      </c>
      <c r="O102" s="24">
        <f>IFERROR(BDH(Database!$A102&amp;" HK Equity","PE_RATIO",Database!$H102,Database!$H102),"")</f>
        <v/>
      </c>
      <c r="P102" s="101">
        <f>IF(Database!AV102="","(n/m or not derivable)",Database!AV102)</f>
        <v/>
      </c>
      <c r="Q102" s="24">
        <f>IF(Database!BA102="","",IFERROR(BDH(LEFT(Database!BA102,FIND(".",Database!BA102)-1)&amp;" CH Equity","PE_RATIO",Database!$H102,Database!$H102),""))</f>
        <v/>
      </c>
      <c r="R102" s="24">
        <f>IF(Database!BA102="","",IFERROR(BDH("HSAHP Index","PX_LAST",Database!$H102,Database!$H102),""))</f>
        <v/>
      </c>
    </row>
    <row r="103">
      <c r="A103" s="16">
        <f>Database!A103&amp;"  "&amp;Database!B103</f>
        <v/>
      </c>
      <c r="B103" s="10">
        <f>IFERROR(INDEX(BDS(Database!$A103&amp;" HK Equity","EQUITY_OFFERINGS","array=t","endcol=1"),MATCH("IPO",BDS(Database!$A103&amp;" HK Equity","EQUITY_OFFERINGS","array=t","startcol=2","endcol=2"),0)),"")</f>
        <v/>
      </c>
      <c r="C103" s="103">
        <f>IF($B103="","",IFERROR(BDP($B103&amp;" Action","CP036"),""))</f>
        <v/>
      </c>
      <c r="D103" s="104">
        <f>Database!S103</f>
        <v/>
      </c>
      <c r="E103" s="103">
        <f>IF($B103="","",IFERROR(BDP($B103&amp;" Action","CP037"),""))</f>
        <v/>
      </c>
      <c r="F103" s="104">
        <f>Database!T103</f>
        <v/>
      </c>
      <c r="G103" s="103">
        <f>IF($B103="","",IFERROR(BDP($B103&amp;" Action","GREENSHOE_FACILITY"),""))</f>
        <v/>
      </c>
      <c r="H103" s="103">
        <f>IF($B103="","",IFERROR(BDP($B103&amp;" Action","OFFERING_GREENSHOE_SHARES_EX"),""))</f>
        <v/>
      </c>
      <c r="I103" s="16">
        <f>Database!Z103</f>
        <v/>
      </c>
      <c r="J103" s="24">
        <f>IFERROR(BDP(Database!$A103&amp;" HK Equity","PE_RATIO"),"")</f>
        <v/>
      </c>
      <c r="K103" s="10">
        <f>IFERROR(BDP(Database!$A103&amp;" HK Equity","A/H_SHARE_CONVERSION"),"")</f>
        <v/>
      </c>
      <c r="L103" s="16">
        <f>IF(Database!BA103="","(none found)",Database!BA103)</f>
        <v/>
      </c>
      <c r="M103" s="18">
        <f>IFERROR(BDH(Database!$A103&amp;" HK Equity","CUR_MKT_CAP",Database!$H103,Database!$H103),"")</f>
        <v/>
      </c>
      <c r="N103" s="99">
        <f>Database!Q103</f>
        <v/>
      </c>
      <c r="O103" s="24">
        <f>IFERROR(BDH(Database!$A103&amp;" HK Equity","PE_RATIO",Database!$H103,Database!$H103),"")</f>
        <v/>
      </c>
      <c r="P103" s="101">
        <f>IF(Database!AV103="","(n/m or not derivable)",Database!AV103)</f>
        <v/>
      </c>
      <c r="Q103" s="24">
        <f>IF(Database!BA103="","",IFERROR(BDH(LEFT(Database!BA103,FIND(".",Database!BA103)-1)&amp;" CH Equity","PE_RATIO",Database!$H103,Database!$H103),""))</f>
        <v/>
      </c>
      <c r="R103" s="24">
        <f>IF(Database!BA103="","",IFERROR(BDH("HSAHP Index","PX_LAST",Database!$H103,Database!$H103),""))</f>
        <v/>
      </c>
    </row>
    <row r="104">
      <c r="A104" s="16">
        <f>Database!A104&amp;"  "&amp;Database!B104</f>
        <v/>
      </c>
      <c r="B104" s="10">
        <f>IFERROR(INDEX(BDS(Database!$A104&amp;" HK Equity","EQUITY_OFFERINGS","array=t","endcol=1"),MATCH("IPO",BDS(Database!$A104&amp;" HK Equity","EQUITY_OFFERINGS","array=t","startcol=2","endcol=2"),0)),"")</f>
        <v/>
      </c>
      <c r="C104" s="103">
        <f>IF($B104="","",IFERROR(BDP($B104&amp;" Action","CP036"),""))</f>
        <v/>
      </c>
      <c r="D104" s="104">
        <f>Database!S104</f>
        <v/>
      </c>
      <c r="E104" s="103">
        <f>IF($B104="","",IFERROR(BDP($B104&amp;" Action","CP037"),""))</f>
        <v/>
      </c>
      <c r="F104" s="104">
        <f>Database!T104</f>
        <v/>
      </c>
      <c r="G104" s="103">
        <f>IF($B104="","",IFERROR(BDP($B104&amp;" Action","GREENSHOE_FACILITY"),""))</f>
        <v/>
      </c>
      <c r="H104" s="103">
        <f>IF($B104="","",IFERROR(BDP($B104&amp;" Action","OFFERING_GREENSHOE_SHARES_EX"),""))</f>
        <v/>
      </c>
      <c r="I104" s="16">
        <f>Database!Z104</f>
        <v/>
      </c>
      <c r="J104" s="24">
        <f>IFERROR(BDP(Database!$A104&amp;" HK Equity","PE_RATIO"),"")</f>
        <v/>
      </c>
      <c r="K104" s="10">
        <f>IFERROR(BDP(Database!$A104&amp;" HK Equity","A/H_SHARE_CONVERSION"),"")</f>
        <v/>
      </c>
      <c r="L104" s="16">
        <f>IF(Database!BA104="","(none found)",Database!BA104)</f>
        <v/>
      </c>
      <c r="M104" s="18">
        <f>IFERROR(BDH(Database!$A104&amp;" HK Equity","CUR_MKT_CAP",Database!$H104,Database!$H104),"")</f>
        <v/>
      </c>
      <c r="N104" s="99">
        <f>Database!Q104</f>
        <v/>
      </c>
      <c r="O104" s="24">
        <f>IFERROR(BDH(Database!$A104&amp;" HK Equity","PE_RATIO",Database!$H104,Database!$H104),"")</f>
        <v/>
      </c>
      <c r="P104" s="101">
        <f>IF(Database!AV104="","(n/m or not derivable)",Database!AV104)</f>
        <v/>
      </c>
      <c r="Q104" s="24">
        <f>IF(Database!BA104="","",IFERROR(BDH(LEFT(Database!BA104,FIND(".",Database!BA104)-1)&amp;" CH Equity","PE_RATIO",Database!$H104,Database!$H104),""))</f>
        <v/>
      </c>
      <c r="R104" s="24">
        <f>IF(Database!BA104="","",IFERROR(BDH("HSAHP Index","PX_LAST",Database!$H104,Database!$H104),""))</f>
        <v/>
      </c>
    </row>
    <row r="105">
      <c r="A105" s="16">
        <f>Database!A105&amp;"  "&amp;Database!B105</f>
        <v/>
      </c>
      <c r="B105" s="10">
        <f>IFERROR(INDEX(BDS(Database!$A105&amp;" HK Equity","EQUITY_OFFERINGS","array=t","endcol=1"),MATCH("IPO",BDS(Database!$A105&amp;" HK Equity","EQUITY_OFFERINGS","array=t","startcol=2","endcol=2"),0)),"")</f>
        <v/>
      </c>
      <c r="C105" s="103">
        <f>IF($B105="","",IFERROR(BDP($B105&amp;" Action","CP036"),""))</f>
        <v/>
      </c>
      <c r="D105" s="104">
        <f>Database!S105</f>
        <v/>
      </c>
      <c r="E105" s="103">
        <f>IF($B105="","",IFERROR(BDP($B105&amp;" Action","CP037"),""))</f>
        <v/>
      </c>
      <c r="F105" s="104">
        <f>Database!T105</f>
        <v/>
      </c>
      <c r="G105" s="103">
        <f>IF($B105="","",IFERROR(BDP($B105&amp;" Action","GREENSHOE_FACILITY"),""))</f>
        <v/>
      </c>
      <c r="H105" s="103">
        <f>IF($B105="","",IFERROR(BDP($B105&amp;" Action","OFFERING_GREENSHOE_SHARES_EX"),""))</f>
        <v/>
      </c>
      <c r="I105" s="16">
        <f>Database!Z105</f>
        <v/>
      </c>
      <c r="J105" s="24">
        <f>IFERROR(BDP(Database!$A105&amp;" HK Equity","PE_RATIO"),"")</f>
        <v/>
      </c>
      <c r="K105" s="10">
        <f>IFERROR(BDP(Database!$A105&amp;" HK Equity","A/H_SHARE_CONVERSION"),"")</f>
        <v/>
      </c>
      <c r="L105" s="16">
        <f>IF(Database!BA105="","(none found)",Database!BA105)</f>
        <v/>
      </c>
      <c r="M105" s="18">
        <f>IFERROR(BDH(Database!$A105&amp;" HK Equity","CUR_MKT_CAP",Database!$H105,Database!$H105),"")</f>
        <v/>
      </c>
      <c r="N105" s="99">
        <f>Database!Q105</f>
        <v/>
      </c>
      <c r="O105" s="24">
        <f>IFERROR(BDH(Database!$A105&amp;" HK Equity","PE_RATIO",Database!$H105,Database!$H105),"")</f>
        <v/>
      </c>
      <c r="P105" s="101">
        <f>IF(Database!AV105="","(n/m or not derivable)",Database!AV105)</f>
        <v/>
      </c>
      <c r="Q105" s="24">
        <f>IF(Database!BA105="","",IFERROR(BDH(LEFT(Database!BA105,FIND(".",Database!BA105)-1)&amp;" CH Equity","PE_RATIO",Database!$H105,Database!$H105),""))</f>
        <v/>
      </c>
      <c r="R105" s="24">
        <f>IF(Database!BA105="","",IFERROR(BDH("HSAHP Index","PX_LAST",Database!$H105,Database!$H105),""))</f>
        <v/>
      </c>
    </row>
    <row r="106">
      <c r="A106" s="16">
        <f>Database!A106&amp;"  "&amp;Database!B106</f>
        <v/>
      </c>
      <c r="B106" s="10">
        <f>IFERROR(INDEX(BDS(Database!$A106&amp;" HK Equity","EQUITY_OFFERINGS","array=t","endcol=1"),MATCH("IPO",BDS(Database!$A106&amp;" HK Equity","EQUITY_OFFERINGS","array=t","startcol=2","endcol=2"),0)),"")</f>
        <v/>
      </c>
      <c r="C106" s="103">
        <f>IF($B106="","",IFERROR(BDP($B106&amp;" Action","CP036"),""))</f>
        <v/>
      </c>
      <c r="D106" s="104">
        <f>Database!S106</f>
        <v/>
      </c>
      <c r="E106" s="103">
        <f>IF($B106="","",IFERROR(BDP($B106&amp;" Action","CP037"),""))</f>
        <v/>
      </c>
      <c r="F106" s="104">
        <f>Database!T106</f>
        <v/>
      </c>
      <c r="G106" s="103">
        <f>IF($B106="","",IFERROR(BDP($B106&amp;" Action","GREENSHOE_FACILITY"),""))</f>
        <v/>
      </c>
      <c r="H106" s="103">
        <f>IF($B106="","",IFERROR(BDP($B106&amp;" Action","OFFERING_GREENSHOE_SHARES_EX"),""))</f>
        <v/>
      </c>
      <c r="I106" s="16">
        <f>Database!Z106</f>
        <v/>
      </c>
      <c r="J106" s="24">
        <f>IFERROR(BDP(Database!$A106&amp;" HK Equity","PE_RATIO"),"")</f>
        <v/>
      </c>
      <c r="K106" s="10">
        <f>IFERROR(BDP(Database!$A106&amp;" HK Equity","A/H_SHARE_CONVERSION"),"")</f>
        <v/>
      </c>
      <c r="L106" s="16">
        <f>IF(Database!BA106="","(none found)",Database!BA106)</f>
        <v/>
      </c>
      <c r="M106" s="18">
        <f>IFERROR(BDH(Database!$A106&amp;" HK Equity","CUR_MKT_CAP",Database!$H106,Database!$H106),"")</f>
        <v/>
      </c>
      <c r="N106" s="99">
        <f>Database!Q106</f>
        <v/>
      </c>
      <c r="O106" s="24">
        <f>IFERROR(BDH(Database!$A106&amp;" HK Equity","PE_RATIO",Database!$H106,Database!$H106),"")</f>
        <v/>
      </c>
      <c r="P106" s="101">
        <f>IF(Database!AV106="","(n/m or not derivable)",Database!AV106)</f>
        <v/>
      </c>
      <c r="Q106" s="24">
        <f>IF(Database!BA106="","",IFERROR(BDH(LEFT(Database!BA106,FIND(".",Database!BA106)-1)&amp;" CH Equity","PE_RATIO",Database!$H106,Database!$H106),""))</f>
        <v/>
      </c>
      <c r="R106" s="24">
        <f>IF(Database!BA106="","",IFERROR(BDH("HSAHP Index","PX_LAST",Database!$H106,Database!$H106),""))</f>
        <v/>
      </c>
    </row>
    <row r="107">
      <c r="A107" s="16">
        <f>Database!A107&amp;"  "&amp;Database!B107</f>
        <v/>
      </c>
      <c r="B107" s="10">
        <f>IFERROR(INDEX(BDS(Database!$A107&amp;" HK Equity","EQUITY_OFFERINGS","array=t","endcol=1"),MATCH("IPO",BDS(Database!$A107&amp;" HK Equity","EQUITY_OFFERINGS","array=t","startcol=2","endcol=2"),0)),"")</f>
        <v/>
      </c>
      <c r="C107" s="103">
        <f>IF($B107="","",IFERROR(BDP($B107&amp;" Action","CP036"),""))</f>
        <v/>
      </c>
      <c r="D107" s="104">
        <f>Database!S107</f>
        <v/>
      </c>
      <c r="E107" s="103">
        <f>IF($B107="","",IFERROR(BDP($B107&amp;" Action","CP037"),""))</f>
        <v/>
      </c>
      <c r="F107" s="104">
        <f>Database!T107</f>
        <v/>
      </c>
      <c r="G107" s="103">
        <f>IF($B107="","",IFERROR(BDP($B107&amp;" Action","GREENSHOE_FACILITY"),""))</f>
        <v/>
      </c>
      <c r="H107" s="103">
        <f>IF($B107="","",IFERROR(BDP($B107&amp;" Action","OFFERING_GREENSHOE_SHARES_EX"),""))</f>
        <v/>
      </c>
      <c r="I107" s="16">
        <f>Database!Z107</f>
        <v/>
      </c>
      <c r="J107" s="24">
        <f>IFERROR(BDP(Database!$A107&amp;" HK Equity","PE_RATIO"),"")</f>
        <v/>
      </c>
      <c r="K107" s="10">
        <f>IFERROR(BDP(Database!$A107&amp;" HK Equity","A/H_SHARE_CONVERSION"),"")</f>
        <v/>
      </c>
      <c r="L107" s="16">
        <f>IF(Database!BA107="","(none found)",Database!BA107)</f>
        <v/>
      </c>
      <c r="M107" s="18">
        <f>IFERROR(BDH(Database!$A107&amp;" HK Equity","CUR_MKT_CAP",Database!$H107,Database!$H107),"")</f>
        <v/>
      </c>
      <c r="N107" s="99">
        <f>Database!Q107</f>
        <v/>
      </c>
      <c r="O107" s="24">
        <f>IFERROR(BDH(Database!$A107&amp;" HK Equity","PE_RATIO",Database!$H107,Database!$H107),"")</f>
        <v/>
      </c>
      <c r="P107" s="101">
        <f>IF(Database!AV107="","(n/m or not derivable)",Database!AV107)</f>
        <v/>
      </c>
      <c r="Q107" s="24">
        <f>IF(Database!BA107="","",IFERROR(BDH(LEFT(Database!BA107,FIND(".",Database!BA107)-1)&amp;" CH Equity","PE_RATIO",Database!$H107,Database!$H107),""))</f>
        <v/>
      </c>
      <c r="R107" s="24">
        <f>IF(Database!BA107="","",IFERROR(BDH("HSAHP Index","PX_LAST",Database!$H107,Database!$H107),""))</f>
        <v/>
      </c>
    </row>
    <row r="108">
      <c r="A108" s="16">
        <f>Database!A108&amp;"  "&amp;Database!B108</f>
        <v/>
      </c>
      <c r="B108" s="10">
        <f>IFERROR(INDEX(BDS(Database!$A108&amp;" HK Equity","EQUITY_OFFERINGS","array=t","endcol=1"),MATCH("IPO",BDS(Database!$A108&amp;" HK Equity","EQUITY_OFFERINGS","array=t","startcol=2","endcol=2"),0)),"")</f>
        <v/>
      </c>
      <c r="C108" s="103">
        <f>IF($B108="","",IFERROR(BDP($B108&amp;" Action","CP036"),""))</f>
        <v/>
      </c>
      <c r="D108" s="104">
        <f>Database!S108</f>
        <v/>
      </c>
      <c r="E108" s="103">
        <f>IF($B108="","",IFERROR(BDP($B108&amp;" Action","CP037"),""))</f>
        <v/>
      </c>
      <c r="F108" s="104">
        <f>Database!T108</f>
        <v/>
      </c>
      <c r="G108" s="103">
        <f>IF($B108="","",IFERROR(BDP($B108&amp;" Action","GREENSHOE_FACILITY"),""))</f>
        <v/>
      </c>
      <c r="H108" s="103">
        <f>IF($B108="","",IFERROR(BDP($B108&amp;" Action","OFFERING_GREENSHOE_SHARES_EX"),""))</f>
        <v/>
      </c>
      <c r="I108" s="16">
        <f>Database!Z108</f>
        <v/>
      </c>
      <c r="J108" s="24">
        <f>IFERROR(BDP(Database!$A108&amp;" HK Equity","PE_RATIO"),"")</f>
        <v/>
      </c>
      <c r="K108" s="10">
        <f>IFERROR(BDP(Database!$A108&amp;" HK Equity","A/H_SHARE_CONVERSION"),"")</f>
        <v/>
      </c>
      <c r="L108" s="16">
        <f>IF(Database!BA108="","(none found)",Database!BA108)</f>
        <v/>
      </c>
      <c r="M108" s="18">
        <f>IFERROR(BDH(Database!$A108&amp;" HK Equity","CUR_MKT_CAP",Database!$H108,Database!$H108),"")</f>
        <v/>
      </c>
      <c r="N108" s="99">
        <f>Database!Q108</f>
        <v/>
      </c>
      <c r="O108" s="24">
        <f>IFERROR(BDH(Database!$A108&amp;" HK Equity","PE_RATIO",Database!$H108,Database!$H108),"")</f>
        <v/>
      </c>
      <c r="P108" s="101">
        <f>IF(Database!AV108="","(n/m or not derivable)",Database!AV108)</f>
        <v/>
      </c>
      <c r="Q108" s="24">
        <f>IF(Database!BA108="","",IFERROR(BDH(LEFT(Database!BA108,FIND(".",Database!BA108)-1)&amp;" CH Equity","PE_RATIO",Database!$H108,Database!$H108),""))</f>
        <v/>
      </c>
      <c r="R108" s="24">
        <f>IF(Database!BA108="","",IFERROR(BDH("HSAHP Index","PX_LAST",Database!$H108,Database!$H108),""))</f>
        <v/>
      </c>
    </row>
    <row r="109">
      <c r="A109" s="16">
        <f>Database!A109&amp;"  "&amp;Database!B109</f>
        <v/>
      </c>
      <c r="B109" s="10">
        <f>IFERROR(INDEX(BDS(Database!$A109&amp;" HK Equity","EQUITY_OFFERINGS","array=t","endcol=1"),MATCH("IPO",BDS(Database!$A109&amp;" HK Equity","EQUITY_OFFERINGS","array=t","startcol=2","endcol=2"),0)),"")</f>
        <v/>
      </c>
      <c r="C109" s="103">
        <f>IF($B109="","",IFERROR(BDP($B109&amp;" Action","CP036"),""))</f>
        <v/>
      </c>
      <c r="D109" s="104">
        <f>Database!S109</f>
        <v/>
      </c>
      <c r="E109" s="103">
        <f>IF($B109="","",IFERROR(BDP($B109&amp;" Action","CP037"),""))</f>
        <v/>
      </c>
      <c r="F109" s="104">
        <f>Database!T109</f>
        <v/>
      </c>
      <c r="G109" s="103">
        <f>IF($B109="","",IFERROR(BDP($B109&amp;" Action","GREENSHOE_FACILITY"),""))</f>
        <v/>
      </c>
      <c r="H109" s="103">
        <f>IF($B109="","",IFERROR(BDP($B109&amp;" Action","OFFERING_GREENSHOE_SHARES_EX"),""))</f>
        <v/>
      </c>
      <c r="I109" s="16">
        <f>Database!Z109</f>
        <v/>
      </c>
      <c r="J109" s="24">
        <f>IFERROR(BDP(Database!$A109&amp;" HK Equity","PE_RATIO"),"")</f>
        <v/>
      </c>
      <c r="K109" s="10">
        <f>IFERROR(BDP(Database!$A109&amp;" HK Equity","A/H_SHARE_CONVERSION"),"")</f>
        <v/>
      </c>
      <c r="L109" s="16">
        <f>IF(Database!BA109="","(none found)",Database!BA109)</f>
        <v/>
      </c>
      <c r="M109" s="18">
        <f>IFERROR(BDH(Database!$A109&amp;" HK Equity","CUR_MKT_CAP",Database!$H109,Database!$H109),"")</f>
        <v/>
      </c>
      <c r="N109" s="99">
        <f>Database!Q109</f>
        <v/>
      </c>
      <c r="O109" s="24">
        <f>IFERROR(BDH(Database!$A109&amp;" HK Equity","PE_RATIO",Database!$H109,Database!$H109),"")</f>
        <v/>
      </c>
      <c r="P109" s="101">
        <f>IF(Database!AV109="","(n/m or not derivable)",Database!AV109)</f>
        <v/>
      </c>
      <c r="Q109" s="24">
        <f>IF(Database!BA109="","",IFERROR(BDH(LEFT(Database!BA109,FIND(".",Database!BA109)-1)&amp;" CH Equity","PE_RATIO",Database!$H109,Database!$H109),""))</f>
        <v/>
      </c>
      <c r="R109" s="24">
        <f>IF(Database!BA109="","",IFERROR(BDH("HSAHP Index","PX_LAST",Database!$H109,Database!$H109),""))</f>
        <v/>
      </c>
    </row>
    <row r="110">
      <c r="A110" s="16">
        <f>Database!A110&amp;"  "&amp;Database!B110</f>
        <v/>
      </c>
      <c r="B110" s="10">
        <f>IFERROR(INDEX(BDS(Database!$A110&amp;" HK Equity","EQUITY_OFFERINGS","array=t","endcol=1"),MATCH("IPO",BDS(Database!$A110&amp;" HK Equity","EQUITY_OFFERINGS","array=t","startcol=2","endcol=2"),0)),"")</f>
        <v/>
      </c>
      <c r="C110" s="103">
        <f>IF($B110="","",IFERROR(BDP($B110&amp;" Action","CP036"),""))</f>
        <v/>
      </c>
      <c r="D110" s="104">
        <f>Database!S110</f>
        <v/>
      </c>
      <c r="E110" s="103">
        <f>IF($B110="","",IFERROR(BDP($B110&amp;" Action","CP037"),""))</f>
        <v/>
      </c>
      <c r="F110" s="104">
        <f>Database!T110</f>
        <v/>
      </c>
      <c r="G110" s="103">
        <f>IF($B110="","",IFERROR(BDP($B110&amp;" Action","GREENSHOE_FACILITY"),""))</f>
        <v/>
      </c>
      <c r="H110" s="103">
        <f>IF($B110="","",IFERROR(BDP($B110&amp;" Action","OFFERING_GREENSHOE_SHARES_EX"),""))</f>
        <v/>
      </c>
      <c r="I110" s="16">
        <f>Database!Z110</f>
        <v/>
      </c>
      <c r="J110" s="24">
        <f>IFERROR(BDP(Database!$A110&amp;" HK Equity","PE_RATIO"),"")</f>
        <v/>
      </c>
      <c r="K110" s="10">
        <f>IFERROR(BDP(Database!$A110&amp;" HK Equity","A/H_SHARE_CONVERSION"),"")</f>
        <v/>
      </c>
      <c r="L110" s="16">
        <f>IF(Database!BA110="","(none found)",Database!BA110)</f>
        <v/>
      </c>
      <c r="M110" s="18">
        <f>IFERROR(BDH(Database!$A110&amp;" HK Equity","CUR_MKT_CAP",Database!$H110,Database!$H110),"")</f>
        <v/>
      </c>
      <c r="N110" s="99">
        <f>Database!Q110</f>
        <v/>
      </c>
      <c r="O110" s="24">
        <f>IFERROR(BDH(Database!$A110&amp;" HK Equity","PE_RATIO",Database!$H110,Database!$H110),"")</f>
        <v/>
      </c>
      <c r="P110" s="101">
        <f>IF(Database!AV110="","(n/m or not derivable)",Database!AV110)</f>
        <v/>
      </c>
      <c r="Q110" s="24">
        <f>IF(Database!BA110="","",IFERROR(BDH(LEFT(Database!BA110,FIND(".",Database!BA110)-1)&amp;" CH Equity","PE_RATIO",Database!$H110,Database!$H110),""))</f>
        <v/>
      </c>
      <c r="R110" s="24">
        <f>IF(Database!BA110="","",IFERROR(BDH("HSAHP Index","PX_LAST",Database!$H110,Database!$H110),""))</f>
        <v/>
      </c>
    </row>
    <row r="111">
      <c r="A111" s="16">
        <f>Database!A111&amp;"  "&amp;Database!B111</f>
        <v/>
      </c>
      <c r="B111" s="10">
        <f>IFERROR(INDEX(BDS(Database!$A111&amp;" HK Equity","EQUITY_OFFERINGS","array=t","endcol=1"),MATCH("IPO",BDS(Database!$A111&amp;" HK Equity","EQUITY_OFFERINGS","array=t","startcol=2","endcol=2"),0)),"")</f>
        <v/>
      </c>
      <c r="C111" s="103">
        <f>IF($B111="","",IFERROR(BDP($B111&amp;" Action","CP036"),""))</f>
        <v/>
      </c>
      <c r="D111" s="104">
        <f>Database!S111</f>
        <v/>
      </c>
      <c r="E111" s="103">
        <f>IF($B111="","",IFERROR(BDP($B111&amp;" Action","CP037"),""))</f>
        <v/>
      </c>
      <c r="F111" s="104">
        <f>Database!T111</f>
        <v/>
      </c>
      <c r="G111" s="103">
        <f>IF($B111="","",IFERROR(BDP($B111&amp;" Action","GREENSHOE_FACILITY"),""))</f>
        <v/>
      </c>
      <c r="H111" s="103">
        <f>IF($B111="","",IFERROR(BDP($B111&amp;" Action","OFFERING_GREENSHOE_SHARES_EX"),""))</f>
        <v/>
      </c>
      <c r="I111" s="16">
        <f>Database!Z111</f>
        <v/>
      </c>
      <c r="J111" s="24">
        <f>IFERROR(BDP(Database!$A111&amp;" HK Equity","PE_RATIO"),"")</f>
        <v/>
      </c>
      <c r="K111" s="10">
        <f>IFERROR(BDP(Database!$A111&amp;" HK Equity","A/H_SHARE_CONVERSION"),"")</f>
        <v/>
      </c>
      <c r="L111" s="16">
        <f>IF(Database!BA111="","(none found)",Database!BA111)</f>
        <v/>
      </c>
      <c r="M111" s="18">
        <f>IFERROR(BDH(Database!$A111&amp;" HK Equity","CUR_MKT_CAP",Database!$H111,Database!$H111),"")</f>
        <v/>
      </c>
      <c r="N111" s="99">
        <f>Database!Q111</f>
        <v/>
      </c>
      <c r="O111" s="24">
        <f>IFERROR(BDH(Database!$A111&amp;" HK Equity","PE_RATIO",Database!$H111,Database!$H111),"")</f>
        <v/>
      </c>
      <c r="P111" s="101">
        <f>IF(Database!AV111="","(n/m or not derivable)",Database!AV111)</f>
        <v/>
      </c>
      <c r="Q111" s="24">
        <f>IF(Database!BA111="","",IFERROR(BDH(LEFT(Database!BA111,FIND(".",Database!BA111)-1)&amp;" CH Equity","PE_RATIO",Database!$H111,Database!$H111),""))</f>
        <v/>
      </c>
      <c r="R111" s="24">
        <f>IF(Database!BA111="","",IFERROR(BDH("HSAHP Index","PX_LAST",Database!$H111,Database!$H111),""))</f>
        <v/>
      </c>
    </row>
    <row r="112">
      <c r="A112" s="16">
        <f>Database!A112&amp;"  "&amp;Database!B112</f>
        <v/>
      </c>
      <c r="B112" s="10">
        <f>IFERROR(INDEX(BDS(Database!$A112&amp;" HK Equity","EQUITY_OFFERINGS","array=t","endcol=1"),MATCH("IPO",BDS(Database!$A112&amp;" HK Equity","EQUITY_OFFERINGS","array=t","startcol=2","endcol=2"),0)),"")</f>
        <v/>
      </c>
      <c r="C112" s="103">
        <f>IF($B112="","",IFERROR(BDP($B112&amp;" Action","CP036"),""))</f>
        <v/>
      </c>
      <c r="D112" s="104">
        <f>Database!S112</f>
        <v/>
      </c>
      <c r="E112" s="103">
        <f>IF($B112="","",IFERROR(BDP($B112&amp;" Action","CP037"),""))</f>
        <v/>
      </c>
      <c r="F112" s="104">
        <f>Database!T112</f>
        <v/>
      </c>
      <c r="G112" s="103">
        <f>IF($B112="","",IFERROR(BDP($B112&amp;" Action","GREENSHOE_FACILITY"),""))</f>
        <v/>
      </c>
      <c r="H112" s="103">
        <f>IF($B112="","",IFERROR(BDP($B112&amp;" Action","OFFERING_GREENSHOE_SHARES_EX"),""))</f>
        <v/>
      </c>
      <c r="I112" s="16">
        <f>Database!Z112</f>
        <v/>
      </c>
      <c r="J112" s="24">
        <f>IFERROR(BDP(Database!$A112&amp;" HK Equity","PE_RATIO"),"")</f>
        <v/>
      </c>
      <c r="K112" s="10">
        <f>IFERROR(BDP(Database!$A112&amp;" HK Equity","A/H_SHARE_CONVERSION"),"")</f>
        <v/>
      </c>
      <c r="L112" s="16">
        <f>IF(Database!BA112="","(none found)",Database!BA112)</f>
        <v/>
      </c>
      <c r="M112" s="18">
        <f>IFERROR(BDH(Database!$A112&amp;" HK Equity","CUR_MKT_CAP",Database!$H112,Database!$H112),"")</f>
        <v/>
      </c>
      <c r="N112" s="99">
        <f>Database!Q112</f>
        <v/>
      </c>
      <c r="O112" s="24">
        <f>IFERROR(BDH(Database!$A112&amp;" HK Equity","PE_RATIO",Database!$H112,Database!$H112),"")</f>
        <v/>
      </c>
      <c r="P112" s="101">
        <f>IF(Database!AV112="","(n/m or not derivable)",Database!AV112)</f>
        <v/>
      </c>
      <c r="Q112" s="24">
        <f>IF(Database!BA112="","",IFERROR(BDH(LEFT(Database!BA112,FIND(".",Database!BA112)-1)&amp;" CH Equity","PE_RATIO",Database!$H112,Database!$H112),""))</f>
        <v/>
      </c>
      <c r="R112" s="24">
        <f>IF(Database!BA112="","",IFERROR(BDH("HSAHP Index","PX_LAST",Database!$H112,Database!$H112),""))</f>
        <v/>
      </c>
    </row>
    <row r="113">
      <c r="A113" s="16">
        <f>Database!A113&amp;"  "&amp;Database!B113</f>
        <v/>
      </c>
      <c r="B113" s="10">
        <f>IFERROR(INDEX(BDS(Database!$A113&amp;" HK Equity","EQUITY_OFFERINGS","array=t","endcol=1"),MATCH("IPO",BDS(Database!$A113&amp;" HK Equity","EQUITY_OFFERINGS","array=t","startcol=2","endcol=2"),0)),"")</f>
        <v/>
      </c>
      <c r="C113" s="103">
        <f>IF($B113="","",IFERROR(BDP($B113&amp;" Action","CP036"),""))</f>
        <v/>
      </c>
      <c r="D113" s="104">
        <f>Database!S113</f>
        <v/>
      </c>
      <c r="E113" s="103">
        <f>IF($B113="","",IFERROR(BDP($B113&amp;" Action","CP037"),""))</f>
        <v/>
      </c>
      <c r="F113" s="104">
        <f>Database!T113</f>
        <v/>
      </c>
      <c r="G113" s="103">
        <f>IF($B113="","",IFERROR(BDP($B113&amp;" Action","GREENSHOE_FACILITY"),""))</f>
        <v/>
      </c>
      <c r="H113" s="103">
        <f>IF($B113="","",IFERROR(BDP($B113&amp;" Action","OFFERING_GREENSHOE_SHARES_EX"),""))</f>
        <v/>
      </c>
      <c r="I113" s="16">
        <f>Database!Z113</f>
        <v/>
      </c>
      <c r="J113" s="24">
        <f>IFERROR(BDP(Database!$A113&amp;" HK Equity","PE_RATIO"),"")</f>
        <v/>
      </c>
      <c r="K113" s="10">
        <f>IFERROR(BDP(Database!$A113&amp;" HK Equity","A/H_SHARE_CONVERSION"),"")</f>
        <v/>
      </c>
      <c r="L113" s="16">
        <f>IF(Database!BA113="","(none found)",Database!BA113)</f>
        <v/>
      </c>
      <c r="M113" s="18">
        <f>IFERROR(BDH(Database!$A113&amp;" HK Equity","CUR_MKT_CAP",Database!$H113,Database!$H113),"")</f>
        <v/>
      </c>
      <c r="N113" s="99">
        <f>Database!Q113</f>
        <v/>
      </c>
      <c r="O113" s="24">
        <f>IFERROR(BDH(Database!$A113&amp;" HK Equity","PE_RATIO",Database!$H113,Database!$H113),"")</f>
        <v/>
      </c>
      <c r="P113" s="101">
        <f>IF(Database!AV113="","(n/m or not derivable)",Database!AV113)</f>
        <v/>
      </c>
      <c r="Q113" s="24">
        <f>IF(Database!BA113="","",IFERROR(BDH(LEFT(Database!BA113,FIND(".",Database!BA113)-1)&amp;" CH Equity","PE_RATIO",Database!$H113,Database!$H113),""))</f>
        <v/>
      </c>
      <c r="R113" s="24">
        <f>IF(Database!BA113="","",IFERROR(BDH("HSAHP Index","PX_LAST",Database!$H113,Database!$H113),""))</f>
        <v/>
      </c>
    </row>
    <row r="114">
      <c r="A114" s="16">
        <f>Database!A114&amp;"  "&amp;Database!B114</f>
        <v/>
      </c>
      <c r="B114" s="10">
        <f>IFERROR(INDEX(BDS(Database!$A114&amp;" HK Equity","EQUITY_OFFERINGS","array=t","endcol=1"),MATCH("IPO",BDS(Database!$A114&amp;" HK Equity","EQUITY_OFFERINGS","array=t","startcol=2","endcol=2"),0)),"")</f>
        <v/>
      </c>
      <c r="C114" s="103">
        <f>IF($B114="","",IFERROR(BDP($B114&amp;" Action","CP036"),""))</f>
        <v/>
      </c>
      <c r="D114" s="104">
        <f>Database!S114</f>
        <v/>
      </c>
      <c r="E114" s="103">
        <f>IF($B114="","",IFERROR(BDP($B114&amp;" Action","CP037"),""))</f>
        <v/>
      </c>
      <c r="F114" s="104">
        <f>Database!T114</f>
        <v/>
      </c>
      <c r="G114" s="103">
        <f>IF($B114="","",IFERROR(BDP($B114&amp;" Action","GREENSHOE_FACILITY"),""))</f>
        <v/>
      </c>
      <c r="H114" s="103">
        <f>IF($B114="","",IFERROR(BDP($B114&amp;" Action","OFFERING_GREENSHOE_SHARES_EX"),""))</f>
        <v/>
      </c>
      <c r="I114" s="16">
        <f>Database!Z114</f>
        <v/>
      </c>
      <c r="J114" s="24">
        <f>IFERROR(BDP(Database!$A114&amp;" HK Equity","PE_RATIO"),"")</f>
        <v/>
      </c>
      <c r="K114" s="10">
        <f>IFERROR(BDP(Database!$A114&amp;" HK Equity","A/H_SHARE_CONVERSION"),"")</f>
        <v/>
      </c>
      <c r="L114" s="16">
        <f>IF(Database!BA114="","(none found)",Database!BA114)</f>
        <v/>
      </c>
      <c r="M114" s="18">
        <f>IFERROR(BDH(Database!$A114&amp;" HK Equity","CUR_MKT_CAP",Database!$H114,Database!$H114),"")</f>
        <v/>
      </c>
      <c r="N114" s="99">
        <f>Database!Q114</f>
        <v/>
      </c>
      <c r="O114" s="24">
        <f>IFERROR(BDH(Database!$A114&amp;" HK Equity","PE_RATIO",Database!$H114,Database!$H114),"")</f>
        <v/>
      </c>
      <c r="P114" s="101">
        <f>IF(Database!AV114="","(n/m or not derivable)",Database!AV114)</f>
        <v/>
      </c>
      <c r="Q114" s="24">
        <f>IF(Database!BA114="","",IFERROR(BDH(LEFT(Database!BA114,FIND(".",Database!BA114)-1)&amp;" CH Equity","PE_RATIO",Database!$H114,Database!$H114),""))</f>
        <v/>
      </c>
      <c r="R114" s="24">
        <f>IF(Database!BA114="","",IFERROR(BDH("HSAHP Index","PX_LAST",Database!$H114,Database!$H114),""))</f>
        <v/>
      </c>
    </row>
    <row r="115">
      <c r="A115" s="16">
        <f>Database!A115&amp;"  "&amp;Database!B115</f>
        <v/>
      </c>
      <c r="B115" s="10">
        <f>IFERROR(INDEX(BDS(Database!$A115&amp;" HK Equity","EQUITY_OFFERINGS","array=t","endcol=1"),MATCH("IPO",BDS(Database!$A115&amp;" HK Equity","EQUITY_OFFERINGS","array=t","startcol=2","endcol=2"),0)),"")</f>
        <v/>
      </c>
      <c r="C115" s="103">
        <f>IF($B115="","",IFERROR(BDP($B115&amp;" Action","CP036"),""))</f>
        <v/>
      </c>
      <c r="D115" s="104">
        <f>Database!S115</f>
        <v/>
      </c>
      <c r="E115" s="103">
        <f>IF($B115="","",IFERROR(BDP($B115&amp;" Action","CP037"),""))</f>
        <v/>
      </c>
      <c r="F115" s="104">
        <f>Database!T115</f>
        <v/>
      </c>
      <c r="G115" s="103">
        <f>IF($B115="","",IFERROR(BDP($B115&amp;" Action","GREENSHOE_FACILITY"),""))</f>
        <v/>
      </c>
      <c r="H115" s="103">
        <f>IF($B115="","",IFERROR(BDP($B115&amp;" Action","OFFERING_GREENSHOE_SHARES_EX"),""))</f>
        <v/>
      </c>
      <c r="I115" s="16">
        <f>Database!Z115</f>
        <v/>
      </c>
      <c r="J115" s="24">
        <f>IFERROR(BDP(Database!$A115&amp;" HK Equity","PE_RATIO"),"")</f>
        <v/>
      </c>
      <c r="K115" s="10">
        <f>IFERROR(BDP(Database!$A115&amp;" HK Equity","A/H_SHARE_CONVERSION"),"")</f>
        <v/>
      </c>
      <c r="L115" s="16">
        <f>IF(Database!BA115="","(none found)",Database!BA115)</f>
        <v/>
      </c>
      <c r="M115" s="18">
        <f>IFERROR(BDH(Database!$A115&amp;" HK Equity","CUR_MKT_CAP",Database!$H115,Database!$H115),"")</f>
        <v/>
      </c>
      <c r="N115" s="99">
        <f>Database!Q115</f>
        <v/>
      </c>
      <c r="O115" s="24">
        <f>IFERROR(BDH(Database!$A115&amp;" HK Equity","PE_RATIO",Database!$H115,Database!$H115),"")</f>
        <v/>
      </c>
      <c r="P115" s="101">
        <f>IF(Database!AV115="","(n/m or not derivable)",Database!AV115)</f>
        <v/>
      </c>
      <c r="Q115" s="24">
        <f>IF(Database!BA115="","",IFERROR(BDH(LEFT(Database!BA115,FIND(".",Database!BA115)-1)&amp;" CH Equity","PE_RATIO",Database!$H115,Database!$H115),""))</f>
        <v/>
      </c>
      <c r="R115" s="24">
        <f>IF(Database!BA115="","",IFERROR(BDH("HSAHP Index","PX_LAST",Database!$H115,Database!$H115),""))</f>
        <v/>
      </c>
    </row>
    <row r="116">
      <c r="A116" s="16">
        <f>Database!A116&amp;"  "&amp;Database!B116</f>
        <v/>
      </c>
      <c r="B116" s="10">
        <f>IFERROR(INDEX(BDS(Database!$A116&amp;" HK Equity","EQUITY_OFFERINGS","array=t","endcol=1"),MATCH("IPO",BDS(Database!$A116&amp;" HK Equity","EQUITY_OFFERINGS","array=t","startcol=2","endcol=2"),0)),"")</f>
        <v/>
      </c>
      <c r="C116" s="103">
        <f>IF($B116="","",IFERROR(BDP($B116&amp;" Action","CP036"),""))</f>
        <v/>
      </c>
      <c r="D116" s="104">
        <f>Database!S116</f>
        <v/>
      </c>
      <c r="E116" s="103">
        <f>IF($B116="","",IFERROR(BDP($B116&amp;" Action","CP037"),""))</f>
        <v/>
      </c>
      <c r="F116" s="104">
        <f>Database!T116</f>
        <v/>
      </c>
      <c r="G116" s="103">
        <f>IF($B116="","",IFERROR(BDP($B116&amp;" Action","GREENSHOE_FACILITY"),""))</f>
        <v/>
      </c>
      <c r="H116" s="103">
        <f>IF($B116="","",IFERROR(BDP($B116&amp;" Action","OFFERING_GREENSHOE_SHARES_EX"),""))</f>
        <v/>
      </c>
      <c r="I116" s="16">
        <f>Database!Z116</f>
        <v/>
      </c>
      <c r="J116" s="24">
        <f>IFERROR(BDP(Database!$A116&amp;" HK Equity","PE_RATIO"),"")</f>
        <v/>
      </c>
      <c r="K116" s="10">
        <f>IFERROR(BDP(Database!$A116&amp;" HK Equity","A/H_SHARE_CONVERSION"),"")</f>
        <v/>
      </c>
      <c r="L116" s="16">
        <f>IF(Database!BA116="","(none found)",Database!BA116)</f>
        <v/>
      </c>
      <c r="M116" s="18">
        <f>IFERROR(BDH(Database!$A116&amp;" HK Equity","CUR_MKT_CAP",Database!$H116,Database!$H116),"")</f>
        <v/>
      </c>
      <c r="N116" s="99">
        <f>Database!Q116</f>
        <v/>
      </c>
      <c r="O116" s="24">
        <f>IFERROR(BDH(Database!$A116&amp;" HK Equity","PE_RATIO",Database!$H116,Database!$H116),"")</f>
        <v/>
      </c>
      <c r="P116" s="101">
        <f>IF(Database!AV116="","(n/m or not derivable)",Database!AV116)</f>
        <v/>
      </c>
      <c r="Q116" s="24">
        <f>IF(Database!BA116="","",IFERROR(BDH(LEFT(Database!BA116,FIND(".",Database!BA116)-1)&amp;" CH Equity","PE_RATIO",Database!$H116,Database!$H116),""))</f>
        <v/>
      </c>
      <c r="R116" s="24">
        <f>IF(Database!BA116="","",IFERROR(BDH("HSAHP Index","PX_LAST",Database!$H116,Database!$H116),""))</f>
        <v/>
      </c>
    </row>
    <row r="117">
      <c r="A117" s="16">
        <f>Database!A117&amp;"  "&amp;Database!B117</f>
        <v/>
      </c>
      <c r="B117" s="10">
        <f>IFERROR(INDEX(BDS(Database!$A117&amp;" HK Equity","EQUITY_OFFERINGS","array=t","endcol=1"),MATCH("IPO",BDS(Database!$A117&amp;" HK Equity","EQUITY_OFFERINGS","array=t","startcol=2","endcol=2"),0)),"")</f>
        <v/>
      </c>
      <c r="C117" s="103">
        <f>IF($B117="","",IFERROR(BDP($B117&amp;" Action","CP036"),""))</f>
        <v/>
      </c>
      <c r="D117" s="104">
        <f>Database!S117</f>
        <v/>
      </c>
      <c r="E117" s="103">
        <f>IF($B117="","",IFERROR(BDP($B117&amp;" Action","CP037"),""))</f>
        <v/>
      </c>
      <c r="F117" s="104">
        <f>Database!T117</f>
        <v/>
      </c>
      <c r="G117" s="103">
        <f>IF($B117="","",IFERROR(BDP($B117&amp;" Action","GREENSHOE_FACILITY"),""))</f>
        <v/>
      </c>
      <c r="H117" s="103">
        <f>IF($B117="","",IFERROR(BDP($B117&amp;" Action","OFFERING_GREENSHOE_SHARES_EX"),""))</f>
        <v/>
      </c>
      <c r="I117" s="16">
        <f>Database!Z117</f>
        <v/>
      </c>
      <c r="J117" s="24">
        <f>IFERROR(BDP(Database!$A117&amp;" HK Equity","PE_RATIO"),"")</f>
        <v/>
      </c>
      <c r="K117" s="10">
        <f>IFERROR(BDP(Database!$A117&amp;" HK Equity","A/H_SHARE_CONVERSION"),"")</f>
        <v/>
      </c>
      <c r="L117" s="16">
        <f>IF(Database!BA117="","(none found)",Database!BA117)</f>
        <v/>
      </c>
      <c r="M117" s="18">
        <f>IFERROR(BDH(Database!$A117&amp;" HK Equity","CUR_MKT_CAP",Database!$H117,Database!$H117),"")</f>
        <v/>
      </c>
      <c r="N117" s="99">
        <f>Database!Q117</f>
        <v/>
      </c>
      <c r="O117" s="24">
        <f>IFERROR(BDH(Database!$A117&amp;" HK Equity","PE_RATIO",Database!$H117,Database!$H117),"")</f>
        <v/>
      </c>
      <c r="P117" s="101">
        <f>IF(Database!AV117="","(n/m or not derivable)",Database!AV117)</f>
        <v/>
      </c>
      <c r="Q117" s="24">
        <f>IF(Database!BA117="","",IFERROR(BDH(LEFT(Database!BA117,FIND(".",Database!BA117)-1)&amp;" CH Equity","PE_RATIO",Database!$H117,Database!$H117),""))</f>
        <v/>
      </c>
      <c r="R117" s="24">
        <f>IF(Database!BA117="","",IFERROR(BDH("HSAHP Index","PX_LAST",Database!$H117,Database!$H117),""))</f>
        <v/>
      </c>
    </row>
    <row r="118">
      <c r="A118" s="16">
        <f>Database!A118&amp;"  "&amp;Database!B118</f>
        <v/>
      </c>
      <c r="B118" s="10">
        <f>IFERROR(INDEX(BDS(Database!$A118&amp;" HK Equity","EQUITY_OFFERINGS","array=t","endcol=1"),MATCH("IPO",BDS(Database!$A118&amp;" HK Equity","EQUITY_OFFERINGS","array=t","startcol=2","endcol=2"),0)),"")</f>
        <v/>
      </c>
      <c r="C118" s="103">
        <f>IF($B118="","",IFERROR(BDP($B118&amp;" Action","CP036"),""))</f>
        <v/>
      </c>
      <c r="D118" s="104">
        <f>Database!S118</f>
        <v/>
      </c>
      <c r="E118" s="103">
        <f>IF($B118="","",IFERROR(BDP($B118&amp;" Action","CP037"),""))</f>
        <v/>
      </c>
      <c r="F118" s="104">
        <f>Database!T118</f>
        <v/>
      </c>
      <c r="G118" s="103">
        <f>IF($B118="","",IFERROR(BDP($B118&amp;" Action","GREENSHOE_FACILITY"),""))</f>
        <v/>
      </c>
      <c r="H118" s="103">
        <f>IF($B118="","",IFERROR(BDP($B118&amp;" Action","OFFERING_GREENSHOE_SHARES_EX"),""))</f>
        <v/>
      </c>
      <c r="I118" s="16">
        <f>Database!Z118</f>
        <v/>
      </c>
      <c r="J118" s="24">
        <f>IFERROR(BDP(Database!$A118&amp;" HK Equity","PE_RATIO"),"")</f>
        <v/>
      </c>
      <c r="K118" s="10">
        <f>IFERROR(BDP(Database!$A118&amp;" HK Equity","A/H_SHARE_CONVERSION"),"")</f>
        <v/>
      </c>
      <c r="L118" s="16">
        <f>IF(Database!BA118="","(none found)",Database!BA118)</f>
        <v/>
      </c>
      <c r="M118" s="18">
        <f>IFERROR(BDH(Database!$A118&amp;" HK Equity","CUR_MKT_CAP",Database!$H118,Database!$H118),"")</f>
        <v/>
      </c>
      <c r="N118" s="99">
        <f>Database!Q118</f>
        <v/>
      </c>
      <c r="O118" s="24">
        <f>IFERROR(BDH(Database!$A118&amp;" HK Equity","PE_RATIO",Database!$H118,Database!$H118),"")</f>
        <v/>
      </c>
      <c r="P118" s="101">
        <f>IF(Database!AV118="","(n/m or not derivable)",Database!AV118)</f>
        <v/>
      </c>
      <c r="Q118" s="24">
        <f>IF(Database!BA118="","",IFERROR(BDH(LEFT(Database!BA118,FIND(".",Database!BA118)-1)&amp;" CH Equity","PE_RATIO",Database!$H118,Database!$H118),""))</f>
        <v/>
      </c>
      <c r="R118" s="24">
        <f>IF(Database!BA118="","",IFERROR(BDH("HSAHP Index","PX_LAST",Database!$H118,Database!$H118),""))</f>
        <v/>
      </c>
    </row>
    <row r="119">
      <c r="A119" s="16">
        <f>Database!A119&amp;"  "&amp;Database!B119</f>
        <v/>
      </c>
      <c r="B119" s="10">
        <f>IFERROR(INDEX(BDS(Database!$A119&amp;" HK Equity","EQUITY_OFFERINGS","array=t","endcol=1"),MATCH("IPO",BDS(Database!$A119&amp;" HK Equity","EQUITY_OFFERINGS","array=t","startcol=2","endcol=2"),0)),"")</f>
        <v/>
      </c>
      <c r="C119" s="103">
        <f>IF($B119="","",IFERROR(BDP($B119&amp;" Action","CP036"),""))</f>
        <v/>
      </c>
      <c r="D119" s="104">
        <f>Database!S119</f>
        <v/>
      </c>
      <c r="E119" s="103">
        <f>IF($B119="","",IFERROR(BDP($B119&amp;" Action","CP037"),""))</f>
        <v/>
      </c>
      <c r="F119" s="104">
        <f>Database!T119</f>
        <v/>
      </c>
      <c r="G119" s="103">
        <f>IF($B119="","",IFERROR(BDP($B119&amp;" Action","GREENSHOE_FACILITY"),""))</f>
        <v/>
      </c>
      <c r="H119" s="103">
        <f>IF($B119="","",IFERROR(BDP($B119&amp;" Action","OFFERING_GREENSHOE_SHARES_EX"),""))</f>
        <v/>
      </c>
      <c r="I119" s="16">
        <f>Database!Z119</f>
        <v/>
      </c>
      <c r="J119" s="24">
        <f>IFERROR(BDP(Database!$A119&amp;" HK Equity","PE_RATIO"),"")</f>
        <v/>
      </c>
      <c r="K119" s="10">
        <f>IFERROR(BDP(Database!$A119&amp;" HK Equity","A/H_SHARE_CONVERSION"),"")</f>
        <v/>
      </c>
      <c r="L119" s="16">
        <f>IF(Database!BA119="","(none found)",Database!BA119)</f>
        <v/>
      </c>
      <c r="M119" s="18">
        <f>IFERROR(BDH(Database!$A119&amp;" HK Equity","CUR_MKT_CAP",Database!$H119,Database!$H119),"")</f>
        <v/>
      </c>
      <c r="N119" s="99">
        <f>Database!Q119</f>
        <v/>
      </c>
      <c r="O119" s="24">
        <f>IFERROR(BDH(Database!$A119&amp;" HK Equity","PE_RATIO",Database!$H119,Database!$H119),"")</f>
        <v/>
      </c>
      <c r="P119" s="101">
        <f>IF(Database!AV119="","(n/m or not derivable)",Database!AV119)</f>
        <v/>
      </c>
      <c r="Q119" s="24">
        <f>IF(Database!BA119="","",IFERROR(BDH(LEFT(Database!BA119,FIND(".",Database!BA119)-1)&amp;" CH Equity","PE_RATIO",Database!$H119,Database!$H119),""))</f>
        <v/>
      </c>
      <c r="R119" s="24">
        <f>IF(Database!BA119="","",IFERROR(BDH("HSAHP Index","PX_LAST",Database!$H119,Database!$H119),""))</f>
        <v/>
      </c>
    </row>
    <row r="120">
      <c r="A120" s="16">
        <f>Database!A120&amp;"  "&amp;Database!B120</f>
        <v/>
      </c>
      <c r="B120" s="10">
        <f>IFERROR(INDEX(BDS(Database!$A120&amp;" HK Equity","EQUITY_OFFERINGS","array=t","endcol=1"),MATCH("IPO",BDS(Database!$A120&amp;" HK Equity","EQUITY_OFFERINGS","array=t","startcol=2","endcol=2"),0)),"")</f>
        <v/>
      </c>
      <c r="C120" s="103">
        <f>IF($B120="","",IFERROR(BDP($B120&amp;" Action","CP036"),""))</f>
        <v/>
      </c>
      <c r="D120" s="104">
        <f>Database!S120</f>
        <v/>
      </c>
      <c r="E120" s="103">
        <f>IF($B120="","",IFERROR(BDP($B120&amp;" Action","CP037"),""))</f>
        <v/>
      </c>
      <c r="F120" s="104">
        <f>Database!T120</f>
        <v/>
      </c>
      <c r="G120" s="103">
        <f>IF($B120="","",IFERROR(BDP($B120&amp;" Action","GREENSHOE_FACILITY"),""))</f>
        <v/>
      </c>
      <c r="H120" s="103">
        <f>IF($B120="","",IFERROR(BDP($B120&amp;" Action","OFFERING_GREENSHOE_SHARES_EX"),""))</f>
        <v/>
      </c>
      <c r="I120" s="16">
        <f>Database!Z120</f>
        <v/>
      </c>
      <c r="J120" s="24">
        <f>IFERROR(BDP(Database!$A120&amp;" HK Equity","PE_RATIO"),"")</f>
        <v/>
      </c>
      <c r="K120" s="10">
        <f>IFERROR(BDP(Database!$A120&amp;" HK Equity","A/H_SHARE_CONVERSION"),"")</f>
        <v/>
      </c>
      <c r="L120" s="16">
        <f>IF(Database!BA120="","(none found)",Database!BA120)</f>
        <v/>
      </c>
      <c r="M120" s="18">
        <f>IFERROR(BDH(Database!$A120&amp;" HK Equity","CUR_MKT_CAP",Database!$H120,Database!$H120),"")</f>
        <v/>
      </c>
      <c r="N120" s="99">
        <f>Database!Q120</f>
        <v/>
      </c>
      <c r="O120" s="24">
        <f>IFERROR(BDH(Database!$A120&amp;" HK Equity","PE_RATIO",Database!$H120,Database!$H120),"")</f>
        <v/>
      </c>
      <c r="P120" s="101">
        <f>IF(Database!AV120="","(n/m or not derivable)",Database!AV120)</f>
        <v/>
      </c>
      <c r="Q120" s="24">
        <f>IF(Database!BA120="","",IFERROR(BDH(LEFT(Database!BA120,FIND(".",Database!BA120)-1)&amp;" CH Equity","PE_RATIO",Database!$H120,Database!$H120),""))</f>
        <v/>
      </c>
      <c r="R120" s="24">
        <f>IF(Database!BA120="","",IFERROR(BDH("HSAHP Index","PX_LAST",Database!$H120,Database!$H120),""))</f>
        <v/>
      </c>
    </row>
    <row r="121">
      <c r="A121" s="16">
        <f>Database!A121&amp;"  "&amp;Database!B121</f>
        <v/>
      </c>
      <c r="B121" s="10">
        <f>IFERROR(INDEX(BDS(Database!$A121&amp;" HK Equity","EQUITY_OFFERINGS","array=t","endcol=1"),MATCH("IPO",BDS(Database!$A121&amp;" HK Equity","EQUITY_OFFERINGS","array=t","startcol=2","endcol=2"),0)),"")</f>
        <v/>
      </c>
      <c r="C121" s="103">
        <f>IF($B121="","",IFERROR(BDP($B121&amp;" Action","CP036"),""))</f>
        <v/>
      </c>
      <c r="D121" s="104">
        <f>Database!S121</f>
        <v/>
      </c>
      <c r="E121" s="103">
        <f>IF($B121="","",IFERROR(BDP($B121&amp;" Action","CP037"),""))</f>
        <v/>
      </c>
      <c r="F121" s="104">
        <f>Database!T121</f>
        <v/>
      </c>
      <c r="G121" s="103">
        <f>IF($B121="","",IFERROR(BDP($B121&amp;" Action","GREENSHOE_FACILITY"),""))</f>
        <v/>
      </c>
      <c r="H121" s="103">
        <f>IF($B121="","",IFERROR(BDP($B121&amp;" Action","OFFERING_GREENSHOE_SHARES_EX"),""))</f>
        <v/>
      </c>
      <c r="I121" s="16">
        <f>Database!Z121</f>
        <v/>
      </c>
      <c r="J121" s="24">
        <f>IFERROR(BDP(Database!$A121&amp;" HK Equity","PE_RATIO"),"")</f>
        <v/>
      </c>
      <c r="K121" s="10">
        <f>IFERROR(BDP(Database!$A121&amp;" HK Equity","A/H_SHARE_CONVERSION"),"")</f>
        <v/>
      </c>
      <c r="L121" s="16">
        <f>IF(Database!BA121="","(none found)",Database!BA121)</f>
        <v/>
      </c>
      <c r="M121" s="18">
        <f>IFERROR(BDH(Database!$A121&amp;" HK Equity","CUR_MKT_CAP",Database!$H121,Database!$H121),"")</f>
        <v/>
      </c>
      <c r="N121" s="99">
        <f>Database!Q121</f>
        <v/>
      </c>
      <c r="O121" s="24">
        <f>IFERROR(BDH(Database!$A121&amp;" HK Equity","PE_RATIO",Database!$H121,Database!$H121),"")</f>
        <v/>
      </c>
      <c r="P121" s="101">
        <f>IF(Database!AV121="","(n/m or not derivable)",Database!AV121)</f>
        <v/>
      </c>
      <c r="Q121" s="24">
        <f>IF(Database!BA121="","",IFERROR(BDH(LEFT(Database!BA121,FIND(".",Database!BA121)-1)&amp;" CH Equity","PE_RATIO",Database!$H121,Database!$H121),""))</f>
        <v/>
      </c>
      <c r="R121" s="24">
        <f>IF(Database!BA121="","",IFERROR(BDH("HSAHP Index","PX_LAST",Database!$H121,Database!$H121),""))</f>
        <v/>
      </c>
    </row>
    <row r="122">
      <c r="A122" s="16">
        <f>Database!A122&amp;"  "&amp;Database!B122</f>
        <v/>
      </c>
      <c r="B122" s="10">
        <f>IFERROR(INDEX(BDS(Database!$A122&amp;" HK Equity","EQUITY_OFFERINGS","array=t","endcol=1"),MATCH("IPO",BDS(Database!$A122&amp;" HK Equity","EQUITY_OFFERINGS","array=t","startcol=2","endcol=2"),0)),"")</f>
        <v/>
      </c>
      <c r="C122" s="103">
        <f>IF($B122="","",IFERROR(BDP($B122&amp;" Action","CP036"),""))</f>
        <v/>
      </c>
      <c r="D122" s="104">
        <f>Database!S122</f>
        <v/>
      </c>
      <c r="E122" s="103">
        <f>IF($B122="","",IFERROR(BDP($B122&amp;" Action","CP037"),""))</f>
        <v/>
      </c>
      <c r="F122" s="104">
        <f>Database!T122</f>
        <v/>
      </c>
      <c r="G122" s="103">
        <f>IF($B122="","",IFERROR(BDP($B122&amp;" Action","GREENSHOE_FACILITY"),""))</f>
        <v/>
      </c>
      <c r="H122" s="103">
        <f>IF($B122="","",IFERROR(BDP($B122&amp;" Action","OFFERING_GREENSHOE_SHARES_EX"),""))</f>
        <v/>
      </c>
      <c r="I122" s="16">
        <f>Database!Z122</f>
        <v/>
      </c>
      <c r="J122" s="24">
        <f>IFERROR(BDP(Database!$A122&amp;" HK Equity","PE_RATIO"),"")</f>
        <v/>
      </c>
      <c r="K122" s="10">
        <f>IFERROR(BDP(Database!$A122&amp;" HK Equity","A/H_SHARE_CONVERSION"),"")</f>
        <v/>
      </c>
      <c r="L122" s="16">
        <f>IF(Database!BA122="","(none found)",Database!BA122)</f>
        <v/>
      </c>
      <c r="M122" s="18">
        <f>IFERROR(BDH(Database!$A122&amp;" HK Equity","CUR_MKT_CAP",Database!$H122,Database!$H122),"")</f>
        <v/>
      </c>
      <c r="N122" s="99">
        <f>Database!Q122</f>
        <v/>
      </c>
      <c r="O122" s="24">
        <f>IFERROR(BDH(Database!$A122&amp;" HK Equity","PE_RATIO",Database!$H122,Database!$H122),"")</f>
        <v/>
      </c>
      <c r="P122" s="101">
        <f>IF(Database!AV122="","(n/m or not derivable)",Database!AV122)</f>
        <v/>
      </c>
      <c r="Q122" s="24">
        <f>IF(Database!BA122="","",IFERROR(BDH(LEFT(Database!BA122,FIND(".",Database!BA122)-1)&amp;" CH Equity","PE_RATIO",Database!$H122,Database!$H122),""))</f>
        <v/>
      </c>
      <c r="R122" s="24">
        <f>IF(Database!BA122="","",IFERROR(BDH("HSAHP Index","PX_LAST",Database!$H122,Database!$H122),""))</f>
        <v/>
      </c>
    </row>
    <row r="123">
      <c r="A123" s="16">
        <f>Database!A123&amp;"  "&amp;Database!B123</f>
        <v/>
      </c>
      <c r="B123" s="10">
        <f>IFERROR(INDEX(BDS(Database!$A123&amp;" HK Equity","EQUITY_OFFERINGS","array=t","endcol=1"),MATCH("IPO",BDS(Database!$A123&amp;" HK Equity","EQUITY_OFFERINGS","array=t","startcol=2","endcol=2"),0)),"")</f>
        <v/>
      </c>
      <c r="C123" s="103">
        <f>IF($B123="","",IFERROR(BDP($B123&amp;" Action","CP036"),""))</f>
        <v/>
      </c>
      <c r="D123" s="104">
        <f>Database!S123</f>
        <v/>
      </c>
      <c r="E123" s="103">
        <f>IF($B123="","",IFERROR(BDP($B123&amp;" Action","CP037"),""))</f>
        <v/>
      </c>
      <c r="F123" s="104">
        <f>Database!T123</f>
        <v/>
      </c>
      <c r="G123" s="103">
        <f>IF($B123="","",IFERROR(BDP($B123&amp;" Action","GREENSHOE_FACILITY"),""))</f>
        <v/>
      </c>
      <c r="H123" s="103">
        <f>IF($B123="","",IFERROR(BDP($B123&amp;" Action","OFFERING_GREENSHOE_SHARES_EX"),""))</f>
        <v/>
      </c>
      <c r="I123" s="16">
        <f>Database!Z123</f>
        <v/>
      </c>
      <c r="J123" s="24">
        <f>IFERROR(BDP(Database!$A123&amp;" HK Equity","PE_RATIO"),"")</f>
        <v/>
      </c>
      <c r="K123" s="10">
        <f>IFERROR(BDP(Database!$A123&amp;" HK Equity","A/H_SHARE_CONVERSION"),"")</f>
        <v/>
      </c>
      <c r="L123" s="16">
        <f>IF(Database!BA123="","(none found)",Database!BA123)</f>
        <v/>
      </c>
      <c r="M123" s="18">
        <f>IFERROR(BDH(Database!$A123&amp;" HK Equity","CUR_MKT_CAP",Database!$H123,Database!$H123),"")</f>
        <v/>
      </c>
      <c r="N123" s="99">
        <f>Database!Q123</f>
        <v/>
      </c>
      <c r="O123" s="24">
        <f>IFERROR(BDH(Database!$A123&amp;" HK Equity","PE_RATIO",Database!$H123,Database!$H123),"")</f>
        <v/>
      </c>
      <c r="P123" s="101">
        <f>IF(Database!AV123="","(n/m or not derivable)",Database!AV123)</f>
        <v/>
      </c>
      <c r="Q123" s="24">
        <f>IF(Database!BA123="","",IFERROR(BDH(LEFT(Database!BA123,FIND(".",Database!BA123)-1)&amp;" CH Equity","PE_RATIO",Database!$H123,Database!$H123),""))</f>
        <v/>
      </c>
      <c r="R123" s="24">
        <f>IF(Database!BA123="","",IFERROR(BDH("HSAHP Index","PX_LAST",Database!$H123,Database!$H123),""))</f>
        <v/>
      </c>
    </row>
    <row r="124">
      <c r="A124" s="16">
        <f>Database!A124&amp;"  "&amp;Database!B124</f>
        <v/>
      </c>
      <c r="B124" s="10">
        <f>IFERROR(INDEX(BDS(Database!$A124&amp;" HK Equity","EQUITY_OFFERINGS","array=t","endcol=1"),MATCH("IPO",BDS(Database!$A124&amp;" HK Equity","EQUITY_OFFERINGS","array=t","startcol=2","endcol=2"),0)),"")</f>
        <v/>
      </c>
      <c r="C124" s="103">
        <f>IF($B124="","",IFERROR(BDP($B124&amp;" Action","CP036"),""))</f>
        <v/>
      </c>
      <c r="D124" s="104">
        <f>Database!S124</f>
        <v/>
      </c>
      <c r="E124" s="103">
        <f>IF($B124="","",IFERROR(BDP($B124&amp;" Action","CP037"),""))</f>
        <v/>
      </c>
      <c r="F124" s="104">
        <f>Database!T124</f>
        <v/>
      </c>
      <c r="G124" s="103">
        <f>IF($B124="","",IFERROR(BDP($B124&amp;" Action","GREENSHOE_FACILITY"),""))</f>
        <v/>
      </c>
      <c r="H124" s="103">
        <f>IF($B124="","",IFERROR(BDP($B124&amp;" Action","OFFERING_GREENSHOE_SHARES_EX"),""))</f>
        <v/>
      </c>
      <c r="I124" s="16">
        <f>Database!Z124</f>
        <v/>
      </c>
      <c r="J124" s="24">
        <f>IFERROR(BDP(Database!$A124&amp;" HK Equity","PE_RATIO"),"")</f>
        <v/>
      </c>
      <c r="K124" s="10">
        <f>IFERROR(BDP(Database!$A124&amp;" HK Equity","A/H_SHARE_CONVERSION"),"")</f>
        <v/>
      </c>
      <c r="L124" s="16">
        <f>IF(Database!BA124="","(none found)",Database!BA124)</f>
        <v/>
      </c>
      <c r="M124" s="18">
        <f>IFERROR(BDH(Database!$A124&amp;" HK Equity","CUR_MKT_CAP",Database!$H124,Database!$H124),"")</f>
        <v/>
      </c>
      <c r="N124" s="99">
        <f>Database!Q124</f>
        <v/>
      </c>
      <c r="O124" s="24">
        <f>IFERROR(BDH(Database!$A124&amp;" HK Equity","PE_RATIO",Database!$H124,Database!$H124),"")</f>
        <v/>
      </c>
      <c r="P124" s="101">
        <f>IF(Database!AV124="","(n/m or not derivable)",Database!AV124)</f>
        <v/>
      </c>
      <c r="Q124" s="24">
        <f>IF(Database!BA124="","",IFERROR(BDH(LEFT(Database!BA124,FIND(".",Database!BA124)-1)&amp;" CH Equity","PE_RATIO",Database!$H124,Database!$H124),""))</f>
        <v/>
      </c>
      <c r="R124" s="24">
        <f>IF(Database!BA124="","",IFERROR(BDH("HSAHP Index","PX_LAST",Database!$H124,Database!$H124),""))</f>
        <v/>
      </c>
    </row>
    <row r="125">
      <c r="A125" s="16">
        <f>Database!A125&amp;"  "&amp;Database!B125</f>
        <v/>
      </c>
      <c r="B125" s="10">
        <f>IFERROR(INDEX(BDS(Database!$A125&amp;" HK Equity","EQUITY_OFFERINGS","array=t","endcol=1"),MATCH("IPO",BDS(Database!$A125&amp;" HK Equity","EQUITY_OFFERINGS","array=t","startcol=2","endcol=2"),0)),"")</f>
        <v/>
      </c>
      <c r="C125" s="103">
        <f>IF($B125="","",IFERROR(BDP($B125&amp;" Action","CP036"),""))</f>
        <v/>
      </c>
      <c r="D125" s="104">
        <f>Database!S125</f>
        <v/>
      </c>
      <c r="E125" s="103">
        <f>IF($B125="","",IFERROR(BDP($B125&amp;" Action","CP037"),""))</f>
        <v/>
      </c>
      <c r="F125" s="104">
        <f>Database!T125</f>
        <v/>
      </c>
      <c r="G125" s="103">
        <f>IF($B125="","",IFERROR(BDP($B125&amp;" Action","GREENSHOE_FACILITY"),""))</f>
        <v/>
      </c>
      <c r="H125" s="103">
        <f>IF($B125="","",IFERROR(BDP($B125&amp;" Action","OFFERING_GREENSHOE_SHARES_EX"),""))</f>
        <v/>
      </c>
      <c r="I125" s="16">
        <f>Database!Z125</f>
        <v/>
      </c>
      <c r="J125" s="24">
        <f>IFERROR(BDP(Database!$A125&amp;" HK Equity","PE_RATIO"),"")</f>
        <v/>
      </c>
      <c r="K125" s="10">
        <f>IFERROR(BDP(Database!$A125&amp;" HK Equity","A/H_SHARE_CONVERSION"),"")</f>
        <v/>
      </c>
      <c r="L125" s="16">
        <f>IF(Database!BA125="","(none found)",Database!BA125)</f>
        <v/>
      </c>
      <c r="M125" s="18">
        <f>IFERROR(BDH(Database!$A125&amp;" HK Equity","CUR_MKT_CAP",Database!$H125,Database!$H125),"")</f>
        <v/>
      </c>
      <c r="N125" s="99">
        <f>Database!Q125</f>
        <v/>
      </c>
      <c r="O125" s="24">
        <f>IFERROR(BDH(Database!$A125&amp;" HK Equity","PE_RATIO",Database!$H125,Database!$H125),"")</f>
        <v/>
      </c>
      <c r="P125" s="101">
        <f>IF(Database!AV125="","(n/m or not derivable)",Database!AV125)</f>
        <v/>
      </c>
      <c r="Q125" s="24">
        <f>IF(Database!BA125="","",IFERROR(BDH(LEFT(Database!BA125,FIND(".",Database!BA125)-1)&amp;" CH Equity","PE_RATIO",Database!$H125,Database!$H125),""))</f>
        <v/>
      </c>
      <c r="R125" s="24">
        <f>IF(Database!BA125="","",IFERROR(BDH("HSAHP Index","PX_LAST",Database!$H125,Database!$H125),""))</f>
        <v/>
      </c>
    </row>
    <row r="126">
      <c r="A126" s="16">
        <f>Database!A126&amp;"  "&amp;Database!B126</f>
        <v/>
      </c>
      <c r="B126" s="10">
        <f>IFERROR(INDEX(BDS(Database!$A126&amp;" HK Equity","EQUITY_OFFERINGS","array=t","endcol=1"),MATCH("IPO",BDS(Database!$A126&amp;" HK Equity","EQUITY_OFFERINGS","array=t","startcol=2","endcol=2"),0)),"")</f>
        <v/>
      </c>
      <c r="C126" s="103">
        <f>IF($B126="","",IFERROR(BDP($B126&amp;" Action","CP036"),""))</f>
        <v/>
      </c>
      <c r="D126" s="104">
        <f>Database!S126</f>
        <v/>
      </c>
      <c r="E126" s="103">
        <f>IF($B126="","",IFERROR(BDP($B126&amp;" Action","CP037"),""))</f>
        <v/>
      </c>
      <c r="F126" s="104">
        <f>Database!T126</f>
        <v/>
      </c>
      <c r="G126" s="103">
        <f>IF($B126="","",IFERROR(BDP($B126&amp;" Action","GREENSHOE_FACILITY"),""))</f>
        <v/>
      </c>
      <c r="H126" s="103">
        <f>IF($B126="","",IFERROR(BDP($B126&amp;" Action","OFFERING_GREENSHOE_SHARES_EX"),""))</f>
        <v/>
      </c>
      <c r="I126" s="16">
        <f>Database!Z126</f>
        <v/>
      </c>
      <c r="J126" s="24">
        <f>IFERROR(BDP(Database!$A126&amp;" HK Equity","PE_RATIO"),"")</f>
        <v/>
      </c>
      <c r="K126" s="10">
        <f>IFERROR(BDP(Database!$A126&amp;" HK Equity","A/H_SHARE_CONVERSION"),"")</f>
        <v/>
      </c>
      <c r="L126" s="16">
        <f>IF(Database!BA126="","(none found)",Database!BA126)</f>
        <v/>
      </c>
      <c r="M126" s="18">
        <f>IFERROR(BDH(Database!$A126&amp;" HK Equity","CUR_MKT_CAP",Database!$H126,Database!$H126),"")</f>
        <v/>
      </c>
      <c r="N126" s="99">
        <f>Database!Q126</f>
        <v/>
      </c>
      <c r="O126" s="24">
        <f>IFERROR(BDH(Database!$A126&amp;" HK Equity","PE_RATIO",Database!$H126,Database!$H126),"")</f>
        <v/>
      </c>
      <c r="P126" s="101">
        <f>IF(Database!AV126="","(n/m or not derivable)",Database!AV126)</f>
        <v/>
      </c>
      <c r="Q126" s="24">
        <f>IF(Database!BA126="","",IFERROR(BDH(LEFT(Database!BA126,FIND(".",Database!BA126)-1)&amp;" CH Equity","PE_RATIO",Database!$H126,Database!$H126),""))</f>
        <v/>
      </c>
      <c r="R126" s="24">
        <f>IF(Database!BA126="","",IFERROR(BDH("HSAHP Index","PX_LAST",Database!$H126,Database!$H126),""))</f>
        <v/>
      </c>
    </row>
    <row r="127">
      <c r="A127" s="16">
        <f>Database!A127&amp;"  "&amp;Database!B127</f>
        <v/>
      </c>
      <c r="B127" s="10">
        <f>IFERROR(INDEX(BDS(Database!$A127&amp;" HK Equity","EQUITY_OFFERINGS","array=t","endcol=1"),MATCH("IPO",BDS(Database!$A127&amp;" HK Equity","EQUITY_OFFERINGS","array=t","startcol=2","endcol=2"),0)),"")</f>
        <v/>
      </c>
      <c r="C127" s="103">
        <f>IF($B127="","",IFERROR(BDP($B127&amp;" Action","CP036"),""))</f>
        <v/>
      </c>
      <c r="D127" s="104">
        <f>Database!S127</f>
        <v/>
      </c>
      <c r="E127" s="103">
        <f>IF($B127="","",IFERROR(BDP($B127&amp;" Action","CP037"),""))</f>
        <v/>
      </c>
      <c r="F127" s="104">
        <f>Database!T127</f>
        <v/>
      </c>
      <c r="G127" s="103">
        <f>IF($B127="","",IFERROR(BDP($B127&amp;" Action","GREENSHOE_FACILITY"),""))</f>
        <v/>
      </c>
      <c r="H127" s="103">
        <f>IF($B127="","",IFERROR(BDP($B127&amp;" Action","OFFERING_GREENSHOE_SHARES_EX"),""))</f>
        <v/>
      </c>
      <c r="I127" s="16">
        <f>Database!Z127</f>
        <v/>
      </c>
      <c r="J127" s="24">
        <f>IFERROR(BDP(Database!$A127&amp;" HK Equity","PE_RATIO"),"")</f>
        <v/>
      </c>
      <c r="K127" s="10">
        <f>IFERROR(BDP(Database!$A127&amp;" HK Equity","A/H_SHARE_CONVERSION"),"")</f>
        <v/>
      </c>
      <c r="L127" s="16">
        <f>IF(Database!BA127="","(none found)",Database!BA127)</f>
        <v/>
      </c>
      <c r="M127" s="18">
        <f>IFERROR(BDH(Database!$A127&amp;" HK Equity","CUR_MKT_CAP",Database!$H127,Database!$H127),"")</f>
        <v/>
      </c>
      <c r="N127" s="99">
        <f>Database!Q127</f>
        <v/>
      </c>
      <c r="O127" s="24">
        <f>IFERROR(BDH(Database!$A127&amp;" HK Equity","PE_RATIO",Database!$H127,Database!$H127),"")</f>
        <v/>
      </c>
      <c r="P127" s="101">
        <f>IF(Database!AV127="","(n/m or not derivable)",Database!AV127)</f>
        <v/>
      </c>
      <c r="Q127" s="24">
        <f>IF(Database!BA127="","",IFERROR(BDH(LEFT(Database!BA127,FIND(".",Database!BA127)-1)&amp;" CH Equity","PE_RATIO",Database!$H127,Database!$H127),""))</f>
        <v/>
      </c>
      <c r="R127" s="24">
        <f>IF(Database!BA127="","",IFERROR(BDH("HSAHP Index","PX_LAST",Database!$H127,Database!$H127),""))</f>
        <v/>
      </c>
    </row>
    <row r="128">
      <c r="A128" s="16">
        <f>Database!A128&amp;"  "&amp;Database!B128</f>
        <v/>
      </c>
      <c r="B128" s="10">
        <f>IFERROR(INDEX(BDS(Database!$A128&amp;" HK Equity","EQUITY_OFFERINGS","array=t","endcol=1"),MATCH("IPO",BDS(Database!$A128&amp;" HK Equity","EQUITY_OFFERINGS","array=t","startcol=2","endcol=2"),0)),"")</f>
        <v/>
      </c>
      <c r="C128" s="103">
        <f>IF($B128="","",IFERROR(BDP($B128&amp;" Action","CP036"),""))</f>
        <v/>
      </c>
      <c r="D128" s="104">
        <f>Database!S128</f>
        <v/>
      </c>
      <c r="E128" s="103">
        <f>IF($B128="","",IFERROR(BDP($B128&amp;" Action","CP037"),""))</f>
        <v/>
      </c>
      <c r="F128" s="104">
        <f>Database!T128</f>
        <v/>
      </c>
      <c r="G128" s="103">
        <f>IF($B128="","",IFERROR(BDP($B128&amp;" Action","GREENSHOE_FACILITY"),""))</f>
        <v/>
      </c>
      <c r="H128" s="103">
        <f>IF($B128="","",IFERROR(BDP($B128&amp;" Action","OFFERING_GREENSHOE_SHARES_EX"),""))</f>
        <v/>
      </c>
      <c r="I128" s="16">
        <f>Database!Z128</f>
        <v/>
      </c>
      <c r="J128" s="24">
        <f>IFERROR(BDP(Database!$A128&amp;" HK Equity","PE_RATIO"),"")</f>
        <v/>
      </c>
      <c r="K128" s="10">
        <f>IFERROR(BDP(Database!$A128&amp;" HK Equity","A/H_SHARE_CONVERSION"),"")</f>
        <v/>
      </c>
      <c r="L128" s="16">
        <f>IF(Database!BA128="","(none found)",Database!BA128)</f>
        <v/>
      </c>
      <c r="M128" s="18">
        <f>IFERROR(BDH(Database!$A128&amp;" HK Equity","CUR_MKT_CAP",Database!$H128,Database!$H128),"")</f>
        <v/>
      </c>
      <c r="N128" s="99">
        <f>Database!Q128</f>
        <v/>
      </c>
      <c r="O128" s="24">
        <f>IFERROR(BDH(Database!$A128&amp;" HK Equity","PE_RATIO",Database!$H128,Database!$H128),"")</f>
        <v/>
      </c>
      <c r="P128" s="101">
        <f>IF(Database!AV128="","(n/m or not derivable)",Database!AV128)</f>
        <v/>
      </c>
      <c r="Q128" s="24">
        <f>IF(Database!BA128="","",IFERROR(BDH(LEFT(Database!BA128,FIND(".",Database!BA128)-1)&amp;" CH Equity","PE_RATIO",Database!$H128,Database!$H128),""))</f>
        <v/>
      </c>
      <c r="R128" s="24">
        <f>IF(Database!BA128="","",IFERROR(BDH("HSAHP Index","PX_LAST",Database!$H128,Database!$H128),""))</f>
        <v/>
      </c>
    </row>
    <row r="129">
      <c r="A129" s="16">
        <f>Database!A129&amp;"  "&amp;Database!B129</f>
        <v/>
      </c>
      <c r="B129" s="10">
        <f>IFERROR(INDEX(BDS(Database!$A129&amp;" HK Equity","EQUITY_OFFERINGS","array=t","endcol=1"),MATCH("IPO",BDS(Database!$A129&amp;" HK Equity","EQUITY_OFFERINGS","array=t","startcol=2","endcol=2"),0)),"")</f>
        <v/>
      </c>
      <c r="C129" s="103">
        <f>IF($B129="","",IFERROR(BDP($B129&amp;" Action","CP036"),""))</f>
        <v/>
      </c>
      <c r="D129" s="104">
        <f>Database!S129</f>
        <v/>
      </c>
      <c r="E129" s="103">
        <f>IF($B129="","",IFERROR(BDP($B129&amp;" Action","CP037"),""))</f>
        <v/>
      </c>
      <c r="F129" s="104">
        <f>Database!T129</f>
        <v/>
      </c>
      <c r="G129" s="103">
        <f>IF($B129="","",IFERROR(BDP($B129&amp;" Action","GREENSHOE_FACILITY"),""))</f>
        <v/>
      </c>
      <c r="H129" s="103">
        <f>IF($B129="","",IFERROR(BDP($B129&amp;" Action","OFFERING_GREENSHOE_SHARES_EX"),""))</f>
        <v/>
      </c>
      <c r="I129" s="16">
        <f>Database!Z129</f>
        <v/>
      </c>
      <c r="J129" s="24">
        <f>IFERROR(BDP(Database!$A129&amp;" HK Equity","PE_RATIO"),"")</f>
        <v/>
      </c>
      <c r="K129" s="10">
        <f>IFERROR(BDP(Database!$A129&amp;" HK Equity","A/H_SHARE_CONVERSION"),"")</f>
        <v/>
      </c>
      <c r="L129" s="16">
        <f>IF(Database!BA129="","(none found)",Database!BA129)</f>
        <v/>
      </c>
      <c r="M129" s="18">
        <f>IFERROR(BDH(Database!$A129&amp;" HK Equity","CUR_MKT_CAP",Database!$H129,Database!$H129),"")</f>
        <v/>
      </c>
      <c r="N129" s="99">
        <f>Database!Q129</f>
        <v/>
      </c>
      <c r="O129" s="24">
        <f>IFERROR(BDH(Database!$A129&amp;" HK Equity","PE_RATIO",Database!$H129,Database!$H129),"")</f>
        <v/>
      </c>
      <c r="P129" s="101">
        <f>IF(Database!AV129="","(n/m or not derivable)",Database!AV129)</f>
        <v/>
      </c>
      <c r="Q129" s="24">
        <f>IF(Database!BA129="","",IFERROR(BDH(LEFT(Database!BA129,FIND(".",Database!BA129)-1)&amp;" CH Equity","PE_RATIO",Database!$H129,Database!$H129),""))</f>
        <v/>
      </c>
      <c r="R129" s="24">
        <f>IF(Database!BA129="","",IFERROR(BDH("HSAHP Index","PX_LAST",Database!$H129,Database!$H129),""))</f>
        <v/>
      </c>
    </row>
    <row r="130">
      <c r="A130" s="16">
        <f>Database!A130&amp;"  "&amp;Database!B130</f>
        <v/>
      </c>
      <c r="B130" s="10">
        <f>IFERROR(INDEX(BDS(Database!$A130&amp;" HK Equity","EQUITY_OFFERINGS","array=t","endcol=1"),MATCH("IPO",BDS(Database!$A130&amp;" HK Equity","EQUITY_OFFERINGS","array=t","startcol=2","endcol=2"),0)),"")</f>
        <v/>
      </c>
      <c r="C130" s="103">
        <f>IF($B130="","",IFERROR(BDP($B130&amp;" Action","CP036"),""))</f>
        <v/>
      </c>
      <c r="D130" s="104">
        <f>Database!S130</f>
        <v/>
      </c>
      <c r="E130" s="103">
        <f>IF($B130="","",IFERROR(BDP($B130&amp;" Action","CP037"),""))</f>
        <v/>
      </c>
      <c r="F130" s="104">
        <f>Database!T130</f>
        <v/>
      </c>
      <c r="G130" s="103">
        <f>IF($B130="","",IFERROR(BDP($B130&amp;" Action","GREENSHOE_FACILITY"),""))</f>
        <v/>
      </c>
      <c r="H130" s="103">
        <f>IF($B130="","",IFERROR(BDP($B130&amp;" Action","OFFERING_GREENSHOE_SHARES_EX"),""))</f>
        <v/>
      </c>
      <c r="I130" s="16">
        <f>Database!Z130</f>
        <v/>
      </c>
      <c r="J130" s="24">
        <f>IFERROR(BDP(Database!$A130&amp;" HK Equity","PE_RATIO"),"")</f>
        <v/>
      </c>
      <c r="K130" s="10">
        <f>IFERROR(BDP(Database!$A130&amp;" HK Equity","A/H_SHARE_CONVERSION"),"")</f>
        <v/>
      </c>
      <c r="L130" s="16">
        <f>IF(Database!BA130="","(none found)",Database!BA130)</f>
        <v/>
      </c>
      <c r="M130" s="18">
        <f>IFERROR(BDH(Database!$A130&amp;" HK Equity","CUR_MKT_CAP",Database!$H130,Database!$H130),"")</f>
        <v/>
      </c>
      <c r="N130" s="99">
        <f>Database!Q130</f>
        <v/>
      </c>
      <c r="O130" s="24">
        <f>IFERROR(BDH(Database!$A130&amp;" HK Equity","PE_RATIO",Database!$H130,Database!$H130),"")</f>
        <v/>
      </c>
      <c r="P130" s="101">
        <f>IF(Database!AV130="","(n/m or not derivable)",Database!AV130)</f>
        <v/>
      </c>
      <c r="Q130" s="24">
        <f>IF(Database!BA130="","",IFERROR(BDH(LEFT(Database!BA130,FIND(".",Database!BA130)-1)&amp;" CH Equity","PE_RATIO",Database!$H130,Database!$H130),""))</f>
        <v/>
      </c>
      <c r="R130" s="24">
        <f>IF(Database!BA130="","",IFERROR(BDH("HSAHP Index","PX_LAST",Database!$H130,Database!$H130),""))</f>
        <v/>
      </c>
    </row>
    <row r="131">
      <c r="A131" s="16">
        <f>Database!A131&amp;"  "&amp;Database!B131</f>
        <v/>
      </c>
      <c r="B131" s="10">
        <f>IFERROR(INDEX(BDS(Database!$A131&amp;" HK Equity","EQUITY_OFFERINGS","array=t","endcol=1"),MATCH("IPO",BDS(Database!$A131&amp;" HK Equity","EQUITY_OFFERINGS","array=t","startcol=2","endcol=2"),0)),"")</f>
        <v/>
      </c>
      <c r="C131" s="103">
        <f>IF($B131="","",IFERROR(BDP($B131&amp;" Action","CP036"),""))</f>
        <v/>
      </c>
      <c r="D131" s="104">
        <f>Database!S131</f>
        <v/>
      </c>
      <c r="E131" s="103">
        <f>IF($B131="","",IFERROR(BDP($B131&amp;" Action","CP037"),""))</f>
        <v/>
      </c>
      <c r="F131" s="104">
        <f>Database!T131</f>
        <v/>
      </c>
      <c r="G131" s="103">
        <f>IF($B131="","",IFERROR(BDP($B131&amp;" Action","GREENSHOE_FACILITY"),""))</f>
        <v/>
      </c>
      <c r="H131" s="103">
        <f>IF($B131="","",IFERROR(BDP($B131&amp;" Action","OFFERING_GREENSHOE_SHARES_EX"),""))</f>
        <v/>
      </c>
      <c r="I131" s="16">
        <f>Database!Z131</f>
        <v/>
      </c>
      <c r="J131" s="24">
        <f>IFERROR(BDP(Database!$A131&amp;" HK Equity","PE_RATIO"),"")</f>
        <v/>
      </c>
      <c r="K131" s="10">
        <f>IFERROR(BDP(Database!$A131&amp;" HK Equity","A/H_SHARE_CONVERSION"),"")</f>
        <v/>
      </c>
      <c r="L131" s="16">
        <f>IF(Database!BA131="","(none found)",Database!BA131)</f>
        <v/>
      </c>
      <c r="M131" s="18">
        <f>IFERROR(BDH(Database!$A131&amp;" HK Equity","CUR_MKT_CAP",Database!$H131,Database!$H131),"")</f>
        <v/>
      </c>
      <c r="N131" s="99">
        <f>Database!Q131</f>
        <v/>
      </c>
      <c r="O131" s="24">
        <f>IFERROR(BDH(Database!$A131&amp;" HK Equity","PE_RATIO",Database!$H131,Database!$H131),"")</f>
        <v/>
      </c>
      <c r="P131" s="101">
        <f>IF(Database!AV131="","(n/m or not derivable)",Database!AV131)</f>
        <v/>
      </c>
      <c r="Q131" s="24">
        <f>IF(Database!BA131="","",IFERROR(BDH(LEFT(Database!BA131,FIND(".",Database!BA131)-1)&amp;" CH Equity","PE_RATIO",Database!$H131,Database!$H131),""))</f>
        <v/>
      </c>
      <c r="R131" s="24">
        <f>IF(Database!BA131="","",IFERROR(BDH("HSAHP Index","PX_LAST",Database!$H131,Database!$H131),""))</f>
        <v/>
      </c>
    </row>
    <row r="132">
      <c r="A132" s="16">
        <f>Database!A132&amp;"  "&amp;Database!B132</f>
        <v/>
      </c>
      <c r="B132" s="10">
        <f>IFERROR(INDEX(BDS(Database!$A132&amp;" HK Equity","EQUITY_OFFERINGS","array=t","endcol=1"),MATCH("IPO",BDS(Database!$A132&amp;" HK Equity","EQUITY_OFFERINGS","array=t","startcol=2","endcol=2"),0)),"")</f>
        <v/>
      </c>
      <c r="C132" s="103">
        <f>IF($B132="","",IFERROR(BDP($B132&amp;" Action","CP036"),""))</f>
        <v/>
      </c>
      <c r="D132" s="104">
        <f>Database!S132</f>
        <v/>
      </c>
      <c r="E132" s="103">
        <f>IF($B132="","",IFERROR(BDP($B132&amp;" Action","CP037"),""))</f>
        <v/>
      </c>
      <c r="F132" s="104">
        <f>Database!T132</f>
        <v/>
      </c>
      <c r="G132" s="103">
        <f>IF($B132="","",IFERROR(BDP($B132&amp;" Action","GREENSHOE_FACILITY"),""))</f>
        <v/>
      </c>
      <c r="H132" s="103">
        <f>IF($B132="","",IFERROR(BDP($B132&amp;" Action","OFFERING_GREENSHOE_SHARES_EX"),""))</f>
        <v/>
      </c>
      <c r="I132" s="16">
        <f>Database!Z132</f>
        <v/>
      </c>
      <c r="J132" s="24">
        <f>IFERROR(BDP(Database!$A132&amp;" HK Equity","PE_RATIO"),"")</f>
        <v/>
      </c>
      <c r="K132" s="10">
        <f>IFERROR(BDP(Database!$A132&amp;" HK Equity","A/H_SHARE_CONVERSION"),"")</f>
        <v/>
      </c>
      <c r="L132" s="16">
        <f>IF(Database!BA132="","(none found)",Database!BA132)</f>
        <v/>
      </c>
      <c r="M132" s="18">
        <f>IFERROR(BDH(Database!$A132&amp;" HK Equity","CUR_MKT_CAP",Database!$H132,Database!$H132),"")</f>
        <v/>
      </c>
      <c r="N132" s="99">
        <f>Database!Q132</f>
        <v/>
      </c>
      <c r="O132" s="24">
        <f>IFERROR(BDH(Database!$A132&amp;" HK Equity","PE_RATIO",Database!$H132,Database!$H132),"")</f>
        <v/>
      </c>
      <c r="P132" s="101">
        <f>IF(Database!AV132="","(n/m or not derivable)",Database!AV132)</f>
        <v/>
      </c>
      <c r="Q132" s="24">
        <f>IF(Database!BA132="","",IFERROR(BDH(LEFT(Database!BA132,FIND(".",Database!BA132)-1)&amp;" CH Equity","PE_RATIO",Database!$H132,Database!$H132),""))</f>
        <v/>
      </c>
      <c r="R132" s="24">
        <f>IF(Database!BA132="","",IFERROR(BDH("HSAHP Index","PX_LAST",Database!$H132,Database!$H132),""))</f>
        <v/>
      </c>
    </row>
    <row r="133">
      <c r="A133" s="16">
        <f>Database!A133&amp;"  "&amp;Database!B133</f>
        <v/>
      </c>
      <c r="B133" s="10">
        <f>IFERROR(INDEX(BDS(Database!$A133&amp;" HK Equity","EQUITY_OFFERINGS","array=t","endcol=1"),MATCH("IPO",BDS(Database!$A133&amp;" HK Equity","EQUITY_OFFERINGS","array=t","startcol=2","endcol=2"),0)),"")</f>
        <v/>
      </c>
      <c r="C133" s="103">
        <f>IF($B133="","",IFERROR(BDP($B133&amp;" Action","CP036"),""))</f>
        <v/>
      </c>
      <c r="D133" s="104">
        <f>Database!S133</f>
        <v/>
      </c>
      <c r="E133" s="103">
        <f>IF($B133="","",IFERROR(BDP($B133&amp;" Action","CP037"),""))</f>
        <v/>
      </c>
      <c r="F133" s="104">
        <f>Database!T133</f>
        <v/>
      </c>
      <c r="G133" s="103">
        <f>IF($B133="","",IFERROR(BDP($B133&amp;" Action","GREENSHOE_FACILITY"),""))</f>
        <v/>
      </c>
      <c r="H133" s="103">
        <f>IF($B133="","",IFERROR(BDP($B133&amp;" Action","OFFERING_GREENSHOE_SHARES_EX"),""))</f>
        <v/>
      </c>
      <c r="I133" s="16">
        <f>Database!Z133</f>
        <v/>
      </c>
      <c r="J133" s="24">
        <f>IFERROR(BDP(Database!$A133&amp;" HK Equity","PE_RATIO"),"")</f>
        <v/>
      </c>
      <c r="K133" s="10">
        <f>IFERROR(BDP(Database!$A133&amp;" HK Equity","A/H_SHARE_CONVERSION"),"")</f>
        <v/>
      </c>
      <c r="L133" s="16">
        <f>IF(Database!BA133="","(none found)",Database!BA133)</f>
        <v/>
      </c>
      <c r="M133" s="18">
        <f>IFERROR(BDH(Database!$A133&amp;" HK Equity","CUR_MKT_CAP",Database!$H133,Database!$H133),"")</f>
        <v/>
      </c>
      <c r="N133" s="99">
        <f>Database!Q133</f>
        <v/>
      </c>
      <c r="O133" s="24">
        <f>IFERROR(BDH(Database!$A133&amp;" HK Equity","PE_RATIO",Database!$H133,Database!$H133),"")</f>
        <v/>
      </c>
      <c r="P133" s="101">
        <f>IF(Database!AV133="","(n/m or not derivable)",Database!AV133)</f>
        <v/>
      </c>
      <c r="Q133" s="24">
        <f>IF(Database!BA133="","",IFERROR(BDH(LEFT(Database!BA133,FIND(".",Database!BA133)-1)&amp;" CH Equity","PE_RATIO",Database!$H133,Database!$H133),""))</f>
        <v/>
      </c>
      <c r="R133" s="24">
        <f>IF(Database!BA133="","",IFERROR(BDH("HSAHP Index","PX_LAST",Database!$H133,Database!$H133),""))</f>
        <v/>
      </c>
    </row>
    <row r="134">
      <c r="A134" s="16">
        <f>Database!A134&amp;"  "&amp;Database!B134</f>
        <v/>
      </c>
      <c r="B134" s="10">
        <f>IFERROR(INDEX(BDS(Database!$A134&amp;" HK Equity","EQUITY_OFFERINGS","array=t","endcol=1"),MATCH("IPO",BDS(Database!$A134&amp;" HK Equity","EQUITY_OFFERINGS","array=t","startcol=2","endcol=2"),0)),"")</f>
        <v/>
      </c>
      <c r="C134" s="103">
        <f>IF($B134="","",IFERROR(BDP($B134&amp;" Action","CP036"),""))</f>
        <v/>
      </c>
      <c r="D134" s="104">
        <f>Database!S134</f>
        <v/>
      </c>
      <c r="E134" s="103">
        <f>IF($B134="","",IFERROR(BDP($B134&amp;" Action","CP037"),""))</f>
        <v/>
      </c>
      <c r="F134" s="104">
        <f>Database!T134</f>
        <v/>
      </c>
      <c r="G134" s="103">
        <f>IF($B134="","",IFERROR(BDP($B134&amp;" Action","GREENSHOE_FACILITY"),""))</f>
        <v/>
      </c>
      <c r="H134" s="103">
        <f>IF($B134="","",IFERROR(BDP($B134&amp;" Action","OFFERING_GREENSHOE_SHARES_EX"),""))</f>
        <v/>
      </c>
      <c r="I134" s="16">
        <f>Database!Z134</f>
        <v/>
      </c>
      <c r="J134" s="24">
        <f>IFERROR(BDP(Database!$A134&amp;" HK Equity","PE_RATIO"),"")</f>
        <v/>
      </c>
      <c r="K134" s="10">
        <f>IFERROR(BDP(Database!$A134&amp;" HK Equity","A/H_SHARE_CONVERSION"),"")</f>
        <v/>
      </c>
      <c r="L134" s="16">
        <f>IF(Database!BA134="","(none found)",Database!BA134)</f>
        <v/>
      </c>
      <c r="M134" s="18">
        <f>IFERROR(BDH(Database!$A134&amp;" HK Equity","CUR_MKT_CAP",Database!$H134,Database!$H134),"")</f>
        <v/>
      </c>
      <c r="N134" s="99">
        <f>Database!Q134</f>
        <v/>
      </c>
      <c r="O134" s="24">
        <f>IFERROR(BDH(Database!$A134&amp;" HK Equity","PE_RATIO",Database!$H134,Database!$H134),"")</f>
        <v/>
      </c>
      <c r="P134" s="101">
        <f>IF(Database!AV134="","(n/m or not derivable)",Database!AV134)</f>
        <v/>
      </c>
      <c r="Q134" s="24">
        <f>IF(Database!BA134="","",IFERROR(BDH(LEFT(Database!BA134,FIND(".",Database!BA134)-1)&amp;" CH Equity","PE_RATIO",Database!$H134,Database!$H134),""))</f>
        <v/>
      </c>
      <c r="R134" s="24">
        <f>IF(Database!BA134="","",IFERROR(BDH("HSAHP Index","PX_LAST",Database!$H134,Database!$H134),""))</f>
        <v/>
      </c>
    </row>
    <row r="135">
      <c r="A135" s="16">
        <f>Database!A135&amp;"  "&amp;Database!B135</f>
        <v/>
      </c>
      <c r="B135" s="10">
        <f>IFERROR(INDEX(BDS(Database!$A135&amp;" HK Equity","EQUITY_OFFERINGS","array=t","endcol=1"),MATCH("IPO",BDS(Database!$A135&amp;" HK Equity","EQUITY_OFFERINGS","array=t","startcol=2","endcol=2"),0)),"")</f>
        <v/>
      </c>
      <c r="C135" s="103">
        <f>IF($B135="","",IFERROR(BDP($B135&amp;" Action","CP036"),""))</f>
        <v/>
      </c>
      <c r="D135" s="104">
        <f>Database!S135</f>
        <v/>
      </c>
      <c r="E135" s="103">
        <f>IF($B135="","",IFERROR(BDP($B135&amp;" Action","CP037"),""))</f>
        <v/>
      </c>
      <c r="F135" s="104">
        <f>Database!T135</f>
        <v/>
      </c>
      <c r="G135" s="103">
        <f>IF($B135="","",IFERROR(BDP($B135&amp;" Action","GREENSHOE_FACILITY"),""))</f>
        <v/>
      </c>
      <c r="H135" s="103">
        <f>IF($B135="","",IFERROR(BDP($B135&amp;" Action","OFFERING_GREENSHOE_SHARES_EX"),""))</f>
        <v/>
      </c>
      <c r="I135" s="16">
        <f>Database!Z135</f>
        <v/>
      </c>
      <c r="J135" s="24">
        <f>IFERROR(BDP(Database!$A135&amp;" HK Equity","PE_RATIO"),"")</f>
        <v/>
      </c>
      <c r="K135" s="10">
        <f>IFERROR(BDP(Database!$A135&amp;" HK Equity","A/H_SHARE_CONVERSION"),"")</f>
        <v/>
      </c>
      <c r="L135" s="16">
        <f>IF(Database!BA135="","(none found)",Database!BA135)</f>
        <v/>
      </c>
      <c r="M135" s="18">
        <f>IFERROR(BDH(Database!$A135&amp;" HK Equity","CUR_MKT_CAP",Database!$H135,Database!$H135),"")</f>
        <v/>
      </c>
      <c r="N135" s="99">
        <f>Database!Q135</f>
        <v/>
      </c>
      <c r="O135" s="24">
        <f>IFERROR(BDH(Database!$A135&amp;" HK Equity","PE_RATIO",Database!$H135,Database!$H135),"")</f>
        <v/>
      </c>
      <c r="P135" s="101">
        <f>IF(Database!AV135="","(n/m or not derivable)",Database!AV135)</f>
        <v/>
      </c>
      <c r="Q135" s="24">
        <f>IF(Database!BA135="","",IFERROR(BDH(LEFT(Database!BA135,FIND(".",Database!BA135)-1)&amp;" CH Equity","PE_RATIO",Database!$H135,Database!$H135),""))</f>
        <v/>
      </c>
      <c r="R135" s="24">
        <f>IF(Database!BA135="","",IFERROR(BDH("HSAHP Index","PX_LAST",Database!$H135,Database!$H135),""))</f>
        <v/>
      </c>
    </row>
    <row r="136">
      <c r="A136" s="16">
        <f>Database!A136&amp;"  "&amp;Database!B136</f>
        <v/>
      </c>
      <c r="B136" s="10">
        <f>IFERROR(INDEX(BDS(Database!$A136&amp;" HK Equity","EQUITY_OFFERINGS","array=t","endcol=1"),MATCH("IPO",BDS(Database!$A136&amp;" HK Equity","EQUITY_OFFERINGS","array=t","startcol=2","endcol=2"),0)),"")</f>
        <v/>
      </c>
      <c r="C136" s="103">
        <f>IF($B136="","",IFERROR(BDP($B136&amp;" Action","CP036"),""))</f>
        <v/>
      </c>
      <c r="D136" s="104">
        <f>Database!S136</f>
        <v/>
      </c>
      <c r="E136" s="103">
        <f>IF($B136="","",IFERROR(BDP($B136&amp;" Action","CP037"),""))</f>
        <v/>
      </c>
      <c r="F136" s="104">
        <f>Database!T136</f>
        <v/>
      </c>
      <c r="G136" s="103">
        <f>IF($B136="","",IFERROR(BDP($B136&amp;" Action","GREENSHOE_FACILITY"),""))</f>
        <v/>
      </c>
      <c r="H136" s="103">
        <f>IF($B136="","",IFERROR(BDP($B136&amp;" Action","OFFERING_GREENSHOE_SHARES_EX"),""))</f>
        <v/>
      </c>
      <c r="I136" s="16">
        <f>Database!Z136</f>
        <v/>
      </c>
      <c r="J136" s="24">
        <f>IFERROR(BDP(Database!$A136&amp;" HK Equity","PE_RATIO"),"")</f>
        <v/>
      </c>
      <c r="K136" s="10">
        <f>IFERROR(BDP(Database!$A136&amp;" HK Equity","A/H_SHARE_CONVERSION"),"")</f>
        <v/>
      </c>
      <c r="L136" s="16">
        <f>IF(Database!BA136="","(none found)",Database!BA136)</f>
        <v/>
      </c>
      <c r="M136" s="18">
        <f>IFERROR(BDH(Database!$A136&amp;" HK Equity","CUR_MKT_CAP",Database!$H136,Database!$H136),"")</f>
        <v/>
      </c>
      <c r="N136" s="99">
        <f>Database!Q136</f>
        <v/>
      </c>
      <c r="O136" s="24">
        <f>IFERROR(BDH(Database!$A136&amp;" HK Equity","PE_RATIO",Database!$H136,Database!$H136),"")</f>
        <v/>
      </c>
      <c r="P136" s="101">
        <f>IF(Database!AV136="","(n/m or not derivable)",Database!AV136)</f>
        <v/>
      </c>
      <c r="Q136" s="24">
        <f>IF(Database!BA136="","",IFERROR(BDH(LEFT(Database!BA136,FIND(".",Database!BA136)-1)&amp;" CH Equity","PE_RATIO",Database!$H136,Database!$H136),""))</f>
        <v/>
      </c>
      <c r="R136" s="24">
        <f>IF(Database!BA136="","",IFERROR(BDH("HSAHP Index","PX_LAST",Database!$H136,Database!$H136),""))</f>
        <v/>
      </c>
    </row>
    <row r="137">
      <c r="A137" s="16">
        <f>Database!A137&amp;"  "&amp;Database!B137</f>
        <v/>
      </c>
      <c r="B137" s="10">
        <f>IFERROR(INDEX(BDS(Database!$A137&amp;" HK Equity","EQUITY_OFFERINGS","array=t","endcol=1"),MATCH("IPO",BDS(Database!$A137&amp;" HK Equity","EQUITY_OFFERINGS","array=t","startcol=2","endcol=2"),0)),"")</f>
        <v/>
      </c>
      <c r="C137" s="103">
        <f>IF($B137="","",IFERROR(BDP($B137&amp;" Action","CP036"),""))</f>
        <v/>
      </c>
      <c r="D137" s="104">
        <f>Database!S137</f>
        <v/>
      </c>
      <c r="E137" s="103">
        <f>IF($B137="","",IFERROR(BDP($B137&amp;" Action","CP037"),""))</f>
        <v/>
      </c>
      <c r="F137" s="104">
        <f>Database!T137</f>
        <v/>
      </c>
      <c r="G137" s="103">
        <f>IF($B137="","",IFERROR(BDP($B137&amp;" Action","GREENSHOE_FACILITY"),""))</f>
        <v/>
      </c>
      <c r="H137" s="103">
        <f>IF($B137="","",IFERROR(BDP($B137&amp;" Action","OFFERING_GREENSHOE_SHARES_EX"),""))</f>
        <v/>
      </c>
      <c r="I137" s="16">
        <f>Database!Z137</f>
        <v/>
      </c>
      <c r="J137" s="24">
        <f>IFERROR(BDP(Database!$A137&amp;" HK Equity","PE_RATIO"),"")</f>
        <v/>
      </c>
      <c r="K137" s="10">
        <f>IFERROR(BDP(Database!$A137&amp;" HK Equity","A/H_SHARE_CONVERSION"),"")</f>
        <v/>
      </c>
      <c r="L137" s="16">
        <f>IF(Database!BA137="","(none found)",Database!BA137)</f>
        <v/>
      </c>
      <c r="M137" s="18">
        <f>IFERROR(BDH(Database!$A137&amp;" HK Equity","CUR_MKT_CAP",Database!$H137,Database!$H137),"")</f>
        <v/>
      </c>
      <c r="N137" s="99">
        <f>Database!Q137</f>
        <v/>
      </c>
      <c r="O137" s="24">
        <f>IFERROR(BDH(Database!$A137&amp;" HK Equity","PE_RATIO",Database!$H137,Database!$H137),"")</f>
        <v/>
      </c>
      <c r="P137" s="101">
        <f>IF(Database!AV137="","(n/m or not derivable)",Database!AV137)</f>
        <v/>
      </c>
      <c r="Q137" s="24">
        <f>IF(Database!BA137="","",IFERROR(BDH(LEFT(Database!BA137,FIND(".",Database!BA137)-1)&amp;" CH Equity","PE_RATIO",Database!$H137,Database!$H137),""))</f>
        <v/>
      </c>
      <c r="R137" s="24">
        <f>IF(Database!BA137="","",IFERROR(BDH("HSAHP Index","PX_LAST",Database!$H137,Database!$H137),""))</f>
        <v/>
      </c>
    </row>
    <row r="138">
      <c r="A138" s="16">
        <f>Database!A138&amp;"  "&amp;Database!B138</f>
        <v/>
      </c>
      <c r="B138" s="10">
        <f>IFERROR(INDEX(BDS(Database!$A138&amp;" HK Equity","EQUITY_OFFERINGS","array=t","endcol=1"),MATCH("IPO",BDS(Database!$A138&amp;" HK Equity","EQUITY_OFFERINGS","array=t","startcol=2","endcol=2"),0)),"")</f>
        <v/>
      </c>
      <c r="C138" s="103">
        <f>IF($B138="","",IFERROR(BDP($B138&amp;" Action","CP036"),""))</f>
        <v/>
      </c>
      <c r="D138" s="104">
        <f>Database!S138</f>
        <v/>
      </c>
      <c r="E138" s="103">
        <f>IF($B138="","",IFERROR(BDP($B138&amp;" Action","CP037"),""))</f>
        <v/>
      </c>
      <c r="F138" s="104">
        <f>Database!T138</f>
        <v/>
      </c>
      <c r="G138" s="103">
        <f>IF($B138="","",IFERROR(BDP($B138&amp;" Action","GREENSHOE_FACILITY"),""))</f>
        <v/>
      </c>
      <c r="H138" s="103">
        <f>IF($B138="","",IFERROR(BDP($B138&amp;" Action","OFFERING_GREENSHOE_SHARES_EX"),""))</f>
        <v/>
      </c>
      <c r="I138" s="16">
        <f>Database!Z138</f>
        <v/>
      </c>
      <c r="J138" s="24">
        <f>IFERROR(BDP(Database!$A138&amp;" HK Equity","PE_RATIO"),"")</f>
        <v/>
      </c>
      <c r="K138" s="10">
        <f>IFERROR(BDP(Database!$A138&amp;" HK Equity","A/H_SHARE_CONVERSION"),"")</f>
        <v/>
      </c>
      <c r="L138" s="16">
        <f>IF(Database!BA138="","(none found)",Database!BA138)</f>
        <v/>
      </c>
      <c r="M138" s="18">
        <f>IFERROR(BDH(Database!$A138&amp;" HK Equity","CUR_MKT_CAP",Database!$H138,Database!$H138),"")</f>
        <v/>
      </c>
      <c r="N138" s="99">
        <f>Database!Q138</f>
        <v/>
      </c>
      <c r="O138" s="24">
        <f>IFERROR(BDH(Database!$A138&amp;" HK Equity","PE_RATIO",Database!$H138,Database!$H138),"")</f>
        <v/>
      </c>
      <c r="P138" s="101">
        <f>IF(Database!AV138="","(n/m or not derivable)",Database!AV138)</f>
        <v/>
      </c>
      <c r="Q138" s="24">
        <f>IF(Database!BA138="","",IFERROR(BDH(LEFT(Database!BA138,FIND(".",Database!BA138)-1)&amp;" CH Equity","PE_RATIO",Database!$H138,Database!$H138),""))</f>
        <v/>
      </c>
      <c r="R138" s="24">
        <f>IF(Database!BA138="","",IFERROR(BDH("HSAHP Index","PX_LAST",Database!$H138,Database!$H138),""))</f>
        <v/>
      </c>
    </row>
    <row r="139">
      <c r="A139" s="16">
        <f>Database!A139&amp;"  "&amp;Database!B139</f>
        <v/>
      </c>
      <c r="B139" s="10">
        <f>IFERROR(INDEX(BDS(Database!$A139&amp;" HK Equity","EQUITY_OFFERINGS","array=t","endcol=1"),MATCH("IPO",BDS(Database!$A139&amp;" HK Equity","EQUITY_OFFERINGS","array=t","startcol=2","endcol=2"),0)),"")</f>
        <v/>
      </c>
      <c r="C139" s="103">
        <f>IF($B139="","",IFERROR(BDP($B139&amp;" Action","CP036"),""))</f>
        <v/>
      </c>
      <c r="D139" s="104">
        <f>Database!S139</f>
        <v/>
      </c>
      <c r="E139" s="103">
        <f>IF($B139="","",IFERROR(BDP($B139&amp;" Action","CP037"),""))</f>
        <v/>
      </c>
      <c r="F139" s="104">
        <f>Database!T139</f>
        <v/>
      </c>
      <c r="G139" s="103">
        <f>IF($B139="","",IFERROR(BDP($B139&amp;" Action","GREENSHOE_FACILITY"),""))</f>
        <v/>
      </c>
      <c r="H139" s="103">
        <f>IF($B139="","",IFERROR(BDP($B139&amp;" Action","OFFERING_GREENSHOE_SHARES_EX"),""))</f>
        <v/>
      </c>
      <c r="I139" s="16">
        <f>Database!Z139</f>
        <v/>
      </c>
      <c r="J139" s="24">
        <f>IFERROR(BDP(Database!$A139&amp;" HK Equity","PE_RATIO"),"")</f>
        <v/>
      </c>
      <c r="K139" s="10">
        <f>IFERROR(BDP(Database!$A139&amp;" HK Equity","A/H_SHARE_CONVERSION"),"")</f>
        <v/>
      </c>
      <c r="L139" s="16">
        <f>IF(Database!BA139="","(none found)",Database!BA139)</f>
        <v/>
      </c>
      <c r="M139" s="18">
        <f>IFERROR(BDH(Database!$A139&amp;" HK Equity","CUR_MKT_CAP",Database!$H139,Database!$H139),"")</f>
        <v/>
      </c>
      <c r="N139" s="99">
        <f>Database!Q139</f>
        <v/>
      </c>
      <c r="O139" s="24">
        <f>IFERROR(BDH(Database!$A139&amp;" HK Equity","PE_RATIO",Database!$H139,Database!$H139),"")</f>
        <v/>
      </c>
      <c r="P139" s="101">
        <f>IF(Database!AV139="","(n/m or not derivable)",Database!AV139)</f>
        <v/>
      </c>
      <c r="Q139" s="24">
        <f>IF(Database!BA139="","",IFERROR(BDH(LEFT(Database!BA139,FIND(".",Database!BA139)-1)&amp;" CH Equity","PE_RATIO",Database!$H139,Database!$H139),""))</f>
        <v/>
      </c>
      <c r="R139" s="24">
        <f>IF(Database!BA139="","",IFERROR(BDH("HSAHP Index","PX_LAST",Database!$H139,Database!$H139),""))</f>
        <v/>
      </c>
    </row>
    <row r="140">
      <c r="A140" s="16">
        <f>Database!A140&amp;"  "&amp;Database!B140</f>
        <v/>
      </c>
      <c r="B140" s="10">
        <f>IFERROR(INDEX(BDS(Database!$A140&amp;" HK Equity","EQUITY_OFFERINGS","array=t","endcol=1"),MATCH("IPO",BDS(Database!$A140&amp;" HK Equity","EQUITY_OFFERINGS","array=t","startcol=2","endcol=2"),0)),"")</f>
        <v/>
      </c>
      <c r="C140" s="103">
        <f>IF($B140="","",IFERROR(BDP($B140&amp;" Action","CP036"),""))</f>
        <v/>
      </c>
      <c r="D140" s="104">
        <f>Database!S140</f>
        <v/>
      </c>
      <c r="E140" s="103">
        <f>IF($B140="","",IFERROR(BDP($B140&amp;" Action","CP037"),""))</f>
        <v/>
      </c>
      <c r="F140" s="104">
        <f>Database!T140</f>
        <v/>
      </c>
      <c r="G140" s="103">
        <f>IF($B140="","",IFERROR(BDP($B140&amp;" Action","GREENSHOE_FACILITY"),""))</f>
        <v/>
      </c>
      <c r="H140" s="103">
        <f>IF($B140="","",IFERROR(BDP($B140&amp;" Action","OFFERING_GREENSHOE_SHARES_EX"),""))</f>
        <v/>
      </c>
      <c r="I140" s="16">
        <f>Database!Z140</f>
        <v/>
      </c>
      <c r="J140" s="24">
        <f>IFERROR(BDP(Database!$A140&amp;" HK Equity","PE_RATIO"),"")</f>
        <v/>
      </c>
      <c r="K140" s="10">
        <f>IFERROR(BDP(Database!$A140&amp;" HK Equity","A/H_SHARE_CONVERSION"),"")</f>
        <v/>
      </c>
      <c r="L140" s="16">
        <f>IF(Database!BA140="","(none found)",Database!BA140)</f>
        <v/>
      </c>
      <c r="M140" s="18">
        <f>IFERROR(BDH(Database!$A140&amp;" HK Equity","CUR_MKT_CAP",Database!$H140,Database!$H140),"")</f>
        <v/>
      </c>
      <c r="N140" s="99">
        <f>Database!Q140</f>
        <v/>
      </c>
      <c r="O140" s="24">
        <f>IFERROR(BDH(Database!$A140&amp;" HK Equity","PE_RATIO",Database!$H140,Database!$H140),"")</f>
        <v/>
      </c>
      <c r="P140" s="101">
        <f>IF(Database!AV140="","(n/m or not derivable)",Database!AV140)</f>
        <v/>
      </c>
      <c r="Q140" s="24">
        <f>IF(Database!BA140="","",IFERROR(BDH(LEFT(Database!BA140,FIND(".",Database!BA140)-1)&amp;" CH Equity","PE_RATIO",Database!$H140,Database!$H140),""))</f>
        <v/>
      </c>
      <c r="R140" s="24">
        <f>IF(Database!BA140="","",IFERROR(BDH("HSAHP Index","PX_LAST",Database!$H140,Database!$H140),""))</f>
        <v/>
      </c>
    </row>
    <row r="141">
      <c r="A141" s="16">
        <f>Database!A141&amp;"  "&amp;Database!B141</f>
        <v/>
      </c>
      <c r="B141" s="10">
        <f>IFERROR(INDEX(BDS(Database!$A141&amp;" HK Equity","EQUITY_OFFERINGS","array=t","endcol=1"),MATCH("IPO",BDS(Database!$A141&amp;" HK Equity","EQUITY_OFFERINGS","array=t","startcol=2","endcol=2"),0)),"")</f>
        <v/>
      </c>
      <c r="C141" s="103">
        <f>IF($B141="","",IFERROR(BDP($B141&amp;" Action","CP036"),""))</f>
        <v/>
      </c>
      <c r="D141" s="104">
        <f>Database!S141</f>
        <v/>
      </c>
      <c r="E141" s="103">
        <f>IF($B141="","",IFERROR(BDP($B141&amp;" Action","CP037"),""))</f>
        <v/>
      </c>
      <c r="F141" s="104">
        <f>Database!T141</f>
        <v/>
      </c>
      <c r="G141" s="103">
        <f>IF($B141="","",IFERROR(BDP($B141&amp;" Action","GREENSHOE_FACILITY"),""))</f>
        <v/>
      </c>
      <c r="H141" s="103">
        <f>IF($B141="","",IFERROR(BDP($B141&amp;" Action","OFFERING_GREENSHOE_SHARES_EX"),""))</f>
        <v/>
      </c>
      <c r="I141" s="16">
        <f>Database!Z141</f>
        <v/>
      </c>
      <c r="J141" s="24">
        <f>IFERROR(BDP(Database!$A141&amp;" HK Equity","PE_RATIO"),"")</f>
        <v/>
      </c>
      <c r="K141" s="10">
        <f>IFERROR(BDP(Database!$A141&amp;" HK Equity","A/H_SHARE_CONVERSION"),"")</f>
        <v/>
      </c>
      <c r="L141" s="16">
        <f>IF(Database!BA141="","(none found)",Database!BA141)</f>
        <v/>
      </c>
      <c r="M141" s="18">
        <f>IFERROR(BDH(Database!$A141&amp;" HK Equity","CUR_MKT_CAP",Database!$H141,Database!$H141),"")</f>
        <v/>
      </c>
      <c r="N141" s="99">
        <f>Database!Q141</f>
        <v/>
      </c>
      <c r="O141" s="24">
        <f>IFERROR(BDH(Database!$A141&amp;" HK Equity","PE_RATIO",Database!$H141,Database!$H141),"")</f>
        <v/>
      </c>
      <c r="P141" s="101">
        <f>IF(Database!AV141="","(n/m or not derivable)",Database!AV141)</f>
        <v/>
      </c>
      <c r="Q141" s="24">
        <f>IF(Database!BA141="","",IFERROR(BDH(LEFT(Database!BA141,FIND(".",Database!BA141)-1)&amp;" CH Equity","PE_RATIO",Database!$H141,Database!$H141),""))</f>
        <v/>
      </c>
      <c r="R141" s="24">
        <f>IF(Database!BA141="","",IFERROR(BDH("HSAHP Index","PX_LAST",Database!$H141,Database!$H141),""))</f>
        <v/>
      </c>
    </row>
    <row r="142">
      <c r="A142" s="16">
        <f>Database!A142&amp;"  "&amp;Database!B142</f>
        <v/>
      </c>
      <c r="B142" s="10">
        <f>IFERROR(INDEX(BDS(Database!$A142&amp;" HK Equity","EQUITY_OFFERINGS","array=t","endcol=1"),MATCH("IPO",BDS(Database!$A142&amp;" HK Equity","EQUITY_OFFERINGS","array=t","startcol=2","endcol=2"),0)),"")</f>
        <v/>
      </c>
      <c r="C142" s="103">
        <f>IF($B142="","",IFERROR(BDP($B142&amp;" Action","CP036"),""))</f>
        <v/>
      </c>
      <c r="D142" s="104">
        <f>Database!S142</f>
        <v/>
      </c>
      <c r="E142" s="103">
        <f>IF($B142="","",IFERROR(BDP($B142&amp;" Action","CP037"),""))</f>
        <v/>
      </c>
      <c r="F142" s="104">
        <f>Database!T142</f>
        <v/>
      </c>
      <c r="G142" s="103">
        <f>IF($B142="","",IFERROR(BDP($B142&amp;" Action","GREENSHOE_FACILITY"),""))</f>
        <v/>
      </c>
      <c r="H142" s="103">
        <f>IF($B142="","",IFERROR(BDP($B142&amp;" Action","OFFERING_GREENSHOE_SHARES_EX"),""))</f>
        <v/>
      </c>
      <c r="I142" s="16">
        <f>Database!Z142</f>
        <v/>
      </c>
      <c r="J142" s="24">
        <f>IFERROR(BDP(Database!$A142&amp;" HK Equity","PE_RATIO"),"")</f>
        <v/>
      </c>
      <c r="K142" s="10">
        <f>IFERROR(BDP(Database!$A142&amp;" HK Equity","A/H_SHARE_CONVERSION"),"")</f>
        <v/>
      </c>
      <c r="L142" s="16">
        <f>IF(Database!BA142="","(none found)",Database!BA142)</f>
        <v/>
      </c>
      <c r="M142" s="18">
        <f>IFERROR(BDH(Database!$A142&amp;" HK Equity","CUR_MKT_CAP",Database!$H142,Database!$H142),"")</f>
        <v/>
      </c>
      <c r="N142" s="99">
        <f>Database!Q142</f>
        <v/>
      </c>
      <c r="O142" s="24">
        <f>IFERROR(BDH(Database!$A142&amp;" HK Equity","PE_RATIO",Database!$H142,Database!$H142),"")</f>
        <v/>
      </c>
      <c r="P142" s="101">
        <f>IF(Database!AV142="","(n/m or not derivable)",Database!AV142)</f>
        <v/>
      </c>
      <c r="Q142" s="24">
        <f>IF(Database!BA142="","",IFERROR(BDH(LEFT(Database!BA142,FIND(".",Database!BA142)-1)&amp;" CH Equity","PE_RATIO",Database!$H142,Database!$H142),""))</f>
        <v/>
      </c>
      <c r="R142" s="24">
        <f>IF(Database!BA142="","",IFERROR(BDH("HSAHP Index","PX_LAST",Database!$H142,Database!$H142),""))</f>
        <v/>
      </c>
    </row>
    <row r="143">
      <c r="A143" s="16">
        <f>Database!A143&amp;"  "&amp;Database!B143</f>
        <v/>
      </c>
      <c r="B143" s="10">
        <f>IFERROR(INDEX(BDS(Database!$A143&amp;" HK Equity","EQUITY_OFFERINGS","array=t","endcol=1"),MATCH("IPO",BDS(Database!$A143&amp;" HK Equity","EQUITY_OFFERINGS","array=t","startcol=2","endcol=2"),0)),"")</f>
        <v/>
      </c>
      <c r="C143" s="103">
        <f>IF($B143="","",IFERROR(BDP($B143&amp;" Action","CP036"),""))</f>
        <v/>
      </c>
      <c r="D143" s="104">
        <f>Database!S143</f>
        <v/>
      </c>
      <c r="E143" s="103">
        <f>IF($B143="","",IFERROR(BDP($B143&amp;" Action","CP037"),""))</f>
        <v/>
      </c>
      <c r="F143" s="104">
        <f>Database!T143</f>
        <v/>
      </c>
      <c r="G143" s="103">
        <f>IF($B143="","",IFERROR(BDP($B143&amp;" Action","GREENSHOE_FACILITY"),""))</f>
        <v/>
      </c>
      <c r="H143" s="103">
        <f>IF($B143="","",IFERROR(BDP($B143&amp;" Action","OFFERING_GREENSHOE_SHARES_EX"),""))</f>
        <v/>
      </c>
      <c r="I143" s="16">
        <f>Database!Z143</f>
        <v/>
      </c>
      <c r="J143" s="24">
        <f>IFERROR(BDP(Database!$A143&amp;" HK Equity","PE_RATIO"),"")</f>
        <v/>
      </c>
      <c r="K143" s="10">
        <f>IFERROR(BDP(Database!$A143&amp;" HK Equity","A/H_SHARE_CONVERSION"),"")</f>
        <v/>
      </c>
      <c r="L143" s="16">
        <f>IF(Database!BA143="","(none found)",Database!BA143)</f>
        <v/>
      </c>
      <c r="M143" s="18">
        <f>IFERROR(BDH(Database!$A143&amp;" HK Equity","CUR_MKT_CAP",Database!$H143,Database!$H143),"")</f>
        <v/>
      </c>
      <c r="N143" s="99">
        <f>Database!Q143</f>
        <v/>
      </c>
      <c r="O143" s="24">
        <f>IFERROR(BDH(Database!$A143&amp;" HK Equity","PE_RATIO",Database!$H143,Database!$H143),"")</f>
        <v/>
      </c>
      <c r="P143" s="101">
        <f>IF(Database!AV143="","(n/m or not derivable)",Database!AV143)</f>
        <v/>
      </c>
      <c r="Q143" s="24">
        <f>IF(Database!BA143="","",IFERROR(BDH(LEFT(Database!BA143,FIND(".",Database!BA143)-1)&amp;" CH Equity","PE_RATIO",Database!$H143,Database!$H143),""))</f>
        <v/>
      </c>
      <c r="R143" s="24">
        <f>IF(Database!BA143="","",IFERROR(BDH("HSAHP Index","PX_LAST",Database!$H143,Database!$H143),""))</f>
        <v/>
      </c>
    </row>
    <row r="144">
      <c r="A144" s="16">
        <f>Database!A144&amp;"  "&amp;Database!B144</f>
        <v/>
      </c>
      <c r="B144" s="10">
        <f>IFERROR(INDEX(BDS(Database!$A144&amp;" HK Equity","EQUITY_OFFERINGS","array=t","endcol=1"),MATCH("IPO",BDS(Database!$A144&amp;" HK Equity","EQUITY_OFFERINGS","array=t","startcol=2","endcol=2"),0)),"")</f>
        <v/>
      </c>
      <c r="C144" s="103">
        <f>IF($B144="","",IFERROR(BDP($B144&amp;" Action","CP036"),""))</f>
        <v/>
      </c>
      <c r="D144" s="104">
        <f>Database!S144</f>
        <v/>
      </c>
      <c r="E144" s="103">
        <f>IF($B144="","",IFERROR(BDP($B144&amp;" Action","CP037"),""))</f>
        <v/>
      </c>
      <c r="F144" s="104">
        <f>Database!T144</f>
        <v/>
      </c>
      <c r="G144" s="103">
        <f>IF($B144="","",IFERROR(BDP($B144&amp;" Action","GREENSHOE_FACILITY"),""))</f>
        <v/>
      </c>
      <c r="H144" s="103">
        <f>IF($B144="","",IFERROR(BDP($B144&amp;" Action","OFFERING_GREENSHOE_SHARES_EX"),""))</f>
        <v/>
      </c>
      <c r="I144" s="16">
        <f>Database!Z144</f>
        <v/>
      </c>
      <c r="J144" s="24">
        <f>IFERROR(BDP(Database!$A144&amp;" HK Equity","PE_RATIO"),"")</f>
        <v/>
      </c>
      <c r="K144" s="10">
        <f>IFERROR(BDP(Database!$A144&amp;" HK Equity","A/H_SHARE_CONVERSION"),"")</f>
        <v/>
      </c>
      <c r="L144" s="16">
        <f>IF(Database!BA144="","(none found)",Database!BA144)</f>
        <v/>
      </c>
      <c r="M144" s="18">
        <f>IFERROR(BDH(Database!$A144&amp;" HK Equity","CUR_MKT_CAP",Database!$H144,Database!$H144),"")</f>
        <v/>
      </c>
      <c r="N144" s="99">
        <f>Database!Q144</f>
        <v/>
      </c>
      <c r="O144" s="24">
        <f>IFERROR(BDH(Database!$A144&amp;" HK Equity","PE_RATIO",Database!$H144,Database!$H144),"")</f>
        <v/>
      </c>
      <c r="P144" s="101">
        <f>IF(Database!AV144="","(n/m or not derivable)",Database!AV144)</f>
        <v/>
      </c>
      <c r="Q144" s="24">
        <f>IF(Database!BA144="","",IFERROR(BDH(LEFT(Database!BA144,FIND(".",Database!BA144)-1)&amp;" CH Equity","PE_RATIO",Database!$H144,Database!$H144),""))</f>
        <v/>
      </c>
      <c r="R144" s="24">
        <f>IF(Database!BA144="","",IFERROR(BDH("HSAHP Index","PX_LAST",Database!$H144,Database!$H144),""))</f>
        <v/>
      </c>
    </row>
    <row r="145">
      <c r="A145" s="16">
        <f>Database!A145&amp;"  "&amp;Database!B145</f>
        <v/>
      </c>
      <c r="B145" s="10">
        <f>IFERROR(INDEX(BDS(Database!$A145&amp;" HK Equity","EQUITY_OFFERINGS","array=t","endcol=1"),MATCH("IPO",BDS(Database!$A145&amp;" HK Equity","EQUITY_OFFERINGS","array=t","startcol=2","endcol=2"),0)),"")</f>
        <v/>
      </c>
      <c r="C145" s="103">
        <f>IF($B145="","",IFERROR(BDP($B145&amp;" Action","CP036"),""))</f>
        <v/>
      </c>
      <c r="D145" s="104">
        <f>Database!S145</f>
        <v/>
      </c>
      <c r="E145" s="103">
        <f>IF($B145="","",IFERROR(BDP($B145&amp;" Action","CP037"),""))</f>
        <v/>
      </c>
      <c r="F145" s="104">
        <f>Database!T145</f>
        <v/>
      </c>
      <c r="G145" s="103">
        <f>IF($B145="","",IFERROR(BDP($B145&amp;" Action","GREENSHOE_FACILITY"),""))</f>
        <v/>
      </c>
      <c r="H145" s="103">
        <f>IF($B145="","",IFERROR(BDP($B145&amp;" Action","OFFERING_GREENSHOE_SHARES_EX"),""))</f>
        <v/>
      </c>
      <c r="I145" s="16">
        <f>Database!Z145</f>
        <v/>
      </c>
      <c r="J145" s="24">
        <f>IFERROR(BDP(Database!$A145&amp;" HK Equity","PE_RATIO"),"")</f>
        <v/>
      </c>
      <c r="K145" s="10">
        <f>IFERROR(BDP(Database!$A145&amp;" HK Equity","A/H_SHARE_CONVERSION"),"")</f>
        <v/>
      </c>
      <c r="L145" s="16">
        <f>IF(Database!BA145="","(none found)",Database!BA145)</f>
        <v/>
      </c>
      <c r="M145" s="18">
        <f>IFERROR(BDH(Database!$A145&amp;" HK Equity","CUR_MKT_CAP",Database!$H145,Database!$H145),"")</f>
        <v/>
      </c>
      <c r="N145" s="99">
        <f>Database!Q145</f>
        <v/>
      </c>
      <c r="O145" s="24">
        <f>IFERROR(BDH(Database!$A145&amp;" HK Equity","PE_RATIO",Database!$H145,Database!$H145),"")</f>
        <v/>
      </c>
      <c r="P145" s="101">
        <f>IF(Database!AV145="","(n/m or not derivable)",Database!AV145)</f>
        <v/>
      </c>
      <c r="Q145" s="24">
        <f>IF(Database!BA145="","",IFERROR(BDH(LEFT(Database!BA145,FIND(".",Database!BA145)-1)&amp;" CH Equity","PE_RATIO",Database!$H145,Database!$H145),""))</f>
        <v/>
      </c>
      <c r="R145" s="24">
        <f>IF(Database!BA145="","",IFERROR(BDH("HSAHP Index","PX_LAST",Database!$H145,Database!$H145),""))</f>
        <v/>
      </c>
    </row>
    <row r="146">
      <c r="A146" s="16">
        <f>Database!A146&amp;"  "&amp;Database!B146</f>
        <v/>
      </c>
      <c r="B146" s="10">
        <f>IFERROR(INDEX(BDS(Database!$A146&amp;" HK Equity","EQUITY_OFFERINGS","array=t","endcol=1"),MATCH("IPO",BDS(Database!$A146&amp;" HK Equity","EQUITY_OFFERINGS","array=t","startcol=2","endcol=2"),0)),"")</f>
        <v/>
      </c>
      <c r="C146" s="103">
        <f>IF($B146="","",IFERROR(BDP($B146&amp;" Action","CP036"),""))</f>
        <v/>
      </c>
      <c r="D146" s="104">
        <f>Database!S146</f>
        <v/>
      </c>
      <c r="E146" s="103">
        <f>IF($B146="","",IFERROR(BDP($B146&amp;" Action","CP037"),""))</f>
        <v/>
      </c>
      <c r="F146" s="104">
        <f>Database!T146</f>
        <v/>
      </c>
      <c r="G146" s="103">
        <f>IF($B146="","",IFERROR(BDP($B146&amp;" Action","GREENSHOE_FACILITY"),""))</f>
        <v/>
      </c>
      <c r="H146" s="103">
        <f>IF($B146="","",IFERROR(BDP($B146&amp;" Action","OFFERING_GREENSHOE_SHARES_EX"),""))</f>
        <v/>
      </c>
      <c r="I146" s="16">
        <f>Database!Z146</f>
        <v/>
      </c>
      <c r="J146" s="24">
        <f>IFERROR(BDP(Database!$A146&amp;" HK Equity","PE_RATIO"),"")</f>
        <v/>
      </c>
      <c r="K146" s="10">
        <f>IFERROR(BDP(Database!$A146&amp;" HK Equity","A/H_SHARE_CONVERSION"),"")</f>
        <v/>
      </c>
      <c r="L146" s="16">
        <f>IF(Database!BA146="","(none found)",Database!BA146)</f>
        <v/>
      </c>
      <c r="M146" s="18">
        <f>IFERROR(BDH(Database!$A146&amp;" HK Equity","CUR_MKT_CAP",Database!$H146,Database!$H146),"")</f>
        <v/>
      </c>
      <c r="N146" s="99">
        <f>Database!Q146</f>
        <v/>
      </c>
      <c r="O146" s="24">
        <f>IFERROR(BDH(Database!$A146&amp;" HK Equity","PE_RATIO",Database!$H146,Database!$H146),"")</f>
        <v/>
      </c>
      <c r="P146" s="101">
        <f>IF(Database!AV146="","(n/m or not derivable)",Database!AV146)</f>
        <v/>
      </c>
      <c r="Q146" s="24">
        <f>IF(Database!BA146="","",IFERROR(BDH(LEFT(Database!BA146,FIND(".",Database!BA146)-1)&amp;" CH Equity","PE_RATIO",Database!$H146,Database!$H146),""))</f>
        <v/>
      </c>
      <c r="R146" s="24">
        <f>IF(Database!BA146="","",IFERROR(BDH("HSAHP Index","PX_LAST",Database!$H146,Database!$H146),""))</f>
        <v/>
      </c>
    </row>
    <row r="147">
      <c r="A147" s="16">
        <f>Database!A147&amp;"  "&amp;Database!B147</f>
        <v/>
      </c>
      <c r="B147" s="10">
        <f>IFERROR(INDEX(BDS(Database!$A147&amp;" HK Equity","EQUITY_OFFERINGS","array=t","endcol=1"),MATCH("IPO",BDS(Database!$A147&amp;" HK Equity","EQUITY_OFFERINGS","array=t","startcol=2","endcol=2"),0)),"")</f>
        <v/>
      </c>
      <c r="C147" s="103">
        <f>IF($B147="","",IFERROR(BDP($B147&amp;" Action","CP036"),""))</f>
        <v/>
      </c>
      <c r="D147" s="104">
        <f>Database!S147</f>
        <v/>
      </c>
      <c r="E147" s="103">
        <f>IF($B147="","",IFERROR(BDP($B147&amp;" Action","CP037"),""))</f>
        <v/>
      </c>
      <c r="F147" s="104">
        <f>Database!T147</f>
        <v/>
      </c>
      <c r="G147" s="103">
        <f>IF($B147="","",IFERROR(BDP($B147&amp;" Action","GREENSHOE_FACILITY"),""))</f>
        <v/>
      </c>
      <c r="H147" s="103">
        <f>IF($B147="","",IFERROR(BDP($B147&amp;" Action","OFFERING_GREENSHOE_SHARES_EX"),""))</f>
        <v/>
      </c>
      <c r="I147" s="16">
        <f>Database!Z147</f>
        <v/>
      </c>
      <c r="J147" s="24">
        <f>IFERROR(BDP(Database!$A147&amp;" HK Equity","PE_RATIO"),"")</f>
        <v/>
      </c>
      <c r="K147" s="10">
        <f>IFERROR(BDP(Database!$A147&amp;" HK Equity","A/H_SHARE_CONVERSION"),"")</f>
        <v/>
      </c>
      <c r="L147" s="16">
        <f>IF(Database!BA147="","(none found)",Database!BA147)</f>
        <v/>
      </c>
      <c r="M147" s="18">
        <f>IFERROR(BDH(Database!$A147&amp;" HK Equity","CUR_MKT_CAP",Database!$H147,Database!$H147),"")</f>
        <v/>
      </c>
      <c r="N147" s="99">
        <f>Database!Q147</f>
        <v/>
      </c>
      <c r="O147" s="24">
        <f>IFERROR(BDH(Database!$A147&amp;" HK Equity","PE_RATIO",Database!$H147,Database!$H147),"")</f>
        <v/>
      </c>
      <c r="P147" s="101">
        <f>IF(Database!AV147="","(n/m or not derivable)",Database!AV147)</f>
        <v/>
      </c>
      <c r="Q147" s="24">
        <f>IF(Database!BA147="","",IFERROR(BDH(LEFT(Database!BA147,FIND(".",Database!BA147)-1)&amp;" CH Equity","PE_RATIO",Database!$H147,Database!$H147),""))</f>
        <v/>
      </c>
      <c r="R147" s="24">
        <f>IF(Database!BA147="","",IFERROR(BDH("HSAHP Index","PX_LAST",Database!$H147,Database!$H147),""))</f>
        <v/>
      </c>
    </row>
    <row r="148">
      <c r="A148" s="16">
        <f>Database!A148&amp;"  "&amp;Database!B148</f>
        <v/>
      </c>
      <c r="B148" s="10">
        <f>IFERROR(INDEX(BDS(Database!$A148&amp;" HK Equity","EQUITY_OFFERINGS","array=t","endcol=1"),MATCH("IPO",BDS(Database!$A148&amp;" HK Equity","EQUITY_OFFERINGS","array=t","startcol=2","endcol=2"),0)),"")</f>
        <v/>
      </c>
      <c r="C148" s="103">
        <f>IF($B148="","",IFERROR(BDP($B148&amp;" Action","CP036"),""))</f>
        <v/>
      </c>
      <c r="D148" s="104">
        <f>Database!S148</f>
        <v/>
      </c>
      <c r="E148" s="103">
        <f>IF($B148="","",IFERROR(BDP($B148&amp;" Action","CP037"),""))</f>
        <v/>
      </c>
      <c r="F148" s="104">
        <f>Database!T148</f>
        <v/>
      </c>
      <c r="G148" s="103">
        <f>IF($B148="","",IFERROR(BDP($B148&amp;" Action","GREENSHOE_FACILITY"),""))</f>
        <v/>
      </c>
      <c r="H148" s="103">
        <f>IF($B148="","",IFERROR(BDP($B148&amp;" Action","OFFERING_GREENSHOE_SHARES_EX"),""))</f>
        <v/>
      </c>
      <c r="I148" s="16">
        <f>Database!Z148</f>
        <v/>
      </c>
      <c r="J148" s="24">
        <f>IFERROR(BDP(Database!$A148&amp;" HK Equity","PE_RATIO"),"")</f>
        <v/>
      </c>
      <c r="K148" s="10">
        <f>IFERROR(BDP(Database!$A148&amp;" HK Equity","A/H_SHARE_CONVERSION"),"")</f>
        <v/>
      </c>
      <c r="L148" s="16">
        <f>IF(Database!BA148="","(none found)",Database!BA148)</f>
        <v/>
      </c>
      <c r="M148" s="18">
        <f>IFERROR(BDH(Database!$A148&amp;" HK Equity","CUR_MKT_CAP",Database!$H148,Database!$H148),"")</f>
        <v/>
      </c>
      <c r="N148" s="99">
        <f>Database!Q148</f>
        <v/>
      </c>
      <c r="O148" s="24">
        <f>IFERROR(BDH(Database!$A148&amp;" HK Equity","PE_RATIO",Database!$H148,Database!$H148),"")</f>
        <v/>
      </c>
      <c r="P148" s="101">
        <f>IF(Database!AV148="","(n/m or not derivable)",Database!AV148)</f>
        <v/>
      </c>
      <c r="Q148" s="24">
        <f>IF(Database!BA148="","",IFERROR(BDH(LEFT(Database!BA148,FIND(".",Database!BA148)-1)&amp;" CH Equity","PE_RATIO",Database!$H148,Database!$H148),""))</f>
        <v/>
      </c>
      <c r="R148" s="24">
        <f>IF(Database!BA148="","",IFERROR(BDH("HSAHP Index","PX_LAST",Database!$H148,Database!$H148),""))</f>
        <v/>
      </c>
    </row>
    <row r="149">
      <c r="A149" s="16">
        <f>Database!A149&amp;"  "&amp;Database!B149</f>
        <v/>
      </c>
      <c r="B149" s="10">
        <f>IFERROR(INDEX(BDS(Database!$A149&amp;" HK Equity","EQUITY_OFFERINGS","array=t","endcol=1"),MATCH("IPO",BDS(Database!$A149&amp;" HK Equity","EQUITY_OFFERINGS","array=t","startcol=2","endcol=2"),0)),"")</f>
        <v/>
      </c>
      <c r="C149" s="103">
        <f>IF($B149="","",IFERROR(BDP($B149&amp;" Action","CP036"),""))</f>
        <v/>
      </c>
      <c r="D149" s="104">
        <f>Database!S149</f>
        <v/>
      </c>
      <c r="E149" s="103">
        <f>IF($B149="","",IFERROR(BDP($B149&amp;" Action","CP037"),""))</f>
        <v/>
      </c>
      <c r="F149" s="104">
        <f>Database!T149</f>
        <v/>
      </c>
      <c r="G149" s="103">
        <f>IF($B149="","",IFERROR(BDP($B149&amp;" Action","GREENSHOE_FACILITY"),""))</f>
        <v/>
      </c>
      <c r="H149" s="103">
        <f>IF($B149="","",IFERROR(BDP($B149&amp;" Action","OFFERING_GREENSHOE_SHARES_EX"),""))</f>
        <v/>
      </c>
      <c r="I149" s="16">
        <f>Database!Z149</f>
        <v/>
      </c>
      <c r="J149" s="24">
        <f>IFERROR(BDP(Database!$A149&amp;" HK Equity","PE_RATIO"),"")</f>
        <v/>
      </c>
      <c r="K149" s="10">
        <f>IFERROR(BDP(Database!$A149&amp;" HK Equity","A/H_SHARE_CONVERSION"),"")</f>
        <v/>
      </c>
      <c r="L149" s="16">
        <f>IF(Database!BA149="","(none found)",Database!BA149)</f>
        <v/>
      </c>
      <c r="M149" s="18">
        <f>IFERROR(BDH(Database!$A149&amp;" HK Equity","CUR_MKT_CAP",Database!$H149,Database!$H149),"")</f>
        <v/>
      </c>
      <c r="N149" s="99">
        <f>Database!Q149</f>
        <v/>
      </c>
      <c r="O149" s="24">
        <f>IFERROR(BDH(Database!$A149&amp;" HK Equity","PE_RATIO",Database!$H149,Database!$H149),"")</f>
        <v/>
      </c>
      <c r="P149" s="101">
        <f>IF(Database!AV149="","(n/m or not derivable)",Database!AV149)</f>
        <v/>
      </c>
      <c r="Q149" s="24">
        <f>IF(Database!BA149="","",IFERROR(BDH(LEFT(Database!BA149,FIND(".",Database!BA149)-1)&amp;" CH Equity","PE_RATIO",Database!$H149,Database!$H149),""))</f>
        <v/>
      </c>
      <c r="R149" s="24">
        <f>IF(Database!BA149="","",IFERROR(BDH("HSAHP Index","PX_LAST",Database!$H149,Database!$H149),""))</f>
        <v/>
      </c>
    </row>
    <row r="150">
      <c r="A150" s="16">
        <f>Database!A150&amp;"  "&amp;Database!B150</f>
        <v/>
      </c>
      <c r="B150" s="10">
        <f>IFERROR(INDEX(BDS(Database!$A150&amp;" HK Equity","EQUITY_OFFERINGS","array=t","endcol=1"),MATCH("IPO",BDS(Database!$A150&amp;" HK Equity","EQUITY_OFFERINGS","array=t","startcol=2","endcol=2"),0)),"")</f>
        <v/>
      </c>
      <c r="C150" s="103">
        <f>IF($B150="","",IFERROR(BDP($B150&amp;" Action","CP036"),""))</f>
        <v/>
      </c>
      <c r="D150" s="104">
        <f>Database!S150</f>
        <v/>
      </c>
      <c r="E150" s="103">
        <f>IF($B150="","",IFERROR(BDP($B150&amp;" Action","CP037"),""))</f>
        <v/>
      </c>
      <c r="F150" s="104">
        <f>Database!T150</f>
        <v/>
      </c>
      <c r="G150" s="103">
        <f>IF($B150="","",IFERROR(BDP($B150&amp;" Action","GREENSHOE_FACILITY"),""))</f>
        <v/>
      </c>
      <c r="H150" s="103">
        <f>IF($B150="","",IFERROR(BDP($B150&amp;" Action","OFFERING_GREENSHOE_SHARES_EX"),""))</f>
        <v/>
      </c>
      <c r="I150" s="16">
        <f>Database!Z150</f>
        <v/>
      </c>
      <c r="J150" s="24">
        <f>IFERROR(BDP(Database!$A150&amp;" HK Equity","PE_RATIO"),"")</f>
        <v/>
      </c>
      <c r="K150" s="10">
        <f>IFERROR(BDP(Database!$A150&amp;" HK Equity","A/H_SHARE_CONVERSION"),"")</f>
        <v/>
      </c>
      <c r="L150" s="16">
        <f>IF(Database!BA150="","(none found)",Database!BA150)</f>
        <v/>
      </c>
      <c r="M150" s="18">
        <f>IFERROR(BDH(Database!$A150&amp;" HK Equity","CUR_MKT_CAP",Database!$H150,Database!$H150),"")</f>
        <v/>
      </c>
      <c r="N150" s="99">
        <f>Database!Q150</f>
        <v/>
      </c>
      <c r="O150" s="24">
        <f>IFERROR(BDH(Database!$A150&amp;" HK Equity","PE_RATIO",Database!$H150,Database!$H150),"")</f>
        <v/>
      </c>
      <c r="P150" s="101">
        <f>IF(Database!AV150="","(n/m or not derivable)",Database!AV150)</f>
        <v/>
      </c>
      <c r="Q150" s="24">
        <f>IF(Database!BA150="","",IFERROR(BDH(LEFT(Database!BA150,FIND(".",Database!BA150)-1)&amp;" CH Equity","PE_RATIO",Database!$H150,Database!$H150),""))</f>
        <v/>
      </c>
      <c r="R150" s="24">
        <f>IF(Database!BA150="","",IFERROR(BDH("HSAHP Index","PX_LAST",Database!$H150,Database!$H150),""))</f>
        <v/>
      </c>
    </row>
    <row r="151">
      <c r="A151" s="16">
        <f>Database!A151&amp;"  "&amp;Database!B151</f>
        <v/>
      </c>
      <c r="B151" s="10">
        <f>IFERROR(INDEX(BDS(Database!$A151&amp;" HK Equity","EQUITY_OFFERINGS","array=t","endcol=1"),MATCH("IPO",BDS(Database!$A151&amp;" HK Equity","EQUITY_OFFERINGS","array=t","startcol=2","endcol=2"),0)),"")</f>
        <v/>
      </c>
      <c r="C151" s="103">
        <f>IF($B151="","",IFERROR(BDP($B151&amp;" Action","CP036"),""))</f>
        <v/>
      </c>
      <c r="D151" s="104">
        <f>Database!S151</f>
        <v/>
      </c>
      <c r="E151" s="103">
        <f>IF($B151="","",IFERROR(BDP($B151&amp;" Action","CP037"),""))</f>
        <v/>
      </c>
      <c r="F151" s="104">
        <f>Database!T151</f>
        <v/>
      </c>
      <c r="G151" s="103">
        <f>IF($B151="","",IFERROR(BDP($B151&amp;" Action","GREENSHOE_FACILITY"),""))</f>
        <v/>
      </c>
      <c r="H151" s="103">
        <f>IF($B151="","",IFERROR(BDP($B151&amp;" Action","OFFERING_GREENSHOE_SHARES_EX"),""))</f>
        <v/>
      </c>
      <c r="I151" s="16">
        <f>Database!Z151</f>
        <v/>
      </c>
      <c r="J151" s="24">
        <f>IFERROR(BDP(Database!$A151&amp;" HK Equity","PE_RATIO"),"")</f>
        <v/>
      </c>
      <c r="K151" s="10">
        <f>IFERROR(BDP(Database!$A151&amp;" HK Equity","A/H_SHARE_CONVERSION"),"")</f>
        <v/>
      </c>
      <c r="L151" s="16">
        <f>IF(Database!BA151="","(none found)",Database!BA151)</f>
        <v/>
      </c>
      <c r="M151" s="18">
        <f>IFERROR(BDH(Database!$A151&amp;" HK Equity","CUR_MKT_CAP",Database!$H151,Database!$H151),"")</f>
        <v/>
      </c>
      <c r="N151" s="99">
        <f>Database!Q151</f>
        <v/>
      </c>
      <c r="O151" s="24">
        <f>IFERROR(BDH(Database!$A151&amp;" HK Equity","PE_RATIO",Database!$H151,Database!$H151),"")</f>
        <v/>
      </c>
      <c r="P151" s="101">
        <f>IF(Database!AV151="","(n/m or not derivable)",Database!AV151)</f>
        <v/>
      </c>
      <c r="Q151" s="24">
        <f>IF(Database!BA151="","",IFERROR(BDH(LEFT(Database!BA151,FIND(".",Database!BA151)-1)&amp;" CH Equity","PE_RATIO",Database!$H151,Database!$H151),""))</f>
        <v/>
      </c>
      <c r="R151" s="24">
        <f>IF(Database!BA151="","",IFERROR(BDH("HSAHP Index","PX_LAST",Database!$H151,Database!$H151),""))</f>
        <v/>
      </c>
    </row>
    <row r="152">
      <c r="A152" s="16">
        <f>Database!A152&amp;"  "&amp;Database!B152</f>
        <v/>
      </c>
      <c r="B152" s="10">
        <f>IFERROR(INDEX(BDS(Database!$A152&amp;" HK Equity","EQUITY_OFFERINGS","array=t","endcol=1"),MATCH("IPO",BDS(Database!$A152&amp;" HK Equity","EQUITY_OFFERINGS","array=t","startcol=2","endcol=2"),0)),"")</f>
        <v/>
      </c>
      <c r="C152" s="103">
        <f>IF($B152="","",IFERROR(BDP($B152&amp;" Action","CP036"),""))</f>
        <v/>
      </c>
      <c r="D152" s="104">
        <f>Database!S152</f>
        <v/>
      </c>
      <c r="E152" s="103">
        <f>IF($B152="","",IFERROR(BDP($B152&amp;" Action","CP037"),""))</f>
        <v/>
      </c>
      <c r="F152" s="104">
        <f>Database!T152</f>
        <v/>
      </c>
      <c r="G152" s="103">
        <f>IF($B152="","",IFERROR(BDP($B152&amp;" Action","GREENSHOE_FACILITY"),""))</f>
        <v/>
      </c>
      <c r="H152" s="103">
        <f>IF($B152="","",IFERROR(BDP($B152&amp;" Action","OFFERING_GREENSHOE_SHARES_EX"),""))</f>
        <v/>
      </c>
      <c r="I152" s="16">
        <f>Database!Z152</f>
        <v/>
      </c>
      <c r="J152" s="24">
        <f>IFERROR(BDP(Database!$A152&amp;" HK Equity","PE_RATIO"),"")</f>
        <v/>
      </c>
      <c r="K152" s="10">
        <f>IFERROR(BDP(Database!$A152&amp;" HK Equity","A/H_SHARE_CONVERSION"),"")</f>
        <v/>
      </c>
      <c r="L152" s="16">
        <f>IF(Database!BA152="","(none found)",Database!BA152)</f>
        <v/>
      </c>
      <c r="M152" s="18">
        <f>IFERROR(BDH(Database!$A152&amp;" HK Equity","CUR_MKT_CAP",Database!$H152,Database!$H152),"")</f>
        <v/>
      </c>
      <c r="N152" s="99">
        <f>Database!Q152</f>
        <v/>
      </c>
      <c r="O152" s="24">
        <f>IFERROR(BDH(Database!$A152&amp;" HK Equity","PE_RATIO",Database!$H152,Database!$H152),"")</f>
        <v/>
      </c>
      <c r="P152" s="101">
        <f>IF(Database!AV152="","(n/m or not derivable)",Database!AV152)</f>
        <v/>
      </c>
      <c r="Q152" s="24">
        <f>IF(Database!BA152="","",IFERROR(BDH(LEFT(Database!BA152,FIND(".",Database!BA152)-1)&amp;" CH Equity","PE_RATIO",Database!$H152,Database!$H152),""))</f>
        <v/>
      </c>
      <c r="R152" s="24">
        <f>IF(Database!BA152="","",IFERROR(BDH("HSAHP Index","PX_LAST",Database!$H152,Database!$H152),""))</f>
        <v/>
      </c>
    </row>
    <row r="153">
      <c r="A153" s="16">
        <f>Database!A153&amp;"  "&amp;Database!B153</f>
        <v/>
      </c>
      <c r="B153" s="10">
        <f>IFERROR(INDEX(BDS(Database!$A153&amp;" HK Equity","EQUITY_OFFERINGS","array=t","endcol=1"),MATCH("IPO",BDS(Database!$A153&amp;" HK Equity","EQUITY_OFFERINGS","array=t","startcol=2","endcol=2"),0)),"")</f>
        <v/>
      </c>
      <c r="C153" s="103">
        <f>IF($B153="","",IFERROR(BDP($B153&amp;" Action","CP036"),""))</f>
        <v/>
      </c>
      <c r="D153" s="104">
        <f>Database!S153</f>
        <v/>
      </c>
      <c r="E153" s="103">
        <f>IF($B153="","",IFERROR(BDP($B153&amp;" Action","CP037"),""))</f>
        <v/>
      </c>
      <c r="F153" s="104">
        <f>Database!T153</f>
        <v/>
      </c>
      <c r="G153" s="103">
        <f>IF($B153="","",IFERROR(BDP($B153&amp;" Action","GREENSHOE_FACILITY"),""))</f>
        <v/>
      </c>
      <c r="H153" s="103">
        <f>IF($B153="","",IFERROR(BDP($B153&amp;" Action","OFFERING_GREENSHOE_SHARES_EX"),""))</f>
        <v/>
      </c>
      <c r="I153" s="16">
        <f>Database!Z153</f>
        <v/>
      </c>
      <c r="J153" s="24">
        <f>IFERROR(BDP(Database!$A153&amp;" HK Equity","PE_RATIO"),"")</f>
        <v/>
      </c>
      <c r="K153" s="10">
        <f>IFERROR(BDP(Database!$A153&amp;" HK Equity","A/H_SHARE_CONVERSION"),"")</f>
        <v/>
      </c>
      <c r="L153" s="16">
        <f>IF(Database!BA153="","(none found)",Database!BA153)</f>
        <v/>
      </c>
      <c r="M153" s="18">
        <f>IFERROR(BDH(Database!$A153&amp;" HK Equity","CUR_MKT_CAP",Database!$H153,Database!$H153),"")</f>
        <v/>
      </c>
      <c r="N153" s="99">
        <f>Database!Q153</f>
        <v/>
      </c>
      <c r="O153" s="24">
        <f>IFERROR(BDH(Database!$A153&amp;" HK Equity","PE_RATIO",Database!$H153,Database!$H153),"")</f>
        <v/>
      </c>
      <c r="P153" s="101">
        <f>IF(Database!AV153="","(n/m or not derivable)",Database!AV153)</f>
        <v/>
      </c>
      <c r="Q153" s="24">
        <f>IF(Database!BA153="","",IFERROR(BDH(LEFT(Database!BA153,FIND(".",Database!BA153)-1)&amp;" CH Equity","PE_RATIO",Database!$H153,Database!$H153),""))</f>
        <v/>
      </c>
      <c r="R153" s="24">
        <f>IF(Database!BA153="","",IFERROR(BDH("HSAHP Index","PX_LAST",Database!$H153,Database!$H153),""))</f>
        <v/>
      </c>
    </row>
    <row r="154">
      <c r="A154" s="16">
        <f>Database!A154&amp;"  "&amp;Database!B154</f>
        <v/>
      </c>
      <c r="B154" s="10">
        <f>IFERROR(INDEX(BDS(Database!$A154&amp;" HK Equity","EQUITY_OFFERINGS","array=t","endcol=1"),MATCH("IPO",BDS(Database!$A154&amp;" HK Equity","EQUITY_OFFERINGS","array=t","startcol=2","endcol=2"),0)),"")</f>
        <v/>
      </c>
      <c r="C154" s="103">
        <f>IF($B154="","",IFERROR(BDP($B154&amp;" Action","CP036"),""))</f>
        <v/>
      </c>
      <c r="D154" s="104">
        <f>Database!S154</f>
        <v/>
      </c>
      <c r="E154" s="103">
        <f>IF($B154="","",IFERROR(BDP($B154&amp;" Action","CP037"),""))</f>
        <v/>
      </c>
      <c r="F154" s="104">
        <f>Database!T154</f>
        <v/>
      </c>
      <c r="G154" s="103">
        <f>IF($B154="","",IFERROR(BDP($B154&amp;" Action","GREENSHOE_FACILITY"),""))</f>
        <v/>
      </c>
      <c r="H154" s="103">
        <f>IF($B154="","",IFERROR(BDP($B154&amp;" Action","OFFERING_GREENSHOE_SHARES_EX"),""))</f>
        <v/>
      </c>
      <c r="I154" s="16">
        <f>Database!Z154</f>
        <v/>
      </c>
      <c r="J154" s="24">
        <f>IFERROR(BDP(Database!$A154&amp;" HK Equity","PE_RATIO"),"")</f>
        <v/>
      </c>
      <c r="K154" s="10">
        <f>IFERROR(BDP(Database!$A154&amp;" HK Equity","A/H_SHARE_CONVERSION"),"")</f>
        <v/>
      </c>
      <c r="L154" s="16">
        <f>IF(Database!BA154="","(none found)",Database!BA154)</f>
        <v/>
      </c>
      <c r="M154" s="18">
        <f>IFERROR(BDH(Database!$A154&amp;" HK Equity","CUR_MKT_CAP",Database!$H154,Database!$H154),"")</f>
        <v/>
      </c>
      <c r="N154" s="99">
        <f>Database!Q154</f>
        <v/>
      </c>
      <c r="O154" s="24">
        <f>IFERROR(BDH(Database!$A154&amp;" HK Equity","PE_RATIO",Database!$H154,Database!$H154),"")</f>
        <v/>
      </c>
      <c r="P154" s="101">
        <f>IF(Database!AV154="","(n/m or not derivable)",Database!AV154)</f>
        <v/>
      </c>
      <c r="Q154" s="24">
        <f>IF(Database!BA154="","",IFERROR(BDH(LEFT(Database!BA154,FIND(".",Database!BA154)-1)&amp;" CH Equity","PE_RATIO",Database!$H154,Database!$H154),""))</f>
        <v/>
      </c>
      <c r="R154" s="24">
        <f>IF(Database!BA154="","",IFERROR(BDH("HSAHP Index","PX_LAST",Database!$H154,Database!$H154),""))</f>
        <v/>
      </c>
    </row>
    <row r="155">
      <c r="A155" s="16">
        <f>Database!A155&amp;"  "&amp;Database!B155</f>
        <v/>
      </c>
      <c r="B155" s="10">
        <f>IFERROR(INDEX(BDS(Database!$A155&amp;" HK Equity","EQUITY_OFFERINGS","array=t","endcol=1"),MATCH("IPO",BDS(Database!$A155&amp;" HK Equity","EQUITY_OFFERINGS","array=t","startcol=2","endcol=2"),0)),"")</f>
        <v/>
      </c>
      <c r="C155" s="103">
        <f>IF($B155="","",IFERROR(BDP($B155&amp;" Action","CP036"),""))</f>
        <v/>
      </c>
      <c r="D155" s="104">
        <f>Database!S155</f>
        <v/>
      </c>
      <c r="E155" s="103">
        <f>IF($B155="","",IFERROR(BDP($B155&amp;" Action","CP037"),""))</f>
        <v/>
      </c>
      <c r="F155" s="104">
        <f>Database!T155</f>
        <v/>
      </c>
      <c r="G155" s="103">
        <f>IF($B155="","",IFERROR(BDP($B155&amp;" Action","GREENSHOE_FACILITY"),""))</f>
        <v/>
      </c>
      <c r="H155" s="103">
        <f>IF($B155="","",IFERROR(BDP($B155&amp;" Action","OFFERING_GREENSHOE_SHARES_EX"),""))</f>
        <v/>
      </c>
      <c r="I155" s="16">
        <f>Database!Z155</f>
        <v/>
      </c>
      <c r="J155" s="24">
        <f>IFERROR(BDP(Database!$A155&amp;" HK Equity","PE_RATIO"),"")</f>
        <v/>
      </c>
      <c r="K155" s="10">
        <f>IFERROR(BDP(Database!$A155&amp;" HK Equity","A/H_SHARE_CONVERSION"),"")</f>
        <v/>
      </c>
      <c r="L155" s="16">
        <f>IF(Database!BA155="","(none found)",Database!BA155)</f>
        <v/>
      </c>
      <c r="M155" s="18">
        <f>IFERROR(BDH(Database!$A155&amp;" HK Equity","CUR_MKT_CAP",Database!$H155,Database!$H155),"")</f>
        <v/>
      </c>
      <c r="N155" s="99">
        <f>Database!Q155</f>
        <v/>
      </c>
      <c r="O155" s="24">
        <f>IFERROR(BDH(Database!$A155&amp;" HK Equity","PE_RATIO",Database!$H155,Database!$H155),"")</f>
        <v/>
      </c>
      <c r="P155" s="101">
        <f>IF(Database!AV155="","(n/m or not derivable)",Database!AV155)</f>
        <v/>
      </c>
      <c r="Q155" s="24">
        <f>IF(Database!BA155="","",IFERROR(BDH(LEFT(Database!BA155,FIND(".",Database!BA155)-1)&amp;" CH Equity","PE_RATIO",Database!$H155,Database!$H155),""))</f>
        <v/>
      </c>
      <c r="R155" s="24">
        <f>IF(Database!BA155="","",IFERROR(BDH("HSAHP Index","PX_LAST",Database!$H155,Database!$H155),""))</f>
        <v/>
      </c>
    </row>
    <row r="156">
      <c r="A156" s="16">
        <f>Database!A156&amp;"  "&amp;Database!B156</f>
        <v/>
      </c>
      <c r="B156" s="10">
        <f>IFERROR(INDEX(BDS(Database!$A156&amp;" HK Equity","EQUITY_OFFERINGS","array=t","endcol=1"),MATCH("IPO",BDS(Database!$A156&amp;" HK Equity","EQUITY_OFFERINGS","array=t","startcol=2","endcol=2"),0)),"")</f>
        <v/>
      </c>
      <c r="C156" s="103">
        <f>IF($B156="","",IFERROR(BDP($B156&amp;" Action","CP036"),""))</f>
        <v/>
      </c>
      <c r="D156" s="104">
        <f>Database!S156</f>
        <v/>
      </c>
      <c r="E156" s="103">
        <f>IF($B156="","",IFERROR(BDP($B156&amp;" Action","CP037"),""))</f>
        <v/>
      </c>
      <c r="F156" s="104">
        <f>Database!T156</f>
        <v/>
      </c>
      <c r="G156" s="103">
        <f>IF($B156="","",IFERROR(BDP($B156&amp;" Action","GREENSHOE_FACILITY"),""))</f>
        <v/>
      </c>
      <c r="H156" s="103">
        <f>IF($B156="","",IFERROR(BDP($B156&amp;" Action","OFFERING_GREENSHOE_SHARES_EX"),""))</f>
        <v/>
      </c>
      <c r="I156" s="16">
        <f>Database!Z156</f>
        <v/>
      </c>
      <c r="J156" s="24">
        <f>IFERROR(BDP(Database!$A156&amp;" HK Equity","PE_RATIO"),"")</f>
        <v/>
      </c>
      <c r="K156" s="10">
        <f>IFERROR(BDP(Database!$A156&amp;" HK Equity","A/H_SHARE_CONVERSION"),"")</f>
        <v/>
      </c>
      <c r="L156" s="16">
        <f>IF(Database!BA156="","(none found)",Database!BA156)</f>
        <v/>
      </c>
      <c r="M156" s="18">
        <f>IFERROR(BDH(Database!$A156&amp;" HK Equity","CUR_MKT_CAP",Database!$H156,Database!$H156),"")</f>
        <v/>
      </c>
      <c r="N156" s="99">
        <f>Database!Q156</f>
        <v/>
      </c>
      <c r="O156" s="24">
        <f>IFERROR(BDH(Database!$A156&amp;" HK Equity","PE_RATIO",Database!$H156,Database!$H156),"")</f>
        <v/>
      </c>
      <c r="P156" s="101">
        <f>IF(Database!AV156="","(n/m or not derivable)",Database!AV156)</f>
        <v/>
      </c>
      <c r="Q156" s="24">
        <f>IF(Database!BA156="","",IFERROR(BDH(LEFT(Database!BA156,FIND(".",Database!BA156)-1)&amp;" CH Equity","PE_RATIO",Database!$H156,Database!$H156),""))</f>
        <v/>
      </c>
      <c r="R156" s="24">
        <f>IF(Database!BA156="","",IFERROR(BDH("HSAHP Index","PX_LAST",Database!$H156,Database!$H156),""))</f>
        <v/>
      </c>
    </row>
    <row r="157">
      <c r="A157" s="16">
        <f>Database!A157&amp;"  "&amp;Database!B157</f>
        <v/>
      </c>
      <c r="B157" s="10">
        <f>IFERROR(INDEX(BDS(Database!$A157&amp;" HK Equity","EQUITY_OFFERINGS","array=t","endcol=1"),MATCH("IPO",BDS(Database!$A157&amp;" HK Equity","EQUITY_OFFERINGS","array=t","startcol=2","endcol=2"),0)),"")</f>
        <v/>
      </c>
      <c r="C157" s="103">
        <f>IF($B157="","",IFERROR(BDP($B157&amp;" Action","CP036"),""))</f>
        <v/>
      </c>
      <c r="D157" s="104">
        <f>Database!S157</f>
        <v/>
      </c>
      <c r="E157" s="103">
        <f>IF($B157="","",IFERROR(BDP($B157&amp;" Action","CP037"),""))</f>
        <v/>
      </c>
      <c r="F157" s="104">
        <f>Database!T157</f>
        <v/>
      </c>
      <c r="G157" s="103">
        <f>IF($B157="","",IFERROR(BDP($B157&amp;" Action","GREENSHOE_FACILITY"),""))</f>
        <v/>
      </c>
      <c r="H157" s="103">
        <f>IF($B157="","",IFERROR(BDP($B157&amp;" Action","OFFERING_GREENSHOE_SHARES_EX"),""))</f>
        <v/>
      </c>
      <c r="I157" s="16">
        <f>Database!Z157</f>
        <v/>
      </c>
      <c r="J157" s="24">
        <f>IFERROR(BDP(Database!$A157&amp;" HK Equity","PE_RATIO"),"")</f>
        <v/>
      </c>
      <c r="K157" s="10">
        <f>IFERROR(BDP(Database!$A157&amp;" HK Equity","A/H_SHARE_CONVERSION"),"")</f>
        <v/>
      </c>
      <c r="L157" s="16">
        <f>IF(Database!BA157="","(none found)",Database!BA157)</f>
        <v/>
      </c>
      <c r="M157" s="18">
        <f>IFERROR(BDH(Database!$A157&amp;" HK Equity","CUR_MKT_CAP",Database!$H157,Database!$H157),"")</f>
        <v/>
      </c>
      <c r="N157" s="99">
        <f>Database!Q157</f>
        <v/>
      </c>
      <c r="O157" s="24">
        <f>IFERROR(BDH(Database!$A157&amp;" HK Equity","PE_RATIO",Database!$H157,Database!$H157),"")</f>
        <v/>
      </c>
      <c r="P157" s="101">
        <f>IF(Database!AV157="","(n/m or not derivable)",Database!AV157)</f>
        <v/>
      </c>
      <c r="Q157" s="24">
        <f>IF(Database!BA157="","",IFERROR(BDH(LEFT(Database!BA157,FIND(".",Database!BA157)-1)&amp;" CH Equity","PE_RATIO",Database!$H157,Database!$H157),""))</f>
        <v/>
      </c>
      <c r="R157" s="24">
        <f>IF(Database!BA157="","",IFERROR(BDH("HSAHP Index","PX_LAST",Database!$H157,Database!$H157),""))</f>
        <v/>
      </c>
    </row>
    <row r="158">
      <c r="A158" s="16">
        <f>Database!A158&amp;"  "&amp;Database!B158</f>
        <v/>
      </c>
      <c r="B158" s="10">
        <f>IFERROR(INDEX(BDS(Database!$A158&amp;" HK Equity","EQUITY_OFFERINGS","array=t","endcol=1"),MATCH("IPO",BDS(Database!$A158&amp;" HK Equity","EQUITY_OFFERINGS","array=t","startcol=2","endcol=2"),0)),"")</f>
        <v/>
      </c>
      <c r="C158" s="103">
        <f>IF($B158="","",IFERROR(BDP($B158&amp;" Action","CP036"),""))</f>
        <v/>
      </c>
      <c r="D158" s="104">
        <f>Database!S158</f>
        <v/>
      </c>
      <c r="E158" s="103">
        <f>IF($B158="","",IFERROR(BDP($B158&amp;" Action","CP037"),""))</f>
        <v/>
      </c>
      <c r="F158" s="104">
        <f>Database!T158</f>
        <v/>
      </c>
      <c r="G158" s="103">
        <f>IF($B158="","",IFERROR(BDP($B158&amp;" Action","GREENSHOE_FACILITY"),""))</f>
        <v/>
      </c>
      <c r="H158" s="103">
        <f>IF($B158="","",IFERROR(BDP($B158&amp;" Action","OFFERING_GREENSHOE_SHARES_EX"),""))</f>
        <v/>
      </c>
      <c r="I158" s="16">
        <f>Database!Z158</f>
        <v/>
      </c>
      <c r="J158" s="24">
        <f>IFERROR(BDP(Database!$A158&amp;" HK Equity","PE_RATIO"),"")</f>
        <v/>
      </c>
      <c r="K158" s="10">
        <f>IFERROR(BDP(Database!$A158&amp;" HK Equity","A/H_SHARE_CONVERSION"),"")</f>
        <v/>
      </c>
      <c r="L158" s="16">
        <f>IF(Database!BA158="","(none found)",Database!BA158)</f>
        <v/>
      </c>
      <c r="M158" s="18">
        <f>IFERROR(BDH(Database!$A158&amp;" HK Equity","CUR_MKT_CAP",Database!$H158,Database!$H158),"")</f>
        <v/>
      </c>
      <c r="N158" s="99">
        <f>Database!Q158</f>
        <v/>
      </c>
      <c r="O158" s="24">
        <f>IFERROR(BDH(Database!$A158&amp;" HK Equity","PE_RATIO",Database!$H158,Database!$H158),"")</f>
        <v/>
      </c>
      <c r="P158" s="101">
        <f>IF(Database!AV158="","(n/m or not derivable)",Database!AV158)</f>
        <v/>
      </c>
      <c r="Q158" s="24">
        <f>IF(Database!BA158="","",IFERROR(BDH(LEFT(Database!BA158,FIND(".",Database!BA158)-1)&amp;" CH Equity","PE_RATIO",Database!$H158,Database!$H158),""))</f>
        <v/>
      </c>
      <c r="R158" s="24">
        <f>IF(Database!BA158="","",IFERROR(BDH("HSAHP Index","PX_LAST",Database!$H158,Database!$H158),""))</f>
        <v/>
      </c>
    </row>
    <row r="159">
      <c r="A159" s="16">
        <f>Database!A159&amp;"  "&amp;Database!B159</f>
        <v/>
      </c>
      <c r="B159" s="10">
        <f>IFERROR(INDEX(BDS(Database!$A159&amp;" HK Equity","EQUITY_OFFERINGS","array=t","endcol=1"),MATCH("IPO",BDS(Database!$A159&amp;" HK Equity","EQUITY_OFFERINGS","array=t","startcol=2","endcol=2"),0)),"")</f>
        <v/>
      </c>
      <c r="C159" s="103">
        <f>IF($B159="","",IFERROR(BDP($B159&amp;" Action","CP036"),""))</f>
        <v/>
      </c>
      <c r="D159" s="104">
        <f>Database!S159</f>
        <v/>
      </c>
      <c r="E159" s="103">
        <f>IF($B159="","",IFERROR(BDP($B159&amp;" Action","CP037"),""))</f>
        <v/>
      </c>
      <c r="F159" s="104">
        <f>Database!T159</f>
        <v/>
      </c>
      <c r="G159" s="103">
        <f>IF($B159="","",IFERROR(BDP($B159&amp;" Action","GREENSHOE_FACILITY"),""))</f>
        <v/>
      </c>
      <c r="H159" s="103">
        <f>IF($B159="","",IFERROR(BDP($B159&amp;" Action","OFFERING_GREENSHOE_SHARES_EX"),""))</f>
        <v/>
      </c>
      <c r="I159" s="16">
        <f>Database!Z159</f>
        <v/>
      </c>
      <c r="J159" s="24">
        <f>IFERROR(BDP(Database!$A159&amp;" HK Equity","PE_RATIO"),"")</f>
        <v/>
      </c>
      <c r="K159" s="10">
        <f>IFERROR(BDP(Database!$A159&amp;" HK Equity","A/H_SHARE_CONVERSION"),"")</f>
        <v/>
      </c>
      <c r="L159" s="16">
        <f>IF(Database!BA159="","(none found)",Database!BA159)</f>
        <v/>
      </c>
      <c r="M159" s="18">
        <f>IFERROR(BDH(Database!$A159&amp;" HK Equity","CUR_MKT_CAP",Database!$H159,Database!$H159),"")</f>
        <v/>
      </c>
      <c r="N159" s="99">
        <f>Database!Q159</f>
        <v/>
      </c>
      <c r="O159" s="24">
        <f>IFERROR(BDH(Database!$A159&amp;" HK Equity","PE_RATIO",Database!$H159,Database!$H159),"")</f>
        <v/>
      </c>
      <c r="P159" s="101">
        <f>IF(Database!AV159="","(n/m or not derivable)",Database!AV159)</f>
        <v/>
      </c>
      <c r="Q159" s="24">
        <f>IF(Database!BA159="","",IFERROR(BDH(LEFT(Database!BA159,FIND(".",Database!BA159)-1)&amp;" CH Equity","PE_RATIO",Database!$H159,Database!$H159),""))</f>
        <v/>
      </c>
      <c r="R159" s="24">
        <f>IF(Database!BA159="","",IFERROR(BDH("HSAHP Index","PX_LAST",Database!$H159,Database!$H159),""))</f>
        <v/>
      </c>
    </row>
    <row r="160">
      <c r="A160" s="16">
        <f>Database!A160&amp;"  "&amp;Database!B160</f>
        <v/>
      </c>
      <c r="B160" s="10">
        <f>IFERROR(INDEX(BDS(Database!$A160&amp;" HK Equity","EQUITY_OFFERINGS","array=t","endcol=1"),MATCH("IPO",BDS(Database!$A160&amp;" HK Equity","EQUITY_OFFERINGS","array=t","startcol=2","endcol=2"),0)),"")</f>
        <v/>
      </c>
      <c r="C160" s="103">
        <f>IF($B160="","",IFERROR(BDP($B160&amp;" Action","CP036"),""))</f>
        <v/>
      </c>
      <c r="D160" s="104">
        <f>Database!S160</f>
        <v/>
      </c>
      <c r="E160" s="103">
        <f>IF($B160="","",IFERROR(BDP($B160&amp;" Action","CP037"),""))</f>
        <v/>
      </c>
      <c r="F160" s="104">
        <f>Database!T160</f>
        <v/>
      </c>
      <c r="G160" s="103">
        <f>IF($B160="","",IFERROR(BDP($B160&amp;" Action","GREENSHOE_FACILITY"),""))</f>
        <v/>
      </c>
      <c r="H160" s="103">
        <f>IF($B160="","",IFERROR(BDP($B160&amp;" Action","OFFERING_GREENSHOE_SHARES_EX"),""))</f>
        <v/>
      </c>
      <c r="I160" s="16">
        <f>Database!Z160</f>
        <v/>
      </c>
      <c r="J160" s="24">
        <f>IFERROR(BDP(Database!$A160&amp;" HK Equity","PE_RATIO"),"")</f>
        <v/>
      </c>
      <c r="K160" s="10">
        <f>IFERROR(BDP(Database!$A160&amp;" HK Equity","A/H_SHARE_CONVERSION"),"")</f>
        <v/>
      </c>
      <c r="L160" s="16">
        <f>IF(Database!BA160="","(none found)",Database!BA160)</f>
        <v/>
      </c>
      <c r="M160" s="18">
        <f>IFERROR(BDH(Database!$A160&amp;" HK Equity","CUR_MKT_CAP",Database!$H160,Database!$H160),"")</f>
        <v/>
      </c>
      <c r="N160" s="99">
        <f>Database!Q160</f>
        <v/>
      </c>
      <c r="O160" s="24">
        <f>IFERROR(BDH(Database!$A160&amp;" HK Equity","PE_RATIO",Database!$H160,Database!$H160),"")</f>
        <v/>
      </c>
      <c r="P160" s="101">
        <f>IF(Database!AV160="","(n/m or not derivable)",Database!AV160)</f>
        <v/>
      </c>
      <c r="Q160" s="24">
        <f>IF(Database!BA160="","",IFERROR(BDH(LEFT(Database!BA160,FIND(".",Database!BA160)-1)&amp;" CH Equity","PE_RATIO",Database!$H160,Database!$H160),""))</f>
        <v/>
      </c>
      <c r="R160" s="24">
        <f>IF(Database!BA160="","",IFERROR(BDH("HSAHP Index","PX_LAST",Database!$H160,Database!$H160),""))</f>
        <v/>
      </c>
    </row>
    <row r="161">
      <c r="A161" s="16">
        <f>Database!A161&amp;"  "&amp;Database!B161</f>
        <v/>
      </c>
      <c r="B161" s="10">
        <f>IFERROR(INDEX(BDS(Database!$A161&amp;" HK Equity","EQUITY_OFFERINGS","array=t","endcol=1"),MATCH("IPO",BDS(Database!$A161&amp;" HK Equity","EQUITY_OFFERINGS","array=t","startcol=2","endcol=2"),0)),"")</f>
        <v/>
      </c>
      <c r="C161" s="103">
        <f>IF($B161="","",IFERROR(BDP($B161&amp;" Action","CP036"),""))</f>
        <v/>
      </c>
      <c r="D161" s="104">
        <f>Database!S161</f>
        <v/>
      </c>
      <c r="E161" s="103">
        <f>IF($B161="","",IFERROR(BDP($B161&amp;" Action","CP037"),""))</f>
        <v/>
      </c>
      <c r="F161" s="104">
        <f>Database!T161</f>
        <v/>
      </c>
      <c r="G161" s="103">
        <f>IF($B161="","",IFERROR(BDP($B161&amp;" Action","GREENSHOE_FACILITY"),""))</f>
        <v/>
      </c>
      <c r="H161" s="103">
        <f>IF($B161="","",IFERROR(BDP($B161&amp;" Action","OFFERING_GREENSHOE_SHARES_EX"),""))</f>
        <v/>
      </c>
      <c r="I161" s="16">
        <f>Database!Z161</f>
        <v/>
      </c>
      <c r="J161" s="24">
        <f>IFERROR(BDP(Database!$A161&amp;" HK Equity","PE_RATIO"),"")</f>
        <v/>
      </c>
      <c r="K161" s="10">
        <f>IFERROR(BDP(Database!$A161&amp;" HK Equity","A/H_SHARE_CONVERSION"),"")</f>
        <v/>
      </c>
      <c r="L161" s="16">
        <f>IF(Database!BA161="","(none found)",Database!BA161)</f>
        <v/>
      </c>
      <c r="M161" s="18">
        <f>IFERROR(BDH(Database!$A161&amp;" HK Equity","CUR_MKT_CAP",Database!$H161,Database!$H161),"")</f>
        <v/>
      </c>
      <c r="N161" s="99">
        <f>Database!Q161</f>
        <v/>
      </c>
      <c r="O161" s="24">
        <f>IFERROR(BDH(Database!$A161&amp;" HK Equity","PE_RATIO",Database!$H161,Database!$H161),"")</f>
        <v/>
      </c>
      <c r="P161" s="101">
        <f>IF(Database!AV161="","(n/m or not derivable)",Database!AV161)</f>
        <v/>
      </c>
      <c r="Q161" s="24">
        <f>IF(Database!BA161="","",IFERROR(BDH(LEFT(Database!BA161,FIND(".",Database!BA161)-1)&amp;" CH Equity","PE_RATIO",Database!$H161,Database!$H161),""))</f>
        <v/>
      </c>
      <c r="R161" s="24">
        <f>IF(Database!BA161="","",IFERROR(BDH("HSAHP Index","PX_LAST",Database!$H161,Database!$H161),""))</f>
        <v/>
      </c>
    </row>
    <row r="162">
      <c r="A162" s="16">
        <f>Database!A162&amp;"  "&amp;Database!B162</f>
        <v/>
      </c>
      <c r="B162" s="10">
        <f>IFERROR(INDEX(BDS(Database!$A162&amp;" HK Equity","EQUITY_OFFERINGS","array=t","endcol=1"),MATCH("IPO",BDS(Database!$A162&amp;" HK Equity","EQUITY_OFFERINGS","array=t","startcol=2","endcol=2"),0)),"")</f>
        <v/>
      </c>
      <c r="C162" s="103">
        <f>IF($B162="","",IFERROR(BDP($B162&amp;" Action","CP036"),""))</f>
        <v/>
      </c>
      <c r="D162" s="104">
        <f>Database!S162</f>
        <v/>
      </c>
      <c r="E162" s="103">
        <f>IF($B162="","",IFERROR(BDP($B162&amp;" Action","CP037"),""))</f>
        <v/>
      </c>
      <c r="F162" s="104">
        <f>Database!T162</f>
        <v/>
      </c>
      <c r="G162" s="103">
        <f>IF($B162="","",IFERROR(BDP($B162&amp;" Action","GREENSHOE_FACILITY"),""))</f>
        <v/>
      </c>
      <c r="H162" s="103">
        <f>IF($B162="","",IFERROR(BDP($B162&amp;" Action","OFFERING_GREENSHOE_SHARES_EX"),""))</f>
        <v/>
      </c>
      <c r="I162" s="16">
        <f>Database!Z162</f>
        <v/>
      </c>
      <c r="J162" s="24">
        <f>IFERROR(BDP(Database!$A162&amp;" HK Equity","PE_RATIO"),"")</f>
        <v/>
      </c>
      <c r="K162" s="10">
        <f>IFERROR(BDP(Database!$A162&amp;" HK Equity","A/H_SHARE_CONVERSION"),"")</f>
        <v/>
      </c>
      <c r="L162" s="16">
        <f>IF(Database!BA162="","(none found)",Database!BA162)</f>
        <v/>
      </c>
      <c r="M162" s="18">
        <f>IFERROR(BDH(Database!$A162&amp;" HK Equity","CUR_MKT_CAP",Database!$H162,Database!$H162),"")</f>
        <v/>
      </c>
      <c r="N162" s="99">
        <f>Database!Q162</f>
        <v/>
      </c>
      <c r="O162" s="24">
        <f>IFERROR(BDH(Database!$A162&amp;" HK Equity","PE_RATIO",Database!$H162,Database!$H162),"")</f>
        <v/>
      </c>
      <c r="P162" s="101">
        <f>IF(Database!AV162="","(n/m or not derivable)",Database!AV162)</f>
        <v/>
      </c>
      <c r="Q162" s="24">
        <f>IF(Database!BA162="","",IFERROR(BDH(LEFT(Database!BA162,FIND(".",Database!BA162)-1)&amp;" CH Equity","PE_RATIO",Database!$H162,Database!$H162),""))</f>
        <v/>
      </c>
      <c r="R162" s="24">
        <f>IF(Database!BA162="","",IFERROR(BDH("HSAHP Index","PX_LAST",Database!$H162,Database!$H162),""))</f>
        <v/>
      </c>
    </row>
    <row r="163">
      <c r="A163" s="16">
        <f>Database!A163&amp;"  "&amp;Database!B163</f>
        <v/>
      </c>
      <c r="B163" s="10">
        <f>IFERROR(INDEX(BDS(Database!$A163&amp;" HK Equity","EQUITY_OFFERINGS","array=t","endcol=1"),MATCH("IPO",BDS(Database!$A163&amp;" HK Equity","EQUITY_OFFERINGS","array=t","startcol=2","endcol=2"),0)),"")</f>
        <v/>
      </c>
      <c r="C163" s="103">
        <f>IF($B163="","",IFERROR(BDP($B163&amp;" Action","CP036"),""))</f>
        <v/>
      </c>
      <c r="D163" s="104">
        <f>Database!S163</f>
        <v/>
      </c>
      <c r="E163" s="103">
        <f>IF($B163="","",IFERROR(BDP($B163&amp;" Action","CP037"),""))</f>
        <v/>
      </c>
      <c r="F163" s="104">
        <f>Database!T163</f>
        <v/>
      </c>
      <c r="G163" s="103">
        <f>IF($B163="","",IFERROR(BDP($B163&amp;" Action","GREENSHOE_FACILITY"),""))</f>
        <v/>
      </c>
      <c r="H163" s="103">
        <f>IF($B163="","",IFERROR(BDP($B163&amp;" Action","OFFERING_GREENSHOE_SHARES_EX"),""))</f>
        <v/>
      </c>
      <c r="I163" s="16">
        <f>Database!Z163</f>
        <v/>
      </c>
      <c r="J163" s="24">
        <f>IFERROR(BDP(Database!$A163&amp;" HK Equity","PE_RATIO"),"")</f>
        <v/>
      </c>
      <c r="K163" s="10">
        <f>IFERROR(BDP(Database!$A163&amp;" HK Equity","A/H_SHARE_CONVERSION"),"")</f>
        <v/>
      </c>
      <c r="L163" s="16">
        <f>IF(Database!BA163="","(none found)",Database!BA163)</f>
        <v/>
      </c>
      <c r="M163" s="18">
        <f>IFERROR(BDH(Database!$A163&amp;" HK Equity","CUR_MKT_CAP",Database!$H163,Database!$H163),"")</f>
        <v/>
      </c>
      <c r="N163" s="99">
        <f>Database!Q163</f>
        <v/>
      </c>
      <c r="O163" s="24">
        <f>IFERROR(BDH(Database!$A163&amp;" HK Equity","PE_RATIO",Database!$H163,Database!$H163),"")</f>
        <v/>
      </c>
      <c r="P163" s="101">
        <f>IF(Database!AV163="","(n/m or not derivable)",Database!AV163)</f>
        <v/>
      </c>
      <c r="Q163" s="24">
        <f>IF(Database!BA163="","",IFERROR(BDH(LEFT(Database!BA163,FIND(".",Database!BA163)-1)&amp;" CH Equity","PE_RATIO",Database!$H163,Database!$H163),""))</f>
        <v/>
      </c>
      <c r="R163" s="24">
        <f>IF(Database!BA163="","",IFERROR(BDH("HSAHP Index","PX_LAST",Database!$H163,Database!$H163),""))</f>
        <v/>
      </c>
    </row>
    <row r="164">
      <c r="A164" s="16">
        <f>Database!A164&amp;"  "&amp;Database!B164</f>
        <v/>
      </c>
      <c r="B164" s="10">
        <f>IFERROR(INDEX(BDS(Database!$A164&amp;" HK Equity","EQUITY_OFFERINGS","array=t","endcol=1"),MATCH("IPO",BDS(Database!$A164&amp;" HK Equity","EQUITY_OFFERINGS","array=t","startcol=2","endcol=2"),0)),"")</f>
        <v/>
      </c>
      <c r="C164" s="103">
        <f>IF($B164="","",IFERROR(BDP($B164&amp;" Action","CP036"),""))</f>
        <v/>
      </c>
      <c r="D164" s="104">
        <f>Database!S164</f>
        <v/>
      </c>
      <c r="E164" s="103">
        <f>IF($B164="","",IFERROR(BDP($B164&amp;" Action","CP037"),""))</f>
        <v/>
      </c>
      <c r="F164" s="104">
        <f>Database!T164</f>
        <v/>
      </c>
      <c r="G164" s="103">
        <f>IF($B164="","",IFERROR(BDP($B164&amp;" Action","GREENSHOE_FACILITY"),""))</f>
        <v/>
      </c>
      <c r="H164" s="103">
        <f>IF($B164="","",IFERROR(BDP($B164&amp;" Action","OFFERING_GREENSHOE_SHARES_EX"),""))</f>
        <v/>
      </c>
      <c r="I164" s="16">
        <f>Database!Z164</f>
        <v/>
      </c>
      <c r="J164" s="24">
        <f>IFERROR(BDP(Database!$A164&amp;" HK Equity","PE_RATIO"),"")</f>
        <v/>
      </c>
      <c r="K164" s="10">
        <f>IFERROR(BDP(Database!$A164&amp;" HK Equity","A/H_SHARE_CONVERSION"),"")</f>
        <v/>
      </c>
      <c r="L164" s="16">
        <f>IF(Database!BA164="","(none found)",Database!BA164)</f>
        <v/>
      </c>
      <c r="M164" s="18">
        <f>IFERROR(BDH(Database!$A164&amp;" HK Equity","CUR_MKT_CAP",Database!$H164,Database!$H164),"")</f>
        <v/>
      </c>
      <c r="N164" s="99">
        <f>Database!Q164</f>
        <v/>
      </c>
      <c r="O164" s="24">
        <f>IFERROR(BDH(Database!$A164&amp;" HK Equity","PE_RATIO",Database!$H164,Database!$H164),"")</f>
        <v/>
      </c>
      <c r="P164" s="101">
        <f>IF(Database!AV164="","(n/m or not derivable)",Database!AV164)</f>
        <v/>
      </c>
      <c r="Q164" s="24">
        <f>IF(Database!BA164="","",IFERROR(BDH(LEFT(Database!BA164,FIND(".",Database!BA164)-1)&amp;" CH Equity","PE_RATIO",Database!$H164,Database!$H164),""))</f>
        <v/>
      </c>
      <c r="R164" s="24">
        <f>IF(Database!BA164="","",IFERROR(BDH("HSAHP Index","PX_LAST",Database!$H164,Database!$H164),""))</f>
        <v/>
      </c>
    </row>
    <row r="165">
      <c r="A165" s="16">
        <f>Database!A165&amp;"  "&amp;Database!B165</f>
        <v/>
      </c>
      <c r="B165" s="10">
        <f>IFERROR(INDEX(BDS(Database!$A165&amp;" HK Equity","EQUITY_OFFERINGS","array=t","endcol=1"),MATCH("IPO",BDS(Database!$A165&amp;" HK Equity","EQUITY_OFFERINGS","array=t","startcol=2","endcol=2"),0)),"")</f>
        <v/>
      </c>
      <c r="C165" s="103">
        <f>IF($B165="","",IFERROR(BDP($B165&amp;" Action","CP036"),""))</f>
        <v/>
      </c>
      <c r="D165" s="104">
        <f>Database!S165</f>
        <v/>
      </c>
      <c r="E165" s="103">
        <f>IF($B165="","",IFERROR(BDP($B165&amp;" Action","CP037"),""))</f>
        <v/>
      </c>
      <c r="F165" s="104">
        <f>Database!T165</f>
        <v/>
      </c>
      <c r="G165" s="103">
        <f>IF($B165="","",IFERROR(BDP($B165&amp;" Action","GREENSHOE_FACILITY"),""))</f>
        <v/>
      </c>
      <c r="H165" s="103">
        <f>IF($B165="","",IFERROR(BDP($B165&amp;" Action","OFFERING_GREENSHOE_SHARES_EX"),""))</f>
        <v/>
      </c>
      <c r="I165" s="16">
        <f>Database!Z165</f>
        <v/>
      </c>
      <c r="J165" s="24">
        <f>IFERROR(BDP(Database!$A165&amp;" HK Equity","PE_RATIO"),"")</f>
        <v/>
      </c>
      <c r="K165" s="10">
        <f>IFERROR(BDP(Database!$A165&amp;" HK Equity","A/H_SHARE_CONVERSION"),"")</f>
        <v/>
      </c>
      <c r="L165" s="16">
        <f>IF(Database!BA165="","(none found)",Database!BA165)</f>
        <v/>
      </c>
      <c r="M165" s="18">
        <f>IFERROR(BDH(Database!$A165&amp;" HK Equity","CUR_MKT_CAP",Database!$H165,Database!$H165),"")</f>
        <v/>
      </c>
      <c r="N165" s="99">
        <f>Database!Q165</f>
        <v/>
      </c>
      <c r="O165" s="24">
        <f>IFERROR(BDH(Database!$A165&amp;" HK Equity","PE_RATIO",Database!$H165,Database!$H165),"")</f>
        <v/>
      </c>
      <c r="P165" s="101">
        <f>IF(Database!AV165="","(n/m or not derivable)",Database!AV165)</f>
        <v/>
      </c>
      <c r="Q165" s="24">
        <f>IF(Database!BA165="","",IFERROR(BDH(LEFT(Database!BA165,FIND(".",Database!BA165)-1)&amp;" CH Equity","PE_RATIO",Database!$H165,Database!$H165),""))</f>
        <v/>
      </c>
      <c r="R165" s="24">
        <f>IF(Database!BA165="","",IFERROR(BDH("HSAHP Index","PX_LAST",Database!$H165,Database!$H165),""))</f>
        <v/>
      </c>
    </row>
    <row r="166">
      <c r="A166" s="16">
        <f>Database!A166&amp;"  "&amp;Database!B166</f>
        <v/>
      </c>
      <c r="B166" s="10">
        <f>IFERROR(INDEX(BDS(Database!$A166&amp;" HK Equity","EQUITY_OFFERINGS","array=t","endcol=1"),MATCH("IPO",BDS(Database!$A166&amp;" HK Equity","EQUITY_OFFERINGS","array=t","startcol=2","endcol=2"),0)),"")</f>
        <v/>
      </c>
      <c r="C166" s="103">
        <f>IF($B166="","",IFERROR(BDP($B166&amp;" Action","CP036"),""))</f>
        <v/>
      </c>
      <c r="D166" s="104">
        <f>Database!S166</f>
        <v/>
      </c>
      <c r="E166" s="103">
        <f>IF($B166="","",IFERROR(BDP($B166&amp;" Action","CP037"),""))</f>
        <v/>
      </c>
      <c r="F166" s="104">
        <f>Database!T166</f>
        <v/>
      </c>
      <c r="G166" s="103">
        <f>IF($B166="","",IFERROR(BDP($B166&amp;" Action","GREENSHOE_FACILITY"),""))</f>
        <v/>
      </c>
      <c r="H166" s="103">
        <f>IF($B166="","",IFERROR(BDP($B166&amp;" Action","OFFERING_GREENSHOE_SHARES_EX"),""))</f>
        <v/>
      </c>
      <c r="I166" s="16">
        <f>Database!Z166</f>
        <v/>
      </c>
      <c r="J166" s="24">
        <f>IFERROR(BDP(Database!$A166&amp;" HK Equity","PE_RATIO"),"")</f>
        <v/>
      </c>
      <c r="K166" s="10">
        <f>IFERROR(BDP(Database!$A166&amp;" HK Equity","A/H_SHARE_CONVERSION"),"")</f>
        <v/>
      </c>
      <c r="L166" s="16">
        <f>IF(Database!BA166="","(none found)",Database!BA166)</f>
        <v/>
      </c>
      <c r="M166" s="18">
        <f>IFERROR(BDH(Database!$A166&amp;" HK Equity","CUR_MKT_CAP",Database!$H166,Database!$H166),"")</f>
        <v/>
      </c>
      <c r="N166" s="99">
        <f>Database!Q166</f>
        <v/>
      </c>
      <c r="O166" s="24">
        <f>IFERROR(BDH(Database!$A166&amp;" HK Equity","PE_RATIO",Database!$H166,Database!$H166),"")</f>
        <v/>
      </c>
      <c r="P166" s="101">
        <f>IF(Database!AV166="","(n/m or not derivable)",Database!AV166)</f>
        <v/>
      </c>
      <c r="Q166" s="24">
        <f>IF(Database!BA166="","",IFERROR(BDH(LEFT(Database!BA166,FIND(".",Database!BA166)-1)&amp;" CH Equity","PE_RATIO",Database!$H166,Database!$H166),""))</f>
        <v/>
      </c>
      <c r="R166" s="24">
        <f>IF(Database!BA166="","",IFERROR(BDH("HSAHP Index","PX_LAST",Database!$H166,Database!$H166),""))</f>
        <v/>
      </c>
    </row>
    <row r="167">
      <c r="A167" s="16">
        <f>Database!A167&amp;"  "&amp;Database!B167</f>
        <v/>
      </c>
      <c r="B167" s="10">
        <f>IFERROR(INDEX(BDS(Database!$A167&amp;" HK Equity","EQUITY_OFFERINGS","array=t","endcol=1"),MATCH("IPO",BDS(Database!$A167&amp;" HK Equity","EQUITY_OFFERINGS","array=t","startcol=2","endcol=2"),0)),"")</f>
        <v/>
      </c>
      <c r="C167" s="103">
        <f>IF($B167="","",IFERROR(BDP($B167&amp;" Action","CP036"),""))</f>
        <v/>
      </c>
      <c r="D167" s="104">
        <f>Database!S167</f>
        <v/>
      </c>
      <c r="E167" s="103">
        <f>IF($B167="","",IFERROR(BDP($B167&amp;" Action","CP037"),""))</f>
        <v/>
      </c>
      <c r="F167" s="104">
        <f>Database!T167</f>
        <v/>
      </c>
      <c r="G167" s="103">
        <f>IF($B167="","",IFERROR(BDP($B167&amp;" Action","GREENSHOE_FACILITY"),""))</f>
        <v/>
      </c>
      <c r="H167" s="103">
        <f>IF($B167="","",IFERROR(BDP($B167&amp;" Action","OFFERING_GREENSHOE_SHARES_EX"),""))</f>
        <v/>
      </c>
      <c r="I167" s="16">
        <f>Database!Z167</f>
        <v/>
      </c>
      <c r="J167" s="24">
        <f>IFERROR(BDP(Database!$A167&amp;" HK Equity","PE_RATIO"),"")</f>
        <v/>
      </c>
      <c r="K167" s="10">
        <f>IFERROR(BDP(Database!$A167&amp;" HK Equity","A/H_SHARE_CONVERSION"),"")</f>
        <v/>
      </c>
      <c r="L167" s="16">
        <f>IF(Database!BA167="","(none found)",Database!BA167)</f>
        <v/>
      </c>
      <c r="M167" s="18">
        <f>IFERROR(BDH(Database!$A167&amp;" HK Equity","CUR_MKT_CAP",Database!$H167,Database!$H167),"")</f>
        <v/>
      </c>
      <c r="N167" s="99">
        <f>Database!Q167</f>
        <v/>
      </c>
      <c r="O167" s="24">
        <f>IFERROR(BDH(Database!$A167&amp;" HK Equity","PE_RATIO",Database!$H167,Database!$H167),"")</f>
        <v/>
      </c>
      <c r="P167" s="101">
        <f>IF(Database!AV167="","(n/m or not derivable)",Database!AV167)</f>
        <v/>
      </c>
      <c r="Q167" s="24">
        <f>IF(Database!BA167="","",IFERROR(BDH(LEFT(Database!BA167,FIND(".",Database!BA167)-1)&amp;" CH Equity","PE_RATIO",Database!$H167,Database!$H167),""))</f>
        <v/>
      </c>
      <c r="R167" s="24">
        <f>IF(Database!BA167="","",IFERROR(BDH("HSAHP Index","PX_LAST",Database!$H167,Database!$H167),""))</f>
        <v/>
      </c>
    </row>
    <row r="168">
      <c r="A168" s="16">
        <f>Database!A168&amp;"  "&amp;Database!B168</f>
        <v/>
      </c>
      <c r="B168" s="10">
        <f>IFERROR(INDEX(BDS(Database!$A168&amp;" HK Equity","EQUITY_OFFERINGS","array=t","endcol=1"),MATCH("IPO",BDS(Database!$A168&amp;" HK Equity","EQUITY_OFFERINGS","array=t","startcol=2","endcol=2"),0)),"")</f>
        <v/>
      </c>
      <c r="C168" s="103">
        <f>IF($B168="","",IFERROR(BDP($B168&amp;" Action","CP036"),""))</f>
        <v/>
      </c>
      <c r="D168" s="104">
        <f>Database!S168</f>
        <v/>
      </c>
      <c r="E168" s="103">
        <f>IF($B168="","",IFERROR(BDP($B168&amp;" Action","CP037"),""))</f>
        <v/>
      </c>
      <c r="F168" s="104">
        <f>Database!T168</f>
        <v/>
      </c>
      <c r="G168" s="103">
        <f>IF($B168="","",IFERROR(BDP($B168&amp;" Action","GREENSHOE_FACILITY"),""))</f>
        <v/>
      </c>
      <c r="H168" s="103">
        <f>IF($B168="","",IFERROR(BDP($B168&amp;" Action","OFFERING_GREENSHOE_SHARES_EX"),""))</f>
        <v/>
      </c>
      <c r="I168" s="16">
        <f>Database!Z168</f>
        <v/>
      </c>
      <c r="J168" s="24">
        <f>IFERROR(BDP(Database!$A168&amp;" HK Equity","PE_RATIO"),"")</f>
        <v/>
      </c>
      <c r="K168" s="10">
        <f>IFERROR(BDP(Database!$A168&amp;" HK Equity","A/H_SHARE_CONVERSION"),"")</f>
        <v/>
      </c>
      <c r="L168" s="16">
        <f>IF(Database!BA168="","(none found)",Database!BA168)</f>
        <v/>
      </c>
      <c r="M168" s="18">
        <f>IFERROR(BDH(Database!$A168&amp;" HK Equity","CUR_MKT_CAP",Database!$H168,Database!$H168),"")</f>
        <v/>
      </c>
      <c r="N168" s="99">
        <f>Database!Q168</f>
        <v/>
      </c>
      <c r="O168" s="24">
        <f>IFERROR(BDH(Database!$A168&amp;" HK Equity","PE_RATIO",Database!$H168,Database!$H168),"")</f>
        <v/>
      </c>
      <c r="P168" s="101">
        <f>IF(Database!AV168="","(n/m or not derivable)",Database!AV168)</f>
        <v/>
      </c>
      <c r="Q168" s="24">
        <f>IF(Database!BA168="","",IFERROR(BDH(LEFT(Database!BA168,FIND(".",Database!BA168)-1)&amp;" CH Equity","PE_RATIO",Database!$H168,Database!$H168),""))</f>
        <v/>
      </c>
      <c r="R168" s="24">
        <f>IF(Database!BA168="","",IFERROR(BDH("HSAHP Index","PX_LAST",Database!$H168,Database!$H168),""))</f>
        <v/>
      </c>
    </row>
    <row r="169">
      <c r="A169" s="16">
        <f>Database!A169&amp;"  "&amp;Database!B169</f>
        <v/>
      </c>
      <c r="B169" s="10">
        <f>IFERROR(INDEX(BDS(Database!$A169&amp;" HK Equity","EQUITY_OFFERINGS","array=t","endcol=1"),MATCH("IPO",BDS(Database!$A169&amp;" HK Equity","EQUITY_OFFERINGS","array=t","startcol=2","endcol=2"),0)),"")</f>
        <v/>
      </c>
      <c r="C169" s="103">
        <f>IF($B169="","",IFERROR(BDP($B169&amp;" Action","CP036"),""))</f>
        <v/>
      </c>
      <c r="D169" s="104">
        <f>Database!S169</f>
        <v/>
      </c>
      <c r="E169" s="103">
        <f>IF($B169="","",IFERROR(BDP($B169&amp;" Action","CP037"),""))</f>
        <v/>
      </c>
      <c r="F169" s="104">
        <f>Database!T169</f>
        <v/>
      </c>
      <c r="G169" s="103">
        <f>IF($B169="","",IFERROR(BDP($B169&amp;" Action","GREENSHOE_FACILITY"),""))</f>
        <v/>
      </c>
      <c r="H169" s="103">
        <f>IF($B169="","",IFERROR(BDP($B169&amp;" Action","OFFERING_GREENSHOE_SHARES_EX"),""))</f>
        <v/>
      </c>
      <c r="I169" s="16">
        <f>Database!Z169</f>
        <v/>
      </c>
      <c r="J169" s="24">
        <f>IFERROR(BDP(Database!$A169&amp;" HK Equity","PE_RATIO"),"")</f>
        <v/>
      </c>
      <c r="K169" s="10">
        <f>IFERROR(BDP(Database!$A169&amp;" HK Equity","A/H_SHARE_CONVERSION"),"")</f>
        <v/>
      </c>
      <c r="L169" s="16">
        <f>IF(Database!BA169="","(none found)",Database!BA169)</f>
        <v/>
      </c>
      <c r="M169" s="18">
        <f>IFERROR(BDH(Database!$A169&amp;" HK Equity","CUR_MKT_CAP",Database!$H169,Database!$H169),"")</f>
        <v/>
      </c>
      <c r="N169" s="99">
        <f>Database!Q169</f>
        <v/>
      </c>
      <c r="O169" s="24">
        <f>IFERROR(BDH(Database!$A169&amp;" HK Equity","PE_RATIO",Database!$H169,Database!$H169),"")</f>
        <v/>
      </c>
      <c r="P169" s="101">
        <f>IF(Database!AV169="","(n/m or not derivable)",Database!AV169)</f>
        <v/>
      </c>
      <c r="Q169" s="24">
        <f>IF(Database!BA169="","",IFERROR(BDH(LEFT(Database!BA169,FIND(".",Database!BA169)-1)&amp;" CH Equity","PE_RATIO",Database!$H169,Database!$H169),""))</f>
        <v/>
      </c>
      <c r="R169" s="24">
        <f>IF(Database!BA169="","",IFERROR(BDH("HSAHP Index","PX_LAST",Database!$H169,Database!$H169),""))</f>
        <v/>
      </c>
    </row>
    <row r="170">
      <c r="A170" s="16">
        <f>Database!A170&amp;"  "&amp;Database!B170</f>
        <v/>
      </c>
      <c r="B170" s="10">
        <f>IFERROR(INDEX(BDS(Database!$A170&amp;" HK Equity","EQUITY_OFFERINGS","array=t","endcol=1"),MATCH("IPO",BDS(Database!$A170&amp;" HK Equity","EQUITY_OFFERINGS","array=t","startcol=2","endcol=2"),0)),"")</f>
        <v/>
      </c>
      <c r="C170" s="103">
        <f>IF($B170="","",IFERROR(BDP($B170&amp;" Action","CP036"),""))</f>
        <v/>
      </c>
      <c r="D170" s="104">
        <f>Database!S170</f>
        <v/>
      </c>
      <c r="E170" s="103">
        <f>IF($B170="","",IFERROR(BDP($B170&amp;" Action","CP037"),""))</f>
        <v/>
      </c>
      <c r="F170" s="104">
        <f>Database!T170</f>
        <v/>
      </c>
      <c r="G170" s="103">
        <f>IF($B170="","",IFERROR(BDP($B170&amp;" Action","GREENSHOE_FACILITY"),""))</f>
        <v/>
      </c>
      <c r="H170" s="103">
        <f>IF($B170="","",IFERROR(BDP($B170&amp;" Action","OFFERING_GREENSHOE_SHARES_EX"),""))</f>
        <v/>
      </c>
      <c r="I170" s="16">
        <f>Database!Z170</f>
        <v/>
      </c>
      <c r="J170" s="24">
        <f>IFERROR(BDP(Database!$A170&amp;" HK Equity","PE_RATIO"),"")</f>
        <v/>
      </c>
      <c r="K170" s="10">
        <f>IFERROR(BDP(Database!$A170&amp;" HK Equity","A/H_SHARE_CONVERSION"),"")</f>
        <v/>
      </c>
      <c r="L170" s="16">
        <f>IF(Database!BA170="","(none found)",Database!BA170)</f>
        <v/>
      </c>
      <c r="M170" s="18">
        <f>IFERROR(BDH(Database!$A170&amp;" HK Equity","CUR_MKT_CAP",Database!$H170,Database!$H170),"")</f>
        <v/>
      </c>
      <c r="N170" s="99">
        <f>Database!Q170</f>
        <v/>
      </c>
      <c r="O170" s="24">
        <f>IFERROR(BDH(Database!$A170&amp;" HK Equity","PE_RATIO",Database!$H170,Database!$H170),"")</f>
        <v/>
      </c>
      <c r="P170" s="101">
        <f>IF(Database!AV170="","(n/m or not derivable)",Database!AV170)</f>
        <v/>
      </c>
      <c r="Q170" s="24">
        <f>IF(Database!BA170="","",IFERROR(BDH(LEFT(Database!BA170,FIND(".",Database!BA170)-1)&amp;" CH Equity","PE_RATIO",Database!$H170,Database!$H170),""))</f>
        <v/>
      </c>
      <c r="R170" s="24">
        <f>IF(Database!BA170="","",IFERROR(BDH("HSAHP Index","PX_LAST",Database!$H170,Database!$H170),""))</f>
        <v/>
      </c>
    </row>
    <row r="171">
      <c r="A171" s="16">
        <f>Database!A171&amp;"  "&amp;Database!B171</f>
        <v/>
      </c>
      <c r="B171" s="10">
        <f>IFERROR(INDEX(BDS(Database!$A171&amp;" HK Equity","EQUITY_OFFERINGS","array=t","endcol=1"),MATCH("IPO",BDS(Database!$A171&amp;" HK Equity","EQUITY_OFFERINGS","array=t","startcol=2","endcol=2"),0)),"")</f>
        <v/>
      </c>
      <c r="C171" s="103">
        <f>IF($B171="","",IFERROR(BDP($B171&amp;" Action","CP036"),""))</f>
        <v/>
      </c>
      <c r="D171" s="104">
        <f>Database!S171</f>
        <v/>
      </c>
      <c r="E171" s="103">
        <f>IF($B171="","",IFERROR(BDP($B171&amp;" Action","CP037"),""))</f>
        <v/>
      </c>
      <c r="F171" s="104">
        <f>Database!T171</f>
        <v/>
      </c>
      <c r="G171" s="103">
        <f>IF($B171="","",IFERROR(BDP($B171&amp;" Action","GREENSHOE_FACILITY"),""))</f>
        <v/>
      </c>
      <c r="H171" s="103">
        <f>IF($B171="","",IFERROR(BDP($B171&amp;" Action","OFFERING_GREENSHOE_SHARES_EX"),""))</f>
        <v/>
      </c>
      <c r="I171" s="16">
        <f>Database!Z171</f>
        <v/>
      </c>
      <c r="J171" s="24">
        <f>IFERROR(BDP(Database!$A171&amp;" HK Equity","PE_RATIO"),"")</f>
        <v/>
      </c>
      <c r="K171" s="10">
        <f>IFERROR(BDP(Database!$A171&amp;" HK Equity","A/H_SHARE_CONVERSION"),"")</f>
        <v/>
      </c>
      <c r="L171" s="16">
        <f>IF(Database!BA171="","(none found)",Database!BA171)</f>
        <v/>
      </c>
      <c r="M171" s="18">
        <f>IFERROR(BDH(Database!$A171&amp;" HK Equity","CUR_MKT_CAP",Database!$H171,Database!$H171),"")</f>
        <v/>
      </c>
      <c r="N171" s="99">
        <f>Database!Q171</f>
        <v/>
      </c>
      <c r="O171" s="24">
        <f>IFERROR(BDH(Database!$A171&amp;" HK Equity","PE_RATIO",Database!$H171,Database!$H171),"")</f>
        <v/>
      </c>
      <c r="P171" s="101">
        <f>IF(Database!AV171="","(n/m or not derivable)",Database!AV171)</f>
        <v/>
      </c>
      <c r="Q171" s="24">
        <f>IF(Database!BA171="","",IFERROR(BDH(LEFT(Database!BA171,FIND(".",Database!BA171)-1)&amp;" CH Equity","PE_RATIO",Database!$H171,Database!$H171),""))</f>
        <v/>
      </c>
      <c r="R171" s="24">
        <f>IF(Database!BA171="","",IFERROR(BDH("HSAHP Index","PX_LAST",Database!$H171,Database!$H171),""))</f>
        <v/>
      </c>
    </row>
    <row r="172">
      <c r="A172" s="16">
        <f>Database!A172&amp;"  "&amp;Database!B172</f>
        <v/>
      </c>
      <c r="B172" s="10">
        <f>IFERROR(INDEX(BDS(Database!$A172&amp;" HK Equity","EQUITY_OFFERINGS","array=t","endcol=1"),MATCH("IPO",BDS(Database!$A172&amp;" HK Equity","EQUITY_OFFERINGS","array=t","startcol=2","endcol=2"),0)),"")</f>
        <v/>
      </c>
      <c r="C172" s="103">
        <f>IF($B172="","",IFERROR(BDP($B172&amp;" Action","CP036"),""))</f>
        <v/>
      </c>
      <c r="D172" s="104">
        <f>Database!S172</f>
        <v/>
      </c>
      <c r="E172" s="103">
        <f>IF($B172="","",IFERROR(BDP($B172&amp;" Action","CP037"),""))</f>
        <v/>
      </c>
      <c r="F172" s="104">
        <f>Database!T172</f>
        <v/>
      </c>
      <c r="G172" s="103">
        <f>IF($B172="","",IFERROR(BDP($B172&amp;" Action","GREENSHOE_FACILITY"),""))</f>
        <v/>
      </c>
      <c r="H172" s="103">
        <f>IF($B172="","",IFERROR(BDP($B172&amp;" Action","OFFERING_GREENSHOE_SHARES_EX"),""))</f>
        <v/>
      </c>
      <c r="I172" s="16">
        <f>Database!Z172</f>
        <v/>
      </c>
      <c r="J172" s="24">
        <f>IFERROR(BDP(Database!$A172&amp;" HK Equity","PE_RATIO"),"")</f>
        <v/>
      </c>
      <c r="K172" s="10">
        <f>IFERROR(BDP(Database!$A172&amp;" HK Equity","A/H_SHARE_CONVERSION"),"")</f>
        <v/>
      </c>
      <c r="L172" s="16">
        <f>IF(Database!BA172="","(none found)",Database!BA172)</f>
        <v/>
      </c>
      <c r="M172" s="18">
        <f>IFERROR(BDH(Database!$A172&amp;" HK Equity","CUR_MKT_CAP",Database!$H172,Database!$H172),"")</f>
        <v/>
      </c>
      <c r="N172" s="99">
        <f>Database!Q172</f>
        <v/>
      </c>
      <c r="O172" s="24">
        <f>IFERROR(BDH(Database!$A172&amp;" HK Equity","PE_RATIO",Database!$H172,Database!$H172),"")</f>
        <v/>
      </c>
      <c r="P172" s="101">
        <f>IF(Database!AV172="","(n/m or not derivable)",Database!AV172)</f>
        <v/>
      </c>
      <c r="Q172" s="24">
        <f>IF(Database!BA172="","",IFERROR(BDH(LEFT(Database!BA172,FIND(".",Database!BA172)-1)&amp;" CH Equity","PE_RATIO",Database!$H172,Database!$H172),""))</f>
        <v/>
      </c>
      <c r="R172" s="24">
        <f>IF(Database!BA172="","",IFERROR(BDH("HSAHP Index","PX_LAST",Database!$H172,Database!$H172),""))</f>
        <v/>
      </c>
    </row>
    <row r="173">
      <c r="A173" s="16">
        <f>Database!A173&amp;"  "&amp;Database!B173</f>
        <v/>
      </c>
      <c r="B173" s="10">
        <f>IFERROR(INDEX(BDS(Database!$A173&amp;" HK Equity","EQUITY_OFFERINGS","array=t","endcol=1"),MATCH("IPO",BDS(Database!$A173&amp;" HK Equity","EQUITY_OFFERINGS","array=t","startcol=2","endcol=2"),0)),"")</f>
        <v/>
      </c>
      <c r="C173" s="103">
        <f>IF($B173="","",IFERROR(BDP($B173&amp;" Action","CP036"),""))</f>
        <v/>
      </c>
      <c r="D173" s="104">
        <f>Database!S173</f>
        <v/>
      </c>
      <c r="E173" s="103">
        <f>IF($B173="","",IFERROR(BDP($B173&amp;" Action","CP037"),""))</f>
        <v/>
      </c>
      <c r="F173" s="104">
        <f>Database!T173</f>
        <v/>
      </c>
      <c r="G173" s="103">
        <f>IF($B173="","",IFERROR(BDP($B173&amp;" Action","GREENSHOE_FACILITY"),""))</f>
        <v/>
      </c>
      <c r="H173" s="103">
        <f>IF($B173="","",IFERROR(BDP($B173&amp;" Action","OFFERING_GREENSHOE_SHARES_EX"),""))</f>
        <v/>
      </c>
      <c r="I173" s="16">
        <f>Database!Z173</f>
        <v/>
      </c>
      <c r="J173" s="24">
        <f>IFERROR(BDP(Database!$A173&amp;" HK Equity","PE_RATIO"),"")</f>
        <v/>
      </c>
      <c r="K173" s="10">
        <f>IFERROR(BDP(Database!$A173&amp;" HK Equity","A/H_SHARE_CONVERSION"),"")</f>
        <v/>
      </c>
      <c r="L173" s="16">
        <f>IF(Database!BA173="","(none found)",Database!BA173)</f>
        <v/>
      </c>
      <c r="M173" s="18">
        <f>IFERROR(BDH(Database!$A173&amp;" HK Equity","CUR_MKT_CAP",Database!$H173,Database!$H173),"")</f>
        <v/>
      </c>
      <c r="N173" s="99">
        <f>Database!Q173</f>
        <v/>
      </c>
      <c r="O173" s="24">
        <f>IFERROR(BDH(Database!$A173&amp;" HK Equity","PE_RATIO",Database!$H173,Database!$H173),"")</f>
        <v/>
      </c>
      <c r="P173" s="101">
        <f>IF(Database!AV173="","(n/m or not derivable)",Database!AV173)</f>
        <v/>
      </c>
      <c r="Q173" s="24">
        <f>IF(Database!BA173="","",IFERROR(BDH(LEFT(Database!BA173,FIND(".",Database!BA173)-1)&amp;" CH Equity","PE_RATIO",Database!$H173,Database!$H173),""))</f>
        <v/>
      </c>
      <c r="R173" s="24">
        <f>IF(Database!BA173="","",IFERROR(BDH("HSAHP Index","PX_LAST",Database!$H173,Database!$H173),""))</f>
        <v/>
      </c>
    </row>
    <row r="174">
      <c r="A174" s="16">
        <f>Database!A174&amp;"  "&amp;Database!B174</f>
        <v/>
      </c>
      <c r="B174" s="10">
        <f>IFERROR(INDEX(BDS(Database!$A174&amp;" HK Equity","EQUITY_OFFERINGS","array=t","endcol=1"),MATCH("IPO",BDS(Database!$A174&amp;" HK Equity","EQUITY_OFFERINGS","array=t","startcol=2","endcol=2"),0)),"")</f>
        <v/>
      </c>
      <c r="C174" s="103">
        <f>IF($B174="","",IFERROR(BDP($B174&amp;" Action","CP036"),""))</f>
        <v/>
      </c>
      <c r="D174" s="104">
        <f>Database!S174</f>
        <v/>
      </c>
      <c r="E174" s="103">
        <f>IF($B174="","",IFERROR(BDP($B174&amp;" Action","CP037"),""))</f>
        <v/>
      </c>
      <c r="F174" s="104">
        <f>Database!T174</f>
        <v/>
      </c>
      <c r="G174" s="103">
        <f>IF($B174="","",IFERROR(BDP($B174&amp;" Action","GREENSHOE_FACILITY"),""))</f>
        <v/>
      </c>
      <c r="H174" s="103">
        <f>IF($B174="","",IFERROR(BDP($B174&amp;" Action","OFFERING_GREENSHOE_SHARES_EX"),""))</f>
        <v/>
      </c>
      <c r="I174" s="16">
        <f>Database!Z174</f>
        <v/>
      </c>
      <c r="J174" s="24">
        <f>IFERROR(BDP(Database!$A174&amp;" HK Equity","PE_RATIO"),"")</f>
        <v/>
      </c>
      <c r="K174" s="10">
        <f>IFERROR(BDP(Database!$A174&amp;" HK Equity","A/H_SHARE_CONVERSION"),"")</f>
        <v/>
      </c>
      <c r="L174" s="16">
        <f>IF(Database!BA174="","(none found)",Database!BA174)</f>
        <v/>
      </c>
      <c r="M174" s="18">
        <f>IFERROR(BDH(Database!$A174&amp;" HK Equity","CUR_MKT_CAP",Database!$H174,Database!$H174),"")</f>
        <v/>
      </c>
      <c r="N174" s="99">
        <f>Database!Q174</f>
        <v/>
      </c>
      <c r="O174" s="24">
        <f>IFERROR(BDH(Database!$A174&amp;" HK Equity","PE_RATIO",Database!$H174,Database!$H174),"")</f>
        <v/>
      </c>
      <c r="P174" s="101">
        <f>IF(Database!AV174="","(n/m or not derivable)",Database!AV174)</f>
        <v/>
      </c>
      <c r="Q174" s="24">
        <f>IF(Database!BA174="","",IFERROR(BDH(LEFT(Database!BA174,FIND(".",Database!BA174)-1)&amp;" CH Equity","PE_RATIO",Database!$H174,Database!$H174),""))</f>
        <v/>
      </c>
      <c r="R174" s="24">
        <f>IF(Database!BA174="","",IFERROR(BDH("HSAHP Index","PX_LAST",Database!$H174,Database!$H174),""))</f>
        <v/>
      </c>
    </row>
    <row r="175">
      <c r="A175" s="16">
        <f>Database!A175&amp;"  "&amp;Database!B175</f>
        <v/>
      </c>
      <c r="B175" s="10">
        <f>IFERROR(INDEX(BDS(Database!$A175&amp;" HK Equity","EQUITY_OFFERINGS","array=t","endcol=1"),MATCH("IPO",BDS(Database!$A175&amp;" HK Equity","EQUITY_OFFERINGS","array=t","startcol=2","endcol=2"),0)),"")</f>
        <v/>
      </c>
      <c r="C175" s="103">
        <f>IF($B175="","",IFERROR(BDP($B175&amp;" Action","CP036"),""))</f>
        <v/>
      </c>
      <c r="D175" s="104">
        <f>Database!S175</f>
        <v/>
      </c>
      <c r="E175" s="103">
        <f>IF($B175="","",IFERROR(BDP($B175&amp;" Action","CP037"),""))</f>
        <v/>
      </c>
      <c r="F175" s="104">
        <f>Database!T175</f>
        <v/>
      </c>
      <c r="G175" s="103">
        <f>IF($B175="","",IFERROR(BDP($B175&amp;" Action","GREENSHOE_FACILITY"),""))</f>
        <v/>
      </c>
      <c r="H175" s="103">
        <f>IF($B175="","",IFERROR(BDP($B175&amp;" Action","OFFERING_GREENSHOE_SHARES_EX"),""))</f>
        <v/>
      </c>
      <c r="I175" s="16">
        <f>Database!Z175</f>
        <v/>
      </c>
      <c r="J175" s="24">
        <f>IFERROR(BDP(Database!$A175&amp;" HK Equity","PE_RATIO"),"")</f>
        <v/>
      </c>
      <c r="K175" s="10">
        <f>IFERROR(BDP(Database!$A175&amp;" HK Equity","A/H_SHARE_CONVERSION"),"")</f>
        <v/>
      </c>
      <c r="L175" s="16">
        <f>IF(Database!BA175="","(none found)",Database!BA175)</f>
        <v/>
      </c>
      <c r="M175" s="18">
        <f>IFERROR(BDH(Database!$A175&amp;" HK Equity","CUR_MKT_CAP",Database!$H175,Database!$H175),"")</f>
        <v/>
      </c>
      <c r="N175" s="99">
        <f>Database!Q175</f>
        <v/>
      </c>
      <c r="O175" s="24">
        <f>IFERROR(BDH(Database!$A175&amp;" HK Equity","PE_RATIO",Database!$H175,Database!$H175),"")</f>
        <v/>
      </c>
      <c r="P175" s="101">
        <f>IF(Database!AV175="","(n/m or not derivable)",Database!AV175)</f>
        <v/>
      </c>
      <c r="Q175" s="24">
        <f>IF(Database!BA175="","",IFERROR(BDH(LEFT(Database!BA175,FIND(".",Database!BA175)-1)&amp;" CH Equity","PE_RATIO",Database!$H175,Database!$H175),""))</f>
        <v/>
      </c>
      <c r="R175" s="24">
        <f>IF(Database!BA175="","",IFERROR(BDH("HSAHP Index","PX_LAST",Database!$H175,Database!$H175),""))</f>
        <v/>
      </c>
    </row>
    <row r="176">
      <c r="A176" s="16">
        <f>Database!A176&amp;"  "&amp;Database!B176</f>
        <v/>
      </c>
      <c r="B176" s="10">
        <f>IFERROR(INDEX(BDS(Database!$A176&amp;" HK Equity","EQUITY_OFFERINGS","array=t","endcol=1"),MATCH("IPO",BDS(Database!$A176&amp;" HK Equity","EQUITY_OFFERINGS","array=t","startcol=2","endcol=2"),0)),"")</f>
        <v/>
      </c>
      <c r="C176" s="103">
        <f>IF($B176="","",IFERROR(BDP($B176&amp;" Action","CP036"),""))</f>
        <v/>
      </c>
      <c r="D176" s="104">
        <f>Database!S176</f>
        <v/>
      </c>
      <c r="E176" s="103">
        <f>IF($B176="","",IFERROR(BDP($B176&amp;" Action","CP037"),""))</f>
        <v/>
      </c>
      <c r="F176" s="104">
        <f>Database!T176</f>
        <v/>
      </c>
      <c r="G176" s="103">
        <f>IF($B176="","",IFERROR(BDP($B176&amp;" Action","GREENSHOE_FACILITY"),""))</f>
        <v/>
      </c>
      <c r="H176" s="103">
        <f>IF($B176="","",IFERROR(BDP($B176&amp;" Action","OFFERING_GREENSHOE_SHARES_EX"),""))</f>
        <v/>
      </c>
      <c r="I176" s="16">
        <f>Database!Z176</f>
        <v/>
      </c>
      <c r="J176" s="24">
        <f>IFERROR(BDP(Database!$A176&amp;" HK Equity","PE_RATIO"),"")</f>
        <v/>
      </c>
      <c r="K176" s="10">
        <f>IFERROR(BDP(Database!$A176&amp;" HK Equity","A/H_SHARE_CONVERSION"),"")</f>
        <v/>
      </c>
      <c r="L176" s="16">
        <f>IF(Database!BA176="","(none found)",Database!BA176)</f>
        <v/>
      </c>
      <c r="M176" s="18">
        <f>IFERROR(BDH(Database!$A176&amp;" HK Equity","CUR_MKT_CAP",Database!$H176,Database!$H176),"")</f>
        <v/>
      </c>
      <c r="N176" s="99">
        <f>Database!Q176</f>
        <v/>
      </c>
      <c r="O176" s="24">
        <f>IFERROR(BDH(Database!$A176&amp;" HK Equity","PE_RATIO",Database!$H176,Database!$H176),"")</f>
        <v/>
      </c>
      <c r="P176" s="101">
        <f>IF(Database!AV176="","(n/m or not derivable)",Database!AV176)</f>
        <v/>
      </c>
      <c r="Q176" s="24">
        <f>IF(Database!BA176="","",IFERROR(BDH(LEFT(Database!BA176,FIND(".",Database!BA176)-1)&amp;" CH Equity","PE_RATIO",Database!$H176,Database!$H176),""))</f>
        <v/>
      </c>
      <c r="R176" s="24">
        <f>IF(Database!BA176="","",IFERROR(BDH("HSAHP Index","PX_LAST",Database!$H176,Database!$H176),""))</f>
        <v/>
      </c>
    </row>
    <row r="177">
      <c r="A177" s="16">
        <f>Database!A177&amp;"  "&amp;Database!B177</f>
        <v/>
      </c>
      <c r="B177" s="10">
        <f>IFERROR(INDEX(BDS(Database!$A177&amp;" HK Equity","EQUITY_OFFERINGS","array=t","endcol=1"),MATCH("IPO",BDS(Database!$A177&amp;" HK Equity","EQUITY_OFFERINGS","array=t","startcol=2","endcol=2"),0)),"")</f>
        <v/>
      </c>
      <c r="C177" s="103">
        <f>IF($B177="","",IFERROR(BDP($B177&amp;" Action","CP036"),""))</f>
        <v/>
      </c>
      <c r="D177" s="104">
        <f>Database!S177</f>
        <v/>
      </c>
      <c r="E177" s="103">
        <f>IF($B177="","",IFERROR(BDP($B177&amp;" Action","CP037"),""))</f>
        <v/>
      </c>
      <c r="F177" s="104">
        <f>Database!T177</f>
        <v/>
      </c>
      <c r="G177" s="103">
        <f>IF($B177="","",IFERROR(BDP($B177&amp;" Action","GREENSHOE_FACILITY"),""))</f>
        <v/>
      </c>
      <c r="H177" s="103">
        <f>IF($B177="","",IFERROR(BDP($B177&amp;" Action","OFFERING_GREENSHOE_SHARES_EX"),""))</f>
        <v/>
      </c>
      <c r="I177" s="16">
        <f>Database!Z177</f>
        <v/>
      </c>
      <c r="J177" s="24">
        <f>IFERROR(BDP(Database!$A177&amp;" HK Equity","PE_RATIO"),"")</f>
        <v/>
      </c>
      <c r="K177" s="10">
        <f>IFERROR(BDP(Database!$A177&amp;" HK Equity","A/H_SHARE_CONVERSION"),"")</f>
        <v/>
      </c>
      <c r="L177" s="16">
        <f>IF(Database!BA177="","(none found)",Database!BA177)</f>
        <v/>
      </c>
      <c r="M177" s="18">
        <f>IFERROR(BDH(Database!$A177&amp;" HK Equity","CUR_MKT_CAP",Database!$H177,Database!$H177),"")</f>
        <v/>
      </c>
      <c r="N177" s="99">
        <f>Database!Q177</f>
        <v/>
      </c>
      <c r="O177" s="24">
        <f>IFERROR(BDH(Database!$A177&amp;" HK Equity","PE_RATIO",Database!$H177,Database!$H177),"")</f>
        <v/>
      </c>
      <c r="P177" s="101">
        <f>IF(Database!AV177="","(n/m or not derivable)",Database!AV177)</f>
        <v/>
      </c>
      <c r="Q177" s="24">
        <f>IF(Database!BA177="","",IFERROR(BDH(LEFT(Database!BA177,FIND(".",Database!BA177)-1)&amp;" CH Equity","PE_RATIO",Database!$H177,Database!$H177),""))</f>
        <v/>
      </c>
      <c r="R177" s="24">
        <f>IF(Database!BA177="","",IFERROR(BDH("HSAHP Index","PX_LAST",Database!$H177,Database!$H177),""))</f>
        <v/>
      </c>
    </row>
    <row r="178">
      <c r="A178" s="16">
        <f>Database!A178&amp;"  "&amp;Database!B178</f>
        <v/>
      </c>
      <c r="B178" s="10">
        <f>IFERROR(INDEX(BDS(Database!$A178&amp;" HK Equity","EQUITY_OFFERINGS","array=t","endcol=1"),MATCH("IPO",BDS(Database!$A178&amp;" HK Equity","EQUITY_OFFERINGS","array=t","startcol=2","endcol=2"),0)),"")</f>
        <v/>
      </c>
      <c r="C178" s="103">
        <f>IF($B178="","",IFERROR(BDP($B178&amp;" Action","CP036"),""))</f>
        <v/>
      </c>
      <c r="D178" s="104">
        <f>Database!S178</f>
        <v/>
      </c>
      <c r="E178" s="103">
        <f>IF($B178="","",IFERROR(BDP($B178&amp;" Action","CP037"),""))</f>
        <v/>
      </c>
      <c r="F178" s="104">
        <f>Database!T178</f>
        <v/>
      </c>
      <c r="G178" s="103">
        <f>IF($B178="","",IFERROR(BDP($B178&amp;" Action","GREENSHOE_FACILITY"),""))</f>
        <v/>
      </c>
      <c r="H178" s="103">
        <f>IF($B178="","",IFERROR(BDP($B178&amp;" Action","OFFERING_GREENSHOE_SHARES_EX"),""))</f>
        <v/>
      </c>
      <c r="I178" s="16">
        <f>Database!Z178</f>
        <v/>
      </c>
      <c r="J178" s="24">
        <f>IFERROR(BDP(Database!$A178&amp;" HK Equity","PE_RATIO"),"")</f>
        <v/>
      </c>
      <c r="K178" s="10">
        <f>IFERROR(BDP(Database!$A178&amp;" HK Equity","A/H_SHARE_CONVERSION"),"")</f>
        <v/>
      </c>
      <c r="L178" s="16">
        <f>IF(Database!BA178="","(none found)",Database!BA178)</f>
        <v/>
      </c>
      <c r="M178" s="18">
        <f>IFERROR(BDH(Database!$A178&amp;" HK Equity","CUR_MKT_CAP",Database!$H178,Database!$H178),"")</f>
        <v/>
      </c>
      <c r="N178" s="99">
        <f>Database!Q178</f>
        <v/>
      </c>
      <c r="O178" s="24">
        <f>IFERROR(BDH(Database!$A178&amp;" HK Equity","PE_RATIO",Database!$H178,Database!$H178),"")</f>
        <v/>
      </c>
      <c r="P178" s="101">
        <f>IF(Database!AV178="","(n/m or not derivable)",Database!AV178)</f>
        <v/>
      </c>
      <c r="Q178" s="24">
        <f>IF(Database!BA178="","",IFERROR(BDH(LEFT(Database!BA178,FIND(".",Database!BA178)-1)&amp;" CH Equity","PE_RATIO",Database!$H178,Database!$H178),""))</f>
        <v/>
      </c>
      <c r="R178" s="24">
        <f>IF(Database!BA178="","",IFERROR(BDH("HSAHP Index","PX_LAST",Database!$H178,Database!$H178),""))</f>
        <v/>
      </c>
    </row>
    <row r="179">
      <c r="A179" s="16">
        <f>Database!A179&amp;"  "&amp;Database!B179</f>
        <v/>
      </c>
      <c r="B179" s="10">
        <f>IFERROR(INDEX(BDS(Database!$A179&amp;" HK Equity","EQUITY_OFFERINGS","array=t","endcol=1"),MATCH("IPO",BDS(Database!$A179&amp;" HK Equity","EQUITY_OFFERINGS","array=t","startcol=2","endcol=2"),0)),"")</f>
        <v/>
      </c>
      <c r="C179" s="103">
        <f>IF($B179="","",IFERROR(BDP($B179&amp;" Action","CP036"),""))</f>
        <v/>
      </c>
      <c r="D179" s="104">
        <f>Database!S179</f>
        <v/>
      </c>
      <c r="E179" s="103">
        <f>IF($B179="","",IFERROR(BDP($B179&amp;" Action","CP037"),""))</f>
        <v/>
      </c>
      <c r="F179" s="104">
        <f>Database!T179</f>
        <v/>
      </c>
      <c r="G179" s="103">
        <f>IF($B179="","",IFERROR(BDP($B179&amp;" Action","GREENSHOE_FACILITY"),""))</f>
        <v/>
      </c>
      <c r="H179" s="103">
        <f>IF($B179="","",IFERROR(BDP($B179&amp;" Action","OFFERING_GREENSHOE_SHARES_EX"),""))</f>
        <v/>
      </c>
      <c r="I179" s="16">
        <f>Database!Z179</f>
        <v/>
      </c>
      <c r="J179" s="24">
        <f>IFERROR(BDP(Database!$A179&amp;" HK Equity","PE_RATIO"),"")</f>
        <v/>
      </c>
      <c r="K179" s="10">
        <f>IFERROR(BDP(Database!$A179&amp;" HK Equity","A/H_SHARE_CONVERSION"),"")</f>
        <v/>
      </c>
      <c r="L179" s="16">
        <f>IF(Database!BA179="","(none found)",Database!BA179)</f>
        <v/>
      </c>
      <c r="M179" s="18">
        <f>IFERROR(BDH(Database!$A179&amp;" HK Equity","CUR_MKT_CAP",Database!$H179,Database!$H179),"")</f>
        <v/>
      </c>
      <c r="N179" s="99">
        <f>Database!Q179</f>
        <v/>
      </c>
      <c r="O179" s="24">
        <f>IFERROR(BDH(Database!$A179&amp;" HK Equity","PE_RATIO",Database!$H179,Database!$H179),"")</f>
        <v/>
      </c>
      <c r="P179" s="101">
        <f>IF(Database!AV179="","(n/m or not derivable)",Database!AV179)</f>
        <v/>
      </c>
      <c r="Q179" s="24">
        <f>IF(Database!BA179="","",IFERROR(BDH(LEFT(Database!BA179,FIND(".",Database!BA179)-1)&amp;" CH Equity","PE_RATIO",Database!$H179,Database!$H179),""))</f>
        <v/>
      </c>
      <c r="R179" s="24">
        <f>IF(Database!BA179="","",IFERROR(BDH("HSAHP Index","PX_LAST",Database!$H179,Database!$H179),""))</f>
        <v/>
      </c>
    </row>
    <row r="180">
      <c r="A180" s="16">
        <f>Database!A180&amp;"  "&amp;Database!B180</f>
        <v/>
      </c>
      <c r="B180" s="10">
        <f>IFERROR(INDEX(BDS(Database!$A180&amp;" HK Equity","EQUITY_OFFERINGS","array=t","endcol=1"),MATCH("IPO",BDS(Database!$A180&amp;" HK Equity","EQUITY_OFFERINGS","array=t","startcol=2","endcol=2"),0)),"")</f>
        <v/>
      </c>
      <c r="C180" s="103">
        <f>IF($B180="","",IFERROR(BDP($B180&amp;" Action","CP036"),""))</f>
        <v/>
      </c>
      <c r="D180" s="104">
        <f>Database!S180</f>
        <v/>
      </c>
      <c r="E180" s="103">
        <f>IF($B180="","",IFERROR(BDP($B180&amp;" Action","CP037"),""))</f>
        <v/>
      </c>
      <c r="F180" s="104">
        <f>Database!T180</f>
        <v/>
      </c>
      <c r="G180" s="103">
        <f>IF($B180="","",IFERROR(BDP($B180&amp;" Action","GREENSHOE_FACILITY"),""))</f>
        <v/>
      </c>
      <c r="H180" s="103">
        <f>IF($B180="","",IFERROR(BDP($B180&amp;" Action","OFFERING_GREENSHOE_SHARES_EX"),""))</f>
        <v/>
      </c>
      <c r="I180" s="16">
        <f>Database!Z180</f>
        <v/>
      </c>
      <c r="J180" s="24">
        <f>IFERROR(BDP(Database!$A180&amp;" HK Equity","PE_RATIO"),"")</f>
        <v/>
      </c>
      <c r="K180" s="10">
        <f>IFERROR(BDP(Database!$A180&amp;" HK Equity","A/H_SHARE_CONVERSION"),"")</f>
        <v/>
      </c>
      <c r="L180" s="16">
        <f>IF(Database!BA180="","(none found)",Database!BA180)</f>
        <v/>
      </c>
      <c r="M180" s="18">
        <f>IFERROR(BDH(Database!$A180&amp;" HK Equity","CUR_MKT_CAP",Database!$H180,Database!$H180),"")</f>
        <v/>
      </c>
      <c r="N180" s="99">
        <f>Database!Q180</f>
        <v/>
      </c>
      <c r="O180" s="24">
        <f>IFERROR(BDH(Database!$A180&amp;" HK Equity","PE_RATIO",Database!$H180,Database!$H180),"")</f>
        <v/>
      </c>
      <c r="P180" s="101">
        <f>IF(Database!AV180="","(n/m or not derivable)",Database!AV180)</f>
        <v/>
      </c>
      <c r="Q180" s="24">
        <f>IF(Database!BA180="","",IFERROR(BDH(LEFT(Database!BA180,FIND(".",Database!BA180)-1)&amp;" CH Equity","PE_RATIO",Database!$H180,Database!$H180),""))</f>
        <v/>
      </c>
      <c r="R180" s="24">
        <f>IF(Database!BA180="","",IFERROR(BDH("HSAHP Index","PX_LAST",Database!$H180,Database!$H180),""))</f>
        <v/>
      </c>
    </row>
    <row r="181">
      <c r="A181" s="16">
        <f>Database!A181&amp;"  "&amp;Database!B181</f>
        <v/>
      </c>
      <c r="B181" s="10">
        <f>IFERROR(INDEX(BDS(Database!$A181&amp;" HK Equity","EQUITY_OFFERINGS","array=t","endcol=1"),MATCH("IPO",BDS(Database!$A181&amp;" HK Equity","EQUITY_OFFERINGS","array=t","startcol=2","endcol=2"),0)),"")</f>
        <v/>
      </c>
      <c r="C181" s="103">
        <f>IF($B181="","",IFERROR(BDP($B181&amp;" Action","CP036"),""))</f>
        <v/>
      </c>
      <c r="D181" s="104">
        <f>Database!S181</f>
        <v/>
      </c>
      <c r="E181" s="103">
        <f>IF($B181="","",IFERROR(BDP($B181&amp;" Action","CP037"),""))</f>
        <v/>
      </c>
      <c r="F181" s="104">
        <f>Database!T181</f>
        <v/>
      </c>
      <c r="G181" s="103">
        <f>IF($B181="","",IFERROR(BDP($B181&amp;" Action","GREENSHOE_FACILITY"),""))</f>
        <v/>
      </c>
      <c r="H181" s="103">
        <f>IF($B181="","",IFERROR(BDP($B181&amp;" Action","OFFERING_GREENSHOE_SHARES_EX"),""))</f>
        <v/>
      </c>
      <c r="I181" s="16">
        <f>Database!Z181</f>
        <v/>
      </c>
      <c r="J181" s="24">
        <f>IFERROR(BDP(Database!$A181&amp;" HK Equity","PE_RATIO"),"")</f>
        <v/>
      </c>
      <c r="K181" s="10">
        <f>IFERROR(BDP(Database!$A181&amp;" HK Equity","A/H_SHARE_CONVERSION"),"")</f>
        <v/>
      </c>
      <c r="L181" s="16">
        <f>IF(Database!BA181="","(none found)",Database!BA181)</f>
        <v/>
      </c>
      <c r="M181" s="18">
        <f>IFERROR(BDH(Database!$A181&amp;" HK Equity","CUR_MKT_CAP",Database!$H181,Database!$H181),"")</f>
        <v/>
      </c>
      <c r="N181" s="99">
        <f>Database!Q181</f>
        <v/>
      </c>
      <c r="O181" s="24">
        <f>IFERROR(BDH(Database!$A181&amp;" HK Equity","PE_RATIO",Database!$H181,Database!$H181),"")</f>
        <v/>
      </c>
      <c r="P181" s="101">
        <f>IF(Database!AV181="","(n/m or not derivable)",Database!AV181)</f>
        <v/>
      </c>
      <c r="Q181" s="24">
        <f>IF(Database!BA181="","",IFERROR(BDH(LEFT(Database!BA181,FIND(".",Database!BA181)-1)&amp;" CH Equity","PE_RATIO",Database!$H181,Database!$H181),""))</f>
        <v/>
      </c>
      <c r="R181" s="24">
        <f>IF(Database!BA181="","",IFERROR(BDH("HSAHP Index","PX_LAST",Database!$H181,Database!$H181),""))</f>
        <v/>
      </c>
    </row>
    <row r="182">
      <c r="A182" s="16">
        <f>Database!A182&amp;"  "&amp;Database!B182</f>
        <v/>
      </c>
      <c r="B182" s="10">
        <f>IFERROR(INDEX(BDS(Database!$A182&amp;" HK Equity","EQUITY_OFFERINGS","array=t","endcol=1"),MATCH("IPO",BDS(Database!$A182&amp;" HK Equity","EQUITY_OFFERINGS","array=t","startcol=2","endcol=2"),0)),"")</f>
        <v/>
      </c>
      <c r="C182" s="103">
        <f>IF($B182="","",IFERROR(BDP($B182&amp;" Action","CP036"),""))</f>
        <v/>
      </c>
      <c r="D182" s="104">
        <f>Database!S182</f>
        <v/>
      </c>
      <c r="E182" s="103">
        <f>IF($B182="","",IFERROR(BDP($B182&amp;" Action","CP037"),""))</f>
        <v/>
      </c>
      <c r="F182" s="104">
        <f>Database!T182</f>
        <v/>
      </c>
      <c r="G182" s="103">
        <f>IF($B182="","",IFERROR(BDP($B182&amp;" Action","GREENSHOE_FACILITY"),""))</f>
        <v/>
      </c>
      <c r="H182" s="103">
        <f>IF($B182="","",IFERROR(BDP($B182&amp;" Action","OFFERING_GREENSHOE_SHARES_EX"),""))</f>
        <v/>
      </c>
      <c r="I182" s="16">
        <f>Database!Z182</f>
        <v/>
      </c>
      <c r="J182" s="24">
        <f>IFERROR(BDP(Database!$A182&amp;" HK Equity","PE_RATIO"),"")</f>
        <v/>
      </c>
      <c r="K182" s="10">
        <f>IFERROR(BDP(Database!$A182&amp;" HK Equity","A/H_SHARE_CONVERSION"),"")</f>
        <v/>
      </c>
      <c r="L182" s="16">
        <f>IF(Database!BA182="","(none found)",Database!BA182)</f>
        <v/>
      </c>
      <c r="M182" s="18">
        <f>IFERROR(BDH(Database!$A182&amp;" HK Equity","CUR_MKT_CAP",Database!$H182,Database!$H182),"")</f>
        <v/>
      </c>
      <c r="N182" s="99">
        <f>Database!Q182</f>
        <v/>
      </c>
      <c r="O182" s="24">
        <f>IFERROR(BDH(Database!$A182&amp;" HK Equity","PE_RATIO",Database!$H182,Database!$H182),"")</f>
        <v/>
      </c>
      <c r="P182" s="101">
        <f>IF(Database!AV182="","(n/m or not derivable)",Database!AV182)</f>
        <v/>
      </c>
      <c r="Q182" s="24">
        <f>IF(Database!BA182="","",IFERROR(BDH(LEFT(Database!BA182,FIND(".",Database!BA182)-1)&amp;" CH Equity","PE_RATIO",Database!$H182,Database!$H182),""))</f>
        <v/>
      </c>
      <c r="R182" s="24">
        <f>IF(Database!BA182="","",IFERROR(BDH("HSAHP Index","PX_LAST",Database!$H182,Database!$H182),""))</f>
        <v/>
      </c>
    </row>
    <row r="183">
      <c r="A183" s="16">
        <f>Database!A183&amp;"  "&amp;Database!B183</f>
        <v/>
      </c>
      <c r="B183" s="10">
        <f>IFERROR(INDEX(BDS(Database!$A183&amp;" HK Equity","EQUITY_OFFERINGS","array=t","endcol=1"),MATCH("IPO",BDS(Database!$A183&amp;" HK Equity","EQUITY_OFFERINGS","array=t","startcol=2","endcol=2"),0)),"")</f>
        <v/>
      </c>
      <c r="C183" s="103">
        <f>IF($B183="","",IFERROR(BDP($B183&amp;" Action","CP036"),""))</f>
        <v/>
      </c>
      <c r="D183" s="104">
        <f>Database!S183</f>
        <v/>
      </c>
      <c r="E183" s="103">
        <f>IF($B183="","",IFERROR(BDP($B183&amp;" Action","CP037"),""))</f>
        <v/>
      </c>
      <c r="F183" s="104">
        <f>Database!T183</f>
        <v/>
      </c>
      <c r="G183" s="103">
        <f>IF($B183="","",IFERROR(BDP($B183&amp;" Action","GREENSHOE_FACILITY"),""))</f>
        <v/>
      </c>
      <c r="H183" s="103">
        <f>IF($B183="","",IFERROR(BDP($B183&amp;" Action","OFFERING_GREENSHOE_SHARES_EX"),""))</f>
        <v/>
      </c>
      <c r="I183" s="16">
        <f>Database!Z183</f>
        <v/>
      </c>
      <c r="J183" s="24">
        <f>IFERROR(BDP(Database!$A183&amp;" HK Equity","PE_RATIO"),"")</f>
        <v/>
      </c>
      <c r="K183" s="10">
        <f>IFERROR(BDP(Database!$A183&amp;" HK Equity","A/H_SHARE_CONVERSION"),"")</f>
        <v/>
      </c>
      <c r="L183" s="16">
        <f>IF(Database!BA183="","(none found)",Database!BA183)</f>
        <v/>
      </c>
      <c r="M183" s="18">
        <f>IFERROR(BDH(Database!$A183&amp;" HK Equity","CUR_MKT_CAP",Database!$H183,Database!$H183),"")</f>
        <v/>
      </c>
      <c r="N183" s="99">
        <f>Database!Q183</f>
        <v/>
      </c>
      <c r="O183" s="24">
        <f>IFERROR(BDH(Database!$A183&amp;" HK Equity","PE_RATIO",Database!$H183,Database!$H183),"")</f>
        <v/>
      </c>
      <c r="P183" s="101">
        <f>IF(Database!AV183="","(n/m or not derivable)",Database!AV183)</f>
        <v/>
      </c>
      <c r="Q183" s="24">
        <f>IF(Database!BA183="","",IFERROR(BDH(LEFT(Database!BA183,FIND(".",Database!BA183)-1)&amp;" CH Equity","PE_RATIO",Database!$H183,Database!$H183),""))</f>
        <v/>
      </c>
      <c r="R183" s="24">
        <f>IF(Database!BA183="","",IFERROR(BDH("HSAHP Index","PX_LAST",Database!$H183,Database!$H183),""))</f>
        <v/>
      </c>
    </row>
    <row r="184">
      <c r="A184" s="16">
        <f>Database!A184&amp;"  "&amp;Database!B184</f>
        <v/>
      </c>
      <c r="B184" s="10">
        <f>IFERROR(INDEX(BDS(Database!$A184&amp;" HK Equity","EQUITY_OFFERINGS","array=t","endcol=1"),MATCH("IPO",BDS(Database!$A184&amp;" HK Equity","EQUITY_OFFERINGS","array=t","startcol=2","endcol=2"),0)),"")</f>
        <v/>
      </c>
      <c r="C184" s="103">
        <f>IF($B184="","",IFERROR(BDP($B184&amp;" Action","CP036"),""))</f>
        <v/>
      </c>
      <c r="D184" s="104">
        <f>Database!S184</f>
        <v/>
      </c>
      <c r="E184" s="103">
        <f>IF($B184="","",IFERROR(BDP($B184&amp;" Action","CP037"),""))</f>
        <v/>
      </c>
      <c r="F184" s="104">
        <f>Database!T184</f>
        <v/>
      </c>
      <c r="G184" s="103">
        <f>IF($B184="","",IFERROR(BDP($B184&amp;" Action","GREENSHOE_FACILITY"),""))</f>
        <v/>
      </c>
      <c r="H184" s="103">
        <f>IF($B184="","",IFERROR(BDP($B184&amp;" Action","OFFERING_GREENSHOE_SHARES_EX"),""))</f>
        <v/>
      </c>
      <c r="I184" s="16">
        <f>Database!Z184</f>
        <v/>
      </c>
      <c r="J184" s="24">
        <f>IFERROR(BDP(Database!$A184&amp;" HK Equity","PE_RATIO"),"")</f>
        <v/>
      </c>
      <c r="K184" s="10">
        <f>IFERROR(BDP(Database!$A184&amp;" HK Equity","A/H_SHARE_CONVERSION"),"")</f>
        <v/>
      </c>
      <c r="L184" s="16">
        <f>IF(Database!BA184="","(none found)",Database!BA184)</f>
        <v/>
      </c>
      <c r="M184" s="18">
        <f>IFERROR(BDH(Database!$A184&amp;" HK Equity","CUR_MKT_CAP",Database!$H184,Database!$H184),"")</f>
        <v/>
      </c>
      <c r="N184" s="99">
        <f>Database!Q184</f>
        <v/>
      </c>
      <c r="O184" s="24">
        <f>IFERROR(BDH(Database!$A184&amp;" HK Equity","PE_RATIO",Database!$H184,Database!$H184),"")</f>
        <v/>
      </c>
      <c r="P184" s="101">
        <f>IF(Database!AV184="","(n/m or not derivable)",Database!AV184)</f>
        <v/>
      </c>
      <c r="Q184" s="24">
        <f>IF(Database!BA184="","",IFERROR(BDH(LEFT(Database!BA184,FIND(".",Database!BA184)-1)&amp;" CH Equity","PE_RATIO",Database!$H184,Database!$H184),""))</f>
        <v/>
      </c>
      <c r="R184" s="24">
        <f>IF(Database!BA184="","",IFERROR(BDH("HSAHP Index","PX_LAST",Database!$H184,Database!$H184),""))</f>
        <v/>
      </c>
    </row>
    <row r="185">
      <c r="A185" s="16">
        <f>Database!A185&amp;"  "&amp;Database!B185</f>
        <v/>
      </c>
      <c r="B185" s="10">
        <f>IFERROR(INDEX(BDS(Database!$A185&amp;" HK Equity","EQUITY_OFFERINGS","array=t","endcol=1"),MATCH("IPO",BDS(Database!$A185&amp;" HK Equity","EQUITY_OFFERINGS","array=t","startcol=2","endcol=2"),0)),"")</f>
        <v/>
      </c>
      <c r="C185" s="103">
        <f>IF($B185="","",IFERROR(BDP($B185&amp;" Action","CP036"),""))</f>
        <v/>
      </c>
      <c r="D185" s="104">
        <f>Database!S185</f>
        <v/>
      </c>
      <c r="E185" s="103">
        <f>IF($B185="","",IFERROR(BDP($B185&amp;" Action","CP037"),""))</f>
        <v/>
      </c>
      <c r="F185" s="104">
        <f>Database!T185</f>
        <v/>
      </c>
      <c r="G185" s="103">
        <f>IF($B185="","",IFERROR(BDP($B185&amp;" Action","GREENSHOE_FACILITY"),""))</f>
        <v/>
      </c>
      <c r="H185" s="103">
        <f>IF($B185="","",IFERROR(BDP($B185&amp;" Action","OFFERING_GREENSHOE_SHARES_EX"),""))</f>
        <v/>
      </c>
      <c r="I185" s="16">
        <f>Database!Z185</f>
        <v/>
      </c>
      <c r="J185" s="24">
        <f>IFERROR(BDP(Database!$A185&amp;" HK Equity","PE_RATIO"),"")</f>
        <v/>
      </c>
      <c r="K185" s="10">
        <f>IFERROR(BDP(Database!$A185&amp;" HK Equity","A/H_SHARE_CONVERSION"),"")</f>
        <v/>
      </c>
      <c r="L185" s="16">
        <f>IF(Database!BA185="","(none found)",Database!BA185)</f>
        <v/>
      </c>
      <c r="M185" s="18">
        <f>IFERROR(BDH(Database!$A185&amp;" HK Equity","CUR_MKT_CAP",Database!$H185,Database!$H185),"")</f>
        <v/>
      </c>
      <c r="N185" s="99">
        <f>Database!Q185</f>
        <v/>
      </c>
      <c r="O185" s="24">
        <f>IFERROR(BDH(Database!$A185&amp;" HK Equity","PE_RATIO",Database!$H185,Database!$H185),"")</f>
        <v/>
      </c>
      <c r="P185" s="101">
        <f>IF(Database!AV185="","(n/m or not derivable)",Database!AV185)</f>
        <v/>
      </c>
      <c r="Q185" s="24">
        <f>IF(Database!BA185="","",IFERROR(BDH(LEFT(Database!BA185,FIND(".",Database!BA185)-1)&amp;" CH Equity","PE_RATIO",Database!$H185,Database!$H185),""))</f>
        <v/>
      </c>
      <c r="R185" s="24">
        <f>IF(Database!BA185="","",IFERROR(BDH("HSAHP Index","PX_LAST",Database!$H185,Database!$H185),""))</f>
        <v/>
      </c>
    </row>
    <row r="186">
      <c r="A186" s="16">
        <f>Database!A186&amp;"  "&amp;Database!B186</f>
        <v/>
      </c>
      <c r="B186" s="10">
        <f>IFERROR(INDEX(BDS(Database!$A186&amp;" HK Equity","EQUITY_OFFERINGS","array=t","endcol=1"),MATCH("IPO",BDS(Database!$A186&amp;" HK Equity","EQUITY_OFFERINGS","array=t","startcol=2","endcol=2"),0)),"")</f>
        <v/>
      </c>
      <c r="C186" s="103">
        <f>IF($B186="","",IFERROR(BDP($B186&amp;" Action","CP036"),""))</f>
        <v/>
      </c>
      <c r="D186" s="104">
        <f>Database!S186</f>
        <v/>
      </c>
      <c r="E186" s="103">
        <f>IF($B186="","",IFERROR(BDP($B186&amp;" Action","CP037"),""))</f>
        <v/>
      </c>
      <c r="F186" s="104">
        <f>Database!T186</f>
        <v/>
      </c>
      <c r="G186" s="103">
        <f>IF($B186="","",IFERROR(BDP($B186&amp;" Action","GREENSHOE_FACILITY"),""))</f>
        <v/>
      </c>
      <c r="H186" s="103">
        <f>IF($B186="","",IFERROR(BDP($B186&amp;" Action","OFFERING_GREENSHOE_SHARES_EX"),""))</f>
        <v/>
      </c>
      <c r="I186" s="16">
        <f>Database!Z186</f>
        <v/>
      </c>
      <c r="J186" s="24">
        <f>IFERROR(BDP(Database!$A186&amp;" HK Equity","PE_RATIO"),"")</f>
        <v/>
      </c>
      <c r="K186" s="10">
        <f>IFERROR(BDP(Database!$A186&amp;" HK Equity","A/H_SHARE_CONVERSION"),"")</f>
        <v/>
      </c>
      <c r="L186" s="16">
        <f>IF(Database!BA186="","(none found)",Database!BA186)</f>
        <v/>
      </c>
      <c r="M186" s="18">
        <f>IFERROR(BDH(Database!$A186&amp;" HK Equity","CUR_MKT_CAP",Database!$H186,Database!$H186),"")</f>
        <v/>
      </c>
      <c r="N186" s="99">
        <f>Database!Q186</f>
        <v/>
      </c>
      <c r="O186" s="24">
        <f>IFERROR(BDH(Database!$A186&amp;" HK Equity","PE_RATIO",Database!$H186,Database!$H186),"")</f>
        <v/>
      </c>
      <c r="P186" s="101">
        <f>IF(Database!AV186="","(n/m or not derivable)",Database!AV186)</f>
        <v/>
      </c>
      <c r="Q186" s="24">
        <f>IF(Database!BA186="","",IFERROR(BDH(LEFT(Database!BA186,FIND(".",Database!BA186)-1)&amp;" CH Equity","PE_RATIO",Database!$H186,Database!$H186),""))</f>
        <v/>
      </c>
      <c r="R186" s="24">
        <f>IF(Database!BA186="","",IFERROR(BDH("HSAHP Index","PX_LAST",Database!$H186,Database!$H186),""))</f>
        <v/>
      </c>
    </row>
    <row r="187">
      <c r="A187" s="16">
        <f>Database!A187&amp;"  "&amp;Database!B187</f>
        <v/>
      </c>
      <c r="B187" s="10">
        <f>IFERROR(INDEX(BDS(Database!$A187&amp;" HK Equity","EQUITY_OFFERINGS","array=t","endcol=1"),MATCH("IPO",BDS(Database!$A187&amp;" HK Equity","EQUITY_OFFERINGS","array=t","startcol=2","endcol=2"),0)),"")</f>
        <v/>
      </c>
      <c r="C187" s="103">
        <f>IF($B187="","",IFERROR(BDP($B187&amp;" Action","CP036"),""))</f>
        <v/>
      </c>
      <c r="D187" s="104">
        <f>Database!S187</f>
        <v/>
      </c>
      <c r="E187" s="103">
        <f>IF($B187="","",IFERROR(BDP($B187&amp;" Action","CP037"),""))</f>
        <v/>
      </c>
      <c r="F187" s="104">
        <f>Database!T187</f>
        <v/>
      </c>
      <c r="G187" s="103">
        <f>IF($B187="","",IFERROR(BDP($B187&amp;" Action","GREENSHOE_FACILITY"),""))</f>
        <v/>
      </c>
      <c r="H187" s="103">
        <f>IF($B187="","",IFERROR(BDP($B187&amp;" Action","OFFERING_GREENSHOE_SHARES_EX"),""))</f>
        <v/>
      </c>
      <c r="I187" s="16">
        <f>Database!Z187</f>
        <v/>
      </c>
      <c r="J187" s="24">
        <f>IFERROR(BDP(Database!$A187&amp;" HK Equity","PE_RATIO"),"")</f>
        <v/>
      </c>
      <c r="K187" s="10">
        <f>IFERROR(BDP(Database!$A187&amp;" HK Equity","A/H_SHARE_CONVERSION"),"")</f>
        <v/>
      </c>
      <c r="L187" s="16">
        <f>IF(Database!BA187="","(none found)",Database!BA187)</f>
        <v/>
      </c>
      <c r="M187" s="18">
        <f>IFERROR(BDH(Database!$A187&amp;" HK Equity","CUR_MKT_CAP",Database!$H187,Database!$H187),"")</f>
        <v/>
      </c>
      <c r="N187" s="99">
        <f>Database!Q187</f>
        <v/>
      </c>
      <c r="O187" s="24">
        <f>IFERROR(BDH(Database!$A187&amp;" HK Equity","PE_RATIO",Database!$H187,Database!$H187),"")</f>
        <v/>
      </c>
      <c r="P187" s="101">
        <f>IF(Database!AV187="","(n/m or not derivable)",Database!AV187)</f>
        <v/>
      </c>
      <c r="Q187" s="24">
        <f>IF(Database!BA187="","",IFERROR(BDH(LEFT(Database!BA187,FIND(".",Database!BA187)-1)&amp;" CH Equity","PE_RATIO",Database!$H187,Database!$H187),""))</f>
        <v/>
      </c>
      <c r="R187" s="24">
        <f>IF(Database!BA187="","",IFERROR(BDH("HSAHP Index","PX_LAST",Database!$H187,Database!$H187),""))</f>
        <v/>
      </c>
    </row>
    <row r="188">
      <c r="A188" s="16">
        <f>Database!A188&amp;"  "&amp;Database!B188</f>
        <v/>
      </c>
      <c r="B188" s="10">
        <f>IFERROR(INDEX(BDS(Database!$A188&amp;" HK Equity","EQUITY_OFFERINGS","array=t","endcol=1"),MATCH("IPO",BDS(Database!$A188&amp;" HK Equity","EQUITY_OFFERINGS","array=t","startcol=2","endcol=2"),0)),"")</f>
        <v/>
      </c>
      <c r="C188" s="103">
        <f>IF($B188="","",IFERROR(BDP($B188&amp;" Action","CP036"),""))</f>
        <v/>
      </c>
      <c r="D188" s="104">
        <f>Database!S188</f>
        <v/>
      </c>
      <c r="E188" s="103">
        <f>IF($B188="","",IFERROR(BDP($B188&amp;" Action","CP037"),""))</f>
        <v/>
      </c>
      <c r="F188" s="104">
        <f>Database!T188</f>
        <v/>
      </c>
      <c r="G188" s="103">
        <f>IF($B188="","",IFERROR(BDP($B188&amp;" Action","GREENSHOE_FACILITY"),""))</f>
        <v/>
      </c>
      <c r="H188" s="103">
        <f>IF($B188="","",IFERROR(BDP($B188&amp;" Action","OFFERING_GREENSHOE_SHARES_EX"),""))</f>
        <v/>
      </c>
      <c r="I188" s="16">
        <f>Database!Z188</f>
        <v/>
      </c>
      <c r="J188" s="24">
        <f>IFERROR(BDP(Database!$A188&amp;" HK Equity","PE_RATIO"),"")</f>
        <v/>
      </c>
      <c r="K188" s="10">
        <f>IFERROR(BDP(Database!$A188&amp;" HK Equity","A/H_SHARE_CONVERSION"),"")</f>
        <v/>
      </c>
      <c r="L188" s="16">
        <f>IF(Database!BA188="","(none found)",Database!BA188)</f>
        <v/>
      </c>
      <c r="M188" s="18">
        <f>IFERROR(BDH(Database!$A188&amp;" HK Equity","CUR_MKT_CAP",Database!$H188,Database!$H188),"")</f>
        <v/>
      </c>
      <c r="N188" s="99">
        <f>Database!Q188</f>
        <v/>
      </c>
      <c r="O188" s="24">
        <f>IFERROR(BDH(Database!$A188&amp;" HK Equity","PE_RATIO",Database!$H188,Database!$H188),"")</f>
        <v/>
      </c>
      <c r="P188" s="101">
        <f>IF(Database!AV188="","(n/m or not derivable)",Database!AV188)</f>
        <v/>
      </c>
      <c r="Q188" s="24">
        <f>IF(Database!BA188="","",IFERROR(BDH(LEFT(Database!BA188,FIND(".",Database!BA188)-1)&amp;" CH Equity","PE_RATIO",Database!$H188,Database!$H188),""))</f>
        <v/>
      </c>
      <c r="R188" s="24">
        <f>IF(Database!BA188="","",IFERROR(BDH("HSAHP Index","PX_LAST",Database!$H188,Database!$H188),""))</f>
        <v/>
      </c>
    </row>
    <row r="189">
      <c r="A189" s="16">
        <f>Database!A189&amp;"  "&amp;Database!B189</f>
        <v/>
      </c>
      <c r="B189" s="10">
        <f>IFERROR(INDEX(BDS(Database!$A189&amp;" HK Equity","EQUITY_OFFERINGS","array=t","endcol=1"),MATCH("IPO",BDS(Database!$A189&amp;" HK Equity","EQUITY_OFFERINGS","array=t","startcol=2","endcol=2"),0)),"")</f>
        <v/>
      </c>
      <c r="C189" s="103">
        <f>IF($B189="","",IFERROR(BDP($B189&amp;" Action","CP036"),""))</f>
        <v/>
      </c>
      <c r="D189" s="104">
        <f>Database!S189</f>
        <v/>
      </c>
      <c r="E189" s="103">
        <f>IF($B189="","",IFERROR(BDP($B189&amp;" Action","CP037"),""))</f>
        <v/>
      </c>
      <c r="F189" s="104">
        <f>Database!T189</f>
        <v/>
      </c>
      <c r="G189" s="103">
        <f>IF($B189="","",IFERROR(BDP($B189&amp;" Action","GREENSHOE_FACILITY"),""))</f>
        <v/>
      </c>
      <c r="H189" s="103">
        <f>IF($B189="","",IFERROR(BDP($B189&amp;" Action","OFFERING_GREENSHOE_SHARES_EX"),""))</f>
        <v/>
      </c>
      <c r="I189" s="16">
        <f>Database!Z189</f>
        <v/>
      </c>
      <c r="J189" s="24">
        <f>IFERROR(BDP(Database!$A189&amp;" HK Equity","PE_RATIO"),"")</f>
        <v/>
      </c>
      <c r="K189" s="10">
        <f>IFERROR(BDP(Database!$A189&amp;" HK Equity","A/H_SHARE_CONVERSION"),"")</f>
        <v/>
      </c>
      <c r="L189" s="16">
        <f>IF(Database!BA189="","(none found)",Database!BA189)</f>
        <v/>
      </c>
      <c r="M189" s="18">
        <f>IFERROR(BDH(Database!$A189&amp;" HK Equity","CUR_MKT_CAP",Database!$H189,Database!$H189),"")</f>
        <v/>
      </c>
      <c r="N189" s="99">
        <f>Database!Q189</f>
        <v/>
      </c>
      <c r="O189" s="24">
        <f>IFERROR(BDH(Database!$A189&amp;" HK Equity","PE_RATIO",Database!$H189,Database!$H189),"")</f>
        <v/>
      </c>
      <c r="P189" s="101">
        <f>IF(Database!AV189="","(n/m or not derivable)",Database!AV189)</f>
        <v/>
      </c>
      <c r="Q189" s="24">
        <f>IF(Database!BA189="","",IFERROR(BDH(LEFT(Database!BA189,FIND(".",Database!BA189)-1)&amp;" CH Equity","PE_RATIO",Database!$H189,Database!$H189),""))</f>
        <v/>
      </c>
      <c r="R189" s="24">
        <f>IF(Database!BA189="","",IFERROR(BDH("HSAHP Index","PX_LAST",Database!$H189,Database!$H189),""))</f>
        <v/>
      </c>
    </row>
    <row r="190">
      <c r="A190" s="16">
        <f>Database!A190&amp;"  "&amp;Database!B190</f>
        <v/>
      </c>
      <c r="B190" s="10">
        <f>IFERROR(INDEX(BDS(Database!$A190&amp;" HK Equity","EQUITY_OFFERINGS","array=t","endcol=1"),MATCH("IPO",BDS(Database!$A190&amp;" HK Equity","EQUITY_OFFERINGS","array=t","startcol=2","endcol=2"),0)),"")</f>
        <v/>
      </c>
      <c r="C190" s="103">
        <f>IF($B190="","",IFERROR(BDP($B190&amp;" Action","CP036"),""))</f>
        <v/>
      </c>
      <c r="D190" s="104">
        <f>Database!S190</f>
        <v/>
      </c>
      <c r="E190" s="103">
        <f>IF($B190="","",IFERROR(BDP($B190&amp;" Action","CP037"),""))</f>
        <v/>
      </c>
      <c r="F190" s="104">
        <f>Database!T190</f>
        <v/>
      </c>
      <c r="G190" s="103">
        <f>IF($B190="","",IFERROR(BDP($B190&amp;" Action","GREENSHOE_FACILITY"),""))</f>
        <v/>
      </c>
      <c r="H190" s="103">
        <f>IF($B190="","",IFERROR(BDP($B190&amp;" Action","OFFERING_GREENSHOE_SHARES_EX"),""))</f>
        <v/>
      </c>
      <c r="I190" s="16">
        <f>Database!Z190</f>
        <v/>
      </c>
      <c r="J190" s="24">
        <f>IFERROR(BDP(Database!$A190&amp;" HK Equity","PE_RATIO"),"")</f>
        <v/>
      </c>
      <c r="K190" s="10">
        <f>IFERROR(BDP(Database!$A190&amp;" HK Equity","A/H_SHARE_CONVERSION"),"")</f>
        <v/>
      </c>
      <c r="L190" s="16">
        <f>IF(Database!BA190="","(none found)",Database!BA190)</f>
        <v/>
      </c>
      <c r="M190" s="18">
        <f>IFERROR(BDH(Database!$A190&amp;" HK Equity","CUR_MKT_CAP",Database!$H190,Database!$H190),"")</f>
        <v/>
      </c>
      <c r="N190" s="99">
        <f>Database!Q190</f>
        <v/>
      </c>
      <c r="O190" s="24">
        <f>IFERROR(BDH(Database!$A190&amp;" HK Equity","PE_RATIO",Database!$H190,Database!$H190),"")</f>
        <v/>
      </c>
      <c r="P190" s="101">
        <f>IF(Database!AV190="","(n/m or not derivable)",Database!AV190)</f>
        <v/>
      </c>
      <c r="Q190" s="24">
        <f>IF(Database!BA190="","",IFERROR(BDH(LEFT(Database!BA190,FIND(".",Database!BA190)-1)&amp;" CH Equity","PE_RATIO",Database!$H190,Database!$H190),""))</f>
        <v/>
      </c>
      <c r="R190" s="24">
        <f>IF(Database!BA190="","",IFERROR(BDH("HSAHP Index","PX_LAST",Database!$H190,Database!$H190),""))</f>
        <v/>
      </c>
    </row>
    <row r="191">
      <c r="A191" s="16">
        <f>Database!A191&amp;"  "&amp;Database!B191</f>
        <v/>
      </c>
      <c r="B191" s="10">
        <f>IFERROR(INDEX(BDS(Database!$A191&amp;" HK Equity","EQUITY_OFFERINGS","array=t","endcol=1"),MATCH("IPO",BDS(Database!$A191&amp;" HK Equity","EQUITY_OFFERINGS","array=t","startcol=2","endcol=2"),0)),"")</f>
        <v/>
      </c>
      <c r="C191" s="103">
        <f>IF($B191="","",IFERROR(BDP($B191&amp;" Action","CP036"),""))</f>
        <v/>
      </c>
      <c r="D191" s="104">
        <f>Database!S191</f>
        <v/>
      </c>
      <c r="E191" s="103">
        <f>IF($B191="","",IFERROR(BDP($B191&amp;" Action","CP037"),""))</f>
        <v/>
      </c>
      <c r="F191" s="104">
        <f>Database!T191</f>
        <v/>
      </c>
      <c r="G191" s="103">
        <f>IF($B191="","",IFERROR(BDP($B191&amp;" Action","GREENSHOE_FACILITY"),""))</f>
        <v/>
      </c>
      <c r="H191" s="103">
        <f>IF($B191="","",IFERROR(BDP($B191&amp;" Action","OFFERING_GREENSHOE_SHARES_EX"),""))</f>
        <v/>
      </c>
      <c r="I191" s="16">
        <f>Database!Z191</f>
        <v/>
      </c>
      <c r="J191" s="24">
        <f>IFERROR(BDP(Database!$A191&amp;" HK Equity","PE_RATIO"),"")</f>
        <v/>
      </c>
      <c r="K191" s="10">
        <f>IFERROR(BDP(Database!$A191&amp;" HK Equity","A/H_SHARE_CONVERSION"),"")</f>
        <v/>
      </c>
      <c r="L191" s="16">
        <f>IF(Database!BA191="","(none found)",Database!BA191)</f>
        <v/>
      </c>
      <c r="M191" s="18">
        <f>IFERROR(BDH(Database!$A191&amp;" HK Equity","CUR_MKT_CAP",Database!$H191,Database!$H191),"")</f>
        <v/>
      </c>
      <c r="N191" s="99">
        <f>Database!Q191</f>
        <v/>
      </c>
      <c r="O191" s="24">
        <f>IFERROR(BDH(Database!$A191&amp;" HK Equity","PE_RATIO",Database!$H191,Database!$H191),"")</f>
        <v/>
      </c>
      <c r="P191" s="101">
        <f>IF(Database!AV191="","(n/m or not derivable)",Database!AV191)</f>
        <v/>
      </c>
      <c r="Q191" s="24">
        <f>IF(Database!BA191="","",IFERROR(BDH(LEFT(Database!BA191,FIND(".",Database!BA191)-1)&amp;" CH Equity","PE_RATIO",Database!$H191,Database!$H191),""))</f>
        <v/>
      </c>
      <c r="R191" s="24">
        <f>IF(Database!BA191="","",IFERROR(BDH("HSAHP Index","PX_LAST",Database!$H191,Database!$H191),""))</f>
        <v/>
      </c>
    </row>
    <row r="192">
      <c r="A192" s="16">
        <f>Database!A192&amp;"  "&amp;Database!B192</f>
        <v/>
      </c>
      <c r="B192" s="10">
        <f>IFERROR(INDEX(BDS(Database!$A192&amp;" HK Equity","EQUITY_OFFERINGS","array=t","endcol=1"),MATCH("IPO",BDS(Database!$A192&amp;" HK Equity","EQUITY_OFFERINGS","array=t","startcol=2","endcol=2"),0)),"")</f>
        <v/>
      </c>
      <c r="C192" s="103">
        <f>IF($B192="","",IFERROR(BDP($B192&amp;" Action","CP036"),""))</f>
        <v/>
      </c>
      <c r="D192" s="104">
        <f>Database!S192</f>
        <v/>
      </c>
      <c r="E192" s="103">
        <f>IF($B192="","",IFERROR(BDP($B192&amp;" Action","CP037"),""))</f>
        <v/>
      </c>
      <c r="F192" s="104">
        <f>Database!T192</f>
        <v/>
      </c>
      <c r="G192" s="103">
        <f>IF($B192="","",IFERROR(BDP($B192&amp;" Action","GREENSHOE_FACILITY"),""))</f>
        <v/>
      </c>
      <c r="H192" s="103">
        <f>IF($B192="","",IFERROR(BDP($B192&amp;" Action","OFFERING_GREENSHOE_SHARES_EX"),""))</f>
        <v/>
      </c>
      <c r="I192" s="16">
        <f>Database!Z192</f>
        <v/>
      </c>
      <c r="J192" s="24">
        <f>IFERROR(BDP(Database!$A192&amp;" HK Equity","PE_RATIO"),"")</f>
        <v/>
      </c>
      <c r="K192" s="10">
        <f>IFERROR(BDP(Database!$A192&amp;" HK Equity","A/H_SHARE_CONVERSION"),"")</f>
        <v/>
      </c>
      <c r="L192" s="16">
        <f>IF(Database!BA192="","(none found)",Database!BA192)</f>
        <v/>
      </c>
      <c r="M192" s="18">
        <f>IFERROR(BDH(Database!$A192&amp;" HK Equity","CUR_MKT_CAP",Database!$H192,Database!$H192),"")</f>
        <v/>
      </c>
      <c r="N192" s="99">
        <f>Database!Q192</f>
        <v/>
      </c>
      <c r="O192" s="24">
        <f>IFERROR(BDH(Database!$A192&amp;" HK Equity","PE_RATIO",Database!$H192,Database!$H192),"")</f>
        <v/>
      </c>
      <c r="P192" s="101">
        <f>IF(Database!AV192="","(n/m or not derivable)",Database!AV192)</f>
        <v/>
      </c>
      <c r="Q192" s="24">
        <f>IF(Database!BA192="","",IFERROR(BDH(LEFT(Database!BA192,FIND(".",Database!BA192)-1)&amp;" CH Equity","PE_RATIO",Database!$H192,Database!$H192),""))</f>
        <v/>
      </c>
      <c r="R192" s="24">
        <f>IF(Database!BA192="","",IFERROR(BDH("HSAHP Index","PX_LAST",Database!$H192,Database!$H192),""))</f>
        <v/>
      </c>
    </row>
    <row r="193">
      <c r="A193" s="16">
        <f>Database!A193&amp;"  "&amp;Database!B193</f>
        <v/>
      </c>
      <c r="B193" s="10">
        <f>IFERROR(INDEX(BDS(Database!$A193&amp;" HK Equity","EQUITY_OFFERINGS","array=t","endcol=1"),MATCH("IPO",BDS(Database!$A193&amp;" HK Equity","EQUITY_OFFERINGS","array=t","startcol=2","endcol=2"),0)),"")</f>
        <v/>
      </c>
      <c r="C193" s="103">
        <f>IF($B193="","",IFERROR(BDP($B193&amp;" Action","CP036"),""))</f>
        <v/>
      </c>
      <c r="D193" s="104">
        <f>Database!S193</f>
        <v/>
      </c>
      <c r="E193" s="103">
        <f>IF($B193="","",IFERROR(BDP($B193&amp;" Action","CP037"),""))</f>
        <v/>
      </c>
      <c r="F193" s="104">
        <f>Database!T193</f>
        <v/>
      </c>
      <c r="G193" s="103">
        <f>IF($B193="","",IFERROR(BDP($B193&amp;" Action","GREENSHOE_FACILITY"),""))</f>
        <v/>
      </c>
      <c r="H193" s="103">
        <f>IF($B193="","",IFERROR(BDP($B193&amp;" Action","OFFERING_GREENSHOE_SHARES_EX"),""))</f>
        <v/>
      </c>
      <c r="I193" s="16">
        <f>Database!Z193</f>
        <v/>
      </c>
      <c r="J193" s="24">
        <f>IFERROR(BDP(Database!$A193&amp;" HK Equity","PE_RATIO"),"")</f>
        <v/>
      </c>
      <c r="K193" s="10">
        <f>IFERROR(BDP(Database!$A193&amp;" HK Equity","A/H_SHARE_CONVERSION"),"")</f>
        <v/>
      </c>
      <c r="L193" s="16">
        <f>IF(Database!BA193="","(none found)",Database!BA193)</f>
        <v/>
      </c>
      <c r="M193" s="18">
        <f>IFERROR(BDH(Database!$A193&amp;" HK Equity","CUR_MKT_CAP",Database!$H193,Database!$H193),"")</f>
        <v/>
      </c>
      <c r="N193" s="99">
        <f>Database!Q193</f>
        <v/>
      </c>
      <c r="O193" s="24">
        <f>IFERROR(BDH(Database!$A193&amp;" HK Equity","PE_RATIO",Database!$H193,Database!$H193),"")</f>
        <v/>
      </c>
      <c r="P193" s="101">
        <f>IF(Database!AV193="","(n/m or not derivable)",Database!AV193)</f>
        <v/>
      </c>
      <c r="Q193" s="24">
        <f>IF(Database!BA193="","",IFERROR(BDH(LEFT(Database!BA193,FIND(".",Database!BA193)-1)&amp;" CH Equity","PE_RATIO",Database!$H193,Database!$H193),""))</f>
        <v/>
      </c>
      <c r="R193" s="24">
        <f>IF(Database!BA193="","",IFERROR(BDH("HSAHP Index","PX_LAST",Database!$H193,Database!$H193),""))</f>
        <v/>
      </c>
    </row>
    <row r="194">
      <c r="A194" s="16">
        <f>Database!A194&amp;"  "&amp;Database!B194</f>
        <v/>
      </c>
      <c r="B194" s="10">
        <f>IFERROR(INDEX(BDS(Database!$A194&amp;" HK Equity","EQUITY_OFFERINGS","array=t","endcol=1"),MATCH("IPO",BDS(Database!$A194&amp;" HK Equity","EQUITY_OFFERINGS","array=t","startcol=2","endcol=2"),0)),"")</f>
        <v/>
      </c>
      <c r="C194" s="103">
        <f>IF($B194="","",IFERROR(BDP($B194&amp;" Action","CP036"),""))</f>
        <v/>
      </c>
      <c r="D194" s="104">
        <f>Database!S194</f>
        <v/>
      </c>
      <c r="E194" s="103">
        <f>IF($B194="","",IFERROR(BDP($B194&amp;" Action","CP037"),""))</f>
        <v/>
      </c>
      <c r="F194" s="104">
        <f>Database!T194</f>
        <v/>
      </c>
      <c r="G194" s="103">
        <f>IF($B194="","",IFERROR(BDP($B194&amp;" Action","GREENSHOE_FACILITY"),""))</f>
        <v/>
      </c>
      <c r="H194" s="103">
        <f>IF($B194="","",IFERROR(BDP($B194&amp;" Action","OFFERING_GREENSHOE_SHARES_EX"),""))</f>
        <v/>
      </c>
      <c r="I194" s="16">
        <f>Database!Z194</f>
        <v/>
      </c>
      <c r="J194" s="24">
        <f>IFERROR(BDP(Database!$A194&amp;" HK Equity","PE_RATIO"),"")</f>
        <v/>
      </c>
      <c r="K194" s="10">
        <f>IFERROR(BDP(Database!$A194&amp;" HK Equity","A/H_SHARE_CONVERSION"),"")</f>
        <v/>
      </c>
      <c r="L194" s="16">
        <f>IF(Database!BA194="","(none found)",Database!BA194)</f>
        <v/>
      </c>
      <c r="M194" s="18">
        <f>IFERROR(BDH(Database!$A194&amp;" HK Equity","CUR_MKT_CAP",Database!$H194,Database!$H194),"")</f>
        <v/>
      </c>
      <c r="N194" s="99">
        <f>Database!Q194</f>
        <v/>
      </c>
      <c r="O194" s="24">
        <f>IFERROR(BDH(Database!$A194&amp;" HK Equity","PE_RATIO",Database!$H194,Database!$H194),"")</f>
        <v/>
      </c>
      <c r="P194" s="101">
        <f>IF(Database!AV194="","(n/m or not derivable)",Database!AV194)</f>
        <v/>
      </c>
      <c r="Q194" s="24">
        <f>IF(Database!BA194="","",IFERROR(BDH(LEFT(Database!BA194,FIND(".",Database!BA194)-1)&amp;" CH Equity","PE_RATIO",Database!$H194,Database!$H194),""))</f>
        <v/>
      </c>
      <c r="R194" s="24">
        <f>IF(Database!BA194="","",IFERROR(BDH("HSAHP Index","PX_LAST",Database!$H194,Database!$H194),""))</f>
        <v/>
      </c>
    </row>
    <row r="195">
      <c r="A195" s="16">
        <f>Database!A195&amp;"  "&amp;Database!B195</f>
        <v/>
      </c>
      <c r="B195" s="10">
        <f>IFERROR(INDEX(BDS(Database!$A195&amp;" HK Equity","EQUITY_OFFERINGS","array=t","endcol=1"),MATCH("IPO",BDS(Database!$A195&amp;" HK Equity","EQUITY_OFFERINGS","array=t","startcol=2","endcol=2"),0)),"")</f>
        <v/>
      </c>
      <c r="C195" s="103">
        <f>IF($B195="","",IFERROR(BDP($B195&amp;" Action","CP036"),""))</f>
        <v/>
      </c>
      <c r="D195" s="104">
        <f>Database!S195</f>
        <v/>
      </c>
      <c r="E195" s="103">
        <f>IF($B195="","",IFERROR(BDP($B195&amp;" Action","CP037"),""))</f>
        <v/>
      </c>
      <c r="F195" s="104">
        <f>Database!T195</f>
        <v/>
      </c>
      <c r="G195" s="103">
        <f>IF($B195="","",IFERROR(BDP($B195&amp;" Action","GREENSHOE_FACILITY"),""))</f>
        <v/>
      </c>
      <c r="H195" s="103">
        <f>IF($B195="","",IFERROR(BDP($B195&amp;" Action","OFFERING_GREENSHOE_SHARES_EX"),""))</f>
        <v/>
      </c>
      <c r="I195" s="16">
        <f>Database!Z195</f>
        <v/>
      </c>
      <c r="J195" s="24">
        <f>IFERROR(BDP(Database!$A195&amp;" HK Equity","PE_RATIO"),"")</f>
        <v/>
      </c>
      <c r="K195" s="10">
        <f>IFERROR(BDP(Database!$A195&amp;" HK Equity","A/H_SHARE_CONVERSION"),"")</f>
        <v/>
      </c>
      <c r="L195" s="16">
        <f>IF(Database!BA195="","(none found)",Database!BA195)</f>
        <v/>
      </c>
      <c r="M195" s="18">
        <f>IFERROR(BDH(Database!$A195&amp;" HK Equity","CUR_MKT_CAP",Database!$H195,Database!$H195),"")</f>
        <v/>
      </c>
      <c r="N195" s="99">
        <f>Database!Q195</f>
        <v/>
      </c>
      <c r="O195" s="24">
        <f>IFERROR(BDH(Database!$A195&amp;" HK Equity","PE_RATIO",Database!$H195,Database!$H195),"")</f>
        <v/>
      </c>
      <c r="P195" s="101">
        <f>IF(Database!AV195="","(n/m or not derivable)",Database!AV195)</f>
        <v/>
      </c>
      <c r="Q195" s="24">
        <f>IF(Database!BA195="","",IFERROR(BDH(LEFT(Database!BA195,FIND(".",Database!BA195)-1)&amp;" CH Equity","PE_RATIO",Database!$H195,Database!$H195),""))</f>
        <v/>
      </c>
      <c r="R195" s="24">
        <f>IF(Database!BA195="","",IFERROR(BDH("HSAHP Index","PX_LAST",Database!$H195,Database!$H195),""))</f>
        <v/>
      </c>
    </row>
    <row r="196">
      <c r="A196" s="16">
        <f>Database!A196&amp;"  "&amp;Database!B196</f>
        <v/>
      </c>
      <c r="B196" s="10">
        <f>IFERROR(INDEX(BDS(Database!$A196&amp;" HK Equity","EQUITY_OFFERINGS","array=t","endcol=1"),MATCH("IPO",BDS(Database!$A196&amp;" HK Equity","EQUITY_OFFERINGS","array=t","startcol=2","endcol=2"),0)),"")</f>
        <v/>
      </c>
      <c r="C196" s="103">
        <f>IF($B196="","",IFERROR(BDP($B196&amp;" Action","CP036"),""))</f>
        <v/>
      </c>
      <c r="D196" s="104">
        <f>Database!S196</f>
        <v/>
      </c>
      <c r="E196" s="103">
        <f>IF($B196="","",IFERROR(BDP($B196&amp;" Action","CP037"),""))</f>
        <v/>
      </c>
      <c r="F196" s="104">
        <f>Database!T196</f>
        <v/>
      </c>
      <c r="G196" s="103">
        <f>IF($B196="","",IFERROR(BDP($B196&amp;" Action","GREENSHOE_FACILITY"),""))</f>
        <v/>
      </c>
      <c r="H196" s="103">
        <f>IF($B196="","",IFERROR(BDP($B196&amp;" Action","OFFERING_GREENSHOE_SHARES_EX"),""))</f>
        <v/>
      </c>
      <c r="I196" s="16">
        <f>Database!Z196</f>
        <v/>
      </c>
      <c r="J196" s="24">
        <f>IFERROR(BDP(Database!$A196&amp;" HK Equity","PE_RATIO"),"")</f>
        <v/>
      </c>
      <c r="K196" s="10">
        <f>IFERROR(BDP(Database!$A196&amp;" HK Equity","A/H_SHARE_CONVERSION"),"")</f>
        <v/>
      </c>
      <c r="L196" s="16">
        <f>IF(Database!BA196="","(none found)",Database!BA196)</f>
        <v/>
      </c>
      <c r="M196" s="18">
        <f>IFERROR(BDH(Database!$A196&amp;" HK Equity","CUR_MKT_CAP",Database!$H196,Database!$H196),"")</f>
        <v/>
      </c>
      <c r="N196" s="99">
        <f>Database!Q196</f>
        <v/>
      </c>
      <c r="O196" s="24">
        <f>IFERROR(BDH(Database!$A196&amp;" HK Equity","PE_RATIO",Database!$H196,Database!$H196),"")</f>
        <v/>
      </c>
      <c r="P196" s="101">
        <f>IF(Database!AV196="","(n/m or not derivable)",Database!AV196)</f>
        <v/>
      </c>
      <c r="Q196" s="24">
        <f>IF(Database!BA196="","",IFERROR(BDH(LEFT(Database!BA196,FIND(".",Database!BA196)-1)&amp;" CH Equity","PE_RATIO",Database!$H196,Database!$H196),""))</f>
        <v/>
      </c>
      <c r="R196" s="24">
        <f>IF(Database!BA196="","",IFERROR(BDH("HSAHP Index","PX_LAST",Database!$H196,Database!$H196),""))</f>
        <v/>
      </c>
    </row>
    <row r="197">
      <c r="A197" s="16">
        <f>Database!A197&amp;"  "&amp;Database!B197</f>
        <v/>
      </c>
      <c r="B197" s="10">
        <f>IFERROR(INDEX(BDS(Database!$A197&amp;" HK Equity","EQUITY_OFFERINGS","array=t","endcol=1"),MATCH("IPO",BDS(Database!$A197&amp;" HK Equity","EQUITY_OFFERINGS","array=t","startcol=2","endcol=2"),0)),"")</f>
        <v/>
      </c>
      <c r="C197" s="103">
        <f>IF($B197="","",IFERROR(BDP($B197&amp;" Action","CP036"),""))</f>
        <v/>
      </c>
      <c r="D197" s="104">
        <f>Database!S197</f>
        <v/>
      </c>
      <c r="E197" s="103">
        <f>IF($B197="","",IFERROR(BDP($B197&amp;" Action","CP037"),""))</f>
        <v/>
      </c>
      <c r="F197" s="104">
        <f>Database!T197</f>
        <v/>
      </c>
      <c r="G197" s="103">
        <f>IF($B197="","",IFERROR(BDP($B197&amp;" Action","GREENSHOE_FACILITY"),""))</f>
        <v/>
      </c>
      <c r="H197" s="103">
        <f>IF($B197="","",IFERROR(BDP($B197&amp;" Action","OFFERING_GREENSHOE_SHARES_EX"),""))</f>
        <v/>
      </c>
      <c r="I197" s="16">
        <f>Database!Z197</f>
        <v/>
      </c>
      <c r="J197" s="24">
        <f>IFERROR(BDP(Database!$A197&amp;" HK Equity","PE_RATIO"),"")</f>
        <v/>
      </c>
      <c r="K197" s="10">
        <f>IFERROR(BDP(Database!$A197&amp;" HK Equity","A/H_SHARE_CONVERSION"),"")</f>
        <v/>
      </c>
      <c r="L197" s="16">
        <f>IF(Database!BA197="","(none found)",Database!BA197)</f>
        <v/>
      </c>
      <c r="M197" s="18">
        <f>IFERROR(BDH(Database!$A197&amp;" HK Equity","CUR_MKT_CAP",Database!$H197,Database!$H197),"")</f>
        <v/>
      </c>
      <c r="N197" s="99">
        <f>Database!Q197</f>
        <v/>
      </c>
      <c r="O197" s="24">
        <f>IFERROR(BDH(Database!$A197&amp;" HK Equity","PE_RATIO",Database!$H197,Database!$H197),"")</f>
        <v/>
      </c>
      <c r="P197" s="101">
        <f>IF(Database!AV197="","(n/m or not derivable)",Database!AV197)</f>
        <v/>
      </c>
      <c r="Q197" s="24">
        <f>IF(Database!BA197="","",IFERROR(BDH(LEFT(Database!BA197,FIND(".",Database!BA197)-1)&amp;" CH Equity","PE_RATIO",Database!$H197,Database!$H197),""))</f>
        <v/>
      </c>
      <c r="R197" s="24">
        <f>IF(Database!BA197="","",IFERROR(BDH("HSAHP Index","PX_LAST",Database!$H197,Database!$H197),""))</f>
        <v/>
      </c>
    </row>
    <row r="198">
      <c r="A198" s="16">
        <f>Database!A198&amp;"  "&amp;Database!B198</f>
        <v/>
      </c>
      <c r="B198" s="10">
        <f>IFERROR(INDEX(BDS(Database!$A198&amp;" HK Equity","EQUITY_OFFERINGS","array=t","endcol=1"),MATCH("IPO",BDS(Database!$A198&amp;" HK Equity","EQUITY_OFFERINGS","array=t","startcol=2","endcol=2"),0)),"")</f>
        <v/>
      </c>
      <c r="C198" s="103">
        <f>IF($B198="","",IFERROR(BDP($B198&amp;" Action","CP036"),""))</f>
        <v/>
      </c>
      <c r="D198" s="104">
        <f>Database!S198</f>
        <v/>
      </c>
      <c r="E198" s="103">
        <f>IF($B198="","",IFERROR(BDP($B198&amp;" Action","CP037"),""))</f>
        <v/>
      </c>
      <c r="F198" s="104">
        <f>Database!T198</f>
        <v/>
      </c>
      <c r="G198" s="103">
        <f>IF($B198="","",IFERROR(BDP($B198&amp;" Action","GREENSHOE_FACILITY"),""))</f>
        <v/>
      </c>
      <c r="H198" s="103">
        <f>IF($B198="","",IFERROR(BDP($B198&amp;" Action","OFFERING_GREENSHOE_SHARES_EX"),""))</f>
        <v/>
      </c>
      <c r="I198" s="16">
        <f>Database!Z198</f>
        <v/>
      </c>
      <c r="J198" s="24">
        <f>IFERROR(BDP(Database!$A198&amp;" HK Equity","PE_RATIO"),"")</f>
        <v/>
      </c>
      <c r="K198" s="10">
        <f>IFERROR(BDP(Database!$A198&amp;" HK Equity","A/H_SHARE_CONVERSION"),"")</f>
        <v/>
      </c>
      <c r="L198" s="16">
        <f>IF(Database!BA198="","(none found)",Database!BA198)</f>
        <v/>
      </c>
      <c r="M198" s="18">
        <f>IFERROR(BDH(Database!$A198&amp;" HK Equity","CUR_MKT_CAP",Database!$H198,Database!$H198),"")</f>
        <v/>
      </c>
      <c r="N198" s="99">
        <f>Database!Q198</f>
        <v/>
      </c>
      <c r="O198" s="24">
        <f>IFERROR(BDH(Database!$A198&amp;" HK Equity","PE_RATIO",Database!$H198,Database!$H198),"")</f>
        <v/>
      </c>
      <c r="P198" s="101">
        <f>IF(Database!AV198="","(n/m or not derivable)",Database!AV198)</f>
        <v/>
      </c>
      <c r="Q198" s="24">
        <f>IF(Database!BA198="","",IFERROR(BDH(LEFT(Database!BA198,FIND(".",Database!BA198)-1)&amp;" CH Equity","PE_RATIO",Database!$H198,Database!$H198),""))</f>
        <v/>
      </c>
      <c r="R198" s="24">
        <f>IF(Database!BA198="","",IFERROR(BDH("HSAHP Index","PX_LAST",Database!$H198,Database!$H198),""))</f>
        <v/>
      </c>
    </row>
    <row r="199">
      <c r="A199" s="16">
        <f>Database!A199&amp;"  "&amp;Database!B199</f>
        <v/>
      </c>
      <c r="B199" s="10">
        <f>IFERROR(INDEX(BDS(Database!$A199&amp;" HK Equity","EQUITY_OFFERINGS","array=t","endcol=1"),MATCH("IPO",BDS(Database!$A199&amp;" HK Equity","EQUITY_OFFERINGS","array=t","startcol=2","endcol=2"),0)),"")</f>
        <v/>
      </c>
      <c r="C199" s="103">
        <f>IF($B199="","",IFERROR(BDP($B199&amp;" Action","CP036"),""))</f>
        <v/>
      </c>
      <c r="D199" s="104">
        <f>Database!S199</f>
        <v/>
      </c>
      <c r="E199" s="103">
        <f>IF($B199="","",IFERROR(BDP($B199&amp;" Action","CP037"),""))</f>
        <v/>
      </c>
      <c r="F199" s="104">
        <f>Database!T199</f>
        <v/>
      </c>
      <c r="G199" s="103">
        <f>IF($B199="","",IFERROR(BDP($B199&amp;" Action","GREENSHOE_FACILITY"),""))</f>
        <v/>
      </c>
      <c r="H199" s="103">
        <f>IF($B199="","",IFERROR(BDP($B199&amp;" Action","OFFERING_GREENSHOE_SHARES_EX"),""))</f>
        <v/>
      </c>
      <c r="I199" s="16">
        <f>Database!Z199</f>
        <v/>
      </c>
      <c r="J199" s="24">
        <f>IFERROR(BDP(Database!$A199&amp;" HK Equity","PE_RATIO"),"")</f>
        <v/>
      </c>
      <c r="K199" s="10">
        <f>IFERROR(BDP(Database!$A199&amp;" HK Equity","A/H_SHARE_CONVERSION"),"")</f>
        <v/>
      </c>
      <c r="L199" s="16">
        <f>IF(Database!BA199="","(none found)",Database!BA199)</f>
        <v/>
      </c>
      <c r="M199" s="18">
        <f>IFERROR(BDH(Database!$A199&amp;" HK Equity","CUR_MKT_CAP",Database!$H199,Database!$H199),"")</f>
        <v/>
      </c>
      <c r="N199" s="99">
        <f>Database!Q199</f>
        <v/>
      </c>
      <c r="O199" s="24">
        <f>IFERROR(BDH(Database!$A199&amp;" HK Equity","PE_RATIO",Database!$H199,Database!$H199),"")</f>
        <v/>
      </c>
      <c r="P199" s="101">
        <f>IF(Database!AV199="","(n/m or not derivable)",Database!AV199)</f>
        <v/>
      </c>
      <c r="Q199" s="24">
        <f>IF(Database!BA199="","",IFERROR(BDH(LEFT(Database!BA199,FIND(".",Database!BA199)-1)&amp;" CH Equity","PE_RATIO",Database!$H199,Database!$H199),""))</f>
        <v/>
      </c>
      <c r="R199" s="24">
        <f>IF(Database!BA199="","",IFERROR(BDH("HSAHP Index","PX_LAST",Database!$H199,Database!$H199),""))</f>
        <v/>
      </c>
    </row>
    <row r="200">
      <c r="A200" s="16">
        <f>Database!A200&amp;"  "&amp;Database!B200</f>
        <v/>
      </c>
      <c r="B200" s="10">
        <f>IFERROR(INDEX(BDS(Database!$A200&amp;" HK Equity","EQUITY_OFFERINGS","array=t","endcol=1"),MATCH("IPO",BDS(Database!$A200&amp;" HK Equity","EQUITY_OFFERINGS","array=t","startcol=2","endcol=2"),0)),"")</f>
        <v/>
      </c>
      <c r="C200" s="103">
        <f>IF($B200="","",IFERROR(BDP($B200&amp;" Action","CP036"),""))</f>
        <v/>
      </c>
      <c r="D200" s="104">
        <f>Database!S200</f>
        <v/>
      </c>
      <c r="E200" s="103">
        <f>IF($B200="","",IFERROR(BDP($B200&amp;" Action","CP037"),""))</f>
        <v/>
      </c>
      <c r="F200" s="104">
        <f>Database!T200</f>
        <v/>
      </c>
      <c r="G200" s="103">
        <f>IF($B200="","",IFERROR(BDP($B200&amp;" Action","GREENSHOE_FACILITY"),""))</f>
        <v/>
      </c>
      <c r="H200" s="103">
        <f>IF($B200="","",IFERROR(BDP($B200&amp;" Action","OFFERING_GREENSHOE_SHARES_EX"),""))</f>
        <v/>
      </c>
      <c r="I200" s="16">
        <f>Database!Z200</f>
        <v/>
      </c>
      <c r="J200" s="24">
        <f>IFERROR(BDP(Database!$A200&amp;" HK Equity","PE_RATIO"),"")</f>
        <v/>
      </c>
      <c r="K200" s="10">
        <f>IFERROR(BDP(Database!$A200&amp;" HK Equity","A/H_SHARE_CONVERSION"),"")</f>
        <v/>
      </c>
      <c r="L200" s="16">
        <f>IF(Database!BA200="","(none found)",Database!BA200)</f>
        <v/>
      </c>
      <c r="M200" s="18">
        <f>IFERROR(BDH(Database!$A200&amp;" HK Equity","CUR_MKT_CAP",Database!$H200,Database!$H200),"")</f>
        <v/>
      </c>
      <c r="N200" s="99">
        <f>Database!Q200</f>
        <v/>
      </c>
      <c r="O200" s="24">
        <f>IFERROR(BDH(Database!$A200&amp;" HK Equity","PE_RATIO",Database!$H200,Database!$H200),"")</f>
        <v/>
      </c>
      <c r="P200" s="101">
        <f>IF(Database!AV200="","(n/m or not derivable)",Database!AV200)</f>
        <v/>
      </c>
      <c r="Q200" s="24">
        <f>IF(Database!BA200="","",IFERROR(BDH(LEFT(Database!BA200,FIND(".",Database!BA200)-1)&amp;" CH Equity","PE_RATIO",Database!$H200,Database!$H200),""))</f>
        <v/>
      </c>
      <c r="R200" s="24">
        <f>IF(Database!BA200="","",IFERROR(BDH("HSAHP Index","PX_LAST",Database!$H200,Database!$H200),""))</f>
        <v/>
      </c>
    </row>
    <row r="201">
      <c r="A201" s="16">
        <f>Database!A201&amp;"  "&amp;Database!B201</f>
        <v/>
      </c>
      <c r="B201" s="10">
        <f>IFERROR(INDEX(BDS(Database!$A201&amp;" HK Equity","EQUITY_OFFERINGS","array=t","endcol=1"),MATCH("IPO",BDS(Database!$A201&amp;" HK Equity","EQUITY_OFFERINGS","array=t","startcol=2","endcol=2"),0)),"")</f>
        <v/>
      </c>
      <c r="C201" s="103">
        <f>IF($B201="","",IFERROR(BDP($B201&amp;" Action","CP036"),""))</f>
        <v/>
      </c>
      <c r="D201" s="104">
        <f>Database!S201</f>
        <v/>
      </c>
      <c r="E201" s="103">
        <f>IF($B201="","",IFERROR(BDP($B201&amp;" Action","CP037"),""))</f>
        <v/>
      </c>
      <c r="F201" s="104">
        <f>Database!T201</f>
        <v/>
      </c>
      <c r="G201" s="103">
        <f>IF($B201="","",IFERROR(BDP($B201&amp;" Action","GREENSHOE_FACILITY"),""))</f>
        <v/>
      </c>
      <c r="H201" s="103">
        <f>IF($B201="","",IFERROR(BDP($B201&amp;" Action","OFFERING_GREENSHOE_SHARES_EX"),""))</f>
        <v/>
      </c>
      <c r="I201" s="16">
        <f>Database!Z201</f>
        <v/>
      </c>
      <c r="J201" s="24">
        <f>IFERROR(BDP(Database!$A201&amp;" HK Equity","PE_RATIO"),"")</f>
        <v/>
      </c>
      <c r="K201" s="10">
        <f>IFERROR(BDP(Database!$A201&amp;" HK Equity","A/H_SHARE_CONVERSION"),"")</f>
        <v/>
      </c>
      <c r="L201" s="16">
        <f>IF(Database!BA201="","(none found)",Database!BA201)</f>
        <v/>
      </c>
      <c r="M201" s="18">
        <f>IFERROR(BDH(Database!$A201&amp;" HK Equity","CUR_MKT_CAP",Database!$H201,Database!$H201),"")</f>
        <v/>
      </c>
      <c r="N201" s="99">
        <f>Database!Q201</f>
        <v/>
      </c>
      <c r="O201" s="24">
        <f>IFERROR(BDH(Database!$A201&amp;" HK Equity","PE_RATIO",Database!$H201,Database!$H201),"")</f>
        <v/>
      </c>
      <c r="P201" s="101">
        <f>IF(Database!AV201="","(n/m or not derivable)",Database!AV201)</f>
        <v/>
      </c>
      <c r="Q201" s="24">
        <f>IF(Database!BA201="","",IFERROR(BDH(LEFT(Database!BA201,FIND(".",Database!BA201)-1)&amp;" CH Equity","PE_RATIO",Database!$H201,Database!$H201),""))</f>
        <v/>
      </c>
      <c r="R201" s="24">
        <f>IF(Database!BA201="","",IFERROR(BDH("HSAHP Index","PX_LAST",Database!$H201,Database!$H201),""))</f>
        <v/>
      </c>
    </row>
    <row r="202">
      <c r="A202" s="16">
        <f>Database!A202&amp;"  "&amp;Database!B202</f>
        <v/>
      </c>
      <c r="B202" s="10">
        <f>IFERROR(INDEX(BDS(Database!$A202&amp;" HK Equity","EQUITY_OFFERINGS","array=t","endcol=1"),MATCH("IPO",BDS(Database!$A202&amp;" HK Equity","EQUITY_OFFERINGS","array=t","startcol=2","endcol=2"),0)),"")</f>
        <v/>
      </c>
      <c r="C202" s="103">
        <f>IF($B202="","",IFERROR(BDP($B202&amp;" Action","CP036"),""))</f>
        <v/>
      </c>
      <c r="D202" s="104">
        <f>Database!S202</f>
        <v/>
      </c>
      <c r="E202" s="103">
        <f>IF($B202="","",IFERROR(BDP($B202&amp;" Action","CP037"),""))</f>
        <v/>
      </c>
      <c r="F202" s="104">
        <f>Database!T202</f>
        <v/>
      </c>
      <c r="G202" s="103">
        <f>IF($B202="","",IFERROR(BDP($B202&amp;" Action","GREENSHOE_FACILITY"),""))</f>
        <v/>
      </c>
      <c r="H202" s="103">
        <f>IF($B202="","",IFERROR(BDP($B202&amp;" Action","OFFERING_GREENSHOE_SHARES_EX"),""))</f>
        <v/>
      </c>
      <c r="I202" s="16">
        <f>Database!Z202</f>
        <v/>
      </c>
      <c r="J202" s="24">
        <f>IFERROR(BDP(Database!$A202&amp;" HK Equity","PE_RATIO"),"")</f>
        <v/>
      </c>
      <c r="K202" s="10">
        <f>IFERROR(BDP(Database!$A202&amp;" HK Equity","A/H_SHARE_CONVERSION"),"")</f>
        <v/>
      </c>
      <c r="L202" s="16">
        <f>IF(Database!BA202="","(none found)",Database!BA202)</f>
        <v/>
      </c>
      <c r="M202" s="18">
        <f>IFERROR(BDH(Database!$A202&amp;" HK Equity","CUR_MKT_CAP",Database!$H202,Database!$H202),"")</f>
        <v/>
      </c>
      <c r="N202" s="99">
        <f>Database!Q202</f>
        <v/>
      </c>
      <c r="O202" s="24">
        <f>IFERROR(BDH(Database!$A202&amp;" HK Equity","PE_RATIO",Database!$H202,Database!$H202),"")</f>
        <v/>
      </c>
      <c r="P202" s="101">
        <f>IF(Database!AV202="","(n/m or not derivable)",Database!AV202)</f>
        <v/>
      </c>
      <c r="Q202" s="24">
        <f>IF(Database!BA202="","",IFERROR(BDH(LEFT(Database!BA202,FIND(".",Database!BA202)-1)&amp;" CH Equity","PE_RATIO",Database!$H202,Database!$H202),""))</f>
        <v/>
      </c>
      <c r="R202" s="24">
        <f>IF(Database!BA202="","",IFERROR(BDH("HSAHP Index","PX_LAST",Database!$H202,Database!$H202),""))</f>
        <v/>
      </c>
    </row>
    <row r="203">
      <c r="A203" s="16">
        <f>Database!A203&amp;"  "&amp;Database!B203</f>
        <v/>
      </c>
      <c r="B203" s="10">
        <f>IFERROR(INDEX(BDS(Database!$A203&amp;" HK Equity","EQUITY_OFFERINGS","array=t","endcol=1"),MATCH("IPO",BDS(Database!$A203&amp;" HK Equity","EQUITY_OFFERINGS","array=t","startcol=2","endcol=2"),0)),"")</f>
        <v/>
      </c>
      <c r="C203" s="103">
        <f>IF($B203="","",IFERROR(BDP($B203&amp;" Action","CP036"),""))</f>
        <v/>
      </c>
      <c r="D203" s="104">
        <f>Database!S203</f>
        <v/>
      </c>
      <c r="E203" s="103">
        <f>IF($B203="","",IFERROR(BDP($B203&amp;" Action","CP037"),""))</f>
        <v/>
      </c>
      <c r="F203" s="104">
        <f>Database!T203</f>
        <v/>
      </c>
      <c r="G203" s="103">
        <f>IF($B203="","",IFERROR(BDP($B203&amp;" Action","GREENSHOE_FACILITY"),""))</f>
        <v/>
      </c>
      <c r="H203" s="103">
        <f>IF($B203="","",IFERROR(BDP($B203&amp;" Action","OFFERING_GREENSHOE_SHARES_EX"),""))</f>
        <v/>
      </c>
      <c r="I203" s="16">
        <f>Database!Z203</f>
        <v/>
      </c>
      <c r="J203" s="24">
        <f>IFERROR(BDP(Database!$A203&amp;" HK Equity","PE_RATIO"),"")</f>
        <v/>
      </c>
      <c r="K203" s="10">
        <f>IFERROR(BDP(Database!$A203&amp;" HK Equity","A/H_SHARE_CONVERSION"),"")</f>
        <v/>
      </c>
      <c r="L203" s="16">
        <f>IF(Database!BA203="","(none found)",Database!BA203)</f>
        <v/>
      </c>
      <c r="M203" s="18">
        <f>IFERROR(BDH(Database!$A203&amp;" HK Equity","CUR_MKT_CAP",Database!$H203,Database!$H203),"")</f>
        <v/>
      </c>
      <c r="N203" s="99">
        <f>Database!Q203</f>
        <v/>
      </c>
      <c r="O203" s="24">
        <f>IFERROR(BDH(Database!$A203&amp;" HK Equity","PE_RATIO",Database!$H203,Database!$H203),"")</f>
        <v/>
      </c>
      <c r="P203" s="101">
        <f>IF(Database!AV203="","(n/m or not derivable)",Database!AV203)</f>
        <v/>
      </c>
      <c r="Q203" s="24">
        <f>IF(Database!BA203="","",IFERROR(BDH(LEFT(Database!BA203,FIND(".",Database!BA203)-1)&amp;" CH Equity","PE_RATIO",Database!$H203,Database!$H203),""))</f>
        <v/>
      </c>
      <c r="R203" s="24">
        <f>IF(Database!BA203="","",IFERROR(BDH("HSAHP Index","PX_LAST",Database!$H203,Database!$H203),""))</f>
        <v/>
      </c>
    </row>
    <row r="204">
      <c r="A204" s="16">
        <f>Database!A204&amp;"  "&amp;Database!B204</f>
        <v/>
      </c>
      <c r="B204" s="10">
        <f>IFERROR(INDEX(BDS(Database!$A204&amp;" HK Equity","EQUITY_OFFERINGS","array=t","endcol=1"),MATCH("IPO",BDS(Database!$A204&amp;" HK Equity","EQUITY_OFFERINGS","array=t","startcol=2","endcol=2"),0)),"")</f>
        <v/>
      </c>
      <c r="C204" s="103">
        <f>IF($B204="","",IFERROR(BDP($B204&amp;" Action","CP036"),""))</f>
        <v/>
      </c>
      <c r="D204" s="104">
        <f>Database!S204</f>
        <v/>
      </c>
      <c r="E204" s="103">
        <f>IF($B204="","",IFERROR(BDP($B204&amp;" Action","CP037"),""))</f>
        <v/>
      </c>
      <c r="F204" s="104">
        <f>Database!T204</f>
        <v/>
      </c>
      <c r="G204" s="103">
        <f>IF($B204="","",IFERROR(BDP($B204&amp;" Action","GREENSHOE_FACILITY"),""))</f>
        <v/>
      </c>
      <c r="H204" s="103">
        <f>IF($B204="","",IFERROR(BDP($B204&amp;" Action","OFFERING_GREENSHOE_SHARES_EX"),""))</f>
        <v/>
      </c>
      <c r="I204" s="16">
        <f>Database!Z204</f>
        <v/>
      </c>
      <c r="J204" s="24">
        <f>IFERROR(BDP(Database!$A204&amp;" HK Equity","PE_RATIO"),"")</f>
        <v/>
      </c>
      <c r="K204" s="10">
        <f>IFERROR(BDP(Database!$A204&amp;" HK Equity","A/H_SHARE_CONVERSION"),"")</f>
        <v/>
      </c>
      <c r="L204" s="16">
        <f>IF(Database!BA204="","(none found)",Database!BA204)</f>
        <v/>
      </c>
      <c r="M204" s="18">
        <f>IFERROR(BDH(Database!$A204&amp;" HK Equity","CUR_MKT_CAP",Database!$H204,Database!$H204),"")</f>
        <v/>
      </c>
      <c r="N204" s="99">
        <f>Database!Q204</f>
        <v/>
      </c>
      <c r="O204" s="24">
        <f>IFERROR(BDH(Database!$A204&amp;" HK Equity","PE_RATIO",Database!$H204,Database!$H204),"")</f>
        <v/>
      </c>
      <c r="P204" s="101">
        <f>IF(Database!AV204="","(n/m or not derivable)",Database!AV204)</f>
        <v/>
      </c>
      <c r="Q204" s="24">
        <f>IF(Database!BA204="","",IFERROR(BDH(LEFT(Database!BA204,FIND(".",Database!BA204)-1)&amp;" CH Equity","PE_RATIO",Database!$H204,Database!$H204),""))</f>
        <v/>
      </c>
      <c r="R204" s="24">
        <f>IF(Database!BA204="","",IFERROR(BDH("HSAHP Index","PX_LAST",Database!$H204,Database!$H204),""))</f>
        <v/>
      </c>
    </row>
    <row r="205">
      <c r="A205" s="16">
        <f>Database!A205&amp;"  "&amp;Database!B205</f>
        <v/>
      </c>
      <c r="B205" s="10">
        <f>IFERROR(INDEX(BDS(Database!$A205&amp;" HK Equity","EQUITY_OFFERINGS","array=t","endcol=1"),MATCH("IPO",BDS(Database!$A205&amp;" HK Equity","EQUITY_OFFERINGS","array=t","startcol=2","endcol=2"),0)),"")</f>
        <v/>
      </c>
      <c r="C205" s="103">
        <f>IF($B205="","",IFERROR(BDP($B205&amp;" Action","CP036"),""))</f>
        <v/>
      </c>
      <c r="D205" s="104">
        <f>Database!S205</f>
        <v/>
      </c>
      <c r="E205" s="103">
        <f>IF($B205="","",IFERROR(BDP($B205&amp;" Action","CP037"),""))</f>
        <v/>
      </c>
      <c r="F205" s="104">
        <f>Database!T205</f>
        <v/>
      </c>
      <c r="G205" s="103">
        <f>IF($B205="","",IFERROR(BDP($B205&amp;" Action","GREENSHOE_FACILITY"),""))</f>
        <v/>
      </c>
      <c r="H205" s="103">
        <f>IF($B205="","",IFERROR(BDP($B205&amp;" Action","OFFERING_GREENSHOE_SHARES_EX"),""))</f>
        <v/>
      </c>
      <c r="I205" s="16">
        <f>Database!Z205</f>
        <v/>
      </c>
      <c r="J205" s="24">
        <f>IFERROR(BDP(Database!$A205&amp;" HK Equity","PE_RATIO"),"")</f>
        <v/>
      </c>
      <c r="K205" s="10">
        <f>IFERROR(BDP(Database!$A205&amp;" HK Equity","A/H_SHARE_CONVERSION"),"")</f>
        <v/>
      </c>
      <c r="L205" s="16">
        <f>IF(Database!BA205="","(none found)",Database!BA205)</f>
        <v/>
      </c>
      <c r="M205" s="18">
        <f>IFERROR(BDH(Database!$A205&amp;" HK Equity","CUR_MKT_CAP",Database!$H205,Database!$H205),"")</f>
        <v/>
      </c>
      <c r="N205" s="99">
        <f>Database!Q205</f>
        <v/>
      </c>
      <c r="O205" s="24">
        <f>IFERROR(BDH(Database!$A205&amp;" HK Equity","PE_RATIO",Database!$H205,Database!$H205),"")</f>
        <v/>
      </c>
      <c r="P205" s="101">
        <f>IF(Database!AV205="","(n/m or not derivable)",Database!AV205)</f>
        <v/>
      </c>
      <c r="Q205" s="24">
        <f>IF(Database!BA205="","",IFERROR(BDH(LEFT(Database!BA205,FIND(".",Database!BA205)-1)&amp;" CH Equity","PE_RATIO",Database!$H205,Database!$H205),""))</f>
        <v/>
      </c>
      <c r="R205" s="24">
        <f>IF(Database!BA205="","",IFERROR(BDH("HSAHP Index","PX_LAST",Database!$H205,Database!$H205),""))</f>
        <v/>
      </c>
    </row>
    <row r="206">
      <c r="A206" s="16">
        <f>Database!A206&amp;"  "&amp;Database!B206</f>
        <v/>
      </c>
      <c r="B206" s="10">
        <f>IFERROR(INDEX(BDS(Database!$A206&amp;" HK Equity","EQUITY_OFFERINGS","array=t","endcol=1"),MATCH("IPO",BDS(Database!$A206&amp;" HK Equity","EQUITY_OFFERINGS","array=t","startcol=2","endcol=2"),0)),"")</f>
        <v/>
      </c>
      <c r="C206" s="103">
        <f>IF($B206="","",IFERROR(BDP($B206&amp;" Action","CP036"),""))</f>
        <v/>
      </c>
      <c r="D206" s="104">
        <f>Database!S206</f>
        <v/>
      </c>
      <c r="E206" s="103">
        <f>IF($B206="","",IFERROR(BDP($B206&amp;" Action","CP037"),""))</f>
        <v/>
      </c>
      <c r="F206" s="104">
        <f>Database!T206</f>
        <v/>
      </c>
      <c r="G206" s="103">
        <f>IF($B206="","",IFERROR(BDP($B206&amp;" Action","GREENSHOE_FACILITY"),""))</f>
        <v/>
      </c>
      <c r="H206" s="103">
        <f>IF($B206="","",IFERROR(BDP($B206&amp;" Action","OFFERING_GREENSHOE_SHARES_EX"),""))</f>
        <v/>
      </c>
      <c r="I206" s="16">
        <f>Database!Z206</f>
        <v/>
      </c>
      <c r="J206" s="24">
        <f>IFERROR(BDP(Database!$A206&amp;" HK Equity","PE_RATIO"),"")</f>
        <v/>
      </c>
      <c r="K206" s="10">
        <f>IFERROR(BDP(Database!$A206&amp;" HK Equity","A/H_SHARE_CONVERSION"),"")</f>
        <v/>
      </c>
      <c r="L206" s="16">
        <f>IF(Database!BA206="","(none found)",Database!BA206)</f>
        <v/>
      </c>
      <c r="M206" s="18">
        <f>IFERROR(BDH(Database!$A206&amp;" HK Equity","CUR_MKT_CAP",Database!$H206,Database!$H206),"")</f>
        <v/>
      </c>
      <c r="N206" s="99">
        <f>Database!Q206</f>
        <v/>
      </c>
      <c r="O206" s="24">
        <f>IFERROR(BDH(Database!$A206&amp;" HK Equity","PE_RATIO",Database!$H206,Database!$H206),"")</f>
        <v/>
      </c>
      <c r="P206" s="101">
        <f>IF(Database!AV206="","(n/m or not derivable)",Database!AV206)</f>
        <v/>
      </c>
      <c r="Q206" s="24">
        <f>IF(Database!BA206="","",IFERROR(BDH(LEFT(Database!BA206,FIND(".",Database!BA206)-1)&amp;" CH Equity","PE_RATIO",Database!$H206,Database!$H206),""))</f>
        <v/>
      </c>
      <c r="R206" s="24">
        <f>IF(Database!BA206="","",IFERROR(BDH("HSAHP Index","PX_LAST",Database!$H206,Database!$H206),""))</f>
        <v/>
      </c>
    </row>
    <row r="207">
      <c r="A207" s="16">
        <f>Database!A207&amp;"  "&amp;Database!B207</f>
        <v/>
      </c>
      <c r="B207" s="10">
        <f>IFERROR(INDEX(BDS(Database!$A207&amp;" HK Equity","EQUITY_OFFERINGS","array=t","endcol=1"),MATCH("IPO",BDS(Database!$A207&amp;" HK Equity","EQUITY_OFFERINGS","array=t","startcol=2","endcol=2"),0)),"")</f>
        <v/>
      </c>
      <c r="C207" s="103">
        <f>IF($B207="","",IFERROR(BDP($B207&amp;" Action","CP036"),""))</f>
        <v/>
      </c>
      <c r="D207" s="104">
        <f>Database!S207</f>
        <v/>
      </c>
      <c r="E207" s="103">
        <f>IF($B207="","",IFERROR(BDP($B207&amp;" Action","CP037"),""))</f>
        <v/>
      </c>
      <c r="F207" s="104">
        <f>Database!T207</f>
        <v/>
      </c>
      <c r="G207" s="103">
        <f>IF($B207="","",IFERROR(BDP($B207&amp;" Action","GREENSHOE_FACILITY"),""))</f>
        <v/>
      </c>
      <c r="H207" s="103">
        <f>IF($B207="","",IFERROR(BDP($B207&amp;" Action","OFFERING_GREENSHOE_SHARES_EX"),""))</f>
        <v/>
      </c>
      <c r="I207" s="16">
        <f>Database!Z207</f>
        <v/>
      </c>
      <c r="J207" s="24">
        <f>IFERROR(BDP(Database!$A207&amp;" HK Equity","PE_RATIO"),"")</f>
        <v/>
      </c>
      <c r="K207" s="10">
        <f>IFERROR(BDP(Database!$A207&amp;" HK Equity","A/H_SHARE_CONVERSION"),"")</f>
        <v/>
      </c>
      <c r="L207" s="16">
        <f>IF(Database!BA207="","(none found)",Database!BA207)</f>
        <v/>
      </c>
      <c r="M207" s="18">
        <f>IFERROR(BDH(Database!$A207&amp;" HK Equity","CUR_MKT_CAP",Database!$H207,Database!$H207),"")</f>
        <v/>
      </c>
      <c r="N207" s="99">
        <f>Database!Q207</f>
        <v/>
      </c>
      <c r="O207" s="24">
        <f>IFERROR(BDH(Database!$A207&amp;" HK Equity","PE_RATIO",Database!$H207,Database!$H207),"")</f>
        <v/>
      </c>
      <c r="P207" s="101">
        <f>IF(Database!AV207="","(n/m or not derivable)",Database!AV207)</f>
        <v/>
      </c>
      <c r="Q207" s="24">
        <f>IF(Database!BA207="","",IFERROR(BDH(LEFT(Database!BA207,FIND(".",Database!BA207)-1)&amp;" CH Equity","PE_RATIO",Database!$H207,Database!$H207),""))</f>
        <v/>
      </c>
      <c r="R207" s="24">
        <f>IF(Database!BA207="","",IFERROR(BDH("HSAHP Index","PX_LAST",Database!$H207,Database!$H207),""))</f>
        <v/>
      </c>
    </row>
    <row r="208">
      <c r="A208" s="16">
        <f>Database!A208&amp;"  "&amp;Database!B208</f>
        <v/>
      </c>
      <c r="B208" s="10">
        <f>IFERROR(INDEX(BDS(Database!$A208&amp;" HK Equity","EQUITY_OFFERINGS","array=t","endcol=1"),MATCH("IPO",BDS(Database!$A208&amp;" HK Equity","EQUITY_OFFERINGS","array=t","startcol=2","endcol=2"),0)),"")</f>
        <v/>
      </c>
      <c r="C208" s="103">
        <f>IF($B208="","",IFERROR(BDP($B208&amp;" Action","CP036"),""))</f>
        <v/>
      </c>
      <c r="D208" s="104">
        <f>Database!S208</f>
        <v/>
      </c>
      <c r="E208" s="103">
        <f>IF($B208="","",IFERROR(BDP($B208&amp;" Action","CP037"),""))</f>
        <v/>
      </c>
      <c r="F208" s="104">
        <f>Database!T208</f>
        <v/>
      </c>
      <c r="G208" s="103">
        <f>IF($B208="","",IFERROR(BDP($B208&amp;" Action","GREENSHOE_FACILITY"),""))</f>
        <v/>
      </c>
      <c r="H208" s="103">
        <f>IF($B208="","",IFERROR(BDP($B208&amp;" Action","OFFERING_GREENSHOE_SHARES_EX"),""))</f>
        <v/>
      </c>
      <c r="I208" s="16">
        <f>Database!Z208</f>
        <v/>
      </c>
      <c r="J208" s="24">
        <f>IFERROR(BDP(Database!$A208&amp;" HK Equity","PE_RATIO"),"")</f>
        <v/>
      </c>
      <c r="K208" s="10">
        <f>IFERROR(BDP(Database!$A208&amp;" HK Equity","A/H_SHARE_CONVERSION"),"")</f>
        <v/>
      </c>
      <c r="L208" s="16">
        <f>IF(Database!BA208="","(none found)",Database!BA208)</f>
        <v/>
      </c>
      <c r="M208" s="18">
        <f>IFERROR(BDH(Database!$A208&amp;" HK Equity","CUR_MKT_CAP",Database!$H208,Database!$H208),"")</f>
        <v/>
      </c>
      <c r="N208" s="99">
        <f>Database!Q208</f>
        <v/>
      </c>
      <c r="O208" s="24">
        <f>IFERROR(BDH(Database!$A208&amp;" HK Equity","PE_RATIO",Database!$H208,Database!$H208),"")</f>
        <v/>
      </c>
      <c r="P208" s="101">
        <f>IF(Database!AV208="","(n/m or not derivable)",Database!AV208)</f>
        <v/>
      </c>
      <c r="Q208" s="24">
        <f>IF(Database!BA208="","",IFERROR(BDH(LEFT(Database!BA208,FIND(".",Database!BA208)-1)&amp;" CH Equity","PE_RATIO",Database!$H208,Database!$H208),""))</f>
        <v/>
      </c>
      <c r="R208" s="24">
        <f>IF(Database!BA208="","",IFERROR(BDH("HSAHP Index","PX_LAST",Database!$H208,Database!$H208),""))</f>
        <v/>
      </c>
    </row>
    <row r="209">
      <c r="A209" s="16">
        <f>Database!A209&amp;"  "&amp;Database!B209</f>
        <v/>
      </c>
      <c r="B209" s="10">
        <f>IFERROR(INDEX(BDS(Database!$A209&amp;" HK Equity","EQUITY_OFFERINGS","array=t","endcol=1"),MATCH("IPO",BDS(Database!$A209&amp;" HK Equity","EQUITY_OFFERINGS","array=t","startcol=2","endcol=2"),0)),"")</f>
        <v/>
      </c>
      <c r="C209" s="103">
        <f>IF($B209="","",IFERROR(BDP($B209&amp;" Action","CP036"),""))</f>
        <v/>
      </c>
      <c r="D209" s="104">
        <f>Database!S209</f>
        <v/>
      </c>
      <c r="E209" s="103">
        <f>IF($B209="","",IFERROR(BDP($B209&amp;" Action","CP037"),""))</f>
        <v/>
      </c>
      <c r="F209" s="104">
        <f>Database!T209</f>
        <v/>
      </c>
      <c r="G209" s="103">
        <f>IF($B209="","",IFERROR(BDP($B209&amp;" Action","GREENSHOE_FACILITY"),""))</f>
        <v/>
      </c>
      <c r="H209" s="103">
        <f>IF($B209="","",IFERROR(BDP($B209&amp;" Action","OFFERING_GREENSHOE_SHARES_EX"),""))</f>
        <v/>
      </c>
      <c r="I209" s="16">
        <f>Database!Z209</f>
        <v/>
      </c>
      <c r="J209" s="24">
        <f>IFERROR(BDP(Database!$A209&amp;" HK Equity","PE_RATIO"),"")</f>
        <v/>
      </c>
      <c r="K209" s="10">
        <f>IFERROR(BDP(Database!$A209&amp;" HK Equity","A/H_SHARE_CONVERSION"),"")</f>
        <v/>
      </c>
      <c r="L209" s="16">
        <f>IF(Database!BA209="","(none found)",Database!BA209)</f>
        <v/>
      </c>
      <c r="M209" s="18">
        <f>IFERROR(BDH(Database!$A209&amp;" HK Equity","CUR_MKT_CAP",Database!$H209,Database!$H209),"")</f>
        <v/>
      </c>
      <c r="N209" s="99">
        <f>Database!Q209</f>
        <v/>
      </c>
      <c r="O209" s="24">
        <f>IFERROR(BDH(Database!$A209&amp;" HK Equity","PE_RATIO",Database!$H209,Database!$H209),"")</f>
        <v/>
      </c>
      <c r="P209" s="101">
        <f>IF(Database!AV209="","(n/m or not derivable)",Database!AV209)</f>
        <v/>
      </c>
      <c r="Q209" s="24">
        <f>IF(Database!BA209="","",IFERROR(BDH(LEFT(Database!BA209,FIND(".",Database!BA209)-1)&amp;" CH Equity","PE_RATIO",Database!$H209,Database!$H209),""))</f>
        <v/>
      </c>
      <c r="R209" s="24">
        <f>IF(Database!BA209="","",IFERROR(BDH("HSAHP Index","PX_LAST",Database!$H209,Database!$H209),""))</f>
        <v/>
      </c>
    </row>
    <row r="210">
      <c r="A210" s="16">
        <f>Database!A210&amp;"  "&amp;Database!B210</f>
        <v/>
      </c>
      <c r="B210" s="10">
        <f>IFERROR(INDEX(BDS(Database!$A210&amp;" HK Equity","EQUITY_OFFERINGS","array=t","endcol=1"),MATCH("IPO",BDS(Database!$A210&amp;" HK Equity","EQUITY_OFFERINGS","array=t","startcol=2","endcol=2"),0)),"")</f>
        <v/>
      </c>
      <c r="C210" s="103">
        <f>IF($B210="","",IFERROR(BDP($B210&amp;" Action","CP036"),""))</f>
        <v/>
      </c>
      <c r="D210" s="104">
        <f>Database!S210</f>
        <v/>
      </c>
      <c r="E210" s="103">
        <f>IF($B210="","",IFERROR(BDP($B210&amp;" Action","CP037"),""))</f>
        <v/>
      </c>
      <c r="F210" s="104">
        <f>Database!T210</f>
        <v/>
      </c>
      <c r="G210" s="103">
        <f>IF($B210="","",IFERROR(BDP($B210&amp;" Action","GREENSHOE_FACILITY"),""))</f>
        <v/>
      </c>
      <c r="H210" s="103">
        <f>IF($B210="","",IFERROR(BDP($B210&amp;" Action","OFFERING_GREENSHOE_SHARES_EX"),""))</f>
        <v/>
      </c>
      <c r="I210" s="16">
        <f>Database!Z210</f>
        <v/>
      </c>
      <c r="J210" s="24">
        <f>IFERROR(BDP(Database!$A210&amp;" HK Equity","PE_RATIO"),"")</f>
        <v/>
      </c>
      <c r="K210" s="10">
        <f>IFERROR(BDP(Database!$A210&amp;" HK Equity","A/H_SHARE_CONVERSION"),"")</f>
        <v/>
      </c>
      <c r="L210" s="16">
        <f>IF(Database!BA210="","(none found)",Database!BA210)</f>
        <v/>
      </c>
      <c r="M210" s="18">
        <f>IFERROR(BDH(Database!$A210&amp;" HK Equity","CUR_MKT_CAP",Database!$H210,Database!$H210),"")</f>
        <v/>
      </c>
      <c r="N210" s="99">
        <f>Database!Q210</f>
        <v/>
      </c>
      <c r="O210" s="24">
        <f>IFERROR(BDH(Database!$A210&amp;" HK Equity","PE_RATIO",Database!$H210,Database!$H210),"")</f>
        <v/>
      </c>
      <c r="P210" s="101">
        <f>IF(Database!AV210="","(n/m or not derivable)",Database!AV210)</f>
        <v/>
      </c>
      <c r="Q210" s="24">
        <f>IF(Database!BA210="","",IFERROR(BDH(LEFT(Database!BA210,FIND(".",Database!BA210)-1)&amp;" CH Equity","PE_RATIO",Database!$H210,Database!$H210),""))</f>
        <v/>
      </c>
      <c r="R210" s="24">
        <f>IF(Database!BA210="","",IFERROR(BDH("HSAHP Index","PX_LAST",Database!$H210,Database!$H210),""))</f>
        <v/>
      </c>
    </row>
    <row r="211">
      <c r="A211" s="16">
        <f>Database!A211&amp;"  "&amp;Database!B211</f>
        <v/>
      </c>
      <c r="B211" s="10">
        <f>IFERROR(INDEX(BDS(Database!$A211&amp;" HK Equity","EQUITY_OFFERINGS","array=t","endcol=1"),MATCH("IPO",BDS(Database!$A211&amp;" HK Equity","EQUITY_OFFERINGS","array=t","startcol=2","endcol=2"),0)),"")</f>
        <v/>
      </c>
      <c r="C211" s="103">
        <f>IF($B211="","",IFERROR(BDP($B211&amp;" Action","CP036"),""))</f>
        <v/>
      </c>
      <c r="D211" s="104">
        <f>Database!S211</f>
        <v/>
      </c>
      <c r="E211" s="103">
        <f>IF($B211="","",IFERROR(BDP($B211&amp;" Action","CP037"),""))</f>
        <v/>
      </c>
      <c r="F211" s="104">
        <f>Database!T211</f>
        <v/>
      </c>
      <c r="G211" s="103">
        <f>IF($B211="","",IFERROR(BDP($B211&amp;" Action","GREENSHOE_FACILITY"),""))</f>
        <v/>
      </c>
      <c r="H211" s="103">
        <f>IF($B211="","",IFERROR(BDP($B211&amp;" Action","OFFERING_GREENSHOE_SHARES_EX"),""))</f>
        <v/>
      </c>
      <c r="I211" s="16">
        <f>Database!Z211</f>
        <v/>
      </c>
      <c r="J211" s="24">
        <f>IFERROR(BDP(Database!$A211&amp;" HK Equity","PE_RATIO"),"")</f>
        <v/>
      </c>
      <c r="K211" s="10">
        <f>IFERROR(BDP(Database!$A211&amp;" HK Equity","A/H_SHARE_CONVERSION"),"")</f>
        <v/>
      </c>
      <c r="L211" s="16">
        <f>IF(Database!BA211="","(none found)",Database!BA211)</f>
        <v/>
      </c>
      <c r="M211" s="18">
        <f>IFERROR(BDH(Database!$A211&amp;" HK Equity","CUR_MKT_CAP",Database!$H211,Database!$H211),"")</f>
        <v/>
      </c>
      <c r="N211" s="99">
        <f>Database!Q211</f>
        <v/>
      </c>
      <c r="O211" s="24">
        <f>IFERROR(BDH(Database!$A211&amp;" HK Equity","PE_RATIO",Database!$H211,Database!$H211),"")</f>
        <v/>
      </c>
      <c r="P211" s="101">
        <f>IF(Database!AV211="","(n/m or not derivable)",Database!AV211)</f>
        <v/>
      </c>
      <c r="Q211" s="24">
        <f>IF(Database!BA211="","",IFERROR(BDH(LEFT(Database!BA211,FIND(".",Database!BA211)-1)&amp;" CH Equity","PE_RATIO",Database!$H211,Database!$H211),""))</f>
        <v/>
      </c>
      <c r="R211" s="24">
        <f>IF(Database!BA211="","",IFERROR(BDH("HSAHP Index","PX_LAST",Database!$H211,Database!$H211),""))</f>
        <v/>
      </c>
    </row>
    <row r="212">
      <c r="A212" s="16">
        <f>Database!A212&amp;"  "&amp;Database!B212</f>
        <v/>
      </c>
      <c r="B212" s="10">
        <f>IFERROR(INDEX(BDS(Database!$A212&amp;" HK Equity","EQUITY_OFFERINGS","array=t","endcol=1"),MATCH("IPO",BDS(Database!$A212&amp;" HK Equity","EQUITY_OFFERINGS","array=t","startcol=2","endcol=2"),0)),"")</f>
        <v/>
      </c>
      <c r="C212" s="103">
        <f>IF($B212="","",IFERROR(BDP($B212&amp;" Action","CP036"),""))</f>
        <v/>
      </c>
      <c r="D212" s="104">
        <f>Database!S212</f>
        <v/>
      </c>
      <c r="E212" s="103">
        <f>IF($B212="","",IFERROR(BDP($B212&amp;" Action","CP037"),""))</f>
        <v/>
      </c>
      <c r="F212" s="104">
        <f>Database!T212</f>
        <v/>
      </c>
      <c r="G212" s="103">
        <f>IF($B212="","",IFERROR(BDP($B212&amp;" Action","GREENSHOE_FACILITY"),""))</f>
        <v/>
      </c>
      <c r="H212" s="103">
        <f>IF($B212="","",IFERROR(BDP($B212&amp;" Action","OFFERING_GREENSHOE_SHARES_EX"),""))</f>
        <v/>
      </c>
      <c r="I212" s="16">
        <f>Database!Z212</f>
        <v/>
      </c>
      <c r="J212" s="24">
        <f>IFERROR(BDP(Database!$A212&amp;" HK Equity","PE_RATIO"),"")</f>
        <v/>
      </c>
      <c r="K212" s="10">
        <f>IFERROR(BDP(Database!$A212&amp;" HK Equity","A/H_SHARE_CONVERSION"),"")</f>
        <v/>
      </c>
      <c r="L212" s="16">
        <f>IF(Database!BA212="","(none found)",Database!BA212)</f>
        <v/>
      </c>
      <c r="M212" s="18">
        <f>IFERROR(BDH(Database!$A212&amp;" HK Equity","CUR_MKT_CAP",Database!$H212,Database!$H212),"")</f>
        <v/>
      </c>
      <c r="N212" s="99">
        <f>Database!Q212</f>
        <v/>
      </c>
      <c r="O212" s="24">
        <f>IFERROR(BDH(Database!$A212&amp;" HK Equity","PE_RATIO",Database!$H212,Database!$H212),"")</f>
        <v/>
      </c>
      <c r="P212" s="101">
        <f>IF(Database!AV212="","(n/m or not derivable)",Database!AV212)</f>
        <v/>
      </c>
      <c r="Q212" s="24">
        <f>IF(Database!BA212="","",IFERROR(BDH(LEFT(Database!BA212,FIND(".",Database!BA212)-1)&amp;" CH Equity","PE_RATIO",Database!$H212,Database!$H212),""))</f>
        <v/>
      </c>
      <c r="R212" s="24">
        <f>IF(Database!BA212="","",IFERROR(BDH("HSAHP Index","PX_LAST",Database!$H212,Database!$H212),""))</f>
        <v/>
      </c>
    </row>
    <row r="213">
      <c r="A213" s="16">
        <f>Database!A213&amp;"  "&amp;Database!B213</f>
        <v/>
      </c>
      <c r="B213" s="10">
        <f>IFERROR(INDEX(BDS(Database!$A213&amp;" HK Equity","EQUITY_OFFERINGS","array=t","endcol=1"),MATCH("IPO",BDS(Database!$A213&amp;" HK Equity","EQUITY_OFFERINGS","array=t","startcol=2","endcol=2"),0)),"")</f>
        <v/>
      </c>
      <c r="C213" s="103">
        <f>IF($B213="","",IFERROR(BDP($B213&amp;" Action","CP036"),""))</f>
        <v/>
      </c>
      <c r="D213" s="104">
        <f>Database!S213</f>
        <v/>
      </c>
      <c r="E213" s="103">
        <f>IF($B213="","",IFERROR(BDP($B213&amp;" Action","CP037"),""))</f>
        <v/>
      </c>
      <c r="F213" s="104">
        <f>Database!T213</f>
        <v/>
      </c>
      <c r="G213" s="103">
        <f>IF($B213="","",IFERROR(BDP($B213&amp;" Action","GREENSHOE_FACILITY"),""))</f>
        <v/>
      </c>
      <c r="H213" s="103">
        <f>IF($B213="","",IFERROR(BDP($B213&amp;" Action","OFFERING_GREENSHOE_SHARES_EX"),""))</f>
        <v/>
      </c>
      <c r="I213" s="16">
        <f>Database!Z213</f>
        <v/>
      </c>
      <c r="J213" s="24">
        <f>IFERROR(BDP(Database!$A213&amp;" HK Equity","PE_RATIO"),"")</f>
        <v/>
      </c>
      <c r="K213" s="10">
        <f>IFERROR(BDP(Database!$A213&amp;" HK Equity","A/H_SHARE_CONVERSION"),"")</f>
        <v/>
      </c>
      <c r="L213" s="16">
        <f>IF(Database!BA213="","(none found)",Database!BA213)</f>
        <v/>
      </c>
      <c r="M213" s="18">
        <f>IFERROR(BDH(Database!$A213&amp;" HK Equity","CUR_MKT_CAP",Database!$H213,Database!$H213),"")</f>
        <v/>
      </c>
      <c r="N213" s="99">
        <f>Database!Q213</f>
        <v/>
      </c>
      <c r="O213" s="24">
        <f>IFERROR(BDH(Database!$A213&amp;" HK Equity","PE_RATIO",Database!$H213,Database!$H213),"")</f>
        <v/>
      </c>
      <c r="P213" s="101">
        <f>IF(Database!AV213="","(n/m or not derivable)",Database!AV213)</f>
        <v/>
      </c>
      <c r="Q213" s="24">
        <f>IF(Database!BA213="","",IFERROR(BDH(LEFT(Database!BA213,FIND(".",Database!BA213)-1)&amp;" CH Equity","PE_RATIO",Database!$H213,Database!$H213),""))</f>
        <v/>
      </c>
      <c r="R213" s="24">
        <f>IF(Database!BA213="","",IFERROR(BDH("HSAHP Index","PX_LAST",Database!$H213,Database!$H213),""))</f>
        <v/>
      </c>
    </row>
    <row r="214">
      <c r="A214" s="16">
        <f>Database!A214&amp;"  "&amp;Database!B214</f>
        <v/>
      </c>
      <c r="B214" s="10">
        <f>IFERROR(INDEX(BDS(Database!$A214&amp;" HK Equity","EQUITY_OFFERINGS","array=t","endcol=1"),MATCH("IPO",BDS(Database!$A214&amp;" HK Equity","EQUITY_OFFERINGS","array=t","startcol=2","endcol=2"),0)),"")</f>
        <v/>
      </c>
      <c r="C214" s="103">
        <f>IF($B214="","",IFERROR(BDP($B214&amp;" Action","CP036"),""))</f>
        <v/>
      </c>
      <c r="D214" s="104">
        <f>Database!S214</f>
        <v/>
      </c>
      <c r="E214" s="103">
        <f>IF($B214="","",IFERROR(BDP($B214&amp;" Action","CP037"),""))</f>
        <v/>
      </c>
      <c r="F214" s="104">
        <f>Database!T214</f>
        <v/>
      </c>
      <c r="G214" s="103">
        <f>IF($B214="","",IFERROR(BDP($B214&amp;" Action","GREENSHOE_FACILITY"),""))</f>
        <v/>
      </c>
      <c r="H214" s="103">
        <f>IF($B214="","",IFERROR(BDP($B214&amp;" Action","OFFERING_GREENSHOE_SHARES_EX"),""))</f>
        <v/>
      </c>
      <c r="I214" s="16">
        <f>Database!Z214</f>
        <v/>
      </c>
      <c r="J214" s="24">
        <f>IFERROR(BDP(Database!$A214&amp;" HK Equity","PE_RATIO"),"")</f>
        <v/>
      </c>
      <c r="K214" s="10">
        <f>IFERROR(BDP(Database!$A214&amp;" HK Equity","A/H_SHARE_CONVERSION"),"")</f>
        <v/>
      </c>
      <c r="L214" s="16">
        <f>IF(Database!BA214="","(none found)",Database!BA214)</f>
        <v/>
      </c>
      <c r="M214" s="18">
        <f>IFERROR(BDH(Database!$A214&amp;" HK Equity","CUR_MKT_CAP",Database!$H214,Database!$H214),"")</f>
        <v/>
      </c>
      <c r="N214" s="99">
        <f>Database!Q214</f>
        <v/>
      </c>
      <c r="O214" s="24">
        <f>IFERROR(BDH(Database!$A214&amp;" HK Equity","PE_RATIO",Database!$H214,Database!$H214),"")</f>
        <v/>
      </c>
      <c r="P214" s="101">
        <f>IF(Database!AV214="","(n/m or not derivable)",Database!AV214)</f>
        <v/>
      </c>
      <c r="Q214" s="24">
        <f>IF(Database!BA214="","",IFERROR(BDH(LEFT(Database!BA214,FIND(".",Database!BA214)-1)&amp;" CH Equity","PE_RATIO",Database!$H214,Database!$H214),""))</f>
        <v/>
      </c>
      <c r="R214" s="24">
        <f>IF(Database!BA214="","",IFERROR(BDH("HSAHP Index","PX_LAST",Database!$H214,Database!$H214),""))</f>
        <v/>
      </c>
    </row>
    <row r="215">
      <c r="A215" s="16">
        <f>Database!A215&amp;"  "&amp;Database!B215</f>
        <v/>
      </c>
      <c r="B215" s="10">
        <f>IFERROR(INDEX(BDS(Database!$A215&amp;" HK Equity","EQUITY_OFFERINGS","array=t","endcol=1"),MATCH("IPO",BDS(Database!$A215&amp;" HK Equity","EQUITY_OFFERINGS","array=t","startcol=2","endcol=2"),0)),"")</f>
        <v/>
      </c>
      <c r="C215" s="103">
        <f>IF($B215="","",IFERROR(BDP($B215&amp;" Action","CP036"),""))</f>
        <v/>
      </c>
      <c r="D215" s="104">
        <f>Database!S215</f>
        <v/>
      </c>
      <c r="E215" s="103">
        <f>IF($B215="","",IFERROR(BDP($B215&amp;" Action","CP037"),""))</f>
        <v/>
      </c>
      <c r="F215" s="104">
        <f>Database!T215</f>
        <v/>
      </c>
      <c r="G215" s="103">
        <f>IF($B215="","",IFERROR(BDP($B215&amp;" Action","GREENSHOE_FACILITY"),""))</f>
        <v/>
      </c>
      <c r="H215" s="103">
        <f>IF($B215="","",IFERROR(BDP($B215&amp;" Action","OFFERING_GREENSHOE_SHARES_EX"),""))</f>
        <v/>
      </c>
      <c r="I215" s="16">
        <f>Database!Z215</f>
        <v/>
      </c>
      <c r="J215" s="24">
        <f>IFERROR(BDP(Database!$A215&amp;" HK Equity","PE_RATIO"),"")</f>
        <v/>
      </c>
      <c r="K215" s="10">
        <f>IFERROR(BDP(Database!$A215&amp;" HK Equity","A/H_SHARE_CONVERSION"),"")</f>
        <v/>
      </c>
      <c r="L215" s="16">
        <f>IF(Database!BA215="","(none found)",Database!BA215)</f>
        <v/>
      </c>
      <c r="M215" s="18">
        <f>IFERROR(BDH(Database!$A215&amp;" HK Equity","CUR_MKT_CAP",Database!$H215,Database!$H215),"")</f>
        <v/>
      </c>
      <c r="N215" s="99">
        <f>Database!Q215</f>
        <v/>
      </c>
      <c r="O215" s="24">
        <f>IFERROR(BDH(Database!$A215&amp;" HK Equity","PE_RATIO",Database!$H215,Database!$H215),"")</f>
        <v/>
      </c>
      <c r="P215" s="101">
        <f>IF(Database!AV215="","(n/m or not derivable)",Database!AV215)</f>
        <v/>
      </c>
      <c r="Q215" s="24">
        <f>IF(Database!BA215="","",IFERROR(BDH(LEFT(Database!BA215,FIND(".",Database!BA215)-1)&amp;" CH Equity","PE_RATIO",Database!$H215,Database!$H215),""))</f>
        <v/>
      </c>
      <c r="R215" s="24">
        <f>IF(Database!BA215="","",IFERROR(BDH("HSAHP Index","PX_LAST",Database!$H215,Database!$H215),""))</f>
        <v/>
      </c>
    </row>
    <row r="216">
      <c r="A216" s="16">
        <f>Database!A216&amp;"  "&amp;Database!B216</f>
        <v/>
      </c>
      <c r="B216" s="10">
        <f>IFERROR(INDEX(BDS(Database!$A216&amp;" HK Equity","EQUITY_OFFERINGS","array=t","endcol=1"),MATCH("IPO",BDS(Database!$A216&amp;" HK Equity","EQUITY_OFFERINGS","array=t","startcol=2","endcol=2"),0)),"")</f>
        <v/>
      </c>
      <c r="C216" s="103">
        <f>IF($B216="","",IFERROR(BDP($B216&amp;" Action","CP036"),""))</f>
        <v/>
      </c>
      <c r="D216" s="104">
        <f>Database!S216</f>
        <v/>
      </c>
      <c r="E216" s="103">
        <f>IF($B216="","",IFERROR(BDP($B216&amp;" Action","CP037"),""))</f>
        <v/>
      </c>
      <c r="F216" s="104">
        <f>Database!T216</f>
        <v/>
      </c>
      <c r="G216" s="103">
        <f>IF($B216="","",IFERROR(BDP($B216&amp;" Action","GREENSHOE_FACILITY"),""))</f>
        <v/>
      </c>
      <c r="H216" s="103">
        <f>IF($B216="","",IFERROR(BDP($B216&amp;" Action","OFFERING_GREENSHOE_SHARES_EX"),""))</f>
        <v/>
      </c>
      <c r="I216" s="16">
        <f>Database!Z216</f>
        <v/>
      </c>
      <c r="J216" s="24">
        <f>IFERROR(BDP(Database!$A216&amp;" HK Equity","PE_RATIO"),"")</f>
        <v/>
      </c>
      <c r="K216" s="10">
        <f>IFERROR(BDP(Database!$A216&amp;" HK Equity","A/H_SHARE_CONVERSION"),"")</f>
        <v/>
      </c>
      <c r="L216" s="16">
        <f>IF(Database!BA216="","(none found)",Database!BA216)</f>
        <v/>
      </c>
      <c r="M216" s="18">
        <f>IFERROR(BDH(Database!$A216&amp;" HK Equity","CUR_MKT_CAP",Database!$H216,Database!$H216),"")</f>
        <v/>
      </c>
      <c r="N216" s="99">
        <f>Database!Q216</f>
        <v/>
      </c>
      <c r="O216" s="24">
        <f>IFERROR(BDH(Database!$A216&amp;" HK Equity","PE_RATIO",Database!$H216,Database!$H216),"")</f>
        <v/>
      </c>
      <c r="P216" s="101">
        <f>IF(Database!AV216="","(n/m or not derivable)",Database!AV216)</f>
        <v/>
      </c>
      <c r="Q216" s="24">
        <f>IF(Database!BA216="","",IFERROR(BDH(LEFT(Database!BA216,FIND(".",Database!BA216)-1)&amp;" CH Equity","PE_RATIO",Database!$H216,Database!$H216),""))</f>
        <v/>
      </c>
      <c r="R216" s="24">
        <f>IF(Database!BA216="","",IFERROR(BDH("HSAHP Index","PX_LAST",Database!$H216,Database!$H216),""))</f>
        <v/>
      </c>
    </row>
    <row r="217">
      <c r="A217" s="16">
        <f>Database!A217&amp;"  "&amp;Database!B217</f>
        <v/>
      </c>
      <c r="B217" s="10">
        <f>IFERROR(INDEX(BDS(Database!$A217&amp;" HK Equity","EQUITY_OFFERINGS","array=t","endcol=1"),MATCH("IPO",BDS(Database!$A217&amp;" HK Equity","EQUITY_OFFERINGS","array=t","startcol=2","endcol=2"),0)),"")</f>
        <v/>
      </c>
      <c r="C217" s="103">
        <f>IF($B217="","",IFERROR(BDP($B217&amp;" Action","CP036"),""))</f>
        <v/>
      </c>
      <c r="D217" s="104">
        <f>Database!S217</f>
        <v/>
      </c>
      <c r="E217" s="103">
        <f>IF($B217="","",IFERROR(BDP($B217&amp;" Action","CP037"),""))</f>
        <v/>
      </c>
      <c r="F217" s="104">
        <f>Database!T217</f>
        <v/>
      </c>
      <c r="G217" s="103">
        <f>IF($B217="","",IFERROR(BDP($B217&amp;" Action","GREENSHOE_FACILITY"),""))</f>
        <v/>
      </c>
      <c r="H217" s="103">
        <f>IF($B217="","",IFERROR(BDP($B217&amp;" Action","OFFERING_GREENSHOE_SHARES_EX"),""))</f>
        <v/>
      </c>
      <c r="I217" s="16">
        <f>Database!Z217</f>
        <v/>
      </c>
      <c r="J217" s="24">
        <f>IFERROR(BDP(Database!$A217&amp;" HK Equity","PE_RATIO"),"")</f>
        <v/>
      </c>
      <c r="K217" s="10">
        <f>IFERROR(BDP(Database!$A217&amp;" HK Equity","A/H_SHARE_CONVERSION"),"")</f>
        <v/>
      </c>
      <c r="L217" s="16">
        <f>IF(Database!BA217="","(none found)",Database!BA217)</f>
        <v/>
      </c>
      <c r="M217" s="18">
        <f>IFERROR(BDH(Database!$A217&amp;" HK Equity","CUR_MKT_CAP",Database!$H217,Database!$H217),"")</f>
        <v/>
      </c>
      <c r="N217" s="99">
        <f>Database!Q217</f>
        <v/>
      </c>
      <c r="O217" s="24">
        <f>IFERROR(BDH(Database!$A217&amp;" HK Equity","PE_RATIO",Database!$H217,Database!$H217),"")</f>
        <v/>
      </c>
      <c r="P217" s="101">
        <f>IF(Database!AV217="","(n/m or not derivable)",Database!AV217)</f>
        <v/>
      </c>
      <c r="Q217" s="24">
        <f>IF(Database!BA217="","",IFERROR(BDH(LEFT(Database!BA217,FIND(".",Database!BA217)-1)&amp;" CH Equity","PE_RATIO",Database!$H217,Database!$H217),""))</f>
        <v/>
      </c>
      <c r="R217" s="24">
        <f>IF(Database!BA217="","",IFERROR(BDH("HSAHP Index","PX_LAST",Database!$H217,Database!$H217),""))</f>
        <v/>
      </c>
    </row>
    <row r="218">
      <c r="A218" s="16">
        <f>Database!A218&amp;"  "&amp;Database!B218</f>
        <v/>
      </c>
      <c r="B218" s="10">
        <f>IFERROR(INDEX(BDS(Database!$A218&amp;" HK Equity","EQUITY_OFFERINGS","array=t","endcol=1"),MATCH("IPO",BDS(Database!$A218&amp;" HK Equity","EQUITY_OFFERINGS","array=t","startcol=2","endcol=2"),0)),"")</f>
        <v/>
      </c>
      <c r="C218" s="103">
        <f>IF($B218="","",IFERROR(BDP($B218&amp;" Action","CP036"),""))</f>
        <v/>
      </c>
      <c r="D218" s="104">
        <f>Database!S218</f>
        <v/>
      </c>
      <c r="E218" s="103">
        <f>IF($B218="","",IFERROR(BDP($B218&amp;" Action","CP037"),""))</f>
        <v/>
      </c>
      <c r="F218" s="104">
        <f>Database!T218</f>
        <v/>
      </c>
      <c r="G218" s="103">
        <f>IF($B218="","",IFERROR(BDP($B218&amp;" Action","GREENSHOE_FACILITY"),""))</f>
        <v/>
      </c>
      <c r="H218" s="103">
        <f>IF($B218="","",IFERROR(BDP($B218&amp;" Action","OFFERING_GREENSHOE_SHARES_EX"),""))</f>
        <v/>
      </c>
      <c r="I218" s="16">
        <f>Database!Z218</f>
        <v/>
      </c>
      <c r="J218" s="24">
        <f>IFERROR(BDP(Database!$A218&amp;" HK Equity","PE_RATIO"),"")</f>
        <v/>
      </c>
      <c r="K218" s="10">
        <f>IFERROR(BDP(Database!$A218&amp;" HK Equity","A/H_SHARE_CONVERSION"),"")</f>
        <v/>
      </c>
      <c r="L218" s="16">
        <f>IF(Database!BA218="","(none found)",Database!BA218)</f>
        <v/>
      </c>
      <c r="M218" s="18">
        <f>IFERROR(BDH(Database!$A218&amp;" HK Equity","CUR_MKT_CAP",Database!$H218,Database!$H218),"")</f>
        <v/>
      </c>
      <c r="N218" s="99">
        <f>Database!Q218</f>
        <v/>
      </c>
      <c r="O218" s="24">
        <f>IFERROR(BDH(Database!$A218&amp;" HK Equity","PE_RATIO",Database!$H218,Database!$H218),"")</f>
        <v/>
      </c>
      <c r="P218" s="101">
        <f>IF(Database!AV218="","(n/m or not derivable)",Database!AV218)</f>
        <v/>
      </c>
      <c r="Q218" s="24">
        <f>IF(Database!BA218="","",IFERROR(BDH(LEFT(Database!BA218,FIND(".",Database!BA218)-1)&amp;" CH Equity","PE_RATIO",Database!$H218,Database!$H218),""))</f>
        <v/>
      </c>
      <c r="R218" s="24">
        <f>IF(Database!BA218="","",IFERROR(BDH("HSAHP Index","PX_LAST",Database!$H218,Database!$H218),""))</f>
        <v/>
      </c>
    </row>
    <row r="219">
      <c r="A219" s="16">
        <f>Database!A219&amp;"  "&amp;Database!B219</f>
        <v/>
      </c>
      <c r="B219" s="10">
        <f>IFERROR(INDEX(BDS(Database!$A219&amp;" HK Equity","EQUITY_OFFERINGS","array=t","endcol=1"),MATCH("IPO",BDS(Database!$A219&amp;" HK Equity","EQUITY_OFFERINGS","array=t","startcol=2","endcol=2"),0)),"")</f>
        <v/>
      </c>
      <c r="C219" s="103">
        <f>IF($B219="","",IFERROR(BDP($B219&amp;" Action","CP036"),""))</f>
        <v/>
      </c>
      <c r="D219" s="104">
        <f>Database!S219</f>
        <v/>
      </c>
      <c r="E219" s="103">
        <f>IF($B219="","",IFERROR(BDP($B219&amp;" Action","CP037"),""))</f>
        <v/>
      </c>
      <c r="F219" s="104">
        <f>Database!T219</f>
        <v/>
      </c>
      <c r="G219" s="103">
        <f>IF($B219="","",IFERROR(BDP($B219&amp;" Action","GREENSHOE_FACILITY"),""))</f>
        <v/>
      </c>
      <c r="H219" s="103">
        <f>IF($B219="","",IFERROR(BDP($B219&amp;" Action","OFFERING_GREENSHOE_SHARES_EX"),""))</f>
        <v/>
      </c>
      <c r="I219" s="16">
        <f>Database!Z219</f>
        <v/>
      </c>
      <c r="J219" s="24">
        <f>IFERROR(BDP(Database!$A219&amp;" HK Equity","PE_RATIO"),"")</f>
        <v/>
      </c>
      <c r="K219" s="10">
        <f>IFERROR(BDP(Database!$A219&amp;" HK Equity","A/H_SHARE_CONVERSION"),"")</f>
        <v/>
      </c>
      <c r="L219" s="16">
        <f>IF(Database!BA219="","(none found)",Database!BA219)</f>
        <v/>
      </c>
      <c r="M219" s="18">
        <f>IFERROR(BDH(Database!$A219&amp;" HK Equity","CUR_MKT_CAP",Database!$H219,Database!$H219),"")</f>
        <v/>
      </c>
      <c r="N219" s="99">
        <f>Database!Q219</f>
        <v/>
      </c>
      <c r="O219" s="24">
        <f>IFERROR(BDH(Database!$A219&amp;" HK Equity","PE_RATIO",Database!$H219,Database!$H219),"")</f>
        <v/>
      </c>
      <c r="P219" s="101">
        <f>IF(Database!AV219="","(n/m or not derivable)",Database!AV219)</f>
        <v/>
      </c>
      <c r="Q219" s="24">
        <f>IF(Database!BA219="","",IFERROR(BDH(LEFT(Database!BA219,FIND(".",Database!BA219)-1)&amp;" CH Equity","PE_RATIO",Database!$H219,Database!$H219),""))</f>
        <v/>
      </c>
      <c r="R219" s="24">
        <f>IF(Database!BA219="","",IFERROR(BDH("HSAHP Index","PX_LAST",Database!$H219,Database!$H219),""))</f>
        <v/>
      </c>
    </row>
    <row r="220">
      <c r="A220" s="16">
        <f>Database!A220&amp;"  "&amp;Database!B220</f>
        <v/>
      </c>
      <c r="B220" s="10">
        <f>IFERROR(INDEX(BDS(Database!$A220&amp;" HK Equity","EQUITY_OFFERINGS","array=t","endcol=1"),MATCH("IPO",BDS(Database!$A220&amp;" HK Equity","EQUITY_OFFERINGS","array=t","startcol=2","endcol=2"),0)),"")</f>
        <v/>
      </c>
      <c r="C220" s="103">
        <f>IF($B220="","",IFERROR(BDP($B220&amp;" Action","CP036"),""))</f>
        <v/>
      </c>
      <c r="D220" s="104">
        <f>Database!S220</f>
        <v/>
      </c>
      <c r="E220" s="103">
        <f>IF($B220="","",IFERROR(BDP($B220&amp;" Action","CP037"),""))</f>
        <v/>
      </c>
      <c r="F220" s="104">
        <f>Database!T220</f>
        <v/>
      </c>
      <c r="G220" s="103">
        <f>IF($B220="","",IFERROR(BDP($B220&amp;" Action","GREENSHOE_FACILITY"),""))</f>
        <v/>
      </c>
      <c r="H220" s="103">
        <f>IF($B220="","",IFERROR(BDP($B220&amp;" Action","OFFERING_GREENSHOE_SHARES_EX"),""))</f>
        <v/>
      </c>
      <c r="I220" s="16">
        <f>Database!Z220</f>
        <v/>
      </c>
      <c r="J220" s="24">
        <f>IFERROR(BDP(Database!$A220&amp;" HK Equity","PE_RATIO"),"")</f>
        <v/>
      </c>
      <c r="K220" s="10">
        <f>IFERROR(BDP(Database!$A220&amp;" HK Equity","A/H_SHARE_CONVERSION"),"")</f>
        <v/>
      </c>
      <c r="L220" s="16">
        <f>IF(Database!BA220="","(none found)",Database!BA220)</f>
        <v/>
      </c>
      <c r="M220" s="18">
        <f>IFERROR(BDH(Database!$A220&amp;" HK Equity","CUR_MKT_CAP",Database!$H220,Database!$H220),"")</f>
        <v/>
      </c>
      <c r="N220" s="99">
        <f>Database!Q220</f>
        <v/>
      </c>
      <c r="O220" s="24">
        <f>IFERROR(BDH(Database!$A220&amp;" HK Equity","PE_RATIO",Database!$H220,Database!$H220),"")</f>
        <v/>
      </c>
      <c r="P220" s="101">
        <f>IF(Database!AV220="","(n/m or not derivable)",Database!AV220)</f>
        <v/>
      </c>
      <c r="Q220" s="24">
        <f>IF(Database!BA220="","",IFERROR(BDH(LEFT(Database!BA220,FIND(".",Database!BA220)-1)&amp;" CH Equity","PE_RATIO",Database!$H220,Database!$H220),""))</f>
        <v/>
      </c>
      <c r="R220" s="24">
        <f>IF(Database!BA220="","",IFERROR(BDH("HSAHP Index","PX_LAST",Database!$H220,Database!$H220),""))</f>
        <v/>
      </c>
    </row>
    <row r="221">
      <c r="A221" s="16">
        <f>Database!A221&amp;"  "&amp;Database!B221</f>
        <v/>
      </c>
      <c r="B221" s="10">
        <f>IFERROR(INDEX(BDS(Database!$A221&amp;" HK Equity","EQUITY_OFFERINGS","array=t","endcol=1"),MATCH("IPO",BDS(Database!$A221&amp;" HK Equity","EQUITY_OFFERINGS","array=t","startcol=2","endcol=2"),0)),"")</f>
        <v/>
      </c>
      <c r="C221" s="103">
        <f>IF($B221="","",IFERROR(BDP($B221&amp;" Action","CP036"),""))</f>
        <v/>
      </c>
      <c r="D221" s="104">
        <f>Database!S221</f>
        <v/>
      </c>
      <c r="E221" s="103">
        <f>IF($B221="","",IFERROR(BDP($B221&amp;" Action","CP037"),""))</f>
        <v/>
      </c>
      <c r="F221" s="104">
        <f>Database!T221</f>
        <v/>
      </c>
      <c r="G221" s="103">
        <f>IF($B221="","",IFERROR(BDP($B221&amp;" Action","GREENSHOE_FACILITY"),""))</f>
        <v/>
      </c>
      <c r="H221" s="103">
        <f>IF($B221="","",IFERROR(BDP($B221&amp;" Action","OFFERING_GREENSHOE_SHARES_EX"),""))</f>
        <v/>
      </c>
      <c r="I221" s="16">
        <f>Database!Z221</f>
        <v/>
      </c>
      <c r="J221" s="24">
        <f>IFERROR(BDP(Database!$A221&amp;" HK Equity","PE_RATIO"),"")</f>
        <v/>
      </c>
      <c r="K221" s="10">
        <f>IFERROR(BDP(Database!$A221&amp;" HK Equity","A/H_SHARE_CONVERSION"),"")</f>
        <v/>
      </c>
      <c r="L221" s="16">
        <f>IF(Database!BA221="","(none found)",Database!BA221)</f>
        <v/>
      </c>
      <c r="M221" s="18">
        <f>IFERROR(BDH(Database!$A221&amp;" HK Equity","CUR_MKT_CAP",Database!$H221,Database!$H221),"")</f>
        <v/>
      </c>
      <c r="N221" s="99">
        <f>Database!Q221</f>
        <v/>
      </c>
      <c r="O221" s="24">
        <f>IFERROR(BDH(Database!$A221&amp;" HK Equity","PE_RATIO",Database!$H221,Database!$H221),"")</f>
        <v/>
      </c>
      <c r="P221" s="101">
        <f>IF(Database!AV221="","(n/m or not derivable)",Database!AV221)</f>
        <v/>
      </c>
      <c r="Q221" s="24">
        <f>IF(Database!BA221="","",IFERROR(BDH(LEFT(Database!BA221,FIND(".",Database!BA221)-1)&amp;" CH Equity","PE_RATIO",Database!$H221,Database!$H221),""))</f>
        <v/>
      </c>
      <c r="R221" s="24">
        <f>IF(Database!BA221="","",IFERROR(BDH("HSAHP Index","PX_LAST",Database!$H221,Database!$H221),""))</f>
        <v/>
      </c>
    </row>
    <row r="222">
      <c r="A222" s="16">
        <f>Database!A222&amp;"  "&amp;Database!B222</f>
        <v/>
      </c>
      <c r="B222" s="10">
        <f>IFERROR(INDEX(BDS(Database!$A222&amp;" HK Equity","EQUITY_OFFERINGS","array=t","endcol=1"),MATCH("IPO",BDS(Database!$A222&amp;" HK Equity","EQUITY_OFFERINGS","array=t","startcol=2","endcol=2"),0)),"")</f>
        <v/>
      </c>
      <c r="C222" s="103">
        <f>IF($B222="","",IFERROR(BDP($B222&amp;" Action","CP036"),""))</f>
        <v/>
      </c>
      <c r="D222" s="104">
        <f>Database!S222</f>
        <v/>
      </c>
      <c r="E222" s="103">
        <f>IF($B222="","",IFERROR(BDP($B222&amp;" Action","CP037"),""))</f>
        <v/>
      </c>
      <c r="F222" s="104">
        <f>Database!T222</f>
        <v/>
      </c>
      <c r="G222" s="103">
        <f>IF($B222="","",IFERROR(BDP($B222&amp;" Action","GREENSHOE_FACILITY"),""))</f>
        <v/>
      </c>
      <c r="H222" s="103">
        <f>IF($B222="","",IFERROR(BDP($B222&amp;" Action","OFFERING_GREENSHOE_SHARES_EX"),""))</f>
        <v/>
      </c>
      <c r="I222" s="16">
        <f>Database!Z222</f>
        <v/>
      </c>
      <c r="J222" s="24">
        <f>IFERROR(BDP(Database!$A222&amp;" HK Equity","PE_RATIO"),"")</f>
        <v/>
      </c>
      <c r="K222" s="10">
        <f>IFERROR(BDP(Database!$A222&amp;" HK Equity","A/H_SHARE_CONVERSION"),"")</f>
        <v/>
      </c>
      <c r="L222" s="16">
        <f>IF(Database!BA222="","(none found)",Database!BA222)</f>
        <v/>
      </c>
      <c r="M222" s="18">
        <f>IFERROR(BDH(Database!$A222&amp;" HK Equity","CUR_MKT_CAP",Database!$H222,Database!$H222),"")</f>
        <v/>
      </c>
      <c r="N222" s="99">
        <f>Database!Q222</f>
        <v/>
      </c>
      <c r="O222" s="24">
        <f>IFERROR(BDH(Database!$A222&amp;" HK Equity","PE_RATIO",Database!$H222,Database!$H222),"")</f>
        <v/>
      </c>
      <c r="P222" s="101">
        <f>IF(Database!AV222="","(n/m or not derivable)",Database!AV222)</f>
        <v/>
      </c>
      <c r="Q222" s="24">
        <f>IF(Database!BA222="","",IFERROR(BDH(LEFT(Database!BA222,FIND(".",Database!BA222)-1)&amp;" CH Equity","PE_RATIO",Database!$H222,Database!$H222),""))</f>
        <v/>
      </c>
      <c r="R222" s="24">
        <f>IF(Database!BA222="","",IFERROR(BDH("HSAHP Index","PX_LAST",Database!$H222,Database!$H222),""))</f>
        <v/>
      </c>
    </row>
    <row r="223">
      <c r="A223" s="16">
        <f>Database!A223&amp;"  "&amp;Database!B223</f>
        <v/>
      </c>
      <c r="B223" s="10">
        <f>IFERROR(INDEX(BDS(Database!$A223&amp;" HK Equity","EQUITY_OFFERINGS","array=t","endcol=1"),MATCH("IPO",BDS(Database!$A223&amp;" HK Equity","EQUITY_OFFERINGS","array=t","startcol=2","endcol=2"),0)),"")</f>
        <v/>
      </c>
      <c r="C223" s="103">
        <f>IF($B223="","",IFERROR(BDP($B223&amp;" Action","CP036"),""))</f>
        <v/>
      </c>
      <c r="D223" s="104">
        <f>Database!S223</f>
        <v/>
      </c>
      <c r="E223" s="103">
        <f>IF($B223="","",IFERROR(BDP($B223&amp;" Action","CP037"),""))</f>
        <v/>
      </c>
      <c r="F223" s="104">
        <f>Database!T223</f>
        <v/>
      </c>
      <c r="G223" s="103">
        <f>IF($B223="","",IFERROR(BDP($B223&amp;" Action","GREENSHOE_FACILITY"),""))</f>
        <v/>
      </c>
      <c r="H223" s="103">
        <f>IF($B223="","",IFERROR(BDP($B223&amp;" Action","OFFERING_GREENSHOE_SHARES_EX"),""))</f>
        <v/>
      </c>
      <c r="I223" s="16">
        <f>Database!Z223</f>
        <v/>
      </c>
      <c r="J223" s="24">
        <f>IFERROR(BDP(Database!$A223&amp;" HK Equity","PE_RATIO"),"")</f>
        <v/>
      </c>
      <c r="K223" s="10">
        <f>IFERROR(BDP(Database!$A223&amp;" HK Equity","A/H_SHARE_CONVERSION"),"")</f>
        <v/>
      </c>
      <c r="L223" s="16">
        <f>IF(Database!BA223="","(none found)",Database!BA223)</f>
        <v/>
      </c>
      <c r="M223" s="18">
        <f>IFERROR(BDH(Database!$A223&amp;" HK Equity","CUR_MKT_CAP",Database!$H223,Database!$H223),"")</f>
        <v/>
      </c>
      <c r="N223" s="99">
        <f>Database!Q223</f>
        <v/>
      </c>
      <c r="O223" s="24">
        <f>IFERROR(BDH(Database!$A223&amp;" HK Equity","PE_RATIO",Database!$H223,Database!$H223),"")</f>
        <v/>
      </c>
      <c r="P223" s="101">
        <f>IF(Database!AV223="","(n/m or not derivable)",Database!AV223)</f>
        <v/>
      </c>
      <c r="Q223" s="24">
        <f>IF(Database!BA223="","",IFERROR(BDH(LEFT(Database!BA223,FIND(".",Database!BA223)-1)&amp;" CH Equity","PE_RATIO",Database!$H223,Database!$H223),""))</f>
        <v/>
      </c>
      <c r="R223" s="24">
        <f>IF(Database!BA223="","",IFERROR(BDH("HSAHP Index","PX_LAST",Database!$H223,Database!$H223),""))</f>
        <v/>
      </c>
    </row>
    <row r="224">
      <c r="A224" s="16">
        <f>Database!A224&amp;"  "&amp;Database!B224</f>
        <v/>
      </c>
      <c r="B224" s="10">
        <f>IFERROR(INDEX(BDS(Database!$A224&amp;" HK Equity","EQUITY_OFFERINGS","array=t","endcol=1"),MATCH("IPO",BDS(Database!$A224&amp;" HK Equity","EQUITY_OFFERINGS","array=t","startcol=2","endcol=2"),0)),"")</f>
        <v/>
      </c>
      <c r="C224" s="103">
        <f>IF($B224="","",IFERROR(BDP($B224&amp;" Action","CP036"),""))</f>
        <v/>
      </c>
      <c r="D224" s="104">
        <f>Database!S224</f>
        <v/>
      </c>
      <c r="E224" s="103">
        <f>IF($B224="","",IFERROR(BDP($B224&amp;" Action","CP037"),""))</f>
        <v/>
      </c>
      <c r="F224" s="104">
        <f>Database!T224</f>
        <v/>
      </c>
      <c r="G224" s="103">
        <f>IF($B224="","",IFERROR(BDP($B224&amp;" Action","GREENSHOE_FACILITY"),""))</f>
        <v/>
      </c>
      <c r="H224" s="103">
        <f>IF($B224="","",IFERROR(BDP($B224&amp;" Action","OFFERING_GREENSHOE_SHARES_EX"),""))</f>
        <v/>
      </c>
      <c r="I224" s="16">
        <f>Database!Z224</f>
        <v/>
      </c>
      <c r="J224" s="24">
        <f>IFERROR(BDP(Database!$A224&amp;" HK Equity","PE_RATIO"),"")</f>
        <v/>
      </c>
      <c r="K224" s="10">
        <f>IFERROR(BDP(Database!$A224&amp;" HK Equity","A/H_SHARE_CONVERSION"),"")</f>
        <v/>
      </c>
      <c r="L224" s="16">
        <f>IF(Database!BA224="","(none found)",Database!BA224)</f>
        <v/>
      </c>
      <c r="M224" s="18">
        <f>IFERROR(BDH(Database!$A224&amp;" HK Equity","CUR_MKT_CAP",Database!$H224,Database!$H224),"")</f>
        <v/>
      </c>
      <c r="N224" s="99">
        <f>Database!Q224</f>
        <v/>
      </c>
      <c r="O224" s="24">
        <f>IFERROR(BDH(Database!$A224&amp;" HK Equity","PE_RATIO",Database!$H224,Database!$H224),"")</f>
        <v/>
      </c>
      <c r="P224" s="101">
        <f>IF(Database!AV224="","(n/m or not derivable)",Database!AV224)</f>
        <v/>
      </c>
      <c r="Q224" s="24">
        <f>IF(Database!BA224="","",IFERROR(BDH(LEFT(Database!BA224,FIND(".",Database!BA224)-1)&amp;" CH Equity","PE_RATIO",Database!$H224,Database!$H224),""))</f>
        <v/>
      </c>
      <c r="R224" s="24">
        <f>IF(Database!BA224="","",IFERROR(BDH("HSAHP Index","PX_LAST",Database!$H224,Database!$H224),""))</f>
        <v/>
      </c>
    </row>
    <row r="225">
      <c r="A225" s="16">
        <f>Database!A225&amp;"  "&amp;Database!B225</f>
        <v/>
      </c>
      <c r="B225" s="10">
        <f>IFERROR(INDEX(BDS(Database!$A225&amp;" HK Equity","EQUITY_OFFERINGS","array=t","endcol=1"),MATCH("IPO",BDS(Database!$A225&amp;" HK Equity","EQUITY_OFFERINGS","array=t","startcol=2","endcol=2"),0)),"")</f>
        <v/>
      </c>
      <c r="C225" s="103">
        <f>IF($B225="","",IFERROR(BDP($B225&amp;" Action","CP036"),""))</f>
        <v/>
      </c>
      <c r="D225" s="104">
        <f>Database!S225</f>
        <v/>
      </c>
      <c r="E225" s="103">
        <f>IF($B225="","",IFERROR(BDP($B225&amp;" Action","CP037"),""))</f>
        <v/>
      </c>
      <c r="F225" s="104">
        <f>Database!T225</f>
        <v/>
      </c>
      <c r="G225" s="103">
        <f>IF($B225="","",IFERROR(BDP($B225&amp;" Action","GREENSHOE_FACILITY"),""))</f>
        <v/>
      </c>
      <c r="H225" s="103">
        <f>IF($B225="","",IFERROR(BDP($B225&amp;" Action","OFFERING_GREENSHOE_SHARES_EX"),""))</f>
        <v/>
      </c>
      <c r="I225" s="16">
        <f>Database!Z225</f>
        <v/>
      </c>
      <c r="J225" s="24">
        <f>IFERROR(BDP(Database!$A225&amp;" HK Equity","PE_RATIO"),"")</f>
        <v/>
      </c>
      <c r="K225" s="10">
        <f>IFERROR(BDP(Database!$A225&amp;" HK Equity","A/H_SHARE_CONVERSION"),"")</f>
        <v/>
      </c>
      <c r="L225" s="16">
        <f>IF(Database!BA225="","(none found)",Database!BA225)</f>
        <v/>
      </c>
      <c r="M225" s="18">
        <f>IFERROR(BDH(Database!$A225&amp;" HK Equity","CUR_MKT_CAP",Database!$H225,Database!$H225),"")</f>
        <v/>
      </c>
      <c r="N225" s="99">
        <f>Database!Q225</f>
        <v/>
      </c>
      <c r="O225" s="24">
        <f>IFERROR(BDH(Database!$A225&amp;" HK Equity","PE_RATIO",Database!$H225,Database!$H225),"")</f>
        <v/>
      </c>
      <c r="P225" s="101">
        <f>IF(Database!AV225="","(n/m or not derivable)",Database!AV225)</f>
        <v/>
      </c>
      <c r="Q225" s="24">
        <f>IF(Database!BA225="","",IFERROR(BDH(LEFT(Database!BA225,FIND(".",Database!BA225)-1)&amp;" CH Equity","PE_RATIO",Database!$H225,Database!$H225),""))</f>
        <v/>
      </c>
      <c r="R225" s="24">
        <f>IF(Database!BA225="","",IFERROR(BDH("HSAHP Index","PX_LAST",Database!$H225,Database!$H225),""))</f>
        <v/>
      </c>
    </row>
    <row r="226">
      <c r="A226" s="16">
        <f>Database!A226&amp;"  "&amp;Database!B226</f>
        <v/>
      </c>
      <c r="B226" s="10">
        <f>IFERROR(INDEX(BDS(Database!$A226&amp;" HK Equity","EQUITY_OFFERINGS","array=t","endcol=1"),MATCH("IPO",BDS(Database!$A226&amp;" HK Equity","EQUITY_OFFERINGS","array=t","startcol=2","endcol=2"),0)),"")</f>
        <v/>
      </c>
      <c r="C226" s="103">
        <f>IF($B226="","",IFERROR(BDP($B226&amp;" Action","CP036"),""))</f>
        <v/>
      </c>
      <c r="D226" s="104">
        <f>Database!S226</f>
        <v/>
      </c>
      <c r="E226" s="103">
        <f>IF($B226="","",IFERROR(BDP($B226&amp;" Action","CP037"),""))</f>
        <v/>
      </c>
      <c r="F226" s="104">
        <f>Database!T226</f>
        <v/>
      </c>
      <c r="G226" s="103">
        <f>IF($B226="","",IFERROR(BDP($B226&amp;" Action","GREENSHOE_FACILITY"),""))</f>
        <v/>
      </c>
      <c r="H226" s="103">
        <f>IF($B226="","",IFERROR(BDP($B226&amp;" Action","OFFERING_GREENSHOE_SHARES_EX"),""))</f>
        <v/>
      </c>
      <c r="I226" s="16">
        <f>Database!Z226</f>
        <v/>
      </c>
      <c r="J226" s="24">
        <f>IFERROR(BDP(Database!$A226&amp;" HK Equity","PE_RATIO"),"")</f>
        <v/>
      </c>
      <c r="K226" s="10">
        <f>IFERROR(BDP(Database!$A226&amp;" HK Equity","A/H_SHARE_CONVERSION"),"")</f>
        <v/>
      </c>
      <c r="L226" s="16">
        <f>IF(Database!BA226="","(none found)",Database!BA226)</f>
        <v/>
      </c>
      <c r="M226" s="18">
        <f>IFERROR(BDH(Database!$A226&amp;" HK Equity","CUR_MKT_CAP",Database!$H226,Database!$H226),"")</f>
        <v/>
      </c>
      <c r="N226" s="99">
        <f>Database!Q226</f>
        <v/>
      </c>
      <c r="O226" s="24">
        <f>IFERROR(BDH(Database!$A226&amp;" HK Equity","PE_RATIO",Database!$H226,Database!$H226),"")</f>
        <v/>
      </c>
      <c r="P226" s="101">
        <f>IF(Database!AV226="","(n/m or not derivable)",Database!AV226)</f>
        <v/>
      </c>
      <c r="Q226" s="24">
        <f>IF(Database!BA226="","",IFERROR(BDH(LEFT(Database!BA226,FIND(".",Database!BA226)-1)&amp;" CH Equity","PE_RATIO",Database!$H226,Database!$H226),""))</f>
        <v/>
      </c>
      <c r="R226" s="24">
        <f>IF(Database!BA226="","",IFERROR(BDH("HSAHP Index","PX_LAST",Database!$H226,Database!$H226),""))</f>
        <v/>
      </c>
    </row>
    <row r="227">
      <c r="A227" s="16">
        <f>Database!A227&amp;"  "&amp;Database!B227</f>
        <v/>
      </c>
      <c r="B227" s="10">
        <f>IFERROR(INDEX(BDS(Database!$A227&amp;" HK Equity","EQUITY_OFFERINGS","array=t","endcol=1"),MATCH("IPO",BDS(Database!$A227&amp;" HK Equity","EQUITY_OFFERINGS","array=t","startcol=2","endcol=2"),0)),"")</f>
        <v/>
      </c>
      <c r="C227" s="103">
        <f>IF($B227="","",IFERROR(BDP($B227&amp;" Action","CP036"),""))</f>
        <v/>
      </c>
      <c r="D227" s="104">
        <f>Database!S227</f>
        <v/>
      </c>
      <c r="E227" s="103">
        <f>IF($B227="","",IFERROR(BDP($B227&amp;" Action","CP037"),""))</f>
        <v/>
      </c>
      <c r="F227" s="104">
        <f>Database!T227</f>
        <v/>
      </c>
      <c r="G227" s="103">
        <f>IF($B227="","",IFERROR(BDP($B227&amp;" Action","GREENSHOE_FACILITY"),""))</f>
        <v/>
      </c>
      <c r="H227" s="103">
        <f>IF($B227="","",IFERROR(BDP($B227&amp;" Action","OFFERING_GREENSHOE_SHARES_EX"),""))</f>
        <v/>
      </c>
      <c r="I227" s="16">
        <f>Database!Z227</f>
        <v/>
      </c>
      <c r="J227" s="24">
        <f>IFERROR(BDP(Database!$A227&amp;" HK Equity","PE_RATIO"),"")</f>
        <v/>
      </c>
      <c r="K227" s="10">
        <f>IFERROR(BDP(Database!$A227&amp;" HK Equity","A/H_SHARE_CONVERSION"),"")</f>
        <v/>
      </c>
      <c r="L227" s="16">
        <f>IF(Database!BA227="","(none found)",Database!BA227)</f>
        <v/>
      </c>
      <c r="M227" s="18">
        <f>IFERROR(BDH(Database!$A227&amp;" HK Equity","CUR_MKT_CAP",Database!$H227,Database!$H227),"")</f>
        <v/>
      </c>
      <c r="N227" s="99">
        <f>Database!Q227</f>
        <v/>
      </c>
      <c r="O227" s="24">
        <f>IFERROR(BDH(Database!$A227&amp;" HK Equity","PE_RATIO",Database!$H227,Database!$H227),"")</f>
        <v/>
      </c>
      <c r="P227" s="101">
        <f>IF(Database!AV227="","(n/m or not derivable)",Database!AV227)</f>
        <v/>
      </c>
      <c r="Q227" s="24">
        <f>IF(Database!BA227="","",IFERROR(BDH(LEFT(Database!BA227,FIND(".",Database!BA227)-1)&amp;" CH Equity","PE_RATIO",Database!$H227,Database!$H227),""))</f>
        <v/>
      </c>
      <c r="R227" s="24">
        <f>IF(Database!BA227="","",IFERROR(BDH("HSAHP Index","PX_LAST",Database!$H227,Database!$H227),""))</f>
        <v/>
      </c>
    </row>
    <row r="228">
      <c r="A228" s="16">
        <f>Database!A228&amp;"  "&amp;Database!B228</f>
        <v/>
      </c>
      <c r="B228" s="10">
        <f>IFERROR(INDEX(BDS(Database!$A228&amp;" HK Equity","EQUITY_OFFERINGS","array=t","endcol=1"),MATCH("IPO",BDS(Database!$A228&amp;" HK Equity","EQUITY_OFFERINGS","array=t","startcol=2","endcol=2"),0)),"")</f>
        <v/>
      </c>
      <c r="C228" s="103">
        <f>IF($B228="","",IFERROR(BDP($B228&amp;" Action","CP036"),""))</f>
        <v/>
      </c>
      <c r="D228" s="104">
        <f>Database!S228</f>
        <v/>
      </c>
      <c r="E228" s="103">
        <f>IF($B228="","",IFERROR(BDP($B228&amp;" Action","CP037"),""))</f>
        <v/>
      </c>
      <c r="F228" s="104">
        <f>Database!T228</f>
        <v/>
      </c>
      <c r="G228" s="103">
        <f>IF($B228="","",IFERROR(BDP($B228&amp;" Action","GREENSHOE_FACILITY"),""))</f>
        <v/>
      </c>
      <c r="H228" s="103">
        <f>IF($B228="","",IFERROR(BDP($B228&amp;" Action","OFFERING_GREENSHOE_SHARES_EX"),""))</f>
        <v/>
      </c>
      <c r="I228" s="16">
        <f>Database!Z228</f>
        <v/>
      </c>
      <c r="J228" s="24">
        <f>IFERROR(BDP(Database!$A228&amp;" HK Equity","PE_RATIO"),"")</f>
        <v/>
      </c>
      <c r="K228" s="10">
        <f>IFERROR(BDP(Database!$A228&amp;" HK Equity","A/H_SHARE_CONVERSION"),"")</f>
        <v/>
      </c>
      <c r="L228" s="16">
        <f>IF(Database!BA228="","(none found)",Database!BA228)</f>
        <v/>
      </c>
      <c r="M228" s="18">
        <f>IFERROR(BDH(Database!$A228&amp;" HK Equity","CUR_MKT_CAP",Database!$H228,Database!$H228),"")</f>
        <v/>
      </c>
      <c r="N228" s="99">
        <f>Database!Q228</f>
        <v/>
      </c>
      <c r="O228" s="24">
        <f>IFERROR(BDH(Database!$A228&amp;" HK Equity","PE_RATIO",Database!$H228,Database!$H228),"")</f>
        <v/>
      </c>
      <c r="P228" s="101">
        <f>IF(Database!AV228="","(n/m or not derivable)",Database!AV228)</f>
        <v/>
      </c>
      <c r="Q228" s="24">
        <f>IF(Database!BA228="","",IFERROR(BDH(LEFT(Database!BA228,FIND(".",Database!BA228)-1)&amp;" CH Equity","PE_RATIO",Database!$H228,Database!$H228),""))</f>
        <v/>
      </c>
      <c r="R228" s="24">
        <f>IF(Database!BA228="","",IFERROR(BDH("HSAHP Index","PX_LAST",Database!$H228,Database!$H228),""))</f>
        <v/>
      </c>
    </row>
    <row r="229">
      <c r="A229" s="16">
        <f>Database!A229&amp;"  "&amp;Database!B229</f>
        <v/>
      </c>
      <c r="B229" s="10">
        <f>IFERROR(INDEX(BDS(Database!$A229&amp;" HK Equity","EQUITY_OFFERINGS","array=t","endcol=1"),MATCH("IPO",BDS(Database!$A229&amp;" HK Equity","EQUITY_OFFERINGS","array=t","startcol=2","endcol=2"),0)),"")</f>
        <v/>
      </c>
      <c r="C229" s="103">
        <f>IF($B229="","",IFERROR(BDP($B229&amp;" Action","CP036"),""))</f>
        <v/>
      </c>
      <c r="D229" s="104">
        <f>Database!S229</f>
        <v/>
      </c>
      <c r="E229" s="103">
        <f>IF($B229="","",IFERROR(BDP($B229&amp;" Action","CP037"),""))</f>
        <v/>
      </c>
      <c r="F229" s="104">
        <f>Database!T229</f>
        <v/>
      </c>
      <c r="G229" s="103">
        <f>IF($B229="","",IFERROR(BDP($B229&amp;" Action","GREENSHOE_FACILITY"),""))</f>
        <v/>
      </c>
      <c r="H229" s="103">
        <f>IF($B229="","",IFERROR(BDP($B229&amp;" Action","OFFERING_GREENSHOE_SHARES_EX"),""))</f>
        <v/>
      </c>
      <c r="I229" s="16">
        <f>Database!Z229</f>
        <v/>
      </c>
      <c r="J229" s="24">
        <f>IFERROR(BDP(Database!$A229&amp;" HK Equity","PE_RATIO"),"")</f>
        <v/>
      </c>
      <c r="K229" s="10">
        <f>IFERROR(BDP(Database!$A229&amp;" HK Equity","A/H_SHARE_CONVERSION"),"")</f>
        <v/>
      </c>
      <c r="L229" s="16">
        <f>IF(Database!BA229="","(none found)",Database!BA229)</f>
        <v/>
      </c>
      <c r="M229" s="18">
        <f>IFERROR(BDH(Database!$A229&amp;" HK Equity","CUR_MKT_CAP",Database!$H229,Database!$H229),"")</f>
        <v/>
      </c>
      <c r="N229" s="99">
        <f>Database!Q229</f>
        <v/>
      </c>
      <c r="O229" s="24">
        <f>IFERROR(BDH(Database!$A229&amp;" HK Equity","PE_RATIO",Database!$H229,Database!$H229),"")</f>
        <v/>
      </c>
      <c r="P229" s="101">
        <f>IF(Database!AV229="","(n/m or not derivable)",Database!AV229)</f>
        <v/>
      </c>
      <c r="Q229" s="24">
        <f>IF(Database!BA229="","",IFERROR(BDH(LEFT(Database!BA229,FIND(".",Database!BA229)-1)&amp;" CH Equity","PE_RATIO",Database!$H229,Database!$H229),""))</f>
        <v/>
      </c>
      <c r="R229" s="24">
        <f>IF(Database!BA229="","",IFERROR(BDH("HSAHP Index","PX_LAST",Database!$H229,Database!$H229),""))</f>
        <v/>
      </c>
    </row>
    <row r="230">
      <c r="A230" s="16">
        <f>Database!A230&amp;"  "&amp;Database!B230</f>
        <v/>
      </c>
      <c r="B230" s="10">
        <f>IFERROR(INDEX(BDS(Database!$A230&amp;" HK Equity","EQUITY_OFFERINGS","array=t","endcol=1"),MATCH("IPO",BDS(Database!$A230&amp;" HK Equity","EQUITY_OFFERINGS","array=t","startcol=2","endcol=2"),0)),"")</f>
        <v/>
      </c>
      <c r="C230" s="103">
        <f>IF($B230="","",IFERROR(BDP($B230&amp;" Action","CP036"),""))</f>
        <v/>
      </c>
      <c r="D230" s="104">
        <f>Database!S230</f>
        <v/>
      </c>
      <c r="E230" s="103">
        <f>IF($B230="","",IFERROR(BDP($B230&amp;" Action","CP037"),""))</f>
        <v/>
      </c>
      <c r="F230" s="104">
        <f>Database!T230</f>
        <v/>
      </c>
      <c r="G230" s="103">
        <f>IF($B230="","",IFERROR(BDP($B230&amp;" Action","GREENSHOE_FACILITY"),""))</f>
        <v/>
      </c>
      <c r="H230" s="103">
        <f>IF($B230="","",IFERROR(BDP($B230&amp;" Action","OFFERING_GREENSHOE_SHARES_EX"),""))</f>
        <v/>
      </c>
      <c r="I230" s="16">
        <f>Database!Z230</f>
        <v/>
      </c>
      <c r="J230" s="24">
        <f>IFERROR(BDP(Database!$A230&amp;" HK Equity","PE_RATIO"),"")</f>
        <v/>
      </c>
      <c r="K230" s="10">
        <f>IFERROR(BDP(Database!$A230&amp;" HK Equity","A/H_SHARE_CONVERSION"),"")</f>
        <v/>
      </c>
      <c r="L230" s="16">
        <f>IF(Database!BA230="","(none found)",Database!BA230)</f>
        <v/>
      </c>
      <c r="M230" s="18">
        <f>IFERROR(BDH(Database!$A230&amp;" HK Equity","CUR_MKT_CAP",Database!$H230,Database!$H230),"")</f>
        <v/>
      </c>
      <c r="N230" s="99">
        <f>Database!Q230</f>
        <v/>
      </c>
      <c r="O230" s="24">
        <f>IFERROR(BDH(Database!$A230&amp;" HK Equity","PE_RATIO",Database!$H230,Database!$H230),"")</f>
        <v/>
      </c>
      <c r="P230" s="101">
        <f>IF(Database!AV230="","(n/m or not derivable)",Database!AV230)</f>
        <v/>
      </c>
      <c r="Q230" s="24">
        <f>IF(Database!BA230="","",IFERROR(BDH(LEFT(Database!BA230,FIND(".",Database!BA230)-1)&amp;" CH Equity","PE_RATIO",Database!$H230,Database!$H230),""))</f>
        <v/>
      </c>
      <c r="R230" s="24">
        <f>IF(Database!BA230="","",IFERROR(BDH("HSAHP Index","PX_LAST",Database!$H230,Database!$H230),""))</f>
        <v/>
      </c>
    </row>
    <row r="231">
      <c r="A231" s="16">
        <f>Database!A231&amp;"  "&amp;Database!B231</f>
        <v/>
      </c>
      <c r="B231" s="10">
        <f>IFERROR(INDEX(BDS(Database!$A231&amp;" HK Equity","EQUITY_OFFERINGS","array=t","endcol=1"),MATCH("IPO",BDS(Database!$A231&amp;" HK Equity","EQUITY_OFFERINGS","array=t","startcol=2","endcol=2"),0)),"")</f>
        <v/>
      </c>
      <c r="C231" s="103">
        <f>IF($B231="","",IFERROR(BDP($B231&amp;" Action","CP036"),""))</f>
        <v/>
      </c>
      <c r="D231" s="104">
        <f>Database!S231</f>
        <v/>
      </c>
      <c r="E231" s="103">
        <f>IF($B231="","",IFERROR(BDP($B231&amp;" Action","CP037"),""))</f>
        <v/>
      </c>
      <c r="F231" s="104">
        <f>Database!T231</f>
        <v/>
      </c>
      <c r="G231" s="103">
        <f>IF($B231="","",IFERROR(BDP($B231&amp;" Action","GREENSHOE_FACILITY"),""))</f>
        <v/>
      </c>
      <c r="H231" s="103">
        <f>IF($B231="","",IFERROR(BDP($B231&amp;" Action","OFFERING_GREENSHOE_SHARES_EX"),""))</f>
        <v/>
      </c>
      <c r="I231" s="16">
        <f>Database!Z231</f>
        <v/>
      </c>
      <c r="J231" s="24">
        <f>IFERROR(BDP(Database!$A231&amp;" HK Equity","PE_RATIO"),"")</f>
        <v/>
      </c>
      <c r="K231" s="10">
        <f>IFERROR(BDP(Database!$A231&amp;" HK Equity","A/H_SHARE_CONVERSION"),"")</f>
        <v/>
      </c>
      <c r="L231" s="16">
        <f>IF(Database!BA231="","(none found)",Database!BA231)</f>
        <v/>
      </c>
      <c r="M231" s="18">
        <f>IFERROR(BDH(Database!$A231&amp;" HK Equity","CUR_MKT_CAP",Database!$H231,Database!$H231),"")</f>
        <v/>
      </c>
      <c r="N231" s="99">
        <f>Database!Q231</f>
        <v/>
      </c>
      <c r="O231" s="24">
        <f>IFERROR(BDH(Database!$A231&amp;" HK Equity","PE_RATIO",Database!$H231,Database!$H231),"")</f>
        <v/>
      </c>
      <c r="P231" s="101">
        <f>IF(Database!AV231="","(n/m or not derivable)",Database!AV231)</f>
        <v/>
      </c>
      <c r="Q231" s="24">
        <f>IF(Database!BA231="","",IFERROR(BDH(LEFT(Database!BA231,FIND(".",Database!BA231)-1)&amp;" CH Equity","PE_RATIO",Database!$H231,Database!$H231),""))</f>
        <v/>
      </c>
      <c r="R231" s="24">
        <f>IF(Database!BA231="","",IFERROR(BDH("HSAHP Index","PX_LAST",Database!$H231,Database!$H231),""))</f>
        <v/>
      </c>
    </row>
    <row r="232">
      <c r="A232" s="16">
        <f>Database!A232&amp;"  "&amp;Database!B232</f>
        <v/>
      </c>
      <c r="B232" s="10">
        <f>IFERROR(INDEX(BDS(Database!$A232&amp;" HK Equity","EQUITY_OFFERINGS","array=t","endcol=1"),MATCH("IPO",BDS(Database!$A232&amp;" HK Equity","EQUITY_OFFERINGS","array=t","startcol=2","endcol=2"),0)),"")</f>
        <v/>
      </c>
      <c r="C232" s="103">
        <f>IF($B232="","",IFERROR(BDP($B232&amp;" Action","CP036"),""))</f>
        <v/>
      </c>
      <c r="D232" s="104">
        <f>Database!S232</f>
        <v/>
      </c>
      <c r="E232" s="103">
        <f>IF($B232="","",IFERROR(BDP($B232&amp;" Action","CP037"),""))</f>
        <v/>
      </c>
      <c r="F232" s="104">
        <f>Database!T232</f>
        <v/>
      </c>
      <c r="G232" s="103">
        <f>IF($B232="","",IFERROR(BDP($B232&amp;" Action","GREENSHOE_FACILITY"),""))</f>
        <v/>
      </c>
      <c r="H232" s="103">
        <f>IF($B232="","",IFERROR(BDP($B232&amp;" Action","OFFERING_GREENSHOE_SHARES_EX"),""))</f>
        <v/>
      </c>
      <c r="I232" s="16">
        <f>Database!Z232</f>
        <v/>
      </c>
      <c r="J232" s="24">
        <f>IFERROR(BDP(Database!$A232&amp;" HK Equity","PE_RATIO"),"")</f>
        <v/>
      </c>
      <c r="K232" s="10">
        <f>IFERROR(BDP(Database!$A232&amp;" HK Equity","A/H_SHARE_CONVERSION"),"")</f>
        <v/>
      </c>
      <c r="L232" s="16">
        <f>IF(Database!BA232="","(none found)",Database!BA232)</f>
        <v/>
      </c>
      <c r="M232" s="18">
        <f>IFERROR(BDH(Database!$A232&amp;" HK Equity","CUR_MKT_CAP",Database!$H232,Database!$H232),"")</f>
        <v/>
      </c>
      <c r="N232" s="99">
        <f>Database!Q232</f>
        <v/>
      </c>
      <c r="O232" s="24">
        <f>IFERROR(BDH(Database!$A232&amp;" HK Equity","PE_RATIO",Database!$H232,Database!$H232),"")</f>
        <v/>
      </c>
      <c r="P232" s="101">
        <f>IF(Database!AV232="","(n/m or not derivable)",Database!AV232)</f>
        <v/>
      </c>
      <c r="Q232" s="24">
        <f>IF(Database!BA232="","",IFERROR(BDH(LEFT(Database!BA232,FIND(".",Database!BA232)-1)&amp;" CH Equity","PE_RATIO",Database!$H232,Database!$H232),""))</f>
        <v/>
      </c>
      <c r="R232" s="24">
        <f>IF(Database!BA232="","",IFERROR(BDH("HSAHP Index","PX_LAST",Database!$H232,Database!$H232),""))</f>
        <v/>
      </c>
    </row>
    <row r="233">
      <c r="A233" s="16">
        <f>Database!A233&amp;"  "&amp;Database!B233</f>
        <v/>
      </c>
      <c r="B233" s="10">
        <f>IFERROR(INDEX(BDS(Database!$A233&amp;" HK Equity","EQUITY_OFFERINGS","array=t","endcol=1"),MATCH("IPO",BDS(Database!$A233&amp;" HK Equity","EQUITY_OFFERINGS","array=t","startcol=2","endcol=2"),0)),"")</f>
        <v/>
      </c>
      <c r="C233" s="103">
        <f>IF($B233="","",IFERROR(BDP($B233&amp;" Action","CP036"),""))</f>
        <v/>
      </c>
      <c r="D233" s="104">
        <f>Database!S233</f>
        <v/>
      </c>
      <c r="E233" s="103">
        <f>IF($B233="","",IFERROR(BDP($B233&amp;" Action","CP037"),""))</f>
        <v/>
      </c>
      <c r="F233" s="104">
        <f>Database!T233</f>
        <v/>
      </c>
      <c r="G233" s="103">
        <f>IF($B233="","",IFERROR(BDP($B233&amp;" Action","GREENSHOE_FACILITY"),""))</f>
        <v/>
      </c>
      <c r="H233" s="103">
        <f>IF($B233="","",IFERROR(BDP($B233&amp;" Action","OFFERING_GREENSHOE_SHARES_EX"),""))</f>
        <v/>
      </c>
      <c r="I233" s="16">
        <f>Database!Z233</f>
        <v/>
      </c>
      <c r="J233" s="24">
        <f>IFERROR(BDP(Database!$A233&amp;" HK Equity","PE_RATIO"),"")</f>
        <v/>
      </c>
      <c r="K233" s="10">
        <f>IFERROR(BDP(Database!$A233&amp;" HK Equity","A/H_SHARE_CONVERSION"),"")</f>
        <v/>
      </c>
      <c r="L233" s="16">
        <f>IF(Database!BA233="","(none found)",Database!BA233)</f>
        <v/>
      </c>
      <c r="M233" s="18">
        <f>IFERROR(BDH(Database!$A233&amp;" HK Equity","CUR_MKT_CAP",Database!$H233,Database!$H233),"")</f>
        <v/>
      </c>
      <c r="N233" s="99">
        <f>Database!Q233</f>
        <v/>
      </c>
      <c r="O233" s="24">
        <f>IFERROR(BDH(Database!$A233&amp;" HK Equity","PE_RATIO",Database!$H233,Database!$H233),"")</f>
        <v/>
      </c>
      <c r="P233" s="101">
        <f>IF(Database!AV233="","(n/m or not derivable)",Database!AV233)</f>
        <v/>
      </c>
      <c r="Q233" s="24">
        <f>IF(Database!BA233="","",IFERROR(BDH(LEFT(Database!BA233,FIND(".",Database!BA233)-1)&amp;" CH Equity","PE_RATIO",Database!$H233,Database!$H233),""))</f>
        <v/>
      </c>
      <c r="R233" s="24">
        <f>IF(Database!BA233="","",IFERROR(BDH("HSAHP Index","PX_LAST",Database!$H233,Database!$H233),""))</f>
        <v/>
      </c>
    </row>
    <row r="234">
      <c r="A234" s="16">
        <f>Database!A234&amp;"  "&amp;Database!B234</f>
        <v/>
      </c>
      <c r="B234" s="10">
        <f>IFERROR(INDEX(BDS(Database!$A234&amp;" HK Equity","EQUITY_OFFERINGS","array=t","endcol=1"),MATCH("IPO",BDS(Database!$A234&amp;" HK Equity","EQUITY_OFFERINGS","array=t","startcol=2","endcol=2"),0)),"")</f>
        <v/>
      </c>
      <c r="C234" s="103">
        <f>IF($B234="","",IFERROR(BDP($B234&amp;" Action","CP036"),""))</f>
        <v/>
      </c>
      <c r="D234" s="104">
        <f>Database!S234</f>
        <v/>
      </c>
      <c r="E234" s="103">
        <f>IF($B234="","",IFERROR(BDP($B234&amp;" Action","CP037"),""))</f>
        <v/>
      </c>
      <c r="F234" s="104">
        <f>Database!T234</f>
        <v/>
      </c>
      <c r="G234" s="103">
        <f>IF($B234="","",IFERROR(BDP($B234&amp;" Action","GREENSHOE_FACILITY"),""))</f>
        <v/>
      </c>
      <c r="H234" s="103">
        <f>IF($B234="","",IFERROR(BDP($B234&amp;" Action","OFFERING_GREENSHOE_SHARES_EX"),""))</f>
        <v/>
      </c>
      <c r="I234" s="16">
        <f>Database!Z234</f>
        <v/>
      </c>
      <c r="J234" s="24">
        <f>IFERROR(BDP(Database!$A234&amp;" HK Equity","PE_RATIO"),"")</f>
        <v/>
      </c>
      <c r="K234" s="10">
        <f>IFERROR(BDP(Database!$A234&amp;" HK Equity","A/H_SHARE_CONVERSION"),"")</f>
        <v/>
      </c>
      <c r="L234" s="16">
        <f>IF(Database!BA234="","(none found)",Database!BA234)</f>
        <v/>
      </c>
      <c r="M234" s="18">
        <f>IFERROR(BDH(Database!$A234&amp;" HK Equity","CUR_MKT_CAP",Database!$H234,Database!$H234),"")</f>
        <v/>
      </c>
      <c r="N234" s="99">
        <f>Database!Q234</f>
        <v/>
      </c>
      <c r="O234" s="24">
        <f>IFERROR(BDH(Database!$A234&amp;" HK Equity","PE_RATIO",Database!$H234,Database!$H234),"")</f>
        <v/>
      </c>
      <c r="P234" s="101">
        <f>IF(Database!AV234="","(n/m or not derivable)",Database!AV234)</f>
        <v/>
      </c>
      <c r="Q234" s="24">
        <f>IF(Database!BA234="","",IFERROR(BDH(LEFT(Database!BA234,FIND(".",Database!BA234)-1)&amp;" CH Equity","PE_RATIO",Database!$H234,Database!$H234),""))</f>
        <v/>
      </c>
      <c r="R234" s="24">
        <f>IF(Database!BA234="","",IFERROR(BDH("HSAHP Index","PX_LAST",Database!$H234,Database!$H234),""))</f>
        <v/>
      </c>
    </row>
    <row r="235">
      <c r="A235" s="16">
        <f>Database!A235&amp;"  "&amp;Database!B235</f>
        <v/>
      </c>
      <c r="B235" s="10">
        <f>IFERROR(INDEX(BDS(Database!$A235&amp;" HK Equity","EQUITY_OFFERINGS","array=t","endcol=1"),MATCH("IPO",BDS(Database!$A235&amp;" HK Equity","EQUITY_OFFERINGS","array=t","startcol=2","endcol=2"),0)),"")</f>
        <v/>
      </c>
      <c r="C235" s="103">
        <f>IF($B235="","",IFERROR(BDP($B235&amp;" Action","CP036"),""))</f>
        <v/>
      </c>
      <c r="D235" s="104">
        <f>Database!S235</f>
        <v/>
      </c>
      <c r="E235" s="103">
        <f>IF($B235="","",IFERROR(BDP($B235&amp;" Action","CP037"),""))</f>
        <v/>
      </c>
      <c r="F235" s="104">
        <f>Database!T235</f>
        <v/>
      </c>
      <c r="G235" s="103">
        <f>IF($B235="","",IFERROR(BDP($B235&amp;" Action","GREENSHOE_FACILITY"),""))</f>
        <v/>
      </c>
      <c r="H235" s="103">
        <f>IF($B235="","",IFERROR(BDP($B235&amp;" Action","OFFERING_GREENSHOE_SHARES_EX"),""))</f>
        <v/>
      </c>
      <c r="I235" s="16">
        <f>Database!Z235</f>
        <v/>
      </c>
      <c r="J235" s="24">
        <f>IFERROR(BDP(Database!$A235&amp;" HK Equity","PE_RATIO"),"")</f>
        <v/>
      </c>
      <c r="K235" s="10">
        <f>IFERROR(BDP(Database!$A235&amp;" HK Equity","A/H_SHARE_CONVERSION"),"")</f>
        <v/>
      </c>
      <c r="L235" s="16">
        <f>IF(Database!BA235="","(none found)",Database!BA235)</f>
        <v/>
      </c>
      <c r="M235" s="18">
        <f>IFERROR(BDH(Database!$A235&amp;" HK Equity","CUR_MKT_CAP",Database!$H235,Database!$H235),"")</f>
        <v/>
      </c>
      <c r="N235" s="99">
        <f>Database!Q235</f>
        <v/>
      </c>
      <c r="O235" s="24">
        <f>IFERROR(BDH(Database!$A235&amp;" HK Equity","PE_RATIO",Database!$H235,Database!$H235),"")</f>
        <v/>
      </c>
      <c r="P235" s="101">
        <f>IF(Database!AV235="","(n/m or not derivable)",Database!AV235)</f>
        <v/>
      </c>
      <c r="Q235" s="24">
        <f>IF(Database!BA235="","",IFERROR(BDH(LEFT(Database!BA235,FIND(".",Database!BA235)-1)&amp;" CH Equity","PE_RATIO",Database!$H235,Database!$H235),""))</f>
        <v/>
      </c>
      <c r="R235" s="24">
        <f>IF(Database!BA235="","",IFERROR(BDH("HSAHP Index","PX_LAST",Database!$H235,Database!$H235),""))</f>
        <v/>
      </c>
    </row>
    <row r="236">
      <c r="A236" s="16">
        <f>Database!A236&amp;"  "&amp;Database!B236</f>
        <v/>
      </c>
      <c r="B236" s="10">
        <f>IFERROR(INDEX(BDS(Database!$A236&amp;" HK Equity","EQUITY_OFFERINGS","array=t","endcol=1"),MATCH("IPO",BDS(Database!$A236&amp;" HK Equity","EQUITY_OFFERINGS","array=t","startcol=2","endcol=2"),0)),"")</f>
        <v/>
      </c>
      <c r="C236" s="103">
        <f>IF($B236="","",IFERROR(BDP($B236&amp;" Action","CP036"),""))</f>
        <v/>
      </c>
      <c r="D236" s="104">
        <f>Database!S236</f>
        <v/>
      </c>
      <c r="E236" s="103">
        <f>IF($B236="","",IFERROR(BDP($B236&amp;" Action","CP037"),""))</f>
        <v/>
      </c>
      <c r="F236" s="104">
        <f>Database!T236</f>
        <v/>
      </c>
      <c r="G236" s="103">
        <f>IF($B236="","",IFERROR(BDP($B236&amp;" Action","GREENSHOE_FACILITY"),""))</f>
        <v/>
      </c>
      <c r="H236" s="103">
        <f>IF($B236="","",IFERROR(BDP($B236&amp;" Action","OFFERING_GREENSHOE_SHARES_EX"),""))</f>
        <v/>
      </c>
      <c r="I236" s="16">
        <f>Database!Z236</f>
        <v/>
      </c>
      <c r="J236" s="24">
        <f>IFERROR(BDP(Database!$A236&amp;" HK Equity","PE_RATIO"),"")</f>
        <v/>
      </c>
      <c r="K236" s="10">
        <f>IFERROR(BDP(Database!$A236&amp;" HK Equity","A/H_SHARE_CONVERSION"),"")</f>
        <v/>
      </c>
      <c r="L236" s="16">
        <f>IF(Database!BA236="","(none found)",Database!BA236)</f>
        <v/>
      </c>
      <c r="M236" s="18">
        <f>IFERROR(BDH(Database!$A236&amp;" HK Equity","CUR_MKT_CAP",Database!$H236,Database!$H236),"")</f>
        <v/>
      </c>
      <c r="N236" s="99">
        <f>Database!Q236</f>
        <v/>
      </c>
      <c r="O236" s="24">
        <f>IFERROR(BDH(Database!$A236&amp;" HK Equity","PE_RATIO",Database!$H236,Database!$H236),"")</f>
        <v/>
      </c>
      <c r="P236" s="101">
        <f>IF(Database!AV236="","(n/m or not derivable)",Database!AV236)</f>
        <v/>
      </c>
      <c r="Q236" s="24">
        <f>IF(Database!BA236="","",IFERROR(BDH(LEFT(Database!BA236,FIND(".",Database!BA236)-1)&amp;" CH Equity","PE_RATIO",Database!$H236,Database!$H236),""))</f>
        <v/>
      </c>
      <c r="R236" s="24">
        <f>IF(Database!BA236="","",IFERROR(BDH("HSAHP Index","PX_LAST",Database!$H236,Database!$H236),""))</f>
        <v/>
      </c>
    </row>
    <row r="237">
      <c r="A237" s="16">
        <f>Database!A237&amp;"  "&amp;Database!B237</f>
        <v/>
      </c>
      <c r="B237" s="10">
        <f>IFERROR(INDEX(BDS(Database!$A237&amp;" HK Equity","EQUITY_OFFERINGS","array=t","endcol=1"),MATCH("IPO",BDS(Database!$A237&amp;" HK Equity","EQUITY_OFFERINGS","array=t","startcol=2","endcol=2"),0)),"")</f>
        <v/>
      </c>
      <c r="C237" s="103">
        <f>IF($B237="","",IFERROR(BDP($B237&amp;" Action","CP036"),""))</f>
        <v/>
      </c>
      <c r="D237" s="104">
        <f>Database!S237</f>
        <v/>
      </c>
      <c r="E237" s="103">
        <f>IF($B237="","",IFERROR(BDP($B237&amp;" Action","CP037"),""))</f>
        <v/>
      </c>
      <c r="F237" s="104">
        <f>Database!T237</f>
        <v/>
      </c>
      <c r="G237" s="103">
        <f>IF($B237="","",IFERROR(BDP($B237&amp;" Action","GREENSHOE_FACILITY"),""))</f>
        <v/>
      </c>
      <c r="H237" s="103">
        <f>IF($B237="","",IFERROR(BDP($B237&amp;" Action","OFFERING_GREENSHOE_SHARES_EX"),""))</f>
        <v/>
      </c>
      <c r="I237" s="16">
        <f>Database!Z237</f>
        <v/>
      </c>
      <c r="J237" s="24">
        <f>IFERROR(BDP(Database!$A237&amp;" HK Equity","PE_RATIO"),"")</f>
        <v/>
      </c>
      <c r="K237" s="10">
        <f>IFERROR(BDP(Database!$A237&amp;" HK Equity","A/H_SHARE_CONVERSION"),"")</f>
        <v/>
      </c>
      <c r="L237" s="16">
        <f>IF(Database!BA237="","(none found)",Database!BA237)</f>
        <v/>
      </c>
      <c r="M237" s="18">
        <f>IFERROR(BDH(Database!$A237&amp;" HK Equity","CUR_MKT_CAP",Database!$H237,Database!$H237),"")</f>
        <v/>
      </c>
      <c r="N237" s="99">
        <f>Database!Q237</f>
        <v/>
      </c>
      <c r="O237" s="24">
        <f>IFERROR(BDH(Database!$A237&amp;" HK Equity","PE_RATIO",Database!$H237,Database!$H237),"")</f>
        <v/>
      </c>
      <c r="P237" s="101">
        <f>IF(Database!AV237="","(n/m or not derivable)",Database!AV237)</f>
        <v/>
      </c>
      <c r="Q237" s="24">
        <f>IF(Database!BA237="","",IFERROR(BDH(LEFT(Database!BA237,FIND(".",Database!BA237)-1)&amp;" CH Equity","PE_RATIO",Database!$H237,Database!$H237),""))</f>
        <v/>
      </c>
      <c r="R237" s="24">
        <f>IF(Database!BA237="","",IFERROR(BDH("HSAHP Index","PX_LAST",Database!$H237,Database!$H237),""))</f>
        <v/>
      </c>
    </row>
    <row r="238">
      <c r="A238" s="16">
        <f>Database!A238&amp;"  "&amp;Database!B238</f>
        <v/>
      </c>
      <c r="B238" s="10">
        <f>IFERROR(INDEX(BDS(Database!$A238&amp;" HK Equity","EQUITY_OFFERINGS","array=t","endcol=1"),MATCH("IPO",BDS(Database!$A238&amp;" HK Equity","EQUITY_OFFERINGS","array=t","startcol=2","endcol=2"),0)),"")</f>
        <v/>
      </c>
      <c r="C238" s="103">
        <f>IF($B238="","",IFERROR(BDP($B238&amp;" Action","CP036"),""))</f>
        <v/>
      </c>
      <c r="D238" s="104">
        <f>Database!S238</f>
        <v/>
      </c>
      <c r="E238" s="103">
        <f>IF($B238="","",IFERROR(BDP($B238&amp;" Action","CP037"),""))</f>
        <v/>
      </c>
      <c r="F238" s="104">
        <f>Database!T238</f>
        <v/>
      </c>
      <c r="G238" s="103">
        <f>IF($B238="","",IFERROR(BDP($B238&amp;" Action","GREENSHOE_FACILITY"),""))</f>
        <v/>
      </c>
      <c r="H238" s="103">
        <f>IF($B238="","",IFERROR(BDP($B238&amp;" Action","OFFERING_GREENSHOE_SHARES_EX"),""))</f>
        <v/>
      </c>
      <c r="I238" s="16">
        <f>Database!Z238</f>
        <v/>
      </c>
      <c r="J238" s="24">
        <f>IFERROR(BDP(Database!$A238&amp;" HK Equity","PE_RATIO"),"")</f>
        <v/>
      </c>
      <c r="K238" s="10">
        <f>IFERROR(BDP(Database!$A238&amp;" HK Equity","A/H_SHARE_CONVERSION"),"")</f>
        <v/>
      </c>
      <c r="L238" s="16">
        <f>IF(Database!BA238="","(none found)",Database!BA238)</f>
        <v/>
      </c>
      <c r="M238" s="18">
        <f>IFERROR(BDH(Database!$A238&amp;" HK Equity","CUR_MKT_CAP",Database!$H238,Database!$H238),"")</f>
        <v/>
      </c>
      <c r="N238" s="99">
        <f>Database!Q238</f>
        <v/>
      </c>
      <c r="O238" s="24">
        <f>IFERROR(BDH(Database!$A238&amp;" HK Equity","PE_RATIO",Database!$H238,Database!$H238),"")</f>
        <v/>
      </c>
      <c r="P238" s="101">
        <f>IF(Database!AV238="","(n/m or not derivable)",Database!AV238)</f>
        <v/>
      </c>
      <c r="Q238" s="24">
        <f>IF(Database!BA238="","",IFERROR(BDH(LEFT(Database!BA238,FIND(".",Database!BA238)-1)&amp;" CH Equity","PE_RATIO",Database!$H238,Database!$H238),""))</f>
        <v/>
      </c>
      <c r="R238" s="24">
        <f>IF(Database!BA238="","",IFERROR(BDH("HSAHP Index","PX_LAST",Database!$H238,Database!$H238),""))</f>
        <v/>
      </c>
    </row>
    <row r="239">
      <c r="A239" s="16">
        <f>Database!A239&amp;"  "&amp;Database!B239</f>
        <v/>
      </c>
      <c r="B239" s="10">
        <f>IFERROR(INDEX(BDS(Database!$A239&amp;" HK Equity","EQUITY_OFFERINGS","array=t","endcol=1"),MATCH("IPO",BDS(Database!$A239&amp;" HK Equity","EQUITY_OFFERINGS","array=t","startcol=2","endcol=2"),0)),"")</f>
        <v/>
      </c>
      <c r="C239" s="103">
        <f>IF($B239="","",IFERROR(BDP($B239&amp;" Action","CP036"),""))</f>
        <v/>
      </c>
      <c r="D239" s="104">
        <f>Database!S239</f>
        <v/>
      </c>
      <c r="E239" s="103">
        <f>IF($B239="","",IFERROR(BDP($B239&amp;" Action","CP037"),""))</f>
        <v/>
      </c>
      <c r="F239" s="104">
        <f>Database!T239</f>
        <v/>
      </c>
      <c r="G239" s="103">
        <f>IF($B239="","",IFERROR(BDP($B239&amp;" Action","GREENSHOE_FACILITY"),""))</f>
        <v/>
      </c>
      <c r="H239" s="103">
        <f>IF($B239="","",IFERROR(BDP($B239&amp;" Action","OFFERING_GREENSHOE_SHARES_EX"),""))</f>
        <v/>
      </c>
      <c r="I239" s="16">
        <f>Database!Z239</f>
        <v/>
      </c>
      <c r="J239" s="24">
        <f>IFERROR(BDP(Database!$A239&amp;" HK Equity","PE_RATIO"),"")</f>
        <v/>
      </c>
      <c r="K239" s="10">
        <f>IFERROR(BDP(Database!$A239&amp;" HK Equity","A/H_SHARE_CONVERSION"),"")</f>
        <v/>
      </c>
      <c r="L239" s="16">
        <f>IF(Database!BA239="","(none found)",Database!BA239)</f>
        <v/>
      </c>
      <c r="M239" s="18">
        <f>IFERROR(BDH(Database!$A239&amp;" HK Equity","CUR_MKT_CAP",Database!$H239,Database!$H239),"")</f>
        <v/>
      </c>
      <c r="N239" s="99">
        <f>Database!Q239</f>
        <v/>
      </c>
      <c r="O239" s="24">
        <f>IFERROR(BDH(Database!$A239&amp;" HK Equity","PE_RATIO",Database!$H239,Database!$H239),"")</f>
        <v/>
      </c>
      <c r="P239" s="101">
        <f>IF(Database!AV239="","(n/m or not derivable)",Database!AV239)</f>
        <v/>
      </c>
      <c r="Q239" s="24">
        <f>IF(Database!BA239="","",IFERROR(BDH(LEFT(Database!BA239,FIND(".",Database!BA239)-1)&amp;" CH Equity","PE_RATIO",Database!$H239,Database!$H239),""))</f>
        <v/>
      </c>
      <c r="R239" s="24">
        <f>IF(Database!BA239="","",IFERROR(BDH("HSAHP Index","PX_LAST",Database!$H239,Database!$H239),""))</f>
        <v/>
      </c>
    </row>
    <row r="240">
      <c r="A240" s="16">
        <f>Database!A240&amp;"  "&amp;Database!B240</f>
        <v/>
      </c>
      <c r="B240" s="10">
        <f>IFERROR(INDEX(BDS(Database!$A240&amp;" HK Equity","EQUITY_OFFERINGS","array=t","endcol=1"),MATCH("IPO",BDS(Database!$A240&amp;" HK Equity","EQUITY_OFFERINGS","array=t","startcol=2","endcol=2"),0)),"")</f>
        <v/>
      </c>
      <c r="C240" s="103">
        <f>IF($B240="","",IFERROR(BDP($B240&amp;" Action","CP036"),""))</f>
        <v/>
      </c>
      <c r="D240" s="104">
        <f>Database!S240</f>
        <v/>
      </c>
      <c r="E240" s="103">
        <f>IF($B240="","",IFERROR(BDP($B240&amp;" Action","CP037"),""))</f>
        <v/>
      </c>
      <c r="F240" s="104">
        <f>Database!T240</f>
        <v/>
      </c>
      <c r="G240" s="103">
        <f>IF($B240="","",IFERROR(BDP($B240&amp;" Action","GREENSHOE_FACILITY"),""))</f>
        <v/>
      </c>
      <c r="H240" s="103">
        <f>IF($B240="","",IFERROR(BDP($B240&amp;" Action","OFFERING_GREENSHOE_SHARES_EX"),""))</f>
        <v/>
      </c>
      <c r="I240" s="16">
        <f>Database!Z240</f>
        <v/>
      </c>
      <c r="J240" s="24">
        <f>IFERROR(BDP(Database!$A240&amp;" HK Equity","PE_RATIO"),"")</f>
        <v/>
      </c>
      <c r="K240" s="10">
        <f>IFERROR(BDP(Database!$A240&amp;" HK Equity","A/H_SHARE_CONVERSION"),"")</f>
        <v/>
      </c>
      <c r="L240" s="16">
        <f>IF(Database!BA240="","(none found)",Database!BA240)</f>
        <v/>
      </c>
      <c r="M240" s="18">
        <f>IFERROR(BDH(Database!$A240&amp;" HK Equity","CUR_MKT_CAP",Database!$H240,Database!$H240),"")</f>
        <v/>
      </c>
      <c r="N240" s="99">
        <f>Database!Q240</f>
        <v/>
      </c>
      <c r="O240" s="24">
        <f>IFERROR(BDH(Database!$A240&amp;" HK Equity","PE_RATIO",Database!$H240,Database!$H240),"")</f>
        <v/>
      </c>
      <c r="P240" s="101">
        <f>IF(Database!AV240="","(n/m or not derivable)",Database!AV240)</f>
        <v/>
      </c>
      <c r="Q240" s="24">
        <f>IF(Database!BA240="","",IFERROR(BDH(LEFT(Database!BA240,FIND(".",Database!BA240)-1)&amp;" CH Equity","PE_RATIO",Database!$H240,Database!$H240),""))</f>
        <v/>
      </c>
      <c r="R240" s="24">
        <f>IF(Database!BA240="","",IFERROR(BDH("HSAHP Index","PX_LAST",Database!$H240,Database!$H240),""))</f>
        <v/>
      </c>
    </row>
    <row r="241">
      <c r="A241" s="16">
        <f>Database!A241&amp;"  "&amp;Database!B241</f>
        <v/>
      </c>
      <c r="B241" s="10">
        <f>IFERROR(INDEX(BDS(Database!$A241&amp;" HK Equity","EQUITY_OFFERINGS","array=t","endcol=1"),MATCH("IPO",BDS(Database!$A241&amp;" HK Equity","EQUITY_OFFERINGS","array=t","startcol=2","endcol=2"),0)),"")</f>
        <v/>
      </c>
      <c r="C241" s="103">
        <f>IF($B241="","",IFERROR(BDP($B241&amp;" Action","CP036"),""))</f>
        <v/>
      </c>
      <c r="D241" s="104">
        <f>Database!S241</f>
        <v/>
      </c>
      <c r="E241" s="103">
        <f>IF($B241="","",IFERROR(BDP($B241&amp;" Action","CP037"),""))</f>
        <v/>
      </c>
      <c r="F241" s="104">
        <f>Database!T241</f>
        <v/>
      </c>
      <c r="G241" s="103">
        <f>IF($B241="","",IFERROR(BDP($B241&amp;" Action","GREENSHOE_FACILITY"),""))</f>
        <v/>
      </c>
      <c r="H241" s="103">
        <f>IF($B241="","",IFERROR(BDP($B241&amp;" Action","OFFERING_GREENSHOE_SHARES_EX"),""))</f>
        <v/>
      </c>
      <c r="I241" s="16">
        <f>Database!Z241</f>
        <v/>
      </c>
      <c r="J241" s="24">
        <f>IFERROR(BDP(Database!$A241&amp;" HK Equity","PE_RATIO"),"")</f>
        <v/>
      </c>
      <c r="K241" s="10">
        <f>IFERROR(BDP(Database!$A241&amp;" HK Equity","A/H_SHARE_CONVERSION"),"")</f>
        <v/>
      </c>
      <c r="L241" s="16">
        <f>IF(Database!BA241="","(none found)",Database!BA241)</f>
        <v/>
      </c>
      <c r="M241" s="18">
        <f>IFERROR(BDH(Database!$A241&amp;" HK Equity","CUR_MKT_CAP",Database!$H241,Database!$H241),"")</f>
        <v/>
      </c>
      <c r="N241" s="99">
        <f>Database!Q241</f>
        <v/>
      </c>
      <c r="O241" s="24">
        <f>IFERROR(BDH(Database!$A241&amp;" HK Equity","PE_RATIO",Database!$H241,Database!$H241),"")</f>
        <v/>
      </c>
      <c r="P241" s="101">
        <f>IF(Database!AV241="","(n/m or not derivable)",Database!AV241)</f>
        <v/>
      </c>
      <c r="Q241" s="24">
        <f>IF(Database!BA241="","",IFERROR(BDH(LEFT(Database!BA241,FIND(".",Database!BA241)-1)&amp;" CH Equity","PE_RATIO",Database!$H241,Database!$H241),""))</f>
        <v/>
      </c>
      <c r="R241" s="24">
        <f>IF(Database!BA241="","",IFERROR(BDH("HSAHP Index","PX_LAST",Database!$H241,Database!$H241),""))</f>
        <v/>
      </c>
    </row>
    <row r="242">
      <c r="A242" s="16">
        <f>Database!A242&amp;"  "&amp;Database!B242</f>
        <v/>
      </c>
      <c r="B242" s="10">
        <f>IFERROR(INDEX(BDS(Database!$A242&amp;" HK Equity","EQUITY_OFFERINGS","array=t","endcol=1"),MATCH("IPO",BDS(Database!$A242&amp;" HK Equity","EQUITY_OFFERINGS","array=t","startcol=2","endcol=2"),0)),"")</f>
        <v/>
      </c>
      <c r="C242" s="103">
        <f>IF($B242="","",IFERROR(BDP($B242&amp;" Action","CP036"),""))</f>
        <v/>
      </c>
      <c r="D242" s="104">
        <f>Database!S242</f>
        <v/>
      </c>
      <c r="E242" s="103">
        <f>IF($B242="","",IFERROR(BDP($B242&amp;" Action","CP037"),""))</f>
        <v/>
      </c>
      <c r="F242" s="104">
        <f>Database!T242</f>
        <v/>
      </c>
      <c r="G242" s="103">
        <f>IF($B242="","",IFERROR(BDP($B242&amp;" Action","GREENSHOE_FACILITY"),""))</f>
        <v/>
      </c>
      <c r="H242" s="103">
        <f>IF($B242="","",IFERROR(BDP($B242&amp;" Action","OFFERING_GREENSHOE_SHARES_EX"),""))</f>
        <v/>
      </c>
      <c r="I242" s="16">
        <f>Database!Z242</f>
        <v/>
      </c>
      <c r="J242" s="24">
        <f>IFERROR(BDP(Database!$A242&amp;" HK Equity","PE_RATIO"),"")</f>
        <v/>
      </c>
      <c r="K242" s="10">
        <f>IFERROR(BDP(Database!$A242&amp;" HK Equity","A/H_SHARE_CONVERSION"),"")</f>
        <v/>
      </c>
      <c r="L242" s="16">
        <f>IF(Database!BA242="","(none found)",Database!BA242)</f>
        <v/>
      </c>
      <c r="M242" s="18">
        <f>IFERROR(BDH(Database!$A242&amp;" HK Equity","CUR_MKT_CAP",Database!$H242,Database!$H242),"")</f>
        <v/>
      </c>
      <c r="N242" s="99">
        <f>Database!Q242</f>
        <v/>
      </c>
      <c r="O242" s="24">
        <f>IFERROR(BDH(Database!$A242&amp;" HK Equity","PE_RATIO",Database!$H242,Database!$H242),"")</f>
        <v/>
      </c>
      <c r="P242" s="101">
        <f>IF(Database!AV242="","(n/m or not derivable)",Database!AV242)</f>
        <v/>
      </c>
      <c r="Q242" s="24">
        <f>IF(Database!BA242="","",IFERROR(BDH(LEFT(Database!BA242,FIND(".",Database!BA242)-1)&amp;" CH Equity","PE_RATIO",Database!$H242,Database!$H242),""))</f>
        <v/>
      </c>
      <c r="R242" s="24">
        <f>IF(Database!BA242="","",IFERROR(BDH("HSAHP Index","PX_LAST",Database!$H242,Database!$H242),""))</f>
        <v/>
      </c>
    </row>
    <row r="243">
      <c r="A243" s="16">
        <f>Database!A243&amp;"  "&amp;Database!B243</f>
        <v/>
      </c>
      <c r="B243" s="10">
        <f>IFERROR(INDEX(BDS(Database!$A243&amp;" HK Equity","EQUITY_OFFERINGS","array=t","endcol=1"),MATCH("IPO",BDS(Database!$A243&amp;" HK Equity","EQUITY_OFFERINGS","array=t","startcol=2","endcol=2"),0)),"")</f>
        <v/>
      </c>
      <c r="C243" s="103">
        <f>IF($B243="","",IFERROR(BDP($B243&amp;" Action","CP036"),""))</f>
        <v/>
      </c>
      <c r="D243" s="104">
        <f>Database!S243</f>
        <v/>
      </c>
      <c r="E243" s="103">
        <f>IF($B243="","",IFERROR(BDP($B243&amp;" Action","CP037"),""))</f>
        <v/>
      </c>
      <c r="F243" s="104">
        <f>Database!T243</f>
        <v/>
      </c>
      <c r="G243" s="103">
        <f>IF($B243="","",IFERROR(BDP($B243&amp;" Action","GREENSHOE_FACILITY"),""))</f>
        <v/>
      </c>
      <c r="H243" s="103">
        <f>IF($B243="","",IFERROR(BDP($B243&amp;" Action","OFFERING_GREENSHOE_SHARES_EX"),""))</f>
        <v/>
      </c>
      <c r="I243" s="16">
        <f>Database!Z243</f>
        <v/>
      </c>
      <c r="J243" s="24">
        <f>IFERROR(BDP(Database!$A243&amp;" HK Equity","PE_RATIO"),"")</f>
        <v/>
      </c>
      <c r="K243" s="10">
        <f>IFERROR(BDP(Database!$A243&amp;" HK Equity","A/H_SHARE_CONVERSION"),"")</f>
        <v/>
      </c>
      <c r="L243" s="16">
        <f>IF(Database!BA243="","(none found)",Database!BA243)</f>
        <v/>
      </c>
      <c r="M243" s="18">
        <f>IFERROR(BDH(Database!$A243&amp;" HK Equity","CUR_MKT_CAP",Database!$H243,Database!$H243),"")</f>
        <v/>
      </c>
      <c r="N243" s="99">
        <f>Database!Q243</f>
        <v/>
      </c>
      <c r="O243" s="24">
        <f>IFERROR(BDH(Database!$A243&amp;" HK Equity","PE_RATIO",Database!$H243,Database!$H243),"")</f>
        <v/>
      </c>
      <c r="P243" s="101">
        <f>IF(Database!AV243="","(n/m or not derivable)",Database!AV243)</f>
        <v/>
      </c>
      <c r="Q243" s="24">
        <f>IF(Database!BA243="","",IFERROR(BDH(LEFT(Database!BA243,FIND(".",Database!BA243)-1)&amp;" CH Equity","PE_RATIO",Database!$H243,Database!$H243),""))</f>
        <v/>
      </c>
      <c r="R243" s="24">
        <f>IF(Database!BA243="","",IFERROR(BDH("HSAHP Index","PX_LAST",Database!$H243,Database!$H243),""))</f>
        <v/>
      </c>
    </row>
    <row r="244">
      <c r="A244" s="16">
        <f>Database!A244&amp;"  "&amp;Database!B244</f>
        <v/>
      </c>
      <c r="B244" s="10">
        <f>IFERROR(INDEX(BDS(Database!$A244&amp;" HK Equity","EQUITY_OFFERINGS","array=t","endcol=1"),MATCH("IPO",BDS(Database!$A244&amp;" HK Equity","EQUITY_OFFERINGS","array=t","startcol=2","endcol=2"),0)),"")</f>
        <v/>
      </c>
      <c r="C244" s="103">
        <f>IF($B244="","",IFERROR(BDP($B244&amp;" Action","CP036"),""))</f>
        <v/>
      </c>
      <c r="D244" s="104">
        <f>Database!S244</f>
        <v/>
      </c>
      <c r="E244" s="103">
        <f>IF($B244="","",IFERROR(BDP($B244&amp;" Action","CP037"),""))</f>
        <v/>
      </c>
      <c r="F244" s="104">
        <f>Database!T244</f>
        <v/>
      </c>
      <c r="G244" s="103">
        <f>IF($B244="","",IFERROR(BDP($B244&amp;" Action","GREENSHOE_FACILITY"),""))</f>
        <v/>
      </c>
      <c r="H244" s="103">
        <f>IF($B244="","",IFERROR(BDP($B244&amp;" Action","OFFERING_GREENSHOE_SHARES_EX"),""))</f>
        <v/>
      </c>
      <c r="I244" s="16">
        <f>Database!Z244</f>
        <v/>
      </c>
      <c r="J244" s="24">
        <f>IFERROR(BDP(Database!$A244&amp;" HK Equity","PE_RATIO"),"")</f>
        <v/>
      </c>
      <c r="K244" s="10">
        <f>IFERROR(BDP(Database!$A244&amp;" HK Equity","A/H_SHARE_CONVERSION"),"")</f>
        <v/>
      </c>
      <c r="L244" s="16">
        <f>IF(Database!BA244="","(none found)",Database!BA244)</f>
        <v/>
      </c>
      <c r="M244" s="18">
        <f>IFERROR(BDH(Database!$A244&amp;" HK Equity","CUR_MKT_CAP",Database!$H244,Database!$H244),"")</f>
        <v/>
      </c>
      <c r="N244" s="99">
        <f>Database!Q244</f>
        <v/>
      </c>
      <c r="O244" s="24">
        <f>IFERROR(BDH(Database!$A244&amp;" HK Equity","PE_RATIO",Database!$H244,Database!$H244),"")</f>
        <v/>
      </c>
      <c r="P244" s="101">
        <f>IF(Database!AV244="","(n/m or not derivable)",Database!AV244)</f>
        <v/>
      </c>
      <c r="Q244" s="24">
        <f>IF(Database!BA244="","",IFERROR(BDH(LEFT(Database!BA244,FIND(".",Database!BA244)-1)&amp;" CH Equity","PE_RATIO",Database!$H244,Database!$H244),""))</f>
        <v/>
      </c>
      <c r="R244" s="24">
        <f>IF(Database!BA244="","",IFERROR(BDH("HSAHP Index","PX_LAST",Database!$H244,Database!$H244),""))</f>
        <v/>
      </c>
    </row>
    <row r="245">
      <c r="A245" s="16">
        <f>Database!A245&amp;"  "&amp;Database!B245</f>
        <v/>
      </c>
      <c r="B245" s="10">
        <f>IFERROR(INDEX(BDS(Database!$A245&amp;" HK Equity","EQUITY_OFFERINGS","array=t","endcol=1"),MATCH("IPO",BDS(Database!$A245&amp;" HK Equity","EQUITY_OFFERINGS","array=t","startcol=2","endcol=2"),0)),"")</f>
        <v/>
      </c>
      <c r="C245" s="103">
        <f>IF($B245="","",IFERROR(BDP($B245&amp;" Action","CP036"),""))</f>
        <v/>
      </c>
      <c r="D245" s="104">
        <f>Database!S245</f>
        <v/>
      </c>
      <c r="E245" s="103">
        <f>IF($B245="","",IFERROR(BDP($B245&amp;" Action","CP037"),""))</f>
        <v/>
      </c>
      <c r="F245" s="104">
        <f>Database!T245</f>
        <v/>
      </c>
      <c r="G245" s="103">
        <f>IF($B245="","",IFERROR(BDP($B245&amp;" Action","GREENSHOE_FACILITY"),""))</f>
        <v/>
      </c>
      <c r="H245" s="103">
        <f>IF($B245="","",IFERROR(BDP($B245&amp;" Action","OFFERING_GREENSHOE_SHARES_EX"),""))</f>
        <v/>
      </c>
      <c r="I245" s="16">
        <f>Database!Z245</f>
        <v/>
      </c>
      <c r="J245" s="24">
        <f>IFERROR(BDP(Database!$A245&amp;" HK Equity","PE_RATIO"),"")</f>
        <v/>
      </c>
      <c r="K245" s="10">
        <f>IFERROR(BDP(Database!$A245&amp;" HK Equity","A/H_SHARE_CONVERSION"),"")</f>
        <v/>
      </c>
      <c r="L245" s="16">
        <f>IF(Database!BA245="","(none found)",Database!BA245)</f>
        <v/>
      </c>
      <c r="M245" s="18">
        <f>IFERROR(BDH(Database!$A245&amp;" HK Equity","CUR_MKT_CAP",Database!$H245,Database!$H245),"")</f>
        <v/>
      </c>
      <c r="N245" s="99">
        <f>Database!Q245</f>
        <v/>
      </c>
      <c r="O245" s="24">
        <f>IFERROR(BDH(Database!$A245&amp;" HK Equity","PE_RATIO",Database!$H245,Database!$H245),"")</f>
        <v/>
      </c>
      <c r="P245" s="101">
        <f>IF(Database!AV245="","(n/m or not derivable)",Database!AV245)</f>
        <v/>
      </c>
      <c r="Q245" s="24">
        <f>IF(Database!BA245="","",IFERROR(BDH(LEFT(Database!BA245,FIND(".",Database!BA245)-1)&amp;" CH Equity","PE_RATIO",Database!$H245,Database!$H245),""))</f>
        <v/>
      </c>
      <c r="R245" s="24">
        <f>IF(Database!BA245="","",IFERROR(BDH("HSAHP Index","PX_LAST",Database!$H245,Database!$H245),""))</f>
        <v/>
      </c>
    </row>
    <row r="246">
      <c r="A246" s="16">
        <f>Database!A246&amp;"  "&amp;Database!B246</f>
        <v/>
      </c>
      <c r="B246" s="10">
        <f>IFERROR(INDEX(BDS(Database!$A246&amp;" HK Equity","EQUITY_OFFERINGS","array=t","endcol=1"),MATCH("IPO",BDS(Database!$A246&amp;" HK Equity","EQUITY_OFFERINGS","array=t","startcol=2","endcol=2"),0)),"")</f>
        <v/>
      </c>
      <c r="C246" s="103">
        <f>IF($B246="","",IFERROR(BDP($B246&amp;" Action","CP036"),""))</f>
        <v/>
      </c>
      <c r="D246" s="104">
        <f>Database!S246</f>
        <v/>
      </c>
      <c r="E246" s="103">
        <f>IF($B246="","",IFERROR(BDP($B246&amp;" Action","CP037"),""))</f>
        <v/>
      </c>
      <c r="F246" s="104">
        <f>Database!T246</f>
        <v/>
      </c>
      <c r="G246" s="103">
        <f>IF($B246="","",IFERROR(BDP($B246&amp;" Action","GREENSHOE_FACILITY"),""))</f>
        <v/>
      </c>
      <c r="H246" s="103">
        <f>IF($B246="","",IFERROR(BDP($B246&amp;" Action","OFFERING_GREENSHOE_SHARES_EX"),""))</f>
        <v/>
      </c>
      <c r="I246" s="16">
        <f>Database!Z246</f>
        <v/>
      </c>
      <c r="J246" s="24">
        <f>IFERROR(BDP(Database!$A246&amp;" HK Equity","PE_RATIO"),"")</f>
        <v/>
      </c>
      <c r="K246" s="10">
        <f>IFERROR(BDP(Database!$A246&amp;" HK Equity","A/H_SHARE_CONVERSION"),"")</f>
        <v/>
      </c>
      <c r="L246" s="16">
        <f>IF(Database!BA246="","(none found)",Database!BA246)</f>
        <v/>
      </c>
      <c r="M246" s="18">
        <f>IFERROR(BDH(Database!$A246&amp;" HK Equity","CUR_MKT_CAP",Database!$H246,Database!$H246),"")</f>
        <v/>
      </c>
      <c r="N246" s="99">
        <f>Database!Q246</f>
        <v/>
      </c>
      <c r="O246" s="24">
        <f>IFERROR(BDH(Database!$A246&amp;" HK Equity","PE_RATIO",Database!$H246,Database!$H246),"")</f>
        <v/>
      </c>
      <c r="P246" s="101">
        <f>IF(Database!AV246="","(n/m or not derivable)",Database!AV246)</f>
        <v/>
      </c>
      <c r="Q246" s="24">
        <f>IF(Database!BA246="","",IFERROR(BDH(LEFT(Database!BA246,FIND(".",Database!BA246)-1)&amp;" CH Equity","PE_RATIO",Database!$H246,Database!$H246),""))</f>
        <v/>
      </c>
      <c r="R246" s="24">
        <f>IF(Database!BA246="","",IFERROR(BDH("HSAHP Index","PX_LAST",Database!$H246,Database!$H246),""))</f>
        <v/>
      </c>
    </row>
    <row r="247">
      <c r="A247" s="16">
        <f>Database!A247&amp;"  "&amp;Database!B247</f>
        <v/>
      </c>
      <c r="B247" s="10">
        <f>IFERROR(INDEX(BDS(Database!$A247&amp;" HK Equity","EQUITY_OFFERINGS","array=t","endcol=1"),MATCH("IPO",BDS(Database!$A247&amp;" HK Equity","EQUITY_OFFERINGS","array=t","startcol=2","endcol=2"),0)),"")</f>
        <v/>
      </c>
      <c r="C247" s="103">
        <f>IF($B247="","",IFERROR(BDP($B247&amp;" Action","CP036"),""))</f>
        <v/>
      </c>
      <c r="D247" s="104">
        <f>Database!S247</f>
        <v/>
      </c>
      <c r="E247" s="103">
        <f>IF($B247="","",IFERROR(BDP($B247&amp;" Action","CP037"),""))</f>
        <v/>
      </c>
      <c r="F247" s="104">
        <f>Database!T247</f>
        <v/>
      </c>
      <c r="G247" s="103">
        <f>IF($B247="","",IFERROR(BDP($B247&amp;" Action","GREENSHOE_FACILITY"),""))</f>
        <v/>
      </c>
      <c r="H247" s="103">
        <f>IF($B247="","",IFERROR(BDP($B247&amp;" Action","OFFERING_GREENSHOE_SHARES_EX"),""))</f>
        <v/>
      </c>
      <c r="I247" s="16">
        <f>Database!Z247</f>
        <v/>
      </c>
      <c r="J247" s="24">
        <f>IFERROR(BDP(Database!$A247&amp;" HK Equity","PE_RATIO"),"")</f>
        <v/>
      </c>
      <c r="K247" s="10">
        <f>IFERROR(BDP(Database!$A247&amp;" HK Equity","A/H_SHARE_CONVERSION"),"")</f>
        <v/>
      </c>
      <c r="L247" s="16">
        <f>IF(Database!BA247="","(none found)",Database!BA247)</f>
        <v/>
      </c>
      <c r="M247" s="18">
        <f>IFERROR(BDH(Database!$A247&amp;" HK Equity","CUR_MKT_CAP",Database!$H247,Database!$H247),"")</f>
        <v/>
      </c>
      <c r="N247" s="99">
        <f>Database!Q247</f>
        <v/>
      </c>
      <c r="O247" s="24">
        <f>IFERROR(BDH(Database!$A247&amp;" HK Equity","PE_RATIO",Database!$H247,Database!$H247),"")</f>
        <v/>
      </c>
      <c r="P247" s="101">
        <f>IF(Database!AV247="","(n/m or not derivable)",Database!AV247)</f>
        <v/>
      </c>
      <c r="Q247" s="24">
        <f>IF(Database!BA247="","",IFERROR(BDH(LEFT(Database!BA247,FIND(".",Database!BA247)-1)&amp;" CH Equity","PE_RATIO",Database!$H247,Database!$H247),""))</f>
        <v/>
      </c>
      <c r="R247" s="24">
        <f>IF(Database!BA247="","",IFERROR(BDH("HSAHP Index","PX_LAST",Database!$H247,Database!$H247),""))</f>
        <v/>
      </c>
    </row>
    <row r="248">
      <c r="A248" s="16">
        <f>Database!A248&amp;"  "&amp;Database!B248</f>
        <v/>
      </c>
      <c r="B248" s="10">
        <f>IFERROR(INDEX(BDS(Database!$A248&amp;" HK Equity","EQUITY_OFFERINGS","array=t","endcol=1"),MATCH("IPO",BDS(Database!$A248&amp;" HK Equity","EQUITY_OFFERINGS","array=t","startcol=2","endcol=2"),0)),"")</f>
        <v/>
      </c>
      <c r="C248" s="103">
        <f>IF($B248="","",IFERROR(BDP($B248&amp;" Action","CP036"),""))</f>
        <v/>
      </c>
      <c r="D248" s="104">
        <f>Database!S248</f>
        <v/>
      </c>
      <c r="E248" s="103">
        <f>IF($B248="","",IFERROR(BDP($B248&amp;" Action","CP037"),""))</f>
        <v/>
      </c>
      <c r="F248" s="104">
        <f>Database!T248</f>
        <v/>
      </c>
      <c r="G248" s="103">
        <f>IF($B248="","",IFERROR(BDP($B248&amp;" Action","GREENSHOE_FACILITY"),""))</f>
        <v/>
      </c>
      <c r="H248" s="103">
        <f>IF($B248="","",IFERROR(BDP($B248&amp;" Action","OFFERING_GREENSHOE_SHARES_EX"),""))</f>
        <v/>
      </c>
      <c r="I248" s="16">
        <f>Database!Z248</f>
        <v/>
      </c>
      <c r="J248" s="24">
        <f>IFERROR(BDP(Database!$A248&amp;" HK Equity","PE_RATIO"),"")</f>
        <v/>
      </c>
      <c r="K248" s="10">
        <f>IFERROR(BDP(Database!$A248&amp;" HK Equity","A/H_SHARE_CONVERSION"),"")</f>
        <v/>
      </c>
      <c r="L248" s="16">
        <f>IF(Database!BA248="","(none found)",Database!BA248)</f>
        <v/>
      </c>
      <c r="M248" s="18">
        <f>IFERROR(BDH(Database!$A248&amp;" HK Equity","CUR_MKT_CAP",Database!$H248,Database!$H248),"")</f>
        <v/>
      </c>
      <c r="N248" s="99">
        <f>Database!Q248</f>
        <v/>
      </c>
      <c r="O248" s="24">
        <f>IFERROR(BDH(Database!$A248&amp;" HK Equity","PE_RATIO",Database!$H248,Database!$H248),"")</f>
        <v/>
      </c>
      <c r="P248" s="101">
        <f>IF(Database!AV248="","(n/m or not derivable)",Database!AV248)</f>
        <v/>
      </c>
      <c r="Q248" s="24">
        <f>IF(Database!BA248="","",IFERROR(BDH(LEFT(Database!BA248,FIND(".",Database!BA248)-1)&amp;" CH Equity","PE_RATIO",Database!$H248,Database!$H248),""))</f>
        <v/>
      </c>
      <c r="R248" s="24">
        <f>IF(Database!BA248="","",IFERROR(BDH("HSAHP Index","PX_LAST",Database!$H248,Database!$H248),""))</f>
        <v/>
      </c>
    </row>
    <row r="249">
      <c r="A249" s="16">
        <f>Database!A249&amp;"  "&amp;Database!B249</f>
        <v/>
      </c>
      <c r="B249" s="10">
        <f>IFERROR(INDEX(BDS(Database!$A249&amp;" HK Equity","EQUITY_OFFERINGS","array=t","endcol=1"),MATCH("IPO",BDS(Database!$A249&amp;" HK Equity","EQUITY_OFFERINGS","array=t","startcol=2","endcol=2"),0)),"")</f>
        <v/>
      </c>
      <c r="C249" s="103">
        <f>IF($B249="","",IFERROR(BDP($B249&amp;" Action","CP036"),""))</f>
        <v/>
      </c>
      <c r="D249" s="104">
        <f>Database!S249</f>
        <v/>
      </c>
      <c r="E249" s="103">
        <f>IF($B249="","",IFERROR(BDP($B249&amp;" Action","CP037"),""))</f>
        <v/>
      </c>
      <c r="F249" s="104">
        <f>Database!T249</f>
        <v/>
      </c>
      <c r="G249" s="103">
        <f>IF($B249="","",IFERROR(BDP($B249&amp;" Action","GREENSHOE_FACILITY"),""))</f>
        <v/>
      </c>
      <c r="H249" s="103">
        <f>IF($B249="","",IFERROR(BDP($B249&amp;" Action","OFFERING_GREENSHOE_SHARES_EX"),""))</f>
        <v/>
      </c>
      <c r="I249" s="16">
        <f>Database!Z249</f>
        <v/>
      </c>
      <c r="J249" s="24">
        <f>IFERROR(BDP(Database!$A249&amp;" HK Equity","PE_RATIO"),"")</f>
        <v/>
      </c>
      <c r="K249" s="10">
        <f>IFERROR(BDP(Database!$A249&amp;" HK Equity","A/H_SHARE_CONVERSION"),"")</f>
        <v/>
      </c>
      <c r="L249" s="16">
        <f>IF(Database!BA249="","(none found)",Database!BA249)</f>
        <v/>
      </c>
      <c r="M249" s="18">
        <f>IFERROR(BDH(Database!$A249&amp;" HK Equity","CUR_MKT_CAP",Database!$H249,Database!$H249),"")</f>
        <v/>
      </c>
      <c r="N249" s="99">
        <f>Database!Q249</f>
        <v/>
      </c>
      <c r="O249" s="24">
        <f>IFERROR(BDH(Database!$A249&amp;" HK Equity","PE_RATIO",Database!$H249,Database!$H249),"")</f>
        <v/>
      </c>
      <c r="P249" s="101">
        <f>IF(Database!AV249="","(n/m or not derivable)",Database!AV249)</f>
        <v/>
      </c>
      <c r="Q249" s="24">
        <f>IF(Database!BA249="","",IFERROR(BDH(LEFT(Database!BA249,FIND(".",Database!BA249)-1)&amp;" CH Equity","PE_RATIO",Database!$H249,Database!$H249),""))</f>
        <v/>
      </c>
      <c r="R249" s="24">
        <f>IF(Database!BA249="","",IFERROR(BDH("HSAHP Index","PX_LAST",Database!$H249,Database!$H249),""))</f>
        <v/>
      </c>
    </row>
    <row r="250">
      <c r="A250" s="16">
        <f>Database!A250&amp;"  "&amp;Database!B250</f>
        <v/>
      </c>
      <c r="B250" s="10">
        <f>IFERROR(INDEX(BDS(Database!$A250&amp;" HK Equity","EQUITY_OFFERINGS","array=t","endcol=1"),MATCH("IPO",BDS(Database!$A250&amp;" HK Equity","EQUITY_OFFERINGS","array=t","startcol=2","endcol=2"),0)),"")</f>
        <v/>
      </c>
      <c r="C250" s="103">
        <f>IF($B250="","",IFERROR(BDP($B250&amp;" Action","CP036"),""))</f>
        <v/>
      </c>
      <c r="D250" s="104">
        <f>Database!S250</f>
        <v/>
      </c>
      <c r="E250" s="103">
        <f>IF($B250="","",IFERROR(BDP($B250&amp;" Action","CP037"),""))</f>
        <v/>
      </c>
      <c r="F250" s="104">
        <f>Database!T250</f>
        <v/>
      </c>
      <c r="G250" s="103">
        <f>IF($B250="","",IFERROR(BDP($B250&amp;" Action","GREENSHOE_FACILITY"),""))</f>
        <v/>
      </c>
      <c r="H250" s="103">
        <f>IF($B250="","",IFERROR(BDP($B250&amp;" Action","OFFERING_GREENSHOE_SHARES_EX"),""))</f>
        <v/>
      </c>
      <c r="I250" s="16">
        <f>Database!Z250</f>
        <v/>
      </c>
      <c r="J250" s="24">
        <f>IFERROR(BDP(Database!$A250&amp;" HK Equity","PE_RATIO"),"")</f>
        <v/>
      </c>
      <c r="K250" s="10">
        <f>IFERROR(BDP(Database!$A250&amp;" HK Equity","A/H_SHARE_CONVERSION"),"")</f>
        <v/>
      </c>
      <c r="L250" s="16">
        <f>IF(Database!BA250="","(none found)",Database!BA250)</f>
        <v/>
      </c>
      <c r="M250" s="18">
        <f>IFERROR(BDH(Database!$A250&amp;" HK Equity","CUR_MKT_CAP",Database!$H250,Database!$H250),"")</f>
        <v/>
      </c>
      <c r="N250" s="99">
        <f>Database!Q250</f>
        <v/>
      </c>
      <c r="O250" s="24">
        <f>IFERROR(BDH(Database!$A250&amp;" HK Equity","PE_RATIO",Database!$H250,Database!$H250),"")</f>
        <v/>
      </c>
      <c r="P250" s="101">
        <f>IF(Database!AV250="","(n/m or not derivable)",Database!AV250)</f>
        <v/>
      </c>
      <c r="Q250" s="24">
        <f>IF(Database!BA250="","",IFERROR(BDH(LEFT(Database!BA250,FIND(".",Database!BA250)-1)&amp;" CH Equity","PE_RATIO",Database!$H250,Database!$H250),""))</f>
        <v/>
      </c>
      <c r="R250" s="24">
        <f>IF(Database!BA250="","",IFERROR(BDH("HSAHP Index","PX_LAST",Database!$H250,Database!$H250),""))</f>
        <v/>
      </c>
    </row>
    <row r="251">
      <c r="A251" s="16">
        <f>Database!A251&amp;"  "&amp;Database!B251</f>
        <v/>
      </c>
      <c r="B251" s="10">
        <f>IFERROR(INDEX(BDS(Database!$A251&amp;" HK Equity","EQUITY_OFFERINGS","array=t","endcol=1"),MATCH("IPO",BDS(Database!$A251&amp;" HK Equity","EQUITY_OFFERINGS","array=t","startcol=2","endcol=2"),0)),"")</f>
        <v/>
      </c>
      <c r="C251" s="103">
        <f>IF($B251="","",IFERROR(BDP($B251&amp;" Action","CP036"),""))</f>
        <v/>
      </c>
      <c r="D251" s="104">
        <f>Database!S251</f>
        <v/>
      </c>
      <c r="E251" s="103">
        <f>IF($B251="","",IFERROR(BDP($B251&amp;" Action","CP037"),""))</f>
        <v/>
      </c>
      <c r="F251" s="104">
        <f>Database!T251</f>
        <v/>
      </c>
      <c r="G251" s="103">
        <f>IF($B251="","",IFERROR(BDP($B251&amp;" Action","GREENSHOE_FACILITY"),""))</f>
        <v/>
      </c>
      <c r="H251" s="103">
        <f>IF($B251="","",IFERROR(BDP($B251&amp;" Action","OFFERING_GREENSHOE_SHARES_EX"),""))</f>
        <v/>
      </c>
      <c r="I251" s="16">
        <f>Database!Z251</f>
        <v/>
      </c>
      <c r="J251" s="24">
        <f>IFERROR(BDP(Database!$A251&amp;" HK Equity","PE_RATIO"),"")</f>
        <v/>
      </c>
      <c r="K251" s="10">
        <f>IFERROR(BDP(Database!$A251&amp;" HK Equity","A/H_SHARE_CONVERSION"),"")</f>
        <v/>
      </c>
      <c r="L251" s="16">
        <f>IF(Database!BA251="","(none found)",Database!BA251)</f>
        <v/>
      </c>
      <c r="M251" s="18">
        <f>IFERROR(BDH(Database!$A251&amp;" HK Equity","CUR_MKT_CAP",Database!$H251,Database!$H251),"")</f>
        <v/>
      </c>
      <c r="N251" s="99">
        <f>Database!Q251</f>
        <v/>
      </c>
      <c r="O251" s="24">
        <f>IFERROR(BDH(Database!$A251&amp;" HK Equity","PE_RATIO",Database!$H251,Database!$H251),"")</f>
        <v/>
      </c>
      <c r="P251" s="101">
        <f>IF(Database!AV251="","(n/m or not derivable)",Database!AV251)</f>
        <v/>
      </c>
      <c r="Q251" s="24">
        <f>IF(Database!BA251="","",IFERROR(BDH(LEFT(Database!BA251,FIND(".",Database!BA251)-1)&amp;" CH Equity","PE_RATIO",Database!$H251,Database!$H251),""))</f>
        <v/>
      </c>
      <c r="R251" s="24">
        <f>IF(Database!BA251="","",IFERROR(BDH("HSAHP Index","PX_LAST",Database!$H251,Database!$H251),""))</f>
        <v/>
      </c>
    </row>
    <row r="252">
      <c r="A252" s="16">
        <f>Database!A252&amp;"  "&amp;Database!B252</f>
        <v/>
      </c>
      <c r="B252" s="10">
        <f>IFERROR(INDEX(BDS(Database!$A252&amp;" HK Equity","EQUITY_OFFERINGS","array=t","endcol=1"),MATCH("IPO",BDS(Database!$A252&amp;" HK Equity","EQUITY_OFFERINGS","array=t","startcol=2","endcol=2"),0)),"")</f>
        <v/>
      </c>
      <c r="C252" s="103">
        <f>IF($B252="","",IFERROR(BDP($B252&amp;" Action","CP036"),""))</f>
        <v/>
      </c>
      <c r="D252" s="104">
        <f>Database!S252</f>
        <v/>
      </c>
      <c r="E252" s="103">
        <f>IF($B252="","",IFERROR(BDP($B252&amp;" Action","CP037"),""))</f>
        <v/>
      </c>
      <c r="F252" s="104">
        <f>Database!T252</f>
        <v/>
      </c>
      <c r="G252" s="103">
        <f>IF($B252="","",IFERROR(BDP($B252&amp;" Action","GREENSHOE_FACILITY"),""))</f>
        <v/>
      </c>
      <c r="H252" s="103">
        <f>IF($B252="","",IFERROR(BDP($B252&amp;" Action","OFFERING_GREENSHOE_SHARES_EX"),""))</f>
        <v/>
      </c>
      <c r="I252" s="16">
        <f>Database!Z252</f>
        <v/>
      </c>
      <c r="J252" s="24">
        <f>IFERROR(BDP(Database!$A252&amp;" HK Equity","PE_RATIO"),"")</f>
        <v/>
      </c>
      <c r="K252" s="10">
        <f>IFERROR(BDP(Database!$A252&amp;" HK Equity","A/H_SHARE_CONVERSION"),"")</f>
        <v/>
      </c>
      <c r="L252" s="16">
        <f>IF(Database!BA252="","(none found)",Database!BA252)</f>
        <v/>
      </c>
      <c r="M252" s="18">
        <f>IFERROR(BDH(Database!$A252&amp;" HK Equity","CUR_MKT_CAP",Database!$H252,Database!$H252),"")</f>
        <v/>
      </c>
      <c r="N252" s="99">
        <f>Database!Q252</f>
        <v/>
      </c>
      <c r="O252" s="24">
        <f>IFERROR(BDH(Database!$A252&amp;" HK Equity","PE_RATIO",Database!$H252,Database!$H252),"")</f>
        <v/>
      </c>
      <c r="P252" s="101">
        <f>IF(Database!AV252="","(n/m or not derivable)",Database!AV252)</f>
        <v/>
      </c>
      <c r="Q252" s="24">
        <f>IF(Database!BA252="","",IFERROR(BDH(LEFT(Database!BA252,FIND(".",Database!BA252)-1)&amp;" CH Equity","PE_RATIO",Database!$H252,Database!$H252),""))</f>
        <v/>
      </c>
      <c r="R252" s="24">
        <f>IF(Database!BA252="","",IFERROR(BDH("HSAHP Index","PX_LAST",Database!$H252,Database!$H252),""))</f>
        <v/>
      </c>
    </row>
    <row r="253">
      <c r="A253" s="16">
        <f>Database!A253&amp;"  "&amp;Database!B253</f>
        <v/>
      </c>
      <c r="B253" s="10">
        <f>IFERROR(INDEX(BDS(Database!$A253&amp;" HK Equity","EQUITY_OFFERINGS","array=t","endcol=1"),MATCH("IPO",BDS(Database!$A253&amp;" HK Equity","EQUITY_OFFERINGS","array=t","startcol=2","endcol=2"),0)),"")</f>
        <v/>
      </c>
      <c r="C253" s="103">
        <f>IF($B253="","",IFERROR(BDP($B253&amp;" Action","CP036"),""))</f>
        <v/>
      </c>
      <c r="D253" s="104">
        <f>Database!S253</f>
        <v/>
      </c>
      <c r="E253" s="103">
        <f>IF($B253="","",IFERROR(BDP($B253&amp;" Action","CP037"),""))</f>
        <v/>
      </c>
      <c r="F253" s="104">
        <f>Database!T253</f>
        <v/>
      </c>
      <c r="G253" s="103">
        <f>IF($B253="","",IFERROR(BDP($B253&amp;" Action","GREENSHOE_FACILITY"),""))</f>
        <v/>
      </c>
      <c r="H253" s="103">
        <f>IF($B253="","",IFERROR(BDP($B253&amp;" Action","OFFERING_GREENSHOE_SHARES_EX"),""))</f>
        <v/>
      </c>
      <c r="I253" s="16">
        <f>Database!Z253</f>
        <v/>
      </c>
      <c r="J253" s="24">
        <f>IFERROR(BDP(Database!$A253&amp;" HK Equity","PE_RATIO"),"")</f>
        <v/>
      </c>
      <c r="K253" s="10">
        <f>IFERROR(BDP(Database!$A253&amp;" HK Equity","A/H_SHARE_CONVERSION"),"")</f>
        <v/>
      </c>
      <c r="L253" s="16">
        <f>IF(Database!BA253="","(none found)",Database!BA253)</f>
        <v/>
      </c>
      <c r="M253" s="18">
        <f>IFERROR(BDH(Database!$A253&amp;" HK Equity","CUR_MKT_CAP",Database!$H253,Database!$H253),"")</f>
        <v/>
      </c>
      <c r="N253" s="99">
        <f>Database!Q253</f>
        <v/>
      </c>
      <c r="O253" s="24">
        <f>IFERROR(BDH(Database!$A253&amp;" HK Equity","PE_RATIO",Database!$H253,Database!$H253),"")</f>
        <v/>
      </c>
      <c r="P253" s="101">
        <f>IF(Database!AV253="","(n/m or not derivable)",Database!AV253)</f>
        <v/>
      </c>
      <c r="Q253" s="24">
        <f>IF(Database!BA253="","",IFERROR(BDH(LEFT(Database!BA253,FIND(".",Database!BA253)-1)&amp;" CH Equity","PE_RATIO",Database!$H253,Database!$H253),""))</f>
        <v/>
      </c>
      <c r="R253" s="24">
        <f>IF(Database!BA253="","",IFERROR(BDH("HSAHP Index","PX_LAST",Database!$H253,Database!$H253),""))</f>
        <v/>
      </c>
    </row>
    <row r="254">
      <c r="A254" s="16">
        <f>Database!A254&amp;"  "&amp;Database!B254</f>
        <v/>
      </c>
      <c r="B254" s="10">
        <f>IFERROR(INDEX(BDS(Database!$A254&amp;" HK Equity","EQUITY_OFFERINGS","array=t","endcol=1"),MATCH("IPO",BDS(Database!$A254&amp;" HK Equity","EQUITY_OFFERINGS","array=t","startcol=2","endcol=2"),0)),"")</f>
        <v/>
      </c>
      <c r="C254" s="103">
        <f>IF($B254="","",IFERROR(BDP($B254&amp;" Action","CP036"),""))</f>
        <v/>
      </c>
      <c r="D254" s="104">
        <f>Database!S254</f>
        <v/>
      </c>
      <c r="E254" s="103">
        <f>IF($B254="","",IFERROR(BDP($B254&amp;" Action","CP037"),""))</f>
        <v/>
      </c>
      <c r="F254" s="104">
        <f>Database!T254</f>
        <v/>
      </c>
      <c r="G254" s="103">
        <f>IF($B254="","",IFERROR(BDP($B254&amp;" Action","GREENSHOE_FACILITY"),""))</f>
        <v/>
      </c>
      <c r="H254" s="103">
        <f>IF($B254="","",IFERROR(BDP($B254&amp;" Action","OFFERING_GREENSHOE_SHARES_EX"),""))</f>
        <v/>
      </c>
      <c r="I254" s="16">
        <f>Database!Z254</f>
        <v/>
      </c>
      <c r="J254" s="24">
        <f>IFERROR(BDP(Database!$A254&amp;" HK Equity","PE_RATIO"),"")</f>
        <v/>
      </c>
      <c r="K254" s="10">
        <f>IFERROR(BDP(Database!$A254&amp;" HK Equity","A/H_SHARE_CONVERSION"),"")</f>
        <v/>
      </c>
      <c r="L254" s="16">
        <f>IF(Database!BA254="","(none found)",Database!BA254)</f>
        <v/>
      </c>
      <c r="M254" s="18">
        <f>IFERROR(BDH(Database!$A254&amp;" HK Equity","CUR_MKT_CAP",Database!$H254,Database!$H254),"")</f>
        <v/>
      </c>
      <c r="N254" s="99">
        <f>Database!Q254</f>
        <v/>
      </c>
      <c r="O254" s="24">
        <f>IFERROR(BDH(Database!$A254&amp;" HK Equity","PE_RATIO",Database!$H254,Database!$H254),"")</f>
        <v/>
      </c>
      <c r="P254" s="101">
        <f>IF(Database!AV254="","(n/m or not derivable)",Database!AV254)</f>
        <v/>
      </c>
      <c r="Q254" s="24">
        <f>IF(Database!BA254="","",IFERROR(BDH(LEFT(Database!BA254,FIND(".",Database!BA254)-1)&amp;" CH Equity","PE_RATIO",Database!$H254,Database!$H254),""))</f>
        <v/>
      </c>
      <c r="R254" s="24">
        <f>IF(Database!BA254="","",IFERROR(BDH("HSAHP Index","PX_LAST",Database!$H254,Database!$H254),""))</f>
        <v/>
      </c>
    </row>
    <row r="255">
      <c r="A255" s="16">
        <f>Database!A255&amp;"  "&amp;Database!B255</f>
        <v/>
      </c>
      <c r="B255" s="10">
        <f>IFERROR(INDEX(BDS(Database!$A255&amp;" HK Equity","EQUITY_OFFERINGS","array=t","endcol=1"),MATCH("IPO",BDS(Database!$A255&amp;" HK Equity","EQUITY_OFFERINGS","array=t","startcol=2","endcol=2"),0)),"")</f>
        <v/>
      </c>
      <c r="C255" s="103">
        <f>IF($B255="","",IFERROR(BDP($B255&amp;" Action","CP036"),""))</f>
        <v/>
      </c>
      <c r="D255" s="104">
        <f>Database!S255</f>
        <v/>
      </c>
      <c r="E255" s="103">
        <f>IF($B255="","",IFERROR(BDP($B255&amp;" Action","CP037"),""))</f>
        <v/>
      </c>
      <c r="F255" s="104">
        <f>Database!T255</f>
        <v/>
      </c>
      <c r="G255" s="103">
        <f>IF($B255="","",IFERROR(BDP($B255&amp;" Action","GREENSHOE_FACILITY"),""))</f>
        <v/>
      </c>
      <c r="H255" s="103">
        <f>IF($B255="","",IFERROR(BDP($B255&amp;" Action","OFFERING_GREENSHOE_SHARES_EX"),""))</f>
        <v/>
      </c>
      <c r="I255" s="16">
        <f>Database!Z255</f>
        <v/>
      </c>
      <c r="J255" s="24">
        <f>IFERROR(BDP(Database!$A255&amp;" HK Equity","PE_RATIO"),"")</f>
        <v/>
      </c>
      <c r="K255" s="10">
        <f>IFERROR(BDP(Database!$A255&amp;" HK Equity","A/H_SHARE_CONVERSION"),"")</f>
        <v/>
      </c>
      <c r="L255" s="16">
        <f>IF(Database!BA255="","(none found)",Database!BA255)</f>
        <v/>
      </c>
      <c r="M255" s="18">
        <f>IFERROR(BDH(Database!$A255&amp;" HK Equity","CUR_MKT_CAP",Database!$H255,Database!$H255),"")</f>
        <v/>
      </c>
      <c r="N255" s="99">
        <f>Database!Q255</f>
        <v/>
      </c>
      <c r="O255" s="24">
        <f>IFERROR(BDH(Database!$A255&amp;" HK Equity","PE_RATIO",Database!$H255,Database!$H255),"")</f>
        <v/>
      </c>
      <c r="P255" s="101">
        <f>IF(Database!AV255="","(n/m or not derivable)",Database!AV255)</f>
        <v/>
      </c>
      <c r="Q255" s="24">
        <f>IF(Database!BA255="","",IFERROR(BDH(LEFT(Database!BA255,FIND(".",Database!BA255)-1)&amp;" CH Equity","PE_RATIO",Database!$H255,Database!$H255),""))</f>
        <v/>
      </c>
      <c r="R255" s="24">
        <f>IF(Database!BA255="","",IFERROR(BDH("HSAHP Index","PX_LAST",Database!$H255,Database!$H255),""))</f>
        <v/>
      </c>
    </row>
    <row r="256">
      <c r="A256" s="16">
        <f>Database!A256&amp;"  "&amp;Database!B256</f>
        <v/>
      </c>
      <c r="B256" s="10">
        <f>IFERROR(INDEX(BDS(Database!$A256&amp;" HK Equity","EQUITY_OFFERINGS","array=t","endcol=1"),MATCH("IPO",BDS(Database!$A256&amp;" HK Equity","EQUITY_OFFERINGS","array=t","startcol=2","endcol=2"),0)),"")</f>
        <v/>
      </c>
      <c r="C256" s="103">
        <f>IF($B256="","",IFERROR(BDP($B256&amp;" Action","CP036"),""))</f>
        <v/>
      </c>
      <c r="D256" s="104">
        <f>Database!S256</f>
        <v/>
      </c>
      <c r="E256" s="103">
        <f>IF($B256="","",IFERROR(BDP($B256&amp;" Action","CP037"),""))</f>
        <v/>
      </c>
      <c r="F256" s="104">
        <f>Database!T256</f>
        <v/>
      </c>
      <c r="G256" s="103">
        <f>IF($B256="","",IFERROR(BDP($B256&amp;" Action","GREENSHOE_FACILITY"),""))</f>
        <v/>
      </c>
      <c r="H256" s="103">
        <f>IF($B256="","",IFERROR(BDP($B256&amp;" Action","OFFERING_GREENSHOE_SHARES_EX"),""))</f>
        <v/>
      </c>
      <c r="I256" s="16">
        <f>Database!Z256</f>
        <v/>
      </c>
      <c r="J256" s="24">
        <f>IFERROR(BDP(Database!$A256&amp;" HK Equity","PE_RATIO"),"")</f>
        <v/>
      </c>
      <c r="K256" s="10">
        <f>IFERROR(BDP(Database!$A256&amp;" HK Equity","A/H_SHARE_CONVERSION"),"")</f>
        <v/>
      </c>
      <c r="L256" s="16">
        <f>IF(Database!BA256="","(none found)",Database!BA256)</f>
        <v/>
      </c>
      <c r="M256" s="18">
        <f>IFERROR(BDH(Database!$A256&amp;" HK Equity","CUR_MKT_CAP",Database!$H256,Database!$H256),"")</f>
        <v/>
      </c>
      <c r="N256" s="99">
        <f>Database!Q256</f>
        <v/>
      </c>
      <c r="O256" s="24">
        <f>IFERROR(BDH(Database!$A256&amp;" HK Equity","PE_RATIO",Database!$H256,Database!$H256),"")</f>
        <v/>
      </c>
      <c r="P256" s="101">
        <f>IF(Database!AV256="","(n/m or not derivable)",Database!AV256)</f>
        <v/>
      </c>
      <c r="Q256" s="24">
        <f>IF(Database!BA256="","",IFERROR(BDH(LEFT(Database!BA256,FIND(".",Database!BA256)-1)&amp;" CH Equity","PE_RATIO",Database!$H256,Database!$H256),""))</f>
        <v/>
      </c>
      <c r="R256" s="24">
        <f>IF(Database!BA256="","",IFERROR(BDH("HSAHP Index","PX_LAST",Database!$H256,Database!$H256),""))</f>
        <v/>
      </c>
    </row>
    <row r="257">
      <c r="A257" s="16">
        <f>Database!A257&amp;"  "&amp;Database!B257</f>
        <v/>
      </c>
      <c r="B257" s="10">
        <f>IFERROR(INDEX(BDS(Database!$A257&amp;" HK Equity","EQUITY_OFFERINGS","array=t","endcol=1"),MATCH("IPO",BDS(Database!$A257&amp;" HK Equity","EQUITY_OFFERINGS","array=t","startcol=2","endcol=2"),0)),"")</f>
        <v/>
      </c>
      <c r="C257" s="103">
        <f>IF($B257="","",IFERROR(BDP($B257&amp;" Action","CP036"),""))</f>
        <v/>
      </c>
      <c r="D257" s="104">
        <f>Database!S257</f>
        <v/>
      </c>
      <c r="E257" s="103">
        <f>IF($B257="","",IFERROR(BDP($B257&amp;" Action","CP037"),""))</f>
        <v/>
      </c>
      <c r="F257" s="104">
        <f>Database!T257</f>
        <v/>
      </c>
      <c r="G257" s="103">
        <f>IF($B257="","",IFERROR(BDP($B257&amp;" Action","GREENSHOE_FACILITY"),""))</f>
        <v/>
      </c>
      <c r="H257" s="103">
        <f>IF($B257="","",IFERROR(BDP($B257&amp;" Action","OFFERING_GREENSHOE_SHARES_EX"),""))</f>
        <v/>
      </c>
      <c r="I257" s="16">
        <f>Database!Z257</f>
        <v/>
      </c>
      <c r="J257" s="24">
        <f>IFERROR(BDP(Database!$A257&amp;" HK Equity","PE_RATIO"),"")</f>
        <v/>
      </c>
      <c r="K257" s="10">
        <f>IFERROR(BDP(Database!$A257&amp;" HK Equity","A/H_SHARE_CONVERSION"),"")</f>
        <v/>
      </c>
      <c r="L257" s="16">
        <f>IF(Database!BA257="","(none found)",Database!BA257)</f>
        <v/>
      </c>
      <c r="M257" s="18">
        <f>IFERROR(BDH(Database!$A257&amp;" HK Equity","CUR_MKT_CAP",Database!$H257,Database!$H257),"")</f>
        <v/>
      </c>
      <c r="N257" s="99">
        <f>Database!Q257</f>
        <v/>
      </c>
      <c r="O257" s="24">
        <f>IFERROR(BDH(Database!$A257&amp;" HK Equity","PE_RATIO",Database!$H257,Database!$H257),"")</f>
        <v/>
      </c>
      <c r="P257" s="101">
        <f>IF(Database!AV257="","(n/m or not derivable)",Database!AV257)</f>
        <v/>
      </c>
      <c r="Q257" s="24">
        <f>IF(Database!BA257="","",IFERROR(BDH(LEFT(Database!BA257,FIND(".",Database!BA257)-1)&amp;" CH Equity","PE_RATIO",Database!$H257,Database!$H257),""))</f>
        <v/>
      </c>
      <c r="R257" s="24">
        <f>IF(Database!BA257="","",IFERROR(BDH("HSAHP Index","PX_LAST",Database!$H257,Database!$H257),""))</f>
        <v/>
      </c>
    </row>
    <row r="258">
      <c r="A258" s="16">
        <f>Database!A258&amp;"  "&amp;Database!B258</f>
        <v/>
      </c>
      <c r="B258" s="10">
        <f>IFERROR(INDEX(BDS(Database!$A258&amp;" HK Equity","EQUITY_OFFERINGS","array=t","endcol=1"),MATCH("IPO",BDS(Database!$A258&amp;" HK Equity","EQUITY_OFFERINGS","array=t","startcol=2","endcol=2"),0)),"")</f>
        <v/>
      </c>
      <c r="C258" s="103">
        <f>IF($B258="","",IFERROR(BDP($B258&amp;" Action","CP036"),""))</f>
        <v/>
      </c>
      <c r="D258" s="104">
        <f>Database!S258</f>
        <v/>
      </c>
      <c r="E258" s="103">
        <f>IF($B258="","",IFERROR(BDP($B258&amp;" Action","CP037"),""))</f>
        <v/>
      </c>
      <c r="F258" s="104">
        <f>Database!T258</f>
        <v/>
      </c>
      <c r="G258" s="103">
        <f>IF($B258="","",IFERROR(BDP($B258&amp;" Action","GREENSHOE_FACILITY"),""))</f>
        <v/>
      </c>
      <c r="H258" s="103">
        <f>IF($B258="","",IFERROR(BDP($B258&amp;" Action","OFFERING_GREENSHOE_SHARES_EX"),""))</f>
        <v/>
      </c>
      <c r="I258" s="16">
        <f>Database!Z258</f>
        <v/>
      </c>
      <c r="J258" s="24">
        <f>IFERROR(BDP(Database!$A258&amp;" HK Equity","PE_RATIO"),"")</f>
        <v/>
      </c>
      <c r="K258" s="10">
        <f>IFERROR(BDP(Database!$A258&amp;" HK Equity","A/H_SHARE_CONVERSION"),"")</f>
        <v/>
      </c>
      <c r="L258" s="16">
        <f>IF(Database!BA258="","(none found)",Database!BA258)</f>
        <v/>
      </c>
      <c r="M258" s="18">
        <f>IFERROR(BDH(Database!$A258&amp;" HK Equity","CUR_MKT_CAP",Database!$H258,Database!$H258),"")</f>
        <v/>
      </c>
      <c r="N258" s="99">
        <f>Database!Q258</f>
        <v/>
      </c>
      <c r="O258" s="24">
        <f>IFERROR(BDH(Database!$A258&amp;" HK Equity","PE_RATIO",Database!$H258,Database!$H258),"")</f>
        <v/>
      </c>
      <c r="P258" s="101">
        <f>IF(Database!AV258="","(n/m or not derivable)",Database!AV258)</f>
        <v/>
      </c>
      <c r="Q258" s="24">
        <f>IF(Database!BA258="","",IFERROR(BDH(LEFT(Database!BA258,FIND(".",Database!BA258)-1)&amp;" CH Equity","PE_RATIO",Database!$H258,Database!$H258),""))</f>
        <v/>
      </c>
      <c r="R258" s="24">
        <f>IF(Database!BA258="","",IFERROR(BDH("HSAHP Index","PX_LAST",Database!$H258,Database!$H258),""))</f>
        <v/>
      </c>
    </row>
    <row r="259">
      <c r="A259" s="16">
        <f>Database!A259&amp;"  "&amp;Database!B259</f>
        <v/>
      </c>
      <c r="B259" s="10">
        <f>IFERROR(INDEX(BDS(Database!$A259&amp;" HK Equity","EQUITY_OFFERINGS","array=t","endcol=1"),MATCH("IPO",BDS(Database!$A259&amp;" HK Equity","EQUITY_OFFERINGS","array=t","startcol=2","endcol=2"),0)),"")</f>
        <v/>
      </c>
      <c r="C259" s="103">
        <f>IF($B259="","",IFERROR(BDP($B259&amp;" Action","CP036"),""))</f>
        <v/>
      </c>
      <c r="D259" s="104">
        <f>Database!S259</f>
        <v/>
      </c>
      <c r="E259" s="103">
        <f>IF($B259="","",IFERROR(BDP($B259&amp;" Action","CP037"),""))</f>
        <v/>
      </c>
      <c r="F259" s="104">
        <f>Database!T259</f>
        <v/>
      </c>
      <c r="G259" s="103">
        <f>IF($B259="","",IFERROR(BDP($B259&amp;" Action","GREENSHOE_FACILITY"),""))</f>
        <v/>
      </c>
      <c r="H259" s="103">
        <f>IF($B259="","",IFERROR(BDP($B259&amp;" Action","OFFERING_GREENSHOE_SHARES_EX"),""))</f>
        <v/>
      </c>
      <c r="I259" s="16">
        <f>Database!Z259</f>
        <v/>
      </c>
      <c r="J259" s="24">
        <f>IFERROR(BDP(Database!$A259&amp;" HK Equity","PE_RATIO"),"")</f>
        <v/>
      </c>
      <c r="K259" s="10">
        <f>IFERROR(BDP(Database!$A259&amp;" HK Equity","A/H_SHARE_CONVERSION"),"")</f>
        <v/>
      </c>
      <c r="L259" s="16">
        <f>IF(Database!BA259="","(none found)",Database!BA259)</f>
        <v/>
      </c>
      <c r="M259" s="18">
        <f>IFERROR(BDH(Database!$A259&amp;" HK Equity","CUR_MKT_CAP",Database!$H259,Database!$H259),"")</f>
        <v/>
      </c>
      <c r="N259" s="99">
        <f>Database!Q259</f>
        <v/>
      </c>
      <c r="O259" s="24">
        <f>IFERROR(BDH(Database!$A259&amp;" HK Equity","PE_RATIO",Database!$H259,Database!$H259),"")</f>
        <v/>
      </c>
      <c r="P259" s="101">
        <f>IF(Database!AV259="","(n/m or not derivable)",Database!AV259)</f>
        <v/>
      </c>
      <c r="Q259" s="24">
        <f>IF(Database!BA259="","",IFERROR(BDH(LEFT(Database!BA259,FIND(".",Database!BA259)-1)&amp;" CH Equity","PE_RATIO",Database!$H259,Database!$H259),""))</f>
        <v/>
      </c>
      <c r="R259" s="24">
        <f>IF(Database!BA259="","",IFERROR(BDH("HSAHP Index","PX_LAST",Database!$H259,Database!$H259),""))</f>
        <v/>
      </c>
    </row>
    <row r="260">
      <c r="A260" s="16">
        <f>Database!A260&amp;"  "&amp;Database!B260</f>
        <v/>
      </c>
      <c r="B260" s="10">
        <f>IFERROR(INDEX(BDS(Database!$A260&amp;" HK Equity","EQUITY_OFFERINGS","array=t","endcol=1"),MATCH("IPO",BDS(Database!$A260&amp;" HK Equity","EQUITY_OFFERINGS","array=t","startcol=2","endcol=2"),0)),"")</f>
        <v/>
      </c>
      <c r="C260" s="103">
        <f>IF($B260="","",IFERROR(BDP($B260&amp;" Action","CP036"),""))</f>
        <v/>
      </c>
      <c r="D260" s="104">
        <f>Database!S260</f>
        <v/>
      </c>
      <c r="E260" s="103">
        <f>IF($B260="","",IFERROR(BDP($B260&amp;" Action","CP037"),""))</f>
        <v/>
      </c>
      <c r="F260" s="104">
        <f>Database!T260</f>
        <v/>
      </c>
      <c r="G260" s="103">
        <f>IF($B260="","",IFERROR(BDP($B260&amp;" Action","GREENSHOE_FACILITY"),""))</f>
        <v/>
      </c>
      <c r="H260" s="103">
        <f>IF($B260="","",IFERROR(BDP($B260&amp;" Action","OFFERING_GREENSHOE_SHARES_EX"),""))</f>
        <v/>
      </c>
      <c r="I260" s="16">
        <f>Database!Z260</f>
        <v/>
      </c>
      <c r="J260" s="24">
        <f>IFERROR(BDP(Database!$A260&amp;" HK Equity","PE_RATIO"),"")</f>
        <v/>
      </c>
      <c r="K260" s="10">
        <f>IFERROR(BDP(Database!$A260&amp;" HK Equity","A/H_SHARE_CONVERSION"),"")</f>
        <v/>
      </c>
      <c r="L260" s="16">
        <f>IF(Database!BA260="","(none found)",Database!BA260)</f>
        <v/>
      </c>
      <c r="M260" s="18">
        <f>IFERROR(BDH(Database!$A260&amp;" HK Equity","CUR_MKT_CAP",Database!$H260,Database!$H260),"")</f>
        <v/>
      </c>
      <c r="N260" s="99">
        <f>Database!Q260</f>
        <v/>
      </c>
      <c r="O260" s="24">
        <f>IFERROR(BDH(Database!$A260&amp;" HK Equity","PE_RATIO",Database!$H260,Database!$H260),"")</f>
        <v/>
      </c>
      <c r="P260" s="101">
        <f>IF(Database!AV260="","(n/m or not derivable)",Database!AV260)</f>
        <v/>
      </c>
      <c r="Q260" s="24">
        <f>IF(Database!BA260="","",IFERROR(BDH(LEFT(Database!BA260,FIND(".",Database!BA260)-1)&amp;" CH Equity","PE_RATIO",Database!$H260,Database!$H260),""))</f>
        <v/>
      </c>
      <c r="R260" s="24">
        <f>IF(Database!BA260="","",IFERROR(BDH("HSAHP Index","PX_LAST",Database!$H260,Database!$H260),""))</f>
        <v/>
      </c>
    </row>
    <row r="261">
      <c r="A261" s="16">
        <f>Database!A261&amp;"  "&amp;Database!B261</f>
        <v/>
      </c>
      <c r="B261" s="10">
        <f>IFERROR(INDEX(BDS(Database!$A261&amp;" HK Equity","EQUITY_OFFERINGS","array=t","endcol=1"),MATCH("IPO",BDS(Database!$A261&amp;" HK Equity","EQUITY_OFFERINGS","array=t","startcol=2","endcol=2"),0)),"")</f>
        <v/>
      </c>
      <c r="C261" s="103">
        <f>IF($B261="","",IFERROR(BDP($B261&amp;" Action","CP036"),""))</f>
        <v/>
      </c>
      <c r="D261" s="104">
        <f>Database!S261</f>
        <v/>
      </c>
      <c r="E261" s="103">
        <f>IF($B261="","",IFERROR(BDP($B261&amp;" Action","CP037"),""))</f>
        <v/>
      </c>
      <c r="F261" s="104">
        <f>Database!T261</f>
        <v/>
      </c>
      <c r="G261" s="103">
        <f>IF($B261="","",IFERROR(BDP($B261&amp;" Action","GREENSHOE_FACILITY"),""))</f>
        <v/>
      </c>
      <c r="H261" s="103">
        <f>IF($B261="","",IFERROR(BDP($B261&amp;" Action","OFFERING_GREENSHOE_SHARES_EX"),""))</f>
        <v/>
      </c>
      <c r="I261" s="16">
        <f>Database!Z261</f>
        <v/>
      </c>
      <c r="J261" s="24">
        <f>IFERROR(BDP(Database!$A261&amp;" HK Equity","PE_RATIO"),"")</f>
        <v/>
      </c>
      <c r="K261" s="10">
        <f>IFERROR(BDP(Database!$A261&amp;" HK Equity","A/H_SHARE_CONVERSION"),"")</f>
        <v/>
      </c>
      <c r="L261" s="16">
        <f>IF(Database!BA261="","(none found)",Database!BA261)</f>
        <v/>
      </c>
      <c r="M261" s="18">
        <f>IFERROR(BDH(Database!$A261&amp;" HK Equity","CUR_MKT_CAP",Database!$H261,Database!$H261),"")</f>
        <v/>
      </c>
      <c r="N261" s="99">
        <f>Database!Q261</f>
        <v/>
      </c>
      <c r="O261" s="24">
        <f>IFERROR(BDH(Database!$A261&amp;" HK Equity","PE_RATIO",Database!$H261,Database!$H261),"")</f>
        <v/>
      </c>
      <c r="P261" s="101">
        <f>IF(Database!AV261="","(n/m or not derivable)",Database!AV261)</f>
        <v/>
      </c>
      <c r="Q261" s="24">
        <f>IF(Database!BA261="","",IFERROR(BDH(LEFT(Database!BA261,FIND(".",Database!BA261)-1)&amp;" CH Equity","PE_RATIO",Database!$H261,Database!$H261),""))</f>
        <v/>
      </c>
      <c r="R261" s="24">
        <f>IF(Database!BA261="","",IFERROR(BDH("HSAHP Index","PX_LAST",Database!$H261,Database!$H261),""))</f>
        <v/>
      </c>
    </row>
    <row r="262">
      <c r="A262" s="16">
        <f>Database!A262&amp;"  "&amp;Database!B262</f>
        <v/>
      </c>
      <c r="B262" s="10">
        <f>IFERROR(INDEX(BDS(Database!$A262&amp;" HK Equity","EQUITY_OFFERINGS","array=t","endcol=1"),MATCH("IPO",BDS(Database!$A262&amp;" HK Equity","EQUITY_OFFERINGS","array=t","startcol=2","endcol=2"),0)),"")</f>
        <v/>
      </c>
      <c r="C262" s="103">
        <f>IF($B262="","",IFERROR(BDP($B262&amp;" Action","CP036"),""))</f>
        <v/>
      </c>
      <c r="D262" s="104">
        <f>Database!S262</f>
        <v/>
      </c>
      <c r="E262" s="103">
        <f>IF($B262="","",IFERROR(BDP($B262&amp;" Action","CP037"),""))</f>
        <v/>
      </c>
      <c r="F262" s="104">
        <f>Database!T262</f>
        <v/>
      </c>
      <c r="G262" s="103">
        <f>IF($B262="","",IFERROR(BDP($B262&amp;" Action","GREENSHOE_FACILITY"),""))</f>
        <v/>
      </c>
      <c r="H262" s="103">
        <f>IF($B262="","",IFERROR(BDP($B262&amp;" Action","OFFERING_GREENSHOE_SHARES_EX"),""))</f>
        <v/>
      </c>
      <c r="I262" s="16">
        <f>Database!Z262</f>
        <v/>
      </c>
      <c r="J262" s="24">
        <f>IFERROR(BDP(Database!$A262&amp;" HK Equity","PE_RATIO"),"")</f>
        <v/>
      </c>
      <c r="K262" s="10">
        <f>IFERROR(BDP(Database!$A262&amp;" HK Equity","A/H_SHARE_CONVERSION"),"")</f>
        <v/>
      </c>
      <c r="L262" s="16">
        <f>IF(Database!BA262="","(none found)",Database!BA262)</f>
        <v/>
      </c>
      <c r="M262" s="18">
        <f>IFERROR(BDH(Database!$A262&amp;" HK Equity","CUR_MKT_CAP",Database!$H262,Database!$H262),"")</f>
        <v/>
      </c>
      <c r="N262" s="99">
        <f>Database!Q262</f>
        <v/>
      </c>
      <c r="O262" s="24">
        <f>IFERROR(BDH(Database!$A262&amp;" HK Equity","PE_RATIO",Database!$H262,Database!$H262),"")</f>
        <v/>
      </c>
      <c r="P262" s="101">
        <f>IF(Database!AV262="","(n/m or not derivable)",Database!AV262)</f>
        <v/>
      </c>
      <c r="Q262" s="24">
        <f>IF(Database!BA262="","",IFERROR(BDH(LEFT(Database!BA262,FIND(".",Database!BA262)-1)&amp;" CH Equity","PE_RATIO",Database!$H262,Database!$H262),""))</f>
        <v/>
      </c>
      <c r="R262" s="24">
        <f>IF(Database!BA262="","",IFERROR(BDH("HSAHP Index","PX_LAST",Database!$H262,Database!$H262),""))</f>
        <v/>
      </c>
    </row>
    <row r="263">
      <c r="A263" s="16">
        <f>Database!A263&amp;"  "&amp;Database!B263</f>
        <v/>
      </c>
      <c r="B263" s="10">
        <f>IFERROR(INDEX(BDS(Database!$A263&amp;" HK Equity","EQUITY_OFFERINGS","array=t","endcol=1"),MATCH("IPO",BDS(Database!$A263&amp;" HK Equity","EQUITY_OFFERINGS","array=t","startcol=2","endcol=2"),0)),"")</f>
        <v/>
      </c>
      <c r="C263" s="103">
        <f>IF($B263="","",IFERROR(BDP($B263&amp;" Action","CP036"),""))</f>
        <v/>
      </c>
      <c r="D263" s="104">
        <f>Database!S263</f>
        <v/>
      </c>
      <c r="E263" s="103">
        <f>IF($B263="","",IFERROR(BDP($B263&amp;" Action","CP037"),""))</f>
        <v/>
      </c>
      <c r="F263" s="104">
        <f>Database!T263</f>
        <v/>
      </c>
      <c r="G263" s="103">
        <f>IF($B263="","",IFERROR(BDP($B263&amp;" Action","GREENSHOE_FACILITY"),""))</f>
        <v/>
      </c>
      <c r="H263" s="103">
        <f>IF($B263="","",IFERROR(BDP($B263&amp;" Action","OFFERING_GREENSHOE_SHARES_EX"),""))</f>
        <v/>
      </c>
      <c r="I263" s="16">
        <f>Database!Z263</f>
        <v/>
      </c>
      <c r="J263" s="24">
        <f>IFERROR(BDP(Database!$A263&amp;" HK Equity","PE_RATIO"),"")</f>
        <v/>
      </c>
      <c r="K263" s="10">
        <f>IFERROR(BDP(Database!$A263&amp;" HK Equity","A/H_SHARE_CONVERSION"),"")</f>
        <v/>
      </c>
      <c r="L263" s="16">
        <f>IF(Database!BA263="","(none found)",Database!BA263)</f>
        <v/>
      </c>
      <c r="M263" s="18">
        <f>IFERROR(BDH(Database!$A263&amp;" HK Equity","CUR_MKT_CAP",Database!$H263,Database!$H263),"")</f>
        <v/>
      </c>
      <c r="N263" s="99">
        <f>Database!Q263</f>
        <v/>
      </c>
      <c r="O263" s="24">
        <f>IFERROR(BDH(Database!$A263&amp;" HK Equity","PE_RATIO",Database!$H263,Database!$H263),"")</f>
        <v/>
      </c>
      <c r="P263" s="101">
        <f>IF(Database!AV263="","(n/m or not derivable)",Database!AV263)</f>
        <v/>
      </c>
      <c r="Q263" s="24">
        <f>IF(Database!BA263="","",IFERROR(BDH(LEFT(Database!BA263,FIND(".",Database!BA263)-1)&amp;" CH Equity","PE_RATIO",Database!$H263,Database!$H263),""))</f>
        <v/>
      </c>
      <c r="R263" s="24">
        <f>IF(Database!BA263="","",IFERROR(BDH("HSAHP Index","PX_LAST",Database!$H263,Database!$H263),""))</f>
        <v/>
      </c>
    </row>
    <row r="264">
      <c r="A264" s="16">
        <f>Database!A264&amp;"  "&amp;Database!B264</f>
        <v/>
      </c>
      <c r="B264" s="10">
        <f>IFERROR(INDEX(BDS(Database!$A264&amp;" HK Equity","EQUITY_OFFERINGS","array=t","endcol=1"),MATCH("IPO",BDS(Database!$A264&amp;" HK Equity","EQUITY_OFFERINGS","array=t","startcol=2","endcol=2"),0)),"")</f>
        <v/>
      </c>
      <c r="C264" s="103">
        <f>IF($B264="","",IFERROR(BDP($B264&amp;" Action","CP036"),""))</f>
        <v/>
      </c>
      <c r="D264" s="104">
        <f>Database!S264</f>
        <v/>
      </c>
      <c r="E264" s="103">
        <f>IF($B264="","",IFERROR(BDP($B264&amp;" Action","CP037"),""))</f>
        <v/>
      </c>
      <c r="F264" s="104">
        <f>Database!T264</f>
        <v/>
      </c>
      <c r="G264" s="103">
        <f>IF($B264="","",IFERROR(BDP($B264&amp;" Action","GREENSHOE_FACILITY"),""))</f>
        <v/>
      </c>
      <c r="H264" s="103">
        <f>IF($B264="","",IFERROR(BDP($B264&amp;" Action","OFFERING_GREENSHOE_SHARES_EX"),""))</f>
        <v/>
      </c>
      <c r="I264" s="16">
        <f>Database!Z264</f>
        <v/>
      </c>
      <c r="J264" s="24">
        <f>IFERROR(BDP(Database!$A264&amp;" HK Equity","PE_RATIO"),"")</f>
        <v/>
      </c>
      <c r="K264" s="10">
        <f>IFERROR(BDP(Database!$A264&amp;" HK Equity","A/H_SHARE_CONVERSION"),"")</f>
        <v/>
      </c>
      <c r="L264" s="16">
        <f>IF(Database!BA264="","(none found)",Database!BA264)</f>
        <v/>
      </c>
      <c r="M264" s="18">
        <f>IFERROR(BDH(Database!$A264&amp;" HK Equity","CUR_MKT_CAP",Database!$H264,Database!$H264),"")</f>
        <v/>
      </c>
      <c r="N264" s="99">
        <f>Database!Q264</f>
        <v/>
      </c>
      <c r="O264" s="24">
        <f>IFERROR(BDH(Database!$A264&amp;" HK Equity","PE_RATIO",Database!$H264,Database!$H264),"")</f>
        <v/>
      </c>
      <c r="P264" s="101">
        <f>IF(Database!AV264="","(n/m or not derivable)",Database!AV264)</f>
        <v/>
      </c>
      <c r="Q264" s="24">
        <f>IF(Database!BA264="","",IFERROR(BDH(LEFT(Database!BA264,FIND(".",Database!BA264)-1)&amp;" CH Equity","PE_RATIO",Database!$H264,Database!$H264),""))</f>
        <v/>
      </c>
      <c r="R264" s="24">
        <f>IF(Database!BA264="","",IFERROR(BDH("HSAHP Index","PX_LAST",Database!$H264,Database!$H264),""))</f>
        <v/>
      </c>
    </row>
    <row r="265">
      <c r="A265" s="16">
        <f>Database!A265&amp;"  "&amp;Database!B265</f>
        <v/>
      </c>
      <c r="B265" s="10">
        <f>IFERROR(INDEX(BDS(Database!$A265&amp;" HK Equity","EQUITY_OFFERINGS","array=t","endcol=1"),MATCH("IPO",BDS(Database!$A265&amp;" HK Equity","EQUITY_OFFERINGS","array=t","startcol=2","endcol=2"),0)),"")</f>
        <v/>
      </c>
      <c r="C265" s="103">
        <f>IF($B265="","",IFERROR(BDP($B265&amp;" Action","CP036"),""))</f>
        <v/>
      </c>
      <c r="D265" s="104">
        <f>Database!S265</f>
        <v/>
      </c>
      <c r="E265" s="103">
        <f>IF($B265="","",IFERROR(BDP($B265&amp;" Action","CP037"),""))</f>
        <v/>
      </c>
      <c r="F265" s="104">
        <f>Database!T265</f>
        <v/>
      </c>
      <c r="G265" s="103">
        <f>IF($B265="","",IFERROR(BDP($B265&amp;" Action","GREENSHOE_FACILITY"),""))</f>
        <v/>
      </c>
      <c r="H265" s="103">
        <f>IF($B265="","",IFERROR(BDP($B265&amp;" Action","OFFERING_GREENSHOE_SHARES_EX"),""))</f>
        <v/>
      </c>
      <c r="I265" s="16">
        <f>Database!Z265</f>
        <v/>
      </c>
      <c r="J265" s="24">
        <f>IFERROR(BDP(Database!$A265&amp;" HK Equity","PE_RATIO"),"")</f>
        <v/>
      </c>
      <c r="K265" s="10">
        <f>IFERROR(BDP(Database!$A265&amp;" HK Equity","A/H_SHARE_CONVERSION"),"")</f>
        <v/>
      </c>
      <c r="L265" s="16">
        <f>IF(Database!BA265="","(none found)",Database!BA265)</f>
        <v/>
      </c>
      <c r="M265" s="18">
        <f>IFERROR(BDH(Database!$A265&amp;" HK Equity","CUR_MKT_CAP",Database!$H265,Database!$H265),"")</f>
        <v/>
      </c>
      <c r="N265" s="99">
        <f>Database!Q265</f>
        <v/>
      </c>
      <c r="O265" s="24">
        <f>IFERROR(BDH(Database!$A265&amp;" HK Equity","PE_RATIO",Database!$H265,Database!$H265),"")</f>
        <v/>
      </c>
      <c r="P265" s="101">
        <f>IF(Database!AV265="","(n/m or not derivable)",Database!AV265)</f>
        <v/>
      </c>
      <c r="Q265" s="24">
        <f>IF(Database!BA265="","",IFERROR(BDH(LEFT(Database!BA265,FIND(".",Database!BA265)-1)&amp;" CH Equity","PE_RATIO",Database!$H265,Database!$H265),""))</f>
        <v/>
      </c>
      <c r="R265" s="24">
        <f>IF(Database!BA265="","",IFERROR(BDH("HSAHP Index","PX_LAST",Database!$H265,Database!$H265),""))</f>
        <v/>
      </c>
    </row>
    <row r="266">
      <c r="A266" s="16">
        <f>Database!A266&amp;"  "&amp;Database!B266</f>
        <v/>
      </c>
      <c r="B266" s="10">
        <f>IFERROR(INDEX(BDS(Database!$A266&amp;" HK Equity","EQUITY_OFFERINGS","array=t","endcol=1"),MATCH("IPO",BDS(Database!$A266&amp;" HK Equity","EQUITY_OFFERINGS","array=t","startcol=2","endcol=2"),0)),"")</f>
        <v/>
      </c>
      <c r="C266" s="103">
        <f>IF($B266="","",IFERROR(BDP($B266&amp;" Action","CP036"),""))</f>
        <v/>
      </c>
      <c r="D266" s="104">
        <f>Database!S266</f>
        <v/>
      </c>
      <c r="E266" s="103">
        <f>IF($B266="","",IFERROR(BDP($B266&amp;" Action","CP037"),""))</f>
        <v/>
      </c>
      <c r="F266" s="104">
        <f>Database!T266</f>
        <v/>
      </c>
      <c r="G266" s="103">
        <f>IF($B266="","",IFERROR(BDP($B266&amp;" Action","GREENSHOE_FACILITY"),""))</f>
        <v/>
      </c>
      <c r="H266" s="103">
        <f>IF($B266="","",IFERROR(BDP($B266&amp;" Action","OFFERING_GREENSHOE_SHARES_EX"),""))</f>
        <v/>
      </c>
      <c r="I266" s="16">
        <f>Database!Z266</f>
        <v/>
      </c>
      <c r="J266" s="24">
        <f>IFERROR(BDP(Database!$A266&amp;" HK Equity","PE_RATIO"),"")</f>
        <v/>
      </c>
      <c r="K266" s="10">
        <f>IFERROR(BDP(Database!$A266&amp;" HK Equity","A/H_SHARE_CONVERSION"),"")</f>
        <v/>
      </c>
      <c r="L266" s="16">
        <f>IF(Database!BA266="","(none found)",Database!BA266)</f>
        <v/>
      </c>
      <c r="M266" s="18">
        <f>IFERROR(BDH(Database!$A266&amp;" HK Equity","CUR_MKT_CAP",Database!$H266,Database!$H266),"")</f>
        <v/>
      </c>
      <c r="N266" s="99">
        <f>Database!Q266</f>
        <v/>
      </c>
      <c r="O266" s="24">
        <f>IFERROR(BDH(Database!$A266&amp;" HK Equity","PE_RATIO",Database!$H266,Database!$H266),"")</f>
        <v/>
      </c>
      <c r="P266" s="101">
        <f>IF(Database!AV266="","(n/m or not derivable)",Database!AV266)</f>
        <v/>
      </c>
      <c r="Q266" s="24">
        <f>IF(Database!BA266="","",IFERROR(BDH(LEFT(Database!BA266,FIND(".",Database!BA266)-1)&amp;" CH Equity","PE_RATIO",Database!$H266,Database!$H266),""))</f>
        <v/>
      </c>
      <c r="R266" s="24">
        <f>IF(Database!BA266="","",IFERROR(BDH("HSAHP Index","PX_LAST",Database!$H266,Database!$H266),""))</f>
        <v/>
      </c>
    </row>
    <row r="267">
      <c r="A267" s="16">
        <f>Database!A267&amp;"  "&amp;Database!B267</f>
        <v/>
      </c>
      <c r="B267" s="10">
        <f>IFERROR(INDEX(BDS(Database!$A267&amp;" HK Equity","EQUITY_OFFERINGS","array=t","endcol=1"),MATCH("IPO",BDS(Database!$A267&amp;" HK Equity","EQUITY_OFFERINGS","array=t","startcol=2","endcol=2"),0)),"")</f>
        <v/>
      </c>
      <c r="C267" s="103">
        <f>IF($B267="","",IFERROR(BDP($B267&amp;" Action","CP036"),""))</f>
        <v/>
      </c>
      <c r="D267" s="104">
        <f>Database!S267</f>
        <v/>
      </c>
      <c r="E267" s="103">
        <f>IF($B267="","",IFERROR(BDP($B267&amp;" Action","CP037"),""))</f>
        <v/>
      </c>
      <c r="F267" s="104">
        <f>Database!T267</f>
        <v/>
      </c>
      <c r="G267" s="103">
        <f>IF($B267="","",IFERROR(BDP($B267&amp;" Action","GREENSHOE_FACILITY"),""))</f>
        <v/>
      </c>
      <c r="H267" s="103">
        <f>IF($B267="","",IFERROR(BDP($B267&amp;" Action","OFFERING_GREENSHOE_SHARES_EX"),""))</f>
        <v/>
      </c>
      <c r="I267" s="16">
        <f>Database!Z267</f>
        <v/>
      </c>
      <c r="J267" s="24">
        <f>IFERROR(BDP(Database!$A267&amp;" HK Equity","PE_RATIO"),"")</f>
        <v/>
      </c>
      <c r="K267" s="10">
        <f>IFERROR(BDP(Database!$A267&amp;" HK Equity","A/H_SHARE_CONVERSION"),"")</f>
        <v/>
      </c>
      <c r="L267" s="16">
        <f>IF(Database!BA267="","(none found)",Database!BA267)</f>
        <v/>
      </c>
      <c r="M267" s="18">
        <f>IFERROR(BDH(Database!$A267&amp;" HK Equity","CUR_MKT_CAP",Database!$H267,Database!$H267),"")</f>
        <v/>
      </c>
      <c r="N267" s="99">
        <f>Database!Q267</f>
        <v/>
      </c>
      <c r="O267" s="24">
        <f>IFERROR(BDH(Database!$A267&amp;" HK Equity","PE_RATIO",Database!$H267,Database!$H267),"")</f>
        <v/>
      </c>
      <c r="P267" s="101">
        <f>IF(Database!AV267="","(n/m or not derivable)",Database!AV267)</f>
        <v/>
      </c>
      <c r="Q267" s="24">
        <f>IF(Database!BA267="","",IFERROR(BDH(LEFT(Database!BA267,FIND(".",Database!BA267)-1)&amp;" CH Equity","PE_RATIO",Database!$H267,Database!$H267),""))</f>
        <v/>
      </c>
      <c r="R267" s="24">
        <f>IF(Database!BA267="","",IFERROR(BDH("HSAHP Index","PX_LAST",Database!$H267,Database!$H267),""))</f>
        <v/>
      </c>
    </row>
    <row r="268">
      <c r="A268" s="16">
        <f>Database!A268&amp;"  "&amp;Database!B268</f>
        <v/>
      </c>
      <c r="B268" s="10">
        <f>IFERROR(INDEX(BDS(Database!$A268&amp;" HK Equity","EQUITY_OFFERINGS","array=t","endcol=1"),MATCH("IPO",BDS(Database!$A268&amp;" HK Equity","EQUITY_OFFERINGS","array=t","startcol=2","endcol=2"),0)),"")</f>
        <v/>
      </c>
      <c r="C268" s="103">
        <f>IF($B268="","",IFERROR(BDP($B268&amp;" Action","CP036"),""))</f>
        <v/>
      </c>
      <c r="D268" s="104">
        <f>Database!S268</f>
        <v/>
      </c>
      <c r="E268" s="103">
        <f>IF($B268="","",IFERROR(BDP($B268&amp;" Action","CP037"),""))</f>
        <v/>
      </c>
      <c r="F268" s="104">
        <f>Database!T268</f>
        <v/>
      </c>
      <c r="G268" s="103">
        <f>IF($B268="","",IFERROR(BDP($B268&amp;" Action","GREENSHOE_FACILITY"),""))</f>
        <v/>
      </c>
      <c r="H268" s="103">
        <f>IF($B268="","",IFERROR(BDP($B268&amp;" Action","OFFERING_GREENSHOE_SHARES_EX"),""))</f>
        <v/>
      </c>
      <c r="I268" s="16">
        <f>Database!Z268</f>
        <v/>
      </c>
      <c r="J268" s="24">
        <f>IFERROR(BDP(Database!$A268&amp;" HK Equity","PE_RATIO"),"")</f>
        <v/>
      </c>
      <c r="K268" s="10">
        <f>IFERROR(BDP(Database!$A268&amp;" HK Equity","A/H_SHARE_CONVERSION"),"")</f>
        <v/>
      </c>
      <c r="L268" s="16">
        <f>IF(Database!BA268="","(none found)",Database!BA268)</f>
        <v/>
      </c>
      <c r="M268" s="18">
        <f>IFERROR(BDH(Database!$A268&amp;" HK Equity","CUR_MKT_CAP",Database!$H268,Database!$H268),"")</f>
        <v/>
      </c>
      <c r="N268" s="99">
        <f>Database!Q268</f>
        <v/>
      </c>
      <c r="O268" s="24">
        <f>IFERROR(BDH(Database!$A268&amp;" HK Equity","PE_RATIO",Database!$H268,Database!$H268),"")</f>
        <v/>
      </c>
      <c r="P268" s="101">
        <f>IF(Database!AV268="","(n/m or not derivable)",Database!AV268)</f>
        <v/>
      </c>
      <c r="Q268" s="24">
        <f>IF(Database!BA268="","",IFERROR(BDH(LEFT(Database!BA268,FIND(".",Database!BA268)-1)&amp;" CH Equity","PE_RATIO",Database!$H268,Database!$H268),""))</f>
        <v/>
      </c>
      <c r="R268" s="24">
        <f>IF(Database!BA268="","",IFERROR(BDH("HSAHP Index","PX_LAST",Database!$H268,Database!$H268),""))</f>
        <v/>
      </c>
    </row>
    <row r="269">
      <c r="A269" s="16">
        <f>Database!A269&amp;"  "&amp;Database!B269</f>
        <v/>
      </c>
      <c r="B269" s="10">
        <f>IFERROR(INDEX(BDS(Database!$A269&amp;" HK Equity","EQUITY_OFFERINGS","array=t","endcol=1"),MATCH("IPO",BDS(Database!$A269&amp;" HK Equity","EQUITY_OFFERINGS","array=t","startcol=2","endcol=2"),0)),"")</f>
        <v/>
      </c>
      <c r="C269" s="103">
        <f>IF($B269="","",IFERROR(BDP($B269&amp;" Action","CP036"),""))</f>
        <v/>
      </c>
      <c r="D269" s="104">
        <f>Database!S269</f>
        <v/>
      </c>
      <c r="E269" s="103">
        <f>IF($B269="","",IFERROR(BDP($B269&amp;" Action","CP037"),""))</f>
        <v/>
      </c>
      <c r="F269" s="104">
        <f>Database!T269</f>
        <v/>
      </c>
      <c r="G269" s="103">
        <f>IF($B269="","",IFERROR(BDP($B269&amp;" Action","GREENSHOE_FACILITY"),""))</f>
        <v/>
      </c>
      <c r="H269" s="103">
        <f>IF($B269="","",IFERROR(BDP($B269&amp;" Action","OFFERING_GREENSHOE_SHARES_EX"),""))</f>
        <v/>
      </c>
      <c r="I269" s="16">
        <f>Database!Z269</f>
        <v/>
      </c>
      <c r="J269" s="24">
        <f>IFERROR(BDP(Database!$A269&amp;" HK Equity","PE_RATIO"),"")</f>
        <v/>
      </c>
      <c r="K269" s="10">
        <f>IFERROR(BDP(Database!$A269&amp;" HK Equity","A/H_SHARE_CONVERSION"),"")</f>
        <v/>
      </c>
      <c r="L269" s="16">
        <f>IF(Database!BA269="","(none found)",Database!BA269)</f>
        <v/>
      </c>
      <c r="M269" s="18">
        <f>IFERROR(BDH(Database!$A269&amp;" HK Equity","CUR_MKT_CAP",Database!$H269,Database!$H269),"")</f>
        <v/>
      </c>
      <c r="N269" s="99">
        <f>Database!Q269</f>
        <v/>
      </c>
      <c r="O269" s="24">
        <f>IFERROR(BDH(Database!$A269&amp;" HK Equity","PE_RATIO",Database!$H269,Database!$H269),"")</f>
        <v/>
      </c>
      <c r="P269" s="101">
        <f>IF(Database!AV269="","(n/m or not derivable)",Database!AV269)</f>
        <v/>
      </c>
      <c r="Q269" s="24">
        <f>IF(Database!BA269="","",IFERROR(BDH(LEFT(Database!BA269,FIND(".",Database!BA269)-1)&amp;" CH Equity","PE_RATIO",Database!$H269,Database!$H269),""))</f>
        <v/>
      </c>
      <c r="R269" s="24">
        <f>IF(Database!BA269="","",IFERROR(BDH("HSAHP Index","PX_LAST",Database!$H269,Database!$H269),""))</f>
        <v/>
      </c>
    </row>
    <row r="270">
      <c r="A270" s="16">
        <f>Database!A270&amp;"  "&amp;Database!B270</f>
        <v/>
      </c>
      <c r="B270" s="10">
        <f>IFERROR(INDEX(BDS(Database!$A270&amp;" HK Equity","EQUITY_OFFERINGS","array=t","endcol=1"),MATCH("IPO",BDS(Database!$A270&amp;" HK Equity","EQUITY_OFFERINGS","array=t","startcol=2","endcol=2"),0)),"")</f>
        <v/>
      </c>
      <c r="C270" s="103">
        <f>IF($B270="","",IFERROR(BDP($B270&amp;" Action","CP036"),""))</f>
        <v/>
      </c>
      <c r="D270" s="104">
        <f>Database!S270</f>
        <v/>
      </c>
      <c r="E270" s="103">
        <f>IF($B270="","",IFERROR(BDP($B270&amp;" Action","CP037"),""))</f>
        <v/>
      </c>
      <c r="F270" s="104">
        <f>Database!T270</f>
        <v/>
      </c>
      <c r="G270" s="103">
        <f>IF($B270="","",IFERROR(BDP($B270&amp;" Action","GREENSHOE_FACILITY"),""))</f>
        <v/>
      </c>
      <c r="H270" s="103">
        <f>IF($B270="","",IFERROR(BDP($B270&amp;" Action","OFFERING_GREENSHOE_SHARES_EX"),""))</f>
        <v/>
      </c>
      <c r="I270" s="16">
        <f>Database!Z270</f>
        <v/>
      </c>
      <c r="J270" s="24">
        <f>IFERROR(BDP(Database!$A270&amp;" HK Equity","PE_RATIO"),"")</f>
        <v/>
      </c>
      <c r="K270" s="10">
        <f>IFERROR(BDP(Database!$A270&amp;" HK Equity","A/H_SHARE_CONVERSION"),"")</f>
        <v/>
      </c>
      <c r="L270" s="16">
        <f>IF(Database!BA270="","(none found)",Database!BA270)</f>
        <v/>
      </c>
      <c r="M270" s="18">
        <f>IFERROR(BDH(Database!$A270&amp;" HK Equity","CUR_MKT_CAP",Database!$H270,Database!$H270),"")</f>
        <v/>
      </c>
      <c r="N270" s="99">
        <f>Database!Q270</f>
        <v/>
      </c>
      <c r="O270" s="24">
        <f>IFERROR(BDH(Database!$A270&amp;" HK Equity","PE_RATIO",Database!$H270,Database!$H270),"")</f>
        <v/>
      </c>
      <c r="P270" s="101">
        <f>IF(Database!AV270="","(n/m or not derivable)",Database!AV270)</f>
        <v/>
      </c>
      <c r="Q270" s="24">
        <f>IF(Database!BA270="","",IFERROR(BDH(LEFT(Database!BA270,FIND(".",Database!BA270)-1)&amp;" CH Equity","PE_RATIO",Database!$H270,Database!$H270),""))</f>
        <v/>
      </c>
      <c r="R270" s="24">
        <f>IF(Database!BA270="","",IFERROR(BDH("HSAHP Index","PX_LAST",Database!$H270,Database!$H270),""))</f>
        <v/>
      </c>
    </row>
    <row r="271">
      <c r="A271" s="16">
        <f>Database!A271&amp;"  "&amp;Database!B271</f>
        <v/>
      </c>
      <c r="B271" s="10">
        <f>IFERROR(INDEX(BDS(Database!$A271&amp;" HK Equity","EQUITY_OFFERINGS","array=t","endcol=1"),MATCH("IPO",BDS(Database!$A271&amp;" HK Equity","EQUITY_OFFERINGS","array=t","startcol=2","endcol=2"),0)),"")</f>
        <v/>
      </c>
      <c r="C271" s="103">
        <f>IF($B271="","",IFERROR(BDP($B271&amp;" Action","CP036"),""))</f>
        <v/>
      </c>
      <c r="D271" s="104">
        <f>Database!S271</f>
        <v/>
      </c>
      <c r="E271" s="103">
        <f>IF($B271="","",IFERROR(BDP($B271&amp;" Action","CP037"),""))</f>
        <v/>
      </c>
      <c r="F271" s="104">
        <f>Database!T271</f>
        <v/>
      </c>
      <c r="G271" s="103">
        <f>IF($B271="","",IFERROR(BDP($B271&amp;" Action","GREENSHOE_FACILITY"),""))</f>
        <v/>
      </c>
      <c r="H271" s="103">
        <f>IF($B271="","",IFERROR(BDP($B271&amp;" Action","OFFERING_GREENSHOE_SHARES_EX"),""))</f>
        <v/>
      </c>
      <c r="I271" s="16">
        <f>Database!Z271</f>
        <v/>
      </c>
      <c r="J271" s="24">
        <f>IFERROR(BDP(Database!$A271&amp;" HK Equity","PE_RATIO"),"")</f>
        <v/>
      </c>
      <c r="K271" s="10">
        <f>IFERROR(BDP(Database!$A271&amp;" HK Equity","A/H_SHARE_CONVERSION"),"")</f>
        <v/>
      </c>
      <c r="L271" s="16">
        <f>IF(Database!BA271="","(none found)",Database!BA271)</f>
        <v/>
      </c>
      <c r="M271" s="18">
        <f>IFERROR(BDH(Database!$A271&amp;" HK Equity","CUR_MKT_CAP",Database!$H271,Database!$H271),"")</f>
        <v/>
      </c>
      <c r="N271" s="99">
        <f>Database!Q271</f>
        <v/>
      </c>
      <c r="O271" s="24">
        <f>IFERROR(BDH(Database!$A271&amp;" HK Equity","PE_RATIO",Database!$H271,Database!$H271),"")</f>
        <v/>
      </c>
      <c r="P271" s="101">
        <f>IF(Database!AV271="","(n/m or not derivable)",Database!AV271)</f>
        <v/>
      </c>
      <c r="Q271" s="24">
        <f>IF(Database!BA271="","",IFERROR(BDH(LEFT(Database!BA271,FIND(".",Database!BA271)-1)&amp;" CH Equity","PE_RATIO",Database!$H271,Database!$H271),""))</f>
        <v/>
      </c>
      <c r="R271" s="24">
        <f>IF(Database!BA271="","",IFERROR(BDH("HSAHP Index","PX_LAST",Database!$H271,Database!$H271),""))</f>
        <v/>
      </c>
    </row>
    <row r="272">
      <c r="A272" s="16">
        <f>Database!A272&amp;"  "&amp;Database!B272</f>
        <v/>
      </c>
      <c r="B272" s="10">
        <f>IFERROR(INDEX(BDS(Database!$A272&amp;" HK Equity","EQUITY_OFFERINGS","array=t","endcol=1"),MATCH("IPO",BDS(Database!$A272&amp;" HK Equity","EQUITY_OFFERINGS","array=t","startcol=2","endcol=2"),0)),"")</f>
        <v/>
      </c>
      <c r="C272" s="103">
        <f>IF($B272="","",IFERROR(BDP($B272&amp;" Action","CP036"),""))</f>
        <v/>
      </c>
      <c r="D272" s="104">
        <f>Database!S272</f>
        <v/>
      </c>
      <c r="E272" s="103">
        <f>IF($B272="","",IFERROR(BDP($B272&amp;" Action","CP037"),""))</f>
        <v/>
      </c>
      <c r="F272" s="104">
        <f>Database!T272</f>
        <v/>
      </c>
      <c r="G272" s="103">
        <f>IF($B272="","",IFERROR(BDP($B272&amp;" Action","GREENSHOE_FACILITY"),""))</f>
        <v/>
      </c>
      <c r="H272" s="103">
        <f>IF($B272="","",IFERROR(BDP($B272&amp;" Action","OFFERING_GREENSHOE_SHARES_EX"),""))</f>
        <v/>
      </c>
      <c r="I272" s="16">
        <f>Database!Z272</f>
        <v/>
      </c>
      <c r="J272" s="24">
        <f>IFERROR(BDP(Database!$A272&amp;" HK Equity","PE_RATIO"),"")</f>
        <v/>
      </c>
      <c r="K272" s="10">
        <f>IFERROR(BDP(Database!$A272&amp;" HK Equity","A/H_SHARE_CONVERSION"),"")</f>
        <v/>
      </c>
      <c r="L272" s="16">
        <f>IF(Database!BA272="","(none found)",Database!BA272)</f>
        <v/>
      </c>
      <c r="M272" s="18">
        <f>IFERROR(BDH(Database!$A272&amp;" HK Equity","CUR_MKT_CAP",Database!$H272,Database!$H272),"")</f>
        <v/>
      </c>
      <c r="N272" s="99">
        <f>Database!Q272</f>
        <v/>
      </c>
      <c r="O272" s="24">
        <f>IFERROR(BDH(Database!$A272&amp;" HK Equity","PE_RATIO",Database!$H272,Database!$H272),"")</f>
        <v/>
      </c>
      <c r="P272" s="101">
        <f>IF(Database!AV272="","(n/m or not derivable)",Database!AV272)</f>
        <v/>
      </c>
      <c r="Q272" s="24">
        <f>IF(Database!BA272="","",IFERROR(BDH(LEFT(Database!BA272,FIND(".",Database!BA272)-1)&amp;" CH Equity","PE_RATIO",Database!$H272,Database!$H272),""))</f>
        <v/>
      </c>
      <c r="R272" s="24">
        <f>IF(Database!BA272="","",IFERROR(BDH("HSAHP Index","PX_LAST",Database!$H272,Database!$H272),""))</f>
        <v/>
      </c>
    </row>
    <row r="273">
      <c r="A273" s="16">
        <f>Database!A273&amp;"  "&amp;Database!B273</f>
        <v/>
      </c>
      <c r="B273" s="10">
        <f>IFERROR(INDEX(BDS(Database!$A273&amp;" HK Equity","EQUITY_OFFERINGS","array=t","endcol=1"),MATCH("IPO",BDS(Database!$A273&amp;" HK Equity","EQUITY_OFFERINGS","array=t","startcol=2","endcol=2"),0)),"")</f>
        <v/>
      </c>
      <c r="C273" s="103">
        <f>IF($B273="","",IFERROR(BDP($B273&amp;" Action","CP036"),""))</f>
        <v/>
      </c>
      <c r="D273" s="104">
        <f>Database!S273</f>
        <v/>
      </c>
      <c r="E273" s="103">
        <f>IF($B273="","",IFERROR(BDP($B273&amp;" Action","CP037"),""))</f>
        <v/>
      </c>
      <c r="F273" s="104">
        <f>Database!T273</f>
        <v/>
      </c>
      <c r="G273" s="103">
        <f>IF($B273="","",IFERROR(BDP($B273&amp;" Action","GREENSHOE_FACILITY"),""))</f>
        <v/>
      </c>
      <c r="H273" s="103">
        <f>IF($B273="","",IFERROR(BDP($B273&amp;" Action","OFFERING_GREENSHOE_SHARES_EX"),""))</f>
        <v/>
      </c>
      <c r="I273" s="16">
        <f>Database!Z273</f>
        <v/>
      </c>
      <c r="J273" s="24">
        <f>IFERROR(BDP(Database!$A273&amp;" HK Equity","PE_RATIO"),"")</f>
        <v/>
      </c>
      <c r="K273" s="10">
        <f>IFERROR(BDP(Database!$A273&amp;" HK Equity","A/H_SHARE_CONVERSION"),"")</f>
        <v/>
      </c>
      <c r="L273" s="16">
        <f>IF(Database!BA273="","(none found)",Database!BA273)</f>
        <v/>
      </c>
      <c r="M273" s="18">
        <f>IFERROR(BDH(Database!$A273&amp;" HK Equity","CUR_MKT_CAP",Database!$H273,Database!$H273),"")</f>
        <v/>
      </c>
      <c r="N273" s="99">
        <f>Database!Q273</f>
        <v/>
      </c>
      <c r="O273" s="24">
        <f>IFERROR(BDH(Database!$A273&amp;" HK Equity","PE_RATIO",Database!$H273,Database!$H273),"")</f>
        <v/>
      </c>
      <c r="P273" s="101">
        <f>IF(Database!AV273="","(n/m or not derivable)",Database!AV273)</f>
        <v/>
      </c>
      <c r="Q273" s="24">
        <f>IF(Database!BA273="","",IFERROR(BDH(LEFT(Database!BA273,FIND(".",Database!BA273)-1)&amp;" CH Equity","PE_RATIO",Database!$H273,Database!$H273),""))</f>
        <v/>
      </c>
      <c r="R273" s="24">
        <f>IF(Database!BA273="","",IFERROR(BDH("HSAHP Index","PX_LAST",Database!$H273,Database!$H273),""))</f>
        <v/>
      </c>
    </row>
    <row r="274">
      <c r="A274" s="16">
        <f>Database!A274&amp;"  "&amp;Database!B274</f>
        <v/>
      </c>
      <c r="B274" s="10">
        <f>IFERROR(INDEX(BDS(Database!$A274&amp;" HK Equity","EQUITY_OFFERINGS","array=t","endcol=1"),MATCH("IPO",BDS(Database!$A274&amp;" HK Equity","EQUITY_OFFERINGS","array=t","startcol=2","endcol=2"),0)),"")</f>
        <v/>
      </c>
      <c r="C274" s="103">
        <f>IF($B274="","",IFERROR(BDP($B274&amp;" Action","CP036"),""))</f>
        <v/>
      </c>
      <c r="D274" s="104">
        <f>Database!S274</f>
        <v/>
      </c>
      <c r="E274" s="103">
        <f>IF($B274="","",IFERROR(BDP($B274&amp;" Action","CP037"),""))</f>
        <v/>
      </c>
      <c r="F274" s="104">
        <f>Database!T274</f>
        <v/>
      </c>
      <c r="G274" s="103">
        <f>IF($B274="","",IFERROR(BDP($B274&amp;" Action","GREENSHOE_FACILITY"),""))</f>
        <v/>
      </c>
      <c r="H274" s="103">
        <f>IF($B274="","",IFERROR(BDP($B274&amp;" Action","OFFERING_GREENSHOE_SHARES_EX"),""))</f>
        <v/>
      </c>
      <c r="I274" s="16">
        <f>Database!Z274</f>
        <v/>
      </c>
      <c r="J274" s="24">
        <f>IFERROR(BDP(Database!$A274&amp;" HK Equity","PE_RATIO"),"")</f>
        <v/>
      </c>
      <c r="K274" s="10">
        <f>IFERROR(BDP(Database!$A274&amp;" HK Equity","A/H_SHARE_CONVERSION"),"")</f>
        <v/>
      </c>
      <c r="L274" s="16">
        <f>IF(Database!BA274="","(none found)",Database!BA274)</f>
        <v/>
      </c>
      <c r="M274" s="18">
        <f>IFERROR(BDH(Database!$A274&amp;" HK Equity","CUR_MKT_CAP",Database!$H274,Database!$H274),"")</f>
        <v/>
      </c>
      <c r="N274" s="99">
        <f>Database!Q274</f>
        <v/>
      </c>
      <c r="O274" s="24">
        <f>IFERROR(BDH(Database!$A274&amp;" HK Equity","PE_RATIO",Database!$H274,Database!$H274),"")</f>
        <v/>
      </c>
      <c r="P274" s="101">
        <f>IF(Database!AV274="","(n/m or not derivable)",Database!AV274)</f>
        <v/>
      </c>
      <c r="Q274" s="24">
        <f>IF(Database!BA274="","",IFERROR(BDH(LEFT(Database!BA274,FIND(".",Database!BA274)-1)&amp;" CH Equity","PE_RATIO",Database!$H274,Database!$H274),""))</f>
        <v/>
      </c>
      <c r="R274" s="24">
        <f>IF(Database!BA274="","",IFERROR(BDH("HSAHP Index","PX_LAST",Database!$H274,Database!$H274),""))</f>
        <v/>
      </c>
    </row>
    <row r="275">
      <c r="A275" s="16">
        <f>Database!A275&amp;"  "&amp;Database!B275</f>
        <v/>
      </c>
      <c r="B275" s="10">
        <f>IFERROR(INDEX(BDS(Database!$A275&amp;" HK Equity","EQUITY_OFFERINGS","array=t","endcol=1"),MATCH("IPO",BDS(Database!$A275&amp;" HK Equity","EQUITY_OFFERINGS","array=t","startcol=2","endcol=2"),0)),"")</f>
        <v/>
      </c>
      <c r="C275" s="103">
        <f>IF($B275="","",IFERROR(BDP($B275&amp;" Action","CP036"),""))</f>
        <v/>
      </c>
      <c r="D275" s="104">
        <f>Database!S275</f>
        <v/>
      </c>
      <c r="E275" s="103">
        <f>IF($B275="","",IFERROR(BDP($B275&amp;" Action","CP037"),""))</f>
        <v/>
      </c>
      <c r="F275" s="104">
        <f>Database!T275</f>
        <v/>
      </c>
      <c r="G275" s="103">
        <f>IF($B275="","",IFERROR(BDP($B275&amp;" Action","GREENSHOE_FACILITY"),""))</f>
        <v/>
      </c>
      <c r="H275" s="103">
        <f>IF($B275="","",IFERROR(BDP($B275&amp;" Action","OFFERING_GREENSHOE_SHARES_EX"),""))</f>
        <v/>
      </c>
      <c r="I275" s="16">
        <f>Database!Z275</f>
        <v/>
      </c>
      <c r="J275" s="24">
        <f>IFERROR(BDP(Database!$A275&amp;" HK Equity","PE_RATIO"),"")</f>
        <v/>
      </c>
      <c r="K275" s="10">
        <f>IFERROR(BDP(Database!$A275&amp;" HK Equity","A/H_SHARE_CONVERSION"),"")</f>
        <v/>
      </c>
      <c r="L275" s="16">
        <f>IF(Database!BA275="","(none found)",Database!BA275)</f>
        <v/>
      </c>
      <c r="M275" s="18">
        <f>IFERROR(BDH(Database!$A275&amp;" HK Equity","CUR_MKT_CAP",Database!$H275,Database!$H275),"")</f>
        <v/>
      </c>
      <c r="N275" s="99">
        <f>Database!Q275</f>
        <v/>
      </c>
      <c r="O275" s="24">
        <f>IFERROR(BDH(Database!$A275&amp;" HK Equity","PE_RATIO",Database!$H275,Database!$H275),"")</f>
        <v/>
      </c>
      <c r="P275" s="101">
        <f>IF(Database!AV275="","(n/m or not derivable)",Database!AV275)</f>
        <v/>
      </c>
      <c r="Q275" s="24">
        <f>IF(Database!BA275="","",IFERROR(BDH(LEFT(Database!BA275,FIND(".",Database!BA275)-1)&amp;" CH Equity","PE_RATIO",Database!$H275,Database!$H275),""))</f>
        <v/>
      </c>
      <c r="R275" s="24">
        <f>IF(Database!BA275="","",IFERROR(BDH("HSAHP Index","PX_LAST",Database!$H275,Database!$H275),""))</f>
        <v/>
      </c>
    </row>
    <row r="276">
      <c r="A276" s="16">
        <f>Database!A276&amp;"  "&amp;Database!B276</f>
        <v/>
      </c>
      <c r="B276" s="10">
        <f>IFERROR(INDEX(BDS(Database!$A276&amp;" HK Equity","EQUITY_OFFERINGS","array=t","endcol=1"),MATCH("IPO",BDS(Database!$A276&amp;" HK Equity","EQUITY_OFFERINGS","array=t","startcol=2","endcol=2"),0)),"")</f>
        <v/>
      </c>
      <c r="C276" s="103">
        <f>IF($B276="","",IFERROR(BDP($B276&amp;" Action","CP036"),""))</f>
        <v/>
      </c>
      <c r="D276" s="104">
        <f>Database!S276</f>
        <v/>
      </c>
      <c r="E276" s="103">
        <f>IF($B276="","",IFERROR(BDP($B276&amp;" Action","CP037"),""))</f>
        <v/>
      </c>
      <c r="F276" s="104">
        <f>Database!T276</f>
        <v/>
      </c>
      <c r="G276" s="103">
        <f>IF($B276="","",IFERROR(BDP($B276&amp;" Action","GREENSHOE_FACILITY"),""))</f>
        <v/>
      </c>
      <c r="H276" s="103">
        <f>IF($B276="","",IFERROR(BDP($B276&amp;" Action","OFFERING_GREENSHOE_SHARES_EX"),""))</f>
        <v/>
      </c>
      <c r="I276" s="16">
        <f>Database!Z276</f>
        <v/>
      </c>
      <c r="J276" s="24">
        <f>IFERROR(BDP(Database!$A276&amp;" HK Equity","PE_RATIO"),"")</f>
        <v/>
      </c>
      <c r="K276" s="10">
        <f>IFERROR(BDP(Database!$A276&amp;" HK Equity","A/H_SHARE_CONVERSION"),"")</f>
        <v/>
      </c>
      <c r="L276" s="16">
        <f>IF(Database!BA276="","(none found)",Database!BA276)</f>
        <v/>
      </c>
      <c r="M276" s="18">
        <f>IFERROR(BDH(Database!$A276&amp;" HK Equity","CUR_MKT_CAP",Database!$H276,Database!$H276),"")</f>
        <v/>
      </c>
      <c r="N276" s="99">
        <f>Database!Q276</f>
        <v/>
      </c>
      <c r="O276" s="24">
        <f>IFERROR(BDH(Database!$A276&amp;" HK Equity","PE_RATIO",Database!$H276,Database!$H276),"")</f>
        <v/>
      </c>
      <c r="P276" s="101">
        <f>IF(Database!AV276="","(n/m or not derivable)",Database!AV276)</f>
        <v/>
      </c>
      <c r="Q276" s="24">
        <f>IF(Database!BA276="","",IFERROR(BDH(LEFT(Database!BA276,FIND(".",Database!BA276)-1)&amp;" CH Equity","PE_RATIO",Database!$H276,Database!$H276),""))</f>
        <v/>
      </c>
      <c r="R276" s="24">
        <f>IF(Database!BA276="","",IFERROR(BDH("HSAHP Index","PX_LAST",Database!$H276,Database!$H276),""))</f>
        <v/>
      </c>
    </row>
    <row r="277">
      <c r="A277" s="16">
        <f>Database!A277&amp;"  "&amp;Database!B277</f>
        <v/>
      </c>
      <c r="B277" s="10">
        <f>IFERROR(INDEX(BDS(Database!$A277&amp;" HK Equity","EQUITY_OFFERINGS","array=t","endcol=1"),MATCH("IPO",BDS(Database!$A277&amp;" HK Equity","EQUITY_OFFERINGS","array=t","startcol=2","endcol=2"),0)),"")</f>
        <v/>
      </c>
      <c r="C277" s="103">
        <f>IF($B277="","",IFERROR(BDP($B277&amp;" Action","CP036"),""))</f>
        <v/>
      </c>
      <c r="D277" s="104">
        <f>Database!S277</f>
        <v/>
      </c>
      <c r="E277" s="103">
        <f>IF($B277="","",IFERROR(BDP($B277&amp;" Action","CP037"),""))</f>
        <v/>
      </c>
      <c r="F277" s="104">
        <f>Database!T277</f>
        <v/>
      </c>
      <c r="G277" s="103">
        <f>IF($B277="","",IFERROR(BDP($B277&amp;" Action","GREENSHOE_FACILITY"),""))</f>
        <v/>
      </c>
      <c r="H277" s="103">
        <f>IF($B277="","",IFERROR(BDP($B277&amp;" Action","OFFERING_GREENSHOE_SHARES_EX"),""))</f>
        <v/>
      </c>
      <c r="I277" s="16">
        <f>Database!Z277</f>
        <v/>
      </c>
      <c r="J277" s="24">
        <f>IFERROR(BDP(Database!$A277&amp;" HK Equity","PE_RATIO"),"")</f>
        <v/>
      </c>
      <c r="K277" s="10">
        <f>IFERROR(BDP(Database!$A277&amp;" HK Equity","A/H_SHARE_CONVERSION"),"")</f>
        <v/>
      </c>
      <c r="L277" s="16">
        <f>IF(Database!BA277="","(none found)",Database!BA277)</f>
        <v/>
      </c>
      <c r="M277" s="18">
        <f>IFERROR(BDH(Database!$A277&amp;" HK Equity","CUR_MKT_CAP",Database!$H277,Database!$H277),"")</f>
        <v/>
      </c>
      <c r="N277" s="99">
        <f>Database!Q277</f>
        <v/>
      </c>
      <c r="O277" s="24">
        <f>IFERROR(BDH(Database!$A277&amp;" HK Equity","PE_RATIO",Database!$H277,Database!$H277),"")</f>
        <v/>
      </c>
      <c r="P277" s="101">
        <f>IF(Database!AV277="","(n/m or not derivable)",Database!AV277)</f>
        <v/>
      </c>
      <c r="Q277" s="24">
        <f>IF(Database!BA277="","",IFERROR(BDH(LEFT(Database!BA277,FIND(".",Database!BA277)-1)&amp;" CH Equity","PE_RATIO",Database!$H277,Database!$H277),""))</f>
        <v/>
      </c>
      <c r="R277" s="24">
        <f>IF(Database!BA277="","",IFERROR(BDH("HSAHP Index","PX_LAST",Database!$H277,Database!$H277),""))</f>
        <v/>
      </c>
    </row>
    <row r="278">
      <c r="A278" s="16">
        <f>Database!A278&amp;"  "&amp;Database!B278</f>
        <v/>
      </c>
      <c r="B278" s="10">
        <f>IFERROR(INDEX(BDS(Database!$A278&amp;" HK Equity","EQUITY_OFFERINGS","array=t","endcol=1"),MATCH("IPO",BDS(Database!$A278&amp;" HK Equity","EQUITY_OFFERINGS","array=t","startcol=2","endcol=2"),0)),"")</f>
        <v/>
      </c>
      <c r="C278" s="103">
        <f>IF($B278="","",IFERROR(BDP($B278&amp;" Action","CP036"),""))</f>
        <v/>
      </c>
      <c r="D278" s="104">
        <f>Database!S278</f>
        <v/>
      </c>
      <c r="E278" s="103">
        <f>IF($B278="","",IFERROR(BDP($B278&amp;" Action","CP037"),""))</f>
        <v/>
      </c>
      <c r="F278" s="104">
        <f>Database!T278</f>
        <v/>
      </c>
      <c r="G278" s="103">
        <f>IF($B278="","",IFERROR(BDP($B278&amp;" Action","GREENSHOE_FACILITY"),""))</f>
        <v/>
      </c>
      <c r="H278" s="103">
        <f>IF($B278="","",IFERROR(BDP($B278&amp;" Action","OFFERING_GREENSHOE_SHARES_EX"),""))</f>
        <v/>
      </c>
      <c r="I278" s="16">
        <f>Database!Z278</f>
        <v/>
      </c>
      <c r="J278" s="24">
        <f>IFERROR(BDP(Database!$A278&amp;" HK Equity","PE_RATIO"),"")</f>
        <v/>
      </c>
      <c r="K278" s="10">
        <f>IFERROR(BDP(Database!$A278&amp;" HK Equity","A/H_SHARE_CONVERSION"),"")</f>
        <v/>
      </c>
      <c r="L278" s="16">
        <f>IF(Database!BA278="","(none found)",Database!BA278)</f>
        <v/>
      </c>
      <c r="M278" s="18">
        <f>IFERROR(BDH(Database!$A278&amp;" HK Equity","CUR_MKT_CAP",Database!$H278,Database!$H278),"")</f>
        <v/>
      </c>
      <c r="N278" s="99">
        <f>Database!Q278</f>
        <v/>
      </c>
      <c r="O278" s="24">
        <f>IFERROR(BDH(Database!$A278&amp;" HK Equity","PE_RATIO",Database!$H278,Database!$H278),"")</f>
        <v/>
      </c>
      <c r="P278" s="101">
        <f>IF(Database!AV278="","(n/m or not derivable)",Database!AV278)</f>
        <v/>
      </c>
      <c r="Q278" s="24">
        <f>IF(Database!BA278="","",IFERROR(BDH(LEFT(Database!BA278,FIND(".",Database!BA278)-1)&amp;" CH Equity","PE_RATIO",Database!$H278,Database!$H278),""))</f>
        <v/>
      </c>
      <c r="R278" s="24">
        <f>IF(Database!BA278="","",IFERROR(BDH("HSAHP Index","PX_LAST",Database!$H278,Database!$H278),""))</f>
        <v/>
      </c>
    </row>
    <row r="279">
      <c r="A279" s="16">
        <f>Database!A279&amp;"  "&amp;Database!B279</f>
        <v/>
      </c>
      <c r="B279" s="10">
        <f>IFERROR(INDEX(BDS(Database!$A279&amp;" HK Equity","EQUITY_OFFERINGS","array=t","endcol=1"),MATCH("IPO",BDS(Database!$A279&amp;" HK Equity","EQUITY_OFFERINGS","array=t","startcol=2","endcol=2"),0)),"")</f>
        <v/>
      </c>
      <c r="C279" s="103">
        <f>IF($B279="","",IFERROR(BDP($B279&amp;" Action","CP036"),""))</f>
        <v/>
      </c>
      <c r="D279" s="104">
        <f>Database!S279</f>
        <v/>
      </c>
      <c r="E279" s="103">
        <f>IF($B279="","",IFERROR(BDP($B279&amp;" Action","CP037"),""))</f>
        <v/>
      </c>
      <c r="F279" s="104">
        <f>Database!T279</f>
        <v/>
      </c>
      <c r="G279" s="103">
        <f>IF($B279="","",IFERROR(BDP($B279&amp;" Action","GREENSHOE_FACILITY"),""))</f>
        <v/>
      </c>
      <c r="H279" s="103">
        <f>IF($B279="","",IFERROR(BDP($B279&amp;" Action","OFFERING_GREENSHOE_SHARES_EX"),""))</f>
        <v/>
      </c>
      <c r="I279" s="16">
        <f>Database!Z279</f>
        <v/>
      </c>
      <c r="J279" s="24">
        <f>IFERROR(BDP(Database!$A279&amp;" HK Equity","PE_RATIO"),"")</f>
        <v/>
      </c>
      <c r="K279" s="10">
        <f>IFERROR(BDP(Database!$A279&amp;" HK Equity","A/H_SHARE_CONVERSION"),"")</f>
        <v/>
      </c>
      <c r="L279" s="16">
        <f>IF(Database!BA279="","(none found)",Database!BA279)</f>
        <v/>
      </c>
      <c r="M279" s="18">
        <f>IFERROR(BDH(Database!$A279&amp;" HK Equity","CUR_MKT_CAP",Database!$H279,Database!$H279),"")</f>
        <v/>
      </c>
      <c r="N279" s="99">
        <f>Database!Q279</f>
        <v/>
      </c>
      <c r="O279" s="24">
        <f>IFERROR(BDH(Database!$A279&amp;" HK Equity","PE_RATIO",Database!$H279,Database!$H279),"")</f>
        <v/>
      </c>
      <c r="P279" s="101">
        <f>IF(Database!AV279="","(n/m or not derivable)",Database!AV279)</f>
        <v/>
      </c>
      <c r="Q279" s="24">
        <f>IF(Database!BA279="","",IFERROR(BDH(LEFT(Database!BA279,FIND(".",Database!BA279)-1)&amp;" CH Equity","PE_RATIO",Database!$H279,Database!$H279),""))</f>
        <v/>
      </c>
      <c r="R279" s="24">
        <f>IF(Database!BA279="","",IFERROR(BDH("HSAHP Index","PX_LAST",Database!$H279,Database!$H279),""))</f>
        <v/>
      </c>
    </row>
    <row r="280">
      <c r="A280" s="16">
        <f>Database!A280&amp;"  "&amp;Database!B280</f>
        <v/>
      </c>
      <c r="B280" s="10">
        <f>IFERROR(INDEX(BDS(Database!$A280&amp;" HK Equity","EQUITY_OFFERINGS","array=t","endcol=1"),MATCH("IPO",BDS(Database!$A280&amp;" HK Equity","EQUITY_OFFERINGS","array=t","startcol=2","endcol=2"),0)),"")</f>
        <v/>
      </c>
      <c r="C280" s="103">
        <f>IF($B280="","",IFERROR(BDP($B280&amp;" Action","CP036"),""))</f>
        <v/>
      </c>
      <c r="D280" s="104">
        <f>Database!S280</f>
        <v/>
      </c>
      <c r="E280" s="103">
        <f>IF($B280="","",IFERROR(BDP($B280&amp;" Action","CP037"),""))</f>
        <v/>
      </c>
      <c r="F280" s="104">
        <f>Database!T280</f>
        <v/>
      </c>
      <c r="G280" s="103">
        <f>IF($B280="","",IFERROR(BDP($B280&amp;" Action","GREENSHOE_FACILITY"),""))</f>
        <v/>
      </c>
      <c r="H280" s="103">
        <f>IF($B280="","",IFERROR(BDP($B280&amp;" Action","OFFERING_GREENSHOE_SHARES_EX"),""))</f>
        <v/>
      </c>
      <c r="I280" s="16">
        <f>Database!Z280</f>
        <v/>
      </c>
      <c r="J280" s="24">
        <f>IFERROR(BDP(Database!$A280&amp;" HK Equity","PE_RATIO"),"")</f>
        <v/>
      </c>
      <c r="K280" s="10">
        <f>IFERROR(BDP(Database!$A280&amp;" HK Equity","A/H_SHARE_CONVERSION"),"")</f>
        <v/>
      </c>
      <c r="L280" s="16">
        <f>IF(Database!BA280="","(none found)",Database!BA280)</f>
        <v/>
      </c>
      <c r="M280" s="18">
        <f>IFERROR(BDH(Database!$A280&amp;" HK Equity","CUR_MKT_CAP",Database!$H280,Database!$H280),"")</f>
        <v/>
      </c>
      <c r="N280" s="99">
        <f>Database!Q280</f>
        <v/>
      </c>
      <c r="O280" s="24">
        <f>IFERROR(BDH(Database!$A280&amp;" HK Equity","PE_RATIO",Database!$H280,Database!$H280),"")</f>
        <v/>
      </c>
      <c r="P280" s="101">
        <f>IF(Database!AV280="","(n/m or not derivable)",Database!AV280)</f>
        <v/>
      </c>
      <c r="Q280" s="24">
        <f>IF(Database!BA280="","",IFERROR(BDH(LEFT(Database!BA280,FIND(".",Database!BA280)-1)&amp;" CH Equity","PE_RATIO",Database!$H280,Database!$H280),""))</f>
        <v/>
      </c>
      <c r="R280" s="24">
        <f>IF(Database!BA280="","",IFERROR(BDH("HSAHP Index","PX_LAST",Database!$H280,Database!$H280),""))</f>
        <v/>
      </c>
    </row>
    <row r="281">
      <c r="A281" s="16">
        <f>Database!A281&amp;"  "&amp;Database!B281</f>
        <v/>
      </c>
      <c r="B281" s="10">
        <f>IFERROR(INDEX(BDS(Database!$A281&amp;" HK Equity","EQUITY_OFFERINGS","array=t","endcol=1"),MATCH("IPO",BDS(Database!$A281&amp;" HK Equity","EQUITY_OFFERINGS","array=t","startcol=2","endcol=2"),0)),"")</f>
        <v/>
      </c>
      <c r="C281" s="103">
        <f>IF($B281="","",IFERROR(BDP($B281&amp;" Action","CP036"),""))</f>
        <v/>
      </c>
      <c r="D281" s="104">
        <f>Database!S281</f>
        <v/>
      </c>
      <c r="E281" s="103">
        <f>IF($B281="","",IFERROR(BDP($B281&amp;" Action","CP037"),""))</f>
        <v/>
      </c>
      <c r="F281" s="104">
        <f>Database!T281</f>
        <v/>
      </c>
      <c r="G281" s="103">
        <f>IF($B281="","",IFERROR(BDP($B281&amp;" Action","GREENSHOE_FACILITY"),""))</f>
        <v/>
      </c>
      <c r="H281" s="103">
        <f>IF($B281="","",IFERROR(BDP($B281&amp;" Action","OFFERING_GREENSHOE_SHARES_EX"),""))</f>
        <v/>
      </c>
      <c r="I281" s="16">
        <f>Database!Z281</f>
        <v/>
      </c>
      <c r="J281" s="24">
        <f>IFERROR(BDP(Database!$A281&amp;" HK Equity","PE_RATIO"),"")</f>
        <v/>
      </c>
      <c r="K281" s="10">
        <f>IFERROR(BDP(Database!$A281&amp;" HK Equity","A/H_SHARE_CONVERSION"),"")</f>
        <v/>
      </c>
      <c r="L281" s="16">
        <f>IF(Database!BA281="","(none found)",Database!BA281)</f>
        <v/>
      </c>
      <c r="M281" s="18">
        <f>IFERROR(BDH(Database!$A281&amp;" HK Equity","CUR_MKT_CAP",Database!$H281,Database!$H281),"")</f>
        <v/>
      </c>
      <c r="N281" s="99">
        <f>Database!Q281</f>
        <v/>
      </c>
      <c r="O281" s="24">
        <f>IFERROR(BDH(Database!$A281&amp;" HK Equity","PE_RATIO",Database!$H281,Database!$H281),"")</f>
        <v/>
      </c>
      <c r="P281" s="101">
        <f>IF(Database!AV281="","(n/m or not derivable)",Database!AV281)</f>
        <v/>
      </c>
      <c r="Q281" s="24">
        <f>IF(Database!BA281="","",IFERROR(BDH(LEFT(Database!BA281,FIND(".",Database!BA281)-1)&amp;" CH Equity","PE_RATIO",Database!$H281,Database!$H281),""))</f>
        <v/>
      </c>
      <c r="R281" s="24">
        <f>IF(Database!BA281="","",IFERROR(BDH("HSAHP Index","PX_LAST",Database!$H281,Database!$H281),""))</f>
        <v/>
      </c>
    </row>
    <row r="282">
      <c r="A282" s="16">
        <f>Database!A282&amp;"  "&amp;Database!B282</f>
        <v/>
      </c>
      <c r="B282" s="10">
        <f>IFERROR(INDEX(BDS(Database!$A282&amp;" HK Equity","EQUITY_OFFERINGS","array=t","endcol=1"),MATCH("IPO",BDS(Database!$A282&amp;" HK Equity","EQUITY_OFFERINGS","array=t","startcol=2","endcol=2"),0)),"")</f>
        <v/>
      </c>
      <c r="C282" s="103">
        <f>IF($B282="","",IFERROR(BDP($B282&amp;" Action","CP036"),""))</f>
        <v/>
      </c>
      <c r="D282" s="104">
        <f>Database!S282</f>
        <v/>
      </c>
      <c r="E282" s="103">
        <f>IF($B282="","",IFERROR(BDP($B282&amp;" Action","CP037"),""))</f>
        <v/>
      </c>
      <c r="F282" s="104">
        <f>Database!T282</f>
        <v/>
      </c>
      <c r="G282" s="103">
        <f>IF($B282="","",IFERROR(BDP($B282&amp;" Action","GREENSHOE_FACILITY"),""))</f>
        <v/>
      </c>
      <c r="H282" s="103">
        <f>IF($B282="","",IFERROR(BDP($B282&amp;" Action","OFFERING_GREENSHOE_SHARES_EX"),""))</f>
        <v/>
      </c>
      <c r="I282" s="16">
        <f>Database!Z282</f>
        <v/>
      </c>
      <c r="J282" s="24">
        <f>IFERROR(BDP(Database!$A282&amp;" HK Equity","PE_RATIO"),"")</f>
        <v/>
      </c>
      <c r="K282" s="10">
        <f>IFERROR(BDP(Database!$A282&amp;" HK Equity","A/H_SHARE_CONVERSION"),"")</f>
        <v/>
      </c>
      <c r="L282" s="16">
        <f>IF(Database!BA282="","(none found)",Database!BA282)</f>
        <v/>
      </c>
      <c r="M282" s="18">
        <f>IFERROR(BDH(Database!$A282&amp;" HK Equity","CUR_MKT_CAP",Database!$H282,Database!$H282),"")</f>
        <v/>
      </c>
      <c r="N282" s="99">
        <f>Database!Q282</f>
        <v/>
      </c>
      <c r="O282" s="24">
        <f>IFERROR(BDH(Database!$A282&amp;" HK Equity","PE_RATIO",Database!$H282,Database!$H282),"")</f>
        <v/>
      </c>
      <c r="P282" s="101">
        <f>IF(Database!AV282="","(n/m or not derivable)",Database!AV282)</f>
        <v/>
      </c>
      <c r="Q282" s="24">
        <f>IF(Database!BA282="","",IFERROR(BDH(LEFT(Database!BA282,FIND(".",Database!BA282)-1)&amp;" CH Equity","PE_RATIO",Database!$H282,Database!$H282),""))</f>
        <v/>
      </c>
      <c r="R282" s="24">
        <f>IF(Database!BA282="","",IFERROR(BDH("HSAHP Index","PX_LAST",Database!$H282,Database!$H282),""))</f>
        <v/>
      </c>
    </row>
    <row r="283">
      <c r="A283" s="16">
        <f>Database!A283&amp;"  "&amp;Database!B283</f>
        <v/>
      </c>
      <c r="B283" s="10">
        <f>IFERROR(INDEX(BDS(Database!$A283&amp;" HK Equity","EQUITY_OFFERINGS","array=t","endcol=1"),MATCH("IPO",BDS(Database!$A283&amp;" HK Equity","EQUITY_OFFERINGS","array=t","startcol=2","endcol=2"),0)),"")</f>
        <v/>
      </c>
      <c r="C283" s="103">
        <f>IF($B283="","",IFERROR(BDP($B283&amp;" Action","CP036"),""))</f>
        <v/>
      </c>
      <c r="D283" s="104">
        <f>Database!S283</f>
        <v/>
      </c>
      <c r="E283" s="103">
        <f>IF($B283="","",IFERROR(BDP($B283&amp;" Action","CP037"),""))</f>
        <v/>
      </c>
      <c r="F283" s="104">
        <f>Database!T283</f>
        <v/>
      </c>
      <c r="G283" s="103">
        <f>IF($B283="","",IFERROR(BDP($B283&amp;" Action","GREENSHOE_FACILITY"),""))</f>
        <v/>
      </c>
      <c r="H283" s="103">
        <f>IF($B283="","",IFERROR(BDP($B283&amp;" Action","OFFERING_GREENSHOE_SHARES_EX"),""))</f>
        <v/>
      </c>
      <c r="I283" s="16">
        <f>Database!Z283</f>
        <v/>
      </c>
      <c r="J283" s="24">
        <f>IFERROR(BDP(Database!$A283&amp;" HK Equity","PE_RATIO"),"")</f>
        <v/>
      </c>
      <c r="K283" s="10">
        <f>IFERROR(BDP(Database!$A283&amp;" HK Equity","A/H_SHARE_CONVERSION"),"")</f>
        <v/>
      </c>
      <c r="L283" s="16">
        <f>IF(Database!BA283="","(none found)",Database!BA283)</f>
        <v/>
      </c>
      <c r="M283" s="18">
        <f>IFERROR(BDH(Database!$A283&amp;" HK Equity","CUR_MKT_CAP",Database!$H283,Database!$H283),"")</f>
        <v/>
      </c>
      <c r="N283" s="99">
        <f>Database!Q283</f>
        <v/>
      </c>
      <c r="O283" s="24">
        <f>IFERROR(BDH(Database!$A283&amp;" HK Equity","PE_RATIO",Database!$H283,Database!$H283),"")</f>
        <v/>
      </c>
      <c r="P283" s="101">
        <f>IF(Database!AV283="","(n/m or not derivable)",Database!AV283)</f>
        <v/>
      </c>
      <c r="Q283" s="24">
        <f>IF(Database!BA283="","",IFERROR(BDH(LEFT(Database!BA283,FIND(".",Database!BA283)-1)&amp;" CH Equity","PE_RATIO",Database!$H283,Database!$H283),""))</f>
        <v/>
      </c>
      <c r="R283" s="24">
        <f>IF(Database!BA283="","",IFERROR(BDH("HSAHP Index","PX_LAST",Database!$H283,Database!$H283),""))</f>
        <v/>
      </c>
    </row>
    <row r="284">
      <c r="A284" s="16">
        <f>Database!A284&amp;"  "&amp;Database!B284</f>
        <v/>
      </c>
      <c r="B284" s="10">
        <f>IFERROR(INDEX(BDS(Database!$A284&amp;" HK Equity","EQUITY_OFFERINGS","array=t","endcol=1"),MATCH("IPO",BDS(Database!$A284&amp;" HK Equity","EQUITY_OFFERINGS","array=t","startcol=2","endcol=2"),0)),"")</f>
        <v/>
      </c>
      <c r="C284" s="103">
        <f>IF($B284="","",IFERROR(BDP($B284&amp;" Action","CP036"),""))</f>
        <v/>
      </c>
      <c r="D284" s="104">
        <f>Database!S284</f>
        <v/>
      </c>
      <c r="E284" s="103">
        <f>IF($B284="","",IFERROR(BDP($B284&amp;" Action","CP037"),""))</f>
        <v/>
      </c>
      <c r="F284" s="104">
        <f>Database!T284</f>
        <v/>
      </c>
      <c r="G284" s="103">
        <f>IF($B284="","",IFERROR(BDP($B284&amp;" Action","GREENSHOE_FACILITY"),""))</f>
        <v/>
      </c>
      <c r="H284" s="103">
        <f>IF($B284="","",IFERROR(BDP($B284&amp;" Action","OFFERING_GREENSHOE_SHARES_EX"),""))</f>
        <v/>
      </c>
      <c r="I284" s="16">
        <f>Database!Z284</f>
        <v/>
      </c>
      <c r="J284" s="24">
        <f>IFERROR(BDP(Database!$A284&amp;" HK Equity","PE_RATIO"),"")</f>
        <v/>
      </c>
      <c r="K284" s="10">
        <f>IFERROR(BDP(Database!$A284&amp;" HK Equity","A/H_SHARE_CONVERSION"),"")</f>
        <v/>
      </c>
      <c r="L284" s="16">
        <f>IF(Database!BA284="","(none found)",Database!BA284)</f>
        <v/>
      </c>
      <c r="M284" s="18">
        <f>IFERROR(BDH(Database!$A284&amp;" HK Equity","CUR_MKT_CAP",Database!$H284,Database!$H284),"")</f>
        <v/>
      </c>
      <c r="N284" s="99">
        <f>Database!Q284</f>
        <v/>
      </c>
      <c r="O284" s="24">
        <f>IFERROR(BDH(Database!$A284&amp;" HK Equity","PE_RATIO",Database!$H284,Database!$H284),"")</f>
        <v/>
      </c>
      <c r="P284" s="101">
        <f>IF(Database!AV284="","(n/m or not derivable)",Database!AV284)</f>
        <v/>
      </c>
      <c r="Q284" s="24">
        <f>IF(Database!BA284="","",IFERROR(BDH(LEFT(Database!BA284,FIND(".",Database!BA284)-1)&amp;" CH Equity","PE_RATIO",Database!$H284,Database!$H284),""))</f>
        <v/>
      </c>
      <c r="R284" s="24">
        <f>IF(Database!BA284="","",IFERROR(BDH("HSAHP Index","PX_LAST",Database!$H284,Database!$H284),""))</f>
        <v/>
      </c>
    </row>
    <row r="285">
      <c r="A285" s="16">
        <f>Database!A285&amp;"  "&amp;Database!B285</f>
        <v/>
      </c>
      <c r="B285" s="10">
        <f>IFERROR(INDEX(BDS(Database!$A285&amp;" HK Equity","EQUITY_OFFERINGS","array=t","endcol=1"),MATCH("IPO",BDS(Database!$A285&amp;" HK Equity","EQUITY_OFFERINGS","array=t","startcol=2","endcol=2"),0)),"")</f>
        <v/>
      </c>
      <c r="C285" s="103">
        <f>IF($B285="","",IFERROR(BDP($B285&amp;" Action","CP036"),""))</f>
        <v/>
      </c>
      <c r="D285" s="104">
        <f>Database!S285</f>
        <v/>
      </c>
      <c r="E285" s="103">
        <f>IF($B285="","",IFERROR(BDP($B285&amp;" Action","CP037"),""))</f>
        <v/>
      </c>
      <c r="F285" s="104">
        <f>Database!T285</f>
        <v/>
      </c>
      <c r="G285" s="103">
        <f>IF($B285="","",IFERROR(BDP($B285&amp;" Action","GREENSHOE_FACILITY"),""))</f>
        <v/>
      </c>
      <c r="H285" s="103">
        <f>IF($B285="","",IFERROR(BDP($B285&amp;" Action","OFFERING_GREENSHOE_SHARES_EX"),""))</f>
        <v/>
      </c>
      <c r="I285" s="16">
        <f>Database!Z285</f>
        <v/>
      </c>
      <c r="J285" s="24">
        <f>IFERROR(BDP(Database!$A285&amp;" HK Equity","PE_RATIO"),"")</f>
        <v/>
      </c>
      <c r="K285" s="10">
        <f>IFERROR(BDP(Database!$A285&amp;" HK Equity","A/H_SHARE_CONVERSION"),"")</f>
        <v/>
      </c>
      <c r="L285" s="16">
        <f>IF(Database!BA285="","(none found)",Database!BA285)</f>
        <v/>
      </c>
      <c r="M285" s="18">
        <f>IFERROR(BDH(Database!$A285&amp;" HK Equity","CUR_MKT_CAP",Database!$H285,Database!$H285),"")</f>
        <v/>
      </c>
      <c r="N285" s="99">
        <f>Database!Q285</f>
        <v/>
      </c>
      <c r="O285" s="24">
        <f>IFERROR(BDH(Database!$A285&amp;" HK Equity","PE_RATIO",Database!$H285,Database!$H285),"")</f>
        <v/>
      </c>
      <c r="P285" s="101">
        <f>IF(Database!AV285="","(n/m or not derivable)",Database!AV285)</f>
        <v/>
      </c>
      <c r="Q285" s="24">
        <f>IF(Database!BA285="","",IFERROR(BDH(LEFT(Database!BA285,FIND(".",Database!BA285)-1)&amp;" CH Equity","PE_RATIO",Database!$H285,Database!$H285),""))</f>
        <v/>
      </c>
      <c r="R285" s="24">
        <f>IF(Database!BA285="","",IFERROR(BDH("HSAHP Index","PX_LAST",Database!$H285,Database!$H285),""))</f>
        <v/>
      </c>
    </row>
    <row r="286">
      <c r="A286" s="16">
        <f>Database!A286&amp;"  "&amp;Database!B286</f>
        <v/>
      </c>
      <c r="B286" s="10">
        <f>IFERROR(INDEX(BDS(Database!$A286&amp;" HK Equity","EQUITY_OFFERINGS","array=t","endcol=1"),MATCH("IPO",BDS(Database!$A286&amp;" HK Equity","EQUITY_OFFERINGS","array=t","startcol=2","endcol=2"),0)),"")</f>
        <v/>
      </c>
      <c r="C286" s="103">
        <f>IF($B286="","",IFERROR(BDP($B286&amp;" Action","CP036"),""))</f>
        <v/>
      </c>
      <c r="D286" s="104">
        <f>Database!S286</f>
        <v/>
      </c>
      <c r="E286" s="103">
        <f>IF($B286="","",IFERROR(BDP($B286&amp;" Action","CP037"),""))</f>
        <v/>
      </c>
      <c r="F286" s="104">
        <f>Database!T286</f>
        <v/>
      </c>
      <c r="G286" s="103">
        <f>IF($B286="","",IFERROR(BDP($B286&amp;" Action","GREENSHOE_FACILITY"),""))</f>
        <v/>
      </c>
      <c r="H286" s="103">
        <f>IF($B286="","",IFERROR(BDP($B286&amp;" Action","OFFERING_GREENSHOE_SHARES_EX"),""))</f>
        <v/>
      </c>
      <c r="I286" s="16">
        <f>Database!Z286</f>
        <v/>
      </c>
      <c r="J286" s="24">
        <f>IFERROR(BDP(Database!$A286&amp;" HK Equity","PE_RATIO"),"")</f>
        <v/>
      </c>
      <c r="K286" s="10">
        <f>IFERROR(BDP(Database!$A286&amp;" HK Equity","A/H_SHARE_CONVERSION"),"")</f>
        <v/>
      </c>
      <c r="L286" s="16">
        <f>IF(Database!BA286="","(none found)",Database!BA286)</f>
        <v/>
      </c>
      <c r="M286" s="18">
        <f>IFERROR(BDH(Database!$A286&amp;" HK Equity","CUR_MKT_CAP",Database!$H286,Database!$H286),"")</f>
        <v/>
      </c>
      <c r="N286" s="99">
        <f>Database!Q286</f>
        <v/>
      </c>
      <c r="O286" s="24">
        <f>IFERROR(BDH(Database!$A286&amp;" HK Equity","PE_RATIO",Database!$H286,Database!$H286),"")</f>
        <v/>
      </c>
      <c r="P286" s="101">
        <f>IF(Database!AV286="","(n/m or not derivable)",Database!AV286)</f>
        <v/>
      </c>
      <c r="Q286" s="24">
        <f>IF(Database!BA286="","",IFERROR(BDH(LEFT(Database!BA286,FIND(".",Database!BA286)-1)&amp;" CH Equity","PE_RATIO",Database!$H286,Database!$H286),""))</f>
        <v/>
      </c>
      <c r="R286" s="24">
        <f>IF(Database!BA286="","",IFERROR(BDH("HSAHP Index","PX_LAST",Database!$H286,Database!$H286),""))</f>
        <v/>
      </c>
    </row>
    <row r="287">
      <c r="A287" s="16">
        <f>Database!A287&amp;"  "&amp;Database!B287</f>
        <v/>
      </c>
      <c r="B287" s="10">
        <f>IFERROR(INDEX(BDS(Database!$A287&amp;" HK Equity","EQUITY_OFFERINGS","array=t","endcol=1"),MATCH("IPO",BDS(Database!$A287&amp;" HK Equity","EQUITY_OFFERINGS","array=t","startcol=2","endcol=2"),0)),"")</f>
        <v/>
      </c>
      <c r="C287" s="103">
        <f>IF($B287="","",IFERROR(BDP($B287&amp;" Action","CP036"),""))</f>
        <v/>
      </c>
      <c r="D287" s="104">
        <f>Database!S287</f>
        <v/>
      </c>
      <c r="E287" s="103">
        <f>IF($B287="","",IFERROR(BDP($B287&amp;" Action","CP037"),""))</f>
        <v/>
      </c>
      <c r="F287" s="104">
        <f>Database!T287</f>
        <v/>
      </c>
      <c r="G287" s="103">
        <f>IF($B287="","",IFERROR(BDP($B287&amp;" Action","GREENSHOE_FACILITY"),""))</f>
        <v/>
      </c>
      <c r="H287" s="103">
        <f>IF($B287="","",IFERROR(BDP($B287&amp;" Action","OFFERING_GREENSHOE_SHARES_EX"),""))</f>
        <v/>
      </c>
      <c r="I287" s="16">
        <f>Database!Z287</f>
        <v/>
      </c>
      <c r="J287" s="24">
        <f>IFERROR(BDP(Database!$A287&amp;" HK Equity","PE_RATIO"),"")</f>
        <v/>
      </c>
      <c r="K287" s="10">
        <f>IFERROR(BDP(Database!$A287&amp;" HK Equity","A/H_SHARE_CONVERSION"),"")</f>
        <v/>
      </c>
      <c r="L287" s="16">
        <f>IF(Database!BA287="","(none found)",Database!BA287)</f>
        <v/>
      </c>
      <c r="M287" s="18">
        <f>IFERROR(BDH(Database!$A287&amp;" HK Equity","CUR_MKT_CAP",Database!$H287,Database!$H287),"")</f>
        <v/>
      </c>
      <c r="N287" s="99">
        <f>Database!Q287</f>
        <v/>
      </c>
      <c r="O287" s="24">
        <f>IFERROR(BDH(Database!$A287&amp;" HK Equity","PE_RATIO",Database!$H287,Database!$H287),"")</f>
        <v/>
      </c>
      <c r="P287" s="101">
        <f>IF(Database!AV287="","(n/m or not derivable)",Database!AV287)</f>
        <v/>
      </c>
      <c r="Q287" s="24">
        <f>IF(Database!BA287="","",IFERROR(BDH(LEFT(Database!BA287,FIND(".",Database!BA287)-1)&amp;" CH Equity","PE_RATIO",Database!$H287,Database!$H287),""))</f>
        <v/>
      </c>
      <c r="R287" s="24">
        <f>IF(Database!BA287="","",IFERROR(BDH("HSAHP Index","PX_LAST",Database!$H287,Database!$H287),""))</f>
        <v/>
      </c>
    </row>
    <row r="288">
      <c r="A288" s="16">
        <f>Database!A288&amp;"  "&amp;Database!B288</f>
        <v/>
      </c>
      <c r="B288" s="10">
        <f>IFERROR(INDEX(BDS(Database!$A288&amp;" HK Equity","EQUITY_OFFERINGS","array=t","endcol=1"),MATCH("IPO",BDS(Database!$A288&amp;" HK Equity","EQUITY_OFFERINGS","array=t","startcol=2","endcol=2"),0)),"")</f>
        <v/>
      </c>
      <c r="C288" s="103">
        <f>IF($B288="","",IFERROR(BDP($B288&amp;" Action","CP036"),""))</f>
        <v/>
      </c>
      <c r="D288" s="104">
        <f>Database!S288</f>
        <v/>
      </c>
      <c r="E288" s="103">
        <f>IF($B288="","",IFERROR(BDP($B288&amp;" Action","CP037"),""))</f>
        <v/>
      </c>
      <c r="F288" s="104">
        <f>Database!T288</f>
        <v/>
      </c>
      <c r="G288" s="103">
        <f>IF($B288="","",IFERROR(BDP($B288&amp;" Action","GREENSHOE_FACILITY"),""))</f>
        <v/>
      </c>
      <c r="H288" s="103">
        <f>IF($B288="","",IFERROR(BDP($B288&amp;" Action","OFFERING_GREENSHOE_SHARES_EX"),""))</f>
        <v/>
      </c>
      <c r="I288" s="16">
        <f>Database!Z288</f>
        <v/>
      </c>
      <c r="J288" s="24">
        <f>IFERROR(BDP(Database!$A288&amp;" HK Equity","PE_RATIO"),"")</f>
        <v/>
      </c>
      <c r="K288" s="10">
        <f>IFERROR(BDP(Database!$A288&amp;" HK Equity","A/H_SHARE_CONVERSION"),"")</f>
        <v/>
      </c>
      <c r="L288" s="16">
        <f>IF(Database!BA288="","(none found)",Database!BA288)</f>
        <v/>
      </c>
      <c r="M288" s="18">
        <f>IFERROR(BDH(Database!$A288&amp;" HK Equity","CUR_MKT_CAP",Database!$H288,Database!$H288),"")</f>
        <v/>
      </c>
      <c r="N288" s="99">
        <f>Database!Q288</f>
        <v/>
      </c>
      <c r="O288" s="24">
        <f>IFERROR(BDH(Database!$A288&amp;" HK Equity","PE_RATIO",Database!$H288,Database!$H288),"")</f>
        <v/>
      </c>
      <c r="P288" s="101">
        <f>IF(Database!AV288="","(n/m or not derivable)",Database!AV288)</f>
        <v/>
      </c>
      <c r="Q288" s="24">
        <f>IF(Database!BA288="","",IFERROR(BDH(LEFT(Database!BA288,FIND(".",Database!BA288)-1)&amp;" CH Equity","PE_RATIO",Database!$H288,Database!$H288),""))</f>
        <v/>
      </c>
      <c r="R288" s="24">
        <f>IF(Database!BA288="","",IFERROR(BDH("HSAHP Index","PX_LAST",Database!$H288,Database!$H288),""))</f>
        <v/>
      </c>
    </row>
    <row r="289">
      <c r="A289" s="16">
        <f>Database!A289&amp;"  "&amp;Database!B289</f>
        <v/>
      </c>
      <c r="B289" s="10">
        <f>IFERROR(INDEX(BDS(Database!$A289&amp;" HK Equity","EQUITY_OFFERINGS","array=t","endcol=1"),MATCH("IPO",BDS(Database!$A289&amp;" HK Equity","EQUITY_OFFERINGS","array=t","startcol=2","endcol=2"),0)),"")</f>
        <v/>
      </c>
      <c r="C289" s="103">
        <f>IF($B289="","",IFERROR(BDP($B289&amp;" Action","CP036"),""))</f>
        <v/>
      </c>
      <c r="D289" s="104">
        <f>Database!S289</f>
        <v/>
      </c>
      <c r="E289" s="103">
        <f>IF($B289="","",IFERROR(BDP($B289&amp;" Action","CP037"),""))</f>
        <v/>
      </c>
      <c r="F289" s="104">
        <f>Database!T289</f>
        <v/>
      </c>
      <c r="G289" s="103">
        <f>IF($B289="","",IFERROR(BDP($B289&amp;" Action","GREENSHOE_FACILITY"),""))</f>
        <v/>
      </c>
      <c r="H289" s="103">
        <f>IF($B289="","",IFERROR(BDP($B289&amp;" Action","OFFERING_GREENSHOE_SHARES_EX"),""))</f>
        <v/>
      </c>
      <c r="I289" s="16">
        <f>Database!Z289</f>
        <v/>
      </c>
      <c r="J289" s="24">
        <f>IFERROR(BDP(Database!$A289&amp;" HK Equity","PE_RATIO"),"")</f>
        <v/>
      </c>
      <c r="K289" s="10">
        <f>IFERROR(BDP(Database!$A289&amp;" HK Equity","A/H_SHARE_CONVERSION"),"")</f>
        <v/>
      </c>
      <c r="L289" s="16">
        <f>IF(Database!BA289="","(none found)",Database!BA289)</f>
        <v/>
      </c>
      <c r="M289" s="18">
        <f>IFERROR(BDH(Database!$A289&amp;" HK Equity","CUR_MKT_CAP",Database!$H289,Database!$H289),"")</f>
        <v/>
      </c>
      <c r="N289" s="99">
        <f>Database!Q289</f>
        <v/>
      </c>
      <c r="O289" s="24">
        <f>IFERROR(BDH(Database!$A289&amp;" HK Equity","PE_RATIO",Database!$H289,Database!$H289),"")</f>
        <v/>
      </c>
      <c r="P289" s="101">
        <f>IF(Database!AV289="","(n/m or not derivable)",Database!AV289)</f>
        <v/>
      </c>
      <c r="Q289" s="24">
        <f>IF(Database!BA289="","",IFERROR(BDH(LEFT(Database!BA289,FIND(".",Database!BA289)-1)&amp;" CH Equity","PE_RATIO",Database!$H289,Database!$H289),""))</f>
        <v/>
      </c>
      <c r="R289" s="24">
        <f>IF(Database!BA289="","",IFERROR(BDH("HSAHP Index","PX_LAST",Database!$H289,Database!$H289),""))</f>
        <v/>
      </c>
    </row>
    <row r="290">
      <c r="A290" s="16">
        <f>Database!A290&amp;"  "&amp;Database!B290</f>
        <v/>
      </c>
      <c r="B290" s="10">
        <f>IFERROR(INDEX(BDS(Database!$A290&amp;" HK Equity","EQUITY_OFFERINGS","array=t","endcol=1"),MATCH("IPO",BDS(Database!$A290&amp;" HK Equity","EQUITY_OFFERINGS","array=t","startcol=2","endcol=2"),0)),"")</f>
        <v/>
      </c>
      <c r="C290" s="103">
        <f>IF($B290="","",IFERROR(BDP($B290&amp;" Action","CP036"),""))</f>
        <v/>
      </c>
      <c r="D290" s="104">
        <f>Database!S290</f>
        <v/>
      </c>
      <c r="E290" s="103">
        <f>IF($B290="","",IFERROR(BDP($B290&amp;" Action","CP037"),""))</f>
        <v/>
      </c>
      <c r="F290" s="104">
        <f>Database!T290</f>
        <v/>
      </c>
      <c r="G290" s="103">
        <f>IF($B290="","",IFERROR(BDP($B290&amp;" Action","GREENSHOE_FACILITY"),""))</f>
        <v/>
      </c>
      <c r="H290" s="103">
        <f>IF($B290="","",IFERROR(BDP($B290&amp;" Action","OFFERING_GREENSHOE_SHARES_EX"),""))</f>
        <v/>
      </c>
      <c r="I290" s="16">
        <f>Database!Z290</f>
        <v/>
      </c>
      <c r="J290" s="24">
        <f>IFERROR(BDP(Database!$A290&amp;" HK Equity","PE_RATIO"),"")</f>
        <v/>
      </c>
      <c r="K290" s="10">
        <f>IFERROR(BDP(Database!$A290&amp;" HK Equity","A/H_SHARE_CONVERSION"),"")</f>
        <v/>
      </c>
      <c r="L290" s="16">
        <f>IF(Database!BA290="","(none found)",Database!BA290)</f>
        <v/>
      </c>
      <c r="M290" s="18">
        <f>IFERROR(BDH(Database!$A290&amp;" HK Equity","CUR_MKT_CAP",Database!$H290,Database!$H290),"")</f>
        <v/>
      </c>
      <c r="N290" s="99">
        <f>Database!Q290</f>
        <v/>
      </c>
      <c r="O290" s="24">
        <f>IFERROR(BDH(Database!$A290&amp;" HK Equity","PE_RATIO",Database!$H290,Database!$H290),"")</f>
        <v/>
      </c>
      <c r="P290" s="101">
        <f>IF(Database!AV290="","(n/m or not derivable)",Database!AV290)</f>
        <v/>
      </c>
      <c r="Q290" s="24">
        <f>IF(Database!BA290="","",IFERROR(BDH(LEFT(Database!BA290,FIND(".",Database!BA290)-1)&amp;" CH Equity","PE_RATIO",Database!$H290,Database!$H290),""))</f>
        <v/>
      </c>
      <c r="R290" s="24">
        <f>IF(Database!BA290="","",IFERROR(BDH("HSAHP Index","PX_LAST",Database!$H290,Database!$H290),""))</f>
        <v/>
      </c>
    </row>
    <row r="291">
      <c r="A291" s="16">
        <f>Database!A291&amp;"  "&amp;Database!B291</f>
        <v/>
      </c>
      <c r="B291" s="10">
        <f>IFERROR(INDEX(BDS(Database!$A291&amp;" HK Equity","EQUITY_OFFERINGS","array=t","endcol=1"),MATCH("IPO",BDS(Database!$A291&amp;" HK Equity","EQUITY_OFFERINGS","array=t","startcol=2","endcol=2"),0)),"")</f>
        <v/>
      </c>
      <c r="C291" s="103">
        <f>IF($B291="","",IFERROR(BDP($B291&amp;" Action","CP036"),""))</f>
        <v/>
      </c>
      <c r="D291" s="104">
        <f>Database!S291</f>
        <v/>
      </c>
      <c r="E291" s="103">
        <f>IF($B291="","",IFERROR(BDP($B291&amp;" Action","CP037"),""))</f>
        <v/>
      </c>
      <c r="F291" s="104">
        <f>Database!T291</f>
        <v/>
      </c>
      <c r="G291" s="103">
        <f>IF($B291="","",IFERROR(BDP($B291&amp;" Action","GREENSHOE_FACILITY"),""))</f>
        <v/>
      </c>
      <c r="H291" s="103">
        <f>IF($B291="","",IFERROR(BDP($B291&amp;" Action","OFFERING_GREENSHOE_SHARES_EX"),""))</f>
        <v/>
      </c>
      <c r="I291" s="16">
        <f>Database!Z291</f>
        <v/>
      </c>
      <c r="J291" s="24">
        <f>IFERROR(BDP(Database!$A291&amp;" HK Equity","PE_RATIO"),"")</f>
        <v/>
      </c>
      <c r="K291" s="10">
        <f>IFERROR(BDP(Database!$A291&amp;" HK Equity","A/H_SHARE_CONVERSION"),"")</f>
        <v/>
      </c>
      <c r="L291" s="16">
        <f>IF(Database!BA291="","(none found)",Database!BA291)</f>
        <v/>
      </c>
      <c r="M291" s="18">
        <f>IFERROR(BDH(Database!$A291&amp;" HK Equity","CUR_MKT_CAP",Database!$H291,Database!$H291),"")</f>
        <v/>
      </c>
      <c r="N291" s="99">
        <f>Database!Q291</f>
        <v/>
      </c>
      <c r="O291" s="24">
        <f>IFERROR(BDH(Database!$A291&amp;" HK Equity","PE_RATIO",Database!$H291,Database!$H291),"")</f>
        <v/>
      </c>
      <c r="P291" s="101">
        <f>IF(Database!AV291="","(n/m or not derivable)",Database!AV291)</f>
        <v/>
      </c>
      <c r="Q291" s="24">
        <f>IF(Database!BA291="","",IFERROR(BDH(LEFT(Database!BA291,FIND(".",Database!BA291)-1)&amp;" CH Equity","PE_RATIO",Database!$H291,Database!$H291),""))</f>
        <v/>
      </c>
      <c r="R291" s="24">
        <f>IF(Database!BA291="","",IFERROR(BDH("HSAHP Index","PX_LAST",Database!$H291,Database!$H291),""))</f>
        <v/>
      </c>
    </row>
    <row r="292">
      <c r="A292" s="16">
        <f>Database!A292&amp;"  "&amp;Database!B292</f>
        <v/>
      </c>
      <c r="B292" s="10">
        <f>IFERROR(INDEX(BDS(Database!$A292&amp;" HK Equity","EQUITY_OFFERINGS","array=t","endcol=1"),MATCH("IPO",BDS(Database!$A292&amp;" HK Equity","EQUITY_OFFERINGS","array=t","startcol=2","endcol=2"),0)),"")</f>
        <v/>
      </c>
      <c r="C292" s="103">
        <f>IF($B292="","",IFERROR(BDP($B292&amp;" Action","CP036"),""))</f>
        <v/>
      </c>
      <c r="D292" s="104">
        <f>Database!S292</f>
        <v/>
      </c>
      <c r="E292" s="103">
        <f>IF($B292="","",IFERROR(BDP($B292&amp;" Action","CP037"),""))</f>
        <v/>
      </c>
      <c r="F292" s="104">
        <f>Database!T292</f>
        <v/>
      </c>
      <c r="G292" s="103">
        <f>IF($B292="","",IFERROR(BDP($B292&amp;" Action","GREENSHOE_FACILITY"),""))</f>
        <v/>
      </c>
      <c r="H292" s="103">
        <f>IF($B292="","",IFERROR(BDP($B292&amp;" Action","OFFERING_GREENSHOE_SHARES_EX"),""))</f>
        <v/>
      </c>
      <c r="I292" s="16">
        <f>Database!Z292</f>
        <v/>
      </c>
      <c r="J292" s="24">
        <f>IFERROR(BDP(Database!$A292&amp;" HK Equity","PE_RATIO"),"")</f>
        <v/>
      </c>
      <c r="K292" s="10">
        <f>IFERROR(BDP(Database!$A292&amp;" HK Equity","A/H_SHARE_CONVERSION"),"")</f>
        <v/>
      </c>
      <c r="L292" s="16">
        <f>IF(Database!BA292="","(none found)",Database!BA292)</f>
        <v/>
      </c>
      <c r="M292" s="18">
        <f>IFERROR(BDH(Database!$A292&amp;" HK Equity","CUR_MKT_CAP",Database!$H292,Database!$H292),"")</f>
        <v/>
      </c>
      <c r="N292" s="99">
        <f>Database!Q292</f>
        <v/>
      </c>
      <c r="O292" s="24">
        <f>IFERROR(BDH(Database!$A292&amp;" HK Equity","PE_RATIO",Database!$H292,Database!$H292),"")</f>
        <v/>
      </c>
      <c r="P292" s="101">
        <f>IF(Database!AV292="","(n/m or not derivable)",Database!AV292)</f>
        <v/>
      </c>
      <c r="Q292" s="24">
        <f>IF(Database!BA292="","",IFERROR(BDH(LEFT(Database!BA292,FIND(".",Database!BA292)-1)&amp;" CH Equity","PE_RATIO",Database!$H292,Database!$H292),""))</f>
        <v/>
      </c>
      <c r="R292" s="24">
        <f>IF(Database!BA292="","",IFERROR(BDH("HSAHP Index","PX_LAST",Database!$H292,Database!$H292),""))</f>
        <v/>
      </c>
    </row>
    <row r="293">
      <c r="A293" s="16">
        <f>Database!A293&amp;"  "&amp;Database!B293</f>
        <v/>
      </c>
      <c r="B293" s="10">
        <f>IFERROR(INDEX(BDS(Database!$A293&amp;" HK Equity","EQUITY_OFFERINGS","array=t","endcol=1"),MATCH("IPO",BDS(Database!$A293&amp;" HK Equity","EQUITY_OFFERINGS","array=t","startcol=2","endcol=2"),0)),"")</f>
        <v/>
      </c>
      <c r="C293" s="103">
        <f>IF($B293="","",IFERROR(BDP($B293&amp;" Action","CP036"),""))</f>
        <v/>
      </c>
      <c r="D293" s="104">
        <f>Database!S293</f>
        <v/>
      </c>
      <c r="E293" s="103">
        <f>IF($B293="","",IFERROR(BDP($B293&amp;" Action","CP037"),""))</f>
        <v/>
      </c>
      <c r="F293" s="104">
        <f>Database!T293</f>
        <v/>
      </c>
      <c r="G293" s="103">
        <f>IF($B293="","",IFERROR(BDP($B293&amp;" Action","GREENSHOE_FACILITY"),""))</f>
        <v/>
      </c>
      <c r="H293" s="103">
        <f>IF($B293="","",IFERROR(BDP($B293&amp;" Action","OFFERING_GREENSHOE_SHARES_EX"),""))</f>
        <v/>
      </c>
      <c r="I293" s="16">
        <f>Database!Z293</f>
        <v/>
      </c>
      <c r="J293" s="24">
        <f>IFERROR(BDP(Database!$A293&amp;" HK Equity","PE_RATIO"),"")</f>
        <v/>
      </c>
      <c r="K293" s="10">
        <f>IFERROR(BDP(Database!$A293&amp;" HK Equity","A/H_SHARE_CONVERSION"),"")</f>
        <v/>
      </c>
      <c r="L293" s="16">
        <f>IF(Database!BA293="","(none found)",Database!BA293)</f>
        <v/>
      </c>
      <c r="M293" s="18">
        <f>IFERROR(BDH(Database!$A293&amp;" HK Equity","CUR_MKT_CAP",Database!$H293,Database!$H293),"")</f>
        <v/>
      </c>
      <c r="N293" s="99">
        <f>Database!Q293</f>
        <v/>
      </c>
      <c r="O293" s="24">
        <f>IFERROR(BDH(Database!$A293&amp;" HK Equity","PE_RATIO",Database!$H293,Database!$H293),"")</f>
        <v/>
      </c>
      <c r="P293" s="101">
        <f>IF(Database!AV293="","(n/m or not derivable)",Database!AV293)</f>
        <v/>
      </c>
      <c r="Q293" s="24">
        <f>IF(Database!BA293="","",IFERROR(BDH(LEFT(Database!BA293,FIND(".",Database!BA293)-1)&amp;" CH Equity","PE_RATIO",Database!$H293,Database!$H293),""))</f>
        <v/>
      </c>
      <c r="R293" s="24">
        <f>IF(Database!BA293="","",IFERROR(BDH("HSAHP Index","PX_LAST",Database!$H293,Database!$H293),""))</f>
        <v/>
      </c>
    </row>
    <row r="294">
      <c r="A294" s="16">
        <f>Database!A294&amp;"  "&amp;Database!B294</f>
        <v/>
      </c>
      <c r="B294" s="10">
        <f>IFERROR(INDEX(BDS(Database!$A294&amp;" HK Equity","EQUITY_OFFERINGS","array=t","endcol=1"),MATCH("IPO",BDS(Database!$A294&amp;" HK Equity","EQUITY_OFFERINGS","array=t","startcol=2","endcol=2"),0)),"")</f>
        <v/>
      </c>
      <c r="C294" s="103">
        <f>IF($B294="","",IFERROR(BDP($B294&amp;" Action","CP036"),""))</f>
        <v/>
      </c>
      <c r="D294" s="104">
        <f>Database!S294</f>
        <v/>
      </c>
      <c r="E294" s="103">
        <f>IF($B294="","",IFERROR(BDP($B294&amp;" Action","CP037"),""))</f>
        <v/>
      </c>
      <c r="F294" s="104">
        <f>Database!T294</f>
        <v/>
      </c>
      <c r="G294" s="103">
        <f>IF($B294="","",IFERROR(BDP($B294&amp;" Action","GREENSHOE_FACILITY"),""))</f>
        <v/>
      </c>
      <c r="H294" s="103">
        <f>IF($B294="","",IFERROR(BDP($B294&amp;" Action","OFFERING_GREENSHOE_SHARES_EX"),""))</f>
        <v/>
      </c>
      <c r="I294" s="16">
        <f>Database!Z294</f>
        <v/>
      </c>
      <c r="J294" s="24">
        <f>IFERROR(BDP(Database!$A294&amp;" HK Equity","PE_RATIO"),"")</f>
        <v/>
      </c>
      <c r="K294" s="10">
        <f>IFERROR(BDP(Database!$A294&amp;" HK Equity","A/H_SHARE_CONVERSION"),"")</f>
        <v/>
      </c>
      <c r="L294" s="16">
        <f>IF(Database!BA294="","(none found)",Database!BA294)</f>
        <v/>
      </c>
      <c r="M294" s="18">
        <f>IFERROR(BDH(Database!$A294&amp;" HK Equity","CUR_MKT_CAP",Database!$H294,Database!$H294),"")</f>
        <v/>
      </c>
      <c r="N294" s="99">
        <f>Database!Q294</f>
        <v/>
      </c>
      <c r="O294" s="24">
        <f>IFERROR(BDH(Database!$A294&amp;" HK Equity","PE_RATIO",Database!$H294,Database!$H294),"")</f>
        <v/>
      </c>
      <c r="P294" s="101">
        <f>IF(Database!AV294="","(n/m or not derivable)",Database!AV294)</f>
        <v/>
      </c>
      <c r="Q294" s="24">
        <f>IF(Database!BA294="","",IFERROR(BDH(LEFT(Database!BA294,FIND(".",Database!BA294)-1)&amp;" CH Equity","PE_RATIO",Database!$H294,Database!$H294),""))</f>
        <v/>
      </c>
      <c r="R294" s="24">
        <f>IF(Database!BA294="","",IFERROR(BDH("HSAHP Index","PX_LAST",Database!$H294,Database!$H294),""))</f>
        <v/>
      </c>
    </row>
    <row r="295">
      <c r="A295" s="16">
        <f>Database!A295&amp;"  "&amp;Database!B295</f>
        <v/>
      </c>
      <c r="B295" s="10">
        <f>IFERROR(INDEX(BDS(Database!$A295&amp;" HK Equity","EQUITY_OFFERINGS","array=t","endcol=1"),MATCH("IPO",BDS(Database!$A295&amp;" HK Equity","EQUITY_OFFERINGS","array=t","startcol=2","endcol=2"),0)),"")</f>
        <v/>
      </c>
      <c r="C295" s="103">
        <f>IF($B295="","",IFERROR(BDP($B295&amp;" Action","CP036"),""))</f>
        <v/>
      </c>
      <c r="D295" s="104">
        <f>Database!S295</f>
        <v/>
      </c>
      <c r="E295" s="103">
        <f>IF($B295="","",IFERROR(BDP($B295&amp;" Action","CP037"),""))</f>
        <v/>
      </c>
      <c r="F295" s="104">
        <f>Database!T295</f>
        <v/>
      </c>
      <c r="G295" s="103">
        <f>IF($B295="","",IFERROR(BDP($B295&amp;" Action","GREENSHOE_FACILITY"),""))</f>
        <v/>
      </c>
      <c r="H295" s="103">
        <f>IF($B295="","",IFERROR(BDP($B295&amp;" Action","OFFERING_GREENSHOE_SHARES_EX"),""))</f>
        <v/>
      </c>
      <c r="I295" s="16">
        <f>Database!Z295</f>
        <v/>
      </c>
      <c r="J295" s="24">
        <f>IFERROR(BDP(Database!$A295&amp;" HK Equity","PE_RATIO"),"")</f>
        <v/>
      </c>
      <c r="K295" s="10">
        <f>IFERROR(BDP(Database!$A295&amp;" HK Equity","A/H_SHARE_CONVERSION"),"")</f>
        <v/>
      </c>
      <c r="L295" s="16">
        <f>IF(Database!BA295="","(none found)",Database!BA295)</f>
        <v/>
      </c>
      <c r="M295" s="18">
        <f>IFERROR(BDH(Database!$A295&amp;" HK Equity","CUR_MKT_CAP",Database!$H295,Database!$H295),"")</f>
        <v/>
      </c>
      <c r="N295" s="99">
        <f>Database!Q295</f>
        <v/>
      </c>
      <c r="O295" s="24">
        <f>IFERROR(BDH(Database!$A295&amp;" HK Equity","PE_RATIO",Database!$H295,Database!$H295),"")</f>
        <v/>
      </c>
      <c r="P295" s="101">
        <f>IF(Database!AV295="","(n/m or not derivable)",Database!AV295)</f>
        <v/>
      </c>
      <c r="Q295" s="24">
        <f>IF(Database!BA295="","",IFERROR(BDH(LEFT(Database!BA295,FIND(".",Database!BA295)-1)&amp;" CH Equity","PE_RATIO",Database!$H295,Database!$H295),""))</f>
        <v/>
      </c>
      <c r="R295" s="24">
        <f>IF(Database!BA295="","",IFERROR(BDH("HSAHP Index","PX_LAST",Database!$H295,Database!$H295),""))</f>
        <v/>
      </c>
    </row>
    <row r="296">
      <c r="A296" s="16">
        <f>Database!A296&amp;"  "&amp;Database!B296</f>
        <v/>
      </c>
      <c r="B296" s="10">
        <f>IFERROR(INDEX(BDS(Database!$A296&amp;" HK Equity","EQUITY_OFFERINGS","array=t","endcol=1"),MATCH("IPO",BDS(Database!$A296&amp;" HK Equity","EQUITY_OFFERINGS","array=t","startcol=2","endcol=2"),0)),"")</f>
        <v/>
      </c>
      <c r="C296" s="103">
        <f>IF($B296="","",IFERROR(BDP($B296&amp;" Action","CP036"),""))</f>
        <v/>
      </c>
      <c r="D296" s="104">
        <f>Database!S296</f>
        <v/>
      </c>
      <c r="E296" s="103">
        <f>IF($B296="","",IFERROR(BDP($B296&amp;" Action","CP037"),""))</f>
        <v/>
      </c>
      <c r="F296" s="104">
        <f>Database!T296</f>
        <v/>
      </c>
      <c r="G296" s="103">
        <f>IF($B296="","",IFERROR(BDP($B296&amp;" Action","GREENSHOE_FACILITY"),""))</f>
        <v/>
      </c>
      <c r="H296" s="103">
        <f>IF($B296="","",IFERROR(BDP($B296&amp;" Action","OFFERING_GREENSHOE_SHARES_EX"),""))</f>
        <v/>
      </c>
      <c r="I296" s="16">
        <f>Database!Z296</f>
        <v/>
      </c>
      <c r="J296" s="24">
        <f>IFERROR(BDP(Database!$A296&amp;" HK Equity","PE_RATIO"),"")</f>
        <v/>
      </c>
      <c r="K296" s="10">
        <f>IFERROR(BDP(Database!$A296&amp;" HK Equity","A/H_SHARE_CONVERSION"),"")</f>
        <v/>
      </c>
      <c r="L296" s="16">
        <f>IF(Database!BA296="","(none found)",Database!BA296)</f>
        <v/>
      </c>
      <c r="M296" s="18">
        <f>IFERROR(BDH(Database!$A296&amp;" HK Equity","CUR_MKT_CAP",Database!$H296,Database!$H296),"")</f>
        <v/>
      </c>
      <c r="N296" s="99">
        <f>Database!Q296</f>
        <v/>
      </c>
      <c r="O296" s="24">
        <f>IFERROR(BDH(Database!$A296&amp;" HK Equity","PE_RATIO",Database!$H296,Database!$H296),"")</f>
        <v/>
      </c>
      <c r="P296" s="101">
        <f>IF(Database!AV296="","(n/m or not derivable)",Database!AV296)</f>
        <v/>
      </c>
      <c r="Q296" s="24">
        <f>IF(Database!BA296="","",IFERROR(BDH(LEFT(Database!BA296,FIND(".",Database!BA296)-1)&amp;" CH Equity","PE_RATIO",Database!$H296,Database!$H296),""))</f>
        <v/>
      </c>
      <c r="R296" s="24">
        <f>IF(Database!BA296="","",IFERROR(BDH("HSAHP Index","PX_LAST",Database!$H296,Database!$H296),""))</f>
        <v/>
      </c>
    </row>
    <row r="297">
      <c r="A297" s="16">
        <f>Database!A297&amp;"  "&amp;Database!B297</f>
        <v/>
      </c>
      <c r="B297" s="10">
        <f>IFERROR(INDEX(BDS(Database!$A297&amp;" HK Equity","EQUITY_OFFERINGS","array=t","endcol=1"),MATCH("IPO",BDS(Database!$A297&amp;" HK Equity","EQUITY_OFFERINGS","array=t","startcol=2","endcol=2"),0)),"")</f>
        <v/>
      </c>
      <c r="C297" s="103">
        <f>IF($B297="","",IFERROR(BDP($B297&amp;" Action","CP036"),""))</f>
        <v/>
      </c>
      <c r="D297" s="104">
        <f>Database!S297</f>
        <v/>
      </c>
      <c r="E297" s="103">
        <f>IF($B297="","",IFERROR(BDP($B297&amp;" Action","CP037"),""))</f>
        <v/>
      </c>
      <c r="F297" s="104">
        <f>Database!T297</f>
        <v/>
      </c>
      <c r="G297" s="103">
        <f>IF($B297="","",IFERROR(BDP($B297&amp;" Action","GREENSHOE_FACILITY"),""))</f>
        <v/>
      </c>
      <c r="H297" s="103">
        <f>IF($B297="","",IFERROR(BDP($B297&amp;" Action","OFFERING_GREENSHOE_SHARES_EX"),""))</f>
        <v/>
      </c>
      <c r="I297" s="16">
        <f>Database!Z297</f>
        <v/>
      </c>
      <c r="J297" s="24">
        <f>IFERROR(BDP(Database!$A297&amp;" HK Equity","PE_RATIO"),"")</f>
        <v/>
      </c>
      <c r="K297" s="10">
        <f>IFERROR(BDP(Database!$A297&amp;" HK Equity","A/H_SHARE_CONVERSION"),"")</f>
        <v/>
      </c>
      <c r="L297" s="16">
        <f>IF(Database!BA297="","(none found)",Database!BA297)</f>
        <v/>
      </c>
      <c r="M297" s="18">
        <f>IFERROR(BDH(Database!$A297&amp;" HK Equity","CUR_MKT_CAP",Database!$H297,Database!$H297),"")</f>
        <v/>
      </c>
      <c r="N297" s="99">
        <f>Database!Q297</f>
        <v/>
      </c>
      <c r="O297" s="24">
        <f>IFERROR(BDH(Database!$A297&amp;" HK Equity","PE_RATIO",Database!$H297,Database!$H297),"")</f>
        <v/>
      </c>
      <c r="P297" s="101">
        <f>IF(Database!AV297="","(n/m or not derivable)",Database!AV297)</f>
        <v/>
      </c>
      <c r="Q297" s="24">
        <f>IF(Database!BA297="","",IFERROR(BDH(LEFT(Database!BA297,FIND(".",Database!BA297)-1)&amp;" CH Equity","PE_RATIO",Database!$H297,Database!$H297),""))</f>
        <v/>
      </c>
      <c r="R297" s="24">
        <f>IF(Database!BA297="","",IFERROR(BDH("HSAHP Index","PX_LAST",Database!$H297,Database!$H297),""))</f>
        <v/>
      </c>
    </row>
    <row r="298">
      <c r="A298" s="16">
        <f>Database!A298&amp;"  "&amp;Database!B298</f>
        <v/>
      </c>
      <c r="B298" s="10">
        <f>IFERROR(INDEX(BDS(Database!$A298&amp;" HK Equity","EQUITY_OFFERINGS","array=t","endcol=1"),MATCH("IPO",BDS(Database!$A298&amp;" HK Equity","EQUITY_OFFERINGS","array=t","startcol=2","endcol=2"),0)),"")</f>
        <v/>
      </c>
      <c r="C298" s="103">
        <f>IF($B298="","",IFERROR(BDP($B298&amp;" Action","CP036"),""))</f>
        <v/>
      </c>
      <c r="D298" s="104">
        <f>Database!S298</f>
        <v/>
      </c>
      <c r="E298" s="103">
        <f>IF($B298="","",IFERROR(BDP($B298&amp;" Action","CP037"),""))</f>
        <v/>
      </c>
      <c r="F298" s="104">
        <f>Database!T298</f>
        <v/>
      </c>
      <c r="G298" s="103">
        <f>IF($B298="","",IFERROR(BDP($B298&amp;" Action","GREENSHOE_FACILITY"),""))</f>
        <v/>
      </c>
      <c r="H298" s="103">
        <f>IF($B298="","",IFERROR(BDP($B298&amp;" Action","OFFERING_GREENSHOE_SHARES_EX"),""))</f>
        <v/>
      </c>
      <c r="I298" s="16">
        <f>Database!Z298</f>
        <v/>
      </c>
      <c r="J298" s="24">
        <f>IFERROR(BDP(Database!$A298&amp;" HK Equity","PE_RATIO"),"")</f>
        <v/>
      </c>
      <c r="K298" s="10">
        <f>IFERROR(BDP(Database!$A298&amp;" HK Equity","A/H_SHARE_CONVERSION"),"")</f>
        <v/>
      </c>
      <c r="L298" s="16">
        <f>IF(Database!BA298="","(none found)",Database!BA298)</f>
        <v/>
      </c>
      <c r="M298" s="18">
        <f>IFERROR(BDH(Database!$A298&amp;" HK Equity","CUR_MKT_CAP",Database!$H298,Database!$H298),"")</f>
        <v/>
      </c>
      <c r="N298" s="99">
        <f>Database!Q298</f>
        <v/>
      </c>
      <c r="O298" s="24">
        <f>IFERROR(BDH(Database!$A298&amp;" HK Equity","PE_RATIO",Database!$H298,Database!$H298),"")</f>
        <v/>
      </c>
      <c r="P298" s="101">
        <f>IF(Database!AV298="","(n/m or not derivable)",Database!AV298)</f>
        <v/>
      </c>
      <c r="Q298" s="24">
        <f>IF(Database!BA298="","",IFERROR(BDH(LEFT(Database!BA298,FIND(".",Database!BA298)-1)&amp;" CH Equity","PE_RATIO",Database!$H298,Database!$H298),""))</f>
        <v/>
      </c>
      <c r="R298" s="24">
        <f>IF(Database!BA298="","",IFERROR(BDH("HSAHP Index","PX_LAST",Database!$H298,Database!$H298),""))</f>
        <v/>
      </c>
    </row>
    <row r="299">
      <c r="A299" s="16">
        <f>Database!A299&amp;"  "&amp;Database!B299</f>
        <v/>
      </c>
      <c r="B299" s="10">
        <f>IFERROR(INDEX(BDS(Database!$A299&amp;" HK Equity","EQUITY_OFFERINGS","array=t","endcol=1"),MATCH("IPO",BDS(Database!$A299&amp;" HK Equity","EQUITY_OFFERINGS","array=t","startcol=2","endcol=2"),0)),"")</f>
        <v/>
      </c>
      <c r="C299" s="103">
        <f>IF($B299="","",IFERROR(BDP($B299&amp;" Action","CP036"),""))</f>
        <v/>
      </c>
      <c r="D299" s="104">
        <f>Database!S299</f>
        <v/>
      </c>
      <c r="E299" s="103">
        <f>IF($B299="","",IFERROR(BDP($B299&amp;" Action","CP037"),""))</f>
        <v/>
      </c>
      <c r="F299" s="104">
        <f>Database!T299</f>
        <v/>
      </c>
      <c r="G299" s="103">
        <f>IF($B299="","",IFERROR(BDP($B299&amp;" Action","GREENSHOE_FACILITY"),""))</f>
        <v/>
      </c>
      <c r="H299" s="103">
        <f>IF($B299="","",IFERROR(BDP($B299&amp;" Action","OFFERING_GREENSHOE_SHARES_EX"),""))</f>
        <v/>
      </c>
      <c r="I299" s="16">
        <f>Database!Z299</f>
        <v/>
      </c>
      <c r="J299" s="24">
        <f>IFERROR(BDP(Database!$A299&amp;" HK Equity","PE_RATIO"),"")</f>
        <v/>
      </c>
      <c r="K299" s="10">
        <f>IFERROR(BDP(Database!$A299&amp;" HK Equity","A/H_SHARE_CONVERSION"),"")</f>
        <v/>
      </c>
      <c r="L299" s="16">
        <f>IF(Database!BA299="","(none found)",Database!BA299)</f>
        <v/>
      </c>
      <c r="M299" s="18">
        <f>IFERROR(BDH(Database!$A299&amp;" HK Equity","CUR_MKT_CAP",Database!$H299,Database!$H299),"")</f>
        <v/>
      </c>
      <c r="N299" s="99">
        <f>Database!Q299</f>
        <v/>
      </c>
      <c r="O299" s="24">
        <f>IFERROR(BDH(Database!$A299&amp;" HK Equity","PE_RATIO",Database!$H299,Database!$H299),"")</f>
        <v/>
      </c>
      <c r="P299" s="101">
        <f>IF(Database!AV299="","(n/m or not derivable)",Database!AV299)</f>
        <v/>
      </c>
      <c r="Q299" s="24">
        <f>IF(Database!BA299="","",IFERROR(BDH(LEFT(Database!BA299,FIND(".",Database!BA299)-1)&amp;" CH Equity","PE_RATIO",Database!$H299,Database!$H299),""))</f>
        <v/>
      </c>
      <c r="R299" s="24">
        <f>IF(Database!BA299="","",IFERROR(BDH("HSAHP Index","PX_LAST",Database!$H299,Database!$H299),""))</f>
        <v/>
      </c>
    </row>
    <row r="300">
      <c r="A300" s="16">
        <f>Database!A300&amp;"  "&amp;Database!B300</f>
        <v/>
      </c>
      <c r="B300" s="10">
        <f>IFERROR(INDEX(BDS(Database!$A300&amp;" HK Equity","EQUITY_OFFERINGS","array=t","endcol=1"),MATCH("IPO",BDS(Database!$A300&amp;" HK Equity","EQUITY_OFFERINGS","array=t","startcol=2","endcol=2"),0)),"")</f>
        <v/>
      </c>
      <c r="C300" s="103">
        <f>IF($B300="","",IFERROR(BDP($B300&amp;" Action","CP036"),""))</f>
        <v/>
      </c>
      <c r="D300" s="104">
        <f>Database!S300</f>
        <v/>
      </c>
      <c r="E300" s="103">
        <f>IF($B300="","",IFERROR(BDP($B300&amp;" Action","CP037"),""))</f>
        <v/>
      </c>
      <c r="F300" s="104">
        <f>Database!T300</f>
        <v/>
      </c>
      <c r="G300" s="103">
        <f>IF($B300="","",IFERROR(BDP($B300&amp;" Action","GREENSHOE_FACILITY"),""))</f>
        <v/>
      </c>
      <c r="H300" s="103">
        <f>IF($B300="","",IFERROR(BDP($B300&amp;" Action","OFFERING_GREENSHOE_SHARES_EX"),""))</f>
        <v/>
      </c>
      <c r="I300" s="16">
        <f>Database!Z300</f>
        <v/>
      </c>
      <c r="J300" s="24">
        <f>IFERROR(BDP(Database!$A300&amp;" HK Equity","PE_RATIO"),"")</f>
        <v/>
      </c>
      <c r="K300" s="10">
        <f>IFERROR(BDP(Database!$A300&amp;" HK Equity","A/H_SHARE_CONVERSION"),"")</f>
        <v/>
      </c>
      <c r="L300" s="16">
        <f>IF(Database!BA300="","(none found)",Database!BA300)</f>
        <v/>
      </c>
      <c r="M300" s="18">
        <f>IFERROR(BDH(Database!$A300&amp;" HK Equity","CUR_MKT_CAP",Database!$H300,Database!$H300),"")</f>
        <v/>
      </c>
      <c r="N300" s="99">
        <f>Database!Q300</f>
        <v/>
      </c>
      <c r="O300" s="24">
        <f>IFERROR(BDH(Database!$A300&amp;" HK Equity","PE_RATIO",Database!$H300,Database!$H300),"")</f>
        <v/>
      </c>
      <c r="P300" s="101">
        <f>IF(Database!AV300="","(n/m or not derivable)",Database!AV300)</f>
        <v/>
      </c>
      <c r="Q300" s="24">
        <f>IF(Database!BA300="","",IFERROR(BDH(LEFT(Database!BA300,FIND(".",Database!BA300)-1)&amp;" CH Equity","PE_RATIO",Database!$H300,Database!$H300),""))</f>
        <v/>
      </c>
      <c r="R300" s="24">
        <f>IF(Database!BA300="","",IFERROR(BDH("HSAHP Index","PX_LAST",Database!$H300,Database!$H300),""))</f>
        <v/>
      </c>
    </row>
    <row r="301">
      <c r="A301" s="16">
        <f>Database!A301&amp;"  "&amp;Database!B301</f>
        <v/>
      </c>
      <c r="B301" s="10">
        <f>IFERROR(INDEX(BDS(Database!$A301&amp;" HK Equity","EQUITY_OFFERINGS","array=t","endcol=1"),MATCH("IPO",BDS(Database!$A301&amp;" HK Equity","EQUITY_OFFERINGS","array=t","startcol=2","endcol=2"),0)),"")</f>
        <v/>
      </c>
      <c r="C301" s="103">
        <f>IF($B301="","",IFERROR(BDP($B301&amp;" Action","CP036"),""))</f>
        <v/>
      </c>
      <c r="D301" s="104">
        <f>Database!S301</f>
        <v/>
      </c>
      <c r="E301" s="103">
        <f>IF($B301="","",IFERROR(BDP($B301&amp;" Action","CP037"),""))</f>
        <v/>
      </c>
      <c r="F301" s="104">
        <f>Database!T301</f>
        <v/>
      </c>
      <c r="G301" s="103">
        <f>IF($B301="","",IFERROR(BDP($B301&amp;" Action","GREENSHOE_FACILITY"),""))</f>
        <v/>
      </c>
      <c r="H301" s="103">
        <f>IF($B301="","",IFERROR(BDP($B301&amp;" Action","OFFERING_GREENSHOE_SHARES_EX"),""))</f>
        <v/>
      </c>
      <c r="I301" s="16">
        <f>Database!Z301</f>
        <v/>
      </c>
      <c r="J301" s="24">
        <f>IFERROR(BDP(Database!$A301&amp;" HK Equity","PE_RATIO"),"")</f>
        <v/>
      </c>
      <c r="K301" s="10">
        <f>IFERROR(BDP(Database!$A301&amp;" HK Equity","A/H_SHARE_CONVERSION"),"")</f>
        <v/>
      </c>
      <c r="L301" s="16">
        <f>IF(Database!BA301="","(none found)",Database!BA301)</f>
        <v/>
      </c>
      <c r="M301" s="18">
        <f>IFERROR(BDH(Database!$A301&amp;" HK Equity","CUR_MKT_CAP",Database!$H301,Database!$H301),"")</f>
        <v/>
      </c>
      <c r="N301" s="99">
        <f>Database!Q301</f>
        <v/>
      </c>
      <c r="O301" s="24">
        <f>IFERROR(BDH(Database!$A301&amp;" HK Equity","PE_RATIO",Database!$H301,Database!$H301),"")</f>
        <v/>
      </c>
      <c r="P301" s="101">
        <f>IF(Database!AV301="","(n/m or not derivable)",Database!AV301)</f>
        <v/>
      </c>
      <c r="Q301" s="24">
        <f>IF(Database!BA301="","",IFERROR(BDH(LEFT(Database!BA301,FIND(".",Database!BA301)-1)&amp;" CH Equity","PE_RATIO",Database!$H301,Database!$H301),""))</f>
        <v/>
      </c>
      <c r="R301" s="24">
        <f>IF(Database!BA301="","",IFERROR(BDH("HSAHP Index","PX_LAST",Database!$H301,Database!$H301),""))</f>
        <v/>
      </c>
    </row>
    <row r="302">
      <c r="A302" s="16">
        <f>Database!A302&amp;"  "&amp;Database!B302</f>
        <v/>
      </c>
      <c r="B302" s="10">
        <f>IFERROR(INDEX(BDS(Database!$A302&amp;" HK Equity","EQUITY_OFFERINGS","array=t","endcol=1"),MATCH("IPO",BDS(Database!$A302&amp;" HK Equity","EQUITY_OFFERINGS","array=t","startcol=2","endcol=2"),0)),"")</f>
        <v/>
      </c>
      <c r="C302" s="103">
        <f>IF($B302="","",IFERROR(BDP($B302&amp;" Action","CP036"),""))</f>
        <v/>
      </c>
      <c r="D302" s="104">
        <f>Database!S302</f>
        <v/>
      </c>
      <c r="E302" s="103">
        <f>IF($B302="","",IFERROR(BDP($B302&amp;" Action","CP037"),""))</f>
        <v/>
      </c>
      <c r="F302" s="104">
        <f>Database!T302</f>
        <v/>
      </c>
      <c r="G302" s="103">
        <f>IF($B302="","",IFERROR(BDP($B302&amp;" Action","GREENSHOE_FACILITY"),""))</f>
        <v/>
      </c>
      <c r="H302" s="103">
        <f>IF($B302="","",IFERROR(BDP($B302&amp;" Action","OFFERING_GREENSHOE_SHARES_EX"),""))</f>
        <v/>
      </c>
      <c r="I302" s="16">
        <f>Database!Z302</f>
        <v/>
      </c>
      <c r="J302" s="24">
        <f>IFERROR(BDP(Database!$A302&amp;" HK Equity","PE_RATIO"),"")</f>
        <v/>
      </c>
      <c r="K302" s="10">
        <f>IFERROR(BDP(Database!$A302&amp;" HK Equity","A/H_SHARE_CONVERSION"),"")</f>
        <v/>
      </c>
      <c r="L302" s="16">
        <f>IF(Database!BA302="","(none found)",Database!BA302)</f>
        <v/>
      </c>
      <c r="M302" s="18">
        <f>IFERROR(BDH(Database!$A302&amp;" HK Equity","CUR_MKT_CAP",Database!$H302,Database!$H302),"")</f>
        <v/>
      </c>
      <c r="N302" s="99">
        <f>Database!Q302</f>
        <v/>
      </c>
      <c r="O302" s="24">
        <f>IFERROR(BDH(Database!$A302&amp;" HK Equity","PE_RATIO",Database!$H302,Database!$H302),"")</f>
        <v/>
      </c>
      <c r="P302" s="101">
        <f>IF(Database!AV302="","(n/m or not derivable)",Database!AV302)</f>
        <v/>
      </c>
      <c r="Q302" s="24">
        <f>IF(Database!BA302="","",IFERROR(BDH(LEFT(Database!BA302,FIND(".",Database!BA302)-1)&amp;" CH Equity","PE_RATIO",Database!$H302,Database!$H302),""))</f>
        <v/>
      </c>
      <c r="R302" s="24">
        <f>IF(Database!BA302="","",IFERROR(BDH("HSAHP Index","PX_LAST",Database!$H302,Database!$H302),""))</f>
        <v/>
      </c>
    </row>
    <row r="303">
      <c r="A303" s="16">
        <f>Database!A303&amp;"  "&amp;Database!B303</f>
        <v/>
      </c>
      <c r="B303" s="10">
        <f>IFERROR(INDEX(BDS(Database!$A303&amp;" HK Equity","EQUITY_OFFERINGS","array=t","endcol=1"),MATCH("IPO",BDS(Database!$A303&amp;" HK Equity","EQUITY_OFFERINGS","array=t","startcol=2","endcol=2"),0)),"")</f>
        <v/>
      </c>
      <c r="C303" s="103">
        <f>IF($B303="","",IFERROR(BDP($B303&amp;" Action","CP036"),""))</f>
        <v/>
      </c>
      <c r="D303" s="104">
        <f>Database!S303</f>
        <v/>
      </c>
      <c r="E303" s="103">
        <f>IF($B303="","",IFERROR(BDP($B303&amp;" Action","CP037"),""))</f>
        <v/>
      </c>
      <c r="F303" s="104">
        <f>Database!T303</f>
        <v/>
      </c>
      <c r="G303" s="103">
        <f>IF($B303="","",IFERROR(BDP($B303&amp;" Action","GREENSHOE_FACILITY"),""))</f>
        <v/>
      </c>
      <c r="H303" s="103">
        <f>IF($B303="","",IFERROR(BDP($B303&amp;" Action","OFFERING_GREENSHOE_SHARES_EX"),""))</f>
        <v/>
      </c>
      <c r="I303" s="16">
        <f>Database!Z303</f>
        <v/>
      </c>
      <c r="J303" s="24">
        <f>IFERROR(BDP(Database!$A303&amp;" HK Equity","PE_RATIO"),"")</f>
        <v/>
      </c>
      <c r="K303" s="10">
        <f>IFERROR(BDP(Database!$A303&amp;" HK Equity","A/H_SHARE_CONVERSION"),"")</f>
        <v/>
      </c>
      <c r="L303" s="16">
        <f>IF(Database!BA303="","(none found)",Database!BA303)</f>
        <v/>
      </c>
      <c r="M303" s="18">
        <f>IFERROR(BDH(Database!$A303&amp;" HK Equity","CUR_MKT_CAP",Database!$H303,Database!$H303),"")</f>
        <v/>
      </c>
      <c r="N303" s="99">
        <f>Database!Q303</f>
        <v/>
      </c>
      <c r="O303" s="24">
        <f>IFERROR(BDH(Database!$A303&amp;" HK Equity","PE_RATIO",Database!$H303,Database!$H303),"")</f>
        <v/>
      </c>
      <c r="P303" s="101">
        <f>IF(Database!AV303="","(n/m or not derivable)",Database!AV303)</f>
        <v/>
      </c>
      <c r="Q303" s="24">
        <f>IF(Database!BA303="","",IFERROR(BDH(LEFT(Database!BA303,FIND(".",Database!BA303)-1)&amp;" CH Equity","PE_RATIO",Database!$H303,Database!$H303),""))</f>
        <v/>
      </c>
      <c r="R303" s="24">
        <f>IF(Database!BA303="","",IFERROR(BDH("HSAHP Index","PX_LAST",Database!$H303,Database!$H303),""))</f>
        <v/>
      </c>
    </row>
    <row r="304">
      <c r="A304" s="16">
        <f>Database!A304&amp;"  "&amp;Database!B304</f>
        <v/>
      </c>
      <c r="B304" s="10">
        <f>IFERROR(INDEX(BDS(Database!$A304&amp;" HK Equity","EQUITY_OFFERINGS","array=t","endcol=1"),MATCH("IPO",BDS(Database!$A304&amp;" HK Equity","EQUITY_OFFERINGS","array=t","startcol=2","endcol=2"),0)),"")</f>
        <v/>
      </c>
      <c r="C304" s="103">
        <f>IF($B304="","",IFERROR(BDP($B304&amp;" Action","CP036"),""))</f>
        <v/>
      </c>
      <c r="D304" s="104">
        <f>Database!S304</f>
        <v/>
      </c>
      <c r="E304" s="103">
        <f>IF($B304="","",IFERROR(BDP($B304&amp;" Action","CP037"),""))</f>
        <v/>
      </c>
      <c r="F304" s="104">
        <f>Database!T304</f>
        <v/>
      </c>
      <c r="G304" s="103">
        <f>IF($B304="","",IFERROR(BDP($B304&amp;" Action","GREENSHOE_FACILITY"),""))</f>
        <v/>
      </c>
      <c r="H304" s="103">
        <f>IF($B304="","",IFERROR(BDP($B304&amp;" Action","OFFERING_GREENSHOE_SHARES_EX"),""))</f>
        <v/>
      </c>
      <c r="I304" s="16">
        <f>Database!Z304</f>
        <v/>
      </c>
      <c r="J304" s="24">
        <f>IFERROR(BDP(Database!$A304&amp;" HK Equity","PE_RATIO"),"")</f>
        <v/>
      </c>
      <c r="K304" s="10">
        <f>IFERROR(BDP(Database!$A304&amp;" HK Equity","A/H_SHARE_CONVERSION"),"")</f>
        <v/>
      </c>
      <c r="L304" s="16">
        <f>IF(Database!BA304="","(none found)",Database!BA304)</f>
        <v/>
      </c>
      <c r="M304" s="18">
        <f>IFERROR(BDH(Database!$A304&amp;" HK Equity","CUR_MKT_CAP",Database!$H304,Database!$H304),"")</f>
        <v/>
      </c>
      <c r="N304" s="99">
        <f>Database!Q304</f>
        <v/>
      </c>
      <c r="O304" s="24">
        <f>IFERROR(BDH(Database!$A304&amp;" HK Equity","PE_RATIO",Database!$H304,Database!$H304),"")</f>
        <v/>
      </c>
      <c r="P304" s="101">
        <f>IF(Database!AV304="","(n/m or not derivable)",Database!AV304)</f>
        <v/>
      </c>
      <c r="Q304" s="24">
        <f>IF(Database!BA304="","",IFERROR(BDH(LEFT(Database!BA304,FIND(".",Database!BA304)-1)&amp;" CH Equity","PE_RATIO",Database!$H304,Database!$H304),""))</f>
        <v/>
      </c>
      <c r="R304" s="24">
        <f>IF(Database!BA304="","",IFERROR(BDH("HSAHP Index","PX_LAST",Database!$H304,Database!$H304),""))</f>
        <v/>
      </c>
    </row>
    <row r="305">
      <c r="A305" s="16">
        <f>Database!A305&amp;"  "&amp;Database!B305</f>
        <v/>
      </c>
      <c r="B305" s="10">
        <f>IFERROR(INDEX(BDS(Database!$A305&amp;" HK Equity","EQUITY_OFFERINGS","array=t","endcol=1"),MATCH("IPO",BDS(Database!$A305&amp;" HK Equity","EQUITY_OFFERINGS","array=t","startcol=2","endcol=2"),0)),"")</f>
        <v/>
      </c>
      <c r="C305" s="103">
        <f>IF($B305="","",IFERROR(BDP($B305&amp;" Action","CP036"),""))</f>
        <v/>
      </c>
      <c r="D305" s="104">
        <f>Database!S305</f>
        <v/>
      </c>
      <c r="E305" s="103">
        <f>IF($B305="","",IFERROR(BDP($B305&amp;" Action","CP037"),""))</f>
        <v/>
      </c>
      <c r="F305" s="104">
        <f>Database!T305</f>
        <v/>
      </c>
      <c r="G305" s="103">
        <f>IF($B305="","",IFERROR(BDP($B305&amp;" Action","GREENSHOE_FACILITY"),""))</f>
        <v/>
      </c>
      <c r="H305" s="103">
        <f>IF($B305="","",IFERROR(BDP($B305&amp;" Action","OFFERING_GREENSHOE_SHARES_EX"),""))</f>
        <v/>
      </c>
      <c r="I305" s="16">
        <f>Database!Z305</f>
        <v/>
      </c>
      <c r="J305" s="24">
        <f>IFERROR(BDP(Database!$A305&amp;" HK Equity","PE_RATIO"),"")</f>
        <v/>
      </c>
      <c r="K305" s="10">
        <f>IFERROR(BDP(Database!$A305&amp;" HK Equity","A/H_SHARE_CONVERSION"),"")</f>
        <v/>
      </c>
      <c r="L305" s="16">
        <f>IF(Database!BA305="","(none found)",Database!BA305)</f>
        <v/>
      </c>
      <c r="M305" s="18">
        <f>IFERROR(BDH(Database!$A305&amp;" HK Equity","CUR_MKT_CAP",Database!$H305,Database!$H305),"")</f>
        <v/>
      </c>
      <c r="N305" s="99">
        <f>Database!Q305</f>
        <v/>
      </c>
      <c r="O305" s="24">
        <f>IFERROR(BDH(Database!$A305&amp;" HK Equity","PE_RATIO",Database!$H305,Database!$H305),"")</f>
        <v/>
      </c>
      <c r="P305" s="101">
        <f>IF(Database!AV305="","(n/m or not derivable)",Database!AV305)</f>
        <v/>
      </c>
      <c r="Q305" s="24">
        <f>IF(Database!BA305="","",IFERROR(BDH(LEFT(Database!BA305,FIND(".",Database!BA305)-1)&amp;" CH Equity","PE_RATIO",Database!$H305,Database!$H305),""))</f>
        <v/>
      </c>
      <c r="R305" s="24">
        <f>IF(Database!BA305="","",IFERROR(BDH("HSAHP Index","PX_LAST",Database!$H305,Database!$H305),""))</f>
        <v/>
      </c>
    </row>
    <row r="306">
      <c r="A306" s="16">
        <f>Database!A306&amp;"  "&amp;Database!B306</f>
        <v/>
      </c>
      <c r="B306" s="10">
        <f>IFERROR(INDEX(BDS(Database!$A306&amp;" HK Equity","EQUITY_OFFERINGS","array=t","endcol=1"),MATCH("IPO",BDS(Database!$A306&amp;" HK Equity","EQUITY_OFFERINGS","array=t","startcol=2","endcol=2"),0)),"")</f>
        <v/>
      </c>
      <c r="C306" s="103">
        <f>IF($B306="","",IFERROR(BDP($B306&amp;" Action","CP036"),""))</f>
        <v/>
      </c>
      <c r="D306" s="104">
        <f>Database!S306</f>
        <v/>
      </c>
      <c r="E306" s="103">
        <f>IF($B306="","",IFERROR(BDP($B306&amp;" Action","CP037"),""))</f>
        <v/>
      </c>
      <c r="F306" s="104">
        <f>Database!T306</f>
        <v/>
      </c>
      <c r="G306" s="103">
        <f>IF($B306="","",IFERROR(BDP($B306&amp;" Action","GREENSHOE_FACILITY"),""))</f>
        <v/>
      </c>
      <c r="H306" s="103">
        <f>IF($B306="","",IFERROR(BDP($B306&amp;" Action","OFFERING_GREENSHOE_SHARES_EX"),""))</f>
        <v/>
      </c>
      <c r="I306" s="16">
        <f>Database!Z306</f>
        <v/>
      </c>
      <c r="J306" s="24">
        <f>IFERROR(BDP(Database!$A306&amp;" HK Equity","PE_RATIO"),"")</f>
        <v/>
      </c>
      <c r="K306" s="10">
        <f>IFERROR(BDP(Database!$A306&amp;" HK Equity","A/H_SHARE_CONVERSION"),"")</f>
        <v/>
      </c>
      <c r="L306" s="16">
        <f>IF(Database!BA306="","(none found)",Database!BA306)</f>
        <v/>
      </c>
      <c r="M306" s="18">
        <f>IFERROR(BDH(Database!$A306&amp;" HK Equity","CUR_MKT_CAP",Database!$H306,Database!$H306),"")</f>
        <v/>
      </c>
      <c r="N306" s="99">
        <f>Database!Q306</f>
        <v/>
      </c>
      <c r="O306" s="24">
        <f>IFERROR(BDH(Database!$A306&amp;" HK Equity","PE_RATIO",Database!$H306,Database!$H306),"")</f>
        <v/>
      </c>
      <c r="P306" s="101">
        <f>IF(Database!AV306="","(n/m or not derivable)",Database!AV306)</f>
        <v/>
      </c>
      <c r="Q306" s="24">
        <f>IF(Database!BA306="","",IFERROR(BDH(LEFT(Database!BA306,FIND(".",Database!BA306)-1)&amp;" CH Equity","PE_RATIO",Database!$H306,Database!$H306),""))</f>
        <v/>
      </c>
      <c r="R306" s="24">
        <f>IF(Database!BA306="","",IFERROR(BDH("HSAHP Index","PX_LAST",Database!$H306,Database!$H306),""))</f>
        <v/>
      </c>
    </row>
    <row r="307">
      <c r="A307" s="16">
        <f>Database!A307&amp;"  "&amp;Database!B307</f>
        <v/>
      </c>
      <c r="B307" s="10">
        <f>IFERROR(INDEX(BDS(Database!$A307&amp;" HK Equity","EQUITY_OFFERINGS","array=t","endcol=1"),MATCH("IPO",BDS(Database!$A307&amp;" HK Equity","EQUITY_OFFERINGS","array=t","startcol=2","endcol=2"),0)),"")</f>
        <v/>
      </c>
      <c r="C307" s="103">
        <f>IF($B307="","",IFERROR(BDP($B307&amp;" Action","CP036"),""))</f>
        <v/>
      </c>
      <c r="D307" s="104">
        <f>Database!S307</f>
        <v/>
      </c>
      <c r="E307" s="103">
        <f>IF($B307="","",IFERROR(BDP($B307&amp;" Action","CP037"),""))</f>
        <v/>
      </c>
      <c r="F307" s="104">
        <f>Database!T307</f>
        <v/>
      </c>
      <c r="G307" s="103">
        <f>IF($B307="","",IFERROR(BDP($B307&amp;" Action","GREENSHOE_FACILITY"),""))</f>
        <v/>
      </c>
      <c r="H307" s="103">
        <f>IF($B307="","",IFERROR(BDP($B307&amp;" Action","OFFERING_GREENSHOE_SHARES_EX"),""))</f>
        <v/>
      </c>
      <c r="I307" s="16">
        <f>Database!Z307</f>
        <v/>
      </c>
      <c r="J307" s="24">
        <f>IFERROR(BDP(Database!$A307&amp;" HK Equity","PE_RATIO"),"")</f>
        <v/>
      </c>
      <c r="K307" s="10">
        <f>IFERROR(BDP(Database!$A307&amp;" HK Equity","A/H_SHARE_CONVERSION"),"")</f>
        <v/>
      </c>
      <c r="L307" s="16">
        <f>IF(Database!BA307="","(none found)",Database!BA307)</f>
        <v/>
      </c>
      <c r="M307" s="18">
        <f>IFERROR(BDH(Database!$A307&amp;" HK Equity","CUR_MKT_CAP",Database!$H307,Database!$H307),"")</f>
        <v/>
      </c>
      <c r="N307" s="99">
        <f>Database!Q307</f>
        <v/>
      </c>
      <c r="O307" s="24">
        <f>IFERROR(BDH(Database!$A307&amp;" HK Equity","PE_RATIO",Database!$H307,Database!$H307),"")</f>
        <v/>
      </c>
      <c r="P307" s="101">
        <f>IF(Database!AV307="","(n/m or not derivable)",Database!AV307)</f>
        <v/>
      </c>
      <c r="Q307" s="24">
        <f>IF(Database!BA307="","",IFERROR(BDH(LEFT(Database!BA307,FIND(".",Database!BA307)-1)&amp;" CH Equity","PE_RATIO",Database!$H307,Database!$H307),""))</f>
        <v/>
      </c>
      <c r="R307" s="24">
        <f>IF(Database!BA307="","",IFERROR(BDH("HSAHP Index","PX_LAST",Database!$H307,Database!$H307),""))</f>
        <v/>
      </c>
    </row>
    <row r="308">
      <c r="A308" s="16">
        <f>Database!A308&amp;"  "&amp;Database!B308</f>
        <v/>
      </c>
      <c r="B308" s="10">
        <f>IFERROR(INDEX(BDS(Database!$A308&amp;" HK Equity","EQUITY_OFFERINGS","array=t","endcol=1"),MATCH("IPO",BDS(Database!$A308&amp;" HK Equity","EQUITY_OFFERINGS","array=t","startcol=2","endcol=2"),0)),"")</f>
        <v/>
      </c>
      <c r="C308" s="103">
        <f>IF($B308="","",IFERROR(BDP($B308&amp;" Action","CP036"),""))</f>
        <v/>
      </c>
      <c r="D308" s="104">
        <f>Database!S308</f>
        <v/>
      </c>
      <c r="E308" s="103">
        <f>IF($B308="","",IFERROR(BDP($B308&amp;" Action","CP037"),""))</f>
        <v/>
      </c>
      <c r="F308" s="104">
        <f>Database!T308</f>
        <v/>
      </c>
      <c r="G308" s="103">
        <f>IF($B308="","",IFERROR(BDP($B308&amp;" Action","GREENSHOE_FACILITY"),""))</f>
        <v/>
      </c>
      <c r="H308" s="103">
        <f>IF($B308="","",IFERROR(BDP($B308&amp;" Action","OFFERING_GREENSHOE_SHARES_EX"),""))</f>
        <v/>
      </c>
      <c r="I308" s="16">
        <f>Database!Z308</f>
        <v/>
      </c>
      <c r="J308" s="24">
        <f>IFERROR(BDP(Database!$A308&amp;" HK Equity","PE_RATIO"),"")</f>
        <v/>
      </c>
      <c r="K308" s="10">
        <f>IFERROR(BDP(Database!$A308&amp;" HK Equity","A/H_SHARE_CONVERSION"),"")</f>
        <v/>
      </c>
      <c r="L308" s="16">
        <f>IF(Database!BA308="","(none found)",Database!BA308)</f>
        <v/>
      </c>
      <c r="M308" s="18">
        <f>IFERROR(BDH(Database!$A308&amp;" HK Equity","CUR_MKT_CAP",Database!$H308,Database!$H308),"")</f>
        <v/>
      </c>
      <c r="N308" s="99">
        <f>Database!Q308</f>
        <v/>
      </c>
      <c r="O308" s="24">
        <f>IFERROR(BDH(Database!$A308&amp;" HK Equity","PE_RATIO",Database!$H308,Database!$H308),"")</f>
        <v/>
      </c>
      <c r="P308" s="101">
        <f>IF(Database!AV308="","(n/m or not derivable)",Database!AV308)</f>
        <v/>
      </c>
      <c r="Q308" s="24">
        <f>IF(Database!BA308="","",IFERROR(BDH(LEFT(Database!BA308,FIND(".",Database!BA308)-1)&amp;" CH Equity","PE_RATIO",Database!$H308,Database!$H308),""))</f>
        <v/>
      </c>
      <c r="R308" s="24">
        <f>IF(Database!BA308="","",IFERROR(BDH("HSAHP Index","PX_LAST",Database!$H308,Database!$H308),""))</f>
        <v/>
      </c>
    </row>
    <row r="309">
      <c r="A309" s="16">
        <f>Database!A309&amp;"  "&amp;Database!B309</f>
        <v/>
      </c>
      <c r="B309" s="10">
        <f>IFERROR(INDEX(BDS(Database!$A309&amp;" HK Equity","EQUITY_OFFERINGS","array=t","endcol=1"),MATCH("IPO",BDS(Database!$A309&amp;" HK Equity","EQUITY_OFFERINGS","array=t","startcol=2","endcol=2"),0)),"")</f>
        <v/>
      </c>
      <c r="C309" s="103">
        <f>IF($B309="","",IFERROR(BDP($B309&amp;" Action","CP036"),""))</f>
        <v/>
      </c>
      <c r="D309" s="104">
        <f>Database!S309</f>
        <v/>
      </c>
      <c r="E309" s="103">
        <f>IF($B309="","",IFERROR(BDP($B309&amp;" Action","CP037"),""))</f>
        <v/>
      </c>
      <c r="F309" s="104">
        <f>Database!T309</f>
        <v/>
      </c>
      <c r="G309" s="103">
        <f>IF($B309="","",IFERROR(BDP($B309&amp;" Action","GREENSHOE_FACILITY"),""))</f>
        <v/>
      </c>
      <c r="H309" s="103">
        <f>IF($B309="","",IFERROR(BDP($B309&amp;" Action","OFFERING_GREENSHOE_SHARES_EX"),""))</f>
        <v/>
      </c>
      <c r="I309" s="16">
        <f>Database!Z309</f>
        <v/>
      </c>
      <c r="J309" s="24">
        <f>IFERROR(BDP(Database!$A309&amp;" HK Equity","PE_RATIO"),"")</f>
        <v/>
      </c>
      <c r="K309" s="10">
        <f>IFERROR(BDP(Database!$A309&amp;" HK Equity","A/H_SHARE_CONVERSION"),"")</f>
        <v/>
      </c>
      <c r="L309" s="16">
        <f>IF(Database!BA309="","(none found)",Database!BA309)</f>
        <v/>
      </c>
      <c r="M309" s="18">
        <f>IFERROR(BDH(Database!$A309&amp;" HK Equity","CUR_MKT_CAP",Database!$H309,Database!$H309),"")</f>
        <v/>
      </c>
      <c r="N309" s="99">
        <f>Database!Q309</f>
        <v/>
      </c>
      <c r="O309" s="24">
        <f>IFERROR(BDH(Database!$A309&amp;" HK Equity","PE_RATIO",Database!$H309,Database!$H309),"")</f>
        <v/>
      </c>
      <c r="P309" s="101">
        <f>IF(Database!AV309="","(n/m or not derivable)",Database!AV309)</f>
        <v/>
      </c>
      <c r="Q309" s="24">
        <f>IF(Database!BA309="","",IFERROR(BDH(LEFT(Database!BA309,FIND(".",Database!BA309)-1)&amp;" CH Equity","PE_RATIO",Database!$H309,Database!$H309),""))</f>
        <v/>
      </c>
      <c r="R309" s="24">
        <f>IF(Database!BA309="","",IFERROR(BDH("HSAHP Index","PX_LAST",Database!$H309,Database!$H309),""))</f>
        <v/>
      </c>
    </row>
    <row r="310">
      <c r="A310" s="16">
        <f>Database!A310&amp;"  "&amp;Database!B310</f>
        <v/>
      </c>
      <c r="B310" s="10">
        <f>IFERROR(INDEX(BDS(Database!$A310&amp;" HK Equity","EQUITY_OFFERINGS","array=t","endcol=1"),MATCH("IPO",BDS(Database!$A310&amp;" HK Equity","EQUITY_OFFERINGS","array=t","startcol=2","endcol=2"),0)),"")</f>
        <v/>
      </c>
      <c r="C310" s="103">
        <f>IF($B310="","",IFERROR(BDP($B310&amp;" Action","CP036"),""))</f>
        <v/>
      </c>
      <c r="D310" s="104">
        <f>Database!S310</f>
        <v/>
      </c>
      <c r="E310" s="103">
        <f>IF($B310="","",IFERROR(BDP($B310&amp;" Action","CP037"),""))</f>
        <v/>
      </c>
      <c r="F310" s="104">
        <f>Database!T310</f>
        <v/>
      </c>
      <c r="G310" s="103">
        <f>IF($B310="","",IFERROR(BDP($B310&amp;" Action","GREENSHOE_FACILITY"),""))</f>
        <v/>
      </c>
      <c r="H310" s="103">
        <f>IF($B310="","",IFERROR(BDP($B310&amp;" Action","OFFERING_GREENSHOE_SHARES_EX"),""))</f>
        <v/>
      </c>
      <c r="I310" s="16">
        <f>Database!Z310</f>
        <v/>
      </c>
      <c r="J310" s="24">
        <f>IFERROR(BDP(Database!$A310&amp;" HK Equity","PE_RATIO"),"")</f>
        <v/>
      </c>
      <c r="K310" s="10">
        <f>IFERROR(BDP(Database!$A310&amp;" HK Equity","A/H_SHARE_CONVERSION"),"")</f>
        <v/>
      </c>
      <c r="L310" s="16">
        <f>IF(Database!BA310="","(none found)",Database!BA310)</f>
        <v/>
      </c>
      <c r="M310" s="18">
        <f>IFERROR(BDH(Database!$A310&amp;" HK Equity","CUR_MKT_CAP",Database!$H310,Database!$H310),"")</f>
        <v/>
      </c>
      <c r="N310" s="99">
        <f>Database!Q310</f>
        <v/>
      </c>
      <c r="O310" s="24">
        <f>IFERROR(BDH(Database!$A310&amp;" HK Equity","PE_RATIO",Database!$H310,Database!$H310),"")</f>
        <v/>
      </c>
      <c r="P310" s="101">
        <f>IF(Database!AV310="","(n/m or not derivable)",Database!AV310)</f>
        <v/>
      </c>
      <c r="Q310" s="24">
        <f>IF(Database!BA310="","",IFERROR(BDH(LEFT(Database!BA310,FIND(".",Database!BA310)-1)&amp;" CH Equity","PE_RATIO",Database!$H310,Database!$H310),""))</f>
        <v/>
      </c>
      <c r="R310" s="24">
        <f>IF(Database!BA310="","",IFERROR(BDH("HSAHP Index","PX_LAST",Database!$H310,Database!$H310),""))</f>
        <v/>
      </c>
    </row>
    <row r="311">
      <c r="A311" s="16">
        <f>Database!A311&amp;"  "&amp;Database!B311</f>
        <v/>
      </c>
      <c r="B311" s="10">
        <f>IFERROR(INDEX(BDS(Database!$A311&amp;" HK Equity","EQUITY_OFFERINGS","array=t","endcol=1"),MATCH("IPO",BDS(Database!$A311&amp;" HK Equity","EQUITY_OFFERINGS","array=t","startcol=2","endcol=2"),0)),"")</f>
        <v/>
      </c>
      <c r="C311" s="103">
        <f>IF($B311="","",IFERROR(BDP($B311&amp;" Action","CP036"),""))</f>
        <v/>
      </c>
      <c r="D311" s="104">
        <f>Database!S311</f>
        <v/>
      </c>
      <c r="E311" s="103">
        <f>IF($B311="","",IFERROR(BDP($B311&amp;" Action","CP037"),""))</f>
        <v/>
      </c>
      <c r="F311" s="104">
        <f>Database!T311</f>
        <v/>
      </c>
      <c r="G311" s="103">
        <f>IF($B311="","",IFERROR(BDP($B311&amp;" Action","GREENSHOE_FACILITY"),""))</f>
        <v/>
      </c>
      <c r="H311" s="103">
        <f>IF($B311="","",IFERROR(BDP($B311&amp;" Action","OFFERING_GREENSHOE_SHARES_EX"),""))</f>
        <v/>
      </c>
      <c r="I311" s="16">
        <f>Database!Z311</f>
        <v/>
      </c>
      <c r="J311" s="24">
        <f>IFERROR(BDP(Database!$A311&amp;" HK Equity","PE_RATIO"),"")</f>
        <v/>
      </c>
      <c r="K311" s="10">
        <f>IFERROR(BDP(Database!$A311&amp;" HK Equity","A/H_SHARE_CONVERSION"),"")</f>
        <v/>
      </c>
      <c r="L311" s="16">
        <f>IF(Database!BA311="","(none found)",Database!BA311)</f>
        <v/>
      </c>
      <c r="M311" s="18">
        <f>IFERROR(BDH(Database!$A311&amp;" HK Equity","CUR_MKT_CAP",Database!$H311,Database!$H311),"")</f>
        <v/>
      </c>
      <c r="N311" s="99">
        <f>Database!Q311</f>
        <v/>
      </c>
      <c r="O311" s="24">
        <f>IFERROR(BDH(Database!$A311&amp;" HK Equity","PE_RATIO",Database!$H311,Database!$H311),"")</f>
        <v/>
      </c>
      <c r="P311" s="101">
        <f>IF(Database!AV311="","(n/m or not derivable)",Database!AV311)</f>
        <v/>
      </c>
      <c r="Q311" s="24">
        <f>IF(Database!BA311="","",IFERROR(BDH(LEFT(Database!BA311,FIND(".",Database!BA311)-1)&amp;" CH Equity","PE_RATIO",Database!$H311,Database!$H311),""))</f>
        <v/>
      </c>
      <c r="R311" s="24">
        <f>IF(Database!BA311="","",IFERROR(BDH("HSAHP Index","PX_LAST",Database!$H311,Database!$H311),""))</f>
        <v/>
      </c>
    </row>
    <row r="312">
      <c r="A312" s="16">
        <f>Database!A312&amp;"  "&amp;Database!B312</f>
        <v/>
      </c>
      <c r="B312" s="10">
        <f>IFERROR(INDEX(BDS(Database!$A312&amp;" HK Equity","EQUITY_OFFERINGS","array=t","endcol=1"),MATCH("IPO",BDS(Database!$A312&amp;" HK Equity","EQUITY_OFFERINGS","array=t","startcol=2","endcol=2"),0)),"")</f>
        <v/>
      </c>
      <c r="C312" s="103">
        <f>IF($B312="","",IFERROR(BDP($B312&amp;" Action","CP036"),""))</f>
        <v/>
      </c>
      <c r="D312" s="104">
        <f>Database!S312</f>
        <v/>
      </c>
      <c r="E312" s="103">
        <f>IF($B312="","",IFERROR(BDP($B312&amp;" Action","CP037"),""))</f>
        <v/>
      </c>
      <c r="F312" s="104">
        <f>Database!T312</f>
        <v/>
      </c>
      <c r="G312" s="103">
        <f>IF($B312="","",IFERROR(BDP($B312&amp;" Action","GREENSHOE_FACILITY"),""))</f>
        <v/>
      </c>
      <c r="H312" s="103">
        <f>IF($B312="","",IFERROR(BDP($B312&amp;" Action","OFFERING_GREENSHOE_SHARES_EX"),""))</f>
        <v/>
      </c>
      <c r="I312" s="16">
        <f>Database!Z312</f>
        <v/>
      </c>
      <c r="J312" s="24">
        <f>IFERROR(BDP(Database!$A312&amp;" HK Equity","PE_RATIO"),"")</f>
        <v/>
      </c>
      <c r="K312" s="10">
        <f>IFERROR(BDP(Database!$A312&amp;" HK Equity","A/H_SHARE_CONVERSION"),"")</f>
        <v/>
      </c>
      <c r="L312" s="16">
        <f>IF(Database!BA312="","(none found)",Database!BA312)</f>
        <v/>
      </c>
      <c r="M312" s="18">
        <f>IFERROR(BDH(Database!$A312&amp;" HK Equity","CUR_MKT_CAP",Database!$H312,Database!$H312),"")</f>
        <v/>
      </c>
      <c r="N312" s="99">
        <f>Database!Q312</f>
        <v/>
      </c>
      <c r="O312" s="24">
        <f>IFERROR(BDH(Database!$A312&amp;" HK Equity","PE_RATIO",Database!$H312,Database!$H312),"")</f>
        <v/>
      </c>
      <c r="P312" s="101">
        <f>IF(Database!AV312="","(n/m or not derivable)",Database!AV312)</f>
        <v/>
      </c>
      <c r="Q312" s="24">
        <f>IF(Database!BA312="","",IFERROR(BDH(LEFT(Database!BA312,FIND(".",Database!BA312)-1)&amp;" CH Equity","PE_RATIO",Database!$H312,Database!$H312),""))</f>
        <v/>
      </c>
      <c r="R312" s="24">
        <f>IF(Database!BA312="","",IFERROR(BDH("HSAHP Index","PX_LAST",Database!$H312,Database!$H312),""))</f>
        <v/>
      </c>
    </row>
    <row r="313">
      <c r="A313" s="16">
        <f>Database!A313&amp;"  "&amp;Database!B313</f>
        <v/>
      </c>
      <c r="B313" s="10">
        <f>IFERROR(INDEX(BDS(Database!$A313&amp;" HK Equity","EQUITY_OFFERINGS","array=t","endcol=1"),MATCH("IPO",BDS(Database!$A313&amp;" HK Equity","EQUITY_OFFERINGS","array=t","startcol=2","endcol=2"),0)),"")</f>
        <v/>
      </c>
      <c r="C313" s="103">
        <f>IF($B313="","",IFERROR(BDP($B313&amp;" Action","CP036"),""))</f>
        <v/>
      </c>
      <c r="D313" s="104">
        <f>Database!S313</f>
        <v/>
      </c>
      <c r="E313" s="103">
        <f>IF($B313="","",IFERROR(BDP($B313&amp;" Action","CP037"),""))</f>
        <v/>
      </c>
      <c r="F313" s="104">
        <f>Database!T313</f>
        <v/>
      </c>
      <c r="G313" s="103">
        <f>IF($B313="","",IFERROR(BDP($B313&amp;" Action","GREENSHOE_FACILITY"),""))</f>
        <v/>
      </c>
      <c r="H313" s="103">
        <f>IF($B313="","",IFERROR(BDP($B313&amp;" Action","OFFERING_GREENSHOE_SHARES_EX"),""))</f>
        <v/>
      </c>
      <c r="I313" s="16">
        <f>Database!Z313</f>
        <v/>
      </c>
      <c r="J313" s="24">
        <f>IFERROR(BDP(Database!$A313&amp;" HK Equity","PE_RATIO"),"")</f>
        <v/>
      </c>
      <c r="K313" s="10">
        <f>IFERROR(BDP(Database!$A313&amp;" HK Equity","A/H_SHARE_CONVERSION"),"")</f>
        <v/>
      </c>
      <c r="L313" s="16">
        <f>IF(Database!BA313="","(none found)",Database!BA313)</f>
        <v/>
      </c>
      <c r="M313" s="18">
        <f>IFERROR(BDH(Database!$A313&amp;" HK Equity","CUR_MKT_CAP",Database!$H313,Database!$H313),"")</f>
        <v/>
      </c>
      <c r="N313" s="99">
        <f>Database!Q313</f>
        <v/>
      </c>
      <c r="O313" s="24">
        <f>IFERROR(BDH(Database!$A313&amp;" HK Equity","PE_RATIO",Database!$H313,Database!$H313),"")</f>
        <v/>
      </c>
      <c r="P313" s="101">
        <f>IF(Database!AV313="","(n/m or not derivable)",Database!AV313)</f>
        <v/>
      </c>
      <c r="Q313" s="24">
        <f>IF(Database!BA313="","",IFERROR(BDH(LEFT(Database!BA313,FIND(".",Database!BA313)-1)&amp;" CH Equity","PE_RATIO",Database!$H313,Database!$H313),""))</f>
        <v/>
      </c>
      <c r="R313" s="24">
        <f>IF(Database!BA313="","",IFERROR(BDH("HSAHP Index","PX_LAST",Database!$H313,Database!$H313),""))</f>
        <v/>
      </c>
    </row>
    <row r="314">
      <c r="A314" s="16">
        <f>Database!A314&amp;"  "&amp;Database!B314</f>
        <v/>
      </c>
      <c r="B314" s="10">
        <f>IFERROR(INDEX(BDS(Database!$A314&amp;" HK Equity","EQUITY_OFFERINGS","array=t","endcol=1"),MATCH("IPO",BDS(Database!$A314&amp;" HK Equity","EQUITY_OFFERINGS","array=t","startcol=2","endcol=2"),0)),"")</f>
        <v/>
      </c>
      <c r="C314" s="103">
        <f>IF($B314="","",IFERROR(BDP($B314&amp;" Action","CP036"),""))</f>
        <v/>
      </c>
      <c r="D314" s="104">
        <f>Database!S314</f>
        <v/>
      </c>
      <c r="E314" s="103">
        <f>IF($B314="","",IFERROR(BDP($B314&amp;" Action","CP037"),""))</f>
        <v/>
      </c>
      <c r="F314" s="104">
        <f>Database!T314</f>
        <v/>
      </c>
      <c r="G314" s="103">
        <f>IF($B314="","",IFERROR(BDP($B314&amp;" Action","GREENSHOE_FACILITY"),""))</f>
        <v/>
      </c>
      <c r="H314" s="103">
        <f>IF($B314="","",IFERROR(BDP($B314&amp;" Action","OFFERING_GREENSHOE_SHARES_EX"),""))</f>
        <v/>
      </c>
      <c r="I314" s="16">
        <f>Database!Z314</f>
        <v/>
      </c>
      <c r="J314" s="24">
        <f>IFERROR(BDP(Database!$A314&amp;" HK Equity","PE_RATIO"),"")</f>
        <v/>
      </c>
      <c r="K314" s="10">
        <f>IFERROR(BDP(Database!$A314&amp;" HK Equity","A/H_SHARE_CONVERSION"),"")</f>
        <v/>
      </c>
      <c r="L314" s="16">
        <f>IF(Database!BA314="","(none found)",Database!BA314)</f>
        <v/>
      </c>
      <c r="M314" s="18">
        <f>IFERROR(BDH(Database!$A314&amp;" HK Equity","CUR_MKT_CAP",Database!$H314,Database!$H314),"")</f>
        <v/>
      </c>
      <c r="N314" s="99">
        <f>Database!Q314</f>
        <v/>
      </c>
      <c r="O314" s="24">
        <f>IFERROR(BDH(Database!$A314&amp;" HK Equity","PE_RATIO",Database!$H314,Database!$H314),"")</f>
        <v/>
      </c>
      <c r="P314" s="101">
        <f>IF(Database!AV314="","(n/m or not derivable)",Database!AV314)</f>
        <v/>
      </c>
      <c r="Q314" s="24">
        <f>IF(Database!BA314="","",IFERROR(BDH(LEFT(Database!BA314,FIND(".",Database!BA314)-1)&amp;" CH Equity","PE_RATIO",Database!$H314,Database!$H314),""))</f>
        <v/>
      </c>
      <c r="R314" s="24">
        <f>IF(Database!BA314="","",IFERROR(BDH("HSAHP Index","PX_LAST",Database!$H314,Database!$H314),""))</f>
        <v/>
      </c>
    </row>
    <row r="315">
      <c r="A315" s="16">
        <f>Database!A315&amp;"  "&amp;Database!B315</f>
        <v/>
      </c>
      <c r="B315" s="10">
        <f>IFERROR(INDEX(BDS(Database!$A315&amp;" HK Equity","EQUITY_OFFERINGS","array=t","endcol=1"),MATCH("IPO",BDS(Database!$A315&amp;" HK Equity","EQUITY_OFFERINGS","array=t","startcol=2","endcol=2"),0)),"")</f>
        <v/>
      </c>
      <c r="C315" s="103">
        <f>IF($B315="","",IFERROR(BDP($B315&amp;" Action","CP036"),""))</f>
        <v/>
      </c>
      <c r="D315" s="104">
        <f>Database!S315</f>
        <v/>
      </c>
      <c r="E315" s="103">
        <f>IF($B315="","",IFERROR(BDP($B315&amp;" Action","CP037"),""))</f>
        <v/>
      </c>
      <c r="F315" s="104">
        <f>Database!T315</f>
        <v/>
      </c>
      <c r="G315" s="103">
        <f>IF($B315="","",IFERROR(BDP($B315&amp;" Action","GREENSHOE_FACILITY"),""))</f>
        <v/>
      </c>
      <c r="H315" s="103">
        <f>IF($B315="","",IFERROR(BDP($B315&amp;" Action","OFFERING_GREENSHOE_SHARES_EX"),""))</f>
        <v/>
      </c>
      <c r="I315" s="16">
        <f>Database!Z315</f>
        <v/>
      </c>
      <c r="J315" s="24">
        <f>IFERROR(BDP(Database!$A315&amp;" HK Equity","PE_RATIO"),"")</f>
        <v/>
      </c>
      <c r="K315" s="10">
        <f>IFERROR(BDP(Database!$A315&amp;" HK Equity","A/H_SHARE_CONVERSION"),"")</f>
        <v/>
      </c>
      <c r="L315" s="16">
        <f>IF(Database!BA315="","(none found)",Database!BA315)</f>
        <v/>
      </c>
      <c r="M315" s="18">
        <f>IFERROR(BDH(Database!$A315&amp;" HK Equity","CUR_MKT_CAP",Database!$H315,Database!$H315),"")</f>
        <v/>
      </c>
      <c r="N315" s="99">
        <f>Database!Q315</f>
        <v/>
      </c>
      <c r="O315" s="24">
        <f>IFERROR(BDH(Database!$A315&amp;" HK Equity","PE_RATIO",Database!$H315,Database!$H315),"")</f>
        <v/>
      </c>
      <c r="P315" s="101">
        <f>IF(Database!AV315="","(n/m or not derivable)",Database!AV315)</f>
        <v/>
      </c>
      <c r="Q315" s="24">
        <f>IF(Database!BA315="","",IFERROR(BDH(LEFT(Database!BA315,FIND(".",Database!BA315)-1)&amp;" CH Equity","PE_RATIO",Database!$H315,Database!$H315),""))</f>
        <v/>
      </c>
      <c r="R315" s="24">
        <f>IF(Database!BA315="","",IFERROR(BDH("HSAHP Index","PX_LAST",Database!$H315,Database!$H315),""))</f>
        <v/>
      </c>
    </row>
    <row r="316">
      <c r="A316" s="16">
        <f>Database!A316&amp;"  "&amp;Database!B316</f>
        <v/>
      </c>
      <c r="B316" s="10">
        <f>IFERROR(INDEX(BDS(Database!$A316&amp;" HK Equity","EQUITY_OFFERINGS","array=t","endcol=1"),MATCH("IPO",BDS(Database!$A316&amp;" HK Equity","EQUITY_OFFERINGS","array=t","startcol=2","endcol=2"),0)),"")</f>
        <v/>
      </c>
      <c r="C316" s="103">
        <f>IF($B316="","",IFERROR(BDP($B316&amp;" Action","CP036"),""))</f>
        <v/>
      </c>
      <c r="D316" s="104">
        <f>Database!S316</f>
        <v/>
      </c>
      <c r="E316" s="103">
        <f>IF($B316="","",IFERROR(BDP($B316&amp;" Action","CP037"),""))</f>
        <v/>
      </c>
      <c r="F316" s="104">
        <f>Database!T316</f>
        <v/>
      </c>
      <c r="G316" s="103">
        <f>IF($B316="","",IFERROR(BDP($B316&amp;" Action","GREENSHOE_FACILITY"),""))</f>
        <v/>
      </c>
      <c r="H316" s="103">
        <f>IF($B316="","",IFERROR(BDP($B316&amp;" Action","OFFERING_GREENSHOE_SHARES_EX"),""))</f>
        <v/>
      </c>
      <c r="I316" s="16">
        <f>Database!Z316</f>
        <v/>
      </c>
      <c r="J316" s="24">
        <f>IFERROR(BDP(Database!$A316&amp;" HK Equity","PE_RATIO"),"")</f>
        <v/>
      </c>
      <c r="K316" s="10">
        <f>IFERROR(BDP(Database!$A316&amp;" HK Equity","A/H_SHARE_CONVERSION"),"")</f>
        <v/>
      </c>
      <c r="L316" s="16">
        <f>IF(Database!BA316="","(none found)",Database!BA316)</f>
        <v/>
      </c>
      <c r="M316" s="18">
        <f>IFERROR(BDH(Database!$A316&amp;" HK Equity","CUR_MKT_CAP",Database!$H316,Database!$H316),"")</f>
        <v/>
      </c>
      <c r="N316" s="99">
        <f>Database!Q316</f>
        <v/>
      </c>
      <c r="O316" s="24">
        <f>IFERROR(BDH(Database!$A316&amp;" HK Equity","PE_RATIO",Database!$H316,Database!$H316),"")</f>
        <v/>
      </c>
      <c r="P316" s="101">
        <f>IF(Database!AV316="","(n/m or not derivable)",Database!AV316)</f>
        <v/>
      </c>
      <c r="Q316" s="24">
        <f>IF(Database!BA316="","",IFERROR(BDH(LEFT(Database!BA316,FIND(".",Database!BA316)-1)&amp;" CH Equity","PE_RATIO",Database!$H316,Database!$H316),""))</f>
        <v/>
      </c>
      <c r="R316" s="24">
        <f>IF(Database!BA316="","",IFERROR(BDH("HSAHP Index","PX_LAST",Database!$H316,Database!$H316),""))</f>
        <v/>
      </c>
    </row>
    <row r="317">
      <c r="A317" s="16">
        <f>Database!A317&amp;"  "&amp;Database!B317</f>
        <v/>
      </c>
      <c r="B317" s="10">
        <f>IFERROR(INDEX(BDS(Database!$A317&amp;" HK Equity","EQUITY_OFFERINGS","array=t","endcol=1"),MATCH("IPO",BDS(Database!$A317&amp;" HK Equity","EQUITY_OFFERINGS","array=t","startcol=2","endcol=2"),0)),"")</f>
        <v/>
      </c>
      <c r="C317" s="103">
        <f>IF($B317="","",IFERROR(BDP($B317&amp;" Action","CP036"),""))</f>
        <v/>
      </c>
      <c r="D317" s="104">
        <f>Database!S317</f>
        <v/>
      </c>
      <c r="E317" s="103">
        <f>IF($B317="","",IFERROR(BDP($B317&amp;" Action","CP037"),""))</f>
        <v/>
      </c>
      <c r="F317" s="104">
        <f>Database!T317</f>
        <v/>
      </c>
      <c r="G317" s="103">
        <f>IF($B317="","",IFERROR(BDP($B317&amp;" Action","GREENSHOE_FACILITY"),""))</f>
        <v/>
      </c>
      <c r="H317" s="103">
        <f>IF($B317="","",IFERROR(BDP($B317&amp;" Action","OFFERING_GREENSHOE_SHARES_EX"),""))</f>
        <v/>
      </c>
      <c r="I317" s="16">
        <f>Database!Z317</f>
        <v/>
      </c>
      <c r="J317" s="24">
        <f>IFERROR(BDP(Database!$A317&amp;" HK Equity","PE_RATIO"),"")</f>
        <v/>
      </c>
      <c r="K317" s="10">
        <f>IFERROR(BDP(Database!$A317&amp;" HK Equity","A/H_SHARE_CONVERSION"),"")</f>
        <v/>
      </c>
      <c r="L317" s="16">
        <f>IF(Database!BA317="","(none found)",Database!BA317)</f>
        <v/>
      </c>
      <c r="M317" s="18">
        <f>IFERROR(BDH(Database!$A317&amp;" HK Equity","CUR_MKT_CAP",Database!$H317,Database!$H317),"")</f>
        <v/>
      </c>
      <c r="N317" s="99">
        <f>Database!Q317</f>
        <v/>
      </c>
      <c r="O317" s="24">
        <f>IFERROR(BDH(Database!$A317&amp;" HK Equity","PE_RATIO",Database!$H317,Database!$H317),"")</f>
        <v/>
      </c>
      <c r="P317" s="101">
        <f>IF(Database!AV317="","(n/m or not derivable)",Database!AV317)</f>
        <v/>
      </c>
      <c r="Q317" s="24">
        <f>IF(Database!BA317="","",IFERROR(BDH(LEFT(Database!BA317,FIND(".",Database!BA317)-1)&amp;" CH Equity","PE_RATIO",Database!$H317,Database!$H317),""))</f>
        <v/>
      </c>
      <c r="R317" s="24">
        <f>IF(Database!BA317="","",IFERROR(BDH("HSAHP Index","PX_LAST",Database!$H317,Database!$H317),""))</f>
        <v/>
      </c>
    </row>
    <row r="318">
      <c r="A318" s="16">
        <f>Database!A318&amp;"  "&amp;Database!B318</f>
        <v/>
      </c>
      <c r="B318" s="10">
        <f>IFERROR(INDEX(BDS(Database!$A318&amp;" HK Equity","EQUITY_OFFERINGS","array=t","endcol=1"),MATCH("IPO",BDS(Database!$A318&amp;" HK Equity","EQUITY_OFFERINGS","array=t","startcol=2","endcol=2"),0)),"")</f>
        <v/>
      </c>
      <c r="C318" s="103">
        <f>IF($B318="","",IFERROR(BDP($B318&amp;" Action","CP036"),""))</f>
        <v/>
      </c>
      <c r="D318" s="104">
        <f>Database!S318</f>
        <v/>
      </c>
      <c r="E318" s="103">
        <f>IF($B318="","",IFERROR(BDP($B318&amp;" Action","CP037"),""))</f>
        <v/>
      </c>
      <c r="F318" s="104">
        <f>Database!T318</f>
        <v/>
      </c>
      <c r="G318" s="103">
        <f>IF($B318="","",IFERROR(BDP($B318&amp;" Action","GREENSHOE_FACILITY"),""))</f>
        <v/>
      </c>
      <c r="H318" s="103">
        <f>IF($B318="","",IFERROR(BDP($B318&amp;" Action","OFFERING_GREENSHOE_SHARES_EX"),""))</f>
        <v/>
      </c>
      <c r="I318" s="16">
        <f>Database!Z318</f>
        <v/>
      </c>
      <c r="J318" s="24">
        <f>IFERROR(BDP(Database!$A318&amp;" HK Equity","PE_RATIO"),"")</f>
        <v/>
      </c>
      <c r="K318" s="10">
        <f>IFERROR(BDP(Database!$A318&amp;" HK Equity","A/H_SHARE_CONVERSION"),"")</f>
        <v/>
      </c>
      <c r="L318" s="16">
        <f>IF(Database!BA318="","(none found)",Database!BA318)</f>
        <v/>
      </c>
      <c r="M318" s="18">
        <f>IFERROR(BDH(Database!$A318&amp;" HK Equity","CUR_MKT_CAP",Database!$H318,Database!$H318),"")</f>
        <v/>
      </c>
      <c r="N318" s="99">
        <f>Database!Q318</f>
        <v/>
      </c>
      <c r="O318" s="24">
        <f>IFERROR(BDH(Database!$A318&amp;" HK Equity","PE_RATIO",Database!$H318,Database!$H318),"")</f>
        <v/>
      </c>
      <c r="P318" s="101">
        <f>IF(Database!AV318="","(n/m or not derivable)",Database!AV318)</f>
        <v/>
      </c>
      <c r="Q318" s="24">
        <f>IF(Database!BA318="","",IFERROR(BDH(LEFT(Database!BA318,FIND(".",Database!BA318)-1)&amp;" CH Equity","PE_RATIO",Database!$H318,Database!$H318),""))</f>
        <v/>
      </c>
      <c r="R318" s="24">
        <f>IF(Database!BA318="","",IFERROR(BDH("HSAHP Index","PX_LAST",Database!$H318,Database!$H318),""))</f>
        <v/>
      </c>
    </row>
    <row r="319">
      <c r="A319" s="16">
        <f>Database!A319&amp;"  "&amp;Database!B319</f>
        <v/>
      </c>
      <c r="B319" s="10">
        <f>IFERROR(INDEX(BDS(Database!$A319&amp;" HK Equity","EQUITY_OFFERINGS","array=t","endcol=1"),MATCH("IPO",BDS(Database!$A319&amp;" HK Equity","EQUITY_OFFERINGS","array=t","startcol=2","endcol=2"),0)),"")</f>
        <v/>
      </c>
      <c r="C319" s="103">
        <f>IF($B319="","",IFERROR(BDP($B319&amp;" Action","CP036"),""))</f>
        <v/>
      </c>
      <c r="D319" s="104">
        <f>Database!S319</f>
        <v/>
      </c>
      <c r="E319" s="103">
        <f>IF($B319="","",IFERROR(BDP($B319&amp;" Action","CP037"),""))</f>
        <v/>
      </c>
      <c r="F319" s="104">
        <f>Database!T319</f>
        <v/>
      </c>
      <c r="G319" s="103">
        <f>IF($B319="","",IFERROR(BDP($B319&amp;" Action","GREENSHOE_FACILITY"),""))</f>
        <v/>
      </c>
      <c r="H319" s="103">
        <f>IF($B319="","",IFERROR(BDP($B319&amp;" Action","OFFERING_GREENSHOE_SHARES_EX"),""))</f>
        <v/>
      </c>
      <c r="I319" s="16">
        <f>Database!Z319</f>
        <v/>
      </c>
      <c r="J319" s="24">
        <f>IFERROR(BDP(Database!$A319&amp;" HK Equity","PE_RATIO"),"")</f>
        <v/>
      </c>
      <c r="K319" s="10">
        <f>IFERROR(BDP(Database!$A319&amp;" HK Equity","A/H_SHARE_CONVERSION"),"")</f>
        <v/>
      </c>
      <c r="L319" s="16">
        <f>IF(Database!BA319="","(none found)",Database!BA319)</f>
        <v/>
      </c>
      <c r="M319" s="18">
        <f>IFERROR(BDH(Database!$A319&amp;" HK Equity","CUR_MKT_CAP",Database!$H319,Database!$H319),"")</f>
        <v/>
      </c>
      <c r="N319" s="99">
        <f>Database!Q319</f>
        <v/>
      </c>
      <c r="O319" s="24">
        <f>IFERROR(BDH(Database!$A319&amp;" HK Equity","PE_RATIO",Database!$H319,Database!$H319),"")</f>
        <v/>
      </c>
      <c r="P319" s="101">
        <f>IF(Database!AV319="","(n/m or not derivable)",Database!AV319)</f>
        <v/>
      </c>
      <c r="Q319" s="24">
        <f>IF(Database!BA319="","",IFERROR(BDH(LEFT(Database!BA319,FIND(".",Database!BA319)-1)&amp;" CH Equity","PE_RATIO",Database!$H319,Database!$H319),""))</f>
        <v/>
      </c>
      <c r="R319" s="24">
        <f>IF(Database!BA319="","",IFERROR(BDH("HSAHP Index","PX_LAST",Database!$H319,Database!$H319),""))</f>
        <v/>
      </c>
    </row>
    <row r="320">
      <c r="A320" s="16">
        <f>Database!A320&amp;"  "&amp;Database!B320</f>
        <v/>
      </c>
      <c r="B320" s="10">
        <f>IFERROR(INDEX(BDS(Database!$A320&amp;" HK Equity","EQUITY_OFFERINGS","array=t","endcol=1"),MATCH("IPO",BDS(Database!$A320&amp;" HK Equity","EQUITY_OFFERINGS","array=t","startcol=2","endcol=2"),0)),"")</f>
        <v/>
      </c>
      <c r="C320" s="103">
        <f>IF($B320="","",IFERROR(BDP($B320&amp;" Action","CP036"),""))</f>
        <v/>
      </c>
      <c r="D320" s="104">
        <f>Database!S320</f>
        <v/>
      </c>
      <c r="E320" s="103">
        <f>IF($B320="","",IFERROR(BDP($B320&amp;" Action","CP037"),""))</f>
        <v/>
      </c>
      <c r="F320" s="104">
        <f>Database!T320</f>
        <v/>
      </c>
      <c r="G320" s="103">
        <f>IF($B320="","",IFERROR(BDP($B320&amp;" Action","GREENSHOE_FACILITY"),""))</f>
        <v/>
      </c>
      <c r="H320" s="103">
        <f>IF($B320="","",IFERROR(BDP($B320&amp;" Action","OFFERING_GREENSHOE_SHARES_EX"),""))</f>
        <v/>
      </c>
      <c r="I320" s="16">
        <f>Database!Z320</f>
        <v/>
      </c>
      <c r="J320" s="24">
        <f>IFERROR(BDP(Database!$A320&amp;" HK Equity","PE_RATIO"),"")</f>
        <v/>
      </c>
      <c r="K320" s="10">
        <f>IFERROR(BDP(Database!$A320&amp;" HK Equity","A/H_SHARE_CONVERSION"),"")</f>
        <v/>
      </c>
      <c r="L320" s="16">
        <f>IF(Database!BA320="","(none found)",Database!BA320)</f>
        <v/>
      </c>
      <c r="M320" s="18">
        <f>IFERROR(BDH(Database!$A320&amp;" HK Equity","CUR_MKT_CAP",Database!$H320,Database!$H320),"")</f>
        <v/>
      </c>
      <c r="N320" s="99">
        <f>Database!Q320</f>
        <v/>
      </c>
      <c r="O320" s="24">
        <f>IFERROR(BDH(Database!$A320&amp;" HK Equity","PE_RATIO",Database!$H320,Database!$H320),"")</f>
        <v/>
      </c>
      <c r="P320" s="101">
        <f>IF(Database!AV320="","(n/m or not derivable)",Database!AV320)</f>
        <v/>
      </c>
      <c r="Q320" s="24">
        <f>IF(Database!BA320="","",IFERROR(BDH(LEFT(Database!BA320,FIND(".",Database!BA320)-1)&amp;" CH Equity","PE_RATIO",Database!$H320,Database!$H320),""))</f>
        <v/>
      </c>
      <c r="R320" s="24">
        <f>IF(Database!BA320="","",IFERROR(BDH("HSAHP Index","PX_LAST",Database!$H320,Database!$H320),""))</f>
        <v/>
      </c>
    </row>
    <row r="321">
      <c r="A321" s="16">
        <f>Database!A321&amp;"  "&amp;Database!B321</f>
        <v/>
      </c>
      <c r="B321" s="10">
        <f>IFERROR(INDEX(BDS(Database!$A321&amp;" HK Equity","EQUITY_OFFERINGS","array=t","endcol=1"),MATCH("IPO",BDS(Database!$A321&amp;" HK Equity","EQUITY_OFFERINGS","array=t","startcol=2","endcol=2"),0)),"")</f>
        <v/>
      </c>
      <c r="C321" s="103">
        <f>IF($B321="","",IFERROR(BDP($B321&amp;" Action","CP036"),""))</f>
        <v/>
      </c>
      <c r="D321" s="104">
        <f>Database!S321</f>
        <v/>
      </c>
      <c r="E321" s="103">
        <f>IF($B321="","",IFERROR(BDP($B321&amp;" Action","CP037"),""))</f>
        <v/>
      </c>
      <c r="F321" s="104">
        <f>Database!T321</f>
        <v/>
      </c>
      <c r="G321" s="103">
        <f>IF($B321="","",IFERROR(BDP($B321&amp;" Action","GREENSHOE_FACILITY"),""))</f>
        <v/>
      </c>
      <c r="H321" s="103">
        <f>IF($B321="","",IFERROR(BDP($B321&amp;" Action","OFFERING_GREENSHOE_SHARES_EX"),""))</f>
        <v/>
      </c>
      <c r="I321" s="16">
        <f>Database!Z321</f>
        <v/>
      </c>
      <c r="J321" s="24">
        <f>IFERROR(BDP(Database!$A321&amp;" HK Equity","PE_RATIO"),"")</f>
        <v/>
      </c>
      <c r="K321" s="10">
        <f>IFERROR(BDP(Database!$A321&amp;" HK Equity","A/H_SHARE_CONVERSION"),"")</f>
        <v/>
      </c>
      <c r="L321" s="16">
        <f>IF(Database!BA321="","(none found)",Database!BA321)</f>
        <v/>
      </c>
      <c r="M321" s="18">
        <f>IFERROR(BDH(Database!$A321&amp;" HK Equity","CUR_MKT_CAP",Database!$H321,Database!$H321),"")</f>
        <v/>
      </c>
      <c r="N321" s="99">
        <f>Database!Q321</f>
        <v/>
      </c>
      <c r="O321" s="24">
        <f>IFERROR(BDH(Database!$A321&amp;" HK Equity","PE_RATIO",Database!$H321,Database!$H321),"")</f>
        <v/>
      </c>
      <c r="P321" s="101">
        <f>IF(Database!AV321="","(n/m or not derivable)",Database!AV321)</f>
        <v/>
      </c>
      <c r="Q321" s="24">
        <f>IF(Database!BA321="","",IFERROR(BDH(LEFT(Database!BA321,FIND(".",Database!BA321)-1)&amp;" CH Equity","PE_RATIO",Database!$H321,Database!$H321),""))</f>
        <v/>
      </c>
      <c r="R321" s="24">
        <f>IF(Database!BA321="","",IFERROR(BDH("HSAHP Index","PX_LAST",Database!$H321,Database!$H321),""))</f>
        <v/>
      </c>
    </row>
    <row r="322">
      <c r="A322" s="16">
        <f>Database!A322&amp;"  "&amp;Database!B322</f>
        <v/>
      </c>
      <c r="B322" s="10">
        <f>IFERROR(INDEX(BDS(Database!$A322&amp;" HK Equity","EQUITY_OFFERINGS","array=t","endcol=1"),MATCH("IPO",BDS(Database!$A322&amp;" HK Equity","EQUITY_OFFERINGS","array=t","startcol=2","endcol=2"),0)),"")</f>
        <v/>
      </c>
      <c r="C322" s="103">
        <f>IF($B322="","",IFERROR(BDP($B322&amp;" Action","CP036"),""))</f>
        <v/>
      </c>
      <c r="D322" s="104">
        <f>Database!S322</f>
        <v/>
      </c>
      <c r="E322" s="103">
        <f>IF($B322="","",IFERROR(BDP($B322&amp;" Action","CP037"),""))</f>
        <v/>
      </c>
      <c r="F322" s="104">
        <f>Database!T322</f>
        <v/>
      </c>
      <c r="G322" s="103">
        <f>IF($B322="","",IFERROR(BDP($B322&amp;" Action","GREENSHOE_FACILITY"),""))</f>
        <v/>
      </c>
      <c r="H322" s="103">
        <f>IF($B322="","",IFERROR(BDP($B322&amp;" Action","OFFERING_GREENSHOE_SHARES_EX"),""))</f>
        <v/>
      </c>
      <c r="I322" s="16">
        <f>Database!Z322</f>
        <v/>
      </c>
      <c r="J322" s="24">
        <f>IFERROR(BDP(Database!$A322&amp;" HK Equity","PE_RATIO"),"")</f>
        <v/>
      </c>
      <c r="K322" s="10">
        <f>IFERROR(BDP(Database!$A322&amp;" HK Equity","A/H_SHARE_CONVERSION"),"")</f>
        <v/>
      </c>
      <c r="L322" s="16">
        <f>IF(Database!BA322="","(none found)",Database!BA322)</f>
        <v/>
      </c>
      <c r="M322" s="18">
        <f>IFERROR(BDH(Database!$A322&amp;" HK Equity","CUR_MKT_CAP",Database!$H322,Database!$H322),"")</f>
        <v/>
      </c>
      <c r="N322" s="99">
        <f>Database!Q322</f>
        <v/>
      </c>
      <c r="O322" s="24">
        <f>IFERROR(BDH(Database!$A322&amp;" HK Equity","PE_RATIO",Database!$H322,Database!$H322),"")</f>
        <v/>
      </c>
      <c r="P322" s="101">
        <f>IF(Database!AV322="","(n/m or not derivable)",Database!AV322)</f>
        <v/>
      </c>
      <c r="Q322" s="24">
        <f>IF(Database!BA322="","",IFERROR(BDH(LEFT(Database!BA322,FIND(".",Database!BA322)-1)&amp;" CH Equity","PE_RATIO",Database!$H322,Database!$H322),""))</f>
        <v/>
      </c>
      <c r="R322" s="24">
        <f>IF(Database!BA322="","",IFERROR(BDH("HSAHP Index","PX_LAST",Database!$H322,Database!$H322),""))</f>
        <v/>
      </c>
    </row>
    <row r="323">
      <c r="A323" s="16">
        <f>Database!A323&amp;"  "&amp;Database!B323</f>
        <v/>
      </c>
      <c r="B323" s="10">
        <f>IFERROR(INDEX(BDS(Database!$A323&amp;" HK Equity","EQUITY_OFFERINGS","array=t","endcol=1"),MATCH("IPO",BDS(Database!$A323&amp;" HK Equity","EQUITY_OFFERINGS","array=t","startcol=2","endcol=2"),0)),"")</f>
        <v/>
      </c>
      <c r="C323" s="103">
        <f>IF($B323="","",IFERROR(BDP($B323&amp;" Action","CP036"),""))</f>
        <v/>
      </c>
      <c r="D323" s="104">
        <f>Database!S323</f>
        <v/>
      </c>
      <c r="E323" s="103">
        <f>IF($B323="","",IFERROR(BDP($B323&amp;" Action","CP037"),""))</f>
        <v/>
      </c>
      <c r="F323" s="104">
        <f>Database!T323</f>
        <v/>
      </c>
      <c r="G323" s="103">
        <f>IF($B323="","",IFERROR(BDP($B323&amp;" Action","GREENSHOE_FACILITY"),""))</f>
        <v/>
      </c>
      <c r="H323" s="103">
        <f>IF($B323="","",IFERROR(BDP($B323&amp;" Action","OFFERING_GREENSHOE_SHARES_EX"),""))</f>
        <v/>
      </c>
      <c r="I323" s="16">
        <f>Database!Z323</f>
        <v/>
      </c>
      <c r="J323" s="24">
        <f>IFERROR(BDP(Database!$A323&amp;" HK Equity","PE_RATIO"),"")</f>
        <v/>
      </c>
      <c r="K323" s="10">
        <f>IFERROR(BDP(Database!$A323&amp;" HK Equity","A/H_SHARE_CONVERSION"),"")</f>
        <v/>
      </c>
      <c r="L323" s="16">
        <f>IF(Database!BA323="","(none found)",Database!BA323)</f>
        <v/>
      </c>
      <c r="M323" s="18">
        <f>IFERROR(BDH(Database!$A323&amp;" HK Equity","CUR_MKT_CAP",Database!$H323,Database!$H323),"")</f>
        <v/>
      </c>
      <c r="N323" s="99">
        <f>Database!Q323</f>
        <v/>
      </c>
      <c r="O323" s="24">
        <f>IFERROR(BDH(Database!$A323&amp;" HK Equity","PE_RATIO",Database!$H323,Database!$H323),"")</f>
        <v/>
      </c>
      <c r="P323" s="101">
        <f>IF(Database!AV323="","(n/m or not derivable)",Database!AV323)</f>
        <v/>
      </c>
      <c r="Q323" s="24">
        <f>IF(Database!BA323="","",IFERROR(BDH(LEFT(Database!BA323,FIND(".",Database!BA323)-1)&amp;" CH Equity","PE_RATIO",Database!$H323,Database!$H323),""))</f>
        <v/>
      </c>
      <c r="R323" s="24">
        <f>IF(Database!BA323="","",IFERROR(BDH("HSAHP Index","PX_LAST",Database!$H323,Database!$H323),""))</f>
        <v/>
      </c>
    </row>
    <row r="324">
      <c r="A324" s="16">
        <f>Database!A324&amp;"  "&amp;Database!B324</f>
        <v/>
      </c>
      <c r="B324" s="10">
        <f>IFERROR(INDEX(BDS(Database!$A324&amp;" HK Equity","EQUITY_OFFERINGS","array=t","endcol=1"),MATCH("IPO",BDS(Database!$A324&amp;" HK Equity","EQUITY_OFFERINGS","array=t","startcol=2","endcol=2"),0)),"")</f>
        <v/>
      </c>
      <c r="C324" s="103">
        <f>IF($B324="","",IFERROR(BDP($B324&amp;" Action","CP036"),""))</f>
        <v/>
      </c>
      <c r="D324" s="104">
        <f>Database!S324</f>
        <v/>
      </c>
      <c r="E324" s="103">
        <f>IF($B324="","",IFERROR(BDP($B324&amp;" Action","CP037"),""))</f>
        <v/>
      </c>
      <c r="F324" s="104">
        <f>Database!T324</f>
        <v/>
      </c>
      <c r="G324" s="103">
        <f>IF($B324="","",IFERROR(BDP($B324&amp;" Action","GREENSHOE_FACILITY"),""))</f>
        <v/>
      </c>
      <c r="H324" s="103">
        <f>IF($B324="","",IFERROR(BDP($B324&amp;" Action","OFFERING_GREENSHOE_SHARES_EX"),""))</f>
        <v/>
      </c>
      <c r="I324" s="16">
        <f>Database!Z324</f>
        <v/>
      </c>
      <c r="J324" s="24">
        <f>IFERROR(BDP(Database!$A324&amp;" HK Equity","PE_RATIO"),"")</f>
        <v/>
      </c>
      <c r="K324" s="10">
        <f>IFERROR(BDP(Database!$A324&amp;" HK Equity","A/H_SHARE_CONVERSION"),"")</f>
        <v/>
      </c>
      <c r="L324" s="16">
        <f>IF(Database!BA324="","(none found)",Database!BA324)</f>
        <v/>
      </c>
      <c r="M324" s="18">
        <f>IFERROR(BDH(Database!$A324&amp;" HK Equity","CUR_MKT_CAP",Database!$H324,Database!$H324),"")</f>
        <v/>
      </c>
      <c r="N324" s="99">
        <f>Database!Q324</f>
        <v/>
      </c>
      <c r="O324" s="24">
        <f>IFERROR(BDH(Database!$A324&amp;" HK Equity","PE_RATIO",Database!$H324,Database!$H324),"")</f>
        <v/>
      </c>
      <c r="P324" s="101">
        <f>IF(Database!AV324="","(n/m or not derivable)",Database!AV324)</f>
        <v/>
      </c>
      <c r="Q324" s="24">
        <f>IF(Database!BA324="","",IFERROR(BDH(LEFT(Database!BA324,FIND(".",Database!BA324)-1)&amp;" CH Equity","PE_RATIO",Database!$H324,Database!$H324),""))</f>
        <v/>
      </c>
      <c r="R324" s="24">
        <f>IF(Database!BA324="","",IFERROR(BDH("HSAHP Index","PX_LAST",Database!$H324,Database!$H324),""))</f>
        <v/>
      </c>
    </row>
    <row r="325">
      <c r="A325" s="16">
        <f>Database!A325&amp;"  "&amp;Database!B325</f>
        <v/>
      </c>
      <c r="B325" s="10">
        <f>IFERROR(INDEX(BDS(Database!$A325&amp;" HK Equity","EQUITY_OFFERINGS","array=t","endcol=1"),MATCH("IPO",BDS(Database!$A325&amp;" HK Equity","EQUITY_OFFERINGS","array=t","startcol=2","endcol=2"),0)),"")</f>
        <v/>
      </c>
      <c r="C325" s="103">
        <f>IF($B325="","",IFERROR(BDP($B325&amp;" Action","CP036"),""))</f>
        <v/>
      </c>
      <c r="D325" s="104">
        <f>Database!S325</f>
        <v/>
      </c>
      <c r="E325" s="103">
        <f>IF($B325="","",IFERROR(BDP($B325&amp;" Action","CP037"),""))</f>
        <v/>
      </c>
      <c r="F325" s="104">
        <f>Database!T325</f>
        <v/>
      </c>
      <c r="G325" s="103">
        <f>IF($B325="","",IFERROR(BDP($B325&amp;" Action","GREENSHOE_FACILITY"),""))</f>
        <v/>
      </c>
      <c r="H325" s="103">
        <f>IF($B325="","",IFERROR(BDP($B325&amp;" Action","OFFERING_GREENSHOE_SHARES_EX"),""))</f>
        <v/>
      </c>
      <c r="I325" s="16">
        <f>Database!Z325</f>
        <v/>
      </c>
      <c r="J325" s="24">
        <f>IFERROR(BDP(Database!$A325&amp;" HK Equity","PE_RATIO"),"")</f>
        <v/>
      </c>
      <c r="K325" s="10">
        <f>IFERROR(BDP(Database!$A325&amp;" HK Equity","A/H_SHARE_CONVERSION"),"")</f>
        <v/>
      </c>
      <c r="L325" s="16">
        <f>IF(Database!BA325="","(none found)",Database!BA325)</f>
        <v/>
      </c>
      <c r="M325" s="18">
        <f>IFERROR(BDH(Database!$A325&amp;" HK Equity","CUR_MKT_CAP",Database!$H325,Database!$H325),"")</f>
        <v/>
      </c>
      <c r="N325" s="99">
        <f>Database!Q325</f>
        <v/>
      </c>
      <c r="O325" s="24">
        <f>IFERROR(BDH(Database!$A325&amp;" HK Equity","PE_RATIO",Database!$H325,Database!$H325),"")</f>
        <v/>
      </c>
      <c r="P325" s="101">
        <f>IF(Database!AV325="","(n/m or not derivable)",Database!AV325)</f>
        <v/>
      </c>
      <c r="Q325" s="24">
        <f>IF(Database!BA325="","",IFERROR(BDH(LEFT(Database!BA325,FIND(".",Database!BA325)-1)&amp;" CH Equity","PE_RATIO",Database!$H325,Database!$H325),""))</f>
        <v/>
      </c>
      <c r="R325" s="24">
        <f>IF(Database!BA325="","",IFERROR(BDH("HSAHP Index","PX_LAST",Database!$H325,Database!$H325),""))</f>
        <v/>
      </c>
    </row>
    <row r="326">
      <c r="A326" s="16">
        <f>Database!A326&amp;"  "&amp;Database!B326</f>
        <v/>
      </c>
      <c r="B326" s="10">
        <f>IFERROR(INDEX(BDS(Database!$A326&amp;" HK Equity","EQUITY_OFFERINGS","array=t","endcol=1"),MATCH("IPO",BDS(Database!$A326&amp;" HK Equity","EQUITY_OFFERINGS","array=t","startcol=2","endcol=2"),0)),"")</f>
        <v/>
      </c>
      <c r="C326" s="103">
        <f>IF($B326="","",IFERROR(BDP($B326&amp;" Action","CP036"),""))</f>
        <v/>
      </c>
      <c r="D326" s="104">
        <f>Database!S326</f>
        <v/>
      </c>
      <c r="E326" s="103">
        <f>IF($B326="","",IFERROR(BDP($B326&amp;" Action","CP037"),""))</f>
        <v/>
      </c>
      <c r="F326" s="104">
        <f>Database!T326</f>
        <v/>
      </c>
      <c r="G326" s="103">
        <f>IF($B326="","",IFERROR(BDP($B326&amp;" Action","GREENSHOE_FACILITY"),""))</f>
        <v/>
      </c>
      <c r="H326" s="103">
        <f>IF($B326="","",IFERROR(BDP($B326&amp;" Action","OFFERING_GREENSHOE_SHARES_EX"),""))</f>
        <v/>
      </c>
      <c r="I326" s="16">
        <f>Database!Z326</f>
        <v/>
      </c>
      <c r="J326" s="24">
        <f>IFERROR(BDP(Database!$A326&amp;" HK Equity","PE_RATIO"),"")</f>
        <v/>
      </c>
      <c r="K326" s="10">
        <f>IFERROR(BDP(Database!$A326&amp;" HK Equity","A/H_SHARE_CONVERSION"),"")</f>
        <v/>
      </c>
      <c r="L326" s="16">
        <f>IF(Database!BA326="","(none found)",Database!BA326)</f>
        <v/>
      </c>
      <c r="M326" s="18">
        <f>IFERROR(BDH(Database!$A326&amp;" HK Equity","CUR_MKT_CAP",Database!$H326,Database!$H326),"")</f>
        <v/>
      </c>
      <c r="N326" s="99">
        <f>Database!Q326</f>
        <v/>
      </c>
      <c r="O326" s="24">
        <f>IFERROR(BDH(Database!$A326&amp;" HK Equity","PE_RATIO",Database!$H326,Database!$H326),"")</f>
        <v/>
      </c>
      <c r="P326" s="101">
        <f>IF(Database!AV326="","(n/m or not derivable)",Database!AV326)</f>
        <v/>
      </c>
      <c r="Q326" s="24">
        <f>IF(Database!BA326="","",IFERROR(BDH(LEFT(Database!BA326,FIND(".",Database!BA326)-1)&amp;" CH Equity","PE_RATIO",Database!$H326,Database!$H326),""))</f>
        <v/>
      </c>
      <c r="R326" s="24">
        <f>IF(Database!BA326="","",IFERROR(BDH("HSAHP Index","PX_LAST",Database!$H326,Database!$H326),""))</f>
        <v/>
      </c>
    </row>
    <row r="327">
      <c r="A327" s="16">
        <f>Database!A327&amp;"  "&amp;Database!B327</f>
        <v/>
      </c>
      <c r="B327" s="10">
        <f>IFERROR(INDEX(BDS(Database!$A327&amp;" HK Equity","EQUITY_OFFERINGS","array=t","endcol=1"),MATCH("IPO",BDS(Database!$A327&amp;" HK Equity","EQUITY_OFFERINGS","array=t","startcol=2","endcol=2"),0)),"")</f>
        <v/>
      </c>
      <c r="C327" s="103">
        <f>IF($B327="","",IFERROR(BDP($B327&amp;" Action","CP036"),""))</f>
        <v/>
      </c>
      <c r="D327" s="104">
        <f>Database!S327</f>
        <v/>
      </c>
      <c r="E327" s="103">
        <f>IF($B327="","",IFERROR(BDP($B327&amp;" Action","CP037"),""))</f>
        <v/>
      </c>
      <c r="F327" s="104">
        <f>Database!T327</f>
        <v/>
      </c>
      <c r="G327" s="103">
        <f>IF($B327="","",IFERROR(BDP($B327&amp;" Action","GREENSHOE_FACILITY"),""))</f>
        <v/>
      </c>
      <c r="H327" s="103">
        <f>IF($B327="","",IFERROR(BDP($B327&amp;" Action","OFFERING_GREENSHOE_SHARES_EX"),""))</f>
        <v/>
      </c>
      <c r="I327" s="16">
        <f>Database!Z327</f>
        <v/>
      </c>
      <c r="J327" s="24">
        <f>IFERROR(BDP(Database!$A327&amp;" HK Equity","PE_RATIO"),"")</f>
        <v/>
      </c>
      <c r="K327" s="10">
        <f>IFERROR(BDP(Database!$A327&amp;" HK Equity","A/H_SHARE_CONVERSION"),"")</f>
        <v/>
      </c>
      <c r="L327" s="16">
        <f>IF(Database!BA327="","(none found)",Database!BA327)</f>
        <v/>
      </c>
      <c r="M327" s="18">
        <f>IFERROR(BDH(Database!$A327&amp;" HK Equity","CUR_MKT_CAP",Database!$H327,Database!$H327),"")</f>
        <v/>
      </c>
      <c r="N327" s="99">
        <f>Database!Q327</f>
        <v/>
      </c>
      <c r="O327" s="24">
        <f>IFERROR(BDH(Database!$A327&amp;" HK Equity","PE_RATIO",Database!$H327,Database!$H327),"")</f>
        <v/>
      </c>
      <c r="P327" s="101">
        <f>IF(Database!AV327="","(n/m or not derivable)",Database!AV327)</f>
        <v/>
      </c>
      <c r="Q327" s="24">
        <f>IF(Database!BA327="","",IFERROR(BDH(LEFT(Database!BA327,FIND(".",Database!BA327)-1)&amp;" CH Equity","PE_RATIO",Database!$H327,Database!$H327),""))</f>
        <v/>
      </c>
      <c r="R327" s="24">
        <f>IF(Database!BA327="","",IFERROR(BDH("HSAHP Index","PX_LAST",Database!$H327,Database!$H327),""))</f>
        <v/>
      </c>
    </row>
    <row r="328">
      <c r="A328" s="16">
        <f>Database!A328&amp;"  "&amp;Database!B328</f>
        <v/>
      </c>
      <c r="B328" s="10">
        <f>IFERROR(INDEX(BDS(Database!$A328&amp;" HK Equity","EQUITY_OFFERINGS","array=t","endcol=1"),MATCH("IPO",BDS(Database!$A328&amp;" HK Equity","EQUITY_OFFERINGS","array=t","startcol=2","endcol=2"),0)),"")</f>
        <v/>
      </c>
      <c r="C328" s="103">
        <f>IF($B328="","",IFERROR(BDP($B328&amp;" Action","CP036"),""))</f>
        <v/>
      </c>
      <c r="D328" s="104">
        <f>Database!S328</f>
        <v/>
      </c>
      <c r="E328" s="103">
        <f>IF($B328="","",IFERROR(BDP($B328&amp;" Action","CP037"),""))</f>
        <v/>
      </c>
      <c r="F328" s="104">
        <f>Database!T328</f>
        <v/>
      </c>
      <c r="G328" s="103">
        <f>IF($B328="","",IFERROR(BDP($B328&amp;" Action","GREENSHOE_FACILITY"),""))</f>
        <v/>
      </c>
      <c r="H328" s="103">
        <f>IF($B328="","",IFERROR(BDP($B328&amp;" Action","OFFERING_GREENSHOE_SHARES_EX"),""))</f>
        <v/>
      </c>
      <c r="I328" s="16">
        <f>Database!Z328</f>
        <v/>
      </c>
      <c r="J328" s="24">
        <f>IFERROR(BDP(Database!$A328&amp;" HK Equity","PE_RATIO"),"")</f>
        <v/>
      </c>
      <c r="K328" s="10">
        <f>IFERROR(BDP(Database!$A328&amp;" HK Equity","A/H_SHARE_CONVERSION"),"")</f>
        <v/>
      </c>
      <c r="L328" s="16">
        <f>IF(Database!BA328="","(none found)",Database!BA328)</f>
        <v/>
      </c>
      <c r="M328" s="18">
        <f>IFERROR(BDH(Database!$A328&amp;" HK Equity","CUR_MKT_CAP",Database!$H328,Database!$H328),"")</f>
        <v/>
      </c>
      <c r="N328" s="99">
        <f>Database!Q328</f>
        <v/>
      </c>
      <c r="O328" s="24">
        <f>IFERROR(BDH(Database!$A328&amp;" HK Equity","PE_RATIO",Database!$H328,Database!$H328),"")</f>
        <v/>
      </c>
      <c r="P328" s="101">
        <f>IF(Database!AV328="","(n/m or not derivable)",Database!AV328)</f>
        <v/>
      </c>
      <c r="Q328" s="24">
        <f>IF(Database!BA328="","",IFERROR(BDH(LEFT(Database!BA328,FIND(".",Database!BA328)-1)&amp;" CH Equity","PE_RATIO",Database!$H328,Database!$H328),""))</f>
        <v/>
      </c>
      <c r="R328" s="24">
        <f>IF(Database!BA328="","",IFERROR(BDH("HSAHP Index","PX_LAST",Database!$H328,Database!$H328),""))</f>
        <v/>
      </c>
    </row>
    <row r="329">
      <c r="A329" s="16">
        <f>Database!A329&amp;"  "&amp;Database!B329</f>
        <v/>
      </c>
      <c r="B329" s="10">
        <f>IFERROR(INDEX(BDS(Database!$A329&amp;" HK Equity","EQUITY_OFFERINGS","array=t","endcol=1"),MATCH("IPO",BDS(Database!$A329&amp;" HK Equity","EQUITY_OFFERINGS","array=t","startcol=2","endcol=2"),0)),"")</f>
        <v/>
      </c>
      <c r="C329" s="103">
        <f>IF($B329="","",IFERROR(BDP($B329&amp;" Action","CP036"),""))</f>
        <v/>
      </c>
      <c r="D329" s="104">
        <f>Database!S329</f>
        <v/>
      </c>
      <c r="E329" s="103">
        <f>IF($B329="","",IFERROR(BDP($B329&amp;" Action","CP037"),""))</f>
        <v/>
      </c>
      <c r="F329" s="104">
        <f>Database!T329</f>
        <v/>
      </c>
      <c r="G329" s="103">
        <f>IF($B329="","",IFERROR(BDP($B329&amp;" Action","GREENSHOE_FACILITY"),""))</f>
        <v/>
      </c>
      <c r="H329" s="103">
        <f>IF($B329="","",IFERROR(BDP($B329&amp;" Action","OFFERING_GREENSHOE_SHARES_EX"),""))</f>
        <v/>
      </c>
      <c r="I329" s="16">
        <f>Database!Z329</f>
        <v/>
      </c>
      <c r="J329" s="24">
        <f>IFERROR(BDP(Database!$A329&amp;" HK Equity","PE_RATIO"),"")</f>
        <v/>
      </c>
      <c r="K329" s="10">
        <f>IFERROR(BDP(Database!$A329&amp;" HK Equity","A/H_SHARE_CONVERSION"),"")</f>
        <v/>
      </c>
      <c r="L329" s="16">
        <f>IF(Database!BA329="","(none found)",Database!BA329)</f>
        <v/>
      </c>
      <c r="M329" s="18">
        <f>IFERROR(BDH(Database!$A329&amp;" HK Equity","CUR_MKT_CAP",Database!$H329,Database!$H329),"")</f>
        <v/>
      </c>
      <c r="N329" s="99">
        <f>Database!Q329</f>
        <v/>
      </c>
      <c r="O329" s="24">
        <f>IFERROR(BDH(Database!$A329&amp;" HK Equity","PE_RATIO",Database!$H329,Database!$H329),"")</f>
        <v/>
      </c>
      <c r="P329" s="101">
        <f>IF(Database!AV329="","(n/m or not derivable)",Database!AV329)</f>
        <v/>
      </c>
      <c r="Q329" s="24">
        <f>IF(Database!BA329="","",IFERROR(BDH(LEFT(Database!BA329,FIND(".",Database!BA329)-1)&amp;" CH Equity","PE_RATIO",Database!$H329,Database!$H329),""))</f>
        <v/>
      </c>
      <c r="R329" s="24">
        <f>IF(Database!BA329="","",IFERROR(BDH("HSAHP Index","PX_LAST",Database!$H329,Database!$H329),""))</f>
        <v/>
      </c>
    </row>
    <row r="330">
      <c r="A330" s="16">
        <f>Database!A330&amp;"  "&amp;Database!B330</f>
        <v/>
      </c>
      <c r="B330" s="10">
        <f>IFERROR(INDEX(BDS(Database!$A330&amp;" HK Equity","EQUITY_OFFERINGS","array=t","endcol=1"),MATCH("IPO",BDS(Database!$A330&amp;" HK Equity","EQUITY_OFFERINGS","array=t","startcol=2","endcol=2"),0)),"")</f>
        <v/>
      </c>
      <c r="C330" s="103">
        <f>IF($B330="","",IFERROR(BDP($B330&amp;" Action","CP036"),""))</f>
        <v/>
      </c>
      <c r="D330" s="104">
        <f>Database!S330</f>
        <v/>
      </c>
      <c r="E330" s="103">
        <f>IF($B330="","",IFERROR(BDP($B330&amp;" Action","CP037"),""))</f>
        <v/>
      </c>
      <c r="F330" s="104">
        <f>Database!T330</f>
        <v/>
      </c>
      <c r="G330" s="103">
        <f>IF($B330="","",IFERROR(BDP($B330&amp;" Action","GREENSHOE_FACILITY"),""))</f>
        <v/>
      </c>
      <c r="H330" s="103">
        <f>IF($B330="","",IFERROR(BDP($B330&amp;" Action","OFFERING_GREENSHOE_SHARES_EX"),""))</f>
        <v/>
      </c>
      <c r="I330" s="16">
        <f>Database!Z330</f>
        <v/>
      </c>
      <c r="J330" s="24">
        <f>IFERROR(BDP(Database!$A330&amp;" HK Equity","PE_RATIO"),"")</f>
        <v/>
      </c>
      <c r="K330" s="10">
        <f>IFERROR(BDP(Database!$A330&amp;" HK Equity","A/H_SHARE_CONVERSION"),"")</f>
        <v/>
      </c>
      <c r="L330" s="16">
        <f>IF(Database!BA330="","(none found)",Database!BA330)</f>
        <v/>
      </c>
      <c r="M330" s="18">
        <f>IFERROR(BDH(Database!$A330&amp;" HK Equity","CUR_MKT_CAP",Database!$H330,Database!$H330),"")</f>
        <v/>
      </c>
      <c r="N330" s="99">
        <f>Database!Q330</f>
        <v/>
      </c>
      <c r="O330" s="24">
        <f>IFERROR(BDH(Database!$A330&amp;" HK Equity","PE_RATIO",Database!$H330,Database!$H330),"")</f>
        <v/>
      </c>
      <c r="P330" s="101">
        <f>IF(Database!AV330="","(n/m or not derivable)",Database!AV330)</f>
        <v/>
      </c>
      <c r="Q330" s="24">
        <f>IF(Database!BA330="","",IFERROR(BDH(LEFT(Database!BA330,FIND(".",Database!BA330)-1)&amp;" CH Equity","PE_RATIO",Database!$H330,Database!$H330),""))</f>
        <v/>
      </c>
      <c r="R330" s="24">
        <f>IF(Database!BA330="","",IFERROR(BDH("HSAHP Index","PX_LAST",Database!$H330,Database!$H330),""))</f>
        <v/>
      </c>
    </row>
    <row r="331">
      <c r="A331" s="16">
        <f>Database!A331&amp;"  "&amp;Database!B331</f>
        <v/>
      </c>
      <c r="B331" s="10">
        <f>IFERROR(INDEX(BDS(Database!$A331&amp;" HK Equity","EQUITY_OFFERINGS","array=t","endcol=1"),MATCH("IPO",BDS(Database!$A331&amp;" HK Equity","EQUITY_OFFERINGS","array=t","startcol=2","endcol=2"),0)),"")</f>
        <v/>
      </c>
      <c r="C331" s="103">
        <f>IF($B331="","",IFERROR(BDP($B331&amp;" Action","CP036"),""))</f>
        <v/>
      </c>
      <c r="D331" s="104">
        <f>Database!S331</f>
        <v/>
      </c>
      <c r="E331" s="103">
        <f>IF($B331="","",IFERROR(BDP($B331&amp;" Action","CP037"),""))</f>
        <v/>
      </c>
      <c r="F331" s="104">
        <f>Database!T331</f>
        <v/>
      </c>
      <c r="G331" s="103">
        <f>IF($B331="","",IFERROR(BDP($B331&amp;" Action","GREENSHOE_FACILITY"),""))</f>
        <v/>
      </c>
      <c r="H331" s="103">
        <f>IF($B331="","",IFERROR(BDP($B331&amp;" Action","OFFERING_GREENSHOE_SHARES_EX"),""))</f>
        <v/>
      </c>
      <c r="I331" s="16">
        <f>Database!Z331</f>
        <v/>
      </c>
      <c r="J331" s="24">
        <f>IFERROR(BDP(Database!$A331&amp;" HK Equity","PE_RATIO"),"")</f>
        <v/>
      </c>
      <c r="K331" s="10">
        <f>IFERROR(BDP(Database!$A331&amp;" HK Equity","A/H_SHARE_CONVERSION"),"")</f>
        <v/>
      </c>
      <c r="L331" s="16">
        <f>IF(Database!BA331="","(none found)",Database!BA331)</f>
        <v/>
      </c>
      <c r="M331" s="18">
        <f>IFERROR(BDH(Database!$A331&amp;" HK Equity","CUR_MKT_CAP",Database!$H331,Database!$H331),"")</f>
        <v/>
      </c>
      <c r="N331" s="99">
        <f>Database!Q331</f>
        <v/>
      </c>
      <c r="O331" s="24">
        <f>IFERROR(BDH(Database!$A331&amp;" HK Equity","PE_RATIO",Database!$H331,Database!$H331),"")</f>
        <v/>
      </c>
      <c r="P331" s="101">
        <f>IF(Database!AV331="","(n/m or not derivable)",Database!AV331)</f>
        <v/>
      </c>
      <c r="Q331" s="24">
        <f>IF(Database!BA331="","",IFERROR(BDH(LEFT(Database!BA331,FIND(".",Database!BA331)-1)&amp;" CH Equity","PE_RATIO",Database!$H331,Database!$H331),""))</f>
        <v/>
      </c>
      <c r="R331" s="24">
        <f>IF(Database!BA331="","",IFERROR(BDH("HSAHP Index","PX_LAST",Database!$H331,Database!$H331),""))</f>
        <v/>
      </c>
    </row>
    <row r="332">
      <c r="A332" s="16">
        <f>Database!A332&amp;"  "&amp;Database!B332</f>
        <v/>
      </c>
      <c r="B332" s="10">
        <f>IFERROR(INDEX(BDS(Database!$A332&amp;" HK Equity","EQUITY_OFFERINGS","array=t","endcol=1"),MATCH("IPO",BDS(Database!$A332&amp;" HK Equity","EQUITY_OFFERINGS","array=t","startcol=2","endcol=2"),0)),"")</f>
        <v/>
      </c>
      <c r="C332" s="103">
        <f>IF($B332="","",IFERROR(BDP($B332&amp;" Action","CP036"),""))</f>
        <v/>
      </c>
      <c r="D332" s="104">
        <f>Database!S332</f>
        <v/>
      </c>
      <c r="E332" s="103">
        <f>IF($B332="","",IFERROR(BDP($B332&amp;" Action","CP037"),""))</f>
        <v/>
      </c>
      <c r="F332" s="104">
        <f>Database!T332</f>
        <v/>
      </c>
      <c r="G332" s="103">
        <f>IF($B332="","",IFERROR(BDP($B332&amp;" Action","GREENSHOE_FACILITY"),""))</f>
        <v/>
      </c>
      <c r="H332" s="103">
        <f>IF($B332="","",IFERROR(BDP($B332&amp;" Action","OFFERING_GREENSHOE_SHARES_EX"),""))</f>
        <v/>
      </c>
      <c r="I332" s="16">
        <f>Database!Z332</f>
        <v/>
      </c>
      <c r="J332" s="24">
        <f>IFERROR(BDP(Database!$A332&amp;" HK Equity","PE_RATIO"),"")</f>
        <v/>
      </c>
      <c r="K332" s="10">
        <f>IFERROR(BDP(Database!$A332&amp;" HK Equity","A/H_SHARE_CONVERSION"),"")</f>
        <v/>
      </c>
      <c r="L332" s="16">
        <f>IF(Database!BA332="","(none found)",Database!BA332)</f>
        <v/>
      </c>
      <c r="M332" s="18">
        <f>IFERROR(BDH(Database!$A332&amp;" HK Equity","CUR_MKT_CAP",Database!$H332,Database!$H332),"")</f>
        <v/>
      </c>
      <c r="N332" s="99">
        <f>Database!Q332</f>
        <v/>
      </c>
      <c r="O332" s="24">
        <f>IFERROR(BDH(Database!$A332&amp;" HK Equity","PE_RATIO",Database!$H332,Database!$H332),"")</f>
        <v/>
      </c>
      <c r="P332" s="101">
        <f>IF(Database!AV332="","(n/m or not derivable)",Database!AV332)</f>
        <v/>
      </c>
      <c r="Q332" s="24">
        <f>IF(Database!BA332="","",IFERROR(BDH(LEFT(Database!BA332,FIND(".",Database!BA332)-1)&amp;" CH Equity","PE_RATIO",Database!$H332,Database!$H332),""))</f>
        <v/>
      </c>
      <c r="R332" s="24">
        <f>IF(Database!BA332="","",IFERROR(BDH("HSAHP Index","PX_LAST",Database!$H332,Database!$H332),""))</f>
        <v/>
      </c>
    </row>
    <row r="333">
      <c r="A333" s="16">
        <f>Database!A333&amp;"  "&amp;Database!B333</f>
        <v/>
      </c>
      <c r="B333" s="10">
        <f>IFERROR(INDEX(BDS(Database!$A333&amp;" HK Equity","EQUITY_OFFERINGS","array=t","endcol=1"),MATCH("IPO",BDS(Database!$A333&amp;" HK Equity","EQUITY_OFFERINGS","array=t","startcol=2","endcol=2"),0)),"")</f>
        <v/>
      </c>
      <c r="C333" s="103">
        <f>IF($B333="","",IFERROR(BDP($B333&amp;" Action","CP036"),""))</f>
        <v/>
      </c>
      <c r="D333" s="104">
        <f>Database!S333</f>
        <v/>
      </c>
      <c r="E333" s="103">
        <f>IF($B333="","",IFERROR(BDP($B333&amp;" Action","CP037"),""))</f>
        <v/>
      </c>
      <c r="F333" s="104">
        <f>Database!T333</f>
        <v/>
      </c>
      <c r="G333" s="103">
        <f>IF($B333="","",IFERROR(BDP($B333&amp;" Action","GREENSHOE_FACILITY"),""))</f>
        <v/>
      </c>
      <c r="H333" s="103">
        <f>IF($B333="","",IFERROR(BDP($B333&amp;" Action","OFFERING_GREENSHOE_SHARES_EX"),""))</f>
        <v/>
      </c>
      <c r="I333" s="16">
        <f>Database!Z333</f>
        <v/>
      </c>
      <c r="J333" s="24">
        <f>IFERROR(BDP(Database!$A333&amp;" HK Equity","PE_RATIO"),"")</f>
        <v/>
      </c>
      <c r="K333" s="10">
        <f>IFERROR(BDP(Database!$A333&amp;" HK Equity","A/H_SHARE_CONVERSION"),"")</f>
        <v/>
      </c>
      <c r="L333" s="16">
        <f>IF(Database!BA333="","(none found)",Database!BA333)</f>
        <v/>
      </c>
      <c r="M333" s="18">
        <f>IFERROR(BDH(Database!$A333&amp;" HK Equity","CUR_MKT_CAP",Database!$H333,Database!$H333),"")</f>
        <v/>
      </c>
      <c r="N333" s="99">
        <f>Database!Q333</f>
        <v/>
      </c>
      <c r="O333" s="24">
        <f>IFERROR(BDH(Database!$A333&amp;" HK Equity","PE_RATIO",Database!$H333,Database!$H333),"")</f>
        <v/>
      </c>
      <c r="P333" s="101">
        <f>IF(Database!AV333="","(n/m or not derivable)",Database!AV333)</f>
        <v/>
      </c>
      <c r="Q333" s="24">
        <f>IF(Database!BA333="","",IFERROR(BDH(LEFT(Database!BA333,FIND(".",Database!BA333)-1)&amp;" CH Equity","PE_RATIO",Database!$H333,Database!$H333),""))</f>
        <v/>
      </c>
      <c r="R333" s="24">
        <f>IF(Database!BA333="","",IFERROR(BDH("HSAHP Index","PX_LAST",Database!$H333,Database!$H333),""))</f>
        <v/>
      </c>
    </row>
    <row r="334">
      <c r="A334" s="16">
        <f>Database!A334&amp;"  "&amp;Database!B334</f>
        <v/>
      </c>
      <c r="B334" s="10">
        <f>IFERROR(INDEX(BDS(Database!$A334&amp;" HK Equity","EQUITY_OFFERINGS","array=t","endcol=1"),MATCH("IPO",BDS(Database!$A334&amp;" HK Equity","EQUITY_OFFERINGS","array=t","startcol=2","endcol=2"),0)),"")</f>
        <v/>
      </c>
      <c r="C334" s="103">
        <f>IF($B334="","",IFERROR(BDP($B334&amp;" Action","CP036"),""))</f>
        <v/>
      </c>
      <c r="D334" s="104">
        <f>Database!S334</f>
        <v/>
      </c>
      <c r="E334" s="103">
        <f>IF($B334="","",IFERROR(BDP($B334&amp;" Action","CP037"),""))</f>
        <v/>
      </c>
      <c r="F334" s="104">
        <f>Database!T334</f>
        <v/>
      </c>
      <c r="G334" s="103">
        <f>IF($B334="","",IFERROR(BDP($B334&amp;" Action","GREENSHOE_FACILITY"),""))</f>
        <v/>
      </c>
      <c r="H334" s="103">
        <f>IF($B334="","",IFERROR(BDP($B334&amp;" Action","OFFERING_GREENSHOE_SHARES_EX"),""))</f>
        <v/>
      </c>
      <c r="I334" s="16">
        <f>Database!Z334</f>
        <v/>
      </c>
      <c r="J334" s="24">
        <f>IFERROR(BDP(Database!$A334&amp;" HK Equity","PE_RATIO"),"")</f>
        <v/>
      </c>
      <c r="K334" s="10">
        <f>IFERROR(BDP(Database!$A334&amp;" HK Equity","A/H_SHARE_CONVERSION"),"")</f>
        <v/>
      </c>
      <c r="L334" s="16">
        <f>IF(Database!BA334="","(none found)",Database!BA334)</f>
        <v/>
      </c>
      <c r="M334" s="18">
        <f>IFERROR(BDH(Database!$A334&amp;" HK Equity","CUR_MKT_CAP",Database!$H334,Database!$H334),"")</f>
        <v/>
      </c>
      <c r="N334" s="99">
        <f>Database!Q334</f>
        <v/>
      </c>
      <c r="O334" s="24">
        <f>IFERROR(BDH(Database!$A334&amp;" HK Equity","PE_RATIO",Database!$H334,Database!$H334),"")</f>
        <v/>
      </c>
      <c r="P334" s="101">
        <f>IF(Database!AV334="","(n/m or not derivable)",Database!AV334)</f>
        <v/>
      </c>
      <c r="Q334" s="24">
        <f>IF(Database!BA334="","",IFERROR(BDH(LEFT(Database!BA334,FIND(".",Database!BA334)-1)&amp;" CH Equity","PE_RATIO",Database!$H334,Database!$H334),""))</f>
        <v/>
      </c>
      <c r="R334" s="24">
        <f>IF(Database!BA334="","",IFERROR(BDH("HSAHP Index","PX_LAST",Database!$H334,Database!$H334),""))</f>
        <v/>
      </c>
    </row>
    <row r="335">
      <c r="A335" s="16">
        <f>Database!A335&amp;"  "&amp;Database!B335</f>
        <v/>
      </c>
      <c r="B335" s="10">
        <f>IFERROR(INDEX(BDS(Database!$A335&amp;" HK Equity","EQUITY_OFFERINGS","array=t","endcol=1"),MATCH("IPO",BDS(Database!$A335&amp;" HK Equity","EQUITY_OFFERINGS","array=t","startcol=2","endcol=2"),0)),"")</f>
        <v/>
      </c>
      <c r="C335" s="103">
        <f>IF($B335="","",IFERROR(BDP($B335&amp;" Action","CP036"),""))</f>
        <v/>
      </c>
      <c r="D335" s="104">
        <f>Database!S335</f>
        <v/>
      </c>
      <c r="E335" s="103">
        <f>IF($B335="","",IFERROR(BDP($B335&amp;" Action","CP037"),""))</f>
        <v/>
      </c>
      <c r="F335" s="104">
        <f>Database!T335</f>
        <v/>
      </c>
      <c r="G335" s="103">
        <f>IF($B335="","",IFERROR(BDP($B335&amp;" Action","GREENSHOE_FACILITY"),""))</f>
        <v/>
      </c>
      <c r="H335" s="103">
        <f>IF($B335="","",IFERROR(BDP($B335&amp;" Action","OFFERING_GREENSHOE_SHARES_EX"),""))</f>
        <v/>
      </c>
      <c r="I335" s="16">
        <f>Database!Z335</f>
        <v/>
      </c>
      <c r="J335" s="24">
        <f>IFERROR(BDP(Database!$A335&amp;" HK Equity","PE_RATIO"),"")</f>
        <v/>
      </c>
      <c r="K335" s="10">
        <f>IFERROR(BDP(Database!$A335&amp;" HK Equity","A/H_SHARE_CONVERSION"),"")</f>
        <v/>
      </c>
      <c r="L335" s="16">
        <f>IF(Database!BA335="","(none found)",Database!BA335)</f>
        <v/>
      </c>
      <c r="M335" s="18">
        <f>IFERROR(BDH(Database!$A335&amp;" HK Equity","CUR_MKT_CAP",Database!$H335,Database!$H335),"")</f>
        <v/>
      </c>
      <c r="N335" s="99">
        <f>Database!Q335</f>
        <v/>
      </c>
      <c r="O335" s="24">
        <f>IFERROR(BDH(Database!$A335&amp;" HK Equity","PE_RATIO",Database!$H335,Database!$H335),"")</f>
        <v/>
      </c>
      <c r="P335" s="101">
        <f>IF(Database!AV335="","(n/m or not derivable)",Database!AV335)</f>
        <v/>
      </c>
      <c r="Q335" s="24">
        <f>IF(Database!BA335="","",IFERROR(BDH(LEFT(Database!BA335,FIND(".",Database!BA335)-1)&amp;" CH Equity","PE_RATIO",Database!$H335,Database!$H335),""))</f>
        <v/>
      </c>
      <c r="R335" s="24">
        <f>IF(Database!BA335="","",IFERROR(BDH("HSAHP Index","PX_LAST",Database!$H335,Database!$H335),""))</f>
        <v/>
      </c>
    </row>
    <row r="336">
      <c r="A336" s="16">
        <f>Database!A336&amp;"  "&amp;Database!B336</f>
        <v/>
      </c>
      <c r="B336" s="10">
        <f>IFERROR(INDEX(BDS(Database!$A336&amp;" HK Equity","EQUITY_OFFERINGS","array=t","endcol=1"),MATCH("IPO",BDS(Database!$A336&amp;" HK Equity","EQUITY_OFFERINGS","array=t","startcol=2","endcol=2"),0)),"")</f>
        <v/>
      </c>
      <c r="C336" s="103">
        <f>IF($B336="","",IFERROR(BDP($B336&amp;" Action","CP036"),""))</f>
        <v/>
      </c>
      <c r="D336" s="104">
        <f>Database!S336</f>
        <v/>
      </c>
      <c r="E336" s="103">
        <f>IF($B336="","",IFERROR(BDP($B336&amp;" Action","CP037"),""))</f>
        <v/>
      </c>
      <c r="F336" s="104">
        <f>Database!T336</f>
        <v/>
      </c>
      <c r="G336" s="103">
        <f>IF($B336="","",IFERROR(BDP($B336&amp;" Action","GREENSHOE_FACILITY"),""))</f>
        <v/>
      </c>
      <c r="H336" s="103">
        <f>IF($B336="","",IFERROR(BDP($B336&amp;" Action","OFFERING_GREENSHOE_SHARES_EX"),""))</f>
        <v/>
      </c>
      <c r="I336" s="16">
        <f>Database!Z336</f>
        <v/>
      </c>
      <c r="J336" s="24">
        <f>IFERROR(BDP(Database!$A336&amp;" HK Equity","PE_RATIO"),"")</f>
        <v/>
      </c>
      <c r="K336" s="10">
        <f>IFERROR(BDP(Database!$A336&amp;" HK Equity","A/H_SHARE_CONVERSION"),"")</f>
        <v/>
      </c>
      <c r="L336" s="16">
        <f>IF(Database!BA336="","(none found)",Database!BA336)</f>
        <v/>
      </c>
      <c r="M336" s="18">
        <f>IFERROR(BDH(Database!$A336&amp;" HK Equity","CUR_MKT_CAP",Database!$H336,Database!$H336),"")</f>
        <v/>
      </c>
      <c r="N336" s="99">
        <f>Database!Q336</f>
        <v/>
      </c>
      <c r="O336" s="24">
        <f>IFERROR(BDH(Database!$A336&amp;" HK Equity","PE_RATIO",Database!$H336,Database!$H336),"")</f>
        <v/>
      </c>
      <c r="P336" s="101">
        <f>IF(Database!AV336="","(n/m or not derivable)",Database!AV336)</f>
        <v/>
      </c>
      <c r="Q336" s="24">
        <f>IF(Database!BA336="","",IFERROR(BDH(LEFT(Database!BA336,FIND(".",Database!BA336)-1)&amp;" CH Equity","PE_RATIO",Database!$H336,Database!$H336),""))</f>
        <v/>
      </c>
      <c r="R336" s="24">
        <f>IF(Database!BA336="","",IFERROR(BDH("HSAHP Index","PX_LAST",Database!$H336,Database!$H336),""))</f>
        <v/>
      </c>
    </row>
    <row r="337">
      <c r="A337" s="16">
        <f>Database!A337&amp;"  "&amp;Database!B337</f>
        <v/>
      </c>
      <c r="B337" s="10">
        <f>IFERROR(INDEX(BDS(Database!$A337&amp;" HK Equity","EQUITY_OFFERINGS","array=t","endcol=1"),MATCH("IPO",BDS(Database!$A337&amp;" HK Equity","EQUITY_OFFERINGS","array=t","startcol=2","endcol=2"),0)),"")</f>
        <v/>
      </c>
      <c r="C337" s="103">
        <f>IF($B337="","",IFERROR(BDP($B337&amp;" Action","CP036"),""))</f>
        <v/>
      </c>
      <c r="D337" s="104">
        <f>Database!S337</f>
        <v/>
      </c>
      <c r="E337" s="103">
        <f>IF($B337="","",IFERROR(BDP($B337&amp;" Action","CP037"),""))</f>
        <v/>
      </c>
      <c r="F337" s="104">
        <f>Database!T337</f>
        <v/>
      </c>
      <c r="G337" s="103">
        <f>IF($B337="","",IFERROR(BDP($B337&amp;" Action","GREENSHOE_FACILITY"),""))</f>
        <v/>
      </c>
      <c r="H337" s="103">
        <f>IF($B337="","",IFERROR(BDP($B337&amp;" Action","OFFERING_GREENSHOE_SHARES_EX"),""))</f>
        <v/>
      </c>
      <c r="I337" s="16">
        <f>Database!Z337</f>
        <v/>
      </c>
      <c r="J337" s="24">
        <f>IFERROR(BDP(Database!$A337&amp;" HK Equity","PE_RATIO"),"")</f>
        <v/>
      </c>
      <c r="K337" s="10">
        <f>IFERROR(BDP(Database!$A337&amp;" HK Equity","A/H_SHARE_CONVERSION"),"")</f>
        <v/>
      </c>
      <c r="L337" s="16">
        <f>IF(Database!BA337="","(none found)",Database!BA337)</f>
        <v/>
      </c>
      <c r="M337" s="18">
        <f>IFERROR(BDH(Database!$A337&amp;" HK Equity","CUR_MKT_CAP",Database!$H337,Database!$H337),"")</f>
        <v/>
      </c>
      <c r="N337" s="99">
        <f>Database!Q337</f>
        <v/>
      </c>
      <c r="O337" s="24">
        <f>IFERROR(BDH(Database!$A337&amp;" HK Equity","PE_RATIO",Database!$H337,Database!$H337),"")</f>
        <v/>
      </c>
      <c r="P337" s="101">
        <f>IF(Database!AV337="","(n/m or not derivable)",Database!AV337)</f>
        <v/>
      </c>
      <c r="Q337" s="24">
        <f>IF(Database!BA337="","",IFERROR(BDH(LEFT(Database!BA337,FIND(".",Database!BA337)-1)&amp;" CH Equity","PE_RATIO",Database!$H337,Database!$H337),""))</f>
        <v/>
      </c>
      <c r="R337" s="24">
        <f>IF(Database!BA337="","",IFERROR(BDH("HSAHP Index","PX_LAST",Database!$H337,Database!$H337),""))</f>
        <v/>
      </c>
    </row>
    <row r="338">
      <c r="A338" s="16">
        <f>Database!A338&amp;"  "&amp;Database!B338</f>
        <v/>
      </c>
      <c r="B338" s="10">
        <f>IFERROR(INDEX(BDS(Database!$A338&amp;" HK Equity","EQUITY_OFFERINGS","array=t","endcol=1"),MATCH("IPO",BDS(Database!$A338&amp;" HK Equity","EQUITY_OFFERINGS","array=t","startcol=2","endcol=2"),0)),"")</f>
        <v/>
      </c>
      <c r="C338" s="103">
        <f>IF($B338="","",IFERROR(BDP($B338&amp;" Action","CP036"),""))</f>
        <v/>
      </c>
      <c r="D338" s="104">
        <f>Database!S338</f>
        <v/>
      </c>
      <c r="E338" s="103">
        <f>IF($B338="","",IFERROR(BDP($B338&amp;" Action","CP037"),""))</f>
        <v/>
      </c>
      <c r="F338" s="104">
        <f>Database!T338</f>
        <v/>
      </c>
      <c r="G338" s="103">
        <f>IF($B338="","",IFERROR(BDP($B338&amp;" Action","GREENSHOE_FACILITY"),""))</f>
        <v/>
      </c>
      <c r="H338" s="103">
        <f>IF($B338="","",IFERROR(BDP($B338&amp;" Action","OFFERING_GREENSHOE_SHARES_EX"),""))</f>
        <v/>
      </c>
      <c r="I338" s="16">
        <f>Database!Z338</f>
        <v/>
      </c>
      <c r="J338" s="24">
        <f>IFERROR(BDP(Database!$A338&amp;" HK Equity","PE_RATIO"),"")</f>
        <v/>
      </c>
      <c r="K338" s="10">
        <f>IFERROR(BDP(Database!$A338&amp;" HK Equity","A/H_SHARE_CONVERSION"),"")</f>
        <v/>
      </c>
      <c r="L338" s="16">
        <f>IF(Database!BA338="","(none found)",Database!BA338)</f>
        <v/>
      </c>
      <c r="M338" s="18">
        <f>IFERROR(BDH(Database!$A338&amp;" HK Equity","CUR_MKT_CAP",Database!$H338,Database!$H338),"")</f>
        <v/>
      </c>
      <c r="N338" s="99">
        <f>Database!Q338</f>
        <v/>
      </c>
      <c r="O338" s="24">
        <f>IFERROR(BDH(Database!$A338&amp;" HK Equity","PE_RATIO",Database!$H338,Database!$H338),"")</f>
        <v/>
      </c>
      <c r="P338" s="101">
        <f>IF(Database!AV338="","(n/m or not derivable)",Database!AV338)</f>
        <v/>
      </c>
      <c r="Q338" s="24">
        <f>IF(Database!BA338="","",IFERROR(BDH(LEFT(Database!BA338,FIND(".",Database!BA338)-1)&amp;" CH Equity","PE_RATIO",Database!$H338,Database!$H338),""))</f>
        <v/>
      </c>
      <c r="R338" s="24">
        <f>IF(Database!BA338="","",IFERROR(BDH("HSAHP Index","PX_LAST",Database!$H338,Database!$H338),""))</f>
        <v/>
      </c>
    </row>
    <row r="339">
      <c r="A339" s="16">
        <f>Database!A339&amp;"  "&amp;Database!B339</f>
        <v/>
      </c>
      <c r="B339" s="10">
        <f>IFERROR(INDEX(BDS(Database!$A339&amp;" HK Equity","EQUITY_OFFERINGS","array=t","endcol=1"),MATCH("IPO",BDS(Database!$A339&amp;" HK Equity","EQUITY_OFFERINGS","array=t","startcol=2","endcol=2"),0)),"")</f>
        <v/>
      </c>
      <c r="C339" s="103">
        <f>IF($B339="","",IFERROR(BDP($B339&amp;" Action","CP036"),""))</f>
        <v/>
      </c>
      <c r="D339" s="104">
        <f>Database!S339</f>
        <v/>
      </c>
      <c r="E339" s="103">
        <f>IF($B339="","",IFERROR(BDP($B339&amp;" Action","CP037"),""))</f>
        <v/>
      </c>
      <c r="F339" s="104">
        <f>Database!T339</f>
        <v/>
      </c>
      <c r="G339" s="103">
        <f>IF($B339="","",IFERROR(BDP($B339&amp;" Action","GREENSHOE_FACILITY"),""))</f>
        <v/>
      </c>
      <c r="H339" s="103">
        <f>IF($B339="","",IFERROR(BDP($B339&amp;" Action","OFFERING_GREENSHOE_SHARES_EX"),""))</f>
        <v/>
      </c>
      <c r="I339" s="16">
        <f>Database!Z339</f>
        <v/>
      </c>
      <c r="J339" s="24">
        <f>IFERROR(BDP(Database!$A339&amp;" HK Equity","PE_RATIO"),"")</f>
        <v/>
      </c>
      <c r="K339" s="10">
        <f>IFERROR(BDP(Database!$A339&amp;" HK Equity","A/H_SHARE_CONVERSION"),"")</f>
        <v/>
      </c>
      <c r="L339" s="16">
        <f>IF(Database!BA339="","(none found)",Database!BA339)</f>
        <v/>
      </c>
      <c r="M339" s="18">
        <f>IFERROR(BDH(Database!$A339&amp;" HK Equity","CUR_MKT_CAP",Database!$H339,Database!$H339),"")</f>
        <v/>
      </c>
      <c r="N339" s="99">
        <f>Database!Q339</f>
        <v/>
      </c>
      <c r="O339" s="24">
        <f>IFERROR(BDH(Database!$A339&amp;" HK Equity","PE_RATIO",Database!$H339,Database!$H339),"")</f>
        <v/>
      </c>
      <c r="P339" s="101">
        <f>IF(Database!AV339="","(n/m or not derivable)",Database!AV339)</f>
        <v/>
      </c>
      <c r="Q339" s="24">
        <f>IF(Database!BA339="","",IFERROR(BDH(LEFT(Database!BA339,FIND(".",Database!BA339)-1)&amp;" CH Equity","PE_RATIO",Database!$H339,Database!$H339),""))</f>
        <v/>
      </c>
      <c r="R339" s="24">
        <f>IF(Database!BA339="","",IFERROR(BDH("HSAHP Index","PX_LAST",Database!$H339,Database!$H339),""))</f>
        <v/>
      </c>
    </row>
    <row r="340">
      <c r="A340" s="16">
        <f>Database!A340&amp;"  "&amp;Database!B340</f>
        <v/>
      </c>
      <c r="B340" s="10">
        <f>IFERROR(INDEX(BDS(Database!$A340&amp;" HK Equity","EQUITY_OFFERINGS","array=t","endcol=1"),MATCH("IPO",BDS(Database!$A340&amp;" HK Equity","EQUITY_OFFERINGS","array=t","startcol=2","endcol=2"),0)),"")</f>
        <v/>
      </c>
      <c r="C340" s="103">
        <f>IF($B340="","",IFERROR(BDP($B340&amp;" Action","CP036"),""))</f>
        <v/>
      </c>
      <c r="D340" s="104">
        <f>Database!S340</f>
        <v/>
      </c>
      <c r="E340" s="103">
        <f>IF($B340="","",IFERROR(BDP($B340&amp;" Action","CP037"),""))</f>
        <v/>
      </c>
      <c r="F340" s="104">
        <f>Database!T340</f>
        <v/>
      </c>
      <c r="G340" s="103">
        <f>IF($B340="","",IFERROR(BDP($B340&amp;" Action","GREENSHOE_FACILITY"),""))</f>
        <v/>
      </c>
      <c r="H340" s="103">
        <f>IF($B340="","",IFERROR(BDP($B340&amp;" Action","OFFERING_GREENSHOE_SHARES_EX"),""))</f>
        <v/>
      </c>
      <c r="I340" s="16">
        <f>Database!Z340</f>
        <v/>
      </c>
      <c r="J340" s="24">
        <f>IFERROR(BDP(Database!$A340&amp;" HK Equity","PE_RATIO"),"")</f>
        <v/>
      </c>
      <c r="K340" s="10">
        <f>IFERROR(BDP(Database!$A340&amp;" HK Equity","A/H_SHARE_CONVERSION"),"")</f>
        <v/>
      </c>
      <c r="L340" s="16">
        <f>IF(Database!BA340="","(none found)",Database!BA340)</f>
        <v/>
      </c>
      <c r="M340" s="18">
        <f>IFERROR(BDH(Database!$A340&amp;" HK Equity","CUR_MKT_CAP",Database!$H340,Database!$H340),"")</f>
        <v/>
      </c>
      <c r="N340" s="99">
        <f>Database!Q340</f>
        <v/>
      </c>
      <c r="O340" s="24">
        <f>IFERROR(BDH(Database!$A340&amp;" HK Equity","PE_RATIO",Database!$H340,Database!$H340),"")</f>
        <v/>
      </c>
      <c r="P340" s="101">
        <f>IF(Database!AV340="","(n/m or not derivable)",Database!AV340)</f>
        <v/>
      </c>
      <c r="Q340" s="24">
        <f>IF(Database!BA340="","",IFERROR(BDH(LEFT(Database!BA340,FIND(".",Database!BA340)-1)&amp;" CH Equity","PE_RATIO",Database!$H340,Database!$H340),""))</f>
        <v/>
      </c>
      <c r="R340" s="24">
        <f>IF(Database!BA340="","",IFERROR(BDH("HSAHP Index","PX_LAST",Database!$H340,Database!$H340),""))</f>
        <v/>
      </c>
    </row>
    <row r="341">
      <c r="A341" s="16">
        <f>Database!A341&amp;"  "&amp;Database!B341</f>
        <v/>
      </c>
      <c r="B341" s="10">
        <f>IFERROR(INDEX(BDS(Database!$A341&amp;" HK Equity","EQUITY_OFFERINGS","array=t","endcol=1"),MATCH("IPO",BDS(Database!$A341&amp;" HK Equity","EQUITY_OFFERINGS","array=t","startcol=2","endcol=2"),0)),"")</f>
        <v/>
      </c>
      <c r="C341" s="103">
        <f>IF($B341="","",IFERROR(BDP($B341&amp;" Action","CP036"),""))</f>
        <v/>
      </c>
      <c r="D341" s="104">
        <f>Database!S341</f>
        <v/>
      </c>
      <c r="E341" s="103">
        <f>IF($B341="","",IFERROR(BDP($B341&amp;" Action","CP037"),""))</f>
        <v/>
      </c>
      <c r="F341" s="104">
        <f>Database!T341</f>
        <v/>
      </c>
      <c r="G341" s="103">
        <f>IF($B341="","",IFERROR(BDP($B341&amp;" Action","GREENSHOE_FACILITY"),""))</f>
        <v/>
      </c>
      <c r="H341" s="103">
        <f>IF($B341="","",IFERROR(BDP($B341&amp;" Action","OFFERING_GREENSHOE_SHARES_EX"),""))</f>
        <v/>
      </c>
      <c r="I341" s="16">
        <f>Database!Z341</f>
        <v/>
      </c>
      <c r="J341" s="24">
        <f>IFERROR(BDP(Database!$A341&amp;" HK Equity","PE_RATIO"),"")</f>
        <v/>
      </c>
      <c r="K341" s="10">
        <f>IFERROR(BDP(Database!$A341&amp;" HK Equity","A/H_SHARE_CONVERSION"),"")</f>
        <v/>
      </c>
      <c r="L341" s="16">
        <f>IF(Database!BA341="","(none found)",Database!BA341)</f>
        <v/>
      </c>
      <c r="M341" s="18">
        <f>IFERROR(BDH(Database!$A341&amp;" HK Equity","CUR_MKT_CAP",Database!$H341,Database!$H341),"")</f>
        <v/>
      </c>
      <c r="N341" s="99">
        <f>Database!Q341</f>
        <v/>
      </c>
      <c r="O341" s="24">
        <f>IFERROR(BDH(Database!$A341&amp;" HK Equity","PE_RATIO",Database!$H341,Database!$H341),"")</f>
        <v/>
      </c>
      <c r="P341" s="101">
        <f>IF(Database!AV341="","(n/m or not derivable)",Database!AV341)</f>
        <v/>
      </c>
      <c r="Q341" s="24">
        <f>IF(Database!BA341="","",IFERROR(BDH(LEFT(Database!BA341,FIND(".",Database!BA341)-1)&amp;" CH Equity","PE_RATIO",Database!$H341,Database!$H341),""))</f>
        <v/>
      </c>
      <c r="R341" s="24">
        <f>IF(Database!BA341="","",IFERROR(BDH("HSAHP Index","PX_LAST",Database!$H341,Database!$H341),""))</f>
        <v/>
      </c>
    </row>
    <row r="342">
      <c r="A342" s="16">
        <f>Database!A342&amp;"  "&amp;Database!B342</f>
        <v/>
      </c>
      <c r="B342" s="10">
        <f>IFERROR(INDEX(BDS(Database!$A342&amp;" HK Equity","EQUITY_OFFERINGS","array=t","endcol=1"),MATCH("IPO",BDS(Database!$A342&amp;" HK Equity","EQUITY_OFFERINGS","array=t","startcol=2","endcol=2"),0)),"")</f>
        <v/>
      </c>
      <c r="C342" s="103">
        <f>IF($B342="","",IFERROR(BDP($B342&amp;" Action","CP036"),""))</f>
        <v/>
      </c>
      <c r="D342" s="104">
        <f>Database!S342</f>
        <v/>
      </c>
      <c r="E342" s="103">
        <f>IF($B342="","",IFERROR(BDP($B342&amp;" Action","CP037"),""))</f>
        <v/>
      </c>
      <c r="F342" s="104">
        <f>Database!T342</f>
        <v/>
      </c>
      <c r="G342" s="103">
        <f>IF($B342="","",IFERROR(BDP($B342&amp;" Action","GREENSHOE_FACILITY"),""))</f>
        <v/>
      </c>
      <c r="H342" s="103">
        <f>IF($B342="","",IFERROR(BDP($B342&amp;" Action","OFFERING_GREENSHOE_SHARES_EX"),""))</f>
        <v/>
      </c>
      <c r="I342" s="16">
        <f>Database!Z342</f>
        <v/>
      </c>
      <c r="J342" s="24">
        <f>IFERROR(BDP(Database!$A342&amp;" HK Equity","PE_RATIO"),"")</f>
        <v/>
      </c>
      <c r="K342" s="10">
        <f>IFERROR(BDP(Database!$A342&amp;" HK Equity","A/H_SHARE_CONVERSION"),"")</f>
        <v/>
      </c>
      <c r="L342" s="16">
        <f>IF(Database!BA342="","(none found)",Database!BA342)</f>
        <v/>
      </c>
      <c r="M342" s="18">
        <f>IFERROR(BDH(Database!$A342&amp;" HK Equity","CUR_MKT_CAP",Database!$H342,Database!$H342),"")</f>
        <v/>
      </c>
      <c r="N342" s="99">
        <f>Database!Q342</f>
        <v/>
      </c>
      <c r="O342" s="24">
        <f>IFERROR(BDH(Database!$A342&amp;" HK Equity","PE_RATIO",Database!$H342,Database!$H342),"")</f>
        <v/>
      </c>
      <c r="P342" s="101">
        <f>IF(Database!AV342="","(n/m or not derivable)",Database!AV342)</f>
        <v/>
      </c>
      <c r="Q342" s="24">
        <f>IF(Database!BA342="","",IFERROR(BDH(LEFT(Database!BA342,FIND(".",Database!BA342)-1)&amp;" CH Equity","PE_RATIO",Database!$H342,Database!$H342),""))</f>
        <v/>
      </c>
      <c r="R342" s="24">
        <f>IF(Database!BA342="","",IFERROR(BDH("HSAHP Index","PX_LAST",Database!$H342,Database!$H342),""))</f>
        <v/>
      </c>
    </row>
    <row r="343">
      <c r="A343" s="16">
        <f>Database!A343&amp;"  "&amp;Database!B343</f>
        <v/>
      </c>
      <c r="B343" s="10">
        <f>IFERROR(INDEX(BDS(Database!$A343&amp;" HK Equity","EQUITY_OFFERINGS","array=t","endcol=1"),MATCH("IPO",BDS(Database!$A343&amp;" HK Equity","EQUITY_OFFERINGS","array=t","startcol=2","endcol=2"),0)),"")</f>
        <v/>
      </c>
      <c r="C343" s="103">
        <f>IF($B343="","",IFERROR(BDP($B343&amp;" Action","CP036"),""))</f>
        <v/>
      </c>
      <c r="D343" s="104">
        <f>Database!S343</f>
        <v/>
      </c>
      <c r="E343" s="103">
        <f>IF($B343="","",IFERROR(BDP($B343&amp;" Action","CP037"),""))</f>
        <v/>
      </c>
      <c r="F343" s="104">
        <f>Database!T343</f>
        <v/>
      </c>
      <c r="G343" s="103">
        <f>IF($B343="","",IFERROR(BDP($B343&amp;" Action","GREENSHOE_FACILITY"),""))</f>
        <v/>
      </c>
      <c r="H343" s="103">
        <f>IF($B343="","",IFERROR(BDP($B343&amp;" Action","OFFERING_GREENSHOE_SHARES_EX"),""))</f>
        <v/>
      </c>
      <c r="I343" s="16">
        <f>Database!Z343</f>
        <v/>
      </c>
      <c r="J343" s="24">
        <f>IFERROR(BDP(Database!$A343&amp;" HK Equity","PE_RATIO"),"")</f>
        <v/>
      </c>
      <c r="K343" s="10">
        <f>IFERROR(BDP(Database!$A343&amp;" HK Equity","A/H_SHARE_CONVERSION"),"")</f>
        <v/>
      </c>
      <c r="L343" s="16">
        <f>IF(Database!BA343="","(none found)",Database!BA343)</f>
        <v/>
      </c>
      <c r="M343" s="18">
        <f>IFERROR(BDH(Database!$A343&amp;" HK Equity","CUR_MKT_CAP",Database!$H343,Database!$H343),"")</f>
        <v/>
      </c>
      <c r="N343" s="99">
        <f>Database!Q343</f>
        <v/>
      </c>
      <c r="O343" s="24">
        <f>IFERROR(BDH(Database!$A343&amp;" HK Equity","PE_RATIO",Database!$H343,Database!$H343),"")</f>
        <v/>
      </c>
      <c r="P343" s="101">
        <f>IF(Database!AV343="","(n/m or not derivable)",Database!AV343)</f>
        <v/>
      </c>
      <c r="Q343" s="24">
        <f>IF(Database!BA343="","",IFERROR(BDH(LEFT(Database!BA343,FIND(".",Database!BA343)-1)&amp;" CH Equity","PE_RATIO",Database!$H343,Database!$H343),""))</f>
        <v/>
      </c>
      <c r="R343" s="24">
        <f>IF(Database!BA343="","",IFERROR(BDH("HSAHP Index","PX_LAST",Database!$H343,Database!$H343),""))</f>
        <v/>
      </c>
    </row>
    <row r="344">
      <c r="A344" s="16">
        <f>Database!A344&amp;"  "&amp;Database!B344</f>
        <v/>
      </c>
      <c r="B344" s="10">
        <f>IFERROR(INDEX(BDS(Database!$A344&amp;" HK Equity","EQUITY_OFFERINGS","array=t","endcol=1"),MATCH("IPO",BDS(Database!$A344&amp;" HK Equity","EQUITY_OFFERINGS","array=t","startcol=2","endcol=2"),0)),"")</f>
        <v/>
      </c>
      <c r="C344" s="103">
        <f>IF($B344="","",IFERROR(BDP($B344&amp;" Action","CP036"),""))</f>
        <v/>
      </c>
      <c r="D344" s="104">
        <f>Database!S344</f>
        <v/>
      </c>
      <c r="E344" s="103">
        <f>IF($B344="","",IFERROR(BDP($B344&amp;" Action","CP037"),""))</f>
        <v/>
      </c>
      <c r="F344" s="104">
        <f>Database!T344</f>
        <v/>
      </c>
      <c r="G344" s="103">
        <f>IF($B344="","",IFERROR(BDP($B344&amp;" Action","GREENSHOE_FACILITY"),""))</f>
        <v/>
      </c>
      <c r="H344" s="103">
        <f>IF($B344="","",IFERROR(BDP($B344&amp;" Action","OFFERING_GREENSHOE_SHARES_EX"),""))</f>
        <v/>
      </c>
      <c r="I344" s="16">
        <f>Database!Z344</f>
        <v/>
      </c>
      <c r="J344" s="24">
        <f>IFERROR(BDP(Database!$A344&amp;" HK Equity","PE_RATIO"),"")</f>
        <v/>
      </c>
      <c r="K344" s="10">
        <f>IFERROR(BDP(Database!$A344&amp;" HK Equity","A/H_SHARE_CONVERSION"),"")</f>
        <v/>
      </c>
      <c r="L344" s="16">
        <f>IF(Database!BA344="","(none found)",Database!BA344)</f>
        <v/>
      </c>
      <c r="M344" s="18">
        <f>IFERROR(BDH(Database!$A344&amp;" HK Equity","CUR_MKT_CAP",Database!$H344,Database!$H344),"")</f>
        <v/>
      </c>
      <c r="N344" s="99">
        <f>Database!Q344</f>
        <v/>
      </c>
      <c r="O344" s="24">
        <f>IFERROR(BDH(Database!$A344&amp;" HK Equity","PE_RATIO",Database!$H344,Database!$H344),"")</f>
        <v/>
      </c>
      <c r="P344" s="101">
        <f>IF(Database!AV344="","(n/m or not derivable)",Database!AV344)</f>
        <v/>
      </c>
      <c r="Q344" s="24">
        <f>IF(Database!BA344="","",IFERROR(BDH(LEFT(Database!BA344,FIND(".",Database!BA344)-1)&amp;" CH Equity","PE_RATIO",Database!$H344,Database!$H344),""))</f>
        <v/>
      </c>
      <c r="R344" s="24">
        <f>IF(Database!BA344="","",IFERROR(BDH("HSAHP Index","PX_LAST",Database!$H344,Database!$H344),""))</f>
        <v/>
      </c>
    </row>
    <row r="345">
      <c r="A345" s="16">
        <f>Database!A345&amp;"  "&amp;Database!B345</f>
        <v/>
      </c>
      <c r="B345" s="10">
        <f>IFERROR(INDEX(BDS(Database!$A345&amp;" HK Equity","EQUITY_OFFERINGS","array=t","endcol=1"),MATCH("IPO",BDS(Database!$A345&amp;" HK Equity","EQUITY_OFFERINGS","array=t","startcol=2","endcol=2"),0)),"")</f>
        <v/>
      </c>
      <c r="C345" s="103">
        <f>IF($B345="","",IFERROR(BDP($B345&amp;" Action","CP036"),""))</f>
        <v/>
      </c>
      <c r="D345" s="104">
        <f>Database!S345</f>
        <v/>
      </c>
      <c r="E345" s="103">
        <f>IF($B345="","",IFERROR(BDP($B345&amp;" Action","CP037"),""))</f>
        <v/>
      </c>
      <c r="F345" s="104">
        <f>Database!T345</f>
        <v/>
      </c>
      <c r="G345" s="103">
        <f>IF($B345="","",IFERROR(BDP($B345&amp;" Action","GREENSHOE_FACILITY"),""))</f>
        <v/>
      </c>
      <c r="H345" s="103">
        <f>IF($B345="","",IFERROR(BDP($B345&amp;" Action","OFFERING_GREENSHOE_SHARES_EX"),""))</f>
        <v/>
      </c>
      <c r="I345" s="16">
        <f>Database!Z345</f>
        <v/>
      </c>
      <c r="J345" s="24">
        <f>IFERROR(BDP(Database!$A345&amp;" HK Equity","PE_RATIO"),"")</f>
        <v/>
      </c>
      <c r="K345" s="10">
        <f>IFERROR(BDP(Database!$A345&amp;" HK Equity","A/H_SHARE_CONVERSION"),"")</f>
        <v/>
      </c>
      <c r="L345" s="16">
        <f>IF(Database!BA345="","(none found)",Database!BA345)</f>
        <v/>
      </c>
      <c r="M345" s="18">
        <f>IFERROR(BDH(Database!$A345&amp;" HK Equity","CUR_MKT_CAP",Database!$H345,Database!$H345),"")</f>
        <v/>
      </c>
      <c r="N345" s="99">
        <f>Database!Q345</f>
        <v/>
      </c>
      <c r="O345" s="24">
        <f>IFERROR(BDH(Database!$A345&amp;" HK Equity","PE_RATIO",Database!$H345,Database!$H345),"")</f>
        <v/>
      </c>
      <c r="P345" s="101">
        <f>IF(Database!AV345="","(n/m or not derivable)",Database!AV345)</f>
        <v/>
      </c>
      <c r="Q345" s="24">
        <f>IF(Database!BA345="","",IFERROR(BDH(LEFT(Database!BA345,FIND(".",Database!BA345)-1)&amp;" CH Equity","PE_RATIO",Database!$H345,Database!$H345),""))</f>
        <v/>
      </c>
      <c r="R345" s="24">
        <f>IF(Database!BA345="","",IFERROR(BDH("HSAHP Index","PX_LAST",Database!$H345,Database!$H345),""))</f>
        <v/>
      </c>
    </row>
    <row r="346">
      <c r="A346" s="16">
        <f>Database!A346&amp;"  "&amp;Database!B346</f>
        <v/>
      </c>
      <c r="B346" s="10">
        <f>IFERROR(INDEX(BDS(Database!$A346&amp;" HK Equity","EQUITY_OFFERINGS","array=t","endcol=1"),MATCH("IPO",BDS(Database!$A346&amp;" HK Equity","EQUITY_OFFERINGS","array=t","startcol=2","endcol=2"),0)),"")</f>
        <v/>
      </c>
      <c r="C346" s="103">
        <f>IF($B346="","",IFERROR(BDP($B346&amp;" Action","CP036"),""))</f>
        <v/>
      </c>
      <c r="D346" s="104">
        <f>Database!S346</f>
        <v/>
      </c>
      <c r="E346" s="103">
        <f>IF($B346="","",IFERROR(BDP($B346&amp;" Action","CP037"),""))</f>
        <v/>
      </c>
      <c r="F346" s="104">
        <f>Database!T346</f>
        <v/>
      </c>
      <c r="G346" s="103">
        <f>IF($B346="","",IFERROR(BDP($B346&amp;" Action","GREENSHOE_FACILITY"),""))</f>
        <v/>
      </c>
      <c r="H346" s="103">
        <f>IF($B346="","",IFERROR(BDP($B346&amp;" Action","OFFERING_GREENSHOE_SHARES_EX"),""))</f>
        <v/>
      </c>
      <c r="I346" s="16">
        <f>Database!Z346</f>
        <v/>
      </c>
      <c r="J346" s="24">
        <f>IFERROR(BDP(Database!$A346&amp;" HK Equity","PE_RATIO"),"")</f>
        <v/>
      </c>
      <c r="K346" s="10">
        <f>IFERROR(BDP(Database!$A346&amp;" HK Equity","A/H_SHARE_CONVERSION"),"")</f>
        <v/>
      </c>
      <c r="L346" s="16">
        <f>IF(Database!BA346="","(none found)",Database!BA346)</f>
        <v/>
      </c>
      <c r="M346" s="18">
        <f>IFERROR(BDH(Database!$A346&amp;" HK Equity","CUR_MKT_CAP",Database!$H346,Database!$H346),"")</f>
        <v/>
      </c>
      <c r="N346" s="99">
        <f>Database!Q346</f>
        <v/>
      </c>
      <c r="O346" s="24">
        <f>IFERROR(BDH(Database!$A346&amp;" HK Equity","PE_RATIO",Database!$H346,Database!$H346),"")</f>
        <v/>
      </c>
      <c r="P346" s="101">
        <f>IF(Database!AV346="","(n/m or not derivable)",Database!AV346)</f>
        <v/>
      </c>
      <c r="Q346" s="24">
        <f>IF(Database!BA346="","",IFERROR(BDH(LEFT(Database!BA346,FIND(".",Database!BA346)-1)&amp;" CH Equity","PE_RATIO",Database!$H346,Database!$H346),""))</f>
        <v/>
      </c>
      <c r="R346" s="24">
        <f>IF(Database!BA346="","",IFERROR(BDH("HSAHP Index","PX_LAST",Database!$H346,Database!$H346),""))</f>
        <v/>
      </c>
    </row>
    <row r="347">
      <c r="A347" s="16">
        <f>Database!A347&amp;"  "&amp;Database!B347</f>
        <v/>
      </c>
      <c r="B347" s="10">
        <f>IFERROR(INDEX(BDS(Database!$A347&amp;" HK Equity","EQUITY_OFFERINGS","array=t","endcol=1"),MATCH("IPO",BDS(Database!$A347&amp;" HK Equity","EQUITY_OFFERINGS","array=t","startcol=2","endcol=2"),0)),"")</f>
        <v/>
      </c>
      <c r="C347" s="103">
        <f>IF($B347="","",IFERROR(BDP($B347&amp;" Action","CP036"),""))</f>
        <v/>
      </c>
      <c r="D347" s="104">
        <f>Database!S347</f>
        <v/>
      </c>
      <c r="E347" s="103">
        <f>IF($B347="","",IFERROR(BDP($B347&amp;" Action","CP037"),""))</f>
        <v/>
      </c>
      <c r="F347" s="104">
        <f>Database!T347</f>
        <v/>
      </c>
      <c r="G347" s="103">
        <f>IF($B347="","",IFERROR(BDP($B347&amp;" Action","GREENSHOE_FACILITY"),""))</f>
        <v/>
      </c>
      <c r="H347" s="103">
        <f>IF($B347="","",IFERROR(BDP($B347&amp;" Action","OFFERING_GREENSHOE_SHARES_EX"),""))</f>
        <v/>
      </c>
      <c r="I347" s="16">
        <f>Database!Z347</f>
        <v/>
      </c>
      <c r="J347" s="24">
        <f>IFERROR(BDP(Database!$A347&amp;" HK Equity","PE_RATIO"),"")</f>
        <v/>
      </c>
      <c r="K347" s="10">
        <f>IFERROR(BDP(Database!$A347&amp;" HK Equity","A/H_SHARE_CONVERSION"),"")</f>
        <v/>
      </c>
      <c r="L347" s="16">
        <f>IF(Database!BA347="","(none found)",Database!BA347)</f>
        <v/>
      </c>
      <c r="M347" s="18">
        <f>IFERROR(BDH(Database!$A347&amp;" HK Equity","CUR_MKT_CAP",Database!$H347,Database!$H347),"")</f>
        <v/>
      </c>
      <c r="N347" s="99">
        <f>Database!Q347</f>
        <v/>
      </c>
      <c r="O347" s="24">
        <f>IFERROR(BDH(Database!$A347&amp;" HK Equity","PE_RATIO",Database!$H347,Database!$H347),"")</f>
        <v/>
      </c>
      <c r="P347" s="101">
        <f>IF(Database!AV347="","(n/m or not derivable)",Database!AV347)</f>
        <v/>
      </c>
      <c r="Q347" s="24">
        <f>IF(Database!BA347="","",IFERROR(BDH(LEFT(Database!BA347,FIND(".",Database!BA347)-1)&amp;" CH Equity","PE_RATIO",Database!$H347,Database!$H347),""))</f>
        <v/>
      </c>
      <c r="R347" s="24">
        <f>IF(Database!BA347="","",IFERROR(BDH("HSAHP Index","PX_LAST",Database!$H347,Database!$H347),""))</f>
        <v/>
      </c>
    </row>
    <row r="348">
      <c r="A348" s="16">
        <f>Database!A348&amp;"  "&amp;Database!B348</f>
        <v/>
      </c>
      <c r="B348" s="10">
        <f>IFERROR(INDEX(BDS(Database!$A348&amp;" HK Equity","EQUITY_OFFERINGS","array=t","endcol=1"),MATCH("IPO",BDS(Database!$A348&amp;" HK Equity","EQUITY_OFFERINGS","array=t","startcol=2","endcol=2"),0)),"")</f>
        <v/>
      </c>
      <c r="C348" s="103">
        <f>IF($B348="","",IFERROR(BDP($B348&amp;" Action","CP036"),""))</f>
        <v/>
      </c>
      <c r="D348" s="104">
        <f>Database!S348</f>
        <v/>
      </c>
      <c r="E348" s="103">
        <f>IF($B348="","",IFERROR(BDP($B348&amp;" Action","CP037"),""))</f>
        <v/>
      </c>
      <c r="F348" s="104">
        <f>Database!T348</f>
        <v/>
      </c>
      <c r="G348" s="103">
        <f>IF($B348="","",IFERROR(BDP($B348&amp;" Action","GREENSHOE_FACILITY"),""))</f>
        <v/>
      </c>
      <c r="H348" s="103">
        <f>IF($B348="","",IFERROR(BDP($B348&amp;" Action","OFFERING_GREENSHOE_SHARES_EX"),""))</f>
        <v/>
      </c>
      <c r="I348" s="16">
        <f>Database!Z348</f>
        <v/>
      </c>
      <c r="J348" s="24">
        <f>IFERROR(BDP(Database!$A348&amp;" HK Equity","PE_RATIO"),"")</f>
        <v/>
      </c>
      <c r="K348" s="10">
        <f>IFERROR(BDP(Database!$A348&amp;" HK Equity","A/H_SHARE_CONVERSION"),"")</f>
        <v/>
      </c>
      <c r="L348" s="16">
        <f>IF(Database!BA348="","(none found)",Database!BA348)</f>
        <v/>
      </c>
      <c r="M348" s="18">
        <f>IFERROR(BDH(Database!$A348&amp;" HK Equity","CUR_MKT_CAP",Database!$H348,Database!$H348),"")</f>
        <v/>
      </c>
      <c r="N348" s="99">
        <f>Database!Q348</f>
        <v/>
      </c>
      <c r="O348" s="24">
        <f>IFERROR(BDH(Database!$A348&amp;" HK Equity","PE_RATIO",Database!$H348,Database!$H348),"")</f>
        <v/>
      </c>
      <c r="P348" s="101">
        <f>IF(Database!AV348="","(n/m or not derivable)",Database!AV348)</f>
        <v/>
      </c>
      <c r="Q348" s="24">
        <f>IF(Database!BA348="","",IFERROR(BDH(LEFT(Database!BA348,FIND(".",Database!BA348)-1)&amp;" CH Equity","PE_RATIO",Database!$H348,Database!$H348),""))</f>
        <v/>
      </c>
      <c r="R348" s="24">
        <f>IF(Database!BA348="","",IFERROR(BDH("HSAHP Index","PX_LAST",Database!$H348,Database!$H348),""))</f>
        <v/>
      </c>
    </row>
    <row r="349">
      <c r="A349" s="16">
        <f>Database!A349&amp;"  "&amp;Database!B349</f>
        <v/>
      </c>
      <c r="B349" s="10">
        <f>IFERROR(INDEX(BDS(Database!$A349&amp;" HK Equity","EQUITY_OFFERINGS","array=t","endcol=1"),MATCH("IPO",BDS(Database!$A349&amp;" HK Equity","EQUITY_OFFERINGS","array=t","startcol=2","endcol=2"),0)),"")</f>
        <v/>
      </c>
      <c r="C349" s="103">
        <f>IF($B349="","",IFERROR(BDP($B349&amp;" Action","CP036"),""))</f>
        <v/>
      </c>
      <c r="D349" s="104">
        <f>Database!S349</f>
        <v/>
      </c>
      <c r="E349" s="103">
        <f>IF($B349="","",IFERROR(BDP($B349&amp;" Action","CP037"),""))</f>
        <v/>
      </c>
      <c r="F349" s="104">
        <f>Database!T349</f>
        <v/>
      </c>
      <c r="G349" s="103">
        <f>IF($B349="","",IFERROR(BDP($B349&amp;" Action","GREENSHOE_FACILITY"),""))</f>
        <v/>
      </c>
      <c r="H349" s="103">
        <f>IF($B349="","",IFERROR(BDP($B349&amp;" Action","OFFERING_GREENSHOE_SHARES_EX"),""))</f>
        <v/>
      </c>
      <c r="I349" s="16">
        <f>Database!Z349</f>
        <v/>
      </c>
      <c r="J349" s="24">
        <f>IFERROR(BDP(Database!$A349&amp;" HK Equity","PE_RATIO"),"")</f>
        <v/>
      </c>
      <c r="K349" s="10">
        <f>IFERROR(BDP(Database!$A349&amp;" HK Equity","A/H_SHARE_CONVERSION"),"")</f>
        <v/>
      </c>
      <c r="L349" s="16">
        <f>IF(Database!BA349="","(none found)",Database!BA349)</f>
        <v/>
      </c>
      <c r="M349" s="18">
        <f>IFERROR(BDH(Database!$A349&amp;" HK Equity","CUR_MKT_CAP",Database!$H349,Database!$H349),"")</f>
        <v/>
      </c>
      <c r="N349" s="99">
        <f>Database!Q349</f>
        <v/>
      </c>
      <c r="O349" s="24">
        <f>IFERROR(BDH(Database!$A349&amp;" HK Equity","PE_RATIO",Database!$H349,Database!$H349),"")</f>
        <v/>
      </c>
      <c r="P349" s="101">
        <f>IF(Database!AV349="","(n/m or not derivable)",Database!AV349)</f>
        <v/>
      </c>
      <c r="Q349" s="24">
        <f>IF(Database!BA349="","",IFERROR(BDH(LEFT(Database!BA349,FIND(".",Database!BA349)-1)&amp;" CH Equity","PE_RATIO",Database!$H349,Database!$H349),""))</f>
        <v/>
      </c>
      <c r="R349" s="24">
        <f>IF(Database!BA349="","",IFERROR(BDH("HSAHP Index","PX_LAST",Database!$H349,Database!$H349),""))</f>
        <v/>
      </c>
    </row>
    <row r="350">
      <c r="A350" s="16">
        <f>Database!A350&amp;"  "&amp;Database!B350</f>
        <v/>
      </c>
      <c r="B350" s="10">
        <f>IFERROR(INDEX(BDS(Database!$A350&amp;" HK Equity","EQUITY_OFFERINGS","array=t","endcol=1"),MATCH("IPO",BDS(Database!$A350&amp;" HK Equity","EQUITY_OFFERINGS","array=t","startcol=2","endcol=2"),0)),"")</f>
        <v/>
      </c>
      <c r="C350" s="103">
        <f>IF($B350="","",IFERROR(BDP($B350&amp;" Action","CP036"),""))</f>
        <v/>
      </c>
      <c r="D350" s="104">
        <f>Database!S350</f>
        <v/>
      </c>
      <c r="E350" s="103">
        <f>IF($B350="","",IFERROR(BDP($B350&amp;" Action","CP037"),""))</f>
        <v/>
      </c>
      <c r="F350" s="104">
        <f>Database!T350</f>
        <v/>
      </c>
      <c r="G350" s="103">
        <f>IF($B350="","",IFERROR(BDP($B350&amp;" Action","GREENSHOE_FACILITY"),""))</f>
        <v/>
      </c>
      <c r="H350" s="103">
        <f>IF($B350="","",IFERROR(BDP($B350&amp;" Action","OFFERING_GREENSHOE_SHARES_EX"),""))</f>
        <v/>
      </c>
      <c r="I350" s="16">
        <f>Database!Z350</f>
        <v/>
      </c>
      <c r="J350" s="24">
        <f>IFERROR(BDP(Database!$A350&amp;" HK Equity","PE_RATIO"),"")</f>
        <v/>
      </c>
      <c r="K350" s="10">
        <f>IFERROR(BDP(Database!$A350&amp;" HK Equity","A/H_SHARE_CONVERSION"),"")</f>
        <v/>
      </c>
      <c r="L350" s="16">
        <f>IF(Database!BA350="","(none found)",Database!BA350)</f>
        <v/>
      </c>
      <c r="M350" s="18">
        <f>IFERROR(BDH(Database!$A350&amp;" HK Equity","CUR_MKT_CAP",Database!$H350,Database!$H350),"")</f>
        <v/>
      </c>
      <c r="N350" s="99">
        <f>Database!Q350</f>
        <v/>
      </c>
      <c r="O350" s="24">
        <f>IFERROR(BDH(Database!$A350&amp;" HK Equity","PE_RATIO",Database!$H350,Database!$H350),"")</f>
        <v/>
      </c>
      <c r="P350" s="101">
        <f>IF(Database!AV350="","(n/m or not derivable)",Database!AV350)</f>
        <v/>
      </c>
      <c r="Q350" s="24">
        <f>IF(Database!BA350="","",IFERROR(BDH(LEFT(Database!BA350,FIND(".",Database!BA350)-1)&amp;" CH Equity","PE_RATIO",Database!$H350,Database!$H350),""))</f>
        <v/>
      </c>
      <c r="R350" s="24">
        <f>IF(Database!BA350="","",IFERROR(BDH("HSAHP Index","PX_LAST",Database!$H350,Database!$H350),""))</f>
        <v/>
      </c>
    </row>
    <row r="351">
      <c r="A351" s="16">
        <f>Database!A351&amp;"  "&amp;Database!B351</f>
        <v/>
      </c>
      <c r="B351" s="10">
        <f>IFERROR(INDEX(BDS(Database!$A351&amp;" HK Equity","EQUITY_OFFERINGS","array=t","endcol=1"),MATCH("IPO",BDS(Database!$A351&amp;" HK Equity","EQUITY_OFFERINGS","array=t","startcol=2","endcol=2"),0)),"")</f>
        <v/>
      </c>
      <c r="C351" s="103">
        <f>IF($B351="","",IFERROR(BDP($B351&amp;" Action","CP036"),""))</f>
        <v/>
      </c>
      <c r="D351" s="104">
        <f>Database!S351</f>
        <v/>
      </c>
      <c r="E351" s="103">
        <f>IF($B351="","",IFERROR(BDP($B351&amp;" Action","CP037"),""))</f>
        <v/>
      </c>
      <c r="F351" s="104">
        <f>Database!T351</f>
        <v/>
      </c>
      <c r="G351" s="103">
        <f>IF($B351="","",IFERROR(BDP($B351&amp;" Action","GREENSHOE_FACILITY"),""))</f>
        <v/>
      </c>
      <c r="H351" s="103">
        <f>IF($B351="","",IFERROR(BDP($B351&amp;" Action","OFFERING_GREENSHOE_SHARES_EX"),""))</f>
        <v/>
      </c>
      <c r="I351" s="16">
        <f>Database!Z351</f>
        <v/>
      </c>
      <c r="J351" s="24">
        <f>IFERROR(BDP(Database!$A351&amp;" HK Equity","PE_RATIO"),"")</f>
        <v/>
      </c>
      <c r="K351" s="10">
        <f>IFERROR(BDP(Database!$A351&amp;" HK Equity","A/H_SHARE_CONVERSION"),"")</f>
        <v/>
      </c>
      <c r="L351" s="16">
        <f>IF(Database!BA351="","(none found)",Database!BA351)</f>
        <v/>
      </c>
      <c r="M351" s="18">
        <f>IFERROR(BDH(Database!$A351&amp;" HK Equity","CUR_MKT_CAP",Database!$H351,Database!$H351),"")</f>
        <v/>
      </c>
      <c r="N351" s="99">
        <f>Database!Q351</f>
        <v/>
      </c>
      <c r="O351" s="24">
        <f>IFERROR(BDH(Database!$A351&amp;" HK Equity","PE_RATIO",Database!$H351,Database!$H351),"")</f>
        <v/>
      </c>
      <c r="P351" s="101">
        <f>IF(Database!AV351="","(n/m or not derivable)",Database!AV351)</f>
        <v/>
      </c>
      <c r="Q351" s="24">
        <f>IF(Database!BA351="","",IFERROR(BDH(LEFT(Database!BA351,FIND(".",Database!BA351)-1)&amp;" CH Equity","PE_RATIO",Database!$H351,Database!$H351),""))</f>
        <v/>
      </c>
      <c r="R351" s="24">
        <f>IF(Database!BA351="","",IFERROR(BDH("HSAHP Index","PX_LAST",Database!$H351,Database!$H351),""))</f>
        <v/>
      </c>
    </row>
    <row r="352">
      <c r="A352" s="16">
        <f>Database!A352&amp;"  "&amp;Database!B352</f>
        <v/>
      </c>
      <c r="B352" s="10">
        <f>IFERROR(INDEX(BDS(Database!$A352&amp;" HK Equity","EQUITY_OFFERINGS","array=t","endcol=1"),MATCH("IPO",BDS(Database!$A352&amp;" HK Equity","EQUITY_OFFERINGS","array=t","startcol=2","endcol=2"),0)),"")</f>
        <v/>
      </c>
      <c r="C352" s="103">
        <f>IF($B352="","",IFERROR(BDP($B352&amp;" Action","CP036"),""))</f>
        <v/>
      </c>
      <c r="D352" s="104">
        <f>Database!S352</f>
        <v/>
      </c>
      <c r="E352" s="103">
        <f>IF($B352="","",IFERROR(BDP($B352&amp;" Action","CP037"),""))</f>
        <v/>
      </c>
      <c r="F352" s="104">
        <f>Database!T352</f>
        <v/>
      </c>
      <c r="G352" s="103">
        <f>IF($B352="","",IFERROR(BDP($B352&amp;" Action","GREENSHOE_FACILITY"),""))</f>
        <v/>
      </c>
      <c r="H352" s="103">
        <f>IF($B352="","",IFERROR(BDP($B352&amp;" Action","OFFERING_GREENSHOE_SHARES_EX"),""))</f>
        <v/>
      </c>
      <c r="I352" s="16">
        <f>Database!Z352</f>
        <v/>
      </c>
      <c r="J352" s="24">
        <f>IFERROR(BDP(Database!$A352&amp;" HK Equity","PE_RATIO"),"")</f>
        <v/>
      </c>
      <c r="K352" s="10">
        <f>IFERROR(BDP(Database!$A352&amp;" HK Equity","A/H_SHARE_CONVERSION"),"")</f>
        <v/>
      </c>
      <c r="L352" s="16">
        <f>IF(Database!BA352="","(none found)",Database!BA352)</f>
        <v/>
      </c>
      <c r="M352" s="18">
        <f>IFERROR(BDH(Database!$A352&amp;" HK Equity","CUR_MKT_CAP",Database!$H352,Database!$H352),"")</f>
        <v/>
      </c>
      <c r="N352" s="99">
        <f>Database!Q352</f>
        <v/>
      </c>
      <c r="O352" s="24">
        <f>IFERROR(BDH(Database!$A352&amp;" HK Equity","PE_RATIO",Database!$H352,Database!$H352),"")</f>
        <v/>
      </c>
      <c r="P352" s="101">
        <f>IF(Database!AV352="","(n/m or not derivable)",Database!AV352)</f>
        <v/>
      </c>
      <c r="Q352" s="24">
        <f>IF(Database!BA352="","",IFERROR(BDH(LEFT(Database!BA352,FIND(".",Database!BA352)-1)&amp;" CH Equity","PE_RATIO",Database!$H352,Database!$H352),""))</f>
        <v/>
      </c>
      <c r="R352" s="24">
        <f>IF(Database!BA352="","",IFERROR(BDH("HSAHP Index","PX_LAST",Database!$H352,Database!$H352),""))</f>
        <v/>
      </c>
    </row>
    <row r="353">
      <c r="A353" s="16">
        <f>Database!A353&amp;"  "&amp;Database!B353</f>
        <v/>
      </c>
      <c r="B353" s="10">
        <f>IFERROR(INDEX(BDS(Database!$A353&amp;" HK Equity","EQUITY_OFFERINGS","array=t","endcol=1"),MATCH("IPO",BDS(Database!$A353&amp;" HK Equity","EQUITY_OFFERINGS","array=t","startcol=2","endcol=2"),0)),"")</f>
        <v/>
      </c>
      <c r="C353" s="103">
        <f>IF($B353="","",IFERROR(BDP($B353&amp;" Action","CP036"),""))</f>
        <v/>
      </c>
      <c r="D353" s="104">
        <f>Database!S353</f>
        <v/>
      </c>
      <c r="E353" s="103">
        <f>IF($B353="","",IFERROR(BDP($B353&amp;" Action","CP037"),""))</f>
        <v/>
      </c>
      <c r="F353" s="104">
        <f>Database!T353</f>
        <v/>
      </c>
      <c r="G353" s="103">
        <f>IF($B353="","",IFERROR(BDP($B353&amp;" Action","GREENSHOE_FACILITY"),""))</f>
        <v/>
      </c>
      <c r="H353" s="103">
        <f>IF($B353="","",IFERROR(BDP($B353&amp;" Action","OFFERING_GREENSHOE_SHARES_EX"),""))</f>
        <v/>
      </c>
      <c r="I353" s="16">
        <f>Database!Z353</f>
        <v/>
      </c>
      <c r="J353" s="24">
        <f>IFERROR(BDP(Database!$A353&amp;" HK Equity","PE_RATIO"),"")</f>
        <v/>
      </c>
      <c r="K353" s="10">
        <f>IFERROR(BDP(Database!$A353&amp;" HK Equity","A/H_SHARE_CONVERSION"),"")</f>
        <v/>
      </c>
      <c r="L353" s="16">
        <f>IF(Database!BA353="","(none found)",Database!BA353)</f>
        <v/>
      </c>
      <c r="M353" s="18">
        <f>IFERROR(BDH(Database!$A353&amp;" HK Equity","CUR_MKT_CAP",Database!$H353,Database!$H353),"")</f>
        <v/>
      </c>
      <c r="N353" s="99">
        <f>Database!Q353</f>
        <v/>
      </c>
      <c r="O353" s="24">
        <f>IFERROR(BDH(Database!$A353&amp;" HK Equity","PE_RATIO",Database!$H353,Database!$H353),"")</f>
        <v/>
      </c>
      <c r="P353" s="101">
        <f>IF(Database!AV353="","(n/m or not derivable)",Database!AV353)</f>
        <v/>
      </c>
      <c r="Q353" s="24">
        <f>IF(Database!BA353="","",IFERROR(BDH(LEFT(Database!BA353,FIND(".",Database!BA353)-1)&amp;" CH Equity","PE_RATIO",Database!$H353,Database!$H353),""))</f>
        <v/>
      </c>
      <c r="R353" s="24">
        <f>IF(Database!BA353="","",IFERROR(BDH("HSAHP Index","PX_LAST",Database!$H353,Database!$H353),""))</f>
        <v/>
      </c>
    </row>
    <row r="354">
      <c r="A354" s="16">
        <f>Database!A354&amp;"  "&amp;Database!B354</f>
        <v/>
      </c>
      <c r="B354" s="10">
        <f>IFERROR(INDEX(BDS(Database!$A354&amp;" HK Equity","EQUITY_OFFERINGS","array=t","endcol=1"),MATCH("IPO",BDS(Database!$A354&amp;" HK Equity","EQUITY_OFFERINGS","array=t","startcol=2","endcol=2"),0)),"")</f>
        <v/>
      </c>
      <c r="C354" s="103">
        <f>IF($B354="","",IFERROR(BDP($B354&amp;" Action","CP036"),""))</f>
        <v/>
      </c>
      <c r="D354" s="104">
        <f>Database!S354</f>
        <v/>
      </c>
      <c r="E354" s="103">
        <f>IF($B354="","",IFERROR(BDP($B354&amp;" Action","CP037"),""))</f>
        <v/>
      </c>
      <c r="F354" s="104">
        <f>Database!T354</f>
        <v/>
      </c>
      <c r="G354" s="103">
        <f>IF($B354="","",IFERROR(BDP($B354&amp;" Action","GREENSHOE_FACILITY"),""))</f>
        <v/>
      </c>
      <c r="H354" s="103">
        <f>IF($B354="","",IFERROR(BDP($B354&amp;" Action","OFFERING_GREENSHOE_SHARES_EX"),""))</f>
        <v/>
      </c>
      <c r="I354" s="16">
        <f>Database!Z354</f>
        <v/>
      </c>
      <c r="J354" s="24">
        <f>IFERROR(BDP(Database!$A354&amp;" HK Equity","PE_RATIO"),"")</f>
        <v/>
      </c>
      <c r="K354" s="10">
        <f>IFERROR(BDP(Database!$A354&amp;" HK Equity","A/H_SHARE_CONVERSION"),"")</f>
        <v/>
      </c>
      <c r="L354" s="16">
        <f>IF(Database!BA354="","(none found)",Database!BA354)</f>
        <v/>
      </c>
      <c r="M354" s="18">
        <f>IFERROR(BDH(Database!$A354&amp;" HK Equity","CUR_MKT_CAP",Database!$H354,Database!$H354),"")</f>
        <v/>
      </c>
      <c r="N354" s="99">
        <f>Database!Q354</f>
        <v/>
      </c>
      <c r="O354" s="24">
        <f>IFERROR(BDH(Database!$A354&amp;" HK Equity","PE_RATIO",Database!$H354,Database!$H354),"")</f>
        <v/>
      </c>
      <c r="P354" s="101">
        <f>IF(Database!AV354="","(n/m or not derivable)",Database!AV354)</f>
        <v/>
      </c>
      <c r="Q354" s="24">
        <f>IF(Database!BA354="","",IFERROR(BDH(LEFT(Database!BA354,FIND(".",Database!BA354)-1)&amp;" CH Equity","PE_RATIO",Database!$H354,Database!$H354),""))</f>
        <v/>
      </c>
      <c r="R354" s="24">
        <f>IF(Database!BA354="","",IFERROR(BDH("HSAHP Index","PX_LAST",Database!$H354,Database!$H354),""))</f>
        <v/>
      </c>
    </row>
    <row r="355">
      <c r="A355" s="16">
        <f>Database!A355&amp;"  "&amp;Database!B355</f>
        <v/>
      </c>
      <c r="B355" s="10">
        <f>IFERROR(INDEX(BDS(Database!$A355&amp;" HK Equity","EQUITY_OFFERINGS","array=t","endcol=1"),MATCH("IPO",BDS(Database!$A355&amp;" HK Equity","EQUITY_OFFERINGS","array=t","startcol=2","endcol=2"),0)),"")</f>
        <v/>
      </c>
      <c r="C355" s="103">
        <f>IF($B355="","",IFERROR(BDP($B355&amp;" Action","CP036"),""))</f>
        <v/>
      </c>
      <c r="D355" s="104">
        <f>Database!S355</f>
        <v/>
      </c>
      <c r="E355" s="103">
        <f>IF($B355="","",IFERROR(BDP($B355&amp;" Action","CP037"),""))</f>
        <v/>
      </c>
      <c r="F355" s="104">
        <f>Database!T355</f>
        <v/>
      </c>
      <c r="G355" s="103">
        <f>IF($B355="","",IFERROR(BDP($B355&amp;" Action","GREENSHOE_FACILITY"),""))</f>
        <v/>
      </c>
      <c r="H355" s="103">
        <f>IF($B355="","",IFERROR(BDP($B355&amp;" Action","OFFERING_GREENSHOE_SHARES_EX"),""))</f>
        <v/>
      </c>
      <c r="I355" s="16">
        <f>Database!Z355</f>
        <v/>
      </c>
      <c r="J355" s="24">
        <f>IFERROR(BDP(Database!$A355&amp;" HK Equity","PE_RATIO"),"")</f>
        <v/>
      </c>
      <c r="K355" s="10">
        <f>IFERROR(BDP(Database!$A355&amp;" HK Equity","A/H_SHARE_CONVERSION"),"")</f>
        <v/>
      </c>
      <c r="L355" s="16">
        <f>IF(Database!BA355="","(none found)",Database!BA355)</f>
        <v/>
      </c>
      <c r="M355" s="18">
        <f>IFERROR(BDH(Database!$A355&amp;" HK Equity","CUR_MKT_CAP",Database!$H355,Database!$H355),"")</f>
        <v/>
      </c>
      <c r="N355" s="99">
        <f>Database!Q355</f>
        <v/>
      </c>
      <c r="O355" s="24">
        <f>IFERROR(BDH(Database!$A355&amp;" HK Equity","PE_RATIO",Database!$H355,Database!$H355),"")</f>
        <v/>
      </c>
      <c r="P355" s="101">
        <f>IF(Database!AV355="","(n/m or not derivable)",Database!AV355)</f>
        <v/>
      </c>
      <c r="Q355" s="24">
        <f>IF(Database!BA355="","",IFERROR(BDH(LEFT(Database!BA355,FIND(".",Database!BA355)-1)&amp;" CH Equity","PE_RATIO",Database!$H355,Database!$H355),""))</f>
        <v/>
      </c>
      <c r="R355" s="24">
        <f>IF(Database!BA355="","",IFERROR(BDH("HSAHP Index","PX_LAST",Database!$H355,Database!$H355),""))</f>
        <v/>
      </c>
    </row>
    <row r="356">
      <c r="A356" s="16">
        <f>Database!A356&amp;"  "&amp;Database!B356</f>
        <v/>
      </c>
      <c r="B356" s="10">
        <f>IFERROR(INDEX(BDS(Database!$A356&amp;" HK Equity","EQUITY_OFFERINGS","array=t","endcol=1"),MATCH("IPO",BDS(Database!$A356&amp;" HK Equity","EQUITY_OFFERINGS","array=t","startcol=2","endcol=2"),0)),"")</f>
        <v/>
      </c>
      <c r="C356" s="103">
        <f>IF($B356="","",IFERROR(BDP($B356&amp;" Action","CP036"),""))</f>
        <v/>
      </c>
      <c r="D356" s="104">
        <f>Database!S356</f>
        <v/>
      </c>
      <c r="E356" s="103">
        <f>IF($B356="","",IFERROR(BDP($B356&amp;" Action","CP037"),""))</f>
        <v/>
      </c>
      <c r="F356" s="104">
        <f>Database!T356</f>
        <v/>
      </c>
      <c r="G356" s="103">
        <f>IF($B356="","",IFERROR(BDP($B356&amp;" Action","GREENSHOE_FACILITY"),""))</f>
        <v/>
      </c>
      <c r="H356" s="103">
        <f>IF($B356="","",IFERROR(BDP($B356&amp;" Action","OFFERING_GREENSHOE_SHARES_EX"),""))</f>
        <v/>
      </c>
      <c r="I356" s="16">
        <f>Database!Z356</f>
        <v/>
      </c>
      <c r="J356" s="24">
        <f>IFERROR(BDP(Database!$A356&amp;" HK Equity","PE_RATIO"),"")</f>
        <v/>
      </c>
      <c r="K356" s="10">
        <f>IFERROR(BDP(Database!$A356&amp;" HK Equity","A/H_SHARE_CONVERSION"),"")</f>
        <v/>
      </c>
      <c r="L356" s="16">
        <f>IF(Database!BA356="","(none found)",Database!BA356)</f>
        <v/>
      </c>
      <c r="M356" s="18">
        <f>IFERROR(BDH(Database!$A356&amp;" HK Equity","CUR_MKT_CAP",Database!$H356,Database!$H356),"")</f>
        <v/>
      </c>
      <c r="N356" s="99">
        <f>Database!Q356</f>
        <v/>
      </c>
      <c r="O356" s="24">
        <f>IFERROR(BDH(Database!$A356&amp;" HK Equity","PE_RATIO",Database!$H356,Database!$H356),"")</f>
        <v/>
      </c>
      <c r="P356" s="101">
        <f>IF(Database!AV356="","(n/m or not derivable)",Database!AV356)</f>
        <v/>
      </c>
      <c r="Q356" s="24">
        <f>IF(Database!BA356="","",IFERROR(BDH(LEFT(Database!BA356,FIND(".",Database!BA356)-1)&amp;" CH Equity","PE_RATIO",Database!$H356,Database!$H356),""))</f>
        <v/>
      </c>
      <c r="R356" s="24">
        <f>IF(Database!BA356="","",IFERROR(BDH("HSAHP Index","PX_LAST",Database!$H356,Database!$H356),""))</f>
        <v/>
      </c>
    </row>
    <row r="357">
      <c r="A357" s="16">
        <f>Database!A357&amp;"  "&amp;Database!B357</f>
        <v/>
      </c>
      <c r="B357" s="10">
        <f>IFERROR(INDEX(BDS(Database!$A357&amp;" HK Equity","EQUITY_OFFERINGS","array=t","endcol=1"),MATCH("IPO",BDS(Database!$A357&amp;" HK Equity","EQUITY_OFFERINGS","array=t","startcol=2","endcol=2"),0)),"")</f>
        <v/>
      </c>
      <c r="C357" s="103">
        <f>IF($B357="","",IFERROR(BDP($B357&amp;" Action","CP036"),""))</f>
        <v/>
      </c>
      <c r="D357" s="104">
        <f>Database!S357</f>
        <v/>
      </c>
      <c r="E357" s="103">
        <f>IF($B357="","",IFERROR(BDP($B357&amp;" Action","CP037"),""))</f>
        <v/>
      </c>
      <c r="F357" s="104">
        <f>Database!T357</f>
        <v/>
      </c>
      <c r="G357" s="103">
        <f>IF($B357="","",IFERROR(BDP($B357&amp;" Action","GREENSHOE_FACILITY"),""))</f>
        <v/>
      </c>
      <c r="H357" s="103">
        <f>IF($B357="","",IFERROR(BDP($B357&amp;" Action","OFFERING_GREENSHOE_SHARES_EX"),""))</f>
        <v/>
      </c>
      <c r="I357" s="16">
        <f>Database!Z357</f>
        <v/>
      </c>
      <c r="J357" s="24">
        <f>IFERROR(BDP(Database!$A357&amp;" HK Equity","PE_RATIO"),"")</f>
        <v/>
      </c>
      <c r="K357" s="10">
        <f>IFERROR(BDP(Database!$A357&amp;" HK Equity","A/H_SHARE_CONVERSION"),"")</f>
        <v/>
      </c>
      <c r="L357" s="16">
        <f>IF(Database!BA357="","(none found)",Database!BA357)</f>
        <v/>
      </c>
      <c r="M357" s="18">
        <f>IFERROR(BDH(Database!$A357&amp;" HK Equity","CUR_MKT_CAP",Database!$H357,Database!$H357),"")</f>
        <v/>
      </c>
      <c r="N357" s="99">
        <f>Database!Q357</f>
        <v/>
      </c>
      <c r="O357" s="24">
        <f>IFERROR(BDH(Database!$A357&amp;" HK Equity","PE_RATIO",Database!$H357,Database!$H357),"")</f>
        <v/>
      </c>
      <c r="P357" s="101">
        <f>IF(Database!AV357="","(n/m or not derivable)",Database!AV357)</f>
        <v/>
      </c>
      <c r="Q357" s="24">
        <f>IF(Database!BA357="","",IFERROR(BDH(LEFT(Database!BA357,FIND(".",Database!BA357)-1)&amp;" CH Equity","PE_RATIO",Database!$H357,Database!$H357),""))</f>
        <v/>
      </c>
      <c r="R357" s="24">
        <f>IF(Database!BA357="","",IFERROR(BDH("HSAHP Index","PX_LAST",Database!$H357,Database!$H357),""))</f>
        <v/>
      </c>
    </row>
    <row r="358">
      <c r="A358" s="16">
        <f>Database!A358&amp;"  "&amp;Database!B358</f>
        <v/>
      </c>
      <c r="B358" s="10">
        <f>IFERROR(INDEX(BDS(Database!$A358&amp;" HK Equity","EQUITY_OFFERINGS","array=t","endcol=1"),MATCH("IPO",BDS(Database!$A358&amp;" HK Equity","EQUITY_OFFERINGS","array=t","startcol=2","endcol=2"),0)),"")</f>
        <v/>
      </c>
      <c r="C358" s="103">
        <f>IF($B358="","",IFERROR(BDP($B358&amp;" Action","CP036"),""))</f>
        <v/>
      </c>
      <c r="D358" s="104">
        <f>Database!S358</f>
        <v/>
      </c>
      <c r="E358" s="103">
        <f>IF($B358="","",IFERROR(BDP($B358&amp;" Action","CP037"),""))</f>
        <v/>
      </c>
      <c r="F358" s="104">
        <f>Database!T358</f>
        <v/>
      </c>
      <c r="G358" s="103">
        <f>IF($B358="","",IFERROR(BDP($B358&amp;" Action","GREENSHOE_FACILITY"),""))</f>
        <v/>
      </c>
      <c r="H358" s="103">
        <f>IF($B358="","",IFERROR(BDP($B358&amp;" Action","OFFERING_GREENSHOE_SHARES_EX"),""))</f>
        <v/>
      </c>
      <c r="I358" s="16">
        <f>Database!Z358</f>
        <v/>
      </c>
      <c r="J358" s="24">
        <f>IFERROR(BDP(Database!$A358&amp;" HK Equity","PE_RATIO"),"")</f>
        <v/>
      </c>
      <c r="K358" s="10">
        <f>IFERROR(BDP(Database!$A358&amp;" HK Equity","A/H_SHARE_CONVERSION"),"")</f>
        <v/>
      </c>
      <c r="L358" s="16">
        <f>IF(Database!BA358="","(none found)",Database!BA358)</f>
        <v/>
      </c>
      <c r="M358" s="18">
        <f>IFERROR(BDH(Database!$A358&amp;" HK Equity","CUR_MKT_CAP",Database!$H358,Database!$H358),"")</f>
        <v/>
      </c>
      <c r="N358" s="99">
        <f>Database!Q358</f>
        <v/>
      </c>
      <c r="O358" s="24">
        <f>IFERROR(BDH(Database!$A358&amp;" HK Equity","PE_RATIO",Database!$H358,Database!$H358),"")</f>
        <v/>
      </c>
      <c r="P358" s="101">
        <f>IF(Database!AV358="","(n/m or not derivable)",Database!AV358)</f>
        <v/>
      </c>
      <c r="Q358" s="24">
        <f>IF(Database!BA358="","",IFERROR(BDH(LEFT(Database!BA358,FIND(".",Database!BA358)-1)&amp;" CH Equity","PE_RATIO",Database!$H358,Database!$H358),""))</f>
        <v/>
      </c>
      <c r="R358" s="24">
        <f>IF(Database!BA358="","",IFERROR(BDH("HSAHP Index","PX_LAST",Database!$H358,Database!$H358),""))</f>
        <v/>
      </c>
    </row>
    <row r="359">
      <c r="A359" s="16">
        <f>Database!A359&amp;"  "&amp;Database!B359</f>
        <v/>
      </c>
      <c r="B359" s="10">
        <f>IFERROR(INDEX(BDS(Database!$A359&amp;" HK Equity","EQUITY_OFFERINGS","array=t","endcol=1"),MATCH("IPO",BDS(Database!$A359&amp;" HK Equity","EQUITY_OFFERINGS","array=t","startcol=2","endcol=2"),0)),"")</f>
        <v/>
      </c>
      <c r="C359" s="103">
        <f>IF($B359="","",IFERROR(BDP($B359&amp;" Action","CP036"),""))</f>
        <v/>
      </c>
      <c r="D359" s="104">
        <f>Database!S359</f>
        <v/>
      </c>
      <c r="E359" s="103">
        <f>IF($B359="","",IFERROR(BDP($B359&amp;" Action","CP037"),""))</f>
        <v/>
      </c>
      <c r="F359" s="104">
        <f>Database!T359</f>
        <v/>
      </c>
      <c r="G359" s="103">
        <f>IF($B359="","",IFERROR(BDP($B359&amp;" Action","GREENSHOE_FACILITY"),""))</f>
        <v/>
      </c>
      <c r="H359" s="103">
        <f>IF($B359="","",IFERROR(BDP($B359&amp;" Action","OFFERING_GREENSHOE_SHARES_EX"),""))</f>
        <v/>
      </c>
      <c r="I359" s="16">
        <f>Database!Z359</f>
        <v/>
      </c>
      <c r="J359" s="24">
        <f>IFERROR(BDP(Database!$A359&amp;" HK Equity","PE_RATIO"),"")</f>
        <v/>
      </c>
      <c r="K359" s="10">
        <f>IFERROR(BDP(Database!$A359&amp;" HK Equity","A/H_SHARE_CONVERSION"),"")</f>
        <v/>
      </c>
      <c r="L359" s="16">
        <f>IF(Database!BA359="","(none found)",Database!BA359)</f>
        <v/>
      </c>
      <c r="M359" s="18">
        <f>IFERROR(BDH(Database!$A359&amp;" HK Equity","CUR_MKT_CAP",Database!$H359,Database!$H359),"")</f>
        <v/>
      </c>
      <c r="N359" s="99">
        <f>Database!Q359</f>
        <v/>
      </c>
      <c r="O359" s="24">
        <f>IFERROR(BDH(Database!$A359&amp;" HK Equity","PE_RATIO",Database!$H359,Database!$H359),"")</f>
        <v/>
      </c>
      <c r="P359" s="101">
        <f>IF(Database!AV359="","(n/m or not derivable)",Database!AV359)</f>
        <v/>
      </c>
      <c r="Q359" s="24">
        <f>IF(Database!BA359="","",IFERROR(BDH(LEFT(Database!BA359,FIND(".",Database!BA359)-1)&amp;" CH Equity","PE_RATIO",Database!$H359,Database!$H359),""))</f>
        <v/>
      </c>
      <c r="R359" s="24">
        <f>IF(Database!BA359="","",IFERROR(BDH("HSAHP Index","PX_LAST",Database!$H359,Database!$H359),""))</f>
        <v/>
      </c>
    </row>
    <row r="360">
      <c r="A360" s="16">
        <f>Database!A360&amp;"  "&amp;Database!B360</f>
        <v/>
      </c>
      <c r="B360" s="10">
        <f>IFERROR(INDEX(BDS(Database!$A360&amp;" HK Equity","EQUITY_OFFERINGS","array=t","endcol=1"),MATCH("IPO",BDS(Database!$A360&amp;" HK Equity","EQUITY_OFFERINGS","array=t","startcol=2","endcol=2"),0)),"")</f>
        <v/>
      </c>
      <c r="C360" s="103">
        <f>IF($B360="","",IFERROR(BDP($B360&amp;" Action","CP036"),""))</f>
        <v/>
      </c>
      <c r="D360" s="104">
        <f>Database!S360</f>
        <v/>
      </c>
      <c r="E360" s="103">
        <f>IF($B360="","",IFERROR(BDP($B360&amp;" Action","CP037"),""))</f>
        <v/>
      </c>
      <c r="F360" s="104">
        <f>Database!T360</f>
        <v/>
      </c>
      <c r="G360" s="103">
        <f>IF($B360="","",IFERROR(BDP($B360&amp;" Action","GREENSHOE_FACILITY"),""))</f>
        <v/>
      </c>
      <c r="H360" s="103">
        <f>IF($B360="","",IFERROR(BDP($B360&amp;" Action","OFFERING_GREENSHOE_SHARES_EX"),""))</f>
        <v/>
      </c>
      <c r="I360" s="16">
        <f>Database!Z360</f>
        <v/>
      </c>
      <c r="J360" s="24">
        <f>IFERROR(BDP(Database!$A360&amp;" HK Equity","PE_RATIO"),"")</f>
        <v/>
      </c>
      <c r="K360" s="10">
        <f>IFERROR(BDP(Database!$A360&amp;" HK Equity","A/H_SHARE_CONVERSION"),"")</f>
        <v/>
      </c>
      <c r="L360" s="16">
        <f>IF(Database!BA360="","(none found)",Database!BA360)</f>
        <v/>
      </c>
      <c r="M360" s="18">
        <f>IFERROR(BDH(Database!$A360&amp;" HK Equity","CUR_MKT_CAP",Database!$H360,Database!$H360),"")</f>
        <v/>
      </c>
      <c r="N360" s="99">
        <f>Database!Q360</f>
        <v/>
      </c>
      <c r="O360" s="24">
        <f>IFERROR(BDH(Database!$A360&amp;" HK Equity","PE_RATIO",Database!$H360,Database!$H360),"")</f>
        <v/>
      </c>
      <c r="P360" s="101">
        <f>IF(Database!AV360="","(n/m or not derivable)",Database!AV360)</f>
        <v/>
      </c>
      <c r="Q360" s="24">
        <f>IF(Database!BA360="","",IFERROR(BDH(LEFT(Database!BA360,FIND(".",Database!BA360)-1)&amp;" CH Equity","PE_RATIO",Database!$H360,Database!$H360),""))</f>
        <v/>
      </c>
      <c r="R360" s="24">
        <f>IF(Database!BA360="","",IFERROR(BDH("HSAHP Index","PX_LAST",Database!$H360,Database!$H360),""))</f>
        <v/>
      </c>
    </row>
    <row r="361">
      <c r="A361" s="16">
        <f>Database!A361&amp;"  "&amp;Database!B361</f>
        <v/>
      </c>
      <c r="B361" s="10">
        <f>IFERROR(INDEX(BDS(Database!$A361&amp;" HK Equity","EQUITY_OFFERINGS","array=t","endcol=1"),MATCH("IPO",BDS(Database!$A361&amp;" HK Equity","EQUITY_OFFERINGS","array=t","startcol=2","endcol=2"),0)),"")</f>
        <v/>
      </c>
      <c r="C361" s="103">
        <f>IF($B361="","",IFERROR(BDP($B361&amp;" Action","CP036"),""))</f>
        <v/>
      </c>
      <c r="D361" s="104">
        <f>Database!S361</f>
        <v/>
      </c>
      <c r="E361" s="103">
        <f>IF($B361="","",IFERROR(BDP($B361&amp;" Action","CP037"),""))</f>
        <v/>
      </c>
      <c r="F361" s="104">
        <f>Database!T361</f>
        <v/>
      </c>
      <c r="G361" s="103">
        <f>IF($B361="","",IFERROR(BDP($B361&amp;" Action","GREENSHOE_FACILITY"),""))</f>
        <v/>
      </c>
      <c r="H361" s="103">
        <f>IF($B361="","",IFERROR(BDP($B361&amp;" Action","OFFERING_GREENSHOE_SHARES_EX"),""))</f>
        <v/>
      </c>
      <c r="I361" s="16">
        <f>Database!Z361</f>
        <v/>
      </c>
      <c r="J361" s="24">
        <f>IFERROR(BDP(Database!$A361&amp;" HK Equity","PE_RATIO"),"")</f>
        <v/>
      </c>
      <c r="K361" s="10">
        <f>IFERROR(BDP(Database!$A361&amp;" HK Equity","A/H_SHARE_CONVERSION"),"")</f>
        <v/>
      </c>
      <c r="L361" s="16">
        <f>IF(Database!BA361="","(none found)",Database!BA361)</f>
        <v/>
      </c>
      <c r="M361" s="18">
        <f>IFERROR(BDH(Database!$A361&amp;" HK Equity","CUR_MKT_CAP",Database!$H361,Database!$H361),"")</f>
        <v/>
      </c>
      <c r="N361" s="99">
        <f>Database!Q361</f>
        <v/>
      </c>
      <c r="O361" s="24">
        <f>IFERROR(BDH(Database!$A361&amp;" HK Equity","PE_RATIO",Database!$H361,Database!$H361),"")</f>
        <v/>
      </c>
      <c r="P361" s="101">
        <f>IF(Database!AV361="","(n/m or not derivable)",Database!AV361)</f>
        <v/>
      </c>
      <c r="Q361" s="24">
        <f>IF(Database!BA361="","",IFERROR(BDH(LEFT(Database!BA361,FIND(".",Database!BA361)-1)&amp;" CH Equity","PE_RATIO",Database!$H361,Database!$H361),""))</f>
        <v/>
      </c>
      <c r="R361" s="24">
        <f>IF(Database!BA361="","",IFERROR(BDH("HSAHP Index","PX_LAST",Database!$H361,Database!$H361),""))</f>
        <v/>
      </c>
    </row>
    <row r="362">
      <c r="A362" s="16">
        <f>Database!A362&amp;"  "&amp;Database!B362</f>
        <v/>
      </c>
      <c r="B362" s="10">
        <f>IFERROR(INDEX(BDS(Database!$A362&amp;" HK Equity","EQUITY_OFFERINGS","array=t","endcol=1"),MATCH("IPO",BDS(Database!$A362&amp;" HK Equity","EQUITY_OFFERINGS","array=t","startcol=2","endcol=2"),0)),"")</f>
        <v/>
      </c>
      <c r="C362" s="103">
        <f>IF($B362="","",IFERROR(BDP($B362&amp;" Action","CP036"),""))</f>
        <v/>
      </c>
      <c r="D362" s="104">
        <f>Database!S362</f>
        <v/>
      </c>
      <c r="E362" s="103">
        <f>IF($B362="","",IFERROR(BDP($B362&amp;" Action","CP037"),""))</f>
        <v/>
      </c>
      <c r="F362" s="104">
        <f>Database!T362</f>
        <v/>
      </c>
      <c r="G362" s="103">
        <f>IF($B362="","",IFERROR(BDP($B362&amp;" Action","GREENSHOE_FACILITY"),""))</f>
        <v/>
      </c>
      <c r="H362" s="103">
        <f>IF($B362="","",IFERROR(BDP($B362&amp;" Action","OFFERING_GREENSHOE_SHARES_EX"),""))</f>
        <v/>
      </c>
      <c r="I362" s="16">
        <f>Database!Z362</f>
        <v/>
      </c>
      <c r="J362" s="24">
        <f>IFERROR(BDP(Database!$A362&amp;" HK Equity","PE_RATIO"),"")</f>
        <v/>
      </c>
      <c r="K362" s="10">
        <f>IFERROR(BDP(Database!$A362&amp;" HK Equity","A/H_SHARE_CONVERSION"),"")</f>
        <v/>
      </c>
      <c r="L362" s="16">
        <f>IF(Database!BA362="","(none found)",Database!BA362)</f>
        <v/>
      </c>
      <c r="M362" s="18">
        <f>IFERROR(BDH(Database!$A362&amp;" HK Equity","CUR_MKT_CAP",Database!$H362,Database!$H362),"")</f>
        <v/>
      </c>
      <c r="N362" s="99">
        <f>Database!Q362</f>
        <v/>
      </c>
      <c r="O362" s="24">
        <f>IFERROR(BDH(Database!$A362&amp;" HK Equity","PE_RATIO",Database!$H362,Database!$H362),"")</f>
        <v/>
      </c>
      <c r="P362" s="101">
        <f>IF(Database!AV362="","(n/m or not derivable)",Database!AV362)</f>
        <v/>
      </c>
      <c r="Q362" s="24">
        <f>IF(Database!BA362="","",IFERROR(BDH(LEFT(Database!BA362,FIND(".",Database!BA362)-1)&amp;" CH Equity","PE_RATIO",Database!$H362,Database!$H362),""))</f>
        <v/>
      </c>
      <c r="R362" s="24">
        <f>IF(Database!BA362="","",IFERROR(BDH("HSAHP Index","PX_LAST",Database!$H362,Database!$H362),""))</f>
        <v/>
      </c>
    </row>
    <row r="363">
      <c r="A363" s="16">
        <f>Database!A363&amp;"  "&amp;Database!B363</f>
        <v/>
      </c>
      <c r="B363" s="10">
        <f>IFERROR(INDEX(BDS(Database!$A363&amp;" HK Equity","EQUITY_OFFERINGS","array=t","endcol=1"),MATCH("IPO",BDS(Database!$A363&amp;" HK Equity","EQUITY_OFFERINGS","array=t","startcol=2","endcol=2"),0)),"")</f>
        <v/>
      </c>
      <c r="C363" s="103">
        <f>IF($B363="","",IFERROR(BDP($B363&amp;" Action","CP036"),""))</f>
        <v/>
      </c>
      <c r="D363" s="104">
        <f>Database!S363</f>
        <v/>
      </c>
      <c r="E363" s="103">
        <f>IF($B363="","",IFERROR(BDP($B363&amp;" Action","CP037"),""))</f>
        <v/>
      </c>
      <c r="F363" s="104">
        <f>Database!T363</f>
        <v/>
      </c>
      <c r="G363" s="103">
        <f>IF($B363="","",IFERROR(BDP($B363&amp;" Action","GREENSHOE_FACILITY"),""))</f>
        <v/>
      </c>
      <c r="H363" s="103">
        <f>IF($B363="","",IFERROR(BDP($B363&amp;" Action","OFFERING_GREENSHOE_SHARES_EX"),""))</f>
        <v/>
      </c>
      <c r="I363" s="16">
        <f>Database!Z363</f>
        <v/>
      </c>
      <c r="J363" s="24">
        <f>IFERROR(BDP(Database!$A363&amp;" HK Equity","PE_RATIO"),"")</f>
        <v/>
      </c>
      <c r="K363" s="10">
        <f>IFERROR(BDP(Database!$A363&amp;" HK Equity","A/H_SHARE_CONVERSION"),"")</f>
        <v/>
      </c>
      <c r="L363" s="16">
        <f>IF(Database!BA363="","(none found)",Database!BA363)</f>
        <v/>
      </c>
      <c r="M363" s="18">
        <f>IFERROR(BDH(Database!$A363&amp;" HK Equity","CUR_MKT_CAP",Database!$H363,Database!$H363),"")</f>
        <v/>
      </c>
      <c r="N363" s="99">
        <f>Database!Q363</f>
        <v/>
      </c>
      <c r="O363" s="24">
        <f>IFERROR(BDH(Database!$A363&amp;" HK Equity","PE_RATIO",Database!$H363,Database!$H363),"")</f>
        <v/>
      </c>
      <c r="P363" s="101">
        <f>IF(Database!AV363="","(n/m or not derivable)",Database!AV363)</f>
        <v/>
      </c>
      <c r="Q363" s="24">
        <f>IF(Database!BA363="","",IFERROR(BDH(LEFT(Database!BA363,FIND(".",Database!BA363)-1)&amp;" CH Equity","PE_RATIO",Database!$H363,Database!$H363),""))</f>
        <v/>
      </c>
      <c r="R363" s="24">
        <f>IF(Database!BA363="","",IFERROR(BDH("HSAHP Index","PX_LAST",Database!$H363,Database!$H363),""))</f>
        <v/>
      </c>
    </row>
    <row r="364">
      <c r="A364" s="16">
        <f>Database!A364&amp;"  "&amp;Database!B364</f>
        <v/>
      </c>
      <c r="B364" s="10">
        <f>IFERROR(INDEX(BDS(Database!$A364&amp;" HK Equity","EQUITY_OFFERINGS","array=t","endcol=1"),MATCH("IPO",BDS(Database!$A364&amp;" HK Equity","EQUITY_OFFERINGS","array=t","startcol=2","endcol=2"),0)),"")</f>
        <v/>
      </c>
      <c r="C364" s="103">
        <f>IF($B364="","",IFERROR(BDP($B364&amp;" Action","CP036"),""))</f>
        <v/>
      </c>
      <c r="D364" s="104">
        <f>Database!S364</f>
        <v/>
      </c>
      <c r="E364" s="103">
        <f>IF($B364="","",IFERROR(BDP($B364&amp;" Action","CP037"),""))</f>
        <v/>
      </c>
      <c r="F364" s="104">
        <f>Database!T364</f>
        <v/>
      </c>
      <c r="G364" s="103">
        <f>IF($B364="","",IFERROR(BDP($B364&amp;" Action","GREENSHOE_FACILITY"),""))</f>
        <v/>
      </c>
      <c r="H364" s="103">
        <f>IF($B364="","",IFERROR(BDP($B364&amp;" Action","OFFERING_GREENSHOE_SHARES_EX"),""))</f>
        <v/>
      </c>
      <c r="I364" s="16">
        <f>Database!Z364</f>
        <v/>
      </c>
      <c r="J364" s="24">
        <f>IFERROR(BDP(Database!$A364&amp;" HK Equity","PE_RATIO"),"")</f>
        <v/>
      </c>
      <c r="K364" s="10">
        <f>IFERROR(BDP(Database!$A364&amp;" HK Equity","A/H_SHARE_CONVERSION"),"")</f>
        <v/>
      </c>
      <c r="L364" s="16">
        <f>IF(Database!BA364="","(none found)",Database!BA364)</f>
        <v/>
      </c>
      <c r="M364" s="18">
        <f>IFERROR(BDH(Database!$A364&amp;" HK Equity","CUR_MKT_CAP",Database!$H364,Database!$H364),"")</f>
        <v/>
      </c>
      <c r="N364" s="99">
        <f>Database!Q364</f>
        <v/>
      </c>
      <c r="O364" s="24">
        <f>IFERROR(BDH(Database!$A364&amp;" HK Equity","PE_RATIO",Database!$H364,Database!$H364),"")</f>
        <v/>
      </c>
      <c r="P364" s="101">
        <f>IF(Database!AV364="","(n/m or not derivable)",Database!AV364)</f>
        <v/>
      </c>
      <c r="Q364" s="24">
        <f>IF(Database!BA364="","",IFERROR(BDH(LEFT(Database!BA364,FIND(".",Database!BA364)-1)&amp;" CH Equity","PE_RATIO",Database!$H364,Database!$H364),""))</f>
        <v/>
      </c>
      <c r="R364" s="24">
        <f>IF(Database!BA364="","",IFERROR(BDH("HSAHP Index","PX_LAST",Database!$H364,Database!$H364),""))</f>
        <v/>
      </c>
    </row>
    <row r="365">
      <c r="A365" s="16">
        <f>Database!A365&amp;"  "&amp;Database!B365</f>
        <v/>
      </c>
      <c r="B365" s="10">
        <f>IFERROR(INDEX(BDS(Database!$A365&amp;" HK Equity","EQUITY_OFFERINGS","array=t","endcol=1"),MATCH("IPO",BDS(Database!$A365&amp;" HK Equity","EQUITY_OFFERINGS","array=t","startcol=2","endcol=2"),0)),"")</f>
        <v/>
      </c>
      <c r="C365" s="103">
        <f>IF($B365="","",IFERROR(BDP($B365&amp;" Action","CP036"),""))</f>
        <v/>
      </c>
      <c r="D365" s="104">
        <f>Database!S365</f>
        <v/>
      </c>
      <c r="E365" s="103">
        <f>IF($B365="","",IFERROR(BDP($B365&amp;" Action","CP037"),""))</f>
        <v/>
      </c>
      <c r="F365" s="104">
        <f>Database!T365</f>
        <v/>
      </c>
      <c r="G365" s="103">
        <f>IF($B365="","",IFERROR(BDP($B365&amp;" Action","GREENSHOE_FACILITY"),""))</f>
        <v/>
      </c>
      <c r="H365" s="103">
        <f>IF($B365="","",IFERROR(BDP($B365&amp;" Action","OFFERING_GREENSHOE_SHARES_EX"),""))</f>
        <v/>
      </c>
      <c r="I365" s="16">
        <f>Database!Z365</f>
        <v/>
      </c>
      <c r="J365" s="24">
        <f>IFERROR(BDP(Database!$A365&amp;" HK Equity","PE_RATIO"),"")</f>
        <v/>
      </c>
      <c r="K365" s="10">
        <f>IFERROR(BDP(Database!$A365&amp;" HK Equity","A/H_SHARE_CONVERSION"),"")</f>
        <v/>
      </c>
      <c r="L365" s="16">
        <f>IF(Database!BA365="","(none found)",Database!BA365)</f>
        <v/>
      </c>
      <c r="M365" s="18">
        <f>IFERROR(BDH(Database!$A365&amp;" HK Equity","CUR_MKT_CAP",Database!$H365,Database!$H365),"")</f>
        <v/>
      </c>
      <c r="N365" s="99">
        <f>Database!Q365</f>
        <v/>
      </c>
      <c r="O365" s="24">
        <f>IFERROR(BDH(Database!$A365&amp;" HK Equity","PE_RATIO",Database!$H365,Database!$H365),"")</f>
        <v/>
      </c>
      <c r="P365" s="101">
        <f>IF(Database!AV365="","(n/m or not derivable)",Database!AV365)</f>
        <v/>
      </c>
      <c r="Q365" s="24">
        <f>IF(Database!BA365="","",IFERROR(BDH(LEFT(Database!BA365,FIND(".",Database!BA365)-1)&amp;" CH Equity","PE_RATIO",Database!$H365,Database!$H365),""))</f>
        <v/>
      </c>
      <c r="R365" s="24">
        <f>IF(Database!BA365="","",IFERROR(BDH("HSAHP Index","PX_LAST",Database!$H365,Database!$H365),""))</f>
        <v/>
      </c>
    </row>
    <row r="366">
      <c r="A366" s="16">
        <f>Database!A366&amp;"  "&amp;Database!B366</f>
        <v/>
      </c>
      <c r="B366" s="10">
        <f>IFERROR(INDEX(BDS(Database!$A366&amp;" HK Equity","EQUITY_OFFERINGS","array=t","endcol=1"),MATCH("IPO",BDS(Database!$A366&amp;" HK Equity","EQUITY_OFFERINGS","array=t","startcol=2","endcol=2"),0)),"")</f>
        <v/>
      </c>
      <c r="C366" s="103">
        <f>IF($B366="","",IFERROR(BDP($B366&amp;" Action","CP036"),""))</f>
        <v/>
      </c>
      <c r="D366" s="104">
        <f>Database!S366</f>
        <v/>
      </c>
      <c r="E366" s="103">
        <f>IF($B366="","",IFERROR(BDP($B366&amp;" Action","CP037"),""))</f>
        <v/>
      </c>
      <c r="F366" s="104">
        <f>Database!T366</f>
        <v/>
      </c>
      <c r="G366" s="103">
        <f>IF($B366="","",IFERROR(BDP($B366&amp;" Action","GREENSHOE_FACILITY"),""))</f>
        <v/>
      </c>
      <c r="H366" s="103">
        <f>IF($B366="","",IFERROR(BDP($B366&amp;" Action","OFFERING_GREENSHOE_SHARES_EX"),""))</f>
        <v/>
      </c>
      <c r="I366" s="16">
        <f>Database!Z366</f>
        <v/>
      </c>
      <c r="J366" s="24">
        <f>IFERROR(BDP(Database!$A366&amp;" HK Equity","PE_RATIO"),"")</f>
        <v/>
      </c>
      <c r="K366" s="10">
        <f>IFERROR(BDP(Database!$A366&amp;" HK Equity","A/H_SHARE_CONVERSION"),"")</f>
        <v/>
      </c>
      <c r="L366" s="16">
        <f>IF(Database!BA366="","(none found)",Database!BA366)</f>
        <v/>
      </c>
      <c r="M366" s="18">
        <f>IFERROR(BDH(Database!$A366&amp;" HK Equity","CUR_MKT_CAP",Database!$H366,Database!$H366),"")</f>
        <v/>
      </c>
      <c r="N366" s="99">
        <f>Database!Q366</f>
        <v/>
      </c>
      <c r="O366" s="24">
        <f>IFERROR(BDH(Database!$A366&amp;" HK Equity","PE_RATIO",Database!$H366,Database!$H366),"")</f>
        <v/>
      </c>
      <c r="P366" s="101">
        <f>IF(Database!AV366="","(n/m or not derivable)",Database!AV366)</f>
        <v/>
      </c>
      <c r="Q366" s="24">
        <f>IF(Database!BA366="","",IFERROR(BDH(LEFT(Database!BA366,FIND(".",Database!BA366)-1)&amp;" CH Equity","PE_RATIO",Database!$H366,Database!$H366),""))</f>
        <v/>
      </c>
      <c r="R366" s="24">
        <f>IF(Database!BA366="","",IFERROR(BDH("HSAHP Index","PX_LAST",Database!$H366,Database!$H366),""))</f>
        <v/>
      </c>
    </row>
    <row r="367">
      <c r="A367" s="16">
        <f>Database!A367&amp;"  "&amp;Database!B367</f>
        <v/>
      </c>
      <c r="B367" s="10">
        <f>IFERROR(INDEX(BDS(Database!$A367&amp;" HK Equity","EQUITY_OFFERINGS","array=t","endcol=1"),MATCH("IPO",BDS(Database!$A367&amp;" HK Equity","EQUITY_OFFERINGS","array=t","startcol=2","endcol=2"),0)),"")</f>
        <v/>
      </c>
      <c r="C367" s="103">
        <f>IF($B367="","",IFERROR(BDP($B367&amp;" Action","CP036"),""))</f>
        <v/>
      </c>
      <c r="D367" s="104">
        <f>Database!S367</f>
        <v/>
      </c>
      <c r="E367" s="103">
        <f>IF($B367="","",IFERROR(BDP($B367&amp;" Action","CP037"),""))</f>
        <v/>
      </c>
      <c r="F367" s="104">
        <f>Database!T367</f>
        <v/>
      </c>
      <c r="G367" s="103">
        <f>IF($B367="","",IFERROR(BDP($B367&amp;" Action","GREENSHOE_FACILITY"),""))</f>
        <v/>
      </c>
      <c r="H367" s="103">
        <f>IF($B367="","",IFERROR(BDP($B367&amp;" Action","OFFERING_GREENSHOE_SHARES_EX"),""))</f>
        <v/>
      </c>
      <c r="I367" s="16">
        <f>Database!Z367</f>
        <v/>
      </c>
      <c r="J367" s="24">
        <f>IFERROR(BDP(Database!$A367&amp;" HK Equity","PE_RATIO"),"")</f>
        <v/>
      </c>
      <c r="K367" s="10">
        <f>IFERROR(BDP(Database!$A367&amp;" HK Equity","A/H_SHARE_CONVERSION"),"")</f>
        <v/>
      </c>
      <c r="L367" s="16">
        <f>IF(Database!BA367="","(none found)",Database!BA367)</f>
        <v/>
      </c>
      <c r="M367" s="18">
        <f>IFERROR(BDH(Database!$A367&amp;" HK Equity","CUR_MKT_CAP",Database!$H367,Database!$H367),"")</f>
        <v/>
      </c>
      <c r="N367" s="99">
        <f>Database!Q367</f>
        <v/>
      </c>
      <c r="O367" s="24">
        <f>IFERROR(BDH(Database!$A367&amp;" HK Equity","PE_RATIO",Database!$H367,Database!$H367),"")</f>
        <v/>
      </c>
      <c r="P367" s="101">
        <f>IF(Database!AV367="","(n/m or not derivable)",Database!AV367)</f>
        <v/>
      </c>
      <c r="Q367" s="24">
        <f>IF(Database!BA367="","",IFERROR(BDH(LEFT(Database!BA367,FIND(".",Database!BA367)-1)&amp;" CH Equity","PE_RATIO",Database!$H367,Database!$H367),""))</f>
        <v/>
      </c>
      <c r="R367" s="24">
        <f>IF(Database!BA367="","",IFERROR(BDH("HSAHP Index","PX_LAST",Database!$H367,Database!$H367),""))</f>
        <v/>
      </c>
    </row>
    <row r="368">
      <c r="A368" s="16">
        <f>Database!A368&amp;"  "&amp;Database!B368</f>
        <v/>
      </c>
      <c r="B368" s="10">
        <f>IFERROR(INDEX(BDS(Database!$A368&amp;" HK Equity","EQUITY_OFFERINGS","array=t","endcol=1"),MATCH("IPO",BDS(Database!$A368&amp;" HK Equity","EQUITY_OFFERINGS","array=t","startcol=2","endcol=2"),0)),"")</f>
        <v/>
      </c>
      <c r="C368" s="103">
        <f>IF($B368="","",IFERROR(BDP($B368&amp;" Action","CP036"),""))</f>
        <v/>
      </c>
      <c r="D368" s="104">
        <f>Database!S368</f>
        <v/>
      </c>
      <c r="E368" s="103">
        <f>IF($B368="","",IFERROR(BDP($B368&amp;" Action","CP037"),""))</f>
        <v/>
      </c>
      <c r="F368" s="104">
        <f>Database!T368</f>
        <v/>
      </c>
      <c r="G368" s="103">
        <f>IF($B368="","",IFERROR(BDP($B368&amp;" Action","GREENSHOE_FACILITY"),""))</f>
        <v/>
      </c>
      <c r="H368" s="103">
        <f>IF($B368="","",IFERROR(BDP($B368&amp;" Action","OFFERING_GREENSHOE_SHARES_EX"),""))</f>
        <v/>
      </c>
      <c r="I368" s="16">
        <f>Database!Z368</f>
        <v/>
      </c>
      <c r="J368" s="24">
        <f>IFERROR(BDP(Database!$A368&amp;" HK Equity","PE_RATIO"),"")</f>
        <v/>
      </c>
      <c r="K368" s="10">
        <f>IFERROR(BDP(Database!$A368&amp;" HK Equity","A/H_SHARE_CONVERSION"),"")</f>
        <v/>
      </c>
      <c r="L368" s="16">
        <f>IF(Database!BA368="","(none found)",Database!BA368)</f>
        <v/>
      </c>
      <c r="M368" s="18">
        <f>IFERROR(BDH(Database!$A368&amp;" HK Equity","CUR_MKT_CAP",Database!$H368,Database!$H368),"")</f>
        <v/>
      </c>
      <c r="N368" s="99">
        <f>Database!Q368</f>
        <v/>
      </c>
      <c r="O368" s="24">
        <f>IFERROR(BDH(Database!$A368&amp;" HK Equity","PE_RATIO",Database!$H368,Database!$H368),"")</f>
        <v/>
      </c>
      <c r="P368" s="101">
        <f>IF(Database!AV368="","(n/m or not derivable)",Database!AV368)</f>
        <v/>
      </c>
      <c r="Q368" s="24">
        <f>IF(Database!BA368="","",IFERROR(BDH(LEFT(Database!BA368,FIND(".",Database!BA368)-1)&amp;" CH Equity","PE_RATIO",Database!$H368,Database!$H368),""))</f>
        <v/>
      </c>
      <c r="R368" s="24">
        <f>IF(Database!BA368="","",IFERROR(BDH("HSAHP Index","PX_LAST",Database!$H368,Database!$H368),""))</f>
        <v/>
      </c>
    </row>
    <row r="369">
      <c r="A369" s="16">
        <f>Database!A369&amp;"  "&amp;Database!B369</f>
        <v/>
      </c>
      <c r="B369" s="10">
        <f>IFERROR(INDEX(BDS(Database!$A369&amp;" HK Equity","EQUITY_OFFERINGS","array=t","endcol=1"),MATCH("IPO",BDS(Database!$A369&amp;" HK Equity","EQUITY_OFFERINGS","array=t","startcol=2","endcol=2"),0)),"")</f>
        <v/>
      </c>
      <c r="C369" s="103">
        <f>IF($B369="","",IFERROR(BDP($B369&amp;" Action","CP036"),""))</f>
        <v/>
      </c>
      <c r="D369" s="104">
        <f>Database!S369</f>
        <v/>
      </c>
      <c r="E369" s="103">
        <f>IF($B369="","",IFERROR(BDP($B369&amp;" Action","CP037"),""))</f>
        <v/>
      </c>
      <c r="F369" s="104">
        <f>Database!T369</f>
        <v/>
      </c>
      <c r="G369" s="103">
        <f>IF($B369="","",IFERROR(BDP($B369&amp;" Action","GREENSHOE_FACILITY"),""))</f>
        <v/>
      </c>
      <c r="H369" s="103">
        <f>IF($B369="","",IFERROR(BDP($B369&amp;" Action","OFFERING_GREENSHOE_SHARES_EX"),""))</f>
        <v/>
      </c>
      <c r="I369" s="16">
        <f>Database!Z369</f>
        <v/>
      </c>
      <c r="J369" s="24">
        <f>IFERROR(BDP(Database!$A369&amp;" HK Equity","PE_RATIO"),"")</f>
        <v/>
      </c>
      <c r="K369" s="10">
        <f>IFERROR(BDP(Database!$A369&amp;" HK Equity","A/H_SHARE_CONVERSION"),"")</f>
        <v/>
      </c>
      <c r="L369" s="16">
        <f>IF(Database!BA369="","(none found)",Database!BA369)</f>
        <v/>
      </c>
      <c r="M369" s="18">
        <f>IFERROR(BDH(Database!$A369&amp;" HK Equity","CUR_MKT_CAP",Database!$H369,Database!$H369),"")</f>
        <v/>
      </c>
      <c r="N369" s="99">
        <f>Database!Q369</f>
        <v/>
      </c>
      <c r="O369" s="24">
        <f>IFERROR(BDH(Database!$A369&amp;" HK Equity","PE_RATIO",Database!$H369,Database!$H369),"")</f>
        <v/>
      </c>
      <c r="P369" s="101">
        <f>IF(Database!AV369="","(n/m or not derivable)",Database!AV369)</f>
        <v/>
      </c>
      <c r="Q369" s="24">
        <f>IF(Database!BA369="","",IFERROR(BDH(LEFT(Database!BA369,FIND(".",Database!BA369)-1)&amp;" CH Equity","PE_RATIO",Database!$H369,Database!$H369),""))</f>
        <v/>
      </c>
      <c r="R369" s="24">
        <f>IF(Database!BA369="","",IFERROR(BDH("HSAHP Index","PX_LAST",Database!$H369,Database!$H369),""))</f>
        <v/>
      </c>
    </row>
    <row r="370">
      <c r="A370" s="16">
        <f>Database!A370&amp;"  "&amp;Database!B370</f>
        <v/>
      </c>
      <c r="B370" s="10">
        <f>IFERROR(INDEX(BDS(Database!$A370&amp;" HK Equity","EQUITY_OFFERINGS","array=t","endcol=1"),MATCH("IPO",BDS(Database!$A370&amp;" HK Equity","EQUITY_OFFERINGS","array=t","startcol=2","endcol=2"),0)),"")</f>
        <v/>
      </c>
      <c r="C370" s="103">
        <f>IF($B370="","",IFERROR(BDP($B370&amp;" Action","CP036"),""))</f>
        <v/>
      </c>
      <c r="D370" s="104">
        <f>Database!S370</f>
        <v/>
      </c>
      <c r="E370" s="103">
        <f>IF($B370="","",IFERROR(BDP($B370&amp;" Action","CP037"),""))</f>
        <v/>
      </c>
      <c r="F370" s="104">
        <f>Database!T370</f>
        <v/>
      </c>
      <c r="G370" s="103">
        <f>IF($B370="","",IFERROR(BDP($B370&amp;" Action","GREENSHOE_FACILITY"),""))</f>
        <v/>
      </c>
      <c r="H370" s="103">
        <f>IF($B370="","",IFERROR(BDP($B370&amp;" Action","OFFERING_GREENSHOE_SHARES_EX"),""))</f>
        <v/>
      </c>
      <c r="I370" s="16">
        <f>Database!Z370</f>
        <v/>
      </c>
      <c r="J370" s="24">
        <f>IFERROR(BDP(Database!$A370&amp;" HK Equity","PE_RATIO"),"")</f>
        <v/>
      </c>
      <c r="K370" s="10">
        <f>IFERROR(BDP(Database!$A370&amp;" HK Equity","A/H_SHARE_CONVERSION"),"")</f>
        <v/>
      </c>
      <c r="L370" s="16">
        <f>IF(Database!BA370="","(none found)",Database!BA370)</f>
        <v/>
      </c>
      <c r="M370" s="18">
        <f>IFERROR(BDH(Database!$A370&amp;" HK Equity","CUR_MKT_CAP",Database!$H370,Database!$H370),"")</f>
        <v/>
      </c>
      <c r="N370" s="99">
        <f>Database!Q370</f>
        <v/>
      </c>
      <c r="O370" s="24">
        <f>IFERROR(BDH(Database!$A370&amp;" HK Equity","PE_RATIO",Database!$H370,Database!$H370),"")</f>
        <v/>
      </c>
      <c r="P370" s="101">
        <f>IF(Database!AV370="","(n/m or not derivable)",Database!AV370)</f>
        <v/>
      </c>
      <c r="Q370" s="24">
        <f>IF(Database!BA370="","",IFERROR(BDH(LEFT(Database!BA370,FIND(".",Database!BA370)-1)&amp;" CH Equity","PE_RATIO",Database!$H370,Database!$H370),""))</f>
        <v/>
      </c>
      <c r="R370" s="24">
        <f>IF(Database!BA370="","",IFERROR(BDH("HSAHP Index","PX_LAST",Database!$H370,Database!$H370),""))</f>
        <v/>
      </c>
    </row>
    <row r="371">
      <c r="A371" s="16">
        <f>Database!A371&amp;"  "&amp;Database!B371</f>
        <v/>
      </c>
      <c r="B371" s="10">
        <f>IFERROR(INDEX(BDS(Database!$A371&amp;" HK Equity","EQUITY_OFFERINGS","array=t","endcol=1"),MATCH("IPO",BDS(Database!$A371&amp;" HK Equity","EQUITY_OFFERINGS","array=t","startcol=2","endcol=2"),0)),"")</f>
        <v/>
      </c>
      <c r="C371" s="103">
        <f>IF($B371="","",IFERROR(BDP($B371&amp;" Action","CP036"),""))</f>
        <v/>
      </c>
      <c r="D371" s="104">
        <f>Database!S371</f>
        <v/>
      </c>
      <c r="E371" s="103">
        <f>IF($B371="","",IFERROR(BDP($B371&amp;" Action","CP037"),""))</f>
        <v/>
      </c>
      <c r="F371" s="104">
        <f>Database!T371</f>
        <v/>
      </c>
      <c r="G371" s="103">
        <f>IF($B371="","",IFERROR(BDP($B371&amp;" Action","GREENSHOE_FACILITY"),""))</f>
        <v/>
      </c>
      <c r="H371" s="103">
        <f>IF($B371="","",IFERROR(BDP($B371&amp;" Action","OFFERING_GREENSHOE_SHARES_EX"),""))</f>
        <v/>
      </c>
      <c r="I371" s="16">
        <f>Database!Z371</f>
        <v/>
      </c>
      <c r="J371" s="24">
        <f>IFERROR(BDP(Database!$A371&amp;" HK Equity","PE_RATIO"),"")</f>
        <v/>
      </c>
      <c r="K371" s="10">
        <f>IFERROR(BDP(Database!$A371&amp;" HK Equity","A/H_SHARE_CONVERSION"),"")</f>
        <v/>
      </c>
      <c r="L371" s="16">
        <f>IF(Database!BA371="","(none found)",Database!BA371)</f>
        <v/>
      </c>
      <c r="M371" s="18">
        <f>IFERROR(BDH(Database!$A371&amp;" HK Equity","CUR_MKT_CAP",Database!$H371,Database!$H371),"")</f>
        <v/>
      </c>
      <c r="N371" s="99">
        <f>Database!Q371</f>
        <v/>
      </c>
      <c r="O371" s="24">
        <f>IFERROR(BDH(Database!$A371&amp;" HK Equity","PE_RATIO",Database!$H371,Database!$H371),"")</f>
        <v/>
      </c>
      <c r="P371" s="101">
        <f>IF(Database!AV371="","(n/m or not derivable)",Database!AV371)</f>
        <v/>
      </c>
      <c r="Q371" s="24">
        <f>IF(Database!BA371="","",IFERROR(BDH(LEFT(Database!BA371,FIND(".",Database!BA371)-1)&amp;" CH Equity","PE_RATIO",Database!$H371,Database!$H371),""))</f>
        <v/>
      </c>
      <c r="R371" s="24">
        <f>IF(Database!BA371="","",IFERROR(BDH("HSAHP Index","PX_LAST",Database!$H371,Database!$H371),""))</f>
        <v/>
      </c>
    </row>
    <row r="372">
      <c r="A372" s="16">
        <f>Database!A372&amp;"  "&amp;Database!B372</f>
        <v/>
      </c>
      <c r="B372" s="10">
        <f>IFERROR(INDEX(BDS(Database!$A372&amp;" HK Equity","EQUITY_OFFERINGS","array=t","endcol=1"),MATCH("IPO",BDS(Database!$A372&amp;" HK Equity","EQUITY_OFFERINGS","array=t","startcol=2","endcol=2"),0)),"")</f>
        <v/>
      </c>
      <c r="C372" s="103">
        <f>IF($B372="","",IFERROR(BDP($B372&amp;" Action","CP036"),""))</f>
        <v/>
      </c>
      <c r="D372" s="104">
        <f>Database!S372</f>
        <v/>
      </c>
      <c r="E372" s="103">
        <f>IF($B372="","",IFERROR(BDP($B372&amp;" Action","CP037"),""))</f>
        <v/>
      </c>
      <c r="F372" s="104">
        <f>Database!T372</f>
        <v/>
      </c>
      <c r="G372" s="103">
        <f>IF($B372="","",IFERROR(BDP($B372&amp;" Action","GREENSHOE_FACILITY"),""))</f>
        <v/>
      </c>
      <c r="H372" s="103">
        <f>IF($B372="","",IFERROR(BDP($B372&amp;" Action","OFFERING_GREENSHOE_SHARES_EX"),""))</f>
        <v/>
      </c>
      <c r="I372" s="16">
        <f>Database!Z372</f>
        <v/>
      </c>
      <c r="J372" s="24">
        <f>IFERROR(BDP(Database!$A372&amp;" HK Equity","PE_RATIO"),"")</f>
        <v/>
      </c>
      <c r="K372" s="10">
        <f>IFERROR(BDP(Database!$A372&amp;" HK Equity","A/H_SHARE_CONVERSION"),"")</f>
        <v/>
      </c>
      <c r="L372" s="16">
        <f>IF(Database!BA372="","(none found)",Database!BA372)</f>
        <v/>
      </c>
      <c r="M372" s="18">
        <f>IFERROR(BDH(Database!$A372&amp;" HK Equity","CUR_MKT_CAP",Database!$H372,Database!$H372),"")</f>
        <v/>
      </c>
      <c r="N372" s="99">
        <f>Database!Q372</f>
        <v/>
      </c>
      <c r="O372" s="24">
        <f>IFERROR(BDH(Database!$A372&amp;" HK Equity","PE_RATIO",Database!$H372,Database!$H372),"")</f>
        <v/>
      </c>
      <c r="P372" s="101">
        <f>IF(Database!AV372="","(n/m or not derivable)",Database!AV372)</f>
        <v/>
      </c>
      <c r="Q372" s="24">
        <f>IF(Database!BA372="","",IFERROR(BDH(LEFT(Database!BA372,FIND(".",Database!BA372)-1)&amp;" CH Equity","PE_RATIO",Database!$H372,Database!$H372),""))</f>
        <v/>
      </c>
      <c r="R372" s="24">
        <f>IF(Database!BA372="","",IFERROR(BDH("HSAHP Index","PX_LAST",Database!$H372,Database!$H372),""))</f>
        <v/>
      </c>
    </row>
    <row r="373">
      <c r="A373" s="16">
        <f>Database!A373&amp;"  "&amp;Database!B373</f>
        <v/>
      </c>
      <c r="B373" s="10">
        <f>IFERROR(INDEX(BDS(Database!$A373&amp;" HK Equity","EQUITY_OFFERINGS","array=t","endcol=1"),MATCH("IPO",BDS(Database!$A373&amp;" HK Equity","EQUITY_OFFERINGS","array=t","startcol=2","endcol=2"),0)),"")</f>
        <v/>
      </c>
      <c r="C373" s="103">
        <f>IF($B373="","",IFERROR(BDP($B373&amp;" Action","CP036"),""))</f>
        <v/>
      </c>
      <c r="D373" s="104">
        <f>Database!S373</f>
        <v/>
      </c>
      <c r="E373" s="103">
        <f>IF($B373="","",IFERROR(BDP($B373&amp;" Action","CP037"),""))</f>
        <v/>
      </c>
      <c r="F373" s="104">
        <f>Database!T373</f>
        <v/>
      </c>
      <c r="G373" s="103">
        <f>IF($B373="","",IFERROR(BDP($B373&amp;" Action","GREENSHOE_FACILITY"),""))</f>
        <v/>
      </c>
      <c r="H373" s="103">
        <f>IF($B373="","",IFERROR(BDP($B373&amp;" Action","OFFERING_GREENSHOE_SHARES_EX"),""))</f>
        <v/>
      </c>
      <c r="I373" s="16">
        <f>Database!Z373</f>
        <v/>
      </c>
      <c r="J373" s="24">
        <f>IFERROR(BDP(Database!$A373&amp;" HK Equity","PE_RATIO"),"")</f>
        <v/>
      </c>
      <c r="K373" s="10">
        <f>IFERROR(BDP(Database!$A373&amp;" HK Equity","A/H_SHARE_CONVERSION"),"")</f>
        <v/>
      </c>
      <c r="L373" s="16">
        <f>IF(Database!BA373="","(none found)",Database!BA373)</f>
        <v/>
      </c>
      <c r="M373" s="18">
        <f>IFERROR(BDH(Database!$A373&amp;" HK Equity","CUR_MKT_CAP",Database!$H373,Database!$H373),"")</f>
        <v/>
      </c>
      <c r="N373" s="99">
        <f>Database!Q373</f>
        <v/>
      </c>
      <c r="O373" s="24">
        <f>IFERROR(BDH(Database!$A373&amp;" HK Equity","PE_RATIO",Database!$H373,Database!$H373),"")</f>
        <v/>
      </c>
      <c r="P373" s="101">
        <f>IF(Database!AV373="","(n/m or not derivable)",Database!AV373)</f>
        <v/>
      </c>
      <c r="Q373" s="24">
        <f>IF(Database!BA373="","",IFERROR(BDH(LEFT(Database!BA373,FIND(".",Database!BA373)-1)&amp;" CH Equity","PE_RATIO",Database!$H373,Database!$H373),""))</f>
        <v/>
      </c>
      <c r="R373" s="24">
        <f>IF(Database!BA373="","",IFERROR(BDH("HSAHP Index","PX_LAST",Database!$H373,Database!$H373),""))</f>
        <v/>
      </c>
    </row>
    <row r="374">
      <c r="A374" s="16">
        <f>Database!A374&amp;"  "&amp;Database!B374</f>
        <v/>
      </c>
      <c r="B374" s="10">
        <f>IFERROR(INDEX(BDS(Database!$A374&amp;" HK Equity","EQUITY_OFFERINGS","array=t","endcol=1"),MATCH("IPO",BDS(Database!$A374&amp;" HK Equity","EQUITY_OFFERINGS","array=t","startcol=2","endcol=2"),0)),"")</f>
        <v/>
      </c>
      <c r="C374" s="103">
        <f>IF($B374="","",IFERROR(BDP($B374&amp;" Action","CP036"),""))</f>
        <v/>
      </c>
      <c r="D374" s="104">
        <f>Database!S374</f>
        <v/>
      </c>
      <c r="E374" s="103">
        <f>IF($B374="","",IFERROR(BDP($B374&amp;" Action","CP037"),""))</f>
        <v/>
      </c>
      <c r="F374" s="104">
        <f>Database!T374</f>
        <v/>
      </c>
      <c r="G374" s="103">
        <f>IF($B374="","",IFERROR(BDP($B374&amp;" Action","GREENSHOE_FACILITY"),""))</f>
        <v/>
      </c>
      <c r="H374" s="103">
        <f>IF($B374="","",IFERROR(BDP($B374&amp;" Action","OFFERING_GREENSHOE_SHARES_EX"),""))</f>
        <v/>
      </c>
      <c r="I374" s="16">
        <f>Database!Z374</f>
        <v/>
      </c>
      <c r="J374" s="24">
        <f>IFERROR(BDP(Database!$A374&amp;" HK Equity","PE_RATIO"),"")</f>
        <v/>
      </c>
      <c r="K374" s="10">
        <f>IFERROR(BDP(Database!$A374&amp;" HK Equity","A/H_SHARE_CONVERSION"),"")</f>
        <v/>
      </c>
      <c r="L374" s="16">
        <f>IF(Database!BA374="","(none found)",Database!BA374)</f>
        <v/>
      </c>
      <c r="M374" s="18">
        <f>IFERROR(BDH(Database!$A374&amp;" HK Equity","CUR_MKT_CAP",Database!$H374,Database!$H374),"")</f>
        <v/>
      </c>
      <c r="N374" s="99">
        <f>Database!Q374</f>
        <v/>
      </c>
      <c r="O374" s="24">
        <f>IFERROR(BDH(Database!$A374&amp;" HK Equity","PE_RATIO",Database!$H374,Database!$H374),"")</f>
        <v/>
      </c>
      <c r="P374" s="101">
        <f>IF(Database!AV374="","(n/m or not derivable)",Database!AV374)</f>
        <v/>
      </c>
      <c r="Q374" s="24">
        <f>IF(Database!BA374="","",IFERROR(BDH(LEFT(Database!BA374,FIND(".",Database!BA374)-1)&amp;" CH Equity","PE_RATIO",Database!$H374,Database!$H374),""))</f>
        <v/>
      </c>
      <c r="R374" s="24">
        <f>IF(Database!BA374="","",IFERROR(BDH("HSAHP Index","PX_LAST",Database!$H374,Database!$H374),""))</f>
        <v/>
      </c>
    </row>
    <row r="375">
      <c r="A375" s="16">
        <f>Database!A375&amp;"  "&amp;Database!B375</f>
        <v/>
      </c>
      <c r="B375" s="10">
        <f>IFERROR(INDEX(BDS(Database!$A375&amp;" HK Equity","EQUITY_OFFERINGS","array=t","endcol=1"),MATCH("IPO",BDS(Database!$A375&amp;" HK Equity","EQUITY_OFFERINGS","array=t","startcol=2","endcol=2"),0)),"")</f>
        <v/>
      </c>
      <c r="C375" s="103">
        <f>IF($B375="","",IFERROR(BDP($B375&amp;" Action","CP036"),""))</f>
        <v/>
      </c>
      <c r="D375" s="104">
        <f>Database!S375</f>
        <v/>
      </c>
      <c r="E375" s="103">
        <f>IF($B375="","",IFERROR(BDP($B375&amp;" Action","CP037"),""))</f>
        <v/>
      </c>
      <c r="F375" s="104">
        <f>Database!T375</f>
        <v/>
      </c>
      <c r="G375" s="103">
        <f>IF($B375="","",IFERROR(BDP($B375&amp;" Action","GREENSHOE_FACILITY"),""))</f>
        <v/>
      </c>
      <c r="H375" s="103">
        <f>IF($B375="","",IFERROR(BDP($B375&amp;" Action","OFFERING_GREENSHOE_SHARES_EX"),""))</f>
        <v/>
      </c>
      <c r="I375" s="16">
        <f>Database!Z375</f>
        <v/>
      </c>
      <c r="J375" s="24">
        <f>IFERROR(BDP(Database!$A375&amp;" HK Equity","PE_RATIO"),"")</f>
        <v/>
      </c>
      <c r="K375" s="10">
        <f>IFERROR(BDP(Database!$A375&amp;" HK Equity","A/H_SHARE_CONVERSION"),"")</f>
        <v/>
      </c>
      <c r="L375" s="16">
        <f>IF(Database!BA375="","(none found)",Database!BA375)</f>
        <v/>
      </c>
      <c r="M375" s="18">
        <f>IFERROR(BDH(Database!$A375&amp;" HK Equity","CUR_MKT_CAP",Database!$H375,Database!$H375),"")</f>
        <v/>
      </c>
      <c r="N375" s="99">
        <f>Database!Q375</f>
        <v/>
      </c>
      <c r="O375" s="24">
        <f>IFERROR(BDH(Database!$A375&amp;" HK Equity","PE_RATIO",Database!$H375,Database!$H375),"")</f>
        <v/>
      </c>
      <c r="P375" s="101">
        <f>IF(Database!AV375="","(n/m or not derivable)",Database!AV375)</f>
        <v/>
      </c>
      <c r="Q375" s="24">
        <f>IF(Database!BA375="","",IFERROR(BDH(LEFT(Database!BA375,FIND(".",Database!BA375)-1)&amp;" CH Equity","PE_RATIO",Database!$H375,Database!$H375),""))</f>
        <v/>
      </c>
      <c r="R375" s="24">
        <f>IF(Database!BA375="","",IFERROR(BDH("HSAHP Index","PX_LAST",Database!$H375,Database!$H375),""))</f>
        <v/>
      </c>
    </row>
    <row r="376">
      <c r="A376" s="16">
        <f>Database!A376&amp;"  "&amp;Database!B376</f>
        <v/>
      </c>
      <c r="B376" s="10">
        <f>IFERROR(INDEX(BDS(Database!$A376&amp;" HK Equity","EQUITY_OFFERINGS","array=t","endcol=1"),MATCH("IPO",BDS(Database!$A376&amp;" HK Equity","EQUITY_OFFERINGS","array=t","startcol=2","endcol=2"),0)),"")</f>
        <v/>
      </c>
      <c r="C376" s="103">
        <f>IF($B376="","",IFERROR(BDP($B376&amp;" Action","CP036"),""))</f>
        <v/>
      </c>
      <c r="D376" s="104">
        <f>Database!S376</f>
        <v/>
      </c>
      <c r="E376" s="103">
        <f>IF($B376="","",IFERROR(BDP($B376&amp;" Action","CP037"),""))</f>
        <v/>
      </c>
      <c r="F376" s="104">
        <f>Database!T376</f>
        <v/>
      </c>
      <c r="G376" s="103">
        <f>IF($B376="","",IFERROR(BDP($B376&amp;" Action","GREENSHOE_FACILITY"),""))</f>
        <v/>
      </c>
      <c r="H376" s="103">
        <f>IF($B376="","",IFERROR(BDP($B376&amp;" Action","OFFERING_GREENSHOE_SHARES_EX"),""))</f>
        <v/>
      </c>
      <c r="I376" s="16">
        <f>Database!Z376</f>
        <v/>
      </c>
      <c r="J376" s="24">
        <f>IFERROR(BDP(Database!$A376&amp;" HK Equity","PE_RATIO"),"")</f>
        <v/>
      </c>
      <c r="K376" s="10">
        <f>IFERROR(BDP(Database!$A376&amp;" HK Equity","A/H_SHARE_CONVERSION"),"")</f>
        <v/>
      </c>
      <c r="L376" s="16">
        <f>IF(Database!BA376="","(none found)",Database!BA376)</f>
        <v/>
      </c>
      <c r="M376" s="18">
        <f>IFERROR(BDH(Database!$A376&amp;" HK Equity","CUR_MKT_CAP",Database!$H376,Database!$H376),"")</f>
        <v/>
      </c>
      <c r="N376" s="99">
        <f>Database!Q376</f>
        <v/>
      </c>
      <c r="O376" s="24">
        <f>IFERROR(BDH(Database!$A376&amp;" HK Equity","PE_RATIO",Database!$H376,Database!$H376),"")</f>
        <v/>
      </c>
      <c r="P376" s="101">
        <f>IF(Database!AV376="","(n/m or not derivable)",Database!AV376)</f>
        <v/>
      </c>
      <c r="Q376" s="24">
        <f>IF(Database!BA376="","",IFERROR(BDH(LEFT(Database!BA376,FIND(".",Database!BA376)-1)&amp;" CH Equity","PE_RATIO",Database!$H376,Database!$H376),""))</f>
        <v/>
      </c>
      <c r="R376" s="24">
        <f>IF(Database!BA376="","",IFERROR(BDH("HSAHP Index","PX_LAST",Database!$H376,Database!$H376),""))</f>
        <v/>
      </c>
    </row>
    <row r="377">
      <c r="A377" s="16">
        <f>Database!A377&amp;"  "&amp;Database!B377</f>
        <v/>
      </c>
      <c r="B377" s="10">
        <f>IFERROR(INDEX(BDS(Database!$A377&amp;" HK Equity","EQUITY_OFFERINGS","array=t","endcol=1"),MATCH("IPO",BDS(Database!$A377&amp;" HK Equity","EQUITY_OFFERINGS","array=t","startcol=2","endcol=2"),0)),"")</f>
        <v/>
      </c>
      <c r="C377" s="103">
        <f>IF($B377="","",IFERROR(BDP($B377&amp;" Action","CP036"),""))</f>
        <v/>
      </c>
      <c r="D377" s="104">
        <f>Database!S377</f>
        <v/>
      </c>
      <c r="E377" s="103">
        <f>IF($B377="","",IFERROR(BDP($B377&amp;" Action","CP037"),""))</f>
        <v/>
      </c>
      <c r="F377" s="104">
        <f>Database!T377</f>
        <v/>
      </c>
      <c r="G377" s="103">
        <f>IF($B377="","",IFERROR(BDP($B377&amp;" Action","GREENSHOE_FACILITY"),""))</f>
        <v/>
      </c>
      <c r="H377" s="103">
        <f>IF($B377="","",IFERROR(BDP($B377&amp;" Action","OFFERING_GREENSHOE_SHARES_EX"),""))</f>
        <v/>
      </c>
      <c r="I377" s="16">
        <f>Database!Z377</f>
        <v/>
      </c>
      <c r="J377" s="24">
        <f>IFERROR(BDP(Database!$A377&amp;" HK Equity","PE_RATIO"),"")</f>
        <v/>
      </c>
      <c r="K377" s="10">
        <f>IFERROR(BDP(Database!$A377&amp;" HK Equity","A/H_SHARE_CONVERSION"),"")</f>
        <v/>
      </c>
      <c r="L377" s="16">
        <f>IF(Database!BA377="","(none found)",Database!BA377)</f>
        <v/>
      </c>
      <c r="M377" s="18">
        <f>IFERROR(BDH(Database!$A377&amp;" HK Equity","CUR_MKT_CAP",Database!$H377,Database!$H377),"")</f>
        <v/>
      </c>
      <c r="N377" s="99">
        <f>Database!Q377</f>
        <v/>
      </c>
      <c r="O377" s="24">
        <f>IFERROR(BDH(Database!$A377&amp;" HK Equity","PE_RATIO",Database!$H377,Database!$H377),"")</f>
        <v/>
      </c>
      <c r="P377" s="101">
        <f>IF(Database!AV377="","(n/m or not derivable)",Database!AV377)</f>
        <v/>
      </c>
      <c r="Q377" s="24">
        <f>IF(Database!BA377="","",IFERROR(BDH(LEFT(Database!BA377,FIND(".",Database!BA377)-1)&amp;" CH Equity","PE_RATIO",Database!$H377,Database!$H377),""))</f>
        <v/>
      </c>
      <c r="R377" s="24">
        <f>IF(Database!BA377="","",IFERROR(BDH("HSAHP Index","PX_LAST",Database!$H377,Database!$H377),""))</f>
        <v/>
      </c>
    </row>
    <row r="378">
      <c r="A378" s="16">
        <f>Database!A378&amp;"  "&amp;Database!B378</f>
        <v/>
      </c>
      <c r="B378" s="10">
        <f>IFERROR(INDEX(BDS(Database!$A378&amp;" HK Equity","EQUITY_OFFERINGS","array=t","endcol=1"),MATCH("IPO",BDS(Database!$A378&amp;" HK Equity","EQUITY_OFFERINGS","array=t","startcol=2","endcol=2"),0)),"")</f>
        <v/>
      </c>
      <c r="C378" s="103">
        <f>IF($B378="","",IFERROR(BDP($B378&amp;" Action","CP036"),""))</f>
        <v/>
      </c>
      <c r="D378" s="104">
        <f>Database!S378</f>
        <v/>
      </c>
      <c r="E378" s="103">
        <f>IF($B378="","",IFERROR(BDP($B378&amp;" Action","CP037"),""))</f>
        <v/>
      </c>
      <c r="F378" s="104">
        <f>Database!T378</f>
        <v/>
      </c>
      <c r="G378" s="103">
        <f>IF($B378="","",IFERROR(BDP($B378&amp;" Action","GREENSHOE_FACILITY"),""))</f>
        <v/>
      </c>
      <c r="H378" s="103">
        <f>IF($B378="","",IFERROR(BDP($B378&amp;" Action","OFFERING_GREENSHOE_SHARES_EX"),""))</f>
        <v/>
      </c>
      <c r="I378" s="16">
        <f>Database!Z378</f>
        <v/>
      </c>
      <c r="J378" s="24">
        <f>IFERROR(BDP(Database!$A378&amp;" HK Equity","PE_RATIO"),"")</f>
        <v/>
      </c>
      <c r="K378" s="10">
        <f>IFERROR(BDP(Database!$A378&amp;" HK Equity","A/H_SHARE_CONVERSION"),"")</f>
        <v/>
      </c>
      <c r="L378" s="16">
        <f>IF(Database!BA378="","(none found)",Database!BA378)</f>
        <v/>
      </c>
      <c r="M378" s="18">
        <f>IFERROR(BDH(Database!$A378&amp;" HK Equity","CUR_MKT_CAP",Database!$H378,Database!$H378),"")</f>
        <v/>
      </c>
      <c r="N378" s="99">
        <f>Database!Q378</f>
        <v/>
      </c>
      <c r="O378" s="24">
        <f>IFERROR(BDH(Database!$A378&amp;" HK Equity","PE_RATIO",Database!$H378,Database!$H378),"")</f>
        <v/>
      </c>
      <c r="P378" s="101">
        <f>IF(Database!AV378="","(n/m or not derivable)",Database!AV378)</f>
        <v/>
      </c>
      <c r="Q378" s="24">
        <f>IF(Database!BA378="","",IFERROR(BDH(LEFT(Database!BA378,FIND(".",Database!BA378)-1)&amp;" CH Equity","PE_RATIO",Database!$H378,Database!$H378),""))</f>
        <v/>
      </c>
      <c r="R378" s="24">
        <f>IF(Database!BA378="","",IFERROR(BDH("HSAHP Index","PX_LAST",Database!$H378,Database!$H378),""))</f>
        <v/>
      </c>
    </row>
    <row r="379">
      <c r="A379" s="16">
        <f>Database!A379&amp;"  "&amp;Database!B379</f>
        <v/>
      </c>
      <c r="B379" s="10">
        <f>IFERROR(INDEX(BDS(Database!$A379&amp;" HK Equity","EQUITY_OFFERINGS","array=t","endcol=1"),MATCH("IPO",BDS(Database!$A379&amp;" HK Equity","EQUITY_OFFERINGS","array=t","startcol=2","endcol=2"),0)),"")</f>
        <v/>
      </c>
      <c r="C379" s="103">
        <f>IF($B379="","",IFERROR(BDP($B379&amp;" Action","CP036"),""))</f>
        <v/>
      </c>
      <c r="D379" s="104">
        <f>Database!S379</f>
        <v/>
      </c>
      <c r="E379" s="103">
        <f>IF($B379="","",IFERROR(BDP($B379&amp;" Action","CP037"),""))</f>
        <v/>
      </c>
      <c r="F379" s="104">
        <f>Database!T379</f>
        <v/>
      </c>
      <c r="G379" s="103">
        <f>IF($B379="","",IFERROR(BDP($B379&amp;" Action","GREENSHOE_FACILITY"),""))</f>
        <v/>
      </c>
      <c r="H379" s="103">
        <f>IF($B379="","",IFERROR(BDP($B379&amp;" Action","OFFERING_GREENSHOE_SHARES_EX"),""))</f>
        <v/>
      </c>
      <c r="I379" s="16">
        <f>Database!Z379</f>
        <v/>
      </c>
      <c r="J379" s="24">
        <f>IFERROR(BDP(Database!$A379&amp;" HK Equity","PE_RATIO"),"")</f>
        <v/>
      </c>
      <c r="K379" s="10">
        <f>IFERROR(BDP(Database!$A379&amp;" HK Equity","A/H_SHARE_CONVERSION"),"")</f>
        <v/>
      </c>
      <c r="L379" s="16">
        <f>IF(Database!BA379="","(none found)",Database!BA379)</f>
        <v/>
      </c>
      <c r="M379" s="18">
        <f>IFERROR(BDH(Database!$A379&amp;" HK Equity","CUR_MKT_CAP",Database!$H379,Database!$H379),"")</f>
        <v/>
      </c>
      <c r="N379" s="99">
        <f>Database!Q379</f>
        <v/>
      </c>
      <c r="O379" s="24">
        <f>IFERROR(BDH(Database!$A379&amp;" HK Equity","PE_RATIO",Database!$H379,Database!$H379),"")</f>
        <v/>
      </c>
      <c r="P379" s="101">
        <f>IF(Database!AV379="","(n/m or not derivable)",Database!AV379)</f>
        <v/>
      </c>
      <c r="Q379" s="24">
        <f>IF(Database!BA379="","",IFERROR(BDH(LEFT(Database!BA379,FIND(".",Database!BA379)-1)&amp;" CH Equity","PE_RATIO",Database!$H379,Database!$H379),""))</f>
        <v/>
      </c>
      <c r="R379" s="24">
        <f>IF(Database!BA379="","",IFERROR(BDH("HSAHP Index","PX_LAST",Database!$H379,Database!$H379),""))</f>
        <v/>
      </c>
    </row>
    <row r="380">
      <c r="A380" s="16">
        <f>Database!A380&amp;"  "&amp;Database!B380</f>
        <v/>
      </c>
      <c r="B380" s="10">
        <f>IFERROR(INDEX(BDS(Database!$A380&amp;" HK Equity","EQUITY_OFFERINGS","array=t","endcol=1"),MATCH("IPO",BDS(Database!$A380&amp;" HK Equity","EQUITY_OFFERINGS","array=t","startcol=2","endcol=2"),0)),"")</f>
        <v/>
      </c>
      <c r="C380" s="103">
        <f>IF($B380="","",IFERROR(BDP($B380&amp;" Action","CP036"),""))</f>
        <v/>
      </c>
      <c r="D380" s="104">
        <f>Database!S380</f>
        <v/>
      </c>
      <c r="E380" s="103">
        <f>IF($B380="","",IFERROR(BDP($B380&amp;" Action","CP037"),""))</f>
        <v/>
      </c>
      <c r="F380" s="104">
        <f>Database!T380</f>
        <v/>
      </c>
      <c r="G380" s="103">
        <f>IF($B380="","",IFERROR(BDP($B380&amp;" Action","GREENSHOE_FACILITY"),""))</f>
        <v/>
      </c>
      <c r="H380" s="103">
        <f>IF($B380="","",IFERROR(BDP($B380&amp;" Action","OFFERING_GREENSHOE_SHARES_EX"),""))</f>
        <v/>
      </c>
      <c r="I380" s="16">
        <f>Database!Z380</f>
        <v/>
      </c>
      <c r="J380" s="24">
        <f>IFERROR(BDP(Database!$A380&amp;" HK Equity","PE_RATIO"),"")</f>
        <v/>
      </c>
      <c r="K380" s="10">
        <f>IFERROR(BDP(Database!$A380&amp;" HK Equity","A/H_SHARE_CONVERSION"),"")</f>
        <v/>
      </c>
      <c r="L380" s="16">
        <f>IF(Database!BA380="","(none found)",Database!BA380)</f>
        <v/>
      </c>
      <c r="M380" s="18">
        <f>IFERROR(BDH(Database!$A380&amp;" HK Equity","CUR_MKT_CAP",Database!$H380,Database!$H380),"")</f>
        <v/>
      </c>
      <c r="N380" s="99">
        <f>Database!Q380</f>
        <v/>
      </c>
      <c r="O380" s="24">
        <f>IFERROR(BDH(Database!$A380&amp;" HK Equity","PE_RATIO",Database!$H380,Database!$H380),"")</f>
        <v/>
      </c>
      <c r="P380" s="101">
        <f>IF(Database!AV380="","(n/m or not derivable)",Database!AV380)</f>
        <v/>
      </c>
      <c r="Q380" s="24">
        <f>IF(Database!BA380="","",IFERROR(BDH(LEFT(Database!BA380,FIND(".",Database!BA380)-1)&amp;" CH Equity","PE_RATIO",Database!$H380,Database!$H380),""))</f>
        <v/>
      </c>
      <c r="R380" s="24">
        <f>IF(Database!BA380="","",IFERROR(BDH("HSAHP Index","PX_LAST",Database!$H380,Database!$H380),""))</f>
        <v/>
      </c>
    </row>
    <row r="381">
      <c r="A381" s="16">
        <f>Database!A381&amp;"  "&amp;Database!B381</f>
        <v/>
      </c>
      <c r="B381" s="10">
        <f>IFERROR(INDEX(BDS(Database!$A381&amp;" HK Equity","EQUITY_OFFERINGS","array=t","endcol=1"),MATCH("IPO",BDS(Database!$A381&amp;" HK Equity","EQUITY_OFFERINGS","array=t","startcol=2","endcol=2"),0)),"")</f>
        <v/>
      </c>
      <c r="C381" s="103">
        <f>IF($B381="","",IFERROR(BDP($B381&amp;" Action","CP036"),""))</f>
        <v/>
      </c>
      <c r="D381" s="104">
        <f>Database!S381</f>
        <v/>
      </c>
      <c r="E381" s="103">
        <f>IF($B381="","",IFERROR(BDP($B381&amp;" Action","CP037"),""))</f>
        <v/>
      </c>
      <c r="F381" s="104">
        <f>Database!T381</f>
        <v/>
      </c>
      <c r="G381" s="103">
        <f>IF($B381="","",IFERROR(BDP($B381&amp;" Action","GREENSHOE_FACILITY"),""))</f>
        <v/>
      </c>
      <c r="H381" s="103">
        <f>IF($B381="","",IFERROR(BDP($B381&amp;" Action","OFFERING_GREENSHOE_SHARES_EX"),""))</f>
        <v/>
      </c>
      <c r="I381" s="16">
        <f>Database!Z381</f>
        <v/>
      </c>
      <c r="J381" s="24">
        <f>IFERROR(BDP(Database!$A381&amp;" HK Equity","PE_RATIO"),"")</f>
        <v/>
      </c>
      <c r="K381" s="10">
        <f>IFERROR(BDP(Database!$A381&amp;" HK Equity","A/H_SHARE_CONVERSION"),"")</f>
        <v/>
      </c>
      <c r="L381" s="16">
        <f>IF(Database!BA381="","(none found)",Database!BA381)</f>
        <v/>
      </c>
      <c r="M381" s="18">
        <f>IFERROR(BDH(Database!$A381&amp;" HK Equity","CUR_MKT_CAP",Database!$H381,Database!$H381),"")</f>
        <v/>
      </c>
      <c r="N381" s="99">
        <f>Database!Q381</f>
        <v/>
      </c>
      <c r="O381" s="24">
        <f>IFERROR(BDH(Database!$A381&amp;" HK Equity","PE_RATIO",Database!$H381,Database!$H381),"")</f>
        <v/>
      </c>
      <c r="P381" s="101">
        <f>IF(Database!AV381="","(n/m or not derivable)",Database!AV381)</f>
        <v/>
      </c>
      <c r="Q381" s="24">
        <f>IF(Database!BA381="","",IFERROR(BDH(LEFT(Database!BA381,FIND(".",Database!BA381)-1)&amp;" CH Equity","PE_RATIO",Database!$H381,Database!$H381),""))</f>
        <v/>
      </c>
      <c r="R381" s="24">
        <f>IF(Database!BA381="","",IFERROR(BDH("HSAHP Index","PX_LAST",Database!$H381,Database!$H381),""))</f>
        <v/>
      </c>
    </row>
    <row r="382">
      <c r="A382" s="16">
        <f>Database!A382&amp;"  "&amp;Database!B382</f>
        <v/>
      </c>
      <c r="B382" s="10">
        <f>IFERROR(INDEX(BDS(Database!$A382&amp;" HK Equity","EQUITY_OFFERINGS","array=t","endcol=1"),MATCH("IPO",BDS(Database!$A382&amp;" HK Equity","EQUITY_OFFERINGS","array=t","startcol=2","endcol=2"),0)),"")</f>
        <v/>
      </c>
      <c r="C382" s="103">
        <f>IF($B382="","",IFERROR(BDP($B382&amp;" Action","CP036"),""))</f>
        <v/>
      </c>
      <c r="D382" s="104">
        <f>Database!S382</f>
        <v/>
      </c>
      <c r="E382" s="103">
        <f>IF($B382="","",IFERROR(BDP($B382&amp;" Action","CP037"),""))</f>
        <v/>
      </c>
      <c r="F382" s="104">
        <f>Database!T382</f>
        <v/>
      </c>
      <c r="G382" s="103">
        <f>IF($B382="","",IFERROR(BDP($B382&amp;" Action","GREENSHOE_FACILITY"),""))</f>
        <v/>
      </c>
      <c r="H382" s="103">
        <f>IF($B382="","",IFERROR(BDP($B382&amp;" Action","OFFERING_GREENSHOE_SHARES_EX"),""))</f>
        <v/>
      </c>
      <c r="I382" s="16">
        <f>Database!Z382</f>
        <v/>
      </c>
      <c r="J382" s="24">
        <f>IFERROR(BDP(Database!$A382&amp;" HK Equity","PE_RATIO"),"")</f>
        <v/>
      </c>
      <c r="K382" s="10">
        <f>IFERROR(BDP(Database!$A382&amp;" HK Equity","A/H_SHARE_CONVERSION"),"")</f>
        <v/>
      </c>
      <c r="L382" s="16">
        <f>IF(Database!BA382="","(none found)",Database!BA382)</f>
        <v/>
      </c>
      <c r="M382" s="18">
        <f>IFERROR(BDH(Database!$A382&amp;" HK Equity","CUR_MKT_CAP",Database!$H382,Database!$H382),"")</f>
        <v/>
      </c>
      <c r="N382" s="99">
        <f>Database!Q382</f>
        <v/>
      </c>
      <c r="O382" s="24">
        <f>IFERROR(BDH(Database!$A382&amp;" HK Equity","PE_RATIO",Database!$H382,Database!$H382),"")</f>
        <v/>
      </c>
      <c r="P382" s="101">
        <f>IF(Database!AV382="","(n/m or not derivable)",Database!AV382)</f>
        <v/>
      </c>
      <c r="Q382" s="24">
        <f>IF(Database!BA382="","",IFERROR(BDH(LEFT(Database!BA382,FIND(".",Database!BA382)-1)&amp;" CH Equity","PE_RATIO",Database!$H382,Database!$H382),""))</f>
        <v/>
      </c>
      <c r="R382" s="24">
        <f>IF(Database!BA382="","",IFERROR(BDH("HSAHP Index","PX_LAST",Database!$H382,Database!$H382),""))</f>
        <v/>
      </c>
    </row>
    <row r="383">
      <c r="A383" s="16">
        <f>Database!A383&amp;"  "&amp;Database!B383</f>
        <v/>
      </c>
      <c r="B383" s="10">
        <f>IFERROR(INDEX(BDS(Database!$A383&amp;" HK Equity","EQUITY_OFFERINGS","array=t","endcol=1"),MATCH("IPO",BDS(Database!$A383&amp;" HK Equity","EQUITY_OFFERINGS","array=t","startcol=2","endcol=2"),0)),"")</f>
        <v/>
      </c>
      <c r="C383" s="103">
        <f>IF($B383="","",IFERROR(BDP($B383&amp;" Action","CP036"),""))</f>
        <v/>
      </c>
      <c r="D383" s="104">
        <f>Database!S383</f>
        <v/>
      </c>
      <c r="E383" s="103">
        <f>IF($B383="","",IFERROR(BDP($B383&amp;" Action","CP037"),""))</f>
        <v/>
      </c>
      <c r="F383" s="104">
        <f>Database!T383</f>
        <v/>
      </c>
      <c r="G383" s="103">
        <f>IF($B383="","",IFERROR(BDP($B383&amp;" Action","GREENSHOE_FACILITY"),""))</f>
        <v/>
      </c>
      <c r="H383" s="103">
        <f>IF($B383="","",IFERROR(BDP($B383&amp;" Action","OFFERING_GREENSHOE_SHARES_EX"),""))</f>
        <v/>
      </c>
      <c r="I383" s="16">
        <f>Database!Z383</f>
        <v/>
      </c>
      <c r="J383" s="24">
        <f>IFERROR(BDP(Database!$A383&amp;" HK Equity","PE_RATIO"),"")</f>
        <v/>
      </c>
      <c r="K383" s="10">
        <f>IFERROR(BDP(Database!$A383&amp;" HK Equity","A/H_SHARE_CONVERSION"),"")</f>
        <v/>
      </c>
      <c r="L383" s="16">
        <f>IF(Database!BA383="","(none found)",Database!BA383)</f>
        <v/>
      </c>
      <c r="M383" s="18">
        <f>IFERROR(BDH(Database!$A383&amp;" HK Equity","CUR_MKT_CAP",Database!$H383,Database!$H383),"")</f>
        <v/>
      </c>
      <c r="N383" s="99">
        <f>Database!Q383</f>
        <v/>
      </c>
      <c r="O383" s="24">
        <f>IFERROR(BDH(Database!$A383&amp;" HK Equity","PE_RATIO",Database!$H383,Database!$H383),"")</f>
        <v/>
      </c>
      <c r="P383" s="101">
        <f>IF(Database!AV383="","(n/m or not derivable)",Database!AV383)</f>
        <v/>
      </c>
      <c r="Q383" s="24">
        <f>IF(Database!BA383="","",IFERROR(BDH(LEFT(Database!BA383,FIND(".",Database!BA383)-1)&amp;" CH Equity","PE_RATIO",Database!$H383,Database!$H383),""))</f>
        <v/>
      </c>
      <c r="R383" s="24">
        <f>IF(Database!BA383="","",IFERROR(BDH("HSAHP Index","PX_LAST",Database!$H383,Database!$H383),""))</f>
        <v/>
      </c>
    </row>
    <row r="384">
      <c r="A384" s="16">
        <f>Database!A384&amp;"  "&amp;Database!B384</f>
        <v/>
      </c>
      <c r="B384" s="10">
        <f>IFERROR(INDEX(BDS(Database!$A384&amp;" HK Equity","EQUITY_OFFERINGS","array=t","endcol=1"),MATCH("IPO",BDS(Database!$A384&amp;" HK Equity","EQUITY_OFFERINGS","array=t","startcol=2","endcol=2"),0)),"")</f>
        <v/>
      </c>
      <c r="C384" s="103">
        <f>IF($B384="","",IFERROR(BDP($B384&amp;" Action","CP036"),""))</f>
        <v/>
      </c>
      <c r="D384" s="104">
        <f>Database!S384</f>
        <v/>
      </c>
      <c r="E384" s="103">
        <f>IF($B384="","",IFERROR(BDP($B384&amp;" Action","CP037"),""))</f>
        <v/>
      </c>
      <c r="F384" s="104">
        <f>Database!T384</f>
        <v/>
      </c>
      <c r="G384" s="103">
        <f>IF($B384="","",IFERROR(BDP($B384&amp;" Action","GREENSHOE_FACILITY"),""))</f>
        <v/>
      </c>
      <c r="H384" s="103">
        <f>IF($B384="","",IFERROR(BDP($B384&amp;" Action","OFFERING_GREENSHOE_SHARES_EX"),""))</f>
        <v/>
      </c>
      <c r="I384" s="16">
        <f>Database!Z384</f>
        <v/>
      </c>
      <c r="J384" s="24">
        <f>IFERROR(BDP(Database!$A384&amp;" HK Equity","PE_RATIO"),"")</f>
        <v/>
      </c>
      <c r="K384" s="10">
        <f>IFERROR(BDP(Database!$A384&amp;" HK Equity","A/H_SHARE_CONVERSION"),"")</f>
        <v/>
      </c>
      <c r="L384" s="16">
        <f>IF(Database!BA384="","(none found)",Database!BA384)</f>
        <v/>
      </c>
      <c r="M384" s="18">
        <f>IFERROR(BDH(Database!$A384&amp;" HK Equity","CUR_MKT_CAP",Database!$H384,Database!$H384),"")</f>
        <v/>
      </c>
      <c r="N384" s="99">
        <f>Database!Q384</f>
        <v/>
      </c>
      <c r="O384" s="24">
        <f>IFERROR(BDH(Database!$A384&amp;" HK Equity","PE_RATIO",Database!$H384,Database!$H384),"")</f>
        <v/>
      </c>
      <c r="P384" s="101">
        <f>IF(Database!AV384="","(n/m or not derivable)",Database!AV384)</f>
        <v/>
      </c>
      <c r="Q384" s="24">
        <f>IF(Database!BA384="","",IFERROR(BDH(LEFT(Database!BA384,FIND(".",Database!BA384)-1)&amp;" CH Equity","PE_RATIO",Database!$H384,Database!$H384),""))</f>
        <v/>
      </c>
      <c r="R384" s="24">
        <f>IF(Database!BA384="","",IFERROR(BDH("HSAHP Index","PX_LAST",Database!$H384,Database!$H384),""))</f>
        <v/>
      </c>
    </row>
    <row r="385">
      <c r="A385" s="16">
        <f>Database!A385&amp;"  "&amp;Database!B385</f>
        <v/>
      </c>
      <c r="B385" s="10">
        <f>IFERROR(INDEX(BDS(Database!$A385&amp;" HK Equity","EQUITY_OFFERINGS","array=t","endcol=1"),MATCH("IPO",BDS(Database!$A385&amp;" HK Equity","EQUITY_OFFERINGS","array=t","startcol=2","endcol=2"),0)),"")</f>
        <v/>
      </c>
      <c r="C385" s="103">
        <f>IF($B385="","",IFERROR(BDP($B385&amp;" Action","CP036"),""))</f>
        <v/>
      </c>
      <c r="D385" s="104">
        <f>Database!S385</f>
        <v/>
      </c>
      <c r="E385" s="103">
        <f>IF($B385="","",IFERROR(BDP($B385&amp;" Action","CP037"),""))</f>
        <v/>
      </c>
      <c r="F385" s="104">
        <f>Database!T385</f>
        <v/>
      </c>
      <c r="G385" s="103">
        <f>IF($B385="","",IFERROR(BDP($B385&amp;" Action","GREENSHOE_FACILITY"),""))</f>
        <v/>
      </c>
      <c r="H385" s="103">
        <f>IF($B385="","",IFERROR(BDP($B385&amp;" Action","OFFERING_GREENSHOE_SHARES_EX"),""))</f>
        <v/>
      </c>
      <c r="I385" s="16">
        <f>Database!Z385</f>
        <v/>
      </c>
      <c r="J385" s="24">
        <f>IFERROR(BDP(Database!$A385&amp;" HK Equity","PE_RATIO"),"")</f>
        <v/>
      </c>
      <c r="K385" s="10">
        <f>IFERROR(BDP(Database!$A385&amp;" HK Equity","A/H_SHARE_CONVERSION"),"")</f>
        <v/>
      </c>
      <c r="L385" s="16">
        <f>IF(Database!BA385="","(none found)",Database!BA385)</f>
        <v/>
      </c>
      <c r="M385" s="18">
        <f>IFERROR(BDH(Database!$A385&amp;" HK Equity","CUR_MKT_CAP",Database!$H385,Database!$H385),"")</f>
        <v/>
      </c>
      <c r="N385" s="99">
        <f>Database!Q385</f>
        <v/>
      </c>
      <c r="O385" s="24">
        <f>IFERROR(BDH(Database!$A385&amp;" HK Equity","PE_RATIO",Database!$H385,Database!$H385),"")</f>
        <v/>
      </c>
      <c r="P385" s="101">
        <f>IF(Database!AV385="","(n/m or not derivable)",Database!AV385)</f>
        <v/>
      </c>
      <c r="Q385" s="24">
        <f>IF(Database!BA385="","",IFERROR(BDH(LEFT(Database!BA385,FIND(".",Database!BA385)-1)&amp;" CH Equity","PE_RATIO",Database!$H385,Database!$H385),""))</f>
        <v/>
      </c>
      <c r="R385" s="24">
        <f>IF(Database!BA385="","",IFERROR(BDH("HSAHP Index","PX_LAST",Database!$H385,Database!$H385),""))</f>
        <v/>
      </c>
    </row>
    <row r="386">
      <c r="A386" s="16">
        <f>Database!A386&amp;"  "&amp;Database!B386</f>
        <v/>
      </c>
      <c r="B386" s="10">
        <f>IFERROR(INDEX(BDS(Database!$A386&amp;" HK Equity","EQUITY_OFFERINGS","array=t","endcol=1"),MATCH("IPO",BDS(Database!$A386&amp;" HK Equity","EQUITY_OFFERINGS","array=t","startcol=2","endcol=2"),0)),"")</f>
        <v/>
      </c>
      <c r="C386" s="103">
        <f>IF($B386="","",IFERROR(BDP($B386&amp;" Action","CP036"),""))</f>
        <v/>
      </c>
      <c r="D386" s="104">
        <f>Database!S386</f>
        <v/>
      </c>
      <c r="E386" s="103">
        <f>IF($B386="","",IFERROR(BDP($B386&amp;" Action","CP037"),""))</f>
        <v/>
      </c>
      <c r="F386" s="104">
        <f>Database!T386</f>
        <v/>
      </c>
      <c r="G386" s="103">
        <f>IF($B386="","",IFERROR(BDP($B386&amp;" Action","GREENSHOE_FACILITY"),""))</f>
        <v/>
      </c>
      <c r="H386" s="103">
        <f>IF($B386="","",IFERROR(BDP($B386&amp;" Action","OFFERING_GREENSHOE_SHARES_EX"),""))</f>
        <v/>
      </c>
      <c r="I386" s="16">
        <f>Database!Z386</f>
        <v/>
      </c>
      <c r="J386" s="24">
        <f>IFERROR(BDP(Database!$A386&amp;" HK Equity","PE_RATIO"),"")</f>
        <v/>
      </c>
      <c r="K386" s="10">
        <f>IFERROR(BDP(Database!$A386&amp;" HK Equity","A/H_SHARE_CONVERSION"),"")</f>
        <v/>
      </c>
      <c r="L386" s="16">
        <f>IF(Database!BA386="","(none found)",Database!BA386)</f>
        <v/>
      </c>
      <c r="M386" s="18">
        <f>IFERROR(BDH(Database!$A386&amp;" HK Equity","CUR_MKT_CAP",Database!$H386,Database!$H386),"")</f>
        <v/>
      </c>
      <c r="N386" s="99">
        <f>Database!Q386</f>
        <v/>
      </c>
      <c r="O386" s="24">
        <f>IFERROR(BDH(Database!$A386&amp;" HK Equity","PE_RATIO",Database!$H386,Database!$H386),"")</f>
        <v/>
      </c>
      <c r="P386" s="101">
        <f>IF(Database!AV386="","(n/m or not derivable)",Database!AV386)</f>
        <v/>
      </c>
      <c r="Q386" s="24">
        <f>IF(Database!BA386="","",IFERROR(BDH(LEFT(Database!BA386,FIND(".",Database!BA386)-1)&amp;" CH Equity","PE_RATIO",Database!$H386,Database!$H386),""))</f>
        <v/>
      </c>
      <c r="R386" s="24">
        <f>IF(Database!BA386="","",IFERROR(BDH("HSAHP Index","PX_LAST",Database!$H386,Database!$H386),""))</f>
        <v/>
      </c>
    </row>
    <row r="387">
      <c r="A387" s="16">
        <f>Database!A387&amp;"  "&amp;Database!B387</f>
        <v/>
      </c>
      <c r="B387" s="10">
        <f>IFERROR(INDEX(BDS(Database!$A387&amp;" HK Equity","EQUITY_OFFERINGS","array=t","endcol=1"),MATCH("IPO",BDS(Database!$A387&amp;" HK Equity","EQUITY_OFFERINGS","array=t","startcol=2","endcol=2"),0)),"")</f>
        <v/>
      </c>
      <c r="C387" s="103">
        <f>IF($B387="","",IFERROR(BDP($B387&amp;" Action","CP036"),""))</f>
        <v/>
      </c>
      <c r="D387" s="104">
        <f>Database!S387</f>
        <v/>
      </c>
      <c r="E387" s="103">
        <f>IF($B387="","",IFERROR(BDP($B387&amp;" Action","CP037"),""))</f>
        <v/>
      </c>
      <c r="F387" s="104">
        <f>Database!T387</f>
        <v/>
      </c>
      <c r="G387" s="103">
        <f>IF($B387="","",IFERROR(BDP($B387&amp;" Action","GREENSHOE_FACILITY"),""))</f>
        <v/>
      </c>
      <c r="H387" s="103">
        <f>IF($B387="","",IFERROR(BDP($B387&amp;" Action","OFFERING_GREENSHOE_SHARES_EX"),""))</f>
        <v/>
      </c>
      <c r="I387" s="16">
        <f>Database!Z387</f>
        <v/>
      </c>
      <c r="J387" s="24">
        <f>IFERROR(BDP(Database!$A387&amp;" HK Equity","PE_RATIO"),"")</f>
        <v/>
      </c>
      <c r="K387" s="10">
        <f>IFERROR(BDP(Database!$A387&amp;" HK Equity","A/H_SHARE_CONVERSION"),"")</f>
        <v/>
      </c>
      <c r="L387" s="16">
        <f>IF(Database!BA387="","(none found)",Database!BA387)</f>
        <v/>
      </c>
      <c r="M387" s="18">
        <f>IFERROR(BDH(Database!$A387&amp;" HK Equity","CUR_MKT_CAP",Database!$H387,Database!$H387),"")</f>
        <v/>
      </c>
      <c r="N387" s="99">
        <f>Database!Q387</f>
        <v/>
      </c>
      <c r="O387" s="24">
        <f>IFERROR(BDH(Database!$A387&amp;" HK Equity","PE_RATIO",Database!$H387,Database!$H387),"")</f>
        <v/>
      </c>
      <c r="P387" s="101">
        <f>IF(Database!AV387="","(n/m or not derivable)",Database!AV387)</f>
        <v/>
      </c>
      <c r="Q387" s="24">
        <f>IF(Database!BA387="","",IFERROR(BDH(LEFT(Database!BA387,FIND(".",Database!BA387)-1)&amp;" CH Equity","PE_RATIO",Database!$H387,Database!$H387),""))</f>
        <v/>
      </c>
      <c r="R387" s="24">
        <f>IF(Database!BA387="","",IFERROR(BDH("HSAHP Index","PX_LAST",Database!$H387,Database!$H387),""))</f>
        <v/>
      </c>
    </row>
    <row r="388">
      <c r="A388" s="16">
        <f>Database!A388&amp;"  "&amp;Database!B388</f>
        <v/>
      </c>
      <c r="B388" s="10">
        <f>IFERROR(INDEX(BDS(Database!$A388&amp;" HK Equity","EQUITY_OFFERINGS","array=t","endcol=1"),MATCH("IPO",BDS(Database!$A388&amp;" HK Equity","EQUITY_OFFERINGS","array=t","startcol=2","endcol=2"),0)),"")</f>
        <v/>
      </c>
      <c r="C388" s="103">
        <f>IF($B388="","",IFERROR(BDP($B388&amp;" Action","CP036"),""))</f>
        <v/>
      </c>
      <c r="D388" s="104">
        <f>Database!S388</f>
        <v/>
      </c>
      <c r="E388" s="103">
        <f>IF($B388="","",IFERROR(BDP($B388&amp;" Action","CP037"),""))</f>
        <v/>
      </c>
      <c r="F388" s="104">
        <f>Database!T388</f>
        <v/>
      </c>
      <c r="G388" s="103">
        <f>IF($B388="","",IFERROR(BDP($B388&amp;" Action","GREENSHOE_FACILITY"),""))</f>
        <v/>
      </c>
      <c r="H388" s="103">
        <f>IF($B388="","",IFERROR(BDP($B388&amp;" Action","OFFERING_GREENSHOE_SHARES_EX"),""))</f>
        <v/>
      </c>
      <c r="I388" s="16">
        <f>Database!Z388</f>
        <v/>
      </c>
      <c r="J388" s="24">
        <f>IFERROR(BDP(Database!$A388&amp;" HK Equity","PE_RATIO"),"")</f>
        <v/>
      </c>
      <c r="K388" s="10">
        <f>IFERROR(BDP(Database!$A388&amp;" HK Equity","A/H_SHARE_CONVERSION"),"")</f>
        <v/>
      </c>
      <c r="L388" s="16">
        <f>IF(Database!BA388="","(none found)",Database!BA388)</f>
        <v/>
      </c>
      <c r="M388" s="18">
        <f>IFERROR(BDH(Database!$A388&amp;" HK Equity","CUR_MKT_CAP",Database!$H388,Database!$H388),"")</f>
        <v/>
      </c>
      <c r="N388" s="99">
        <f>Database!Q388</f>
        <v/>
      </c>
      <c r="O388" s="24">
        <f>IFERROR(BDH(Database!$A388&amp;" HK Equity","PE_RATIO",Database!$H388,Database!$H388),"")</f>
        <v/>
      </c>
      <c r="P388" s="101">
        <f>IF(Database!AV388="","(n/m or not derivable)",Database!AV388)</f>
        <v/>
      </c>
      <c r="Q388" s="24">
        <f>IF(Database!BA388="","",IFERROR(BDH(LEFT(Database!BA388,FIND(".",Database!BA388)-1)&amp;" CH Equity","PE_RATIO",Database!$H388,Database!$H388),""))</f>
        <v/>
      </c>
      <c r="R388" s="24">
        <f>IF(Database!BA388="","",IFERROR(BDH("HSAHP Index","PX_LAST",Database!$H388,Database!$H388),""))</f>
        <v/>
      </c>
    </row>
    <row r="389">
      <c r="A389" s="16">
        <f>Database!A389&amp;"  "&amp;Database!B389</f>
        <v/>
      </c>
      <c r="B389" s="10">
        <f>IFERROR(INDEX(BDS(Database!$A389&amp;" HK Equity","EQUITY_OFFERINGS","array=t","endcol=1"),MATCH("IPO",BDS(Database!$A389&amp;" HK Equity","EQUITY_OFFERINGS","array=t","startcol=2","endcol=2"),0)),"")</f>
        <v/>
      </c>
      <c r="C389" s="103">
        <f>IF($B389="","",IFERROR(BDP($B389&amp;" Action","CP036"),""))</f>
        <v/>
      </c>
      <c r="D389" s="104">
        <f>Database!S389</f>
        <v/>
      </c>
      <c r="E389" s="103">
        <f>IF($B389="","",IFERROR(BDP($B389&amp;" Action","CP037"),""))</f>
        <v/>
      </c>
      <c r="F389" s="104">
        <f>Database!T389</f>
        <v/>
      </c>
      <c r="G389" s="103">
        <f>IF($B389="","",IFERROR(BDP($B389&amp;" Action","GREENSHOE_FACILITY"),""))</f>
        <v/>
      </c>
      <c r="H389" s="103">
        <f>IF($B389="","",IFERROR(BDP($B389&amp;" Action","OFFERING_GREENSHOE_SHARES_EX"),""))</f>
        <v/>
      </c>
      <c r="I389" s="16">
        <f>Database!Z389</f>
        <v/>
      </c>
      <c r="J389" s="24">
        <f>IFERROR(BDP(Database!$A389&amp;" HK Equity","PE_RATIO"),"")</f>
        <v/>
      </c>
      <c r="K389" s="10">
        <f>IFERROR(BDP(Database!$A389&amp;" HK Equity","A/H_SHARE_CONVERSION"),"")</f>
        <v/>
      </c>
      <c r="L389" s="16">
        <f>IF(Database!BA389="","(none found)",Database!BA389)</f>
        <v/>
      </c>
      <c r="M389" s="18">
        <f>IFERROR(BDH(Database!$A389&amp;" HK Equity","CUR_MKT_CAP",Database!$H389,Database!$H389),"")</f>
        <v/>
      </c>
      <c r="N389" s="99">
        <f>Database!Q389</f>
        <v/>
      </c>
      <c r="O389" s="24">
        <f>IFERROR(BDH(Database!$A389&amp;" HK Equity","PE_RATIO",Database!$H389,Database!$H389),"")</f>
        <v/>
      </c>
      <c r="P389" s="101">
        <f>IF(Database!AV389="","(n/m or not derivable)",Database!AV389)</f>
        <v/>
      </c>
      <c r="Q389" s="24">
        <f>IF(Database!BA389="","",IFERROR(BDH(LEFT(Database!BA389,FIND(".",Database!BA389)-1)&amp;" CH Equity","PE_RATIO",Database!$H389,Database!$H389),""))</f>
        <v/>
      </c>
      <c r="R389" s="24">
        <f>IF(Database!BA389="","",IFERROR(BDH("HSAHP Index","PX_LAST",Database!$H389,Database!$H389),""))</f>
        <v/>
      </c>
    </row>
    <row r="390">
      <c r="A390" s="16">
        <f>Database!A390&amp;"  "&amp;Database!B390</f>
        <v/>
      </c>
      <c r="B390" s="10">
        <f>IFERROR(INDEX(BDS(Database!$A390&amp;" HK Equity","EQUITY_OFFERINGS","array=t","endcol=1"),MATCH("IPO",BDS(Database!$A390&amp;" HK Equity","EQUITY_OFFERINGS","array=t","startcol=2","endcol=2"),0)),"")</f>
        <v/>
      </c>
      <c r="C390" s="103">
        <f>IF($B390="","",IFERROR(BDP($B390&amp;" Action","CP036"),""))</f>
        <v/>
      </c>
      <c r="D390" s="104">
        <f>Database!S390</f>
        <v/>
      </c>
      <c r="E390" s="103">
        <f>IF($B390="","",IFERROR(BDP($B390&amp;" Action","CP037"),""))</f>
        <v/>
      </c>
      <c r="F390" s="104">
        <f>Database!T390</f>
        <v/>
      </c>
      <c r="G390" s="103">
        <f>IF($B390="","",IFERROR(BDP($B390&amp;" Action","GREENSHOE_FACILITY"),""))</f>
        <v/>
      </c>
      <c r="H390" s="103">
        <f>IF($B390="","",IFERROR(BDP($B390&amp;" Action","OFFERING_GREENSHOE_SHARES_EX"),""))</f>
        <v/>
      </c>
      <c r="I390" s="16">
        <f>Database!Z390</f>
        <v/>
      </c>
      <c r="J390" s="24">
        <f>IFERROR(BDP(Database!$A390&amp;" HK Equity","PE_RATIO"),"")</f>
        <v/>
      </c>
      <c r="K390" s="10">
        <f>IFERROR(BDP(Database!$A390&amp;" HK Equity","A/H_SHARE_CONVERSION"),"")</f>
        <v/>
      </c>
      <c r="L390" s="16">
        <f>IF(Database!BA390="","(none found)",Database!BA390)</f>
        <v/>
      </c>
      <c r="M390" s="18">
        <f>IFERROR(BDH(Database!$A390&amp;" HK Equity","CUR_MKT_CAP",Database!$H390,Database!$H390),"")</f>
        <v/>
      </c>
      <c r="N390" s="99">
        <f>Database!Q390</f>
        <v/>
      </c>
      <c r="O390" s="24">
        <f>IFERROR(BDH(Database!$A390&amp;" HK Equity","PE_RATIO",Database!$H390,Database!$H390),"")</f>
        <v/>
      </c>
      <c r="P390" s="101">
        <f>IF(Database!AV390="","(n/m or not derivable)",Database!AV390)</f>
        <v/>
      </c>
      <c r="Q390" s="24">
        <f>IF(Database!BA390="","",IFERROR(BDH(LEFT(Database!BA390,FIND(".",Database!BA390)-1)&amp;" CH Equity","PE_RATIO",Database!$H390,Database!$H390),""))</f>
        <v/>
      </c>
      <c r="R390" s="24">
        <f>IF(Database!BA390="","",IFERROR(BDH("HSAHP Index","PX_LAST",Database!$H390,Database!$H390),""))</f>
        <v/>
      </c>
    </row>
    <row r="391">
      <c r="A391" s="16">
        <f>Database!A391&amp;"  "&amp;Database!B391</f>
        <v/>
      </c>
      <c r="B391" s="10">
        <f>IFERROR(INDEX(BDS(Database!$A391&amp;" HK Equity","EQUITY_OFFERINGS","array=t","endcol=1"),MATCH("IPO",BDS(Database!$A391&amp;" HK Equity","EQUITY_OFFERINGS","array=t","startcol=2","endcol=2"),0)),"")</f>
        <v/>
      </c>
      <c r="C391" s="103">
        <f>IF($B391="","",IFERROR(BDP($B391&amp;" Action","CP036"),""))</f>
        <v/>
      </c>
      <c r="D391" s="104">
        <f>Database!S391</f>
        <v/>
      </c>
      <c r="E391" s="103">
        <f>IF($B391="","",IFERROR(BDP($B391&amp;" Action","CP037"),""))</f>
        <v/>
      </c>
      <c r="F391" s="104">
        <f>Database!T391</f>
        <v/>
      </c>
      <c r="G391" s="103">
        <f>IF($B391="","",IFERROR(BDP($B391&amp;" Action","GREENSHOE_FACILITY"),""))</f>
        <v/>
      </c>
      <c r="H391" s="103">
        <f>IF($B391="","",IFERROR(BDP($B391&amp;" Action","OFFERING_GREENSHOE_SHARES_EX"),""))</f>
        <v/>
      </c>
      <c r="I391" s="16">
        <f>Database!Z391</f>
        <v/>
      </c>
      <c r="J391" s="24">
        <f>IFERROR(BDP(Database!$A391&amp;" HK Equity","PE_RATIO"),"")</f>
        <v/>
      </c>
      <c r="K391" s="10">
        <f>IFERROR(BDP(Database!$A391&amp;" HK Equity","A/H_SHARE_CONVERSION"),"")</f>
        <v/>
      </c>
      <c r="L391" s="16">
        <f>IF(Database!BA391="","(none found)",Database!BA391)</f>
        <v/>
      </c>
      <c r="M391" s="18">
        <f>IFERROR(BDH(Database!$A391&amp;" HK Equity","CUR_MKT_CAP",Database!$H391,Database!$H391),"")</f>
        <v/>
      </c>
      <c r="N391" s="99">
        <f>Database!Q391</f>
        <v/>
      </c>
      <c r="O391" s="24">
        <f>IFERROR(BDH(Database!$A391&amp;" HK Equity","PE_RATIO",Database!$H391,Database!$H391),"")</f>
        <v/>
      </c>
      <c r="P391" s="101">
        <f>IF(Database!AV391="","(n/m or not derivable)",Database!AV391)</f>
        <v/>
      </c>
      <c r="Q391" s="24">
        <f>IF(Database!BA391="","",IFERROR(BDH(LEFT(Database!BA391,FIND(".",Database!BA391)-1)&amp;" CH Equity","PE_RATIO",Database!$H391,Database!$H391),""))</f>
        <v/>
      </c>
      <c r="R391" s="24">
        <f>IF(Database!BA391="","",IFERROR(BDH("HSAHP Index","PX_LAST",Database!$H391,Database!$H391),""))</f>
        <v/>
      </c>
    </row>
    <row r="392">
      <c r="A392" s="16">
        <f>Database!A392&amp;"  "&amp;Database!B392</f>
        <v/>
      </c>
      <c r="B392" s="10">
        <f>IFERROR(INDEX(BDS(Database!$A392&amp;" HK Equity","EQUITY_OFFERINGS","array=t","endcol=1"),MATCH("IPO",BDS(Database!$A392&amp;" HK Equity","EQUITY_OFFERINGS","array=t","startcol=2","endcol=2"),0)),"")</f>
        <v/>
      </c>
      <c r="C392" s="103">
        <f>IF($B392="","",IFERROR(BDP($B392&amp;" Action","CP036"),""))</f>
        <v/>
      </c>
      <c r="D392" s="104">
        <f>Database!S392</f>
        <v/>
      </c>
      <c r="E392" s="103">
        <f>IF($B392="","",IFERROR(BDP($B392&amp;" Action","CP037"),""))</f>
        <v/>
      </c>
      <c r="F392" s="104">
        <f>Database!T392</f>
        <v/>
      </c>
      <c r="G392" s="103">
        <f>IF($B392="","",IFERROR(BDP($B392&amp;" Action","GREENSHOE_FACILITY"),""))</f>
        <v/>
      </c>
      <c r="H392" s="103">
        <f>IF($B392="","",IFERROR(BDP($B392&amp;" Action","OFFERING_GREENSHOE_SHARES_EX"),""))</f>
        <v/>
      </c>
      <c r="I392" s="16">
        <f>Database!Z392</f>
        <v/>
      </c>
      <c r="J392" s="24">
        <f>IFERROR(BDP(Database!$A392&amp;" HK Equity","PE_RATIO"),"")</f>
        <v/>
      </c>
      <c r="K392" s="10">
        <f>IFERROR(BDP(Database!$A392&amp;" HK Equity","A/H_SHARE_CONVERSION"),"")</f>
        <v/>
      </c>
      <c r="L392" s="16">
        <f>IF(Database!BA392="","(none found)",Database!BA392)</f>
        <v/>
      </c>
      <c r="M392" s="18">
        <f>IFERROR(BDH(Database!$A392&amp;" HK Equity","CUR_MKT_CAP",Database!$H392,Database!$H392),"")</f>
        <v/>
      </c>
      <c r="N392" s="99">
        <f>Database!Q392</f>
        <v/>
      </c>
      <c r="O392" s="24">
        <f>IFERROR(BDH(Database!$A392&amp;" HK Equity","PE_RATIO",Database!$H392,Database!$H392),"")</f>
        <v/>
      </c>
      <c r="P392" s="101">
        <f>IF(Database!AV392="","(n/m or not derivable)",Database!AV392)</f>
        <v/>
      </c>
      <c r="Q392" s="24">
        <f>IF(Database!BA392="","",IFERROR(BDH(LEFT(Database!BA392,FIND(".",Database!BA392)-1)&amp;" CH Equity","PE_RATIO",Database!$H392,Database!$H392),""))</f>
        <v/>
      </c>
      <c r="R392" s="24">
        <f>IF(Database!BA392="","",IFERROR(BDH("HSAHP Index","PX_LAST",Database!$H392,Database!$H392),""))</f>
        <v/>
      </c>
    </row>
    <row r="393">
      <c r="A393" s="16">
        <f>Database!A393&amp;"  "&amp;Database!B393</f>
        <v/>
      </c>
      <c r="B393" s="10">
        <f>IFERROR(INDEX(BDS(Database!$A393&amp;" HK Equity","EQUITY_OFFERINGS","array=t","endcol=1"),MATCH("IPO",BDS(Database!$A393&amp;" HK Equity","EQUITY_OFFERINGS","array=t","startcol=2","endcol=2"),0)),"")</f>
        <v/>
      </c>
      <c r="C393" s="103">
        <f>IF($B393="","",IFERROR(BDP($B393&amp;" Action","CP036"),""))</f>
        <v/>
      </c>
      <c r="D393" s="104">
        <f>Database!S393</f>
        <v/>
      </c>
      <c r="E393" s="103">
        <f>IF($B393="","",IFERROR(BDP($B393&amp;" Action","CP037"),""))</f>
        <v/>
      </c>
      <c r="F393" s="104">
        <f>Database!T393</f>
        <v/>
      </c>
      <c r="G393" s="103">
        <f>IF($B393="","",IFERROR(BDP($B393&amp;" Action","GREENSHOE_FACILITY"),""))</f>
        <v/>
      </c>
      <c r="H393" s="103">
        <f>IF($B393="","",IFERROR(BDP($B393&amp;" Action","OFFERING_GREENSHOE_SHARES_EX"),""))</f>
        <v/>
      </c>
      <c r="I393" s="16">
        <f>Database!Z393</f>
        <v/>
      </c>
      <c r="J393" s="24">
        <f>IFERROR(BDP(Database!$A393&amp;" HK Equity","PE_RATIO"),"")</f>
        <v/>
      </c>
      <c r="K393" s="10">
        <f>IFERROR(BDP(Database!$A393&amp;" HK Equity","A/H_SHARE_CONVERSION"),"")</f>
        <v/>
      </c>
      <c r="L393" s="16">
        <f>IF(Database!BA393="","(none found)",Database!BA393)</f>
        <v/>
      </c>
      <c r="M393" s="18">
        <f>IFERROR(BDH(Database!$A393&amp;" HK Equity","CUR_MKT_CAP",Database!$H393,Database!$H393),"")</f>
        <v/>
      </c>
      <c r="N393" s="99">
        <f>Database!Q393</f>
        <v/>
      </c>
      <c r="O393" s="24">
        <f>IFERROR(BDH(Database!$A393&amp;" HK Equity","PE_RATIO",Database!$H393,Database!$H393),"")</f>
        <v/>
      </c>
      <c r="P393" s="101">
        <f>IF(Database!AV393="","(n/m or not derivable)",Database!AV393)</f>
        <v/>
      </c>
      <c r="Q393" s="24">
        <f>IF(Database!BA393="","",IFERROR(BDH(LEFT(Database!BA393,FIND(".",Database!BA393)-1)&amp;" CH Equity","PE_RATIO",Database!$H393,Database!$H393),""))</f>
        <v/>
      </c>
      <c r="R393" s="24">
        <f>IF(Database!BA393="","",IFERROR(BDH("HSAHP Index","PX_LAST",Database!$H393,Database!$H393),""))</f>
        <v/>
      </c>
    </row>
    <row r="394">
      <c r="A394" s="16">
        <f>Database!A394&amp;"  "&amp;Database!B394</f>
        <v/>
      </c>
      <c r="B394" s="10">
        <f>IFERROR(INDEX(BDS(Database!$A394&amp;" HK Equity","EQUITY_OFFERINGS","array=t","endcol=1"),MATCH("IPO",BDS(Database!$A394&amp;" HK Equity","EQUITY_OFFERINGS","array=t","startcol=2","endcol=2"),0)),"")</f>
        <v/>
      </c>
      <c r="C394" s="103">
        <f>IF($B394="","",IFERROR(BDP($B394&amp;" Action","CP036"),""))</f>
        <v/>
      </c>
      <c r="D394" s="104">
        <f>Database!S394</f>
        <v/>
      </c>
      <c r="E394" s="103">
        <f>IF($B394="","",IFERROR(BDP($B394&amp;" Action","CP037"),""))</f>
        <v/>
      </c>
      <c r="F394" s="104">
        <f>Database!T394</f>
        <v/>
      </c>
      <c r="G394" s="103">
        <f>IF($B394="","",IFERROR(BDP($B394&amp;" Action","GREENSHOE_FACILITY"),""))</f>
        <v/>
      </c>
      <c r="H394" s="103">
        <f>IF($B394="","",IFERROR(BDP($B394&amp;" Action","OFFERING_GREENSHOE_SHARES_EX"),""))</f>
        <v/>
      </c>
      <c r="I394" s="16">
        <f>Database!Z394</f>
        <v/>
      </c>
      <c r="J394" s="24">
        <f>IFERROR(BDP(Database!$A394&amp;" HK Equity","PE_RATIO"),"")</f>
        <v/>
      </c>
      <c r="K394" s="10">
        <f>IFERROR(BDP(Database!$A394&amp;" HK Equity","A/H_SHARE_CONVERSION"),"")</f>
        <v/>
      </c>
      <c r="L394" s="16">
        <f>IF(Database!BA394="","(none found)",Database!BA394)</f>
        <v/>
      </c>
      <c r="M394" s="18">
        <f>IFERROR(BDH(Database!$A394&amp;" HK Equity","CUR_MKT_CAP",Database!$H394,Database!$H394),"")</f>
        <v/>
      </c>
      <c r="N394" s="99">
        <f>Database!Q394</f>
        <v/>
      </c>
      <c r="O394" s="24">
        <f>IFERROR(BDH(Database!$A394&amp;" HK Equity","PE_RATIO",Database!$H394,Database!$H394),"")</f>
        <v/>
      </c>
      <c r="P394" s="101">
        <f>IF(Database!AV394="","(n/m or not derivable)",Database!AV394)</f>
        <v/>
      </c>
      <c r="Q394" s="24">
        <f>IF(Database!BA394="","",IFERROR(BDH(LEFT(Database!BA394,FIND(".",Database!BA394)-1)&amp;" CH Equity","PE_RATIO",Database!$H394,Database!$H394),""))</f>
        <v/>
      </c>
      <c r="R394" s="24">
        <f>IF(Database!BA394="","",IFERROR(BDH("HSAHP Index","PX_LAST",Database!$H394,Database!$H394),""))</f>
        <v/>
      </c>
    </row>
    <row r="395">
      <c r="A395" s="16">
        <f>Database!A395&amp;"  "&amp;Database!B395</f>
        <v/>
      </c>
      <c r="B395" s="10">
        <f>IFERROR(INDEX(BDS(Database!$A395&amp;" HK Equity","EQUITY_OFFERINGS","array=t","endcol=1"),MATCH("IPO",BDS(Database!$A395&amp;" HK Equity","EQUITY_OFFERINGS","array=t","startcol=2","endcol=2"),0)),"")</f>
        <v/>
      </c>
      <c r="C395" s="103">
        <f>IF($B395="","",IFERROR(BDP($B395&amp;" Action","CP036"),""))</f>
        <v/>
      </c>
      <c r="D395" s="104">
        <f>Database!S395</f>
        <v/>
      </c>
      <c r="E395" s="103">
        <f>IF($B395="","",IFERROR(BDP($B395&amp;" Action","CP037"),""))</f>
        <v/>
      </c>
      <c r="F395" s="104">
        <f>Database!T395</f>
        <v/>
      </c>
      <c r="G395" s="103">
        <f>IF($B395="","",IFERROR(BDP($B395&amp;" Action","GREENSHOE_FACILITY"),""))</f>
        <v/>
      </c>
      <c r="H395" s="103">
        <f>IF($B395="","",IFERROR(BDP($B395&amp;" Action","OFFERING_GREENSHOE_SHARES_EX"),""))</f>
        <v/>
      </c>
      <c r="I395" s="16">
        <f>Database!Z395</f>
        <v/>
      </c>
      <c r="J395" s="24">
        <f>IFERROR(BDP(Database!$A395&amp;" HK Equity","PE_RATIO"),"")</f>
        <v/>
      </c>
      <c r="K395" s="10">
        <f>IFERROR(BDP(Database!$A395&amp;" HK Equity","A/H_SHARE_CONVERSION"),"")</f>
        <v/>
      </c>
      <c r="L395" s="16">
        <f>IF(Database!BA395="","(none found)",Database!BA395)</f>
        <v/>
      </c>
      <c r="M395" s="18">
        <f>IFERROR(BDH(Database!$A395&amp;" HK Equity","CUR_MKT_CAP",Database!$H395,Database!$H395),"")</f>
        <v/>
      </c>
      <c r="N395" s="99">
        <f>Database!Q395</f>
        <v/>
      </c>
      <c r="O395" s="24">
        <f>IFERROR(BDH(Database!$A395&amp;" HK Equity","PE_RATIO",Database!$H395,Database!$H395),"")</f>
        <v/>
      </c>
      <c r="P395" s="101">
        <f>IF(Database!AV395="","(n/m or not derivable)",Database!AV395)</f>
        <v/>
      </c>
      <c r="Q395" s="24">
        <f>IF(Database!BA395="","",IFERROR(BDH(LEFT(Database!BA395,FIND(".",Database!BA395)-1)&amp;" CH Equity","PE_RATIO",Database!$H395,Database!$H395),""))</f>
        <v/>
      </c>
      <c r="R395" s="24">
        <f>IF(Database!BA395="","",IFERROR(BDH("HSAHP Index","PX_LAST",Database!$H395,Database!$H395),""))</f>
        <v/>
      </c>
    </row>
    <row r="396">
      <c r="A396" s="16">
        <f>Database!A396&amp;"  "&amp;Database!B396</f>
        <v/>
      </c>
      <c r="B396" s="10">
        <f>IFERROR(INDEX(BDS(Database!$A396&amp;" HK Equity","EQUITY_OFFERINGS","array=t","endcol=1"),MATCH("IPO",BDS(Database!$A396&amp;" HK Equity","EQUITY_OFFERINGS","array=t","startcol=2","endcol=2"),0)),"")</f>
        <v/>
      </c>
      <c r="C396" s="103">
        <f>IF($B396="","",IFERROR(BDP($B396&amp;" Action","CP036"),""))</f>
        <v/>
      </c>
      <c r="D396" s="104">
        <f>Database!S396</f>
        <v/>
      </c>
      <c r="E396" s="103">
        <f>IF($B396="","",IFERROR(BDP($B396&amp;" Action","CP037"),""))</f>
        <v/>
      </c>
      <c r="F396" s="104">
        <f>Database!T396</f>
        <v/>
      </c>
      <c r="G396" s="103">
        <f>IF($B396="","",IFERROR(BDP($B396&amp;" Action","GREENSHOE_FACILITY"),""))</f>
        <v/>
      </c>
      <c r="H396" s="103">
        <f>IF($B396="","",IFERROR(BDP($B396&amp;" Action","OFFERING_GREENSHOE_SHARES_EX"),""))</f>
        <v/>
      </c>
      <c r="I396" s="16">
        <f>Database!Z396</f>
        <v/>
      </c>
      <c r="J396" s="24">
        <f>IFERROR(BDP(Database!$A396&amp;" HK Equity","PE_RATIO"),"")</f>
        <v/>
      </c>
      <c r="K396" s="10">
        <f>IFERROR(BDP(Database!$A396&amp;" HK Equity","A/H_SHARE_CONVERSION"),"")</f>
        <v/>
      </c>
      <c r="L396" s="16">
        <f>IF(Database!BA396="","(none found)",Database!BA396)</f>
        <v/>
      </c>
      <c r="M396" s="18">
        <f>IFERROR(BDH(Database!$A396&amp;" HK Equity","CUR_MKT_CAP",Database!$H396,Database!$H396),"")</f>
        <v/>
      </c>
      <c r="N396" s="99">
        <f>Database!Q396</f>
        <v/>
      </c>
      <c r="O396" s="24">
        <f>IFERROR(BDH(Database!$A396&amp;" HK Equity","PE_RATIO",Database!$H396,Database!$H396),"")</f>
        <v/>
      </c>
      <c r="P396" s="101">
        <f>IF(Database!AV396="","(n/m or not derivable)",Database!AV396)</f>
        <v/>
      </c>
      <c r="Q396" s="24">
        <f>IF(Database!BA396="","",IFERROR(BDH(LEFT(Database!BA396,FIND(".",Database!BA396)-1)&amp;" CH Equity","PE_RATIO",Database!$H396,Database!$H396),""))</f>
        <v/>
      </c>
      <c r="R396" s="24">
        <f>IF(Database!BA396="","",IFERROR(BDH("HSAHP Index","PX_LAST",Database!$H396,Database!$H396),""))</f>
        <v/>
      </c>
    </row>
    <row r="397">
      <c r="A397" s="16">
        <f>Database!A397&amp;"  "&amp;Database!B397</f>
        <v/>
      </c>
      <c r="B397" s="10">
        <f>IFERROR(INDEX(BDS(Database!$A397&amp;" HK Equity","EQUITY_OFFERINGS","array=t","endcol=1"),MATCH("IPO",BDS(Database!$A397&amp;" HK Equity","EQUITY_OFFERINGS","array=t","startcol=2","endcol=2"),0)),"")</f>
        <v/>
      </c>
      <c r="C397" s="103">
        <f>IF($B397="","",IFERROR(BDP($B397&amp;" Action","CP036"),""))</f>
        <v/>
      </c>
      <c r="D397" s="104">
        <f>Database!S397</f>
        <v/>
      </c>
      <c r="E397" s="103">
        <f>IF($B397="","",IFERROR(BDP($B397&amp;" Action","CP037"),""))</f>
        <v/>
      </c>
      <c r="F397" s="104">
        <f>Database!T397</f>
        <v/>
      </c>
      <c r="G397" s="103">
        <f>IF($B397="","",IFERROR(BDP($B397&amp;" Action","GREENSHOE_FACILITY"),""))</f>
        <v/>
      </c>
      <c r="H397" s="103">
        <f>IF($B397="","",IFERROR(BDP($B397&amp;" Action","OFFERING_GREENSHOE_SHARES_EX"),""))</f>
        <v/>
      </c>
      <c r="I397" s="16">
        <f>Database!Z397</f>
        <v/>
      </c>
      <c r="J397" s="24">
        <f>IFERROR(BDP(Database!$A397&amp;" HK Equity","PE_RATIO"),"")</f>
        <v/>
      </c>
      <c r="K397" s="10">
        <f>IFERROR(BDP(Database!$A397&amp;" HK Equity","A/H_SHARE_CONVERSION"),"")</f>
        <v/>
      </c>
      <c r="L397" s="16">
        <f>IF(Database!BA397="","(none found)",Database!BA397)</f>
        <v/>
      </c>
      <c r="M397" s="18">
        <f>IFERROR(BDH(Database!$A397&amp;" HK Equity","CUR_MKT_CAP",Database!$H397,Database!$H397),"")</f>
        <v/>
      </c>
      <c r="N397" s="99">
        <f>Database!Q397</f>
        <v/>
      </c>
      <c r="O397" s="24">
        <f>IFERROR(BDH(Database!$A397&amp;" HK Equity","PE_RATIO",Database!$H397,Database!$H397),"")</f>
        <v/>
      </c>
      <c r="P397" s="101">
        <f>IF(Database!AV397="","(n/m or not derivable)",Database!AV397)</f>
        <v/>
      </c>
      <c r="Q397" s="24">
        <f>IF(Database!BA397="","",IFERROR(BDH(LEFT(Database!BA397,FIND(".",Database!BA397)-1)&amp;" CH Equity","PE_RATIO",Database!$H397,Database!$H397),""))</f>
        <v/>
      </c>
      <c r="R397" s="24">
        <f>IF(Database!BA397="","",IFERROR(BDH("HSAHP Index","PX_LAST",Database!$H397,Database!$H397),""))</f>
        <v/>
      </c>
    </row>
    <row r="398">
      <c r="A398" s="16">
        <f>Database!A398&amp;"  "&amp;Database!B398</f>
        <v/>
      </c>
      <c r="B398" s="10">
        <f>IFERROR(INDEX(BDS(Database!$A398&amp;" HK Equity","EQUITY_OFFERINGS","array=t","endcol=1"),MATCH("IPO",BDS(Database!$A398&amp;" HK Equity","EQUITY_OFFERINGS","array=t","startcol=2","endcol=2"),0)),"")</f>
        <v/>
      </c>
      <c r="C398" s="103">
        <f>IF($B398="","",IFERROR(BDP($B398&amp;" Action","CP036"),""))</f>
        <v/>
      </c>
      <c r="D398" s="104">
        <f>Database!S398</f>
        <v/>
      </c>
      <c r="E398" s="103">
        <f>IF($B398="","",IFERROR(BDP($B398&amp;" Action","CP037"),""))</f>
        <v/>
      </c>
      <c r="F398" s="104">
        <f>Database!T398</f>
        <v/>
      </c>
      <c r="G398" s="103">
        <f>IF($B398="","",IFERROR(BDP($B398&amp;" Action","GREENSHOE_FACILITY"),""))</f>
        <v/>
      </c>
      <c r="H398" s="103">
        <f>IF($B398="","",IFERROR(BDP($B398&amp;" Action","OFFERING_GREENSHOE_SHARES_EX"),""))</f>
        <v/>
      </c>
      <c r="I398" s="16">
        <f>Database!Z398</f>
        <v/>
      </c>
      <c r="J398" s="24">
        <f>IFERROR(BDP(Database!$A398&amp;" HK Equity","PE_RATIO"),"")</f>
        <v/>
      </c>
      <c r="K398" s="10">
        <f>IFERROR(BDP(Database!$A398&amp;" HK Equity","A/H_SHARE_CONVERSION"),"")</f>
        <v/>
      </c>
      <c r="L398" s="16">
        <f>IF(Database!BA398="","(none found)",Database!BA398)</f>
        <v/>
      </c>
      <c r="M398" s="18">
        <f>IFERROR(BDH(Database!$A398&amp;" HK Equity","CUR_MKT_CAP",Database!$H398,Database!$H398),"")</f>
        <v/>
      </c>
      <c r="N398" s="99">
        <f>Database!Q398</f>
        <v/>
      </c>
      <c r="O398" s="24">
        <f>IFERROR(BDH(Database!$A398&amp;" HK Equity","PE_RATIO",Database!$H398,Database!$H398),"")</f>
        <v/>
      </c>
      <c r="P398" s="101">
        <f>IF(Database!AV398="","(n/m or not derivable)",Database!AV398)</f>
        <v/>
      </c>
      <c r="Q398" s="24">
        <f>IF(Database!BA398="","",IFERROR(BDH(LEFT(Database!BA398,FIND(".",Database!BA398)-1)&amp;" CH Equity","PE_RATIO",Database!$H398,Database!$H398),""))</f>
        <v/>
      </c>
      <c r="R398" s="24">
        <f>IF(Database!BA398="","",IFERROR(BDH("HSAHP Index","PX_LAST",Database!$H398,Database!$H398),""))</f>
        <v/>
      </c>
    </row>
    <row r="399">
      <c r="A399" s="16">
        <f>Database!A399&amp;"  "&amp;Database!B399</f>
        <v/>
      </c>
      <c r="B399" s="10">
        <f>IFERROR(INDEX(BDS(Database!$A399&amp;" HK Equity","EQUITY_OFFERINGS","array=t","endcol=1"),MATCH("IPO",BDS(Database!$A399&amp;" HK Equity","EQUITY_OFFERINGS","array=t","startcol=2","endcol=2"),0)),"")</f>
        <v/>
      </c>
      <c r="C399" s="103">
        <f>IF($B399="","",IFERROR(BDP($B399&amp;" Action","CP036"),""))</f>
        <v/>
      </c>
      <c r="D399" s="104">
        <f>Database!S399</f>
        <v/>
      </c>
      <c r="E399" s="103">
        <f>IF($B399="","",IFERROR(BDP($B399&amp;" Action","CP037"),""))</f>
        <v/>
      </c>
      <c r="F399" s="104">
        <f>Database!T399</f>
        <v/>
      </c>
      <c r="G399" s="103">
        <f>IF($B399="","",IFERROR(BDP($B399&amp;" Action","GREENSHOE_FACILITY"),""))</f>
        <v/>
      </c>
      <c r="H399" s="103">
        <f>IF($B399="","",IFERROR(BDP($B399&amp;" Action","OFFERING_GREENSHOE_SHARES_EX"),""))</f>
        <v/>
      </c>
      <c r="I399" s="16">
        <f>Database!Z399</f>
        <v/>
      </c>
      <c r="J399" s="24">
        <f>IFERROR(BDP(Database!$A399&amp;" HK Equity","PE_RATIO"),"")</f>
        <v/>
      </c>
      <c r="K399" s="10">
        <f>IFERROR(BDP(Database!$A399&amp;" HK Equity","A/H_SHARE_CONVERSION"),"")</f>
        <v/>
      </c>
      <c r="L399" s="16">
        <f>IF(Database!BA399="","(none found)",Database!BA399)</f>
        <v/>
      </c>
      <c r="M399" s="18">
        <f>IFERROR(BDH(Database!$A399&amp;" HK Equity","CUR_MKT_CAP",Database!$H399,Database!$H399),"")</f>
        <v/>
      </c>
      <c r="N399" s="99">
        <f>Database!Q399</f>
        <v/>
      </c>
      <c r="O399" s="24">
        <f>IFERROR(BDH(Database!$A399&amp;" HK Equity","PE_RATIO",Database!$H399,Database!$H399),"")</f>
        <v/>
      </c>
      <c r="P399" s="101">
        <f>IF(Database!AV399="","(n/m or not derivable)",Database!AV399)</f>
        <v/>
      </c>
      <c r="Q399" s="24">
        <f>IF(Database!BA399="","",IFERROR(BDH(LEFT(Database!BA399,FIND(".",Database!BA399)-1)&amp;" CH Equity","PE_RATIO",Database!$H399,Database!$H399),""))</f>
        <v/>
      </c>
      <c r="R399" s="24">
        <f>IF(Database!BA399="","",IFERROR(BDH("HSAHP Index","PX_LAST",Database!$H399,Database!$H399),""))</f>
        <v/>
      </c>
    </row>
    <row r="400">
      <c r="A400" s="16">
        <f>Database!A400&amp;"  "&amp;Database!B400</f>
        <v/>
      </c>
      <c r="B400" s="10">
        <f>IFERROR(INDEX(BDS(Database!$A400&amp;" HK Equity","EQUITY_OFFERINGS","array=t","endcol=1"),MATCH("IPO",BDS(Database!$A400&amp;" HK Equity","EQUITY_OFFERINGS","array=t","startcol=2","endcol=2"),0)),"")</f>
        <v/>
      </c>
      <c r="C400" s="103">
        <f>IF($B400="","",IFERROR(BDP($B400&amp;" Action","CP036"),""))</f>
        <v/>
      </c>
      <c r="D400" s="104">
        <f>Database!S400</f>
        <v/>
      </c>
      <c r="E400" s="103">
        <f>IF($B400="","",IFERROR(BDP($B400&amp;" Action","CP037"),""))</f>
        <v/>
      </c>
      <c r="F400" s="104">
        <f>Database!T400</f>
        <v/>
      </c>
      <c r="G400" s="103">
        <f>IF($B400="","",IFERROR(BDP($B400&amp;" Action","GREENSHOE_FACILITY"),""))</f>
        <v/>
      </c>
      <c r="H400" s="103">
        <f>IF($B400="","",IFERROR(BDP($B400&amp;" Action","OFFERING_GREENSHOE_SHARES_EX"),""))</f>
        <v/>
      </c>
      <c r="I400" s="16">
        <f>Database!Z400</f>
        <v/>
      </c>
      <c r="J400" s="24">
        <f>IFERROR(BDP(Database!$A400&amp;" HK Equity","PE_RATIO"),"")</f>
        <v/>
      </c>
      <c r="K400" s="10">
        <f>IFERROR(BDP(Database!$A400&amp;" HK Equity","A/H_SHARE_CONVERSION"),"")</f>
        <v/>
      </c>
      <c r="L400" s="16">
        <f>IF(Database!BA400="","(none found)",Database!BA400)</f>
        <v/>
      </c>
      <c r="M400" s="18">
        <f>IFERROR(BDH(Database!$A400&amp;" HK Equity","CUR_MKT_CAP",Database!$H400,Database!$H400),"")</f>
        <v/>
      </c>
      <c r="N400" s="99">
        <f>Database!Q400</f>
        <v/>
      </c>
      <c r="O400" s="24">
        <f>IFERROR(BDH(Database!$A400&amp;" HK Equity","PE_RATIO",Database!$H400,Database!$H400),"")</f>
        <v/>
      </c>
      <c r="P400" s="101">
        <f>IF(Database!AV400="","(n/m or not derivable)",Database!AV400)</f>
        <v/>
      </c>
      <c r="Q400" s="24">
        <f>IF(Database!BA400="","",IFERROR(BDH(LEFT(Database!BA400,FIND(".",Database!BA400)-1)&amp;" CH Equity","PE_RATIO",Database!$H400,Database!$H400),""))</f>
        <v/>
      </c>
      <c r="R400" s="24">
        <f>IF(Database!BA400="","",IFERROR(BDH("HSAHP Index","PX_LAST",Database!$H400,Database!$H400),""))</f>
        <v/>
      </c>
    </row>
    <row r="401">
      <c r="A401" s="16">
        <f>Database!A401&amp;"  "&amp;Database!B401</f>
        <v/>
      </c>
      <c r="B401" s="10">
        <f>IFERROR(INDEX(BDS(Database!$A401&amp;" HK Equity","EQUITY_OFFERINGS","array=t","endcol=1"),MATCH("IPO",BDS(Database!$A401&amp;" HK Equity","EQUITY_OFFERINGS","array=t","startcol=2","endcol=2"),0)),"")</f>
        <v/>
      </c>
      <c r="C401" s="103">
        <f>IF($B401="","",IFERROR(BDP($B401&amp;" Action","CP036"),""))</f>
        <v/>
      </c>
      <c r="D401" s="104">
        <f>Database!S401</f>
        <v/>
      </c>
      <c r="E401" s="103">
        <f>IF($B401="","",IFERROR(BDP($B401&amp;" Action","CP037"),""))</f>
        <v/>
      </c>
      <c r="F401" s="104">
        <f>Database!T401</f>
        <v/>
      </c>
      <c r="G401" s="103">
        <f>IF($B401="","",IFERROR(BDP($B401&amp;" Action","GREENSHOE_FACILITY"),""))</f>
        <v/>
      </c>
      <c r="H401" s="103">
        <f>IF($B401="","",IFERROR(BDP($B401&amp;" Action","OFFERING_GREENSHOE_SHARES_EX"),""))</f>
        <v/>
      </c>
      <c r="I401" s="16">
        <f>Database!Z401</f>
        <v/>
      </c>
      <c r="J401" s="24">
        <f>IFERROR(BDP(Database!$A401&amp;" HK Equity","PE_RATIO"),"")</f>
        <v/>
      </c>
      <c r="K401" s="10">
        <f>IFERROR(BDP(Database!$A401&amp;" HK Equity","A/H_SHARE_CONVERSION"),"")</f>
        <v/>
      </c>
      <c r="L401" s="16">
        <f>IF(Database!BA401="","(none found)",Database!BA401)</f>
        <v/>
      </c>
      <c r="M401" s="18">
        <f>IFERROR(BDH(Database!$A401&amp;" HK Equity","CUR_MKT_CAP",Database!$H401,Database!$H401),"")</f>
        <v/>
      </c>
      <c r="N401" s="99">
        <f>Database!Q401</f>
        <v/>
      </c>
      <c r="O401" s="24">
        <f>IFERROR(BDH(Database!$A401&amp;" HK Equity","PE_RATIO",Database!$H401,Database!$H401),"")</f>
        <v/>
      </c>
      <c r="P401" s="101">
        <f>IF(Database!AV401="","(n/m or not derivable)",Database!AV401)</f>
        <v/>
      </c>
      <c r="Q401" s="24">
        <f>IF(Database!BA401="","",IFERROR(BDH(LEFT(Database!BA401,FIND(".",Database!BA401)-1)&amp;" CH Equity","PE_RATIO",Database!$H401,Database!$H401),""))</f>
        <v/>
      </c>
      <c r="R401" s="24">
        <f>IF(Database!BA401="","",IFERROR(BDH("HSAHP Index","PX_LAST",Database!$H401,Database!$H401),""))</f>
        <v/>
      </c>
    </row>
    <row r="402">
      <c r="A402" s="16">
        <f>Database!A402&amp;"  "&amp;Database!B402</f>
        <v/>
      </c>
      <c r="B402" s="10">
        <f>IFERROR(INDEX(BDS(Database!$A402&amp;" HK Equity","EQUITY_OFFERINGS","array=t","endcol=1"),MATCH("IPO",BDS(Database!$A402&amp;" HK Equity","EQUITY_OFFERINGS","array=t","startcol=2","endcol=2"),0)),"")</f>
        <v/>
      </c>
      <c r="C402" s="103">
        <f>IF($B402="","",IFERROR(BDP($B402&amp;" Action","CP036"),""))</f>
        <v/>
      </c>
      <c r="D402" s="104">
        <f>Database!S402</f>
        <v/>
      </c>
      <c r="E402" s="103">
        <f>IF($B402="","",IFERROR(BDP($B402&amp;" Action","CP037"),""))</f>
        <v/>
      </c>
      <c r="F402" s="104">
        <f>Database!T402</f>
        <v/>
      </c>
      <c r="G402" s="103">
        <f>IF($B402="","",IFERROR(BDP($B402&amp;" Action","GREENSHOE_FACILITY"),""))</f>
        <v/>
      </c>
      <c r="H402" s="103">
        <f>IF($B402="","",IFERROR(BDP($B402&amp;" Action","OFFERING_GREENSHOE_SHARES_EX"),""))</f>
        <v/>
      </c>
      <c r="I402" s="16">
        <f>Database!Z402</f>
        <v/>
      </c>
      <c r="J402" s="24">
        <f>IFERROR(BDP(Database!$A402&amp;" HK Equity","PE_RATIO"),"")</f>
        <v/>
      </c>
      <c r="K402" s="10">
        <f>IFERROR(BDP(Database!$A402&amp;" HK Equity","A/H_SHARE_CONVERSION"),"")</f>
        <v/>
      </c>
      <c r="L402" s="16">
        <f>IF(Database!BA402="","(none found)",Database!BA402)</f>
        <v/>
      </c>
      <c r="M402" s="18">
        <f>IFERROR(BDH(Database!$A402&amp;" HK Equity","CUR_MKT_CAP",Database!$H402,Database!$H402),"")</f>
        <v/>
      </c>
      <c r="N402" s="99">
        <f>Database!Q402</f>
        <v/>
      </c>
      <c r="O402" s="24">
        <f>IFERROR(BDH(Database!$A402&amp;" HK Equity","PE_RATIO",Database!$H402,Database!$H402),"")</f>
        <v/>
      </c>
      <c r="P402" s="101">
        <f>IF(Database!AV402="","(n/m or not derivable)",Database!AV402)</f>
        <v/>
      </c>
      <c r="Q402" s="24">
        <f>IF(Database!BA402="","",IFERROR(BDH(LEFT(Database!BA402,FIND(".",Database!BA402)-1)&amp;" CH Equity","PE_RATIO",Database!$H402,Database!$H402),""))</f>
        <v/>
      </c>
      <c r="R402" s="24">
        <f>IF(Database!BA402="","",IFERROR(BDH("HSAHP Index","PX_LAST",Database!$H402,Database!$H402),""))</f>
        <v/>
      </c>
    </row>
    <row r="403">
      <c r="A403" s="16">
        <f>Database!A403&amp;"  "&amp;Database!B403</f>
        <v/>
      </c>
      <c r="B403" s="10">
        <f>IFERROR(INDEX(BDS(Database!$A403&amp;" HK Equity","EQUITY_OFFERINGS","array=t","endcol=1"),MATCH("IPO",BDS(Database!$A403&amp;" HK Equity","EQUITY_OFFERINGS","array=t","startcol=2","endcol=2"),0)),"")</f>
        <v/>
      </c>
      <c r="C403" s="103">
        <f>IF($B403="","",IFERROR(BDP($B403&amp;" Action","CP036"),""))</f>
        <v/>
      </c>
      <c r="D403" s="104">
        <f>Database!S403</f>
        <v/>
      </c>
      <c r="E403" s="103">
        <f>IF($B403="","",IFERROR(BDP($B403&amp;" Action","CP037"),""))</f>
        <v/>
      </c>
      <c r="F403" s="104">
        <f>Database!T403</f>
        <v/>
      </c>
      <c r="G403" s="103">
        <f>IF($B403="","",IFERROR(BDP($B403&amp;" Action","GREENSHOE_FACILITY"),""))</f>
        <v/>
      </c>
      <c r="H403" s="103">
        <f>IF($B403="","",IFERROR(BDP($B403&amp;" Action","OFFERING_GREENSHOE_SHARES_EX"),""))</f>
        <v/>
      </c>
      <c r="I403" s="16">
        <f>Database!Z403</f>
        <v/>
      </c>
      <c r="J403" s="24">
        <f>IFERROR(BDP(Database!$A403&amp;" HK Equity","PE_RATIO"),"")</f>
        <v/>
      </c>
      <c r="K403" s="10">
        <f>IFERROR(BDP(Database!$A403&amp;" HK Equity","A/H_SHARE_CONVERSION"),"")</f>
        <v/>
      </c>
      <c r="L403" s="16">
        <f>IF(Database!BA403="","(none found)",Database!BA403)</f>
        <v/>
      </c>
      <c r="M403" s="18">
        <f>IFERROR(BDH(Database!$A403&amp;" HK Equity","CUR_MKT_CAP",Database!$H403,Database!$H403),"")</f>
        <v/>
      </c>
      <c r="N403" s="99">
        <f>Database!Q403</f>
        <v/>
      </c>
      <c r="O403" s="24">
        <f>IFERROR(BDH(Database!$A403&amp;" HK Equity","PE_RATIO",Database!$H403,Database!$H403),"")</f>
        <v/>
      </c>
      <c r="P403" s="101">
        <f>IF(Database!AV403="","(n/m or not derivable)",Database!AV403)</f>
        <v/>
      </c>
      <c r="Q403" s="24">
        <f>IF(Database!BA403="","",IFERROR(BDH(LEFT(Database!BA403,FIND(".",Database!BA403)-1)&amp;" CH Equity","PE_RATIO",Database!$H403,Database!$H403),""))</f>
        <v/>
      </c>
      <c r="R403" s="24">
        <f>IF(Database!BA403="","",IFERROR(BDH("HSAHP Index","PX_LAST",Database!$H403,Database!$H403),""))</f>
        <v/>
      </c>
    </row>
    <row r="404">
      <c r="A404" s="16">
        <f>Database!A404&amp;"  "&amp;Database!B404</f>
        <v/>
      </c>
      <c r="B404" s="10">
        <f>IFERROR(INDEX(BDS(Database!$A404&amp;" HK Equity","EQUITY_OFFERINGS","array=t","endcol=1"),MATCH("IPO",BDS(Database!$A404&amp;" HK Equity","EQUITY_OFFERINGS","array=t","startcol=2","endcol=2"),0)),"")</f>
        <v/>
      </c>
      <c r="C404" s="103">
        <f>IF($B404="","",IFERROR(BDP($B404&amp;" Action","CP036"),""))</f>
        <v/>
      </c>
      <c r="D404" s="104">
        <f>Database!S404</f>
        <v/>
      </c>
      <c r="E404" s="103">
        <f>IF($B404="","",IFERROR(BDP($B404&amp;" Action","CP037"),""))</f>
        <v/>
      </c>
      <c r="F404" s="104">
        <f>Database!T404</f>
        <v/>
      </c>
      <c r="G404" s="103">
        <f>IF($B404="","",IFERROR(BDP($B404&amp;" Action","GREENSHOE_FACILITY"),""))</f>
        <v/>
      </c>
      <c r="H404" s="103">
        <f>IF($B404="","",IFERROR(BDP($B404&amp;" Action","OFFERING_GREENSHOE_SHARES_EX"),""))</f>
        <v/>
      </c>
      <c r="I404" s="16">
        <f>Database!Z404</f>
        <v/>
      </c>
      <c r="J404" s="24">
        <f>IFERROR(BDP(Database!$A404&amp;" HK Equity","PE_RATIO"),"")</f>
        <v/>
      </c>
      <c r="K404" s="10">
        <f>IFERROR(BDP(Database!$A404&amp;" HK Equity","A/H_SHARE_CONVERSION"),"")</f>
        <v/>
      </c>
      <c r="L404" s="16">
        <f>IF(Database!BA404="","(none found)",Database!BA404)</f>
        <v/>
      </c>
      <c r="M404" s="18">
        <f>IFERROR(BDH(Database!$A404&amp;" HK Equity","CUR_MKT_CAP",Database!$H404,Database!$H404),"")</f>
        <v/>
      </c>
      <c r="N404" s="99">
        <f>Database!Q404</f>
        <v/>
      </c>
      <c r="O404" s="24">
        <f>IFERROR(BDH(Database!$A404&amp;" HK Equity","PE_RATIO",Database!$H404,Database!$H404),"")</f>
        <v/>
      </c>
      <c r="P404" s="101">
        <f>IF(Database!AV404="","(n/m or not derivable)",Database!AV404)</f>
        <v/>
      </c>
      <c r="Q404" s="24">
        <f>IF(Database!BA404="","",IFERROR(BDH(LEFT(Database!BA404,FIND(".",Database!BA404)-1)&amp;" CH Equity","PE_RATIO",Database!$H404,Database!$H404),""))</f>
        <v/>
      </c>
      <c r="R404" s="24">
        <f>IF(Database!BA404="","",IFERROR(BDH("HSAHP Index","PX_LAST",Database!$H404,Database!$H404),""))</f>
        <v/>
      </c>
    </row>
    <row r="405">
      <c r="A405" s="16">
        <f>Database!A405&amp;"  "&amp;Database!B405</f>
        <v/>
      </c>
      <c r="B405" s="10">
        <f>IFERROR(INDEX(BDS(Database!$A405&amp;" HK Equity","EQUITY_OFFERINGS","array=t","endcol=1"),MATCH("IPO",BDS(Database!$A405&amp;" HK Equity","EQUITY_OFFERINGS","array=t","startcol=2","endcol=2"),0)),"")</f>
        <v/>
      </c>
      <c r="C405" s="103">
        <f>IF($B405="","",IFERROR(BDP($B405&amp;" Action","CP036"),""))</f>
        <v/>
      </c>
      <c r="D405" s="104">
        <f>Database!S405</f>
        <v/>
      </c>
      <c r="E405" s="103">
        <f>IF($B405="","",IFERROR(BDP($B405&amp;" Action","CP037"),""))</f>
        <v/>
      </c>
      <c r="F405" s="104">
        <f>Database!T405</f>
        <v/>
      </c>
      <c r="G405" s="103">
        <f>IF($B405="","",IFERROR(BDP($B405&amp;" Action","GREENSHOE_FACILITY"),""))</f>
        <v/>
      </c>
      <c r="H405" s="103">
        <f>IF($B405="","",IFERROR(BDP($B405&amp;" Action","OFFERING_GREENSHOE_SHARES_EX"),""))</f>
        <v/>
      </c>
      <c r="I405" s="16">
        <f>Database!Z405</f>
        <v/>
      </c>
      <c r="J405" s="24">
        <f>IFERROR(BDP(Database!$A405&amp;" HK Equity","PE_RATIO"),"")</f>
        <v/>
      </c>
      <c r="K405" s="10">
        <f>IFERROR(BDP(Database!$A405&amp;" HK Equity","A/H_SHARE_CONVERSION"),"")</f>
        <v/>
      </c>
      <c r="L405" s="16">
        <f>IF(Database!BA405="","(none found)",Database!BA405)</f>
        <v/>
      </c>
      <c r="M405" s="18">
        <f>IFERROR(BDH(Database!$A405&amp;" HK Equity","CUR_MKT_CAP",Database!$H405,Database!$H405),"")</f>
        <v/>
      </c>
      <c r="N405" s="99">
        <f>Database!Q405</f>
        <v/>
      </c>
      <c r="O405" s="24">
        <f>IFERROR(BDH(Database!$A405&amp;" HK Equity","PE_RATIO",Database!$H405,Database!$H405),"")</f>
        <v/>
      </c>
      <c r="P405" s="101">
        <f>IF(Database!AV405="","(n/m or not derivable)",Database!AV405)</f>
        <v/>
      </c>
      <c r="Q405" s="24">
        <f>IF(Database!BA405="","",IFERROR(BDH(LEFT(Database!BA405,FIND(".",Database!BA405)-1)&amp;" CH Equity","PE_RATIO",Database!$H405,Database!$H405),""))</f>
        <v/>
      </c>
      <c r="R405" s="24">
        <f>IF(Database!BA405="","",IFERROR(BDH("HSAHP Index","PX_LAST",Database!$H405,Database!$H405),""))</f>
        <v/>
      </c>
    </row>
    <row r="406">
      <c r="A406" s="16">
        <f>Database!A406&amp;"  "&amp;Database!B406</f>
        <v/>
      </c>
      <c r="B406" s="10">
        <f>IFERROR(INDEX(BDS(Database!$A406&amp;" HK Equity","EQUITY_OFFERINGS","array=t","endcol=1"),MATCH("IPO",BDS(Database!$A406&amp;" HK Equity","EQUITY_OFFERINGS","array=t","startcol=2","endcol=2"),0)),"")</f>
        <v/>
      </c>
      <c r="C406" s="103">
        <f>IF($B406="","",IFERROR(BDP($B406&amp;" Action","CP036"),""))</f>
        <v/>
      </c>
      <c r="D406" s="104">
        <f>Database!S406</f>
        <v/>
      </c>
      <c r="E406" s="103">
        <f>IF($B406="","",IFERROR(BDP($B406&amp;" Action","CP037"),""))</f>
        <v/>
      </c>
      <c r="F406" s="104">
        <f>Database!T406</f>
        <v/>
      </c>
      <c r="G406" s="103">
        <f>IF($B406="","",IFERROR(BDP($B406&amp;" Action","GREENSHOE_FACILITY"),""))</f>
        <v/>
      </c>
      <c r="H406" s="103">
        <f>IF($B406="","",IFERROR(BDP($B406&amp;" Action","OFFERING_GREENSHOE_SHARES_EX"),""))</f>
        <v/>
      </c>
      <c r="I406" s="16">
        <f>Database!Z406</f>
        <v/>
      </c>
      <c r="J406" s="24">
        <f>IFERROR(BDP(Database!$A406&amp;" HK Equity","PE_RATIO"),"")</f>
        <v/>
      </c>
      <c r="K406" s="10">
        <f>IFERROR(BDP(Database!$A406&amp;" HK Equity","A/H_SHARE_CONVERSION"),"")</f>
        <v/>
      </c>
      <c r="L406" s="16">
        <f>IF(Database!BA406="","(none found)",Database!BA406)</f>
        <v/>
      </c>
      <c r="M406" s="18">
        <f>IFERROR(BDH(Database!$A406&amp;" HK Equity","CUR_MKT_CAP",Database!$H406,Database!$H406),"")</f>
        <v/>
      </c>
      <c r="N406" s="99">
        <f>Database!Q406</f>
        <v/>
      </c>
      <c r="O406" s="24">
        <f>IFERROR(BDH(Database!$A406&amp;" HK Equity","PE_RATIO",Database!$H406,Database!$H406),"")</f>
        <v/>
      </c>
      <c r="P406" s="101">
        <f>IF(Database!AV406="","(n/m or not derivable)",Database!AV406)</f>
        <v/>
      </c>
      <c r="Q406" s="24">
        <f>IF(Database!BA406="","",IFERROR(BDH(LEFT(Database!BA406,FIND(".",Database!BA406)-1)&amp;" CH Equity","PE_RATIO",Database!$H406,Database!$H406),""))</f>
        <v/>
      </c>
      <c r="R406" s="24">
        <f>IF(Database!BA406="","",IFERROR(BDH("HSAHP Index","PX_LAST",Database!$H406,Database!$H406),""))</f>
        <v/>
      </c>
    </row>
    <row r="407">
      <c r="A407" s="16">
        <f>Database!A407&amp;"  "&amp;Database!B407</f>
        <v/>
      </c>
      <c r="B407" s="10">
        <f>IFERROR(INDEX(BDS(Database!$A407&amp;" HK Equity","EQUITY_OFFERINGS","array=t","endcol=1"),MATCH("IPO",BDS(Database!$A407&amp;" HK Equity","EQUITY_OFFERINGS","array=t","startcol=2","endcol=2"),0)),"")</f>
        <v/>
      </c>
      <c r="C407" s="103">
        <f>IF($B407="","",IFERROR(BDP($B407&amp;" Action","CP036"),""))</f>
        <v/>
      </c>
      <c r="D407" s="104">
        <f>Database!S407</f>
        <v/>
      </c>
      <c r="E407" s="103">
        <f>IF($B407="","",IFERROR(BDP($B407&amp;" Action","CP037"),""))</f>
        <v/>
      </c>
      <c r="F407" s="104">
        <f>Database!T407</f>
        <v/>
      </c>
      <c r="G407" s="103">
        <f>IF($B407="","",IFERROR(BDP($B407&amp;" Action","GREENSHOE_FACILITY"),""))</f>
        <v/>
      </c>
      <c r="H407" s="103">
        <f>IF($B407="","",IFERROR(BDP($B407&amp;" Action","OFFERING_GREENSHOE_SHARES_EX"),""))</f>
        <v/>
      </c>
      <c r="I407" s="16">
        <f>Database!Z407</f>
        <v/>
      </c>
      <c r="J407" s="24">
        <f>IFERROR(BDP(Database!$A407&amp;" HK Equity","PE_RATIO"),"")</f>
        <v/>
      </c>
      <c r="K407" s="10">
        <f>IFERROR(BDP(Database!$A407&amp;" HK Equity","A/H_SHARE_CONVERSION"),"")</f>
        <v/>
      </c>
      <c r="L407" s="16">
        <f>IF(Database!BA407="","(none found)",Database!BA407)</f>
        <v/>
      </c>
      <c r="M407" s="18">
        <f>IFERROR(BDH(Database!$A407&amp;" HK Equity","CUR_MKT_CAP",Database!$H407,Database!$H407),"")</f>
        <v/>
      </c>
      <c r="N407" s="99">
        <f>Database!Q407</f>
        <v/>
      </c>
      <c r="O407" s="24">
        <f>IFERROR(BDH(Database!$A407&amp;" HK Equity","PE_RATIO",Database!$H407,Database!$H407),"")</f>
        <v/>
      </c>
      <c r="P407" s="101">
        <f>IF(Database!AV407="","(n/m or not derivable)",Database!AV407)</f>
        <v/>
      </c>
      <c r="Q407" s="24">
        <f>IF(Database!BA407="","",IFERROR(BDH(LEFT(Database!BA407,FIND(".",Database!BA407)-1)&amp;" CH Equity","PE_RATIO",Database!$H407,Database!$H407),""))</f>
        <v/>
      </c>
      <c r="R407" s="24">
        <f>IF(Database!BA407="","",IFERROR(BDH("HSAHP Index","PX_LAST",Database!$H407,Database!$H407),""))</f>
        <v/>
      </c>
    </row>
    <row r="408">
      <c r="A408" s="16">
        <f>Database!A408&amp;"  "&amp;Database!B408</f>
        <v/>
      </c>
      <c r="B408" s="10">
        <f>IFERROR(INDEX(BDS(Database!$A408&amp;" HK Equity","EQUITY_OFFERINGS","array=t","endcol=1"),MATCH("IPO",BDS(Database!$A408&amp;" HK Equity","EQUITY_OFFERINGS","array=t","startcol=2","endcol=2"),0)),"")</f>
        <v/>
      </c>
      <c r="C408" s="103">
        <f>IF($B408="","",IFERROR(BDP($B408&amp;" Action","CP036"),""))</f>
        <v/>
      </c>
      <c r="D408" s="104">
        <f>Database!S408</f>
        <v/>
      </c>
      <c r="E408" s="103">
        <f>IF($B408="","",IFERROR(BDP($B408&amp;" Action","CP037"),""))</f>
        <v/>
      </c>
      <c r="F408" s="104">
        <f>Database!T408</f>
        <v/>
      </c>
      <c r="G408" s="103">
        <f>IF($B408="","",IFERROR(BDP($B408&amp;" Action","GREENSHOE_FACILITY"),""))</f>
        <v/>
      </c>
      <c r="H408" s="103">
        <f>IF($B408="","",IFERROR(BDP($B408&amp;" Action","OFFERING_GREENSHOE_SHARES_EX"),""))</f>
        <v/>
      </c>
      <c r="I408" s="16">
        <f>Database!Z408</f>
        <v/>
      </c>
      <c r="J408" s="24">
        <f>IFERROR(BDP(Database!$A408&amp;" HK Equity","PE_RATIO"),"")</f>
        <v/>
      </c>
      <c r="K408" s="10">
        <f>IFERROR(BDP(Database!$A408&amp;" HK Equity","A/H_SHARE_CONVERSION"),"")</f>
        <v/>
      </c>
      <c r="L408" s="16">
        <f>IF(Database!BA408="","(none found)",Database!BA408)</f>
        <v/>
      </c>
      <c r="M408" s="18">
        <f>IFERROR(BDH(Database!$A408&amp;" HK Equity","CUR_MKT_CAP",Database!$H408,Database!$H408),"")</f>
        <v/>
      </c>
      <c r="N408" s="99">
        <f>Database!Q408</f>
        <v/>
      </c>
      <c r="O408" s="24">
        <f>IFERROR(BDH(Database!$A408&amp;" HK Equity","PE_RATIO",Database!$H408,Database!$H408),"")</f>
        <v/>
      </c>
      <c r="P408" s="101">
        <f>IF(Database!AV408="","(n/m or not derivable)",Database!AV408)</f>
        <v/>
      </c>
      <c r="Q408" s="24">
        <f>IF(Database!BA408="","",IFERROR(BDH(LEFT(Database!BA408,FIND(".",Database!BA408)-1)&amp;" CH Equity","PE_RATIO",Database!$H408,Database!$H408),""))</f>
        <v/>
      </c>
      <c r="R408" s="24">
        <f>IF(Database!BA408="","",IFERROR(BDH("HSAHP Index","PX_LAST",Database!$H408,Database!$H408),""))</f>
        <v/>
      </c>
    </row>
    <row r="409">
      <c r="A409" s="16">
        <f>Database!A409&amp;"  "&amp;Database!B409</f>
        <v/>
      </c>
      <c r="B409" s="10">
        <f>IFERROR(INDEX(BDS(Database!$A409&amp;" HK Equity","EQUITY_OFFERINGS","array=t","endcol=1"),MATCH("IPO",BDS(Database!$A409&amp;" HK Equity","EQUITY_OFFERINGS","array=t","startcol=2","endcol=2"),0)),"")</f>
        <v/>
      </c>
      <c r="C409" s="103">
        <f>IF($B409="","",IFERROR(BDP($B409&amp;" Action","CP036"),""))</f>
        <v/>
      </c>
      <c r="D409" s="104">
        <f>Database!S409</f>
        <v/>
      </c>
      <c r="E409" s="103">
        <f>IF($B409="","",IFERROR(BDP($B409&amp;" Action","CP037"),""))</f>
        <v/>
      </c>
      <c r="F409" s="104">
        <f>Database!T409</f>
        <v/>
      </c>
      <c r="G409" s="103">
        <f>IF($B409="","",IFERROR(BDP($B409&amp;" Action","GREENSHOE_FACILITY"),""))</f>
        <v/>
      </c>
      <c r="H409" s="103">
        <f>IF($B409="","",IFERROR(BDP($B409&amp;" Action","OFFERING_GREENSHOE_SHARES_EX"),""))</f>
        <v/>
      </c>
      <c r="I409" s="16">
        <f>Database!Z409</f>
        <v/>
      </c>
      <c r="J409" s="24">
        <f>IFERROR(BDP(Database!$A409&amp;" HK Equity","PE_RATIO"),"")</f>
        <v/>
      </c>
      <c r="K409" s="10">
        <f>IFERROR(BDP(Database!$A409&amp;" HK Equity","A/H_SHARE_CONVERSION"),"")</f>
        <v/>
      </c>
      <c r="L409" s="16">
        <f>IF(Database!BA409="","(none found)",Database!BA409)</f>
        <v/>
      </c>
      <c r="M409" s="18">
        <f>IFERROR(BDH(Database!$A409&amp;" HK Equity","CUR_MKT_CAP",Database!$H409,Database!$H409),"")</f>
        <v/>
      </c>
      <c r="N409" s="99">
        <f>Database!Q409</f>
        <v/>
      </c>
      <c r="O409" s="24">
        <f>IFERROR(BDH(Database!$A409&amp;" HK Equity","PE_RATIO",Database!$H409,Database!$H409),"")</f>
        <v/>
      </c>
      <c r="P409" s="101">
        <f>IF(Database!AV409="","(n/m or not derivable)",Database!AV409)</f>
        <v/>
      </c>
      <c r="Q409" s="24">
        <f>IF(Database!BA409="","",IFERROR(BDH(LEFT(Database!BA409,FIND(".",Database!BA409)-1)&amp;" CH Equity","PE_RATIO",Database!$H409,Database!$H409),""))</f>
        <v/>
      </c>
      <c r="R409" s="24">
        <f>IF(Database!BA409="","",IFERROR(BDH("HSAHP Index","PX_LAST",Database!$H409,Database!$H409),""))</f>
        <v/>
      </c>
    </row>
    <row r="410">
      <c r="A410" s="16">
        <f>Database!A410&amp;"  "&amp;Database!B410</f>
        <v/>
      </c>
      <c r="B410" s="10">
        <f>IFERROR(INDEX(BDS(Database!$A410&amp;" HK Equity","EQUITY_OFFERINGS","array=t","endcol=1"),MATCH("IPO",BDS(Database!$A410&amp;" HK Equity","EQUITY_OFFERINGS","array=t","startcol=2","endcol=2"),0)),"")</f>
        <v/>
      </c>
      <c r="C410" s="103">
        <f>IF($B410="","",IFERROR(BDP($B410&amp;" Action","CP036"),""))</f>
        <v/>
      </c>
      <c r="D410" s="104">
        <f>Database!S410</f>
        <v/>
      </c>
      <c r="E410" s="103">
        <f>IF($B410="","",IFERROR(BDP($B410&amp;" Action","CP037"),""))</f>
        <v/>
      </c>
      <c r="F410" s="104">
        <f>Database!T410</f>
        <v/>
      </c>
      <c r="G410" s="103">
        <f>IF($B410="","",IFERROR(BDP($B410&amp;" Action","GREENSHOE_FACILITY"),""))</f>
        <v/>
      </c>
      <c r="H410" s="103">
        <f>IF($B410="","",IFERROR(BDP($B410&amp;" Action","OFFERING_GREENSHOE_SHARES_EX"),""))</f>
        <v/>
      </c>
      <c r="I410" s="16">
        <f>Database!Z410</f>
        <v/>
      </c>
      <c r="J410" s="24">
        <f>IFERROR(BDP(Database!$A410&amp;" HK Equity","PE_RATIO"),"")</f>
        <v/>
      </c>
      <c r="K410" s="10">
        <f>IFERROR(BDP(Database!$A410&amp;" HK Equity","A/H_SHARE_CONVERSION"),"")</f>
        <v/>
      </c>
      <c r="L410" s="16">
        <f>IF(Database!BA410="","(none found)",Database!BA410)</f>
        <v/>
      </c>
      <c r="M410" s="18">
        <f>IFERROR(BDH(Database!$A410&amp;" HK Equity","CUR_MKT_CAP",Database!$H410,Database!$H410),"")</f>
        <v/>
      </c>
      <c r="N410" s="99">
        <f>Database!Q410</f>
        <v/>
      </c>
      <c r="O410" s="24">
        <f>IFERROR(BDH(Database!$A410&amp;" HK Equity","PE_RATIO",Database!$H410,Database!$H410),"")</f>
        <v/>
      </c>
      <c r="P410" s="101">
        <f>IF(Database!AV410="","(n/m or not derivable)",Database!AV410)</f>
        <v/>
      </c>
      <c r="Q410" s="24">
        <f>IF(Database!BA410="","",IFERROR(BDH(LEFT(Database!BA410,FIND(".",Database!BA410)-1)&amp;" CH Equity","PE_RATIO",Database!$H410,Database!$H410),""))</f>
        <v/>
      </c>
      <c r="R410" s="24">
        <f>IF(Database!BA410="","",IFERROR(BDH("HSAHP Index","PX_LAST",Database!$H410,Database!$H410),""))</f>
        <v/>
      </c>
    </row>
    <row r="411">
      <c r="A411" s="16">
        <f>Database!A411&amp;"  "&amp;Database!B411</f>
        <v/>
      </c>
      <c r="B411" s="10">
        <f>IFERROR(INDEX(BDS(Database!$A411&amp;" HK Equity","EQUITY_OFFERINGS","array=t","endcol=1"),MATCH("IPO",BDS(Database!$A411&amp;" HK Equity","EQUITY_OFFERINGS","array=t","startcol=2","endcol=2"),0)),"")</f>
        <v/>
      </c>
      <c r="C411" s="103">
        <f>IF($B411="","",IFERROR(BDP($B411&amp;" Action","CP036"),""))</f>
        <v/>
      </c>
      <c r="D411" s="104">
        <f>Database!S411</f>
        <v/>
      </c>
      <c r="E411" s="103">
        <f>IF($B411="","",IFERROR(BDP($B411&amp;" Action","CP037"),""))</f>
        <v/>
      </c>
      <c r="F411" s="104">
        <f>Database!T411</f>
        <v/>
      </c>
      <c r="G411" s="103">
        <f>IF($B411="","",IFERROR(BDP($B411&amp;" Action","GREENSHOE_FACILITY"),""))</f>
        <v/>
      </c>
      <c r="H411" s="103">
        <f>IF($B411="","",IFERROR(BDP($B411&amp;" Action","OFFERING_GREENSHOE_SHARES_EX"),""))</f>
        <v/>
      </c>
      <c r="I411" s="16">
        <f>Database!Z411</f>
        <v/>
      </c>
      <c r="J411" s="24">
        <f>IFERROR(BDP(Database!$A411&amp;" HK Equity","PE_RATIO"),"")</f>
        <v/>
      </c>
      <c r="K411" s="10">
        <f>IFERROR(BDP(Database!$A411&amp;" HK Equity","A/H_SHARE_CONVERSION"),"")</f>
        <v/>
      </c>
      <c r="L411" s="16">
        <f>IF(Database!BA411="","(none found)",Database!BA411)</f>
        <v/>
      </c>
      <c r="M411" s="18">
        <f>IFERROR(BDH(Database!$A411&amp;" HK Equity","CUR_MKT_CAP",Database!$H411,Database!$H411),"")</f>
        <v/>
      </c>
      <c r="N411" s="99">
        <f>Database!Q411</f>
        <v/>
      </c>
      <c r="O411" s="24">
        <f>IFERROR(BDH(Database!$A411&amp;" HK Equity","PE_RATIO",Database!$H411,Database!$H411),"")</f>
        <v/>
      </c>
      <c r="P411" s="101">
        <f>IF(Database!AV411="","(n/m or not derivable)",Database!AV411)</f>
        <v/>
      </c>
      <c r="Q411" s="24">
        <f>IF(Database!BA411="","",IFERROR(BDH(LEFT(Database!BA411,FIND(".",Database!BA411)-1)&amp;" CH Equity","PE_RATIO",Database!$H411,Database!$H411),""))</f>
        <v/>
      </c>
      <c r="R411" s="24">
        <f>IF(Database!BA411="","",IFERROR(BDH("HSAHP Index","PX_LAST",Database!$H411,Database!$H411),""))</f>
        <v/>
      </c>
    </row>
    <row r="412">
      <c r="A412" s="16">
        <f>Database!A412&amp;"  "&amp;Database!B412</f>
        <v/>
      </c>
      <c r="B412" s="10">
        <f>IFERROR(INDEX(BDS(Database!$A412&amp;" HK Equity","EQUITY_OFFERINGS","array=t","endcol=1"),MATCH("IPO",BDS(Database!$A412&amp;" HK Equity","EQUITY_OFFERINGS","array=t","startcol=2","endcol=2"),0)),"")</f>
        <v/>
      </c>
      <c r="C412" s="103">
        <f>IF($B412="","",IFERROR(BDP($B412&amp;" Action","CP036"),""))</f>
        <v/>
      </c>
      <c r="D412" s="104">
        <f>Database!S412</f>
        <v/>
      </c>
      <c r="E412" s="103">
        <f>IF($B412="","",IFERROR(BDP($B412&amp;" Action","CP037"),""))</f>
        <v/>
      </c>
      <c r="F412" s="104">
        <f>Database!T412</f>
        <v/>
      </c>
      <c r="G412" s="103">
        <f>IF($B412="","",IFERROR(BDP($B412&amp;" Action","GREENSHOE_FACILITY"),""))</f>
        <v/>
      </c>
      <c r="H412" s="103">
        <f>IF($B412="","",IFERROR(BDP($B412&amp;" Action","OFFERING_GREENSHOE_SHARES_EX"),""))</f>
        <v/>
      </c>
      <c r="I412" s="16">
        <f>Database!Z412</f>
        <v/>
      </c>
      <c r="J412" s="24">
        <f>IFERROR(BDP(Database!$A412&amp;" HK Equity","PE_RATIO"),"")</f>
        <v/>
      </c>
      <c r="K412" s="10">
        <f>IFERROR(BDP(Database!$A412&amp;" HK Equity","A/H_SHARE_CONVERSION"),"")</f>
        <v/>
      </c>
      <c r="L412" s="16">
        <f>IF(Database!BA412="","(none found)",Database!BA412)</f>
        <v/>
      </c>
      <c r="M412" s="18">
        <f>IFERROR(BDH(Database!$A412&amp;" HK Equity","CUR_MKT_CAP",Database!$H412,Database!$H412),"")</f>
        <v/>
      </c>
      <c r="N412" s="99">
        <f>Database!Q412</f>
        <v/>
      </c>
      <c r="O412" s="24">
        <f>IFERROR(BDH(Database!$A412&amp;" HK Equity","PE_RATIO",Database!$H412,Database!$H412),"")</f>
        <v/>
      </c>
      <c r="P412" s="101">
        <f>IF(Database!AV412="","(n/m or not derivable)",Database!AV412)</f>
        <v/>
      </c>
      <c r="Q412" s="24">
        <f>IF(Database!BA412="","",IFERROR(BDH(LEFT(Database!BA412,FIND(".",Database!BA412)-1)&amp;" CH Equity","PE_RATIO",Database!$H412,Database!$H412),""))</f>
        <v/>
      </c>
      <c r="R412" s="24">
        <f>IF(Database!BA412="","",IFERROR(BDH("HSAHP Index","PX_LAST",Database!$H412,Database!$H412),""))</f>
        <v/>
      </c>
    </row>
    <row r="413">
      <c r="A413" s="16">
        <f>Database!A413&amp;"  "&amp;Database!B413</f>
        <v/>
      </c>
      <c r="B413" s="10">
        <f>IFERROR(INDEX(BDS(Database!$A413&amp;" HK Equity","EQUITY_OFFERINGS","array=t","endcol=1"),MATCH("IPO",BDS(Database!$A413&amp;" HK Equity","EQUITY_OFFERINGS","array=t","startcol=2","endcol=2"),0)),"")</f>
        <v/>
      </c>
      <c r="C413" s="103">
        <f>IF($B413="","",IFERROR(BDP($B413&amp;" Action","CP036"),""))</f>
        <v/>
      </c>
      <c r="D413" s="104">
        <f>Database!S413</f>
        <v/>
      </c>
      <c r="E413" s="103">
        <f>IF($B413="","",IFERROR(BDP($B413&amp;" Action","CP037"),""))</f>
        <v/>
      </c>
      <c r="F413" s="104">
        <f>Database!T413</f>
        <v/>
      </c>
      <c r="G413" s="103">
        <f>IF($B413="","",IFERROR(BDP($B413&amp;" Action","GREENSHOE_FACILITY"),""))</f>
        <v/>
      </c>
      <c r="H413" s="103">
        <f>IF($B413="","",IFERROR(BDP($B413&amp;" Action","OFFERING_GREENSHOE_SHARES_EX"),""))</f>
        <v/>
      </c>
      <c r="I413" s="16">
        <f>Database!Z413</f>
        <v/>
      </c>
      <c r="J413" s="24">
        <f>IFERROR(BDP(Database!$A413&amp;" HK Equity","PE_RATIO"),"")</f>
        <v/>
      </c>
      <c r="K413" s="10">
        <f>IFERROR(BDP(Database!$A413&amp;" HK Equity","A/H_SHARE_CONVERSION"),"")</f>
        <v/>
      </c>
      <c r="L413" s="16">
        <f>IF(Database!BA413="","(none found)",Database!BA413)</f>
        <v/>
      </c>
      <c r="M413" s="18">
        <f>IFERROR(BDH(Database!$A413&amp;" HK Equity","CUR_MKT_CAP",Database!$H413,Database!$H413),"")</f>
        <v/>
      </c>
      <c r="N413" s="99">
        <f>Database!Q413</f>
        <v/>
      </c>
      <c r="O413" s="24">
        <f>IFERROR(BDH(Database!$A413&amp;" HK Equity","PE_RATIO",Database!$H413,Database!$H413),"")</f>
        <v/>
      </c>
      <c r="P413" s="101">
        <f>IF(Database!AV413="","(n/m or not derivable)",Database!AV413)</f>
        <v/>
      </c>
      <c r="Q413" s="24">
        <f>IF(Database!BA413="","",IFERROR(BDH(LEFT(Database!BA413,FIND(".",Database!BA413)-1)&amp;" CH Equity","PE_RATIO",Database!$H413,Database!$H413),""))</f>
        <v/>
      </c>
      <c r="R413" s="24">
        <f>IF(Database!BA413="","",IFERROR(BDH("HSAHP Index","PX_LAST",Database!$H413,Database!$H413),""))</f>
        <v/>
      </c>
    </row>
    <row r="414">
      <c r="A414" s="16">
        <f>Database!A414&amp;"  "&amp;Database!B414</f>
        <v/>
      </c>
      <c r="B414" s="10">
        <f>IFERROR(INDEX(BDS(Database!$A414&amp;" HK Equity","EQUITY_OFFERINGS","array=t","endcol=1"),MATCH("IPO",BDS(Database!$A414&amp;" HK Equity","EQUITY_OFFERINGS","array=t","startcol=2","endcol=2"),0)),"")</f>
        <v/>
      </c>
      <c r="C414" s="103">
        <f>IF($B414="","",IFERROR(BDP($B414&amp;" Action","CP036"),""))</f>
        <v/>
      </c>
      <c r="D414" s="104">
        <f>Database!S414</f>
        <v/>
      </c>
      <c r="E414" s="103">
        <f>IF($B414="","",IFERROR(BDP($B414&amp;" Action","CP037"),""))</f>
        <v/>
      </c>
      <c r="F414" s="104">
        <f>Database!T414</f>
        <v/>
      </c>
      <c r="G414" s="103">
        <f>IF($B414="","",IFERROR(BDP($B414&amp;" Action","GREENSHOE_FACILITY"),""))</f>
        <v/>
      </c>
      <c r="H414" s="103">
        <f>IF($B414="","",IFERROR(BDP($B414&amp;" Action","OFFERING_GREENSHOE_SHARES_EX"),""))</f>
        <v/>
      </c>
      <c r="I414" s="16">
        <f>Database!Z414</f>
        <v/>
      </c>
      <c r="J414" s="24">
        <f>IFERROR(BDP(Database!$A414&amp;" HK Equity","PE_RATIO"),"")</f>
        <v/>
      </c>
      <c r="K414" s="10">
        <f>IFERROR(BDP(Database!$A414&amp;" HK Equity","A/H_SHARE_CONVERSION"),"")</f>
        <v/>
      </c>
      <c r="L414" s="16">
        <f>IF(Database!BA414="","(none found)",Database!BA414)</f>
        <v/>
      </c>
      <c r="M414" s="18">
        <f>IFERROR(BDH(Database!$A414&amp;" HK Equity","CUR_MKT_CAP",Database!$H414,Database!$H414),"")</f>
        <v/>
      </c>
      <c r="N414" s="99">
        <f>Database!Q414</f>
        <v/>
      </c>
      <c r="O414" s="24">
        <f>IFERROR(BDH(Database!$A414&amp;" HK Equity","PE_RATIO",Database!$H414,Database!$H414),"")</f>
        <v/>
      </c>
      <c r="P414" s="101">
        <f>IF(Database!AV414="","(n/m or not derivable)",Database!AV414)</f>
        <v/>
      </c>
      <c r="Q414" s="24">
        <f>IF(Database!BA414="","",IFERROR(BDH(LEFT(Database!BA414,FIND(".",Database!BA414)-1)&amp;" CH Equity","PE_RATIO",Database!$H414,Database!$H414),""))</f>
        <v/>
      </c>
      <c r="R414" s="24">
        <f>IF(Database!BA414="","",IFERROR(BDH("HSAHP Index","PX_LAST",Database!$H414,Database!$H414),""))</f>
        <v/>
      </c>
    </row>
    <row r="415">
      <c r="A415" s="16">
        <f>Database!A415&amp;"  "&amp;Database!B415</f>
        <v/>
      </c>
      <c r="B415" s="10">
        <f>IFERROR(INDEX(BDS(Database!$A415&amp;" HK Equity","EQUITY_OFFERINGS","array=t","endcol=1"),MATCH("IPO",BDS(Database!$A415&amp;" HK Equity","EQUITY_OFFERINGS","array=t","startcol=2","endcol=2"),0)),"")</f>
        <v/>
      </c>
      <c r="C415" s="103">
        <f>IF($B415="","",IFERROR(BDP($B415&amp;" Action","CP036"),""))</f>
        <v/>
      </c>
      <c r="D415" s="104">
        <f>Database!S415</f>
        <v/>
      </c>
      <c r="E415" s="103">
        <f>IF($B415="","",IFERROR(BDP($B415&amp;" Action","CP037"),""))</f>
        <v/>
      </c>
      <c r="F415" s="104">
        <f>Database!T415</f>
        <v/>
      </c>
      <c r="G415" s="103">
        <f>IF($B415="","",IFERROR(BDP($B415&amp;" Action","GREENSHOE_FACILITY"),""))</f>
        <v/>
      </c>
      <c r="H415" s="103">
        <f>IF($B415="","",IFERROR(BDP($B415&amp;" Action","OFFERING_GREENSHOE_SHARES_EX"),""))</f>
        <v/>
      </c>
      <c r="I415" s="16">
        <f>Database!Z415</f>
        <v/>
      </c>
      <c r="J415" s="24">
        <f>IFERROR(BDP(Database!$A415&amp;" HK Equity","PE_RATIO"),"")</f>
        <v/>
      </c>
      <c r="K415" s="10">
        <f>IFERROR(BDP(Database!$A415&amp;" HK Equity","A/H_SHARE_CONVERSION"),"")</f>
        <v/>
      </c>
      <c r="L415" s="16">
        <f>IF(Database!BA415="","(none found)",Database!BA415)</f>
        <v/>
      </c>
      <c r="M415" s="18">
        <f>IFERROR(BDH(Database!$A415&amp;" HK Equity","CUR_MKT_CAP",Database!$H415,Database!$H415),"")</f>
        <v/>
      </c>
      <c r="N415" s="99">
        <f>Database!Q415</f>
        <v/>
      </c>
      <c r="O415" s="24">
        <f>IFERROR(BDH(Database!$A415&amp;" HK Equity","PE_RATIO",Database!$H415,Database!$H415),"")</f>
        <v/>
      </c>
      <c r="P415" s="101">
        <f>IF(Database!AV415="","(n/m or not derivable)",Database!AV415)</f>
        <v/>
      </c>
      <c r="Q415" s="24">
        <f>IF(Database!BA415="","",IFERROR(BDH(LEFT(Database!BA415,FIND(".",Database!BA415)-1)&amp;" CH Equity","PE_RATIO",Database!$H415,Database!$H415),""))</f>
        <v/>
      </c>
      <c r="R415" s="24">
        <f>IF(Database!BA415="","",IFERROR(BDH("HSAHP Index","PX_LAST",Database!$H415,Database!$H415),""))</f>
        <v/>
      </c>
    </row>
    <row r="416">
      <c r="A416" s="16">
        <f>Database!A416&amp;"  "&amp;Database!B416</f>
        <v/>
      </c>
      <c r="B416" s="10">
        <f>IFERROR(INDEX(BDS(Database!$A416&amp;" HK Equity","EQUITY_OFFERINGS","array=t","endcol=1"),MATCH("IPO",BDS(Database!$A416&amp;" HK Equity","EQUITY_OFFERINGS","array=t","startcol=2","endcol=2"),0)),"")</f>
        <v/>
      </c>
      <c r="C416" s="103">
        <f>IF($B416="","",IFERROR(BDP($B416&amp;" Action","CP036"),""))</f>
        <v/>
      </c>
      <c r="D416" s="104">
        <f>Database!S416</f>
        <v/>
      </c>
      <c r="E416" s="103">
        <f>IF($B416="","",IFERROR(BDP($B416&amp;" Action","CP037"),""))</f>
        <v/>
      </c>
      <c r="F416" s="104">
        <f>Database!T416</f>
        <v/>
      </c>
      <c r="G416" s="103">
        <f>IF($B416="","",IFERROR(BDP($B416&amp;" Action","GREENSHOE_FACILITY"),""))</f>
        <v/>
      </c>
      <c r="H416" s="103">
        <f>IF($B416="","",IFERROR(BDP($B416&amp;" Action","OFFERING_GREENSHOE_SHARES_EX"),""))</f>
        <v/>
      </c>
      <c r="I416" s="16">
        <f>Database!Z416</f>
        <v/>
      </c>
      <c r="J416" s="24">
        <f>IFERROR(BDP(Database!$A416&amp;" HK Equity","PE_RATIO"),"")</f>
        <v/>
      </c>
      <c r="K416" s="10">
        <f>IFERROR(BDP(Database!$A416&amp;" HK Equity","A/H_SHARE_CONVERSION"),"")</f>
        <v/>
      </c>
      <c r="L416" s="16">
        <f>IF(Database!BA416="","(none found)",Database!BA416)</f>
        <v/>
      </c>
      <c r="M416" s="18">
        <f>IFERROR(BDH(Database!$A416&amp;" HK Equity","CUR_MKT_CAP",Database!$H416,Database!$H416),"")</f>
        <v/>
      </c>
      <c r="N416" s="99">
        <f>Database!Q416</f>
        <v/>
      </c>
      <c r="O416" s="24">
        <f>IFERROR(BDH(Database!$A416&amp;" HK Equity","PE_RATIO",Database!$H416,Database!$H416),"")</f>
        <v/>
      </c>
      <c r="P416" s="101">
        <f>IF(Database!AV416="","(n/m or not derivable)",Database!AV416)</f>
        <v/>
      </c>
      <c r="Q416" s="24">
        <f>IF(Database!BA416="","",IFERROR(BDH(LEFT(Database!BA416,FIND(".",Database!BA416)-1)&amp;" CH Equity","PE_RATIO",Database!$H416,Database!$H416),""))</f>
        <v/>
      </c>
      <c r="R416" s="24">
        <f>IF(Database!BA416="","",IFERROR(BDH("HSAHP Index","PX_LAST",Database!$H416,Database!$H416),""))</f>
        <v/>
      </c>
    </row>
    <row r="417">
      <c r="A417" s="16">
        <f>Database!A417&amp;"  "&amp;Database!B417</f>
        <v/>
      </c>
      <c r="B417" s="10">
        <f>IFERROR(INDEX(BDS(Database!$A417&amp;" HK Equity","EQUITY_OFFERINGS","array=t","endcol=1"),MATCH("IPO",BDS(Database!$A417&amp;" HK Equity","EQUITY_OFFERINGS","array=t","startcol=2","endcol=2"),0)),"")</f>
        <v/>
      </c>
      <c r="C417" s="103">
        <f>IF($B417="","",IFERROR(BDP($B417&amp;" Action","CP036"),""))</f>
        <v/>
      </c>
      <c r="D417" s="104">
        <f>Database!S417</f>
        <v/>
      </c>
      <c r="E417" s="103">
        <f>IF($B417="","",IFERROR(BDP($B417&amp;" Action","CP037"),""))</f>
        <v/>
      </c>
      <c r="F417" s="104">
        <f>Database!T417</f>
        <v/>
      </c>
      <c r="G417" s="103">
        <f>IF($B417="","",IFERROR(BDP($B417&amp;" Action","GREENSHOE_FACILITY"),""))</f>
        <v/>
      </c>
      <c r="H417" s="103">
        <f>IF($B417="","",IFERROR(BDP($B417&amp;" Action","OFFERING_GREENSHOE_SHARES_EX"),""))</f>
        <v/>
      </c>
      <c r="I417" s="16">
        <f>Database!Z417</f>
        <v/>
      </c>
      <c r="J417" s="24">
        <f>IFERROR(BDP(Database!$A417&amp;" HK Equity","PE_RATIO"),"")</f>
        <v/>
      </c>
      <c r="K417" s="10">
        <f>IFERROR(BDP(Database!$A417&amp;" HK Equity","A/H_SHARE_CONVERSION"),"")</f>
        <v/>
      </c>
      <c r="L417" s="16">
        <f>IF(Database!BA417="","(none found)",Database!BA417)</f>
        <v/>
      </c>
      <c r="M417" s="18">
        <f>IFERROR(BDH(Database!$A417&amp;" HK Equity","CUR_MKT_CAP",Database!$H417,Database!$H417),"")</f>
        <v/>
      </c>
      <c r="N417" s="99">
        <f>Database!Q417</f>
        <v/>
      </c>
      <c r="O417" s="24">
        <f>IFERROR(BDH(Database!$A417&amp;" HK Equity","PE_RATIO",Database!$H417,Database!$H417),"")</f>
        <v/>
      </c>
      <c r="P417" s="101">
        <f>IF(Database!AV417="","(n/m or not derivable)",Database!AV417)</f>
        <v/>
      </c>
      <c r="Q417" s="24">
        <f>IF(Database!BA417="","",IFERROR(BDH(LEFT(Database!BA417,FIND(".",Database!BA417)-1)&amp;" CH Equity","PE_RATIO",Database!$H417,Database!$H417),""))</f>
        <v/>
      </c>
      <c r="R417" s="24">
        <f>IF(Database!BA417="","",IFERROR(BDH("HSAHP Index","PX_LAST",Database!$H417,Database!$H417),""))</f>
        <v/>
      </c>
    </row>
    <row r="418">
      <c r="A418" s="16">
        <f>Database!A418&amp;"  "&amp;Database!B418</f>
        <v/>
      </c>
      <c r="B418" s="10">
        <f>IFERROR(INDEX(BDS(Database!$A418&amp;" HK Equity","EQUITY_OFFERINGS","array=t","endcol=1"),MATCH("IPO",BDS(Database!$A418&amp;" HK Equity","EQUITY_OFFERINGS","array=t","startcol=2","endcol=2"),0)),"")</f>
        <v/>
      </c>
      <c r="C418" s="103">
        <f>IF($B418="","",IFERROR(BDP($B418&amp;" Action","CP036"),""))</f>
        <v/>
      </c>
      <c r="D418" s="104">
        <f>Database!S418</f>
        <v/>
      </c>
      <c r="E418" s="103">
        <f>IF($B418="","",IFERROR(BDP($B418&amp;" Action","CP037"),""))</f>
        <v/>
      </c>
      <c r="F418" s="104">
        <f>Database!T418</f>
        <v/>
      </c>
      <c r="G418" s="103">
        <f>IF($B418="","",IFERROR(BDP($B418&amp;" Action","GREENSHOE_FACILITY"),""))</f>
        <v/>
      </c>
      <c r="H418" s="103">
        <f>IF($B418="","",IFERROR(BDP($B418&amp;" Action","OFFERING_GREENSHOE_SHARES_EX"),""))</f>
        <v/>
      </c>
      <c r="I418" s="16">
        <f>Database!Z418</f>
        <v/>
      </c>
      <c r="J418" s="24">
        <f>IFERROR(BDP(Database!$A418&amp;" HK Equity","PE_RATIO"),"")</f>
        <v/>
      </c>
      <c r="K418" s="10">
        <f>IFERROR(BDP(Database!$A418&amp;" HK Equity","A/H_SHARE_CONVERSION"),"")</f>
        <v/>
      </c>
      <c r="L418" s="16">
        <f>IF(Database!BA418="","(none found)",Database!BA418)</f>
        <v/>
      </c>
      <c r="M418" s="18">
        <f>IFERROR(BDH(Database!$A418&amp;" HK Equity","CUR_MKT_CAP",Database!$H418,Database!$H418),"")</f>
        <v/>
      </c>
      <c r="N418" s="99">
        <f>Database!Q418</f>
        <v/>
      </c>
      <c r="O418" s="24">
        <f>IFERROR(BDH(Database!$A418&amp;" HK Equity","PE_RATIO",Database!$H418,Database!$H418),"")</f>
        <v/>
      </c>
      <c r="P418" s="101">
        <f>IF(Database!AV418="","(n/m or not derivable)",Database!AV418)</f>
        <v/>
      </c>
      <c r="Q418" s="24">
        <f>IF(Database!BA418="","",IFERROR(BDH(LEFT(Database!BA418,FIND(".",Database!BA418)-1)&amp;" CH Equity","PE_RATIO",Database!$H418,Database!$H418),""))</f>
        <v/>
      </c>
      <c r="R418" s="24">
        <f>IF(Database!BA418="","",IFERROR(BDH("HSAHP Index","PX_LAST",Database!$H418,Database!$H418),""))</f>
        <v/>
      </c>
    </row>
    <row r="419">
      <c r="A419" s="16">
        <f>Database!A419&amp;"  "&amp;Database!B419</f>
        <v/>
      </c>
      <c r="B419" s="10">
        <f>IFERROR(INDEX(BDS(Database!$A419&amp;" HK Equity","EQUITY_OFFERINGS","array=t","endcol=1"),MATCH("IPO",BDS(Database!$A419&amp;" HK Equity","EQUITY_OFFERINGS","array=t","startcol=2","endcol=2"),0)),"")</f>
        <v/>
      </c>
      <c r="C419" s="103">
        <f>IF($B419="","",IFERROR(BDP($B419&amp;" Action","CP036"),""))</f>
        <v/>
      </c>
      <c r="D419" s="104">
        <f>Database!S419</f>
        <v/>
      </c>
      <c r="E419" s="103">
        <f>IF($B419="","",IFERROR(BDP($B419&amp;" Action","CP037"),""))</f>
        <v/>
      </c>
      <c r="F419" s="104">
        <f>Database!T419</f>
        <v/>
      </c>
      <c r="G419" s="103">
        <f>IF($B419="","",IFERROR(BDP($B419&amp;" Action","GREENSHOE_FACILITY"),""))</f>
        <v/>
      </c>
      <c r="H419" s="103">
        <f>IF($B419="","",IFERROR(BDP($B419&amp;" Action","OFFERING_GREENSHOE_SHARES_EX"),""))</f>
        <v/>
      </c>
      <c r="I419" s="16">
        <f>Database!Z419</f>
        <v/>
      </c>
      <c r="J419" s="24">
        <f>IFERROR(BDP(Database!$A419&amp;" HK Equity","PE_RATIO"),"")</f>
        <v/>
      </c>
      <c r="K419" s="10">
        <f>IFERROR(BDP(Database!$A419&amp;" HK Equity","A/H_SHARE_CONVERSION"),"")</f>
        <v/>
      </c>
      <c r="L419" s="16">
        <f>IF(Database!BA419="","(none found)",Database!BA419)</f>
        <v/>
      </c>
      <c r="M419" s="18">
        <f>IFERROR(BDH(Database!$A419&amp;" HK Equity","CUR_MKT_CAP",Database!$H419,Database!$H419),"")</f>
        <v/>
      </c>
      <c r="N419" s="99">
        <f>Database!Q419</f>
        <v/>
      </c>
      <c r="O419" s="24">
        <f>IFERROR(BDH(Database!$A419&amp;" HK Equity","PE_RATIO",Database!$H419,Database!$H419),"")</f>
        <v/>
      </c>
      <c r="P419" s="101">
        <f>IF(Database!AV419="","(n/m or not derivable)",Database!AV419)</f>
        <v/>
      </c>
      <c r="Q419" s="24">
        <f>IF(Database!BA419="","",IFERROR(BDH(LEFT(Database!BA419,FIND(".",Database!BA419)-1)&amp;" CH Equity","PE_RATIO",Database!$H419,Database!$H419),""))</f>
        <v/>
      </c>
      <c r="R419" s="24">
        <f>IF(Database!BA419="","",IFERROR(BDH("HSAHP Index","PX_LAST",Database!$H419,Database!$H419),""))</f>
        <v/>
      </c>
    </row>
    <row r="420">
      <c r="A420" s="16">
        <f>Database!A420&amp;"  "&amp;Database!B420</f>
        <v/>
      </c>
      <c r="B420" s="10">
        <f>IFERROR(INDEX(BDS(Database!$A420&amp;" HK Equity","EQUITY_OFFERINGS","array=t","endcol=1"),MATCH("IPO",BDS(Database!$A420&amp;" HK Equity","EQUITY_OFFERINGS","array=t","startcol=2","endcol=2"),0)),"")</f>
        <v/>
      </c>
      <c r="C420" s="103">
        <f>IF($B420="","",IFERROR(BDP($B420&amp;" Action","CP036"),""))</f>
        <v/>
      </c>
      <c r="D420" s="104">
        <f>Database!S420</f>
        <v/>
      </c>
      <c r="E420" s="103">
        <f>IF($B420="","",IFERROR(BDP($B420&amp;" Action","CP037"),""))</f>
        <v/>
      </c>
      <c r="F420" s="104">
        <f>Database!T420</f>
        <v/>
      </c>
      <c r="G420" s="103">
        <f>IF($B420="","",IFERROR(BDP($B420&amp;" Action","GREENSHOE_FACILITY"),""))</f>
        <v/>
      </c>
      <c r="H420" s="103">
        <f>IF($B420="","",IFERROR(BDP($B420&amp;" Action","OFFERING_GREENSHOE_SHARES_EX"),""))</f>
        <v/>
      </c>
      <c r="I420" s="16">
        <f>Database!Z420</f>
        <v/>
      </c>
      <c r="J420" s="24">
        <f>IFERROR(BDP(Database!$A420&amp;" HK Equity","PE_RATIO"),"")</f>
        <v/>
      </c>
      <c r="K420" s="10">
        <f>IFERROR(BDP(Database!$A420&amp;" HK Equity","A/H_SHARE_CONVERSION"),"")</f>
        <v/>
      </c>
      <c r="L420" s="16">
        <f>IF(Database!BA420="","(none found)",Database!BA420)</f>
        <v/>
      </c>
      <c r="M420" s="18">
        <f>IFERROR(BDH(Database!$A420&amp;" HK Equity","CUR_MKT_CAP",Database!$H420,Database!$H420),"")</f>
        <v/>
      </c>
      <c r="N420" s="99">
        <f>Database!Q420</f>
        <v/>
      </c>
      <c r="O420" s="24">
        <f>IFERROR(BDH(Database!$A420&amp;" HK Equity","PE_RATIO",Database!$H420,Database!$H420),"")</f>
        <v/>
      </c>
      <c r="P420" s="101">
        <f>IF(Database!AV420="","(n/m or not derivable)",Database!AV420)</f>
        <v/>
      </c>
      <c r="Q420" s="24">
        <f>IF(Database!BA420="","",IFERROR(BDH(LEFT(Database!BA420,FIND(".",Database!BA420)-1)&amp;" CH Equity","PE_RATIO",Database!$H420,Database!$H420),""))</f>
        <v/>
      </c>
      <c r="R420" s="24">
        <f>IF(Database!BA420="","",IFERROR(BDH("HSAHP Index","PX_LAST",Database!$H420,Database!$H420),""))</f>
        <v/>
      </c>
    </row>
    <row r="421">
      <c r="A421" s="16">
        <f>Database!A421&amp;"  "&amp;Database!B421</f>
        <v/>
      </c>
      <c r="B421" s="10">
        <f>IFERROR(INDEX(BDS(Database!$A421&amp;" HK Equity","EQUITY_OFFERINGS","array=t","endcol=1"),MATCH("IPO",BDS(Database!$A421&amp;" HK Equity","EQUITY_OFFERINGS","array=t","startcol=2","endcol=2"),0)),"")</f>
        <v/>
      </c>
      <c r="C421" s="103">
        <f>IF($B421="","",IFERROR(BDP($B421&amp;" Action","CP036"),""))</f>
        <v/>
      </c>
      <c r="D421" s="104">
        <f>Database!S421</f>
        <v/>
      </c>
      <c r="E421" s="103">
        <f>IF($B421="","",IFERROR(BDP($B421&amp;" Action","CP037"),""))</f>
        <v/>
      </c>
      <c r="F421" s="104">
        <f>Database!T421</f>
        <v/>
      </c>
      <c r="G421" s="103">
        <f>IF($B421="","",IFERROR(BDP($B421&amp;" Action","GREENSHOE_FACILITY"),""))</f>
        <v/>
      </c>
      <c r="H421" s="103">
        <f>IF($B421="","",IFERROR(BDP($B421&amp;" Action","OFFERING_GREENSHOE_SHARES_EX"),""))</f>
        <v/>
      </c>
      <c r="I421" s="16">
        <f>Database!Z421</f>
        <v/>
      </c>
      <c r="J421" s="24">
        <f>IFERROR(BDP(Database!$A421&amp;" HK Equity","PE_RATIO"),"")</f>
        <v/>
      </c>
      <c r="K421" s="10">
        <f>IFERROR(BDP(Database!$A421&amp;" HK Equity","A/H_SHARE_CONVERSION"),"")</f>
        <v/>
      </c>
      <c r="L421" s="16">
        <f>IF(Database!BA421="","(none found)",Database!BA421)</f>
        <v/>
      </c>
      <c r="M421" s="18">
        <f>IFERROR(BDH(Database!$A421&amp;" HK Equity","CUR_MKT_CAP",Database!$H421,Database!$H421),"")</f>
        <v/>
      </c>
      <c r="N421" s="99">
        <f>Database!Q421</f>
        <v/>
      </c>
      <c r="O421" s="24">
        <f>IFERROR(BDH(Database!$A421&amp;" HK Equity","PE_RATIO",Database!$H421,Database!$H421),"")</f>
        <v/>
      </c>
      <c r="P421" s="101">
        <f>IF(Database!AV421="","(n/m or not derivable)",Database!AV421)</f>
        <v/>
      </c>
      <c r="Q421" s="24">
        <f>IF(Database!BA421="","",IFERROR(BDH(LEFT(Database!BA421,FIND(".",Database!BA421)-1)&amp;" CH Equity","PE_RATIO",Database!$H421,Database!$H421),""))</f>
        <v/>
      </c>
      <c r="R421" s="24">
        <f>IF(Database!BA421="","",IFERROR(BDH("HSAHP Index","PX_LAST",Database!$H421,Database!$H421),""))</f>
        <v/>
      </c>
    </row>
    <row r="422">
      <c r="A422" s="16">
        <f>Database!A422&amp;"  "&amp;Database!B422</f>
        <v/>
      </c>
      <c r="B422" s="10">
        <f>IFERROR(INDEX(BDS(Database!$A422&amp;" HK Equity","EQUITY_OFFERINGS","array=t","endcol=1"),MATCH("IPO",BDS(Database!$A422&amp;" HK Equity","EQUITY_OFFERINGS","array=t","startcol=2","endcol=2"),0)),"")</f>
        <v/>
      </c>
      <c r="C422" s="103">
        <f>IF($B422="","",IFERROR(BDP($B422&amp;" Action","CP036"),""))</f>
        <v/>
      </c>
      <c r="D422" s="104">
        <f>Database!S422</f>
        <v/>
      </c>
      <c r="E422" s="103">
        <f>IF($B422="","",IFERROR(BDP($B422&amp;" Action","CP037"),""))</f>
        <v/>
      </c>
      <c r="F422" s="104">
        <f>Database!T422</f>
        <v/>
      </c>
      <c r="G422" s="103">
        <f>IF($B422="","",IFERROR(BDP($B422&amp;" Action","GREENSHOE_FACILITY"),""))</f>
        <v/>
      </c>
      <c r="H422" s="103">
        <f>IF($B422="","",IFERROR(BDP($B422&amp;" Action","OFFERING_GREENSHOE_SHARES_EX"),""))</f>
        <v/>
      </c>
      <c r="I422" s="16">
        <f>Database!Z422</f>
        <v/>
      </c>
      <c r="J422" s="24">
        <f>IFERROR(BDP(Database!$A422&amp;" HK Equity","PE_RATIO"),"")</f>
        <v/>
      </c>
      <c r="K422" s="10">
        <f>IFERROR(BDP(Database!$A422&amp;" HK Equity","A/H_SHARE_CONVERSION"),"")</f>
        <v/>
      </c>
      <c r="L422" s="16">
        <f>IF(Database!BA422="","(none found)",Database!BA422)</f>
        <v/>
      </c>
      <c r="M422" s="18">
        <f>IFERROR(BDH(Database!$A422&amp;" HK Equity","CUR_MKT_CAP",Database!$H422,Database!$H422),"")</f>
        <v/>
      </c>
      <c r="N422" s="99">
        <f>Database!Q422</f>
        <v/>
      </c>
      <c r="O422" s="24">
        <f>IFERROR(BDH(Database!$A422&amp;" HK Equity","PE_RATIO",Database!$H422,Database!$H422),"")</f>
        <v/>
      </c>
      <c r="P422" s="101">
        <f>IF(Database!AV422="","(n/m or not derivable)",Database!AV422)</f>
        <v/>
      </c>
      <c r="Q422" s="24">
        <f>IF(Database!BA422="","",IFERROR(BDH(LEFT(Database!BA422,FIND(".",Database!BA422)-1)&amp;" CH Equity","PE_RATIO",Database!$H422,Database!$H422),""))</f>
        <v/>
      </c>
      <c r="R422" s="24">
        <f>IF(Database!BA422="","",IFERROR(BDH("HSAHP Index","PX_LAST",Database!$H422,Database!$H422),""))</f>
        <v/>
      </c>
    </row>
    <row r="423">
      <c r="A423" s="16">
        <f>Database!A423&amp;"  "&amp;Database!B423</f>
        <v/>
      </c>
      <c r="B423" s="10">
        <f>IFERROR(INDEX(BDS(Database!$A423&amp;" HK Equity","EQUITY_OFFERINGS","array=t","endcol=1"),MATCH("IPO",BDS(Database!$A423&amp;" HK Equity","EQUITY_OFFERINGS","array=t","startcol=2","endcol=2"),0)),"")</f>
        <v/>
      </c>
      <c r="C423" s="103">
        <f>IF($B423="","",IFERROR(BDP($B423&amp;" Action","CP036"),""))</f>
        <v/>
      </c>
      <c r="D423" s="104">
        <f>Database!S423</f>
        <v/>
      </c>
      <c r="E423" s="103">
        <f>IF($B423="","",IFERROR(BDP($B423&amp;" Action","CP037"),""))</f>
        <v/>
      </c>
      <c r="F423" s="104">
        <f>Database!T423</f>
        <v/>
      </c>
      <c r="G423" s="103">
        <f>IF($B423="","",IFERROR(BDP($B423&amp;" Action","GREENSHOE_FACILITY"),""))</f>
        <v/>
      </c>
      <c r="H423" s="103">
        <f>IF($B423="","",IFERROR(BDP($B423&amp;" Action","OFFERING_GREENSHOE_SHARES_EX"),""))</f>
        <v/>
      </c>
      <c r="I423" s="16">
        <f>Database!Z423</f>
        <v/>
      </c>
      <c r="J423" s="24">
        <f>IFERROR(BDP(Database!$A423&amp;" HK Equity","PE_RATIO"),"")</f>
        <v/>
      </c>
      <c r="K423" s="10">
        <f>IFERROR(BDP(Database!$A423&amp;" HK Equity","A/H_SHARE_CONVERSION"),"")</f>
        <v/>
      </c>
      <c r="L423" s="16">
        <f>IF(Database!BA423="","(none found)",Database!BA423)</f>
        <v/>
      </c>
      <c r="M423" s="18">
        <f>IFERROR(BDH(Database!$A423&amp;" HK Equity","CUR_MKT_CAP",Database!$H423,Database!$H423),"")</f>
        <v/>
      </c>
      <c r="N423" s="99">
        <f>Database!Q423</f>
        <v/>
      </c>
      <c r="O423" s="24">
        <f>IFERROR(BDH(Database!$A423&amp;" HK Equity","PE_RATIO",Database!$H423,Database!$H423),"")</f>
        <v/>
      </c>
      <c r="P423" s="101">
        <f>IF(Database!AV423="","(n/m or not derivable)",Database!AV423)</f>
        <v/>
      </c>
      <c r="Q423" s="24">
        <f>IF(Database!BA423="","",IFERROR(BDH(LEFT(Database!BA423,FIND(".",Database!BA423)-1)&amp;" CH Equity","PE_RATIO",Database!$H423,Database!$H423),""))</f>
        <v/>
      </c>
      <c r="R423" s="24">
        <f>IF(Database!BA423="","",IFERROR(BDH("HSAHP Index","PX_LAST",Database!$H423,Database!$H423),""))</f>
        <v/>
      </c>
    </row>
    <row r="424">
      <c r="A424" s="16">
        <f>Database!A424&amp;"  "&amp;Database!B424</f>
        <v/>
      </c>
      <c r="B424" s="10">
        <f>IFERROR(INDEX(BDS(Database!$A424&amp;" HK Equity","EQUITY_OFFERINGS","array=t","endcol=1"),MATCH("IPO",BDS(Database!$A424&amp;" HK Equity","EQUITY_OFFERINGS","array=t","startcol=2","endcol=2"),0)),"")</f>
        <v/>
      </c>
      <c r="C424" s="103">
        <f>IF($B424="","",IFERROR(BDP($B424&amp;" Action","CP036"),""))</f>
        <v/>
      </c>
      <c r="D424" s="104">
        <f>Database!S424</f>
        <v/>
      </c>
      <c r="E424" s="103">
        <f>IF($B424="","",IFERROR(BDP($B424&amp;" Action","CP037"),""))</f>
        <v/>
      </c>
      <c r="F424" s="104">
        <f>Database!T424</f>
        <v/>
      </c>
      <c r="G424" s="103">
        <f>IF($B424="","",IFERROR(BDP($B424&amp;" Action","GREENSHOE_FACILITY"),""))</f>
        <v/>
      </c>
      <c r="H424" s="103">
        <f>IF($B424="","",IFERROR(BDP($B424&amp;" Action","OFFERING_GREENSHOE_SHARES_EX"),""))</f>
        <v/>
      </c>
      <c r="I424" s="16">
        <f>Database!Z424</f>
        <v/>
      </c>
      <c r="J424" s="24">
        <f>IFERROR(BDP(Database!$A424&amp;" HK Equity","PE_RATIO"),"")</f>
        <v/>
      </c>
      <c r="K424" s="10">
        <f>IFERROR(BDP(Database!$A424&amp;" HK Equity","A/H_SHARE_CONVERSION"),"")</f>
        <v/>
      </c>
      <c r="L424" s="16">
        <f>IF(Database!BA424="","(none found)",Database!BA424)</f>
        <v/>
      </c>
      <c r="M424" s="18">
        <f>IFERROR(BDH(Database!$A424&amp;" HK Equity","CUR_MKT_CAP",Database!$H424,Database!$H424),"")</f>
        <v/>
      </c>
      <c r="N424" s="99">
        <f>Database!Q424</f>
        <v/>
      </c>
      <c r="O424" s="24">
        <f>IFERROR(BDH(Database!$A424&amp;" HK Equity","PE_RATIO",Database!$H424,Database!$H424),"")</f>
        <v/>
      </c>
      <c r="P424" s="101">
        <f>IF(Database!AV424="","(n/m or not derivable)",Database!AV424)</f>
        <v/>
      </c>
      <c r="Q424" s="24">
        <f>IF(Database!BA424="","",IFERROR(BDH(LEFT(Database!BA424,FIND(".",Database!BA424)-1)&amp;" CH Equity","PE_RATIO",Database!$H424,Database!$H424),""))</f>
        <v/>
      </c>
      <c r="R424" s="24">
        <f>IF(Database!BA424="","",IFERROR(BDH("HSAHP Index","PX_LAST",Database!$H424,Database!$H424),""))</f>
        <v/>
      </c>
    </row>
    <row r="425">
      <c r="A425" s="16">
        <f>Database!A425&amp;"  "&amp;Database!B425</f>
        <v/>
      </c>
      <c r="B425" s="10">
        <f>IFERROR(INDEX(BDS(Database!$A425&amp;" HK Equity","EQUITY_OFFERINGS","array=t","endcol=1"),MATCH("IPO",BDS(Database!$A425&amp;" HK Equity","EQUITY_OFFERINGS","array=t","startcol=2","endcol=2"),0)),"")</f>
        <v/>
      </c>
      <c r="C425" s="103">
        <f>IF($B425="","",IFERROR(BDP($B425&amp;" Action","CP036"),""))</f>
        <v/>
      </c>
      <c r="D425" s="104">
        <f>Database!S425</f>
        <v/>
      </c>
      <c r="E425" s="103">
        <f>IF($B425="","",IFERROR(BDP($B425&amp;" Action","CP037"),""))</f>
        <v/>
      </c>
      <c r="F425" s="104">
        <f>Database!T425</f>
        <v/>
      </c>
      <c r="G425" s="103">
        <f>IF($B425="","",IFERROR(BDP($B425&amp;" Action","GREENSHOE_FACILITY"),""))</f>
        <v/>
      </c>
      <c r="H425" s="103">
        <f>IF($B425="","",IFERROR(BDP($B425&amp;" Action","OFFERING_GREENSHOE_SHARES_EX"),""))</f>
        <v/>
      </c>
      <c r="I425" s="16">
        <f>Database!Z425</f>
        <v/>
      </c>
      <c r="J425" s="24">
        <f>IFERROR(BDP(Database!$A425&amp;" HK Equity","PE_RATIO"),"")</f>
        <v/>
      </c>
      <c r="K425" s="10">
        <f>IFERROR(BDP(Database!$A425&amp;" HK Equity","A/H_SHARE_CONVERSION"),"")</f>
        <v/>
      </c>
      <c r="L425" s="16">
        <f>IF(Database!BA425="","(none found)",Database!BA425)</f>
        <v/>
      </c>
      <c r="M425" s="18">
        <f>IFERROR(BDH(Database!$A425&amp;" HK Equity","CUR_MKT_CAP",Database!$H425,Database!$H425),"")</f>
        <v/>
      </c>
      <c r="N425" s="99">
        <f>Database!Q425</f>
        <v/>
      </c>
      <c r="O425" s="24">
        <f>IFERROR(BDH(Database!$A425&amp;" HK Equity","PE_RATIO",Database!$H425,Database!$H425),"")</f>
        <v/>
      </c>
      <c r="P425" s="101">
        <f>IF(Database!AV425="","(n/m or not derivable)",Database!AV425)</f>
        <v/>
      </c>
      <c r="Q425" s="24">
        <f>IF(Database!BA425="","",IFERROR(BDH(LEFT(Database!BA425,FIND(".",Database!BA425)-1)&amp;" CH Equity","PE_RATIO",Database!$H425,Database!$H425),""))</f>
        <v/>
      </c>
      <c r="R425" s="24">
        <f>IF(Database!BA425="","",IFERROR(BDH("HSAHP Index","PX_LAST",Database!$H425,Database!$H425),""))</f>
        <v/>
      </c>
    </row>
    <row r="426">
      <c r="A426" s="16">
        <f>Database!A426&amp;"  "&amp;Database!B426</f>
        <v/>
      </c>
      <c r="B426" s="10">
        <f>IFERROR(INDEX(BDS(Database!$A426&amp;" HK Equity","EQUITY_OFFERINGS","array=t","endcol=1"),MATCH("IPO",BDS(Database!$A426&amp;" HK Equity","EQUITY_OFFERINGS","array=t","startcol=2","endcol=2"),0)),"")</f>
        <v/>
      </c>
      <c r="C426" s="103">
        <f>IF($B426="","",IFERROR(BDP($B426&amp;" Action","CP036"),""))</f>
        <v/>
      </c>
      <c r="D426" s="104">
        <f>Database!S426</f>
        <v/>
      </c>
      <c r="E426" s="103">
        <f>IF($B426="","",IFERROR(BDP($B426&amp;" Action","CP037"),""))</f>
        <v/>
      </c>
      <c r="F426" s="104">
        <f>Database!T426</f>
        <v/>
      </c>
      <c r="G426" s="103">
        <f>IF($B426="","",IFERROR(BDP($B426&amp;" Action","GREENSHOE_FACILITY"),""))</f>
        <v/>
      </c>
      <c r="H426" s="103">
        <f>IF($B426="","",IFERROR(BDP($B426&amp;" Action","OFFERING_GREENSHOE_SHARES_EX"),""))</f>
        <v/>
      </c>
      <c r="I426" s="16">
        <f>Database!Z426</f>
        <v/>
      </c>
      <c r="J426" s="24">
        <f>IFERROR(BDP(Database!$A426&amp;" HK Equity","PE_RATIO"),"")</f>
        <v/>
      </c>
      <c r="K426" s="10">
        <f>IFERROR(BDP(Database!$A426&amp;" HK Equity","A/H_SHARE_CONVERSION"),"")</f>
        <v/>
      </c>
      <c r="L426" s="16">
        <f>IF(Database!BA426="","(none found)",Database!BA426)</f>
        <v/>
      </c>
      <c r="M426" s="18">
        <f>IFERROR(BDH(Database!$A426&amp;" HK Equity","CUR_MKT_CAP",Database!$H426,Database!$H426),"")</f>
        <v/>
      </c>
      <c r="N426" s="99">
        <f>Database!Q426</f>
        <v/>
      </c>
      <c r="O426" s="24">
        <f>IFERROR(BDH(Database!$A426&amp;" HK Equity","PE_RATIO",Database!$H426,Database!$H426),"")</f>
        <v/>
      </c>
      <c r="P426" s="101">
        <f>IF(Database!AV426="","(n/m or not derivable)",Database!AV426)</f>
        <v/>
      </c>
      <c r="Q426" s="24">
        <f>IF(Database!BA426="","",IFERROR(BDH(LEFT(Database!BA426,FIND(".",Database!BA426)-1)&amp;" CH Equity","PE_RATIO",Database!$H426,Database!$H426),""))</f>
        <v/>
      </c>
      <c r="R426" s="24">
        <f>IF(Database!BA426="","",IFERROR(BDH("HSAHP Index","PX_LAST",Database!$H426,Database!$H426),""))</f>
        <v/>
      </c>
    </row>
    <row r="427">
      <c r="A427" s="16">
        <f>Database!A427&amp;"  "&amp;Database!B427</f>
        <v/>
      </c>
      <c r="B427" s="10">
        <f>IFERROR(INDEX(BDS(Database!$A427&amp;" HK Equity","EQUITY_OFFERINGS","array=t","endcol=1"),MATCH("IPO",BDS(Database!$A427&amp;" HK Equity","EQUITY_OFFERINGS","array=t","startcol=2","endcol=2"),0)),"")</f>
        <v/>
      </c>
      <c r="C427" s="103">
        <f>IF($B427="","",IFERROR(BDP($B427&amp;" Action","CP036"),""))</f>
        <v/>
      </c>
      <c r="D427" s="104">
        <f>Database!S427</f>
        <v/>
      </c>
      <c r="E427" s="103">
        <f>IF($B427="","",IFERROR(BDP($B427&amp;" Action","CP037"),""))</f>
        <v/>
      </c>
      <c r="F427" s="104">
        <f>Database!T427</f>
        <v/>
      </c>
      <c r="G427" s="103">
        <f>IF($B427="","",IFERROR(BDP($B427&amp;" Action","GREENSHOE_FACILITY"),""))</f>
        <v/>
      </c>
      <c r="H427" s="103">
        <f>IF($B427="","",IFERROR(BDP($B427&amp;" Action","OFFERING_GREENSHOE_SHARES_EX"),""))</f>
        <v/>
      </c>
      <c r="I427" s="16">
        <f>Database!Z427</f>
        <v/>
      </c>
      <c r="J427" s="24">
        <f>IFERROR(BDP(Database!$A427&amp;" HK Equity","PE_RATIO"),"")</f>
        <v/>
      </c>
      <c r="K427" s="10">
        <f>IFERROR(BDP(Database!$A427&amp;" HK Equity","A/H_SHARE_CONVERSION"),"")</f>
        <v/>
      </c>
      <c r="L427" s="16">
        <f>IF(Database!BA427="","(none found)",Database!BA427)</f>
        <v/>
      </c>
      <c r="M427" s="18">
        <f>IFERROR(BDH(Database!$A427&amp;" HK Equity","CUR_MKT_CAP",Database!$H427,Database!$H427),"")</f>
        <v/>
      </c>
      <c r="N427" s="99">
        <f>Database!Q427</f>
        <v/>
      </c>
      <c r="O427" s="24">
        <f>IFERROR(BDH(Database!$A427&amp;" HK Equity","PE_RATIO",Database!$H427,Database!$H427),"")</f>
        <v/>
      </c>
      <c r="P427" s="101">
        <f>IF(Database!AV427="","(n/m or not derivable)",Database!AV427)</f>
        <v/>
      </c>
      <c r="Q427" s="24">
        <f>IF(Database!BA427="","",IFERROR(BDH(LEFT(Database!BA427,FIND(".",Database!BA427)-1)&amp;" CH Equity","PE_RATIO",Database!$H427,Database!$H427),""))</f>
        <v/>
      </c>
      <c r="R427" s="24">
        <f>IF(Database!BA427="","",IFERROR(BDH("HSAHP Index","PX_LAST",Database!$H427,Database!$H427),""))</f>
        <v/>
      </c>
    </row>
    <row r="428">
      <c r="A428" s="16">
        <f>Database!A428&amp;"  "&amp;Database!B428</f>
        <v/>
      </c>
      <c r="B428" s="10">
        <f>IFERROR(INDEX(BDS(Database!$A428&amp;" HK Equity","EQUITY_OFFERINGS","array=t","endcol=1"),MATCH("IPO",BDS(Database!$A428&amp;" HK Equity","EQUITY_OFFERINGS","array=t","startcol=2","endcol=2"),0)),"")</f>
        <v/>
      </c>
      <c r="C428" s="103">
        <f>IF($B428="","",IFERROR(BDP($B428&amp;" Action","CP036"),""))</f>
        <v/>
      </c>
      <c r="D428" s="104">
        <f>Database!S428</f>
        <v/>
      </c>
      <c r="E428" s="103">
        <f>IF($B428="","",IFERROR(BDP($B428&amp;" Action","CP037"),""))</f>
        <v/>
      </c>
      <c r="F428" s="104">
        <f>Database!T428</f>
        <v/>
      </c>
      <c r="G428" s="103">
        <f>IF($B428="","",IFERROR(BDP($B428&amp;" Action","GREENSHOE_FACILITY"),""))</f>
        <v/>
      </c>
      <c r="H428" s="103">
        <f>IF($B428="","",IFERROR(BDP($B428&amp;" Action","OFFERING_GREENSHOE_SHARES_EX"),""))</f>
        <v/>
      </c>
      <c r="I428" s="16">
        <f>Database!Z428</f>
        <v/>
      </c>
      <c r="J428" s="24">
        <f>IFERROR(BDP(Database!$A428&amp;" HK Equity","PE_RATIO"),"")</f>
        <v/>
      </c>
      <c r="K428" s="10">
        <f>IFERROR(BDP(Database!$A428&amp;" HK Equity","A/H_SHARE_CONVERSION"),"")</f>
        <v/>
      </c>
      <c r="L428" s="16">
        <f>IF(Database!BA428="","(none found)",Database!BA428)</f>
        <v/>
      </c>
      <c r="M428" s="18">
        <f>IFERROR(BDH(Database!$A428&amp;" HK Equity","CUR_MKT_CAP",Database!$H428,Database!$H428),"")</f>
        <v/>
      </c>
      <c r="N428" s="99">
        <f>Database!Q428</f>
        <v/>
      </c>
      <c r="O428" s="24">
        <f>IFERROR(BDH(Database!$A428&amp;" HK Equity","PE_RATIO",Database!$H428,Database!$H428),"")</f>
        <v/>
      </c>
      <c r="P428" s="101">
        <f>IF(Database!AV428="","(n/m or not derivable)",Database!AV428)</f>
        <v/>
      </c>
      <c r="Q428" s="24">
        <f>IF(Database!BA428="","",IFERROR(BDH(LEFT(Database!BA428,FIND(".",Database!BA428)-1)&amp;" CH Equity","PE_RATIO",Database!$H428,Database!$H428),""))</f>
        <v/>
      </c>
      <c r="R428" s="24">
        <f>IF(Database!BA428="","",IFERROR(BDH("HSAHP Index","PX_LAST",Database!$H428,Database!$H428),""))</f>
        <v/>
      </c>
    </row>
    <row r="429">
      <c r="A429" s="16">
        <f>Database!A429&amp;"  "&amp;Database!B429</f>
        <v/>
      </c>
      <c r="B429" s="10">
        <f>IFERROR(INDEX(BDS(Database!$A429&amp;" HK Equity","EQUITY_OFFERINGS","array=t","endcol=1"),MATCH("IPO",BDS(Database!$A429&amp;" HK Equity","EQUITY_OFFERINGS","array=t","startcol=2","endcol=2"),0)),"")</f>
        <v/>
      </c>
      <c r="C429" s="103">
        <f>IF($B429="","",IFERROR(BDP($B429&amp;" Action","CP036"),""))</f>
        <v/>
      </c>
      <c r="D429" s="104">
        <f>Database!S429</f>
        <v/>
      </c>
      <c r="E429" s="103">
        <f>IF($B429="","",IFERROR(BDP($B429&amp;" Action","CP037"),""))</f>
        <v/>
      </c>
      <c r="F429" s="104">
        <f>Database!T429</f>
        <v/>
      </c>
      <c r="G429" s="103">
        <f>IF($B429="","",IFERROR(BDP($B429&amp;" Action","GREENSHOE_FACILITY"),""))</f>
        <v/>
      </c>
      <c r="H429" s="103">
        <f>IF($B429="","",IFERROR(BDP($B429&amp;" Action","OFFERING_GREENSHOE_SHARES_EX"),""))</f>
        <v/>
      </c>
      <c r="I429" s="16">
        <f>Database!Z429</f>
        <v/>
      </c>
      <c r="J429" s="24">
        <f>IFERROR(BDP(Database!$A429&amp;" HK Equity","PE_RATIO"),"")</f>
        <v/>
      </c>
      <c r="K429" s="10">
        <f>IFERROR(BDP(Database!$A429&amp;" HK Equity","A/H_SHARE_CONVERSION"),"")</f>
        <v/>
      </c>
      <c r="L429" s="16">
        <f>IF(Database!BA429="","(none found)",Database!BA429)</f>
        <v/>
      </c>
      <c r="M429" s="18">
        <f>IFERROR(BDH(Database!$A429&amp;" HK Equity","CUR_MKT_CAP",Database!$H429,Database!$H429),"")</f>
        <v/>
      </c>
      <c r="N429" s="99">
        <f>Database!Q429</f>
        <v/>
      </c>
      <c r="O429" s="24">
        <f>IFERROR(BDH(Database!$A429&amp;" HK Equity","PE_RATIO",Database!$H429,Database!$H429),"")</f>
        <v/>
      </c>
      <c r="P429" s="101">
        <f>IF(Database!AV429="","(n/m or not derivable)",Database!AV429)</f>
        <v/>
      </c>
      <c r="Q429" s="24">
        <f>IF(Database!BA429="","",IFERROR(BDH(LEFT(Database!BA429,FIND(".",Database!BA429)-1)&amp;" CH Equity","PE_RATIO",Database!$H429,Database!$H429),""))</f>
        <v/>
      </c>
      <c r="R429" s="24">
        <f>IF(Database!BA429="","",IFERROR(BDH("HSAHP Index","PX_LAST",Database!$H429,Database!$H429),""))</f>
        <v/>
      </c>
    </row>
    <row r="430">
      <c r="A430" s="16">
        <f>Database!A430&amp;"  "&amp;Database!B430</f>
        <v/>
      </c>
      <c r="B430" s="10">
        <f>IFERROR(INDEX(BDS(Database!$A430&amp;" HK Equity","EQUITY_OFFERINGS","array=t","endcol=1"),MATCH("IPO",BDS(Database!$A430&amp;" HK Equity","EQUITY_OFFERINGS","array=t","startcol=2","endcol=2"),0)),"")</f>
        <v/>
      </c>
      <c r="C430" s="103">
        <f>IF($B430="","",IFERROR(BDP($B430&amp;" Action","CP036"),""))</f>
        <v/>
      </c>
      <c r="D430" s="104">
        <f>Database!S430</f>
        <v/>
      </c>
      <c r="E430" s="103">
        <f>IF($B430="","",IFERROR(BDP($B430&amp;" Action","CP037"),""))</f>
        <v/>
      </c>
      <c r="F430" s="104">
        <f>Database!T430</f>
        <v/>
      </c>
      <c r="G430" s="103">
        <f>IF($B430="","",IFERROR(BDP($B430&amp;" Action","GREENSHOE_FACILITY"),""))</f>
        <v/>
      </c>
      <c r="H430" s="103">
        <f>IF($B430="","",IFERROR(BDP($B430&amp;" Action","OFFERING_GREENSHOE_SHARES_EX"),""))</f>
        <v/>
      </c>
      <c r="I430" s="16">
        <f>Database!Z430</f>
        <v/>
      </c>
      <c r="J430" s="24">
        <f>IFERROR(BDP(Database!$A430&amp;" HK Equity","PE_RATIO"),"")</f>
        <v/>
      </c>
      <c r="K430" s="10">
        <f>IFERROR(BDP(Database!$A430&amp;" HK Equity","A/H_SHARE_CONVERSION"),"")</f>
        <v/>
      </c>
      <c r="L430" s="16">
        <f>IF(Database!BA430="","(none found)",Database!BA430)</f>
        <v/>
      </c>
      <c r="M430" s="18">
        <f>IFERROR(BDH(Database!$A430&amp;" HK Equity","CUR_MKT_CAP",Database!$H430,Database!$H430),"")</f>
        <v/>
      </c>
      <c r="N430" s="99">
        <f>Database!Q430</f>
        <v/>
      </c>
      <c r="O430" s="24">
        <f>IFERROR(BDH(Database!$A430&amp;" HK Equity","PE_RATIO",Database!$H430,Database!$H430),"")</f>
        <v/>
      </c>
      <c r="P430" s="101">
        <f>IF(Database!AV430="","(n/m or not derivable)",Database!AV430)</f>
        <v/>
      </c>
      <c r="Q430" s="24">
        <f>IF(Database!BA430="","",IFERROR(BDH(LEFT(Database!BA430,FIND(".",Database!BA430)-1)&amp;" CH Equity","PE_RATIO",Database!$H430,Database!$H430),""))</f>
        <v/>
      </c>
      <c r="R430" s="24">
        <f>IF(Database!BA430="","",IFERROR(BDH("HSAHP Index","PX_LAST",Database!$H430,Database!$H430),""))</f>
        <v/>
      </c>
    </row>
    <row r="431">
      <c r="A431" s="16">
        <f>Database!A431&amp;"  "&amp;Database!B431</f>
        <v/>
      </c>
      <c r="B431" s="10">
        <f>IFERROR(INDEX(BDS(Database!$A431&amp;" HK Equity","EQUITY_OFFERINGS","array=t","endcol=1"),MATCH("IPO",BDS(Database!$A431&amp;" HK Equity","EQUITY_OFFERINGS","array=t","startcol=2","endcol=2"),0)),"")</f>
        <v/>
      </c>
      <c r="C431" s="103">
        <f>IF($B431="","",IFERROR(BDP($B431&amp;" Action","CP036"),""))</f>
        <v/>
      </c>
      <c r="D431" s="104">
        <f>Database!S431</f>
        <v/>
      </c>
      <c r="E431" s="103">
        <f>IF($B431="","",IFERROR(BDP($B431&amp;" Action","CP037"),""))</f>
        <v/>
      </c>
      <c r="F431" s="104">
        <f>Database!T431</f>
        <v/>
      </c>
      <c r="G431" s="103">
        <f>IF($B431="","",IFERROR(BDP($B431&amp;" Action","GREENSHOE_FACILITY"),""))</f>
        <v/>
      </c>
      <c r="H431" s="103">
        <f>IF($B431="","",IFERROR(BDP($B431&amp;" Action","OFFERING_GREENSHOE_SHARES_EX"),""))</f>
        <v/>
      </c>
      <c r="I431" s="16">
        <f>Database!Z431</f>
        <v/>
      </c>
      <c r="J431" s="24">
        <f>IFERROR(BDP(Database!$A431&amp;" HK Equity","PE_RATIO"),"")</f>
        <v/>
      </c>
      <c r="K431" s="10">
        <f>IFERROR(BDP(Database!$A431&amp;" HK Equity","A/H_SHARE_CONVERSION"),"")</f>
        <v/>
      </c>
      <c r="L431" s="16">
        <f>IF(Database!BA431="","(none found)",Database!BA431)</f>
        <v/>
      </c>
      <c r="M431" s="18">
        <f>IFERROR(BDH(Database!$A431&amp;" HK Equity","CUR_MKT_CAP",Database!$H431,Database!$H431),"")</f>
        <v/>
      </c>
      <c r="N431" s="99">
        <f>Database!Q431</f>
        <v/>
      </c>
      <c r="O431" s="24">
        <f>IFERROR(BDH(Database!$A431&amp;" HK Equity","PE_RATIO",Database!$H431,Database!$H431),"")</f>
        <v/>
      </c>
      <c r="P431" s="101">
        <f>IF(Database!AV431="","(n/m or not derivable)",Database!AV431)</f>
        <v/>
      </c>
      <c r="Q431" s="24">
        <f>IF(Database!BA431="","",IFERROR(BDH(LEFT(Database!BA431,FIND(".",Database!BA431)-1)&amp;" CH Equity","PE_RATIO",Database!$H431,Database!$H431),""))</f>
        <v/>
      </c>
      <c r="R431" s="24">
        <f>IF(Database!BA431="","",IFERROR(BDH("HSAHP Index","PX_LAST",Database!$H431,Database!$H431),""))</f>
        <v/>
      </c>
    </row>
    <row r="432">
      <c r="A432" s="16">
        <f>Database!A432&amp;"  "&amp;Database!B432</f>
        <v/>
      </c>
      <c r="B432" s="10">
        <f>IFERROR(INDEX(BDS(Database!$A432&amp;" HK Equity","EQUITY_OFFERINGS","array=t","endcol=1"),MATCH("IPO",BDS(Database!$A432&amp;" HK Equity","EQUITY_OFFERINGS","array=t","startcol=2","endcol=2"),0)),"")</f>
        <v/>
      </c>
      <c r="C432" s="103">
        <f>IF($B432="","",IFERROR(BDP($B432&amp;" Action","CP036"),""))</f>
        <v/>
      </c>
      <c r="D432" s="104">
        <f>Database!S432</f>
        <v/>
      </c>
      <c r="E432" s="103">
        <f>IF($B432="","",IFERROR(BDP($B432&amp;" Action","CP037"),""))</f>
        <v/>
      </c>
      <c r="F432" s="104">
        <f>Database!T432</f>
        <v/>
      </c>
      <c r="G432" s="103">
        <f>IF($B432="","",IFERROR(BDP($B432&amp;" Action","GREENSHOE_FACILITY"),""))</f>
        <v/>
      </c>
      <c r="H432" s="103">
        <f>IF($B432="","",IFERROR(BDP($B432&amp;" Action","OFFERING_GREENSHOE_SHARES_EX"),""))</f>
        <v/>
      </c>
      <c r="I432" s="16">
        <f>Database!Z432</f>
        <v/>
      </c>
      <c r="J432" s="24">
        <f>IFERROR(BDP(Database!$A432&amp;" HK Equity","PE_RATIO"),"")</f>
        <v/>
      </c>
      <c r="K432" s="10">
        <f>IFERROR(BDP(Database!$A432&amp;" HK Equity","A/H_SHARE_CONVERSION"),"")</f>
        <v/>
      </c>
      <c r="L432" s="16">
        <f>IF(Database!BA432="","(none found)",Database!BA432)</f>
        <v/>
      </c>
      <c r="M432" s="18">
        <f>IFERROR(BDH(Database!$A432&amp;" HK Equity","CUR_MKT_CAP",Database!$H432,Database!$H432),"")</f>
        <v/>
      </c>
      <c r="N432" s="99">
        <f>Database!Q432</f>
        <v/>
      </c>
      <c r="O432" s="24">
        <f>IFERROR(BDH(Database!$A432&amp;" HK Equity","PE_RATIO",Database!$H432,Database!$H432),"")</f>
        <v/>
      </c>
      <c r="P432" s="101">
        <f>IF(Database!AV432="","(n/m or not derivable)",Database!AV432)</f>
        <v/>
      </c>
      <c r="Q432" s="24">
        <f>IF(Database!BA432="","",IFERROR(BDH(LEFT(Database!BA432,FIND(".",Database!BA432)-1)&amp;" CH Equity","PE_RATIO",Database!$H432,Database!$H432),""))</f>
        <v/>
      </c>
      <c r="R432" s="24">
        <f>IF(Database!BA432="","",IFERROR(BDH("HSAHP Index","PX_LAST",Database!$H432,Database!$H432),""))</f>
        <v/>
      </c>
    </row>
    <row r="433">
      <c r="A433" s="16">
        <f>Database!A433&amp;"  "&amp;Database!B433</f>
        <v/>
      </c>
      <c r="B433" s="10">
        <f>IFERROR(INDEX(BDS(Database!$A433&amp;" HK Equity","EQUITY_OFFERINGS","array=t","endcol=1"),MATCH("IPO",BDS(Database!$A433&amp;" HK Equity","EQUITY_OFFERINGS","array=t","startcol=2","endcol=2"),0)),"")</f>
        <v/>
      </c>
      <c r="C433" s="103">
        <f>IF($B433="","",IFERROR(BDP($B433&amp;" Action","CP036"),""))</f>
        <v/>
      </c>
      <c r="D433" s="104">
        <f>Database!S433</f>
        <v/>
      </c>
      <c r="E433" s="103">
        <f>IF($B433="","",IFERROR(BDP($B433&amp;" Action","CP037"),""))</f>
        <v/>
      </c>
      <c r="F433" s="104">
        <f>Database!T433</f>
        <v/>
      </c>
      <c r="G433" s="103">
        <f>IF($B433="","",IFERROR(BDP($B433&amp;" Action","GREENSHOE_FACILITY"),""))</f>
        <v/>
      </c>
      <c r="H433" s="103">
        <f>IF($B433="","",IFERROR(BDP($B433&amp;" Action","OFFERING_GREENSHOE_SHARES_EX"),""))</f>
        <v/>
      </c>
      <c r="I433" s="16">
        <f>Database!Z433</f>
        <v/>
      </c>
      <c r="J433" s="24">
        <f>IFERROR(BDP(Database!$A433&amp;" HK Equity","PE_RATIO"),"")</f>
        <v/>
      </c>
      <c r="K433" s="10">
        <f>IFERROR(BDP(Database!$A433&amp;" HK Equity","A/H_SHARE_CONVERSION"),"")</f>
        <v/>
      </c>
      <c r="L433" s="16">
        <f>IF(Database!BA433="","(none found)",Database!BA433)</f>
        <v/>
      </c>
      <c r="M433" s="18">
        <f>IFERROR(BDH(Database!$A433&amp;" HK Equity","CUR_MKT_CAP",Database!$H433,Database!$H433),"")</f>
        <v/>
      </c>
      <c r="N433" s="99">
        <f>Database!Q433</f>
        <v/>
      </c>
      <c r="O433" s="24">
        <f>IFERROR(BDH(Database!$A433&amp;" HK Equity","PE_RATIO",Database!$H433,Database!$H433),"")</f>
        <v/>
      </c>
      <c r="P433" s="101">
        <f>IF(Database!AV433="","(n/m or not derivable)",Database!AV433)</f>
        <v/>
      </c>
      <c r="Q433" s="24">
        <f>IF(Database!BA433="","",IFERROR(BDH(LEFT(Database!BA433,FIND(".",Database!BA433)-1)&amp;" CH Equity","PE_RATIO",Database!$H433,Database!$H433),""))</f>
        <v/>
      </c>
      <c r="R433" s="24">
        <f>IF(Database!BA433="","",IFERROR(BDH("HSAHP Index","PX_LAST",Database!$H433,Database!$H433),""))</f>
        <v/>
      </c>
    </row>
    <row r="434">
      <c r="A434" s="16">
        <f>Database!A434&amp;"  "&amp;Database!B434</f>
        <v/>
      </c>
      <c r="B434" s="10">
        <f>IFERROR(INDEX(BDS(Database!$A434&amp;" HK Equity","EQUITY_OFFERINGS","array=t","endcol=1"),MATCH("IPO",BDS(Database!$A434&amp;" HK Equity","EQUITY_OFFERINGS","array=t","startcol=2","endcol=2"),0)),"")</f>
        <v/>
      </c>
      <c r="C434" s="103">
        <f>IF($B434="","",IFERROR(BDP($B434&amp;" Action","CP036"),""))</f>
        <v/>
      </c>
      <c r="D434" s="104">
        <f>Database!S434</f>
        <v/>
      </c>
      <c r="E434" s="103">
        <f>IF($B434="","",IFERROR(BDP($B434&amp;" Action","CP037"),""))</f>
        <v/>
      </c>
      <c r="F434" s="104">
        <f>Database!T434</f>
        <v/>
      </c>
      <c r="G434" s="103">
        <f>IF($B434="","",IFERROR(BDP($B434&amp;" Action","GREENSHOE_FACILITY"),""))</f>
        <v/>
      </c>
      <c r="H434" s="103">
        <f>IF($B434="","",IFERROR(BDP($B434&amp;" Action","OFFERING_GREENSHOE_SHARES_EX"),""))</f>
        <v/>
      </c>
      <c r="I434" s="16">
        <f>Database!Z434</f>
        <v/>
      </c>
      <c r="J434" s="24">
        <f>IFERROR(BDP(Database!$A434&amp;" HK Equity","PE_RATIO"),"")</f>
        <v/>
      </c>
      <c r="K434" s="10">
        <f>IFERROR(BDP(Database!$A434&amp;" HK Equity","A/H_SHARE_CONVERSION"),"")</f>
        <v/>
      </c>
      <c r="L434" s="16">
        <f>IF(Database!BA434="","(none found)",Database!BA434)</f>
        <v/>
      </c>
      <c r="M434" s="18">
        <f>IFERROR(BDH(Database!$A434&amp;" HK Equity","CUR_MKT_CAP",Database!$H434,Database!$H434),"")</f>
        <v/>
      </c>
      <c r="N434" s="99">
        <f>Database!Q434</f>
        <v/>
      </c>
      <c r="O434" s="24">
        <f>IFERROR(BDH(Database!$A434&amp;" HK Equity","PE_RATIO",Database!$H434,Database!$H434),"")</f>
        <v/>
      </c>
      <c r="P434" s="101">
        <f>IF(Database!AV434="","(n/m or not derivable)",Database!AV434)</f>
        <v/>
      </c>
      <c r="Q434" s="24">
        <f>IF(Database!BA434="","",IFERROR(BDH(LEFT(Database!BA434,FIND(".",Database!BA434)-1)&amp;" CH Equity","PE_RATIO",Database!$H434,Database!$H434),""))</f>
        <v/>
      </c>
      <c r="R434" s="24">
        <f>IF(Database!BA434="","",IFERROR(BDH("HSAHP Index","PX_LAST",Database!$H434,Database!$H434),""))</f>
        <v/>
      </c>
    </row>
    <row r="435">
      <c r="A435" s="16">
        <f>Database!A435&amp;"  "&amp;Database!B435</f>
        <v/>
      </c>
      <c r="B435" s="10">
        <f>IFERROR(INDEX(BDS(Database!$A435&amp;" HK Equity","EQUITY_OFFERINGS","array=t","endcol=1"),MATCH("IPO",BDS(Database!$A435&amp;" HK Equity","EQUITY_OFFERINGS","array=t","startcol=2","endcol=2"),0)),"")</f>
        <v/>
      </c>
      <c r="C435" s="103">
        <f>IF($B435="","",IFERROR(BDP($B435&amp;" Action","CP036"),""))</f>
        <v/>
      </c>
      <c r="D435" s="104">
        <f>Database!S435</f>
        <v/>
      </c>
      <c r="E435" s="103">
        <f>IF($B435="","",IFERROR(BDP($B435&amp;" Action","CP037"),""))</f>
        <v/>
      </c>
      <c r="F435" s="104">
        <f>Database!T435</f>
        <v/>
      </c>
      <c r="G435" s="103">
        <f>IF($B435="","",IFERROR(BDP($B435&amp;" Action","GREENSHOE_FACILITY"),""))</f>
        <v/>
      </c>
      <c r="H435" s="103">
        <f>IF($B435="","",IFERROR(BDP($B435&amp;" Action","OFFERING_GREENSHOE_SHARES_EX"),""))</f>
        <v/>
      </c>
      <c r="I435" s="16">
        <f>Database!Z435</f>
        <v/>
      </c>
      <c r="J435" s="24">
        <f>IFERROR(BDP(Database!$A435&amp;" HK Equity","PE_RATIO"),"")</f>
        <v/>
      </c>
      <c r="K435" s="10">
        <f>IFERROR(BDP(Database!$A435&amp;" HK Equity","A/H_SHARE_CONVERSION"),"")</f>
        <v/>
      </c>
      <c r="L435" s="16">
        <f>IF(Database!BA435="","(none found)",Database!BA435)</f>
        <v/>
      </c>
      <c r="M435" s="18">
        <f>IFERROR(BDH(Database!$A435&amp;" HK Equity","CUR_MKT_CAP",Database!$H435,Database!$H435),"")</f>
        <v/>
      </c>
      <c r="N435" s="99">
        <f>Database!Q435</f>
        <v/>
      </c>
      <c r="O435" s="24">
        <f>IFERROR(BDH(Database!$A435&amp;" HK Equity","PE_RATIO",Database!$H435,Database!$H435),"")</f>
        <v/>
      </c>
      <c r="P435" s="101">
        <f>IF(Database!AV435="","(n/m or not derivable)",Database!AV435)</f>
        <v/>
      </c>
      <c r="Q435" s="24">
        <f>IF(Database!BA435="","",IFERROR(BDH(LEFT(Database!BA435,FIND(".",Database!BA435)-1)&amp;" CH Equity","PE_RATIO",Database!$H435,Database!$H435),""))</f>
        <v/>
      </c>
      <c r="R435" s="24">
        <f>IF(Database!BA435="","",IFERROR(BDH("HSAHP Index","PX_LAST",Database!$H435,Database!$H435),""))</f>
        <v/>
      </c>
    </row>
    <row r="436">
      <c r="A436" s="16">
        <f>Database!A436&amp;"  "&amp;Database!B436</f>
        <v/>
      </c>
      <c r="B436" s="10">
        <f>IFERROR(INDEX(BDS(Database!$A436&amp;" HK Equity","EQUITY_OFFERINGS","array=t","endcol=1"),MATCH("IPO",BDS(Database!$A436&amp;" HK Equity","EQUITY_OFFERINGS","array=t","startcol=2","endcol=2"),0)),"")</f>
        <v/>
      </c>
      <c r="C436" s="103">
        <f>IF($B436="","",IFERROR(BDP($B436&amp;" Action","CP036"),""))</f>
        <v/>
      </c>
      <c r="D436" s="104">
        <f>Database!S436</f>
        <v/>
      </c>
      <c r="E436" s="103">
        <f>IF($B436="","",IFERROR(BDP($B436&amp;" Action","CP037"),""))</f>
        <v/>
      </c>
      <c r="F436" s="104">
        <f>Database!T436</f>
        <v/>
      </c>
      <c r="G436" s="103">
        <f>IF($B436="","",IFERROR(BDP($B436&amp;" Action","GREENSHOE_FACILITY"),""))</f>
        <v/>
      </c>
      <c r="H436" s="103">
        <f>IF($B436="","",IFERROR(BDP($B436&amp;" Action","OFFERING_GREENSHOE_SHARES_EX"),""))</f>
        <v/>
      </c>
      <c r="I436" s="16">
        <f>Database!Z436</f>
        <v/>
      </c>
      <c r="J436" s="24">
        <f>IFERROR(BDP(Database!$A436&amp;" HK Equity","PE_RATIO"),"")</f>
        <v/>
      </c>
      <c r="K436" s="10">
        <f>IFERROR(BDP(Database!$A436&amp;" HK Equity","A/H_SHARE_CONVERSION"),"")</f>
        <v/>
      </c>
      <c r="L436" s="16">
        <f>IF(Database!BA436="","(none found)",Database!BA436)</f>
        <v/>
      </c>
      <c r="M436" s="18">
        <f>IFERROR(BDH(Database!$A436&amp;" HK Equity","CUR_MKT_CAP",Database!$H436,Database!$H436),"")</f>
        <v/>
      </c>
      <c r="N436" s="99">
        <f>Database!Q436</f>
        <v/>
      </c>
      <c r="O436" s="24">
        <f>IFERROR(BDH(Database!$A436&amp;" HK Equity","PE_RATIO",Database!$H436,Database!$H436),"")</f>
        <v/>
      </c>
      <c r="P436" s="101">
        <f>IF(Database!AV436="","(n/m or not derivable)",Database!AV436)</f>
        <v/>
      </c>
      <c r="Q436" s="24">
        <f>IF(Database!BA436="","",IFERROR(BDH(LEFT(Database!BA436,FIND(".",Database!BA436)-1)&amp;" CH Equity","PE_RATIO",Database!$H436,Database!$H436),""))</f>
        <v/>
      </c>
      <c r="R436" s="24">
        <f>IF(Database!BA436="","",IFERROR(BDH("HSAHP Index","PX_LAST",Database!$H436,Database!$H436),""))</f>
        <v/>
      </c>
    </row>
    <row r="437">
      <c r="A437" s="16">
        <f>Database!A437&amp;"  "&amp;Database!B437</f>
        <v/>
      </c>
      <c r="B437" s="10">
        <f>IFERROR(INDEX(BDS(Database!$A437&amp;" HK Equity","EQUITY_OFFERINGS","array=t","endcol=1"),MATCH("IPO",BDS(Database!$A437&amp;" HK Equity","EQUITY_OFFERINGS","array=t","startcol=2","endcol=2"),0)),"")</f>
        <v/>
      </c>
      <c r="C437" s="103">
        <f>IF($B437="","",IFERROR(BDP($B437&amp;" Action","CP036"),""))</f>
        <v/>
      </c>
      <c r="D437" s="104">
        <f>Database!S437</f>
        <v/>
      </c>
      <c r="E437" s="103">
        <f>IF($B437="","",IFERROR(BDP($B437&amp;" Action","CP037"),""))</f>
        <v/>
      </c>
      <c r="F437" s="104">
        <f>Database!T437</f>
        <v/>
      </c>
      <c r="G437" s="103">
        <f>IF($B437="","",IFERROR(BDP($B437&amp;" Action","GREENSHOE_FACILITY"),""))</f>
        <v/>
      </c>
      <c r="H437" s="103">
        <f>IF($B437="","",IFERROR(BDP($B437&amp;" Action","OFFERING_GREENSHOE_SHARES_EX"),""))</f>
        <v/>
      </c>
      <c r="I437" s="16">
        <f>Database!Z437</f>
        <v/>
      </c>
      <c r="J437" s="24">
        <f>IFERROR(BDP(Database!$A437&amp;" HK Equity","PE_RATIO"),"")</f>
        <v/>
      </c>
      <c r="K437" s="10">
        <f>IFERROR(BDP(Database!$A437&amp;" HK Equity","A/H_SHARE_CONVERSION"),"")</f>
        <v/>
      </c>
      <c r="L437" s="16">
        <f>IF(Database!BA437="","(none found)",Database!BA437)</f>
        <v/>
      </c>
      <c r="M437" s="18">
        <f>IFERROR(BDH(Database!$A437&amp;" HK Equity","CUR_MKT_CAP",Database!$H437,Database!$H437),"")</f>
        <v/>
      </c>
      <c r="N437" s="99">
        <f>Database!Q437</f>
        <v/>
      </c>
      <c r="O437" s="24">
        <f>IFERROR(BDH(Database!$A437&amp;" HK Equity","PE_RATIO",Database!$H437,Database!$H437),"")</f>
        <v/>
      </c>
      <c r="P437" s="101">
        <f>IF(Database!AV437="","(n/m or not derivable)",Database!AV437)</f>
        <v/>
      </c>
      <c r="Q437" s="24">
        <f>IF(Database!BA437="","",IFERROR(BDH(LEFT(Database!BA437,FIND(".",Database!BA437)-1)&amp;" CH Equity","PE_RATIO",Database!$H437,Database!$H437),""))</f>
        <v/>
      </c>
      <c r="R437" s="24">
        <f>IF(Database!BA437="","",IFERROR(BDH("HSAHP Index","PX_LAST",Database!$H437,Database!$H437),""))</f>
        <v/>
      </c>
    </row>
    <row r="438">
      <c r="A438" s="16">
        <f>Database!A438&amp;"  "&amp;Database!B438</f>
        <v/>
      </c>
      <c r="B438" s="10">
        <f>IFERROR(INDEX(BDS(Database!$A438&amp;" HK Equity","EQUITY_OFFERINGS","array=t","endcol=1"),MATCH("IPO",BDS(Database!$A438&amp;" HK Equity","EQUITY_OFFERINGS","array=t","startcol=2","endcol=2"),0)),"")</f>
        <v/>
      </c>
      <c r="C438" s="103">
        <f>IF($B438="","",IFERROR(BDP($B438&amp;" Action","CP036"),""))</f>
        <v/>
      </c>
      <c r="D438" s="104">
        <f>Database!S438</f>
        <v/>
      </c>
      <c r="E438" s="103">
        <f>IF($B438="","",IFERROR(BDP($B438&amp;" Action","CP037"),""))</f>
        <v/>
      </c>
      <c r="F438" s="104">
        <f>Database!T438</f>
        <v/>
      </c>
      <c r="G438" s="103">
        <f>IF($B438="","",IFERROR(BDP($B438&amp;" Action","GREENSHOE_FACILITY"),""))</f>
        <v/>
      </c>
      <c r="H438" s="103">
        <f>IF($B438="","",IFERROR(BDP($B438&amp;" Action","OFFERING_GREENSHOE_SHARES_EX"),""))</f>
        <v/>
      </c>
      <c r="I438" s="16">
        <f>Database!Z438</f>
        <v/>
      </c>
      <c r="J438" s="24">
        <f>IFERROR(BDP(Database!$A438&amp;" HK Equity","PE_RATIO"),"")</f>
        <v/>
      </c>
      <c r="K438" s="10">
        <f>IFERROR(BDP(Database!$A438&amp;" HK Equity","A/H_SHARE_CONVERSION"),"")</f>
        <v/>
      </c>
      <c r="L438" s="16">
        <f>IF(Database!BA438="","(none found)",Database!BA438)</f>
        <v/>
      </c>
      <c r="M438" s="18">
        <f>IFERROR(BDH(Database!$A438&amp;" HK Equity","CUR_MKT_CAP",Database!$H438,Database!$H438),"")</f>
        <v/>
      </c>
      <c r="N438" s="99">
        <f>Database!Q438</f>
        <v/>
      </c>
      <c r="O438" s="24">
        <f>IFERROR(BDH(Database!$A438&amp;" HK Equity","PE_RATIO",Database!$H438,Database!$H438),"")</f>
        <v/>
      </c>
      <c r="P438" s="101">
        <f>IF(Database!AV438="","(n/m or not derivable)",Database!AV438)</f>
        <v/>
      </c>
      <c r="Q438" s="24">
        <f>IF(Database!BA438="","",IFERROR(BDH(LEFT(Database!BA438,FIND(".",Database!BA438)-1)&amp;" CH Equity","PE_RATIO",Database!$H438,Database!$H438),""))</f>
        <v/>
      </c>
      <c r="R438" s="24">
        <f>IF(Database!BA438="","",IFERROR(BDH("HSAHP Index","PX_LAST",Database!$H438,Database!$H438),""))</f>
        <v/>
      </c>
    </row>
    <row r="439">
      <c r="A439" s="16">
        <f>Database!A439&amp;"  "&amp;Database!B439</f>
        <v/>
      </c>
      <c r="B439" s="10">
        <f>IFERROR(INDEX(BDS(Database!$A439&amp;" HK Equity","EQUITY_OFFERINGS","array=t","endcol=1"),MATCH("IPO",BDS(Database!$A439&amp;" HK Equity","EQUITY_OFFERINGS","array=t","startcol=2","endcol=2"),0)),"")</f>
        <v/>
      </c>
      <c r="C439" s="103">
        <f>IF($B439="","",IFERROR(BDP($B439&amp;" Action","CP036"),""))</f>
        <v/>
      </c>
      <c r="D439" s="104">
        <f>Database!S439</f>
        <v/>
      </c>
      <c r="E439" s="103">
        <f>IF($B439="","",IFERROR(BDP($B439&amp;" Action","CP037"),""))</f>
        <v/>
      </c>
      <c r="F439" s="104">
        <f>Database!T439</f>
        <v/>
      </c>
      <c r="G439" s="103">
        <f>IF($B439="","",IFERROR(BDP($B439&amp;" Action","GREENSHOE_FACILITY"),""))</f>
        <v/>
      </c>
      <c r="H439" s="103">
        <f>IF($B439="","",IFERROR(BDP($B439&amp;" Action","OFFERING_GREENSHOE_SHARES_EX"),""))</f>
        <v/>
      </c>
      <c r="I439" s="16">
        <f>Database!Z439</f>
        <v/>
      </c>
      <c r="J439" s="24">
        <f>IFERROR(BDP(Database!$A439&amp;" HK Equity","PE_RATIO"),"")</f>
        <v/>
      </c>
      <c r="K439" s="10">
        <f>IFERROR(BDP(Database!$A439&amp;" HK Equity","A/H_SHARE_CONVERSION"),"")</f>
        <v/>
      </c>
      <c r="L439" s="16">
        <f>IF(Database!BA439="","(none found)",Database!BA439)</f>
        <v/>
      </c>
      <c r="M439" s="18">
        <f>IFERROR(BDH(Database!$A439&amp;" HK Equity","CUR_MKT_CAP",Database!$H439,Database!$H439),"")</f>
        <v/>
      </c>
      <c r="N439" s="99">
        <f>Database!Q439</f>
        <v/>
      </c>
      <c r="O439" s="24">
        <f>IFERROR(BDH(Database!$A439&amp;" HK Equity","PE_RATIO",Database!$H439,Database!$H439),"")</f>
        <v/>
      </c>
      <c r="P439" s="101">
        <f>IF(Database!AV439="","(n/m or not derivable)",Database!AV439)</f>
        <v/>
      </c>
      <c r="Q439" s="24">
        <f>IF(Database!BA439="","",IFERROR(BDH(LEFT(Database!BA439,FIND(".",Database!BA439)-1)&amp;" CH Equity","PE_RATIO",Database!$H439,Database!$H439),""))</f>
        <v/>
      </c>
      <c r="R439" s="24">
        <f>IF(Database!BA439="","",IFERROR(BDH("HSAHP Index","PX_LAST",Database!$H439,Database!$H439),""))</f>
        <v/>
      </c>
    </row>
    <row r="440">
      <c r="A440" s="16">
        <f>Database!A440&amp;"  "&amp;Database!B440</f>
        <v/>
      </c>
      <c r="B440" s="10">
        <f>IFERROR(INDEX(BDS(Database!$A440&amp;" HK Equity","EQUITY_OFFERINGS","array=t","endcol=1"),MATCH("IPO",BDS(Database!$A440&amp;" HK Equity","EQUITY_OFFERINGS","array=t","startcol=2","endcol=2"),0)),"")</f>
        <v/>
      </c>
      <c r="C440" s="103">
        <f>IF($B440="","",IFERROR(BDP($B440&amp;" Action","CP036"),""))</f>
        <v/>
      </c>
      <c r="D440" s="104">
        <f>Database!S440</f>
        <v/>
      </c>
      <c r="E440" s="103">
        <f>IF($B440="","",IFERROR(BDP($B440&amp;" Action","CP037"),""))</f>
        <v/>
      </c>
      <c r="F440" s="104">
        <f>Database!T440</f>
        <v/>
      </c>
      <c r="G440" s="103">
        <f>IF($B440="","",IFERROR(BDP($B440&amp;" Action","GREENSHOE_FACILITY"),""))</f>
        <v/>
      </c>
      <c r="H440" s="103">
        <f>IF($B440="","",IFERROR(BDP($B440&amp;" Action","OFFERING_GREENSHOE_SHARES_EX"),""))</f>
        <v/>
      </c>
      <c r="I440" s="16">
        <f>Database!Z440</f>
        <v/>
      </c>
      <c r="J440" s="24">
        <f>IFERROR(BDP(Database!$A440&amp;" HK Equity","PE_RATIO"),"")</f>
        <v/>
      </c>
      <c r="K440" s="10">
        <f>IFERROR(BDP(Database!$A440&amp;" HK Equity","A/H_SHARE_CONVERSION"),"")</f>
        <v/>
      </c>
      <c r="L440" s="16">
        <f>IF(Database!BA440="","(none found)",Database!BA440)</f>
        <v/>
      </c>
      <c r="M440" s="18">
        <f>IFERROR(BDH(Database!$A440&amp;" HK Equity","CUR_MKT_CAP",Database!$H440,Database!$H440),"")</f>
        <v/>
      </c>
      <c r="N440" s="99">
        <f>Database!Q440</f>
        <v/>
      </c>
      <c r="O440" s="24">
        <f>IFERROR(BDH(Database!$A440&amp;" HK Equity","PE_RATIO",Database!$H440,Database!$H440),"")</f>
        <v/>
      </c>
      <c r="P440" s="101">
        <f>IF(Database!AV440="","(n/m or not derivable)",Database!AV440)</f>
        <v/>
      </c>
      <c r="Q440" s="24">
        <f>IF(Database!BA440="","",IFERROR(BDH(LEFT(Database!BA440,FIND(".",Database!BA440)-1)&amp;" CH Equity","PE_RATIO",Database!$H440,Database!$H440),""))</f>
        <v/>
      </c>
      <c r="R440" s="24">
        <f>IF(Database!BA440="","",IFERROR(BDH("HSAHP Index","PX_LAST",Database!$H440,Database!$H440),""))</f>
        <v/>
      </c>
    </row>
    <row r="441">
      <c r="A441" s="16">
        <f>Database!A441&amp;"  "&amp;Database!B441</f>
        <v/>
      </c>
      <c r="B441" s="10">
        <f>IFERROR(INDEX(BDS(Database!$A441&amp;" HK Equity","EQUITY_OFFERINGS","array=t","endcol=1"),MATCH("IPO",BDS(Database!$A441&amp;" HK Equity","EQUITY_OFFERINGS","array=t","startcol=2","endcol=2"),0)),"")</f>
        <v/>
      </c>
      <c r="C441" s="103">
        <f>IF($B441="","",IFERROR(BDP($B441&amp;" Action","CP036"),""))</f>
        <v/>
      </c>
      <c r="D441" s="104">
        <f>Database!S441</f>
        <v/>
      </c>
      <c r="E441" s="103">
        <f>IF($B441="","",IFERROR(BDP($B441&amp;" Action","CP037"),""))</f>
        <v/>
      </c>
      <c r="F441" s="104">
        <f>Database!T441</f>
        <v/>
      </c>
      <c r="G441" s="103">
        <f>IF($B441="","",IFERROR(BDP($B441&amp;" Action","GREENSHOE_FACILITY"),""))</f>
        <v/>
      </c>
      <c r="H441" s="103">
        <f>IF($B441="","",IFERROR(BDP($B441&amp;" Action","OFFERING_GREENSHOE_SHARES_EX"),""))</f>
        <v/>
      </c>
      <c r="I441" s="16">
        <f>Database!Z441</f>
        <v/>
      </c>
      <c r="J441" s="24">
        <f>IFERROR(BDP(Database!$A441&amp;" HK Equity","PE_RATIO"),"")</f>
        <v/>
      </c>
      <c r="K441" s="10">
        <f>IFERROR(BDP(Database!$A441&amp;" HK Equity","A/H_SHARE_CONVERSION"),"")</f>
        <v/>
      </c>
      <c r="L441" s="16">
        <f>IF(Database!BA441="","(none found)",Database!BA441)</f>
        <v/>
      </c>
      <c r="M441" s="18">
        <f>IFERROR(BDH(Database!$A441&amp;" HK Equity","CUR_MKT_CAP",Database!$H441,Database!$H441),"")</f>
        <v/>
      </c>
      <c r="N441" s="99">
        <f>Database!Q441</f>
        <v/>
      </c>
      <c r="O441" s="24">
        <f>IFERROR(BDH(Database!$A441&amp;" HK Equity","PE_RATIO",Database!$H441,Database!$H441),"")</f>
        <v/>
      </c>
      <c r="P441" s="101">
        <f>IF(Database!AV441="","(n/m or not derivable)",Database!AV441)</f>
        <v/>
      </c>
      <c r="Q441" s="24">
        <f>IF(Database!BA441="","",IFERROR(BDH(LEFT(Database!BA441,FIND(".",Database!BA441)-1)&amp;" CH Equity","PE_RATIO",Database!$H441,Database!$H441),""))</f>
        <v/>
      </c>
      <c r="R441" s="24">
        <f>IF(Database!BA441="","",IFERROR(BDH("HSAHP Index","PX_LAST",Database!$H441,Database!$H441),""))</f>
        <v/>
      </c>
    </row>
    <row r="442">
      <c r="A442" s="16">
        <f>Database!A442&amp;"  "&amp;Database!B442</f>
        <v/>
      </c>
      <c r="B442" s="10">
        <f>IFERROR(INDEX(BDS(Database!$A442&amp;" HK Equity","EQUITY_OFFERINGS","array=t","endcol=1"),MATCH("IPO",BDS(Database!$A442&amp;" HK Equity","EQUITY_OFFERINGS","array=t","startcol=2","endcol=2"),0)),"")</f>
        <v/>
      </c>
      <c r="C442" s="103">
        <f>IF($B442="","",IFERROR(BDP($B442&amp;" Action","CP036"),""))</f>
        <v/>
      </c>
      <c r="D442" s="104">
        <f>Database!S442</f>
        <v/>
      </c>
      <c r="E442" s="103">
        <f>IF($B442="","",IFERROR(BDP($B442&amp;" Action","CP037"),""))</f>
        <v/>
      </c>
      <c r="F442" s="104">
        <f>Database!T442</f>
        <v/>
      </c>
      <c r="G442" s="103">
        <f>IF($B442="","",IFERROR(BDP($B442&amp;" Action","GREENSHOE_FACILITY"),""))</f>
        <v/>
      </c>
      <c r="H442" s="103">
        <f>IF($B442="","",IFERROR(BDP($B442&amp;" Action","OFFERING_GREENSHOE_SHARES_EX"),""))</f>
        <v/>
      </c>
      <c r="I442" s="16">
        <f>Database!Z442</f>
        <v/>
      </c>
      <c r="J442" s="24">
        <f>IFERROR(BDP(Database!$A442&amp;" HK Equity","PE_RATIO"),"")</f>
        <v/>
      </c>
      <c r="K442" s="10">
        <f>IFERROR(BDP(Database!$A442&amp;" HK Equity","A/H_SHARE_CONVERSION"),"")</f>
        <v/>
      </c>
      <c r="L442" s="16">
        <f>IF(Database!BA442="","(none found)",Database!BA442)</f>
        <v/>
      </c>
      <c r="M442" s="18">
        <f>IFERROR(BDH(Database!$A442&amp;" HK Equity","CUR_MKT_CAP",Database!$H442,Database!$H442),"")</f>
        <v/>
      </c>
      <c r="N442" s="99">
        <f>Database!Q442</f>
        <v/>
      </c>
      <c r="O442" s="24">
        <f>IFERROR(BDH(Database!$A442&amp;" HK Equity","PE_RATIO",Database!$H442,Database!$H442),"")</f>
        <v/>
      </c>
      <c r="P442" s="101">
        <f>IF(Database!AV442="","(n/m or not derivable)",Database!AV442)</f>
        <v/>
      </c>
      <c r="Q442" s="24">
        <f>IF(Database!BA442="","",IFERROR(BDH(LEFT(Database!BA442,FIND(".",Database!BA442)-1)&amp;" CH Equity","PE_RATIO",Database!$H442,Database!$H442),""))</f>
        <v/>
      </c>
      <c r="R442" s="24">
        <f>IF(Database!BA442="","",IFERROR(BDH("HSAHP Index","PX_LAST",Database!$H442,Database!$H442),""))</f>
        <v/>
      </c>
    </row>
    <row r="443">
      <c r="A443" s="16">
        <f>Database!A443&amp;"  "&amp;Database!B443</f>
        <v/>
      </c>
      <c r="B443" s="10">
        <f>IFERROR(INDEX(BDS(Database!$A443&amp;" HK Equity","EQUITY_OFFERINGS","array=t","endcol=1"),MATCH("IPO",BDS(Database!$A443&amp;" HK Equity","EQUITY_OFFERINGS","array=t","startcol=2","endcol=2"),0)),"")</f>
        <v/>
      </c>
      <c r="C443" s="103">
        <f>IF($B443="","",IFERROR(BDP($B443&amp;" Action","CP036"),""))</f>
        <v/>
      </c>
      <c r="D443" s="104">
        <f>Database!S443</f>
        <v/>
      </c>
      <c r="E443" s="103">
        <f>IF($B443="","",IFERROR(BDP($B443&amp;" Action","CP037"),""))</f>
        <v/>
      </c>
      <c r="F443" s="104">
        <f>Database!T443</f>
        <v/>
      </c>
      <c r="G443" s="103">
        <f>IF($B443="","",IFERROR(BDP($B443&amp;" Action","GREENSHOE_FACILITY"),""))</f>
        <v/>
      </c>
      <c r="H443" s="103">
        <f>IF($B443="","",IFERROR(BDP($B443&amp;" Action","OFFERING_GREENSHOE_SHARES_EX"),""))</f>
        <v/>
      </c>
      <c r="I443" s="16">
        <f>Database!Z443</f>
        <v/>
      </c>
      <c r="J443" s="24">
        <f>IFERROR(BDP(Database!$A443&amp;" HK Equity","PE_RATIO"),"")</f>
        <v/>
      </c>
      <c r="K443" s="10">
        <f>IFERROR(BDP(Database!$A443&amp;" HK Equity","A/H_SHARE_CONVERSION"),"")</f>
        <v/>
      </c>
      <c r="L443" s="16">
        <f>IF(Database!BA443="","(none found)",Database!BA443)</f>
        <v/>
      </c>
      <c r="M443" s="18">
        <f>IFERROR(BDH(Database!$A443&amp;" HK Equity","CUR_MKT_CAP",Database!$H443,Database!$H443),"")</f>
        <v/>
      </c>
      <c r="N443" s="99">
        <f>Database!Q443</f>
        <v/>
      </c>
      <c r="O443" s="24">
        <f>IFERROR(BDH(Database!$A443&amp;" HK Equity","PE_RATIO",Database!$H443,Database!$H443),"")</f>
        <v/>
      </c>
      <c r="P443" s="101">
        <f>IF(Database!AV443="","(n/m or not derivable)",Database!AV443)</f>
        <v/>
      </c>
      <c r="Q443" s="24">
        <f>IF(Database!BA443="","",IFERROR(BDH(LEFT(Database!BA443,FIND(".",Database!BA443)-1)&amp;" CH Equity","PE_RATIO",Database!$H443,Database!$H443),""))</f>
        <v/>
      </c>
      <c r="R443" s="24">
        <f>IF(Database!BA443="","",IFERROR(BDH("HSAHP Index","PX_LAST",Database!$H443,Database!$H443),""))</f>
        <v/>
      </c>
    </row>
    <row r="444">
      <c r="A444" s="16">
        <f>Database!A444&amp;"  "&amp;Database!B444</f>
        <v/>
      </c>
      <c r="B444" s="10">
        <f>IFERROR(INDEX(BDS(Database!$A444&amp;" HK Equity","EQUITY_OFFERINGS","array=t","endcol=1"),MATCH("IPO",BDS(Database!$A444&amp;" HK Equity","EQUITY_OFFERINGS","array=t","startcol=2","endcol=2"),0)),"")</f>
        <v/>
      </c>
      <c r="C444" s="103">
        <f>IF($B444="","",IFERROR(BDP($B444&amp;" Action","CP036"),""))</f>
        <v/>
      </c>
      <c r="D444" s="104">
        <f>Database!S444</f>
        <v/>
      </c>
      <c r="E444" s="103">
        <f>IF($B444="","",IFERROR(BDP($B444&amp;" Action","CP037"),""))</f>
        <v/>
      </c>
      <c r="F444" s="104">
        <f>Database!T444</f>
        <v/>
      </c>
      <c r="G444" s="103">
        <f>IF($B444="","",IFERROR(BDP($B444&amp;" Action","GREENSHOE_FACILITY"),""))</f>
        <v/>
      </c>
      <c r="H444" s="103">
        <f>IF($B444="","",IFERROR(BDP($B444&amp;" Action","OFFERING_GREENSHOE_SHARES_EX"),""))</f>
        <v/>
      </c>
      <c r="I444" s="16">
        <f>Database!Z444</f>
        <v/>
      </c>
      <c r="J444" s="24">
        <f>IFERROR(BDP(Database!$A444&amp;" HK Equity","PE_RATIO"),"")</f>
        <v/>
      </c>
      <c r="K444" s="10">
        <f>IFERROR(BDP(Database!$A444&amp;" HK Equity","A/H_SHARE_CONVERSION"),"")</f>
        <v/>
      </c>
      <c r="L444" s="16">
        <f>IF(Database!BA444="","(none found)",Database!BA444)</f>
        <v/>
      </c>
      <c r="M444" s="18">
        <f>IFERROR(BDH(Database!$A444&amp;" HK Equity","CUR_MKT_CAP",Database!$H444,Database!$H444),"")</f>
        <v/>
      </c>
      <c r="N444" s="99">
        <f>Database!Q444</f>
        <v/>
      </c>
      <c r="O444" s="24">
        <f>IFERROR(BDH(Database!$A444&amp;" HK Equity","PE_RATIO",Database!$H444,Database!$H444),"")</f>
        <v/>
      </c>
      <c r="P444" s="101">
        <f>IF(Database!AV444="","(n/m or not derivable)",Database!AV444)</f>
        <v/>
      </c>
      <c r="Q444" s="24">
        <f>IF(Database!BA444="","",IFERROR(BDH(LEFT(Database!BA444,FIND(".",Database!BA444)-1)&amp;" CH Equity","PE_RATIO",Database!$H444,Database!$H444),""))</f>
        <v/>
      </c>
      <c r="R444" s="24">
        <f>IF(Database!BA444="","",IFERROR(BDH("HSAHP Index","PX_LAST",Database!$H444,Database!$H444),""))</f>
        <v/>
      </c>
    </row>
    <row r="445">
      <c r="A445" s="16">
        <f>Database!A445&amp;"  "&amp;Database!B445</f>
        <v/>
      </c>
      <c r="B445" s="10">
        <f>IFERROR(INDEX(BDS(Database!$A445&amp;" HK Equity","EQUITY_OFFERINGS","array=t","endcol=1"),MATCH("IPO",BDS(Database!$A445&amp;" HK Equity","EQUITY_OFFERINGS","array=t","startcol=2","endcol=2"),0)),"")</f>
        <v/>
      </c>
      <c r="C445" s="103">
        <f>IF($B445="","",IFERROR(BDP($B445&amp;" Action","CP036"),""))</f>
        <v/>
      </c>
      <c r="D445" s="104">
        <f>Database!S445</f>
        <v/>
      </c>
      <c r="E445" s="103">
        <f>IF($B445="","",IFERROR(BDP($B445&amp;" Action","CP037"),""))</f>
        <v/>
      </c>
      <c r="F445" s="104">
        <f>Database!T445</f>
        <v/>
      </c>
      <c r="G445" s="103">
        <f>IF($B445="","",IFERROR(BDP($B445&amp;" Action","GREENSHOE_FACILITY"),""))</f>
        <v/>
      </c>
      <c r="H445" s="103">
        <f>IF($B445="","",IFERROR(BDP($B445&amp;" Action","OFFERING_GREENSHOE_SHARES_EX"),""))</f>
        <v/>
      </c>
      <c r="I445" s="16">
        <f>Database!Z445</f>
        <v/>
      </c>
      <c r="J445" s="24">
        <f>IFERROR(BDP(Database!$A445&amp;" HK Equity","PE_RATIO"),"")</f>
        <v/>
      </c>
      <c r="K445" s="10">
        <f>IFERROR(BDP(Database!$A445&amp;" HK Equity","A/H_SHARE_CONVERSION"),"")</f>
        <v/>
      </c>
      <c r="L445" s="16">
        <f>IF(Database!BA445="","(none found)",Database!BA445)</f>
        <v/>
      </c>
      <c r="M445" s="18">
        <f>IFERROR(BDH(Database!$A445&amp;" HK Equity","CUR_MKT_CAP",Database!$H445,Database!$H445),"")</f>
        <v/>
      </c>
      <c r="N445" s="99">
        <f>Database!Q445</f>
        <v/>
      </c>
      <c r="O445" s="24">
        <f>IFERROR(BDH(Database!$A445&amp;" HK Equity","PE_RATIO",Database!$H445,Database!$H445),"")</f>
        <v/>
      </c>
      <c r="P445" s="101">
        <f>IF(Database!AV445="","(n/m or not derivable)",Database!AV445)</f>
        <v/>
      </c>
      <c r="Q445" s="24">
        <f>IF(Database!BA445="","",IFERROR(BDH(LEFT(Database!BA445,FIND(".",Database!BA445)-1)&amp;" CH Equity","PE_RATIO",Database!$H445,Database!$H445),""))</f>
        <v/>
      </c>
      <c r="R445" s="24">
        <f>IF(Database!BA445="","",IFERROR(BDH("HSAHP Index","PX_LAST",Database!$H445,Database!$H445),""))</f>
        <v/>
      </c>
    </row>
    <row r="446">
      <c r="A446" s="16">
        <f>Database!A446&amp;"  "&amp;Database!B446</f>
        <v/>
      </c>
      <c r="B446" s="10">
        <f>IFERROR(INDEX(BDS(Database!$A446&amp;" HK Equity","EQUITY_OFFERINGS","array=t","endcol=1"),MATCH("IPO",BDS(Database!$A446&amp;" HK Equity","EQUITY_OFFERINGS","array=t","startcol=2","endcol=2"),0)),"")</f>
        <v/>
      </c>
      <c r="C446" s="103">
        <f>IF($B446="","",IFERROR(BDP($B446&amp;" Action","CP036"),""))</f>
        <v/>
      </c>
      <c r="D446" s="104">
        <f>Database!S446</f>
        <v/>
      </c>
      <c r="E446" s="103">
        <f>IF($B446="","",IFERROR(BDP($B446&amp;" Action","CP037"),""))</f>
        <v/>
      </c>
      <c r="F446" s="104">
        <f>Database!T446</f>
        <v/>
      </c>
      <c r="G446" s="103">
        <f>IF($B446="","",IFERROR(BDP($B446&amp;" Action","GREENSHOE_FACILITY"),""))</f>
        <v/>
      </c>
      <c r="H446" s="103">
        <f>IF($B446="","",IFERROR(BDP($B446&amp;" Action","OFFERING_GREENSHOE_SHARES_EX"),""))</f>
        <v/>
      </c>
      <c r="I446" s="16">
        <f>Database!Z446</f>
        <v/>
      </c>
      <c r="J446" s="24">
        <f>IFERROR(BDP(Database!$A446&amp;" HK Equity","PE_RATIO"),"")</f>
        <v/>
      </c>
      <c r="K446" s="10">
        <f>IFERROR(BDP(Database!$A446&amp;" HK Equity","A/H_SHARE_CONVERSION"),"")</f>
        <v/>
      </c>
      <c r="L446" s="16">
        <f>IF(Database!BA446="","(none found)",Database!BA446)</f>
        <v/>
      </c>
      <c r="M446" s="18">
        <f>IFERROR(BDH(Database!$A446&amp;" HK Equity","CUR_MKT_CAP",Database!$H446,Database!$H446),"")</f>
        <v/>
      </c>
      <c r="N446" s="99">
        <f>Database!Q446</f>
        <v/>
      </c>
      <c r="O446" s="24">
        <f>IFERROR(BDH(Database!$A446&amp;" HK Equity","PE_RATIO",Database!$H446,Database!$H446),"")</f>
        <v/>
      </c>
      <c r="P446" s="101">
        <f>IF(Database!AV446="","(n/m or not derivable)",Database!AV446)</f>
        <v/>
      </c>
      <c r="Q446" s="24">
        <f>IF(Database!BA446="","",IFERROR(BDH(LEFT(Database!BA446,FIND(".",Database!BA446)-1)&amp;" CH Equity","PE_RATIO",Database!$H446,Database!$H446),""))</f>
        <v/>
      </c>
      <c r="R446" s="24">
        <f>IF(Database!BA446="","",IFERROR(BDH("HSAHP Index","PX_LAST",Database!$H446,Database!$H446),""))</f>
        <v/>
      </c>
    </row>
    <row r="447">
      <c r="A447" s="16">
        <f>Database!A447&amp;"  "&amp;Database!B447</f>
        <v/>
      </c>
      <c r="B447" s="10">
        <f>IFERROR(INDEX(BDS(Database!$A447&amp;" HK Equity","EQUITY_OFFERINGS","array=t","endcol=1"),MATCH("IPO",BDS(Database!$A447&amp;" HK Equity","EQUITY_OFFERINGS","array=t","startcol=2","endcol=2"),0)),"")</f>
        <v/>
      </c>
      <c r="C447" s="103">
        <f>IF($B447="","",IFERROR(BDP($B447&amp;" Action","CP036"),""))</f>
        <v/>
      </c>
      <c r="D447" s="104">
        <f>Database!S447</f>
        <v/>
      </c>
      <c r="E447" s="103">
        <f>IF($B447="","",IFERROR(BDP($B447&amp;" Action","CP037"),""))</f>
        <v/>
      </c>
      <c r="F447" s="104">
        <f>Database!T447</f>
        <v/>
      </c>
      <c r="G447" s="103">
        <f>IF($B447="","",IFERROR(BDP($B447&amp;" Action","GREENSHOE_FACILITY"),""))</f>
        <v/>
      </c>
      <c r="H447" s="103">
        <f>IF($B447="","",IFERROR(BDP($B447&amp;" Action","OFFERING_GREENSHOE_SHARES_EX"),""))</f>
        <v/>
      </c>
      <c r="I447" s="16">
        <f>Database!Z447</f>
        <v/>
      </c>
      <c r="J447" s="24">
        <f>IFERROR(BDP(Database!$A447&amp;" HK Equity","PE_RATIO"),"")</f>
        <v/>
      </c>
      <c r="K447" s="10">
        <f>IFERROR(BDP(Database!$A447&amp;" HK Equity","A/H_SHARE_CONVERSION"),"")</f>
        <v/>
      </c>
      <c r="L447" s="16">
        <f>IF(Database!BA447="","(none found)",Database!BA447)</f>
        <v/>
      </c>
      <c r="M447" s="18">
        <f>IFERROR(BDH(Database!$A447&amp;" HK Equity","CUR_MKT_CAP",Database!$H447,Database!$H447),"")</f>
        <v/>
      </c>
      <c r="N447" s="99">
        <f>Database!Q447</f>
        <v/>
      </c>
      <c r="O447" s="24">
        <f>IFERROR(BDH(Database!$A447&amp;" HK Equity","PE_RATIO",Database!$H447,Database!$H447),"")</f>
        <v/>
      </c>
      <c r="P447" s="101">
        <f>IF(Database!AV447="","(n/m or not derivable)",Database!AV447)</f>
        <v/>
      </c>
      <c r="Q447" s="24">
        <f>IF(Database!BA447="","",IFERROR(BDH(LEFT(Database!BA447,FIND(".",Database!BA447)-1)&amp;" CH Equity","PE_RATIO",Database!$H447,Database!$H447),""))</f>
        <v/>
      </c>
      <c r="R447" s="24">
        <f>IF(Database!BA447="","",IFERROR(BDH("HSAHP Index","PX_LAST",Database!$H447,Database!$H447),""))</f>
        <v/>
      </c>
    </row>
    <row r="448">
      <c r="A448" s="16">
        <f>Database!A448&amp;"  "&amp;Database!B448</f>
        <v/>
      </c>
      <c r="B448" s="10">
        <f>IFERROR(INDEX(BDS(Database!$A448&amp;" HK Equity","EQUITY_OFFERINGS","array=t","endcol=1"),MATCH("IPO",BDS(Database!$A448&amp;" HK Equity","EQUITY_OFFERINGS","array=t","startcol=2","endcol=2"),0)),"")</f>
        <v/>
      </c>
      <c r="C448" s="103">
        <f>IF($B448="","",IFERROR(BDP($B448&amp;" Action","CP036"),""))</f>
        <v/>
      </c>
      <c r="D448" s="104">
        <f>Database!S448</f>
        <v/>
      </c>
      <c r="E448" s="103">
        <f>IF($B448="","",IFERROR(BDP($B448&amp;" Action","CP037"),""))</f>
        <v/>
      </c>
      <c r="F448" s="104">
        <f>Database!T448</f>
        <v/>
      </c>
      <c r="G448" s="103">
        <f>IF($B448="","",IFERROR(BDP($B448&amp;" Action","GREENSHOE_FACILITY"),""))</f>
        <v/>
      </c>
      <c r="H448" s="103">
        <f>IF($B448="","",IFERROR(BDP($B448&amp;" Action","OFFERING_GREENSHOE_SHARES_EX"),""))</f>
        <v/>
      </c>
      <c r="I448" s="16">
        <f>Database!Z448</f>
        <v/>
      </c>
      <c r="J448" s="24">
        <f>IFERROR(BDP(Database!$A448&amp;" HK Equity","PE_RATIO"),"")</f>
        <v/>
      </c>
      <c r="K448" s="10">
        <f>IFERROR(BDP(Database!$A448&amp;" HK Equity","A/H_SHARE_CONVERSION"),"")</f>
        <v/>
      </c>
      <c r="L448" s="16">
        <f>IF(Database!BA448="","(none found)",Database!BA448)</f>
        <v/>
      </c>
      <c r="M448" s="18">
        <f>IFERROR(BDH(Database!$A448&amp;" HK Equity","CUR_MKT_CAP",Database!$H448,Database!$H448),"")</f>
        <v/>
      </c>
      <c r="N448" s="99">
        <f>Database!Q448</f>
        <v/>
      </c>
      <c r="O448" s="24">
        <f>IFERROR(BDH(Database!$A448&amp;" HK Equity","PE_RATIO",Database!$H448,Database!$H448),"")</f>
        <v/>
      </c>
      <c r="P448" s="101">
        <f>IF(Database!AV448="","(n/m or not derivable)",Database!AV448)</f>
        <v/>
      </c>
      <c r="Q448" s="24">
        <f>IF(Database!BA448="","",IFERROR(BDH(LEFT(Database!BA448,FIND(".",Database!BA448)-1)&amp;" CH Equity","PE_RATIO",Database!$H448,Database!$H448),""))</f>
        <v/>
      </c>
      <c r="R448" s="24">
        <f>IF(Database!BA448="","",IFERROR(BDH("HSAHP Index","PX_LAST",Database!$H448,Database!$H448),""))</f>
        <v/>
      </c>
    </row>
    <row r="449">
      <c r="A449" s="16">
        <f>Database!A449&amp;"  "&amp;Database!B449</f>
        <v/>
      </c>
      <c r="B449" s="10">
        <f>IFERROR(INDEX(BDS(Database!$A449&amp;" HK Equity","EQUITY_OFFERINGS","array=t","endcol=1"),MATCH("IPO",BDS(Database!$A449&amp;" HK Equity","EQUITY_OFFERINGS","array=t","startcol=2","endcol=2"),0)),"")</f>
        <v/>
      </c>
      <c r="C449" s="103">
        <f>IF($B449="","",IFERROR(BDP($B449&amp;" Action","CP036"),""))</f>
        <v/>
      </c>
      <c r="D449" s="104">
        <f>Database!S449</f>
        <v/>
      </c>
      <c r="E449" s="103">
        <f>IF($B449="","",IFERROR(BDP($B449&amp;" Action","CP037"),""))</f>
        <v/>
      </c>
      <c r="F449" s="104">
        <f>Database!T449</f>
        <v/>
      </c>
      <c r="G449" s="103">
        <f>IF($B449="","",IFERROR(BDP($B449&amp;" Action","GREENSHOE_FACILITY"),""))</f>
        <v/>
      </c>
      <c r="H449" s="103">
        <f>IF($B449="","",IFERROR(BDP($B449&amp;" Action","OFFERING_GREENSHOE_SHARES_EX"),""))</f>
        <v/>
      </c>
      <c r="I449" s="16">
        <f>Database!Z449</f>
        <v/>
      </c>
      <c r="J449" s="24">
        <f>IFERROR(BDP(Database!$A449&amp;" HK Equity","PE_RATIO"),"")</f>
        <v/>
      </c>
      <c r="K449" s="10">
        <f>IFERROR(BDP(Database!$A449&amp;" HK Equity","A/H_SHARE_CONVERSION"),"")</f>
        <v/>
      </c>
      <c r="L449" s="16">
        <f>IF(Database!BA449="","(none found)",Database!BA449)</f>
        <v/>
      </c>
      <c r="M449" s="18">
        <f>IFERROR(BDH(Database!$A449&amp;" HK Equity","CUR_MKT_CAP",Database!$H449,Database!$H449),"")</f>
        <v/>
      </c>
      <c r="N449" s="99">
        <f>Database!Q449</f>
        <v/>
      </c>
      <c r="O449" s="24">
        <f>IFERROR(BDH(Database!$A449&amp;" HK Equity","PE_RATIO",Database!$H449,Database!$H449),"")</f>
        <v/>
      </c>
      <c r="P449" s="101">
        <f>IF(Database!AV449="","(n/m or not derivable)",Database!AV449)</f>
        <v/>
      </c>
      <c r="Q449" s="24">
        <f>IF(Database!BA449="","",IFERROR(BDH(LEFT(Database!BA449,FIND(".",Database!BA449)-1)&amp;" CH Equity","PE_RATIO",Database!$H449,Database!$H449),""))</f>
        <v/>
      </c>
      <c r="R449" s="24">
        <f>IF(Database!BA449="","",IFERROR(BDH("HSAHP Index","PX_LAST",Database!$H449,Database!$H449),""))</f>
        <v/>
      </c>
    </row>
    <row r="450">
      <c r="A450" s="16">
        <f>Database!A450&amp;"  "&amp;Database!B450</f>
        <v/>
      </c>
      <c r="B450" s="10">
        <f>IFERROR(INDEX(BDS(Database!$A450&amp;" HK Equity","EQUITY_OFFERINGS","array=t","endcol=1"),MATCH("IPO",BDS(Database!$A450&amp;" HK Equity","EQUITY_OFFERINGS","array=t","startcol=2","endcol=2"),0)),"")</f>
        <v/>
      </c>
      <c r="C450" s="103">
        <f>IF($B450="","",IFERROR(BDP($B450&amp;" Action","CP036"),""))</f>
        <v/>
      </c>
      <c r="D450" s="104">
        <f>Database!S450</f>
        <v/>
      </c>
      <c r="E450" s="103">
        <f>IF($B450="","",IFERROR(BDP($B450&amp;" Action","CP037"),""))</f>
        <v/>
      </c>
      <c r="F450" s="104">
        <f>Database!T450</f>
        <v/>
      </c>
      <c r="G450" s="103">
        <f>IF($B450="","",IFERROR(BDP($B450&amp;" Action","GREENSHOE_FACILITY"),""))</f>
        <v/>
      </c>
      <c r="H450" s="103">
        <f>IF($B450="","",IFERROR(BDP($B450&amp;" Action","OFFERING_GREENSHOE_SHARES_EX"),""))</f>
        <v/>
      </c>
      <c r="I450" s="16">
        <f>Database!Z450</f>
        <v/>
      </c>
      <c r="J450" s="24">
        <f>IFERROR(BDP(Database!$A450&amp;" HK Equity","PE_RATIO"),"")</f>
        <v/>
      </c>
      <c r="K450" s="10">
        <f>IFERROR(BDP(Database!$A450&amp;" HK Equity","A/H_SHARE_CONVERSION"),"")</f>
        <v/>
      </c>
      <c r="L450" s="16">
        <f>IF(Database!BA450="","(none found)",Database!BA450)</f>
        <v/>
      </c>
      <c r="M450" s="18">
        <f>IFERROR(BDH(Database!$A450&amp;" HK Equity","CUR_MKT_CAP",Database!$H450,Database!$H450),"")</f>
        <v/>
      </c>
      <c r="N450" s="99">
        <f>Database!Q450</f>
        <v/>
      </c>
      <c r="O450" s="24">
        <f>IFERROR(BDH(Database!$A450&amp;" HK Equity","PE_RATIO",Database!$H450,Database!$H450),"")</f>
        <v/>
      </c>
      <c r="P450" s="101">
        <f>IF(Database!AV450="","(n/m or not derivable)",Database!AV450)</f>
        <v/>
      </c>
      <c r="Q450" s="24">
        <f>IF(Database!BA450="","",IFERROR(BDH(LEFT(Database!BA450,FIND(".",Database!BA450)-1)&amp;" CH Equity","PE_RATIO",Database!$H450,Database!$H450),""))</f>
        <v/>
      </c>
      <c r="R450" s="24">
        <f>IF(Database!BA450="","",IFERROR(BDH("HSAHP Index","PX_LAST",Database!$H450,Database!$H450),""))</f>
        <v/>
      </c>
    </row>
    <row r="451">
      <c r="A451" s="16">
        <f>Database!A451&amp;"  "&amp;Database!B451</f>
        <v/>
      </c>
      <c r="B451" s="10">
        <f>IFERROR(INDEX(BDS(Database!$A451&amp;" HK Equity","EQUITY_OFFERINGS","array=t","endcol=1"),MATCH("IPO",BDS(Database!$A451&amp;" HK Equity","EQUITY_OFFERINGS","array=t","startcol=2","endcol=2"),0)),"")</f>
        <v/>
      </c>
      <c r="C451" s="103">
        <f>IF($B451="","",IFERROR(BDP($B451&amp;" Action","CP036"),""))</f>
        <v/>
      </c>
      <c r="D451" s="104">
        <f>Database!S451</f>
        <v/>
      </c>
      <c r="E451" s="103">
        <f>IF($B451="","",IFERROR(BDP($B451&amp;" Action","CP037"),""))</f>
        <v/>
      </c>
      <c r="F451" s="104">
        <f>Database!T451</f>
        <v/>
      </c>
      <c r="G451" s="103">
        <f>IF($B451="","",IFERROR(BDP($B451&amp;" Action","GREENSHOE_FACILITY"),""))</f>
        <v/>
      </c>
      <c r="H451" s="103">
        <f>IF($B451="","",IFERROR(BDP($B451&amp;" Action","OFFERING_GREENSHOE_SHARES_EX"),""))</f>
        <v/>
      </c>
      <c r="I451" s="16">
        <f>Database!Z451</f>
        <v/>
      </c>
      <c r="J451" s="24">
        <f>IFERROR(BDP(Database!$A451&amp;" HK Equity","PE_RATIO"),"")</f>
        <v/>
      </c>
      <c r="K451" s="10">
        <f>IFERROR(BDP(Database!$A451&amp;" HK Equity","A/H_SHARE_CONVERSION"),"")</f>
        <v/>
      </c>
      <c r="L451" s="16">
        <f>IF(Database!BA451="","(none found)",Database!BA451)</f>
        <v/>
      </c>
      <c r="M451" s="18">
        <f>IFERROR(BDH(Database!$A451&amp;" HK Equity","CUR_MKT_CAP",Database!$H451,Database!$H451),"")</f>
        <v/>
      </c>
      <c r="N451" s="99">
        <f>Database!Q451</f>
        <v/>
      </c>
      <c r="O451" s="24">
        <f>IFERROR(BDH(Database!$A451&amp;" HK Equity","PE_RATIO",Database!$H451,Database!$H451),"")</f>
        <v/>
      </c>
      <c r="P451" s="101">
        <f>IF(Database!AV451="","(n/m or not derivable)",Database!AV451)</f>
        <v/>
      </c>
      <c r="Q451" s="24">
        <f>IF(Database!BA451="","",IFERROR(BDH(LEFT(Database!BA451,FIND(".",Database!BA451)-1)&amp;" CH Equity","PE_RATIO",Database!$H451,Database!$H451),""))</f>
        <v/>
      </c>
      <c r="R451" s="24">
        <f>IF(Database!BA451="","",IFERROR(BDH("HSAHP Index","PX_LAST",Database!$H451,Database!$H451),""))</f>
        <v/>
      </c>
    </row>
    <row r="452">
      <c r="A452" s="16">
        <f>Database!A452&amp;"  "&amp;Database!B452</f>
        <v/>
      </c>
      <c r="B452" s="10">
        <f>IFERROR(INDEX(BDS(Database!$A452&amp;" HK Equity","EQUITY_OFFERINGS","array=t","endcol=1"),MATCH("IPO",BDS(Database!$A452&amp;" HK Equity","EQUITY_OFFERINGS","array=t","startcol=2","endcol=2"),0)),"")</f>
        <v/>
      </c>
      <c r="C452" s="103">
        <f>IF($B452="","",IFERROR(BDP($B452&amp;" Action","CP036"),""))</f>
        <v/>
      </c>
      <c r="D452" s="104">
        <f>Database!S452</f>
        <v/>
      </c>
      <c r="E452" s="103">
        <f>IF($B452="","",IFERROR(BDP($B452&amp;" Action","CP037"),""))</f>
        <v/>
      </c>
      <c r="F452" s="104">
        <f>Database!T452</f>
        <v/>
      </c>
      <c r="G452" s="103">
        <f>IF($B452="","",IFERROR(BDP($B452&amp;" Action","GREENSHOE_FACILITY"),""))</f>
        <v/>
      </c>
      <c r="H452" s="103">
        <f>IF($B452="","",IFERROR(BDP($B452&amp;" Action","OFFERING_GREENSHOE_SHARES_EX"),""))</f>
        <v/>
      </c>
      <c r="I452" s="16">
        <f>Database!Z452</f>
        <v/>
      </c>
      <c r="J452" s="24">
        <f>IFERROR(BDP(Database!$A452&amp;" HK Equity","PE_RATIO"),"")</f>
        <v/>
      </c>
      <c r="K452" s="10">
        <f>IFERROR(BDP(Database!$A452&amp;" HK Equity","A/H_SHARE_CONVERSION"),"")</f>
        <v/>
      </c>
      <c r="L452" s="16">
        <f>IF(Database!BA452="","(none found)",Database!BA452)</f>
        <v/>
      </c>
      <c r="M452" s="18">
        <f>IFERROR(BDH(Database!$A452&amp;" HK Equity","CUR_MKT_CAP",Database!$H452,Database!$H452),"")</f>
        <v/>
      </c>
      <c r="N452" s="99">
        <f>Database!Q452</f>
        <v/>
      </c>
      <c r="O452" s="24">
        <f>IFERROR(BDH(Database!$A452&amp;" HK Equity","PE_RATIO",Database!$H452,Database!$H452),"")</f>
        <v/>
      </c>
      <c r="P452" s="101">
        <f>IF(Database!AV452="","(n/m or not derivable)",Database!AV452)</f>
        <v/>
      </c>
      <c r="Q452" s="24">
        <f>IF(Database!BA452="","",IFERROR(BDH(LEFT(Database!BA452,FIND(".",Database!BA452)-1)&amp;" CH Equity","PE_RATIO",Database!$H452,Database!$H452),""))</f>
        <v/>
      </c>
      <c r="R452" s="24">
        <f>IF(Database!BA452="","",IFERROR(BDH("HSAHP Index","PX_LAST",Database!$H452,Database!$H452),""))</f>
        <v/>
      </c>
    </row>
    <row r="453">
      <c r="A453" s="16">
        <f>Database!A453&amp;"  "&amp;Database!B453</f>
        <v/>
      </c>
      <c r="B453" s="10">
        <f>IFERROR(INDEX(BDS(Database!$A453&amp;" HK Equity","EQUITY_OFFERINGS","array=t","endcol=1"),MATCH("IPO",BDS(Database!$A453&amp;" HK Equity","EQUITY_OFFERINGS","array=t","startcol=2","endcol=2"),0)),"")</f>
        <v/>
      </c>
      <c r="C453" s="103">
        <f>IF($B453="","",IFERROR(BDP($B453&amp;" Action","CP036"),""))</f>
        <v/>
      </c>
      <c r="D453" s="104">
        <f>Database!S453</f>
        <v/>
      </c>
      <c r="E453" s="103">
        <f>IF($B453="","",IFERROR(BDP($B453&amp;" Action","CP037"),""))</f>
        <v/>
      </c>
      <c r="F453" s="104">
        <f>Database!T453</f>
        <v/>
      </c>
      <c r="G453" s="103">
        <f>IF($B453="","",IFERROR(BDP($B453&amp;" Action","GREENSHOE_FACILITY"),""))</f>
        <v/>
      </c>
      <c r="H453" s="103">
        <f>IF($B453="","",IFERROR(BDP($B453&amp;" Action","OFFERING_GREENSHOE_SHARES_EX"),""))</f>
        <v/>
      </c>
      <c r="I453" s="16">
        <f>Database!Z453</f>
        <v/>
      </c>
      <c r="J453" s="24">
        <f>IFERROR(BDP(Database!$A453&amp;" HK Equity","PE_RATIO"),"")</f>
        <v/>
      </c>
      <c r="K453" s="10">
        <f>IFERROR(BDP(Database!$A453&amp;" HK Equity","A/H_SHARE_CONVERSION"),"")</f>
        <v/>
      </c>
      <c r="L453" s="16">
        <f>IF(Database!BA453="","(none found)",Database!BA453)</f>
        <v/>
      </c>
      <c r="M453" s="18">
        <f>IFERROR(BDH(Database!$A453&amp;" HK Equity","CUR_MKT_CAP",Database!$H453,Database!$H453),"")</f>
        <v/>
      </c>
      <c r="N453" s="99">
        <f>Database!Q453</f>
        <v/>
      </c>
      <c r="O453" s="24">
        <f>IFERROR(BDH(Database!$A453&amp;" HK Equity","PE_RATIO",Database!$H453,Database!$H453),"")</f>
        <v/>
      </c>
      <c r="P453" s="101">
        <f>IF(Database!AV453="","(n/m or not derivable)",Database!AV453)</f>
        <v/>
      </c>
      <c r="Q453" s="24">
        <f>IF(Database!BA453="","",IFERROR(BDH(LEFT(Database!BA453,FIND(".",Database!BA453)-1)&amp;" CH Equity","PE_RATIO",Database!$H453,Database!$H453),""))</f>
        <v/>
      </c>
      <c r="R453" s="24">
        <f>IF(Database!BA453="","",IFERROR(BDH("HSAHP Index","PX_LAST",Database!$H453,Database!$H453),""))</f>
        <v/>
      </c>
    </row>
    <row r="454">
      <c r="A454" s="16">
        <f>Database!A454&amp;"  "&amp;Database!B454</f>
        <v/>
      </c>
      <c r="B454" s="10">
        <f>IFERROR(INDEX(BDS(Database!$A454&amp;" HK Equity","EQUITY_OFFERINGS","array=t","endcol=1"),MATCH("IPO",BDS(Database!$A454&amp;" HK Equity","EQUITY_OFFERINGS","array=t","startcol=2","endcol=2"),0)),"")</f>
        <v/>
      </c>
      <c r="C454" s="103">
        <f>IF($B454="","",IFERROR(BDP($B454&amp;" Action","CP036"),""))</f>
        <v/>
      </c>
      <c r="D454" s="104">
        <f>Database!S454</f>
        <v/>
      </c>
      <c r="E454" s="103">
        <f>IF($B454="","",IFERROR(BDP($B454&amp;" Action","CP037"),""))</f>
        <v/>
      </c>
      <c r="F454" s="104">
        <f>Database!T454</f>
        <v/>
      </c>
      <c r="G454" s="103">
        <f>IF($B454="","",IFERROR(BDP($B454&amp;" Action","GREENSHOE_FACILITY"),""))</f>
        <v/>
      </c>
      <c r="H454" s="103">
        <f>IF($B454="","",IFERROR(BDP($B454&amp;" Action","OFFERING_GREENSHOE_SHARES_EX"),""))</f>
        <v/>
      </c>
      <c r="I454" s="16">
        <f>Database!Z454</f>
        <v/>
      </c>
      <c r="J454" s="24">
        <f>IFERROR(BDP(Database!$A454&amp;" HK Equity","PE_RATIO"),"")</f>
        <v/>
      </c>
      <c r="K454" s="10">
        <f>IFERROR(BDP(Database!$A454&amp;" HK Equity","A/H_SHARE_CONVERSION"),"")</f>
        <v/>
      </c>
      <c r="L454" s="16">
        <f>IF(Database!BA454="","(none found)",Database!BA454)</f>
        <v/>
      </c>
      <c r="M454" s="18">
        <f>IFERROR(BDH(Database!$A454&amp;" HK Equity","CUR_MKT_CAP",Database!$H454,Database!$H454),"")</f>
        <v/>
      </c>
      <c r="N454" s="99">
        <f>Database!Q454</f>
        <v/>
      </c>
      <c r="O454" s="24">
        <f>IFERROR(BDH(Database!$A454&amp;" HK Equity","PE_RATIO",Database!$H454,Database!$H454),"")</f>
        <v/>
      </c>
      <c r="P454" s="101">
        <f>IF(Database!AV454="","(n/m or not derivable)",Database!AV454)</f>
        <v/>
      </c>
      <c r="Q454" s="24">
        <f>IF(Database!BA454="","",IFERROR(BDH(LEFT(Database!BA454,FIND(".",Database!BA454)-1)&amp;" CH Equity","PE_RATIO",Database!$H454,Database!$H454),""))</f>
        <v/>
      </c>
      <c r="R454" s="24">
        <f>IF(Database!BA454="","",IFERROR(BDH("HSAHP Index","PX_LAST",Database!$H454,Database!$H454),""))</f>
        <v/>
      </c>
    </row>
    <row r="455">
      <c r="A455" s="16">
        <f>Database!A455&amp;"  "&amp;Database!B455</f>
        <v/>
      </c>
      <c r="B455" s="10">
        <f>IFERROR(INDEX(BDS(Database!$A455&amp;" HK Equity","EQUITY_OFFERINGS","array=t","endcol=1"),MATCH("IPO",BDS(Database!$A455&amp;" HK Equity","EQUITY_OFFERINGS","array=t","startcol=2","endcol=2"),0)),"")</f>
        <v/>
      </c>
      <c r="C455" s="103">
        <f>IF($B455="","",IFERROR(BDP($B455&amp;" Action","CP036"),""))</f>
        <v/>
      </c>
      <c r="D455" s="104">
        <f>Database!S455</f>
        <v/>
      </c>
      <c r="E455" s="103">
        <f>IF($B455="","",IFERROR(BDP($B455&amp;" Action","CP037"),""))</f>
        <v/>
      </c>
      <c r="F455" s="104">
        <f>Database!T455</f>
        <v/>
      </c>
      <c r="G455" s="103">
        <f>IF($B455="","",IFERROR(BDP($B455&amp;" Action","GREENSHOE_FACILITY"),""))</f>
        <v/>
      </c>
      <c r="H455" s="103">
        <f>IF($B455="","",IFERROR(BDP($B455&amp;" Action","OFFERING_GREENSHOE_SHARES_EX"),""))</f>
        <v/>
      </c>
      <c r="I455" s="16">
        <f>Database!Z455</f>
        <v/>
      </c>
      <c r="J455" s="24">
        <f>IFERROR(BDP(Database!$A455&amp;" HK Equity","PE_RATIO"),"")</f>
        <v/>
      </c>
      <c r="K455" s="10">
        <f>IFERROR(BDP(Database!$A455&amp;" HK Equity","A/H_SHARE_CONVERSION"),"")</f>
        <v/>
      </c>
      <c r="L455" s="16">
        <f>IF(Database!BA455="","(none found)",Database!BA455)</f>
        <v/>
      </c>
      <c r="M455" s="18">
        <f>IFERROR(BDH(Database!$A455&amp;" HK Equity","CUR_MKT_CAP",Database!$H455,Database!$H455),"")</f>
        <v/>
      </c>
      <c r="N455" s="99">
        <f>Database!Q455</f>
        <v/>
      </c>
      <c r="O455" s="24">
        <f>IFERROR(BDH(Database!$A455&amp;" HK Equity","PE_RATIO",Database!$H455,Database!$H455),"")</f>
        <v/>
      </c>
      <c r="P455" s="101">
        <f>IF(Database!AV455="","(n/m or not derivable)",Database!AV455)</f>
        <v/>
      </c>
      <c r="Q455" s="24">
        <f>IF(Database!BA455="","",IFERROR(BDH(LEFT(Database!BA455,FIND(".",Database!BA455)-1)&amp;" CH Equity","PE_RATIO",Database!$H455,Database!$H455),""))</f>
        <v/>
      </c>
      <c r="R455" s="24">
        <f>IF(Database!BA455="","",IFERROR(BDH("HSAHP Index","PX_LAST",Database!$H455,Database!$H455),""))</f>
        <v/>
      </c>
    </row>
    <row r="456">
      <c r="A456" s="16">
        <f>Database!A456&amp;"  "&amp;Database!B456</f>
        <v/>
      </c>
      <c r="B456" s="10">
        <f>IFERROR(INDEX(BDS(Database!$A456&amp;" HK Equity","EQUITY_OFFERINGS","array=t","endcol=1"),MATCH("IPO",BDS(Database!$A456&amp;" HK Equity","EQUITY_OFFERINGS","array=t","startcol=2","endcol=2"),0)),"")</f>
        <v/>
      </c>
      <c r="C456" s="103">
        <f>IF($B456="","",IFERROR(BDP($B456&amp;" Action","CP036"),""))</f>
        <v/>
      </c>
      <c r="D456" s="104">
        <f>Database!S456</f>
        <v/>
      </c>
      <c r="E456" s="103">
        <f>IF($B456="","",IFERROR(BDP($B456&amp;" Action","CP037"),""))</f>
        <v/>
      </c>
      <c r="F456" s="104">
        <f>Database!T456</f>
        <v/>
      </c>
      <c r="G456" s="103">
        <f>IF($B456="","",IFERROR(BDP($B456&amp;" Action","GREENSHOE_FACILITY"),""))</f>
        <v/>
      </c>
      <c r="H456" s="103">
        <f>IF($B456="","",IFERROR(BDP($B456&amp;" Action","OFFERING_GREENSHOE_SHARES_EX"),""))</f>
        <v/>
      </c>
      <c r="I456" s="16">
        <f>Database!Z456</f>
        <v/>
      </c>
      <c r="J456" s="24">
        <f>IFERROR(BDP(Database!$A456&amp;" HK Equity","PE_RATIO"),"")</f>
        <v/>
      </c>
      <c r="K456" s="10">
        <f>IFERROR(BDP(Database!$A456&amp;" HK Equity","A/H_SHARE_CONVERSION"),"")</f>
        <v/>
      </c>
      <c r="L456" s="16">
        <f>IF(Database!BA456="","(none found)",Database!BA456)</f>
        <v/>
      </c>
      <c r="M456" s="18">
        <f>IFERROR(BDH(Database!$A456&amp;" HK Equity","CUR_MKT_CAP",Database!$H456,Database!$H456),"")</f>
        <v/>
      </c>
      <c r="N456" s="99">
        <f>Database!Q456</f>
        <v/>
      </c>
      <c r="O456" s="24">
        <f>IFERROR(BDH(Database!$A456&amp;" HK Equity","PE_RATIO",Database!$H456,Database!$H456),"")</f>
        <v/>
      </c>
      <c r="P456" s="101">
        <f>IF(Database!AV456="","(n/m or not derivable)",Database!AV456)</f>
        <v/>
      </c>
      <c r="Q456" s="24">
        <f>IF(Database!BA456="","",IFERROR(BDH(LEFT(Database!BA456,FIND(".",Database!BA456)-1)&amp;" CH Equity","PE_RATIO",Database!$H456,Database!$H456),""))</f>
        <v/>
      </c>
      <c r="R456" s="24">
        <f>IF(Database!BA456="","",IFERROR(BDH("HSAHP Index","PX_LAST",Database!$H456,Database!$H456),""))</f>
        <v/>
      </c>
    </row>
    <row r="457">
      <c r="A457" s="16">
        <f>Database!A457&amp;"  "&amp;Database!B457</f>
        <v/>
      </c>
      <c r="B457" s="10">
        <f>IFERROR(INDEX(BDS(Database!$A457&amp;" HK Equity","EQUITY_OFFERINGS","array=t","endcol=1"),MATCH("IPO",BDS(Database!$A457&amp;" HK Equity","EQUITY_OFFERINGS","array=t","startcol=2","endcol=2"),0)),"")</f>
        <v/>
      </c>
      <c r="C457" s="103">
        <f>IF($B457="","",IFERROR(BDP($B457&amp;" Action","CP036"),""))</f>
        <v/>
      </c>
      <c r="D457" s="104">
        <f>Database!S457</f>
        <v/>
      </c>
      <c r="E457" s="103">
        <f>IF($B457="","",IFERROR(BDP($B457&amp;" Action","CP037"),""))</f>
        <v/>
      </c>
      <c r="F457" s="104">
        <f>Database!T457</f>
        <v/>
      </c>
      <c r="G457" s="103">
        <f>IF($B457="","",IFERROR(BDP($B457&amp;" Action","GREENSHOE_FACILITY"),""))</f>
        <v/>
      </c>
      <c r="H457" s="103">
        <f>IF($B457="","",IFERROR(BDP($B457&amp;" Action","OFFERING_GREENSHOE_SHARES_EX"),""))</f>
        <v/>
      </c>
      <c r="I457" s="16">
        <f>Database!Z457</f>
        <v/>
      </c>
      <c r="J457" s="24">
        <f>IFERROR(BDP(Database!$A457&amp;" HK Equity","PE_RATIO"),"")</f>
        <v/>
      </c>
      <c r="K457" s="10">
        <f>IFERROR(BDP(Database!$A457&amp;" HK Equity","A/H_SHARE_CONVERSION"),"")</f>
        <v/>
      </c>
      <c r="L457" s="16">
        <f>IF(Database!BA457="","(none found)",Database!BA457)</f>
        <v/>
      </c>
      <c r="M457" s="18">
        <f>IFERROR(BDH(Database!$A457&amp;" HK Equity","CUR_MKT_CAP",Database!$H457,Database!$H457),"")</f>
        <v/>
      </c>
      <c r="N457" s="99">
        <f>Database!Q457</f>
        <v/>
      </c>
      <c r="O457" s="24">
        <f>IFERROR(BDH(Database!$A457&amp;" HK Equity","PE_RATIO",Database!$H457,Database!$H457),"")</f>
        <v/>
      </c>
      <c r="P457" s="101">
        <f>IF(Database!AV457="","(n/m or not derivable)",Database!AV457)</f>
        <v/>
      </c>
      <c r="Q457" s="24">
        <f>IF(Database!BA457="","",IFERROR(BDH(LEFT(Database!BA457,FIND(".",Database!BA457)-1)&amp;" CH Equity","PE_RATIO",Database!$H457,Database!$H457),""))</f>
        <v/>
      </c>
      <c r="R457" s="24">
        <f>IF(Database!BA457="","",IFERROR(BDH("HSAHP Index","PX_LAST",Database!$H457,Database!$H457),""))</f>
        <v/>
      </c>
    </row>
    <row r="458">
      <c r="A458" s="16">
        <f>Database!A458&amp;"  "&amp;Database!B458</f>
        <v/>
      </c>
      <c r="B458" s="10">
        <f>IFERROR(INDEX(BDS(Database!$A458&amp;" HK Equity","EQUITY_OFFERINGS","array=t","endcol=1"),MATCH("IPO",BDS(Database!$A458&amp;" HK Equity","EQUITY_OFFERINGS","array=t","startcol=2","endcol=2"),0)),"")</f>
        <v/>
      </c>
      <c r="C458" s="103">
        <f>IF($B458="","",IFERROR(BDP($B458&amp;" Action","CP036"),""))</f>
        <v/>
      </c>
      <c r="D458" s="104">
        <f>Database!S458</f>
        <v/>
      </c>
      <c r="E458" s="103">
        <f>IF($B458="","",IFERROR(BDP($B458&amp;" Action","CP037"),""))</f>
        <v/>
      </c>
      <c r="F458" s="104">
        <f>Database!T458</f>
        <v/>
      </c>
      <c r="G458" s="103">
        <f>IF($B458="","",IFERROR(BDP($B458&amp;" Action","GREENSHOE_FACILITY"),""))</f>
        <v/>
      </c>
      <c r="H458" s="103">
        <f>IF($B458="","",IFERROR(BDP($B458&amp;" Action","OFFERING_GREENSHOE_SHARES_EX"),""))</f>
        <v/>
      </c>
      <c r="I458" s="16">
        <f>Database!Z458</f>
        <v/>
      </c>
      <c r="J458" s="24">
        <f>IFERROR(BDP(Database!$A458&amp;" HK Equity","PE_RATIO"),"")</f>
        <v/>
      </c>
      <c r="K458" s="10">
        <f>IFERROR(BDP(Database!$A458&amp;" HK Equity","A/H_SHARE_CONVERSION"),"")</f>
        <v/>
      </c>
      <c r="L458" s="16">
        <f>IF(Database!BA458="","(none found)",Database!BA458)</f>
        <v/>
      </c>
      <c r="M458" s="18">
        <f>IFERROR(BDH(Database!$A458&amp;" HK Equity","CUR_MKT_CAP",Database!$H458,Database!$H458),"")</f>
        <v/>
      </c>
      <c r="N458" s="99">
        <f>Database!Q458</f>
        <v/>
      </c>
      <c r="O458" s="24">
        <f>IFERROR(BDH(Database!$A458&amp;" HK Equity","PE_RATIO",Database!$H458,Database!$H458),"")</f>
        <v/>
      </c>
      <c r="P458" s="101">
        <f>IF(Database!AV458="","(n/m or not derivable)",Database!AV458)</f>
        <v/>
      </c>
      <c r="Q458" s="24">
        <f>IF(Database!BA458="","",IFERROR(BDH(LEFT(Database!BA458,FIND(".",Database!BA458)-1)&amp;" CH Equity","PE_RATIO",Database!$H458,Database!$H458),""))</f>
        <v/>
      </c>
      <c r="R458" s="24">
        <f>IF(Database!BA458="","",IFERROR(BDH("HSAHP Index","PX_LAST",Database!$H458,Database!$H458),""))</f>
        <v/>
      </c>
    </row>
    <row r="459">
      <c r="A459" s="16">
        <f>Database!A459&amp;"  "&amp;Database!B459</f>
        <v/>
      </c>
      <c r="B459" s="10">
        <f>IFERROR(INDEX(BDS(Database!$A459&amp;" HK Equity","EQUITY_OFFERINGS","array=t","endcol=1"),MATCH("IPO",BDS(Database!$A459&amp;" HK Equity","EQUITY_OFFERINGS","array=t","startcol=2","endcol=2"),0)),"")</f>
        <v/>
      </c>
      <c r="C459" s="103">
        <f>IF($B459="","",IFERROR(BDP($B459&amp;" Action","CP036"),""))</f>
        <v/>
      </c>
      <c r="D459" s="104">
        <f>Database!S459</f>
        <v/>
      </c>
      <c r="E459" s="103">
        <f>IF($B459="","",IFERROR(BDP($B459&amp;" Action","CP037"),""))</f>
        <v/>
      </c>
      <c r="F459" s="104">
        <f>Database!T459</f>
        <v/>
      </c>
      <c r="G459" s="103">
        <f>IF($B459="","",IFERROR(BDP($B459&amp;" Action","GREENSHOE_FACILITY"),""))</f>
        <v/>
      </c>
      <c r="H459" s="103">
        <f>IF($B459="","",IFERROR(BDP($B459&amp;" Action","OFFERING_GREENSHOE_SHARES_EX"),""))</f>
        <v/>
      </c>
      <c r="I459" s="16">
        <f>Database!Z459</f>
        <v/>
      </c>
      <c r="J459" s="24">
        <f>IFERROR(BDP(Database!$A459&amp;" HK Equity","PE_RATIO"),"")</f>
        <v/>
      </c>
      <c r="K459" s="10">
        <f>IFERROR(BDP(Database!$A459&amp;" HK Equity","A/H_SHARE_CONVERSION"),"")</f>
        <v/>
      </c>
      <c r="L459" s="16">
        <f>IF(Database!BA459="","(none found)",Database!BA459)</f>
        <v/>
      </c>
      <c r="M459" s="18">
        <f>IFERROR(BDH(Database!$A459&amp;" HK Equity","CUR_MKT_CAP",Database!$H459,Database!$H459),"")</f>
        <v/>
      </c>
      <c r="N459" s="99">
        <f>Database!Q459</f>
        <v/>
      </c>
      <c r="O459" s="24">
        <f>IFERROR(BDH(Database!$A459&amp;" HK Equity","PE_RATIO",Database!$H459,Database!$H459),"")</f>
        <v/>
      </c>
      <c r="P459" s="101">
        <f>IF(Database!AV459="","(n/m or not derivable)",Database!AV459)</f>
        <v/>
      </c>
      <c r="Q459" s="24">
        <f>IF(Database!BA459="","",IFERROR(BDH(LEFT(Database!BA459,FIND(".",Database!BA459)-1)&amp;" CH Equity","PE_RATIO",Database!$H459,Database!$H459),""))</f>
        <v/>
      </c>
      <c r="R459" s="24">
        <f>IF(Database!BA459="","",IFERROR(BDH("HSAHP Index","PX_LAST",Database!$H459,Database!$H459),""))</f>
        <v/>
      </c>
    </row>
    <row r="460">
      <c r="A460" s="16">
        <f>Database!A460&amp;"  "&amp;Database!B460</f>
        <v/>
      </c>
      <c r="B460" s="10">
        <f>IFERROR(INDEX(BDS(Database!$A460&amp;" HK Equity","EQUITY_OFFERINGS","array=t","endcol=1"),MATCH("IPO",BDS(Database!$A460&amp;" HK Equity","EQUITY_OFFERINGS","array=t","startcol=2","endcol=2"),0)),"")</f>
        <v/>
      </c>
      <c r="C460" s="103">
        <f>IF($B460="","",IFERROR(BDP($B460&amp;" Action","CP036"),""))</f>
        <v/>
      </c>
      <c r="D460" s="104">
        <f>Database!S460</f>
        <v/>
      </c>
      <c r="E460" s="103">
        <f>IF($B460="","",IFERROR(BDP($B460&amp;" Action","CP037"),""))</f>
        <v/>
      </c>
      <c r="F460" s="104">
        <f>Database!T460</f>
        <v/>
      </c>
      <c r="G460" s="103">
        <f>IF($B460="","",IFERROR(BDP($B460&amp;" Action","GREENSHOE_FACILITY"),""))</f>
        <v/>
      </c>
      <c r="H460" s="103">
        <f>IF($B460="","",IFERROR(BDP($B460&amp;" Action","OFFERING_GREENSHOE_SHARES_EX"),""))</f>
        <v/>
      </c>
      <c r="I460" s="16">
        <f>Database!Z460</f>
        <v/>
      </c>
      <c r="J460" s="24">
        <f>IFERROR(BDP(Database!$A460&amp;" HK Equity","PE_RATIO"),"")</f>
        <v/>
      </c>
      <c r="K460" s="10">
        <f>IFERROR(BDP(Database!$A460&amp;" HK Equity","A/H_SHARE_CONVERSION"),"")</f>
        <v/>
      </c>
      <c r="L460" s="16">
        <f>IF(Database!BA460="","(none found)",Database!BA460)</f>
        <v/>
      </c>
      <c r="M460" s="18">
        <f>IFERROR(BDH(Database!$A460&amp;" HK Equity","CUR_MKT_CAP",Database!$H460,Database!$H460),"")</f>
        <v/>
      </c>
      <c r="N460" s="99">
        <f>Database!Q460</f>
        <v/>
      </c>
      <c r="O460" s="24">
        <f>IFERROR(BDH(Database!$A460&amp;" HK Equity","PE_RATIO",Database!$H460,Database!$H460),"")</f>
        <v/>
      </c>
      <c r="P460" s="101">
        <f>IF(Database!AV460="","(n/m or not derivable)",Database!AV460)</f>
        <v/>
      </c>
      <c r="Q460" s="24">
        <f>IF(Database!BA460="","",IFERROR(BDH(LEFT(Database!BA460,FIND(".",Database!BA460)-1)&amp;" CH Equity","PE_RATIO",Database!$H460,Database!$H460),""))</f>
        <v/>
      </c>
      <c r="R460" s="24">
        <f>IF(Database!BA460="","",IFERROR(BDH("HSAHP Index","PX_LAST",Database!$H460,Database!$H460),""))</f>
        <v/>
      </c>
    </row>
    <row r="461">
      <c r="A461" s="16">
        <f>Database!A461&amp;"  "&amp;Database!B461</f>
        <v/>
      </c>
      <c r="B461" s="10">
        <f>IFERROR(INDEX(BDS(Database!$A461&amp;" HK Equity","EQUITY_OFFERINGS","array=t","endcol=1"),MATCH("IPO",BDS(Database!$A461&amp;" HK Equity","EQUITY_OFFERINGS","array=t","startcol=2","endcol=2"),0)),"")</f>
        <v/>
      </c>
      <c r="C461" s="103">
        <f>IF($B461="","",IFERROR(BDP($B461&amp;" Action","CP036"),""))</f>
        <v/>
      </c>
      <c r="D461" s="104">
        <f>Database!S461</f>
        <v/>
      </c>
      <c r="E461" s="103">
        <f>IF($B461="","",IFERROR(BDP($B461&amp;" Action","CP037"),""))</f>
        <v/>
      </c>
      <c r="F461" s="104">
        <f>Database!T461</f>
        <v/>
      </c>
      <c r="G461" s="103">
        <f>IF($B461="","",IFERROR(BDP($B461&amp;" Action","GREENSHOE_FACILITY"),""))</f>
        <v/>
      </c>
      <c r="H461" s="103">
        <f>IF($B461="","",IFERROR(BDP($B461&amp;" Action","OFFERING_GREENSHOE_SHARES_EX"),""))</f>
        <v/>
      </c>
      <c r="I461" s="16">
        <f>Database!Z461</f>
        <v/>
      </c>
      <c r="J461" s="24">
        <f>IFERROR(BDP(Database!$A461&amp;" HK Equity","PE_RATIO"),"")</f>
        <v/>
      </c>
      <c r="K461" s="10">
        <f>IFERROR(BDP(Database!$A461&amp;" HK Equity","A/H_SHARE_CONVERSION"),"")</f>
        <v/>
      </c>
      <c r="L461" s="16">
        <f>IF(Database!BA461="","(none found)",Database!BA461)</f>
        <v/>
      </c>
      <c r="M461" s="18">
        <f>IFERROR(BDH(Database!$A461&amp;" HK Equity","CUR_MKT_CAP",Database!$H461,Database!$H461),"")</f>
        <v/>
      </c>
      <c r="N461" s="99">
        <f>Database!Q461</f>
        <v/>
      </c>
      <c r="O461" s="24">
        <f>IFERROR(BDH(Database!$A461&amp;" HK Equity","PE_RATIO",Database!$H461,Database!$H461),"")</f>
        <v/>
      </c>
      <c r="P461" s="101">
        <f>IF(Database!AV461="","(n/m or not derivable)",Database!AV461)</f>
        <v/>
      </c>
      <c r="Q461" s="24">
        <f>IF(Database!BA461="","",IFERROR(BDH(LEFT(Database!BA461,FIND(".",Database!BA461)-1)&amp;" CH Equity","PE_RATIO",Database!$H461,Database!$H461),""))</f>
        <v/>
      </c>
      <c r="R461" s="24">
        <f>IF(Database!BA461="","",IFERROR(BDH("HSAHP Index","PX_LAST",Database!$H461,Database!$H461),""))</f>
        <v/>
      </c>
    </row>
    <row r="462">
      <c r="A462" s="16">
        <f>Database!A462&amp;"  "&amp;Database!B462</f>
        <v/>
      </c>
      <c r="B462" s="10">
        <f>IFERROR(INDEX(BDS(Database!$A462&amp;" HK Equity","EQUITY_OFFERINGS","array=t","endcol=1"),MATCH("IPO",BDS(Database!$A462&amp;" HK Equity","EQUITY_OFFERINGS","array=t","startcol=2","endcol=2"),0)),"")</f>
        <v/>
      </c>
      <c r="C462" s="103">
        <f>IF($B462="","",IFERROR(BDP($B462&amp;" Action","CP036"),""))</f>
        <v/>
      </c>
      <c r="D462" s="104">
        <f>Database!S462</f>
        <v/>
      </c>
      <c r="E462" s="103">
        <f>IF($B462="","",IFERROR(BDP($B462&amp;" Action","CP037"),""))</f>
        <v/>
      </c>
      <c r="F462" s="104">
        <f>Database!T462</f>
        <v/>
      </c>
      <c r="G462" s="103">
        <f>IF($B462="","",IFERROR(BDP($B462&amp;" Action","GREENSHOE_FACILITY"),""))</f>
        <v/>
      </c>
      <c r="H462" s="103">
        <f>IF($B462="","",IFERROR(BDP($B462&amp;" Action","OFFERING_GREENSHOE_SHARES_EX"),""))</f>
        <v/>
      </c>
      <c r="I462" s="16">
        <f>Database!Z462</f>
        <v/>
      </c>
      <c r="J462" s="24">
        <f>IFERROR(BDP(Database!$A462&amp;" HK Equity","PE_RATIO"),"")</f>
        <v/>
      </c>
      <c r="K462" s="10">
        <f>IFERROR(BDP(Database!$A462&amp;" HK Equity","A/H_SHARE_CONVERSION"),"")</f>
        <v/>
      </c>
      <c r="L462" s="16">
        <f>IF(Database!BA462="","(none found)",Database!BA462)</f>
        <v/>
      </c>
      <c r="M462" s="18">
        <f>IFERROR(BDH(Database!$A462&amp;" HK Equity","CUR_MKT_CAP",Database!$H462,Database!$H462),"")</f>
        <v/>
      </c>
      <c r="N462" s="99">
        <f>Database!Q462</f>
        <v/>
      </c>
      <c r="O462" s="24">
        <f>IFERROR(BDH(Database!$A462&amp;" HK Equity","PE_RATIO",Database!$H462,Database!$H462),"")</f>
        <v/>
      </c>
      <c r="P462" s="101">
        <f>IF(Database!AV462="","(n/m or not derivable)",Database!AV462)</f>
        <v/>
      </c>
      <c r="Q462" s="24">
        <f>IF(Database!BA462="","",IFERROR(BDH(LEFT(Database!BA462,FIND(".",Database!BA462)-1)&amp;" CH Equity","PE_RATIO",Database!$H462,Database!$H462),""))</f>
        <v/>
      </c>
      <c r="R462" s="24">
        <f>IF(Database!BA462="","",IFERROR(BDH("HSAHP Index","PX_LAST",Database!$H462,Database!$H462),""))</f>
        <v/>
      </c>
    </row>
    <row r="463">
      <c r="A463" s="16">
        <f>Database!A463&amp;"  "&amp;Database!B463</f>
        <v/>
      </c>
      <c r="B463" s="10">
        <f>IFERROR(INDEX(BDS(Database!$A463&amp;" HK Equity","EQUITY_OFFERINGS","array=t","endcol=1"),MATCH("IPO",BDS(Database!$A463&amp;" HK Equity","EQUITY_OFFERINGS","array=t","startcol=2","endcol=2"),0)),"")</f>
        <v/>
      </c>
      <c r="C463" s="103">
        <f>IF($B463="","",IFERROR(BDP($B463&amp;" Action","CP036"),""))</f>
        <v/>
      </c>
      <c r="D463" s="104">
        <f>Database!S463</f>
        <v/>
      </c>
      <c r="E463" s="103">
        <f>IF($B463="","",IFERROR(BDP($B463&amp;" Action","CP037"),""))</f>
        <v/>
      </c>
      <c r="F463" s="104">
        <f>Database!T463</f>
        <v/>
      </c>
      <c r="G463" s="103">
        <f>IF($B463="","",IFERROR(BDP($B463&amp;" Action","GREENSHOE_FACILITY"),""))</f>
        <v/>
      </c>
      <c r="H463" s="103">
        <f>IF($B463="","",IFERROR(BDP($B463&amp;" Action","OFFERING_GREENSHOE_SHARES_EX"),""))</f>
        <v/>
      </c>
      <c r="I463" s="16">
        <f>Database!Z463</f>
        <v/>
      </c>
      <c r="J463" s="24">
        <f>IFERROR(BDP(Database!$A463&amp;" HK Equity","PE_RATIO"),"")</f>
        <v/>
      </c>
      <c r="K463" s="10">
        <f>IFERROR(BDP(Database!$A463&amp;" HK Equity","A/H_SHARE_CONVERSION"),"")</f>
        <v/>
      </c>
      <c r="L463" s="16">
        <f>IF(Database!BA463="","(none found)",Database!BA463)</f>
        <v/>
      </c>
      <c r="M463" s="18">
        <f>IFERROR(BDH(Database!$A463&amp;" HK Equity","CUR_MKT_CAP",Database!$H463,Database!$H463),"")</f>
        <v/>
      </c>
      <c r="N463" s="99">
        <f>Database!Q463</f>
        <v/>
      </c>
      <c r="O463" s="24">
        <f>IFERROR(BDH(Database!$A463&amp;" HK Equity","PE_RATIO",Database!$H463,Database!$H463),"")</f>
        <v/>
      </c>
      <c r="P463" s="101">
        <f>IF(Database!AV463="","(n/m or not derivable)",Database!AV463)</f>
        <v/>
      </c>
      <c r="Q463" s="24">
        <f>IF(Database!BA463="","",IFERROR(BDH(LEFT(Database!BA463,FIND(".",Database!BA463)-1)&amp;" CH Equity","PE_RATIO",Database!$H463,Database!$H463),""))</f>
        <v/>
      </c>
      <c r="R463" s="24">
        <f>IF(Database!BA463="","",IFERROR(BDH("HSAHP Index","PX_LAST",Database!$H463,Database!$H463),""))</f>
        <v/>
      </c>
    </row>
    <row r="464">
      <c r="A464" s="16">
        <f>Database!A464&amp;"  "&amp;Database!B464</f>
        <v/>
      </c>
      <c r="B464" s="10">
        <f>IFERROR(INDEX(BDS(Database!$A464&amp;" HK Equity","EQUITY_OFFERINGS","array=t","endcol=1"),MATCH("IPO",BDS(Database!$A464&amp;" HK Equity","EQUITY_OFFERINGS","array=t","startcol=2","endcol=2"),0)),"")</f>
        <v/>
      </c>
      <c r="C464" s="103">
        <f>IF($B464="","",IFERROR(BDP($B464&amp;" Action","CP036"),""))</f>
        <v/>
      </c>
      <c r="D464" s="104">
        <f>Database!S464</f>
        <v/>
      </c>
      <c r="E464" s="103">
        <f>IF($B464="","",IFERROR(BDP($B464&amp;" Action","CP037"),""))</f>
        <v/>
      </c>
      <c r="F464" s="104">
        <f>Database!T464</f>
        <v/>
      </c>
      <c r="G464" s="103">
        <f>IF($B464="","",IFERROR(BDP($B464&amp;" Action","GREENSHOE_FACILITY"),""))</f>
        <v/>
      </c>
      <c r="H464" s="103">
        <f>IF($B464="","",IFERROR(BDP($B464&amp;" Action","OFFERING_GREENSHOE_SHARES_EX"),""))</f>
        <v/>
      </c>
      <c r="I464" s="16">
        <f>Database!Z464</f>
        <v/>
      </c>
      <c r="J464" s="24">
        <f>IFERROR(BDP(Database!$A464&amp;" HK Equity","PE_RATIO"),"")</f>
        <v/>
      </c>
      <c r="K464" s="10">
        <f>IFERROR(BDP(Database!$A464&amp;" HK Equity","A/H_SHARE_CONVERSION"),"")</f>
        <v/>
      </c>
      <c r="L464" s="16">
        <f>IF(Database!BA464="","(none found)",Database!BA464)</f>
        <v/>
      </c>
      <c r="M464" s="18">
        <f>IFERROR(BDH(Database!$A464&amp;" HK Equity","CUR_MKT_CAP",Database!$H464,Database!$H464),"")</f>
        <v/>
      </c>
      <c r="N464" s="99">
        <f>Database!Q464</f>
        <v/>
      </c>
      <c r="O464" s="24">
        <f>IFERROR(BDH(Database!$A464&amp;" HK Equity","PE_RATIO",Database!$H464,Database!$H464),"")</f>
        <v/>
      </c>
      <c r="P464" s="101">
        <f>IF(Database!AV464="","(n/m or not derivable)",Database!AV464)</f>
        <v/>
      </c>
      <c r="Q464" s="24">
        <f>IF(Database!BA464="","",IFERROR(BDH(LEFT(Database!BA464,FIND(".",Database!BA464)-1)&amp;" CH Equity","PE_RATIO",Database!$H464,Database!$H464),""))</f>
        <v/>
      </c>
      <c r="R464" s="24">
        <f>IF(Database!BA464="","",IFERROR(BDH("HSAHP Index","PX_LAST",Database!$H464,Database!$H464),""))</f>
        <v/>
      </c>
    </row>
    <row r="465">
      <c r="A465" s="16">
        <f>Database!A465&amp;"  "&amp;Database!B465</f>
        <v/>
      </c>
      <c r="B465" s="10">
        <f>IFERROR(INDEX(BDS(Database!$A465&amp;" HK Equity","EQUITY_OFFERINGS","array=t","endcol=1"),MATCH("IPO",BDS(Database!$A465&amp;" HK Equity","EQUITY_OFFERINGS","array=t","startcol=2","endcol=2"),0)),"")</f>
        <v/>
      </c>
      <c r="C465" s="103">
        <f>IF($B465="","",IFERROR(BDP($B465&amp;" Action","CP036"),""))</f>
        <v/>
      </c>
      <c r="D465" s="104">
        <f>Database!S465</f>
        <v/>
      </c>
      <c r="E465" s="103">
        <f>IF($B465="","",IFERROR(BDP($B465&amp;" Action","CP037"),""))</f>
        <v/>
      </c>
      <c r="F465" s="104">
        <f>Database!T465</f>
        <v/>
      </c>
      <c r="G465" s="103">
        <f>IF($B465="","",IFERROR(BDP($B465&amp;" Action","GREENSHOE_FACILITY"),""))</f>
        <v/>
      </c>
      <c r="H465" s="103">
        <f>IF($B465="","",IFERROR(BDP($B465&amp;" Action","OFFERING_GREENSHOE_SHARES_EX"),""))</f>
        <v/>
      </c>
      <c r="I465" s="16">
        <f>Database!Z465</f>
        <v/>
      </c>
      <c r="J465" s="24">
        <f>IFERROR(BDP(Database!$A465&amp;" HK Equity","PE_RATIO"),"")</f>
        <v/>
      </c>
      <c r="K465" s="10">
        <f>IFERROR(BDP(Database!$A465&amp;" HK Equity","A/H_SHARE_CONVERSION"),"")</f>
        <v/>
      </c>
      <c r="L465" s="16">
        <f>IF(Database!BA465="","(none found)",Database!BA465)</f>
        <v/>
      </c>
      <c r="M465" s="18">
        <f>IFERROR(BDH(Database!$A465&amp;" HK Equity","CUR_MKT_CAP",Database!$H465,Database!$H465),"")</f>
        <v/>
      </c>
      <c r="N465" s="99">
        <f>Database!Q465</f>
        <v/>
      </c>
      <c r="O465" s="24">
        <f>IFERROR(BDH(Database!$A465&amp;" HK Equity","PE_RATIO",Database!$H465,Database!$H465),"")</f>
        <v/>
      </c>
      <c r="P465" s="101">
        <f>IF(Database!AV465="","(n/m or not derivable)",Database!AV465)</f>
        <v/>
      </c>
      <c r="Q465" s="24">
        <f>IF(Database!BA465="","",IFERROR(BDH(LEFT(Database!BA465,FIND(".",Database!BA465)-1)&amp;" CH Equity","PE_RATIO",Database!$H465,Database!$H465),""))</f>
        <v/>
      </c>
      <c r="R465" s="24">
        <f>IF(Database!BA465="","",IFERROR(BDH("HSAHP Index","PX_LAST",Database!$H465,Database!$H465),""))</f>
        <v/>
      </c>
    </row>
    <row r="466">
      <c r="A466" s="16">
        <f>Database!A466&amp;"  "&amp;Database!B466</f>
        <v/>
      </c>
      <c r="B466" s="10">
        <f>IFERROR(INDEX(BDS(Database!$A466&amp;" HK Equity","EQUITY_OFFERINGS","array=t","endcol=1"),MATCH("IPO",BDS(Database!$A466&amp;" HK Equity","EQUITY_OFFERINGS","array=t","startcol=2","endcol=2"),0)),"")</f>
        <v/>
      </c>
      <c r="C466" s="103">
        <f>IF($B466="","",IFERROR(BDP($B466&amp;" Action","CP036"),""))</f>
        <v/>
      </c>
      <c r="D466" s="104">
        <f>Database!S466</f>
        <v/>
      </c>
      <c r="E466" s="103">
        <f>IF($B466="","",IFERROR(BDP($B466&amp;" Action","CP037"),""))</f>
        <v/>
      </c>
      <c r="F466" s="104">
        <f>Database!T466</f>
        <v/>
      </c>
      <c r="G466" s="103">
        <f>IF($B466="","",IFERROR(BDP($B466&amp;" Action","GREENSHOE_FACILITY"),""))</f>
        <v/>
      </c>
      <c r="H466" s="103">
        <f>IF($B466="","",IFERROR(BDP($B466&amp;" Action","OFFERING_GREENSHOE_SHARES_EX"),""))</f>
        <v/>
      </c>
      <c r="I466" s="16">
        <f>Database!Z466</f>
        <v/>
      </c>
      <c r="J466" s="24">
        <f>IFERROR(BDP(Database!$A466&amp;" HK Equity","PE_RATIO"),"")</f>
        <v/>
      </c>
      <c r="K466" s="10">
        <f>IFERROR(BDP(Database!$A466&amp;" HK Equity","A/H_SHARE_CONVERSION"),"")</f>
        <v/>
      </c>
      <c r="L466" s="16">
        <f>IF(Database!BA466="","(none found)",Database!BA466)</f>
        <v/>
      </c>
      <c r="M466" s="18">
        <f>IFERROR(BDH(Database!$A466&amp;" HK Equity","CUR_MKT_CAP",Database!$H466,Database!$H466),"")</f>
        <v/>
      </c>
      <c r="N466" s="99">
        <f>Database!Q466</f>
        <v/>
      </c>
      <c r="O466" s="24">
        <f>IFERROR(BDH(Database!$A466&amp;" HK Equity","PE_RATIO",Database!$H466,Database!$H466),"")</f>
        <v/>
      </c>
      <c r="P466" s="101">
        <f>IF(Database!AV466="","(n/m or not derivable)",Database!AV466)</f>
        <v/>
      </c>
      <c r="Q466" s="24">
        <f>IF(Database!BA466="","",IFERROR(BDH(LEFT(Database!BA466,FIND(".",Database!BA466)-1)&amp;" CH Equity","PE_RATIO",Database!$H466,Database!$H466),""))</f>
        <v/>
      </c>
      <c r="R466" s="24">
        <f>IF(Database!BA466="","",IFERROR(BDH("HSAHP Index","PX_LAST",Database!$H466,Database!$H466),""))</f>
        <v/>
      </c>
    </row>
    <row r="467">
      <c r="A467" s="16">
        <f>Database!A467&amp;"  "&amp;Database!B467</f>
        <v/>
      </c>
      <c r="B467" s="10">
        <f>IFERROR(INDEX(BDS(Database!$A467&amp;" HK Equity","EQUITY_OFFERINGS","array=t","endcol=1"),MATCH("IPO",BDS(Database!$A467&amp;" HK Equity","EQUITY_OFFERINGS","array=t","startcol=2","endcol=2"),0)),"")</f>
        <v/>
      </c>
      <c r="C467" s="103">
        <f>IF($B467="","",IFERROR(BDP($B467&amp;" Action","CP036"),""))</f>
        <v/>
      </c>
      <c r="D467" s="104">
        <f>Database!S467</f>
        <v/>
      </c>
      <c r="E467" s="103">
        <f>IF($B467="","",IFERROR(BDP($B467&amp;" Action","CP037"),""))</f>
        <v/>
      </c>
      <c r="F467" s="104">
        <f>Database!T467</f>
        <v/>
      </c>
      <c r="G467" s="103">
        <f>IF($B467="","",IFERROR(BDP($B467&amp;" Action","GREENSHOE_FACILITY"),""))</f>
        <v/>
      </c>
      <c r="H467" s="103">
        <f>IF($B467="","",IFERROR(BDP($B467&amp;" Action","OFFERING_GREENSHOE_SHARES_EX"),""))</f>
        <v/>
      </c>
      <c r="I467" s="16">
        <f>Database!Z467</f>
        <v/>
      </c>
      <c r="J467" s="24">
        <f>IFERROR(BDP(Database!$A467&amp;" HK Equity","PE_RATIO"),"")</f>
        <v/>
      </c>
      <c r="K467" s="10">
        <f>IFERROR(BDP(Database!$A467&amp;" HK Equity","A/H_SHARE_CONVERSION"),"")</f>
        <v/>
      </c>
      <c r="L467" s="16">
        <f>IF(Database!BA467="","(none found)",Database!BA467)</f>
        <v/>
      </c>
      <c r="M467" s="18">
        <f>IFERROR(BDH(Database!$A467&amp;" HK Equity","CUR_MKT_CAP",Database!$H467,Database!$H467),"")</f>
        <v/>
      </c>
      <c r="N467" s="99">
        <f>Database!Q467</f>
        <v/>
      </c>
      <c r="O467" s="24">
        <f>IFERROR(BDH(Database!$A467&amp;" HK Equity","PE_RATIO",Database!$H467,Database!$H467),"")</f>
        <v/>
      </c>
      <c r="P467" s="101">
        <f>IF(Database!AV467="","(n/m or not derivable)",Database!AV467)</f>
        <v/>
      </c>
      <c r="Q467" s="24">
        <f>IF(Database!BA467="","",IFERROR(BDH(LEFT(Database!BA467,FIND(".",Database!BA467)-1)&amp;" CH Equity","PE_RATIO",Database!$H467,Database!$H467),""))</f>
        <v/>
      </c>
      <c r="R467" s="24">
        <f>IF(Database!BA467="","",IFERROR(BDH("HSAHP Index","PX_LAST",Database!$H467,Database!$H467),""))</f>
        <v/>
      </c>
    </row>
    <row r="468">
      <c r="A468" s="16">
        <f>Database!A468&amp;"  "&amp;Database!B468</f>
        <v/>
      </c>
      <c r="B468" s="10">
        <f>IFERROR(INDEX(BDS(Database!$A468&amp;" HK Equity","EQUITY_OFFERINGS","array=t","endcol=1"),MATCH("IPO",BDS(Database!$A468&amp;" HK Equity","EQUITY_OFFERINGS","array=t","startcol=2","endcol=2"),0)),"")</f>
        <v/>
      </c>
      <c r="C468" s="103">
        <f>IF($B468="","",IFERROR(BDP($B468&amp;" Action","CP036"),""))</f>
        <v/>
      </c>
      <c r="D468" s="104">
        <f>Database!S468</f>
        <v/>
      </c>
      <c r="E468" s="103">
        <f>IF($B468="","",IFERROR(BDP($B468&amp;" Action","CP037"),""))</f>
        <v/>
      </c>
      <c r="F468" s="104">
        <f>Database!T468</f>
        <v/>
      </c>
      <c r="G468" s="103">
        <f>IF($B468="","",IFERROR(BDP($B468&amp;" Action","GREENSHOE_FACILITY"),""))</f>
        <v/>
      </c>
      <c r="H468" s="103">
        <f>IF($B468="","",IFERROR(BDP($B468&amp;" Action","OFFERING_GREENSHOE_SHARES_EX"),""))</f>
        <v/>
      </c>
      <c r="I468" s="16">
        <f>Database!Z468</f>
        <v/>
      </c>
      <c r="J468" s="24">
        <f>IFERROR(BDP(Database!$A468&amp;" HK Equity","PE_RATIO"),"")</f>
        <v/>
      </c>
      <c r="K468" s="10">
        <f>IFERROR(BDP(Database!$A468&amp;" HK Equity","A/H_SHARE_CONVERSION"),"")</f>
        <v/>
      </c>
      <c r="L468" s="16">
        <f>IF(Database!BA468="","(none found)",Database!BA468)</f>
        <v/>
      </c>
      <c r="M468" s="18">
        <f>IFERROR(BDH(Database!$A468&amp;" HK Equity","CUR_MKT_CAP",Database!$H468,Database!$H468),"")</f>
        <v/>
      </c>
      <c r="N468" s="99">
        <f>Database!Q468</f>
        <v/>
      </c>
      <c r="O468" s="24">
        <f>IFERROR(BDH(Database!$A468&amp;" HK Equity","PE_RATIO",Database!$H468,Database!$H468),"")</f>
        <v/>
      </c>
      <c r="P468" s="101">
        <f>IF(Database!AV468="","(n/m or not derivable)",Database!AV468)</f>
        <v/>
      </c>
      <c r="Q468" s="24">
        <f>IF(Database!BA468="","",IFERROR(BDH(LEFT(Database!BA468,FIND(".",Database!BA468)-1)&amp;" CH Equity","PE_RATIO",Database!$H468,Database!$H468),""))</f>
        <v/>
      </c>
      <c r="R468" s="24">
        <f>IF(Database!BA468="","",IFERROR(BDH("HSAHP Index","PX_LAST",Database!$H468,Database!$H468),""))</f>
        <v/>
      </c>
    </row>
    <row r="469">
      <c r="A469" s="16">
        <f>Database!A469&amp;"  "&amp;Database!B469</f>
        <v/>
      </c>
      <c r="B469" s="10">
        <f>IFERROR(INDEX(BDS(Database!$A469&amp;" HK Equity","EQUITY_OFFERINGS","array=t","endcol=1"),MATCH("IPO",BDS(Database!$A469&amp;" HK Equity","EQUITY_OFFERINGS","array=t","startcol=2","endcol=2"),0)),"")</f>
        <v/>
      </c>
      <c r="C469" s="103">
        <f>IF($B469="","",IFERROR(BDP($B469&amp;" Action","CP036"),""))</f>
        <v/>
      </c>
      <c r="D469" s="104">
        <f>Database!S469</f>
        <v/>
      </c>
      <c r="E469" s="103">
        <f>IF($B469="","",IFERROR(BDP($B469&amp;" Action","CP037"),""))</f>
        <v/>
      </c>
      <c r="F469" s="104">
        <f>Database!T469</f>
        <v/>
      </c>
      <c r="G469" s="103">
        <f>IF($B469="","",IFERROR(BDP($B469&amp;" Action","GREENSHOE_FACILITY"),""))</f>
        <v/>
      </c>
      <c r="H469" s="103">
        <f>IF($B469="","",IFERROR(BDP($B469&amp;" Action","OFFERING_GREENSHOE_SHARES_EX"),""))</f>
        <v/>
      </c>
      <c r="I469" s="16">
        <f>Database!Z469</f>
        <v/>
      </c>
      <c r="J469" s="24">
        <f>IFERROR(BDP(Database!$A469&amp;" HK Equity","PE_RATIO"),"")</f>
        <v/>
      </c>
      <c r="K469" s="10">
        <f>IFERROR(BDP(Database!$A469&amp;" HK Equity","A/H_SHARE_CONVERSION"),"")</f>
        <v/>
      </c>
      <c r="L469" s="16">
        <f>IF(Database!BA469="","(none found)",Database!BA469)</f>
        <v/>
      </c>
      <c r="M469" s="18">
        <f>IFERROR(BDH(Database!$A469&amp;" HK Equity","CUR_MKT_CAP",Database!$H469,Database!$H469),"")</f>
        <v/>
      </c>
      <c r="N469" s="99">
        <f>Database!Q469</f>
        <v/>
      </c>
      <c r="O469" s="24">
        <f>IFERROR(BDH(Database!$A469&amp;" HK Equity","PE_RATIO",Database!$H469,Database!$H469),"")</f>
        <v/>
      </c>
      <c r="P469" s="101">
        <f>IF(Database!AV469="","(n/m or not derivable)",Database!AV469)</f>
        <v/>
      </c>
      <c r="Q469" s="24">
        <f>IF(Database!BA469="","",IFERROR(BDH(LEFT(Database!BA469,FIND(".",Database!BA469)-1)&amp;" CH Equity","PE_RATIO",Database!$H469,Database!$H469),""))</f>
        <v/>
      </c>
      <c r="R469" s="24">
        <f>IF(Database!BA469="","",IFERROR(BDH("HSAHP Index","PX_LAST",Database!$H469,Database!$H469),""))</f>
        <v/>
      </c>
    </row>
    <row r="470">
      <c r="A470" s="16">
        <f>Database!A470&amp;"  "&amp;Database!B470</f>
        <v/>
      </c>
      <c r="B470" s="10">
        <f>IFERROR(INDEX(BDS(Database!$A470&amp;" HK Equity","EQUITY_OFFERINGS","array=t","endcol=1"),MATCH("IPO",BDS(Database!$A470&amp;" HK Equity","EQUITY_OFFERINGS","array=t","startcol=2","endcol=2"),0)),"")</f>
        <v/>
      </c>
      <c r="C470" s="103">
        <f>IF($B470="","",IFERROR(BDP($B470&amp;" Action","CP036"),""))</f>
        <v/>
      </c>
      <c r="D470" s="104">
        <f>Database!S470</f>
        <v/>
      </c>
      <c r="E470" s="103">
        <f>IF($B470="","",IFERROR(BDP($B470&amp;" Action","CP037"),""))</f>
        <v/>
      </c>
      <c r="F470" s="104">
        <f>Database!T470</f>
        <v/>
      </c>
      <c r="G470" s="103">
        <f>IF($B470="","",IFERROR(BDP($B470&amp;" Action","GREENSHOE_FACILITY"),""))</f>
        <v/>
      </c>
      <c r="H470" s="103">
        <f>IF($B470="","",IFERROR(BDP($B470&amp;" Action","OFFERING_GREENSHOE_SHARES_EX"),""))</f>
        <v/>
      </c>
      <c r="I470" s="16">
        <f>Database!Z470</f>
        <v/>
      </c>
      <c r="J470" s="24">
        <f>IFERROR(BDP(Database!$A470&amp;" HK Equity","PE_RATIO"),"")</f>
        <v/>
      </c>
      <c r="K470" s="10">
        <f>IFERROR(BDP(Database!$A470&amp;" HK Equity","A/H_SHARE_CONVERSION"),"")</f>
        <v/>
      </c>
      <c r="L470" s="16">
        <f>IF(Database!BA470="","(none found)",Database!BA470)</f>
        <v/>
      </c>
      <c r="M470" s="18">
        <f>IFERROR(BDH(Database!$A470&amp;" HK Equity","CUR_MKT_CAP",Database!$H470,Database!$H470),"")</f>
        <v/>
      </c>
      <c r="N470" s="99">
        <f>Database!Q470</f>
        <v/>
      </c>
      <c r="O470" s="24">
        <f>IFERROR(BDH(Database!$A470&amp;" HK Equity","PE_RATIO",Database!$H470,Database!$H470),"")</f>
        <v/>
      </c>
      <c r="P470" s="101">
        <f>IF(Database!AV470="","(n/m or not derivable)",Database!AV470)</f>
        <v/>
      </c>
      <c r="Q470" s="24">
        <f>IF(Database!BA470="","",IFERROR(BDH(LEFT(Database!BA470,FIND(".",Database!BA470)-1)&amp;" CH Equity","PE_RATIO",Database!$H470,Database!$H470),""))</f>
        <v/>
      </c>
      <c r="R470" s="24">
        <f>IF(Database!BA470="","",IFERROR(BDH("HSAHP Index","PX_LAST",Database!$H470,Database!$H470),""))</f>
        <v/>
      </c>
    </row>
    <row r="471">
      <c r="A471" s="16">
        <f>Database!A471&amp;"  "&amp;Database!B471</f>
        <v/>
      </c>
      <c r="B471" s="10">
        <f>IFERROR(INDEX(BDS(Database!$A471&amp;" HK Equity","EQUITY_OFFERINGS","array=t","endcol=1"),MATCH("IPO",BDS(Database!$A471&amp;" HK Equity","EQUITY_OFFERINGS","array=t","startcol=2","endcol=2"),0)),"")</f>
        <v/>
      </c>
      <c r="C471" s="103">
        <f>IF($B471="","",IFERROR(BDP($B471&amp;" Action","CP036"),""))</f>
        <v/>
      </c>
      <c r="D471" s="104">
        <f>Database!S471</f>
        <v/>
      </c>
      <c r="E471" s="103">
        <f>IF($B471="","",IFERROR(BDP($B471&amp;" Action","CP037"),""))</f>
        <v/>
      </c>
      <c r="F471" s="104">
        <f>Database!T471</f>
        <v/>
      </c>
      <c r="G471" s="103">
        <f>IF($B471="","",IFERROR(BDP($B471&amp;" Action","GREENSHOE_FACILITY"),""))</f>
        <v/>
      </c>
      <c r="H471" s="103">
        <f>IF($B471="","",IFERROR(BDP($B471&amp;" Action","OFFERING_GREENSHOE_SHARES_EX"),""))</f>
        <v/>
      </c>
      <c r="I471" s="16">
        <f>Database!Z471</f>
        <v/>
      </c>
      <c r="J471" s="24">
        <f>IFERROR(BDP(Database!$A471&amp;" HK Equity","PE_RATIO"),"")</f>
        <v/>
      </c>
      <c r="K471" s="10">
        <f>IFERROR(BDP(Database!$A471&amp;" HK Equity","A/H_SHARE_CONVERSION"),"")</f>
        <v/>
      </c>
      <c r="L471" s="16">
        <f>IF(Database!BA471="","(none found)",Database!BA471)</f>
        <v/>
      </c>
      <c r="M471" s="18">
        <f>IFERROR(BDH(Database!$A471&amp;" HK Equity","CUR_MKT_CAP",Database!$H471,Database!$H471),"")</f>
        <v/>
      </c>
      <c r="N471" s="99">
        <f>Database!Q471</f>
        <v/>
      </c>
      <c r="O471" s="24">
        <f>IFERROR(BDH(Database!$A471&amp;" HK Equity","PE_RATIO",Database!$H471,Database!$H471),"")</f>
        <v/>
      </c>
      <c r="P471" s="101">
        <f>IF(Database!AV471="","(n/m or not derivable)",Database!AV471)</f>
        <v/>
      </c>
      <c r="Q471" s="24">
        <f>IF(Database!BA471="","",IFERROR(BDH(LEFT(Database!BA471,FIND(".",Database!BA471)-1)&amp;" CH Equity","PE_RATIO",Database!$H471,Database!$H471),""))</f>
        <v/>
      </c>
      <c r="R471" s="24">
        <f>IF(Database!BA471="","",IFERROR(BDH("HSAHP Index","PX_LAST",Database!$H471,Database!$H471),""))</f>
        <v/>
      </c>
    </row>
    <row r="472">
      <c r="A472" s="16">
        <f>Database!A472&amp;"  "&amp;Database!B472</f>
        <v/>
      </c>
      <c r="B472" s="10">
        <f>IFERROR(INDEX(BDS(Database!$A472&amp;" HK Equity","EQUITY_OFFERINGS","array=t","endcol=1"),MATCH("IPO",BDS(Database!$A472&amp;" HK Equity","EQUITY_OFFERINGS","array=t","startcol=2","endcol=2"),0)),"")</f>
        <v/>
      </c>
      <c r="C472" s="103">
        <f>IF($B472="","",IFERROR(BDP($B472&amp;" Action","CP036"),""))</f>
        <v/>
      </c>
      <c r="D472" s="104">
        <f>Database!S472</f>
        <v/>
      </c>
      <c r="E472" s="103">
        <f>IF($B472="","",IFERROR(BDP($B472&amp;" Action","CP037"),""))</f>
        <v/>
      </c>
      <c r="F472" s="104">
        <f>Database!T472</f>
        <v/>
      </c>
      <c r="G472" s="103">
        <f>IF($B472="","",IFERROR(BDP($B472&amp;" Action","GREENSHOE_FACILITY"),""))</f>
        <v/>
      </c>
      <c r="H472" s="103">
        <f>IF($B472="","",IFERROR(BDP($B472&amp;" Action","OFFERING_GREENSHOE_SHARES_EX"),""))</f>
        <v/>
      </c>
      <c r="I472" s="16">
        <f>Database!Z472</f>
        <v/>
      </c>
      <c r="J472" s="24">
        <f>IFERROR(BDP(Database!$A472&amp;" HK Equity","PE_RATIO"),"")</f>
        <v/>
      </c>
      <c r="K472" s="10">
        <f>IFERROR(BDP(Database!$A472&amp;" HK Equity","A/H_SHARE_CONVERSION"),"")</f>
        <v/>
      </c>
      <c r="L472" s="16">
        <f>IF(Database!BA472="","(none found)",Database!BA472)</f>
        <v/>
      </c>
      <c r="M472" s="18">
        <f>IFERROR(BDH(Database!$A472&amp;" HK Equity","CUR_MKT_CAP",Database!$H472,Database!$H472),"")</f>
        <v/>
      </c>
      <c r="N472" s="99">
        <f>Database!Q472</f>
        <v/>
      </c>
      <c r="O472" s="24">
        <f>IFERROR(BDH(Database!$A472&amp;" HK Equity","PE_RATIO",Database!$H472,Database!$H472),"")</f>
        <v/>
      </c>
      <c r="P472" s="101">
        <f>IF(Database!AV472="","(n/m or not derivable)",Database!AV472)</f>
        <v/>
      </c>
      <c r="Q472" s="24">
        <f>IF(Database!BA472="","",IFERROR(BDH(LEFT(Database!BA472,FIND(".",Database!BA472)-1)&amp;" CH Equity","PE_RATIO",Database!$H472,Database!$H472),""))</f>
        <v/>
      </c>
      <c r="R472" s="24">
        <f>IF(Database!BA472="","",IFERROR(BDH("HSAHP Index","PX_LAST",Database!$H472,Database!$H472),""))</f>
        <v/>
      </c>
    </row>
    <row r="473">
      <c r="A473" s="16">
        <f>Database!A473&amp;"  "&amp;Database!B473</f>
        <v/>
      </c>
      <c r="B473" s="10">
        <f>IFERROR(INDEX(BDS(Database!$A473&amp;" HK Equity","EQUITY_OFFERINGS","array=t","endcol=1"),MATCH("IPO",BDS(Database!$A473&amp;" HK Equity","EQUITY_OFFERINGS","array=t","startcol=2","endcol=2"),0)),"")</f>
        <v/>
      </c>
      <c r="C473" s="103">
        <f>IF($B473="","",IFERROR(BDP($B473&amp;" Action","CP036"),""))</f>
        <v/>
      </c>
      <c r="D473" s="104">
        <f>Database!S473</f>
        <v/>
      </c>
      <c r="E473" s="103">
        <f>IF($B473="","",IFERROR(BDP($B473&amp;" Action","CP037"),""))</f>
        <v/>
      </c>
      <c r="F473" s="104">
        <f>Database!T473</f>
        <v/>
      </c>
      <c r="G473" s="103">
        <f>IF($B473="","",IFERROR(BDP($B473&amp;" Action","GREENSHOE_FACILITY"),""))</f>
        <v/>
      </c>
      <c r="H473" s="103">
        <f>IF($B473="","",IFERROR(BDP($B473&amp;" Action","OFFERING_GREENSHOE_SHARES_EX"),""))</f>
        <v/>
      </c>
      <c r="I473" s="16">
        <f>Database!Z473</f>
        <v/>
      </c>
      <c r="J473" s="24">
        <f>IFERROR(BDP(Database!$A473&amp;" HK Equity","PE_RATIO"),"")</f>
        <v/>
      </c>
      <c r="K473" s="10">
        <f>IFERROR(BDP(Database!$A473&amp;" HK Equity","A/H_SHARE_CONVERSION"),"")</f>
        <v/>
      </c>
      <c r="L473" s="16">
        <f>IF(Database!BA473="","(none found)",Database!BA473)</f>
        <v/>
      </c>
      <c r="M473" s="18">
        <f>IFERROR(BDH(Database!$A473&amp;" HK Equity","CUR_MKT_CAP",Database!$H473,Database!$H473),"")</f>
        <v/>
      </c>
      <c r="N473" s="99">
        <f>Database!Q473</f>
        <v/>
      </c>
      <c r="O473" s="24">
        <f>IFERROR(BDH(Database!$A473&amp;" HK Equity","PE_RATIO",Database!$H473,Database!$H473),"")</f>
        <v/>
      </c>
      <c r="P473" s="101">
        <f>IF(Database!AV473="","(n/m or not derivable)",Database!AV473)</f>
        <v/>
      </c>
      <c r="Q473" s="24">
        <f>IF(Database!BA473="","",IFERROR(BDH(LEFT(Database!BA473,FIND(".",Database!BA473)-1)&amp;" CH Equity","PE_RATIO",Database!$H473,Database!$H473),""))</f>
        <v/>
      </c>
      <c r="R473" s="24">
        <f>IF(Database!BA473="","",IFERROR(BDH("HSAHP Index","PX_LAST",Database!$H473,Database!$H473),""))</f>
        <v/>
      </c>
    </row>
    <row r="474">
      <c r="A474" s="16">
        <f>Database!A474&amp;"  "&amp;Database!B474</f>
        <v/>
      </c>
      <c r="B474" s="10">
        <f>IFERROR(INDEX(BDS(Database!$A474&amp;" HK Equity","EQUITY_OFFERINGS","array=t","endcol=1"),MATCH("IPO",BDS(Database!$A474&amp;" HK Equity","EQUITY_OFFERINGS","array=t","startcol=2","endcol=2"),0)),"")</f>
        <v/>
      </c>
      <c r="C474" s="103">
        <f>IF($B474="","",IFERROR(BDP($B474&amp;" Action","CP036"),""))</f>
        <v/>
      </c>
      <c r="D474" s="104">
        <f>Database!S474</f>
        <v/>
      </c>
      <c r="E474" s="103">
        <f>IF($B474="","",IFERROR(BDP($B474&amp;" Action","CP037"),""))</f>
        <v/>
      </c>
      <c r="F474" s="104">
        <f>Database!T474</f>
        <v/>
      </c>
      <c r="G474" s="103">
        <f>IF($B474="","",IFERROR(BDP($B474&amp;" Action","GREENSHOE_FACILITY"),""))</f>
        <v/>
      </c>
      <c r="H474" s="103">
        <f>IF($B474="","",IFERROR(BDP($B474&amp;" Action","OFFERING_GREENSHOE_SHARES_EX"),""))</f>
        <v/>
      </c>
      <c r="I474" s="16">
        <f>Database!Z474</f>
        <v/>
      </c>
      <c r="J474" s="24">
        <f>IFERROR(BDP(Database!$A474&amp;" HK Equity","PE_RATIO"),"")</f>
        <v/>
      </c>
      <c r="K474" s="10">
        <f>IFERROR(BDP(Database!$A474&amp;" HK Equity","A/H_SHARE_CONVERSION"),"")</f>
        <v/>
      </c>
      <c r="L474" s="16">
        <f>IF(Database!BA474="","(none found)",Database!BA474)</f>
        <v/>
      </c>
      <c r="M474" s="18">
        <f>IFERROR(BDH(Database!$A474&amp;" HK Equity","CUR_MKT_CAP",Database!$H474,Database!$H474),"")</f>
        <v/>
      </c>
      <c r="N474" s="99">
        <f>Database!Q474</f>
        <v/>
      </c>
      <c r="O474" s="24">
        <f>IFERROR(BDH(Database!$A474&amp;" HK Equity","PE_RATIO",Database!$H474,Database!$H474),"")</f>
        <v/>
      </c>
      <c r="P474" s="101">
        <f>IF(Database!AV474="","(n/m or not derivable)",Database!AV474)</f>
        <v/>
      </c>
      <c r="Q474" s="24">
        <f>IF(Database!BA474="","",IFERROR(BDH(LEFT(Database!BA474,FIND(".",Database!BA474)-1)&amp;" CH Equity","PE_RATIO",Database!$H474,Database!$H474),""))</f>
        <v/>
      </c>
      <c r="R474" s="24">
        <f>IF(Database!BA474="","",IFERROR(BDH("HSAHP Index","PX_LAST",Database!$H474,Database!$H474),""))</f>
        <v/>
      </c>
    </row>
    <row r="475">
      <c r="A475" s="16">
        <f>Database!A475&amp;"  "&amp;Database!B475</f>
        <v/>
      </c>
      <c r="B475" s="10">
        <f>IFERROR(INDEX(BDS(Database!$A475&amp;" HK Equity","EQUITY_OFFERINGS","array=t","endcol=1"),MATCH("IPO",BDS(Database!$A475&amp;" HK Equity","EQUITY_OFFERINGS","array=t","startcol=2","endcol=2"),0)),"")</f>
        <v/>
      </c>
      <c r="C475" s="103">
        <f>IF($B475="","",IFERROR(BDP($B475&amp;" Action","CP036"),""))</f>
        <v/>
      </c>
      <c r="D475" s="104">
        <f>Database!S475</f>
        <v/>
      </c>
      <c r="E475" s="103">
        <f>IF($B475="","",IFERROR(BDP($B475&amp;" Action","CP037"),""))</f>
        <v/>
      </c>
      <c r="F475" s="104">
        <f>Database!T475</f>
        <v/>
      </c>
      <c r="G475" s="103">
        <f>IF($B475="","",IFERROR(BDP($B475&amp;" Action","GREENSHOE_FACILITY"),""))</f>
        <v/>
      </c>
      <c r="H475" s="103">
        <f>IF($B475="","",IFERROR(BDP($B475&amp;" Action","OFFERING_GREENSHOE_SHARES_EX"),""))</f>
        <v/>
      </c>
      <c r="I475" s="16">
        <f>Database!Z475</f>
        <v/>
      </c>
      <c r="J475" s="24">
        <f>IFERROR(BDP(Database!$A475&amp;" HK Equity","PE_RATIO"),"")</f>
        <v/>
      </c>
      <c r="K475" s="10">
        <f>IFERROR(BDP(Database!$A475&amp;" HK Equity","A/H_SHARE_CONVERSION"),"")</f>
        <v/>
      </c>
      <c r="L475" s="16">
        <f>IF(Database!BA475="","(none found)",Database!BA475)</f>
        <v/>
      </c>
      <c r="M475" s="18">
        <f>IFERROR(BDH(Database!$A475&amp;" HK Equity","CUR_MKT_CAP",Database!$H475,Database!$H475),"")</f>
        <v/>
      </c>
      <c r="N475" s="99">
        <f>Database!Q475</f>
        <v/>
      </c>
      <c r="O475" s="24">
        <f>IFERROR(BDH(Database!$A475&amp;" HK Equity","PE_RATIO",Database!$H475,Database!$H475),"")</f>
        <v/>
      </c>
      <c r="P475" s="101">
        <f>IF(Database!AV475="","(n/m or not derivable)",Database!AV475)</f>
        <v/>
      </c>
      <c r="Q475" s="24">
        <f>IF(Database!BA475="","",IFERROR(BDH(LEFT(Database!BA475,FIND(".",Database!BA475)-1)&amp;" CH Equity","PE_RATIO",Database!$H475,Database!$H475),""))</f>
        <v/>
      </c>
      <c r="R475" s="24">
        <f>IF(Database!BA475="","",IFERROR(BDH("HSAHP Index","PX_LAST",Database!$H475,Database!$H475),""))</f>
        <v/>
      </c>
    </row>
    <row r="476">
      <c r="A476" s="16">
        <f>Database!A476&amp;"  "&amp;Database!B476</f>
        <v/>
      </c>
      <c r="B476" s="10">
        <f>IFERROR(INDEX(BDS(Database!$A476&amp;" HK Equity","EQUITY_OFFERINGS","array=t","endcol=1"),MATCH("IPO",BDS(Database!$A476&amp;" HK Equity","EQUITY_OFFERINGS","array=t","startcol=2","endcol=2"),0)),"")</f>
        <v/>
      </c>
      <c r="C476" s="103">
        <f>IF($B476="","",IFERROR(BDP($B476&amp;" Action","CP036"),""))</f>
        <v/>
      </c>
      <c r="D476" s="104">
        <f>Database!S476</f>
        <v/>
      </c>
      <c r="E476" s="103">
        <f>IF($B476="","",IFERROR(BDP($B476&amp;" Action","CP037"),""))</f>
        <v/>
      </c>
      <c r="F476" s="104">
        <f>Database!T476</f>
        <v/>
      </c>
      <c r="G476" s="103">
        <f>IF($B476="","",IFERROR(BDP($B476&amp;" Action","GREENSHOE_FACILITY"),""))</f>
        <v/>
      </c>
      <c r="H476" s="103">
        <f>IF($B476="","",IFERROR(BDP($B476&amp;" Action","OFFERING_GREENSHOE_SHARES_EX"),""))</f>
        <v/>
      </c>
      <c r="I476" s="16">
        <f>Database!Z476</f>
        <v/>
      </c>
      <c r="J476" s="24">
        <f>IFERROR(BDP(Database!$A476&amp;" HK Equity","PE_RATIO"),"")</f>
        <v/>
      </c>
      <c r="K476" s="10">
        <f>IFERROR(BDP(Database!$A476&amp;" HK Equity","A/H_SHARE_CONVERSION"),"")</f>
        <v/>
      </c>
      <c r="L476" s="16">
        <f>IF(Database!BA476="","(none found)",Database!BA476)</f>
        <v/>
      </c>
      <c r="M476" s="18">
        <f>IFERROR(BDH(Database!$A476&amp;" HK Equity","CUR_MKT_CAP",Database!$H476,Database!$H476),"")</f>
        <v/>
      </c>
      <c r="N476" s="99">
        <f>Database!Q476</f>
        <v/>
      </c>
      <c r="O476" s="24">
        <f>IFERROR(BDH(Database!$A476&amp;" HK Equity","PE_RATIO",Database!$H476,Database!$H476),"")</f>
        <v/>
      </c>
      <c r="P476" s="101">
        <f>IF(Database!AV476="","(n/m or not derivable)",Database!AV476)</f>
        <v/>
      </c>
      <c r="Q476" s="24">
        <f>IF(Database!BA476="","",IFERROR(BDH(LEFT(Database!BA476,FIND(".",Database!BA476)-1)&amp;" CH Equity","PE_RATIO",Database!$H476,Database!$H476),""))</f>
        <v/>
      </c>
      <c r="R476" s="24">
        <f>IF(Database!BA476="","",IFERROR(BDH("HSAHP Index","PX_LAST",Database!$H476,Database!$H476),""))</f>
        <v/>
      </c>
    </row>
    <row r="477">
      <c r="A477" s="16">
        <f>Database!A477&amp;"  "&amp;Database!B477</f>
        <v/>
      </c>
      <c r="B477" s="10">
        <f>IFERROR(INDEX(BDS(Database!$A477&amp;" HK Equity","EQUITY_OFFERINGS","array=t","endcol=1"),MATCH("IPO",BDS(Database!$A477&amp;" HK Equity","EQUITY_OFFERINGS","array=t","startcol=2","endcol=2"),0)),"")</f>
        <v/>
      </c>
      <c r="C477" s="103">
        <f>IF($B477="","",IFERROR(BDP($B477&amp;" Action","CP036"),""))</f>
        <v/>
      </c>
      <c r="D477" s="104">
        <f>Database!S477</f>
        <v/>
      </c>
      <c r="E477" s="103">
        <f>IF($B477="","",IFERROR(BDP($B477&amp;" Action","CP037"),""))</f>
        <v/>
      </c>
      <c r="F477" s="104">
        <f>Database!T477</f>
        <v/>
      </c>
      <c r="G477" s="103">
        <f>IF($B477="","",IFERROR(BDP($B477&amp;" Action","GREENSHOE_FACILITY"),""))</f>
        <v/>
      </c>
      <c r="H477" s="103">
        <f>IF($B477="","",IFERROR(BDP($B477&amp;" Action","OFFERING_GREENSHOE_SHARES_EX"),""))</f>
        <v/>
      </c>
      <c r="I477" s="16">
        <f>Database!Z477</f>
        <v/>
      </c>
      <c r="J477" s="24">
        <f>IFERROR(BDP(Database!$A477&amp;" HK Equity","PE_RATIO"),"")</f>
        <v/>
      </c>
      <c r="K477" s="10">
        <f>IFERROR(BDP(Database!$A477&amp;" HK Equity","A/H_SHARE_CONVERSION"),"")</f>
        <v/>
      </c>
      <c r="L477" s="16">
        <f>IF(Database!BA477="","(none found)",Database!BA477)</f>
        <v/>
      </c>
      <c r="M477" s="18">
        <f>IFERROR(BDH(Database!$A477&amp;" HK Equity","CUR_MKT_CAP",Database!$H477,Database!$H477),"")</f>
        <v/>
      </c>
      <c r="N477" s="99">
        <f>Database!Q477</f>
        <v/>
      </c>
      <c r="O477" s="24">
        <f>IFERROR(BDH(Database!$A477&amp;" HK Equity","PE_RATIO",Database!$H477,Database!$H477),"")</f>
        <v/>
      </c>
      <c r="P477" s="101">
        <f>IF(Database!AV477="","(n/m or not derivable)",Database!AV477)</f>
        <v/>
      </c>
      <c r="Q477" s="24">
        <f>IF(Database!BA477="","",IFERROR(BDH(LEFT(Database!BA477,FIND(".",Database!BA477)-1)&amp;" CH Equity","PE_RATIO",Database!$H477,Database!$H477),""))</f>
        <v/>
      </c>
      <c r="R477" s="24">
        <f>IF(Database!BA477="","",IFERROR(BDH("HSAHP Index","PX_LAST",Database!$H477,Database!$H477),""))</f>
        <v/>
      </c>
    </row>
    <row r="478">
      <c r="A478" s="16">
        <f>Database!A478&amp;"  "&amp;Database!B478</f>
        <v/>
      </c>
      <c r="B478" s="10">
        <f>IFERROR(INDEX(BDS(Database!$A478&amp;" HK Equity","EQUITY_OFFERINGS","array=t","endcol=1"),MATCH("IPO",BDS(Database!$A478&amp;" HK Equity","EQUITY_OFFERINGS","array=t","startcol=2","endcol=2"),0)),"")</f>
        <v/>
      </c>
      <c r="C478" s="103">
        <f>IF($B478="","",IFERROR(BDP($B478&amp;" Action","CP036"),""))</f>
        <v/>
      </c>
      <c r="D478" s="104">
        <f>Database!S478</f>
        <v/>
      </c>
      <c r="E478" s="103">
        <f>IF($B478="","",IFERROR(BDP($B478&amp;" Action","CP037"),""))</f>
        <v/>
      </c>
      <c r="F478" s="104">
        <f>Database!T478</f>
        <v/>
      </c>
      <c r="G478" s="103">
        <f>IF($B478="","",IFERROR(BDP($B478&amp;" Action","GREENSHOE_FACILITY"),""))</f>
        <v/>
      </c>
      <c r="H478" s="103">
        <f>IF($B478="","",IFERROR(BDP($B478&amp;" Action","OFFERING_GREENSHOE_SHARES_EX"),""))</f>
        <v/>
      </c>
      <c r="I478" s="16">
        <f>Database!Z478</f>
        <v/>
      </c>
      <c r="J478" s="24">
        <f>IFERROR(BDP(Database!$A478&amp;" HK Equity","PE_RATIO"),"")</f>
        <v/>
      </c>
      <c r="K478" s="10">
        <f>IFERROR(BDP(Database!$A478&amp;" HK Equity","A/H_SHARE_CONVERSION"),"")</f>
        <v/>
      </c>
      <c r="L478" s="16">
        <f>IF(Database!BA478="","(none found)",Database!BA478)</f>
        <v/>
      </c>
      <c r="M478" s="18">
        <f>IFERROR(BDH(Database!$A478&amp;" HK Equity","CUR_MKT_CAP",Database!$H478,Database!$H478),"")</f>
        <v/>
      </c>
      <c r="N478" s="99">
        <f>Database!Q478</f>
        <v/>
      </c>
      <c r="O478" s="24">
        <f>IFERROR(BDH(Database!$A478&amp;" HK Equity","PE_RATIO",Database!$H478,Database!$H478),"")</f>
        <v/>
      </c>
      <c r="P478" s="101">
        <f>IF(Database!AV478="","(n/m or not derivable)",Database!AV478)</f>
        <v/>
      </c>
      <c r="Q478" s="24">
        <f>IF(Database!BA478="","",IFERROR(BDH(LEFT(Database!BA478,FIND(".",Database!BA478)-1)&amp;" CH Equity","PE_RATIO",Database!$H478,Database!$H478),""))</f>
        <v/>
      </c>
      <c r="R478" s="24">
        <f>IF(Database!BA478="","",IFERROR(BDH("HSAHP Index","PX_LAST",Database!$H478,Database!$H478),""))</f>
        <v/>
      </c>
    </row>
    <row r="479">
      <c r="A479" s="16">
        <f>Database!A479&amp;"  "&amp;Database!B479</f>
        <v/>
      </c>
      <c r="B479" s="10">
        <f>IFERROR(INDEX(BDS(Database!$A479&amp;" HK Equity","EQUITY_OFFERINGS","array=t","endcol=1"),MATCH("IPO",BDS(Database!$A479&amp;" HK Equity","EQUITY_OFFERINGS","array=t","startcol=2","endcol=2"),0)),"")</f>
        <v/>
      </c>
      <c r="C479" s="103">
        <f>IF($B479="","",IFERROR(BDP($B479&amp;" Action","CP036"),""))</f>
        <v/>
      </c>
      <c r="D479" s="104">
        <f>Database!S479</f>
        <v/>
      </c>
      <c r="E479" s="103">
        <f>IF($B479="","",IFERROR(BDP($B479&amp;" Action","CP037"),""))</f>
        <v/>
      </c>
      <c r="F479" s="104">
        <f>Database!T479</f>
        <v/>
      </c>
      <c r="G479" s="103">
        <f>IF($B479="","",IFERROR(BDP($B479&amp;" Action","GREENSHOE_FACILITY"),""))</f>
        <v/>
      </c>
      <c r="H479" s="103">
        <f>IF($B479="","",IFERROR(BDP($B479&amp;" Action","OFFERING_GREENSHOE_SHARES_EX"),""))</f>
        <v/>
      </c>
      <c r="I479" s="16">
        <f>Database!Z479</f>
        <v/>
      </c>
      <c r="J479" s="24">
        <f>IFERROR(BDP(Database!$A479&amp;" HK Equity","PE_RATIO"),"")</f>
        <v/>
      </c>
      <c r="K479" s="10">
        <f>IFERROR(BDP(Database!$A479&amp;" HK Equity","A/H_SHARE_CONVERSION"),"")</f>
        <v/>
      </c>
      <c r="L479" s="16">
        <f>IF(Database!BA479="","(none found)",Database!BA479)</f>
        <v/>
      </c>
      <c r="M479" s="18">
        <f>IFERROR(BDH(Database!$A479&amp;" HK Equity","CUR_MKT_CAP",Database!$H479,Database!$H479),"")</f>
        <v/>
      </c>
      <c r="N479" s="99">
        <f>Database!Q479</f>
        <v/>
      </c>
      <c r="O479" s="24">
        <f>IFERROR(BDH(Database!$A479&amp;" HK Equity","PE_RATIO",Database!$H479,Database!$H479),"")</f>
        <v/>
      </c>
      <c r="P479" s="101">
        <f>IF(Database!AV479="","(n/m or not derivable)",Database!AV479)</f>
        <v/>
      </c>
      <c r="Q479" s="24">
        <f>IF(Database!BA479="","",IFERROR(BDH(LEFT(Database!BA479,FIND(".",Database!BA479)-1)&amp;" CH Equity","PE_RATIO",Database!$H479,Database!$H479),""))</f>
        <v/>
      </c>
      <c r="R479" s="24">
        <f>IF(Database!BA479="","",IFERROR(BDH("HSAHP Index","PX_LAST",Database!$H479,Database!$H479),""))</f>
        <v/>
      </c>
    </row>
    <row r="480">
      <c r="A480" s="16">
        <f>Database!A480&amp;"  "&amp;Database!B480</f>
        <v/>
      </c>
      <c r="B480" s="10">
        <f>IFERROR(INDEX(BDS(Database!$A480&amp;" HK Equity","EQUITY_OFFERINGS","array=t","endcol=1"),MATCH("IPO",BDS(Database!$A480&amp;" HK Equity","EQUITY_OFFERINGS","array=t","startcol=2","endcol=2"),0)),"")</f>
        <v/>
      </c>
      <c r="C480" s="103">
        <f>IF($B480="","",IFERROR(BDP($B480&amp;" Action","CP036"),""))</f>
        <v/>
      </c>
      <c r="D480" s="104">
        <f>Database!S480</f>
        <v/>
      </c>
      <c r="E480" s="103">
        <f>IF($B480="","",IFERROR(BDP($B480&amp;" Action","CP037"),""))</f>
        <v/>
      </c>
      <c r="F480" s="104">
        <f>Database!T480</f>
        <v/>
      </c>
      <c r="G480" s="103">
        <f>IF($B480="","",IFERROR(BDP($B480&amp;" Action","GREENSHOE_FACILITY"),""))</f>
        <v/>
      </c>
      <c r="H480" s="103">
        <f>IF($B480="","",IFERROR(BDP($B480&amp;" Action","OFFERING_GREENSHOE_SHARES_EX"),""))</f>
        <v/>
      </c>
      <c r="I480" s="16">
        <f>Database!Z480</f>
        <v/>
      </c>
      <c r="J480" s="24">
        <f>IFERROR(BDP(Database!$A480&amp;" HK Equity","PE_RATIO"),"")</f>
        <v/>
      </c>
      <c r="K480" s="10">
        <f>IFERROR(BDP(Database!$A480&amp;" HK Equity","A/H_SHARE_CONVERSION"),"")</f>
        <v/>
      </c>
      <c r="L480" s="16">
        <f>IF(Database!BA480="","(none found)",Database!BA480)</f>
        <v/>
      </c>
      <c r="M480" s="18">
        <f>IFERROR(BDH(Database!$A480&amp;" HK Equity","CUR_MKT_CAP",Database!$H480,Database!$H480),"")</f>
        <v/>
      </c>
      <c r="N480" s="99">
        <f>Database!Q480</f>
        <v/>
      </c>
      <c r="O480" s="24">
        <f>IFERROR(BDH(Database!$A480&amp;" HK Equity","PE_RATIO",Database!$H480,Database!$H480),"")</f>
        <v/>
      </c>
      <c r="P480" s="101">
        <f>IF(Database!AV480="","(n/m or not derivable)",Database!AV480)</f>
        <v/>
      </c>
      <c r="Q480" s="24">
        <f>IF(Database!BA480="","",IFERROR(BDH(LEFT(Database!BA480,FIND(".",Database!BA480)-1)&amp;" CH Equity","PE_RATIO",Database!$H480,Database!$H480),""))</f>
        <v/>
      </c>
      <c r="R480" s="24">
        <f>IF(Database!BA480="","",IFERROR(BDH("HSAHP Index","PX_LAST",Database!$H480,Database!$H480),""))</f>
        <v/>
      </c>
    </row>
    <row r="481">
      <c r="A481" s="16">
        <f>Database!A481&amp;"  "&amp;Database!B481</f>
        <v/>
      </c>
      <c r="B481" s="10">
        <f>IFERROR(INDEX(BDS(Database!$A481&amp;" HK Equity","EQUITY_OFFERINGS","array=t","endcol=1"),MATCH("IPO",BDS(Database!$A481&amp;" HK Equity","EQUITY_OFFERINGS","array=t","startcol=2","endcol=2"),0)),"")</f>
        <v/>
      </c>
      <c r="C481" s="103">
        <f>IF($B481="","",IFERROR(BDP($B481&amp;" Action","CP036"),""))</f>
        <v/>
      </c>
      <c r="D481" s="104">
        <f>Database!S481</f>
        <v/>
      </c>
      <c r="E481" s="103">
        <f>IF($B481="","",IFERROR(BDP($B481&amp;" Action","CP037"),""))</f>
        <v/>
      </c>
      <c r="F481" s="104">
        <f>Database!T481</f>
        <v/>
      </c>
      <c r="G481" s="103">
        <f>IF($B481="","",IFERROR(BDP($B481&amp;" Action","GREENSHOE_FACILITY"),""))</f>
        <v/>
      </c>
      <c r="H481" s="103">
        <f>IF($B481="","",IFERROR(BDP($B481&amp;" Action","OFFERING_GREENSHOE_SHARES_EX"),""))</f>
        <v/>
      </c>
      <c r="I481" s="16">
        <f>Database!Z481</f>
        <v/>
      </c>
      <c r="J481" s="24">
        <f>IFERROR(BDP(Database!$A481&amp;" HK Equity","PE_RATIO"),"")</f>
        <v/>
      </c>
      <c r="K481" s="10">
        <f>IFERROR(BDP(Database!$A481&amp;" HK Equity","A/H_SHARE_CONVERSION"),"")</f>
        <v/>
      </c>
      <c r="L481" s="16">
        <f>IF(Database!BA481="","(none found)",Database!BA481)</f>
        <v/>
      </c>
      <c r="M481" s="18">
        <f>IFERROR(BDH(Database!$A481&amp;" HK Equity","CUR_MKT_CAP",Database!$H481,Database!$H481),"")</f>
        <v/>
      </c>
      <c r="N481" s="99">
        <f>Database!Q481</f>
        <v/>
      </c>
      <c r="O481" s="24">
        <f>IFERROR(BDH(Database!$A481&amp;" HK Equity","PE_RATIO",Database!$H481,Database!$H481),"")</f>
        <v/>
      </c>
      <c r="P481" s="101">
        <f>IF(Database!AV481="","(n/m or not derivable)",Database!AV481)</f>
        <v/>
      </c>
      <c r="Q481" s="24">
        <f>IF(Database!BA481="","",IFERROR(BDH(LEFT(Database!BA481,FIND(".",Database!BA481)-1)&amp;" CH Equity","PE_RATIO",Database!$H481,Database!$H481),""))</f>
        <v/>
      </c>
      <c r="R481" s="24">
        <f>IF(Database!BA481="","",IFERROR(BDH("HSAHP Index","PX_LAST",Database!$H481,Database!$H481),""))</f>
        <v/>
      </c>
    </row>
    <row r="482">
      <c r="A482" s="16">
        <f>Database!A482&amp;"  "&amp;Database!B482</f>
        <v/>
      </c>
      <c r="B482" s="10">
        <f>IFERROR(INDEX(BDS(Database!$A482&amp;" HK Equity","EQUITY_OFFERINGS","array=t","endcol=1"),MATCH("IPO",BDS(Database!$A482&amp;" HK Equity","EQUITY_OFFERINGS","array=t","startcol=2","endcol=2"),0)),"")</f>
        <v/>
      </c>
      <c r="C482" s="103">
        <f>IF($B482="","",IFERROR(BDP($B482&amp;" Action","CP036"),""))</f>
        <v/>
      </c>
      <c r="D482" s="104">
        <f>Database!S482</f>
        <v/>
      </c>
      <c r="E482" s="103">
        <f>IF($B482="","",IFERROR(BDP($B482&amp;" Action","CP037"),""))</f>
        <v/>
      </c>
      <c r="F482" s="104">
        <f>Database!T482</f>
        <v/>
      </c>
      <c r="G482" s="103">
        <f>IF($B482="","",IFERROR(BDP($B482&amp;" Action","GREENSHOE_FACILITY"),""))</f>
        <v/>
      </c>
      <c r="H482" s="103">
        <f>IF($B482="","",IFERROR(BDP($B482&amp;" Action","OFFERING_GREENSHOE_SHARES_EX"),""))</f>
        <v/>
      </c>
      <c r="I482" s="16">
        <f>Database!Z482</f>
        <v/>
      </c>
      <c r="J482" s="24">
        <f>IFERROR(BDP(Database!$A482&amp;" HK Equity","PE_RATIO"),"")</f>
        <v/>
      </c>
      <c r="K482" s="10">
        <f>IFERROR(BDP(Database!$A482&amp;" HK Equity","A/H_SHARE_CONVERSION"),"")</f>
        <v/>
      </c>
      <c r="L482" s="16">
        <f>IF(Database!BA482="","(none found)",Database!BA482)</f>
        <v/>
      </c>
      <c r="M482" s="18">
        <f>IFERROR(BDH(Database!$A482&amp;" HK Equity","CUR_MKT_CAP",Database!$H482,Database!$H482),"")</f>
        <v/>
      </c>
      <c r="N482" s="99">
        <f>Database!Q482</f>
        <v/>
      </c>
      <c r="O482" s="24">
        <f>IFERROR(BDH(Database!$A482&amp;" HK Equity","PE_RATIO",Database!$H482,Database!$H482),"")</f>
        <v/>
      </c>
      <c r="P482" s="101">
        <f>IF(Database!AV482="","(n/m or not derivable)",Database!AV482)</f>
        <v/>
      </c>
      <c r="Q482" s="24">
        <f>IF(Database!BA482="","",IFERROR(BDH(LEFT(Database!BA482,FIND(".",Database!BA482)-1)&amp;" CH Equity","PE_RATIO",Database!$H482,Database!$H482),""))</f>
        <v/>
      </c>
      <c r="R482" s="24">
        <f>IF(Database!BA482="","",IFERROR(BDH("HSAHP Index","PX_LAST",Database!$H482,Database!$H482),""))</f>
        <v/>
      </c>
    </row>
    <row r="483">
      <c r="A483" s="16">
        <f>Database!A483&amp;"  "&amp;Database!B483</f>
        <v/>
      </c>
      <c r="B483" s="10">
        <f>IFERROR(INDEX(BDS(Database!$A483&amp;" HK Equity","EQUITY_OFFERINGS","array=t","endcol=1"),MATCH("IPO",BDS(Database!$A483&amp;" HK Equity","EQUITY_OFFERINGS","array=t","startcol=2","endcol=2"),0)),"")</f>
        <v/>
      </c>
      <c r="C483" s="103">
        <f>IF($B483="","",IFERROR(BDP($B483&amp;" Action","CP036"),""))</f>
        <v/>
      </c>
      <c r="D483" s="104">
        <f>Database!S483</f>
        <v/>
      </c>
      <c r="E483" s="103">
        <f>IF($B483="","",IFERROR(BDP($B483&amp;" Action","CP037"),""))</f>
        <v/>
      </c>
      <c r="F483" s="104">
        <f>Database!T483</f>
        <v/>
      </c>
      <c r="G483" s="103">
        <f>IF($B483="","",IFERROR(BDP($B483&amp;" Action","GREENSHOE_FACILITY"),""))</f>
        <v/>
      </c>
      <c r="H483" s="103">
        <f>IF($B483="","",IFERROR(BDP($B483&amp;" Action","OFFERING_GREENSHOE_SHARES_EX"),""))</f>
        <v/>
      </c>
      <c r="I483" s="16">
        <f>Database!Z483</f>
        <v/>
      </c>
      <c r="J483" s="24">
        <f>IFERROR(BDP(Database!$A483&amp;" HK Equity","PE_RATIO"),"")</f>
        <v/>
      </c>
      <c r="K483" s="10">
        <f>IFERROR(BDP(Database!$A483&amp;" HK Equity","A/H_SHARE_CONVERSION"),"")</f>
        <v/>
      </c>
      <c r="L483" s="16">
        <f>IF(Database!BA483="","(none found)",Database!BA483)</f>
        <v/>
      </c>
      <c r="M483" s="18">
        <f>IFERROR(BDH(Database!$A483&amp;" HK Equity","CUR_MKT_CAP",Database!$H483,Database!$H483),"")</f>
        <v/>
      </c>
      <c r="N483" s="99">
        <f>Database!Q483</f>
        <v/>
      </c>
      <c r="O483" s="24">
        <f>IFERROR(BDH(Database!$A483&amp;" HK Equity","PE_RATIO",Database!$H483,Database!$H483),"")</f>
        <v/>
      </c>
      <c r="P483" s="101">
        <f>IF(Database!AV483="","(n/m or not derivable)",Database!AV483)</f>
        <v/>
      </c>
      <c r="Q483" s="24">
        <f>IF(Database!BA483="","",IFERROR(BDH(LEFT(Database!BA483,FIND(".",Database!BA483)-1)&amp;" CH Equity","PE_RATIO",Database!$H483,Database!$H483),""))</f>
        <v/>
      </c>
      <c r="R483" s="24">
        <f>IF(Database!BA483="","",IFERROR(BDH("HSAHP Index","PX_LAST",Database!$H483,Database!$H483),""))</f>
        <v/>
      </c>
    </row>
    <row r="484">
      <c r="A484" s="16">
        <f>Database!A484&amp;"  "&amp;Database!B484</f>
        <v/>
      </c>
      <c r="B484" s="10">
        <f>IFERROR(INDEX(BDS(Database!$A484&amp;" HK Equity","EQUITY_OFFERINGS","array=t","endcol=1"),MATCH("IPO",BDS(Database!$A484&amp;" HK Equity","EQUITY_OFFERINGS","array=t","startcol=2","endcol=2"),0)),"")</f>
        <v/>
      </c>
      <c r="C484" s="103">
        <f>IF($B484="","",IFERROR(BDP($B484&amp;" Action","CP036"),""))</f>
        <v/>
      </c>
      <c r="D484" s="104">
        <f>Database!S484</f>
        <v/>
      </c>
      <c r="E484" s="103">
        <f>IF($B484="","",IFERROR(BDP($B484&amp;" Action","CP037"),""))</f>
        <v/>
      </c>
      <c r="F484" s="104">
        <f>Database!T484</f>
        <v/>
      </c>
      <c r="G484" s="103">
        <f>IF($B484="","",IFERROR(BDP($B484&amp;" Action","GREENSHOE_FACILITY"),""))</f>
        <v/>
      </c>
      <c r="H484" s="103">
        <f>IF($B484="","",IFERROR(BDP($B484&amp;" Action","OFFERING_GREENSHOE_SHARES_EX"),""))</f>
        <v/>
      </c>
      <c r="I484" s="16">
        <f>Database!Z484</f>
        <v/>
      </c>
      <c r="J484" s="24">
        <f>IFERROR(BDP(Database!$A484&amp;" HK Equity","PE_RATIO"),"")</f>
        <v/>
      </c>
      <c r="K484" s="10">
        <f>IFERROR(BDP(Database!$A484&amp;" HK Equity","A/H_SHARE_CONVERSION"),"")</f>
        <v/>
      </c>
      <c r="L484" s="16">
        <f>IF(Database!BA484="","(none found)",Database!BA484)</f>
        <v/>
      </c>
      <c r="M484" s="18">
        <f>IFERROR(BDH(Database!$A484&amp;" HK Equity","CUR_MKT_CAP",Database!$H484,Database!$H484),"")</f>
        <v/>
      </c>
      <c r="N484" s="99">
        <f>Database!Q484</f>
        <v/>
      </c>
      <c r="O484" s="24">
        <f>IFERROR(BDH(Database!$A484&amp;" HK Equity","PE_RATIO",Database!$H484,Database!$H484),"")</f>
        <v/>
      </c>
      <c r="P484" s="101">
        <f>IF(Database!AV484="","(n/m or not derivable)",Database!AV484)</f>
        <v/>
      </c>
      <c r="Q484" s="24">
        <f>IF(Database!BA484="","",IFERROR(BDH(LEFT(Database!BA484,FIND(".",Database!BA484)-1)&amp;" CH Equity","PE_RATIO",Database!$H484,Database!$H484),""))</f>
        <v/>
      </c>
      <c r="R484" s="24">
        <f>IF(Database!BA484="","",IFERROR(BDH("HSAHP Index","PX_LAST",Database!$H484,Database!$H484),""))</f>
        <v/>
      </c>
    </row>
    <row r="485">
      <c r="A485" s="16">
        <f>Database!A485&amp;"  "&amp;Database!B485</f>
        <v/>
      </c>
      <c r="B485" s="10">
        <f>IFERROR(INDEX(BDS(Database!$A485&amp;" HK Equity","EQUITY_OFFERINGS","array=t","endcol=1"),MATCH("IPO",BDS(Database!$A485&amp;" HK Equity","EQUITY_OFFERINGS","array=t","startcol=2","endcol=2"),0)),"")</f>
        <v/>
      </c>
      <c r="C485" s="103">
        <f>IF($B485="","",IFERROR(BDP($B485&amp;" Action","CP036"),""))</f>
        <v/>
      </c>
      <c r="D485" s="104">
        <f>Database!S485</f>
        <v/>
      </c>
      <c r="E485" s="103">
        <f>IF($B485="","",IFERROR(BDP($B485&amp;" Action","CP037"),""))</f>
        <v/>
      </c>
      <c r="F485" s="104">
        <f>Database!T485</f>
        <v/>
      </c>
      <c r="G485" s="103">
        <f>IF($B485="","",IFERROR(BDP($B485&amp;" Action","GREENSHOE_FACILITY"),""))</f>
        <v/>
      </c>
      <c r="H485" s="103">
        <f>IF($B485="","",IFERROR(BDP($B485&amp;" Action","OFFERING_GREENSHOE_SHARES_EX"),""))</f>
        <v/>
      </c>
      <c r="I485" s="16">
        <f>Database!Z485</f>
        <v/>
      </c>
      <c r="J485" s="24">
        <f>IFERROR(BDP(Database!$A485&amp;" HK Equity","PE_RATIO"),"")</f>
        <v/>
      </c>
      <c r="K485" s="10">
        <f>IFERROR(BDP(Database!$A485&amp;" HK Equity","A/H_SHARE_CONVERSION"),"")</f>
        <v/>
      </c>
      <c r="L485" s="16">
        <f>IF(Database!BA485="","(none found)",Database!BA485)</f>
        <v/>
      </c>
      <c r="M485" s="18">
        <f>IFERROR(BDH(Database!$A485&amp;" HK Equity","CUR_MKT_CAP",Database!$H485,Database!$H485),"")</f>
        <v/>
      </c>
      <c r="N485" s="99">
        <f>Database!Q485</f>
        <v/>
      </c>
      <c r="O485" s="24">
        <f>IFERROR(BDH(Database!$A485&amp;" HK Equity","PE_RATIO",Database!$H485,Database!$H485),"")</f>
        <v/>
      </c>
      <c r="P485" s="101">
        <f>IF(Database!AV485="","(n/m or not derivable)",Database!AV485)</f>
        <v/>
      </c>
      <c r="Q485" s="24">
        <f>IF(Database!BA485="","",IFERROR(BDH(LEFT(Database!BA485,FIND(".",Database!BA485)-1)&amp;" CH Equity","PE_RATIO",Database!$H485,Database!$H485),""))</f>
        <v/>
      </c>
      <c r="R485" s="24">
        <f>IF(Database!BA485="","",IFERROR(BDH("HSAHP Index","PX_LAST",Database!$H485,Database!$H485),""))</f>
        <v/>
      </c>
    </row>
    <row r="486">
      <c r="A486" s="16">
        <f>Database!A486&amp;"  "&amp;Database!B486</f>
        <v/>
      </c>
      <c r="B486" s="10">
        <f>IFERROR(INDEX(BDS(Database!$A486&amp;" HK Equity","EQUITY_OFFERINGS","array=t","endcol=1"),MATCH("IPO",BDS(Database!$A486&amp;" HK Equity","EQUITY_OFFERINGS","array=t","startcol=2","endcol=2"),0)),"")</f>
        <v/>
      </c>
      <c r="C486" s="103">
        <f>IF($B486="","",IFERROR(BDP($B486&amp;" Action","CP036"),""))</f>
        <v/>
      </c>
      <c r="D486" s="104">
        <f>Database!S486</f>
        <v/>
      </c>
      <c r="E486" s="103">
        <f>IF($B486="","",IFERROR(BDP($B486&amp;" Action","CP037"),""))</f>
        <v/>
      </c>
      <c r="F486" s="104">
        <f>Database!T486</f>
        <v/>
      </c>
      <c r="G486" s="103">
        <f>IF($B486="","",IFERROR(BDP($B486&amp;" Action","GREENSHOE_FACILITY"),""))</f>
        <v/>
      </c>
      <c r="H486" s="103">
        <f>IF($B486="","",IFERROR(BDP($B486&amp;" Action","OFFERING_GREENSHOE_SHARES_EX"),""))</f>
        <v/>
      </c>
      <c r="I486" s="16">
        <f>Database!Z486</f>
        <v/>
      </c>
      <c r="J486" s="24">
        <f>IFERROR(BDP(Database!$A486&amp;" HK Equity","PE_RATIO"),"")</f>
        <v/>
      </c>
      <c r="K486" s="10">
        <f>IFERROR(BDP(Database!$A486&amp;" HK Equity","A/H_SHARE_CONVERSION"),"")</f>
        <v/>
      </c>
      <c r="L486" s="16">
        <f>IF(Database!BA486="","(none found)",Database!BA486)</f>
        <v/>
      </c>
      <c r="M486" s="18">
        <f>IFERROR(BDH(Database!$A486&amp;" HK Equity","CUR_MKT_CAP",Database!$H486,Database!$H486),"")</f>
        <v/>
      </c>
      <c r="N486" s="99">
        <f>Database!Q486</f>
        <v/>
      </c>
      <c r="O486" s="24">
        <f>IFERROR(BDH(Database!$A486&amp;" HK Equity","PE_RATIO",Database!$H486,Database!$H486),"")</f>
        <v/>
      </c>
      <c r="P486" s="101">
        <f>IF(Database!AV486="","(n/m or not derivable)",Database!AV486)</f>
        <v/>
      </c>
      <c r="Q486" s="24">
        <f>IF(Database!BA486="","",IFERROR(BDH(LEFT(Database!BA486,FIND(".",Database!BA486)-1)&amp;" CH Equity","PE_RATIO",Database!$H486,Database!$H486),""))</f>
        <v/>
      </c>
      <c r="R486" s="24">
        <f>IF(Database!BA486="","",IFERROR(BDH("HSAHP Index","PX_LAST",Database!$H486,Database!$H486),""))</f>
        <v/>
      </c>
    </row>
    <row r="487">
      <c r="A487" s="16">
        <f>Database!A487&amp;"  "&amp;Database!B487</f>
        <v/>
      </c>
      <c r="B487" s="10">
        <f>IFERROR(INDEX(BDS(Database!$A487&amp;" HK Equity","EQUITY_OFFERINGS","array=t","endcol=1"),MATCH("IPO",BDS(Database!$A487&amp;" HK Equity","EQUITY_OFFERINGS","array=t","startcol=2","endcol=2"),0)),"")</f>
        <v/>
      </c>
      <c r="C487" s="103">
        <f>IF($B487="","",IFERROR(BDP($B487&amp;" Action","CP036"),""))</f>
        <v/>
      </c>
      <c r="D487" s="104">
        <f>Database!S487</f>
        <v/>
      </c>
      <c r="E487" s="103">
        <f>IF($B487="","",IFERROR(BDP($B487&amp;" Action","CP037"),""))</f>
        <v/>
      </c>
      <c r="F487" s="104">
        <f>Database!T487</f>
        <v/>
      </c>
      <c r="G487" s="103">
        <f>IF($B487="","",IFERROR(BDP($B487&amp;" Action","GREENSHOE_FACILITY"),""))</f>
        <v/>
      </c>
      <c r="H487" s="103">
        <f>IF($B487="","",IFERROR(BDP($B487&amp;" Action","OFFERING_GREENSHOE_SHARES_EX"),""))</f>
        <v/>
      </c>
      <c r="I487" s="16">
        <f>Database!Z487</f>
        <v/>
      </c>
      <c r="J487" s="24">
        <f>IFERROR(BDP(Database!$A487&amp;" HK Equity","PE_RATIO"),"")</f>
        <v/>
      </c>
      <c r="K487" s="10">
        <f>IFERROR(BDP(Database!$A487&amp;" HK Equity","A/H_SHARE_CONVERSION"),"")</f>
        <v/>
      </c>
      <c r="L487" s="16">
        <f>IF(Database!BA487="","(none found)",Database!BA487)</f>
        <v/>
      </c>
      <c r="M487" s="18">
        <f>IFERROR(BDH(Database!$A487&amp;" HK Equity","CUR_MKT_CAP",Database!$H487,Database!$H487),"")</f>
        <v/>
      </c>
      <c r="N487" s="99">
        <f>Database!Q487</f>
        <v/>
      </c>
      <c r="O487" s="24">
        <f>IFERROR(BDH(Database!$A487&amp;" HK Equity","PE_RATIO",Database!$H487,Database!$H487),"")</f>
        <v/>
      </c>
      <c r="P487" s="101">
        <f>IF(Database!AV487="","(n/m or not derivable)",Database!AV487)</f>
        <v/>
      </c>
      <c r="Q487" s="24">
        <f>IF(Database!BA487="","",IFERROR(BDH(LEFT(Database!BA487,FIND(".",Database!BA487)-1)&amp;" CH Equity","PE_RATIO",Database!$H487,Database!$H487),""))</f>
        <v/>
      </c>
      <c r="R487" s="24">
        <f>IF(Database!BA487="","",IFERROR(BDH("HSAHP Index","PX_LAST",Database!$H487,Database!$H487),""))</f>
        <v/>
      </c>
    </row>
    <row r="488">
      <c r="A488" s="16">
        <f>Database!A488&amp;"  "&amp;Database!B488</f>
        <v/>
      </c>
      <c r="B488" s="10">
        <f>IFERROR(INDEX(BDS(Database!$A488&amp;" HK Equity","EQUITY_OFFERINGS","array=t","endcol=1"),MATCH("IPO",BDS(Database!$A488&amp;" HK Equity","EQUITY_OFFERINGS","array=t","startcol=2","endcol=2"),0)),"")</f>
        <v/>
      </c>
      <c r="C488" s="103">
        <f>IF($B488="","",IFERROR(BDP($B488&amp;" Action","CP036"),""))</f>
        <v/>
      </c>
      <c r="D488" s="104">
        <f>Database!S488</f>
        <v/>
      </c>
      <c r="E488" s="103">
        <f>IF($B488="","",IFERROR(BDP($B488&amp;" Action","CP037"),""))</f>
        <v/>
      </c>
      <c r="F488" s="104">
        <f>Database!T488</f>
        <v/>
      </c>
      <c r="G488" s="103">
        <f>IF($B488="","",IFERROR(BDP($B488&amp;" Action","GREENSHOE_FACILITY"),""))</f>
        <v/>
      </c>
      <c r="H488" s="103">
        <f>IF($B488="","",IFERROR(BDP($B488&amp;" Action","OFFERING_GREENSHOE_SHARES_EX"),""))</f>
        <v/>
      </c>
      <c r="I488" s="16">
        <f>Database!Z488</f>
        <v/>
      </c>
      <c r="J488" s="24">
        <f>IFERROR(BDP(Database!$A488&amp;" HK Equity","PE_RATIO"),"")</f>
        <v/>
      </c>
      <c r="K488" s="10">
        <f>IFERROR(BDP(Database!$A488&amp;" HK Equity","A/H_SHARE_CONVERSION"),"")</f>
        <v/>
      </c>
      <c r="L488" s="16">
        <f>IF(Database!BA488="","(none found)",Database!BA488)</f>
        <v/>
      </c>
      <c r="M488" s="18">
        <f>IFERROR(BDH(Database!$A488&amp;" HK Equity","CUR_MKT_CAP",Database!$H488,Database!$H488),"")</f>
        <v/>
      </c>
      <c r="N488" s="99">
        <f>Database!Q488</f>
        <v/>
      </c>
      <c r="O488" s="24">
        <f>IFERROR(BDH(Database!$A488&amp;" HK Equity","PE_RATIO",Database!$H488,Database!$H488),"")</f>
        <v/>
      </c>
      <c r="P488" s="101">
        <f>IF(Database!AV488="","(n/m or not derivable)",Database!AV488)</f>
        <v/>
      </c>
      <c r="Q488" s="24">
        <f>IF(Database!BA488="","",IFERROR(BDH(LEFT(Database!BA488,FIND(".",Database!BA488)-1)&amp;" CH Equity","PE_RATIO",Database!$H488,Database!$H488),""))</f>
        <v/>
      </c>
      <c r="R488" s="24">
        <f>IF(Database!BA488="","",IFERROR(BDH("HSAHP Index","PX_LAST",Database!$H488,Database!$H488),""))</f>
        <v/>
      </c>
    </row>
    <row r="489">
      <c r="A489" s="16">
        <f>Database!A489&amp;"  "&amp;Database!B489</f>
        <v/>
      </c>
      <c r="B489" s="10">
        <f>IFERROR(INDEX(BDS(Database!$A489&amp;" HK Equity","EQUITY_OFFERINGS","array=t","endcol=1"),MATCH("IPO",BDS(Database!$A489&amp;" HK Equity","EQUITY_OFFERINGS","array=t","startcol=2","endcol=2"),0)),"")</f>
        <v/>
      </c>
      <c r="C489" s="103">
        <f>IF($B489="","",IFERROR(BDP($B489&amp;" Action","CP036"),""))</f>
        <v/>
      </c>
      <c r="D489" s="104">
        <f>Database!S489</f>
        <v/>
      </c>
      <c r="E489" s="103">
        <f>IF($B489="","",IFERROR(BDP($B489&amp;" Action","CP037"),""))</f>
        <v/>
      </c>
      <c r="F489" s="104">
        <f>Database!T489</f>
        <v/>
      </c>
      <c r="G489" s="103">
        <f>IF($B489="","",IFERROR(BDP($B489&amp;" Action","GREENSHOE_FACILITY"),""))</f>
        <v/>
      </c>
      <c r="H489" s="103">
        <f>IF($B489="","",IFERROR(BDP($B489&amp;" Action","OFFERING_GREENSHOE_SHARES_EX"),""))</f>
        <v/>
      </c>
      <c r="I489" s="16">
        <f>Database!Z489</f>
        <v/>
      </c>
      <c r="J489" s="24">
        <f>IFERROR(BDP(Database!$A489&amp;" HK Equity","PE_RATIO"),"")</f>
        <v/>
      </c>
      <c r="K489" s="10">
        <f>IFERROR(BDP(Database!$A489&amp;" HK Equity","A/H_SHARE_CONVERSION"),"")</f>
        <v/>
      </c>
      <c r="L489" s="16">
        <f>IF(Database!BA489="","(none found)",Database!BA489)</f>
        <v/>
      </c>
      <c r="M489" s="18">
        <f>IFERROR(BDH(Database!$A489&amp;" HK Equity","CUR_MKT_CAP",Database!$H489,Database!$H489),"")</f>
        <v/>
      </c>
      <c r="N489" s="99">
        <f>Database!Q489</f>
        <v/>
      </c>
      <c r="O489" s="24">
        <f>IFERROR(BDH(Database!$A489&amp;" HK Equity","PE_RATIO",Database!$H489,Database!$H489),"")</f>
        <v/>
      </c>
      <c r="P489" s="101">
        <f>IF(Database!AV489="","(n/m or not derivable)",Database!AV489)</f>
        <v/>
      </c>
      <c r="Q489" s="24">
        <f>IF(Database!BA489="","",IFERROR(BDH(LEFT(Database!BA489,FIND(".",Database!BA489)-1)&amp;" CH Equity","PE_RATIO",Database!$H489,Database!$H489),""))</f>
        <v/>
      </c>
      <c r="R489" s="24">
        <f>IF(Database!BA489="","",IFERROR(BDH("HSAHP Index","PX_LAST",Database!$H489,Database!$H489),""))</f>
        <v/>
      </c>
    </row>
    <row r="490">
      <c r="A490" s="16">
        <f>Database!A490&amp;"  "&amp;Database!B490</f>
        <v/>
      </c>
      <c r="B490" s="10">
        <f>IFERROR(INDEX(BDS(Database!$A490&amp;" HK Equity","EQUITY_OFFERINGS","array=t","endcol=1"),MATCH("IPO",BDS(Database!$A490&amp;" HK Equity","EQUITY_OFFERINGS","array=t","startcol=2","endcol=2"),0)),"")</f>
        <v/>
      </c>
      <c r="C490" s="103">
        <f>IF($B490="","",IFERROR(BDP($B490&amp;" Action","CP036"),""))</f>
        <v/>
      </c>
      <c r="D490" s="104">
        <f>Database!S490</f>
        <v/>
      </c>
      <c r="E490" s="103">
        <f>IF($B490="","",IFERROR(BDP($B490&amp;" Action","CP037"),""))</f>
        <v/>
      </c>
      <c r="F490" s="104">
        <f>Database!T490</f>
        <v/>
      </c>
      <c r="G490" s="103">
        <f>IF($B490="","",IFERROR(BDP($B490&amp;" Action","GREENSHOE_FACILITY"),""))</f>
        <v/>
      </c>
      <c r="H490" s="103">
        <f>IF($B490="","",IFERROR(BDP($B490&amp;" Action","OFFERING_GREENSHOE_SHARES_EX"),""))</f>
        <v/>
      </c>
      <c r="I490" s="16">
        <f>Database!Z490</f>
        <v/>
      </c>
      <c r="J490" s="24">
        <f>IFERROR(BDP(Database!$A490&amp;" HK Equity","PE_RATIO"),"")</f>
        <v/>
      </c>
      <c r="K490" s="10">
        <f>IFERROR(BDP(Database!$A490&amp;" HK Equity","A/H_SHARE_CONVERSION"),"")</f>
        <v/>
      </c>
      <c r="L490" s="16">
        <f>IF(Database!BA490="","(none found)",Database!BA490)</f>
        <v/>
      </c>
      <c r="M490" s="18">
        <f>IFERROR(BDH(Database!$A490&amp;" HK Equity","CUR_MKT_CAP",Database!$H490,Database!$H490),"")</f>
        <v/>
      </c>
      <c r="N490" s="99">
        <f>Database!Q490</f>
        <v/>
      </c>
      <c r="O490" s="24">
        <f>IFERROR(BDH(Database!$A490&amp;" HK Equity","PE_RATIO",Database!$H490,Database!$H490),"")</f>
        <v/>
      </c>
      <c r="P490" s="101">
        <f>IF(Database!AV490="","(n/m or not derivable)",Database!AV490)</f>
        <v/>
      </c>
      <c r="Q490" s="24">
        <f>IF(Database!BA490="","",IFERROR(BDH(LEFT(Database!BA490,FIND(".",Database!BA490)-1)&amp;" CH Equity","PE_RATIO",Database!$H490,Database!$H490),""))</f>
        <v/>
      </c>
      <c r="R490" s="24">
        <f>IF(Database!BA490="","",IFERROR(BDH("HSAHP Index","PX_LAST",Database!$H490,Database!$H490),""))</f>
        <v/>
      </c>
    </row>
    <row r="491">
      <c r="A491" s="16">
        <f>Database!A491&amp;"  "&amp;Database!B491</f>
        <v/>
      </c>
      <c r="B491" s="10">
        <f>IFERROR(INDEX(BDS(Database!$A491&amp;" HK Equity","EQUITY_OFFERINGS","array=t","endcol=1"),MATCH("IPO",BDS(Database!$A491&amp;" HK Equity","EQUITY_OFFERINGS","array=t","startcol=2","endcol=2"),0)),"")</f>
        <v/>
      </c>
      <c r="C491" s="103">
        <f>IF($B491="","",IFERROR(BDP($B491&amp;" Action","CP036"),""))</f>
        <v/>
      </c>
      <c r="D491" s="104">
        <f>Database!S491</f>
        <v/>
      </c>
      <c r="E491" s="103">
        <f>IF($B491="","",IFERROR(BDP($B491&amp;" Action","CP037"),""))</f>
        <v/>
      </c>
      <c r="F491" s="104">
        <f>Database!T491</f>
        <v/>
      </c>
      <c r="G491" s="103">
        <f>IF($B491="","",IFERROR(BDP($B491&amp;" Action","GREENSHOE_FACILITY"),""))</f>
        <v/>
      </c>
      <c r="H491" s="103">
        <f>IF($B491="","",IFERROR(BDP($B491&amp;" Action","OFFERING_GREENSHOE_SHARES_EX"),""))</f>
        <v/>
      </c>
      <c r="I491" s="16">
        <f>Database!Z491</f>
        <v/>
      </c>
      <c r="J491" s="24">
        <f>IFERROR(BDP(Database!$A491&amp;" HK Equity","PE_RATIO"),"")</f>
        <v/>
      </c>
      <c r="K491" s="10">
        <f>IFERROR(BDP(Database!$A491&amp;" HK Equity","A/H_SHARE_CONVERSION"),"")</f>
        <v/>
      </c>
      <c r="L491" s="16">
        <f>IF(Database!BA491="","(none found)",Database!BA491)</f>
        <v/>
      </c>
      <c r="M491" s="18">
        <f>IFERROR(BDH(Database!$A491&amp;" HK Equity","CUR_MKT_CAP",Database!$H491,Database!$H491),"")</f>
        <v/>
      </c>
      <c r="N491" s="99">
        <f>Database!Q491</f>
        <v/>
      </c>
      <c r="O491" s="24">
        <f>IFERROR(BDH(Database!$A491&amp;" HK Equity","PE_RATIO",Database!$H491,Database!$H491),"")</f>
        <v/>
      </c>
      <c r="P491" s="101">
        <f>IF(Database!AV491="","(n/m or not derivable)",Database!AV491)</f>
        <v/>
      </c>
      <c r="Q491" s="24">
        <f>IF(Database!BA491="","",IFERROR(BDH(LEFT(Database!BA491,FIND(".",Database!BA491)-1)&amp;" CH Equity","PE_RATIO",Database!$H491,Database!$H491),""))</f>
        <v/>
      </c>
      <c r="R491" s="24">
        <f>IF(Database!BA491="","",IFERROR(BDH("HSAHP Index","PX_LAST",Database!$H491,Database!$H491),""))</f>
        <v/>
      </c>
    </row>
    <row r="492">
      <c r="A492" s="16">
        <f>Database!A492&amp;"  "&amp;Database!B492</f>
        <v/>
      </c>
      <c r="B492" s="10">
        <f>IFERROR(INDEX(BDS(Database!$A492&amp;" HK Equity","EQUITY_OFFERINGS","array=t","endcol=1"),MATCH("IPO",BDS(Database!$A492&amp;" HK Equity","EQUITY_OFFERINGS","array=t","startcol=2","endcol=2"),0)),"")</f>
        <v/>
      </c>
      <c r="C492" s="103">
        <f>IF($B492="","",IFERROR(BDP($B492&amp;" Action","CP036"),""))</f>
        <v/>
      </c>
      <c r="D492" s="104">
        <f>Database!S492</f>
        <v/>
      </c>
      <c r="E492" s="103">
        <f>IF($B492="","",IFERROR(BDP($B492&amp;" Action","CP037"),""))</f>
        <v/>
      </c>
      <c r="F492" s="104">
        <f>Database!T492</f>
        <v/>
      </c>
      <c r="G492" s="103">
        <f>IF($B492="","",IFERROR(BDP($B492&amp;" Action","GREENSHOE_FACILITY"),""))</f>
        <v/>
      </c>
      <c r="H492" s="103">
        <f>IF($B492="","",IFERROR(BDP($B492&amp;" Action","OFFERING_GREENSHOE_SHARES_EX"),""))</f>
        <v/>
      </c>
      <c r="I492" s="16">
        <f>Database!Z492</f>
        <v/>
      </c>
      <c r="J492" s="24">
        <f>IFERROR(BDP(Database!$A492&amp;" HK Equity","PE_RATIO"),"")</f>
        <v/>
      </c>
      <c r="K492" s="10">
        <f>IFERROR(BDP(Database!$A492&amp;" HK Equity","A/H_SHARE_CONVERSION"),"")</f>
        <v/>
      </c>
      <c r="L492" s="16">
        <f>IF(Database!BA492="","(none found)",Database!BA492)</f>
        <v/>
      </c>
      <c r="M492" s="18">
        <f>IFERROR(BDH(Database!$A492&amp;" HK Equity","CUR_MKT_CAP",Database!$H492,Database!$H492),"")</f>
        <v/>
      </c>
      <c r="N492" s="99">
        <f>Database!Q492</f>
        <v/>
      </c>
      <c r="O492" s="24">
        <f>IFERROR(BDH(Database!$A492&amp;" HK Equity","PE_RATIO",Database!$H492,Database!$H492),"")</f>
        <v/>
      </c>
      <c r="P492" s="101">
        <f>IF(Database!AV492="","(n/m or not derivable)",Database!AV492)</f>
        <v/>
      </c>
      <c r="Q492" s="24">
        <f>IF(Database!BA492="","",IFERROR(BDH(LEFT(Database!BA492,FIND(".",Database!BA492)-1)&amp;" CH Equity","PE_RATIO",Database!$H492,Database!$H492),""))</f>
        <v/>
      </c>
      <c r="R492" s="24">
        <f>IF(Database!BA492="","",IFERROR(BDH("HSAHP Index","PX_LAST",Database!$H492,Database!$H492),""))</f>
        <v/>
      </c>
    </row>
    <row r="493">
      <c r="A493" s="16">
        <f>Database!A493&amp;"  "&amp;Database!B493</f>
        <v/>
      </c>
      <c r="B493" s="10">
        <f>IFERROR(INDEX(BDS(Database!$A493&amp;" HK Equity","EQUITY_OFFERINGS","array=t","endcol=1"),MATCH("IPO",BDS(Database!$A493&amp;" HK Equity","EQUITY_OFFERINGS","array=t","startcol=2","endcol=2"),0)),"")</f>
        <v/>
      </c>
      <c r="C493" s="103">
        <f>IF($B493="","",IFERROR(BDP($B493&amp;" Action","CP036"),""))</f>
        <v/>
      </c>
      <c r="D493" s="104">
        <f>Database!S493</f>
        <v/>
      </c>
      <c r="E493" s="103">
        <f>IF($B493="","",IFERROR(BDP($B493&amp;" Action","CP037"),""))</f>
        <v/>
      </c>
      <c r="F493" s="104">
        <f>Database!T493</f>
        <v/>
      </c>
      <c r="G493" s="103">
        <f>IF($B493="","",IFERROR(BDP($B493&amp;" Action","GREENSHOE_FACILITY"),""))</f>
        <v/>
      </c>
      <c r="H493" s="103">
        <f>IF($B493="","",IFERROR(BDP($B493&amp;" Action","OFFERING_GREENSHOE_SHARES_EX"),""))</f>
        <v/>
      </c>
      <c r="I493" s="16">
        <f>Database!Z493</f>
        <v/>
      </c>
      <c r="J493" s="24">
        <f>IFERROR(BDP(Database!$A493&amp;" HK Equity","PE_RATIO"),"")</f>
        <v/>
      </c>
      <c r="K493" s="10">
        <f>IFERROR(BDP(Database!$A493&amp;" HK Equity","A/H_SHARE_CONVERSION"),"")</f>
        <v/>
      </c>
      <c r="L493" s="16">
        <f>IF(Database!BA493="","(none found)",Database!BA493)</f>
        <v/>
      </c>
      <c r="M493" s="18">
        <f>IFERROR(BDH(Database!$A493&amp;" HK Equity","CUR_MKT_CAP",Database!$H493,Database!$H493),"")</f>
        <v/>
      </c>
      <c r="N493" s="99">
        <f>Database!Q493</f>
        <v/>
      </c>
      <c r="O493" s="24">
        <f>IFERROR(BDH(Database!$A493&amp;" HK Equity","PE_RATIO",Database!$H493,Database!$H493),"")</f>
        <v/>
      </c>
      <c r="P493" s="101">
        <f>IF(Database!AV493="","(n/m or not derivable)",Database!AV493)</f>
        <v/>
      </c>
      <c r="Q493" s="24">
        <f>IF(Database!BA493="","",IFERROR(BDH(LEFT(Database!BA493,FIND(".",Database!BA493)-1)&amp;" CH Equity","PE_RATIO",Database!$H493,Database!$H493),""))</f>
        <v/>
      </c>
      <c r="R493" s="24">
        <f>IF(Database!BA493="","",IFERROR(BDH("HSAHP Index","PX_LAST",Database!$H493,Database!$H493),""))</f>
        <v/>
      </c>
    </row>
    <row r="494">
      <c r="A494" s="16">
        <f>Database!A494&amp;"  "&amp;Database!B494</f>
        <v/>
      </c>
      <c r="B494" s="10">
        <f>IFERROR(INDEX(BDS(Database!$A494&amp;" HK Equity","EQUITY_OFFERINGS","array=t","endcol=1"),MATCH("IPO",BDS(Database!$A494&amp;" HK Equity","EQUITY_OFFERINGS","array=t","startcol=2","endcol=2"),0)),"")</f>
        <v/>
      </c>
      <c r="C494" s="103">
        <f>IF($B494="","",IFERROR(BDP($B494&amp;" Action","CP036"),""))</f>
        <v/>
      </c>
      <c r="D494" s="104">
        <f>Database!S494</f>
        <v/>
      </c>
      <c r="E494" s="103">
        <f>IF($B494="","",IFERROR(BDP($B494&amp;" Action","CP037"),""))</f>
        <v/>
      </c>
      <c r="F494" s="104">
        <f>Database!T494</f>
        <v/>
      </c>
      <c r="G494" s="103">
        <f>IF($B494="","",IFERROR(BDP($B494&amp;" Action","GREENSHOE_FACILITY"),""))</f>
        <v/>
      </c>
      <c r="H494" s="103">
        <f>IF($B494="","",IFERROR(BDP($B494&amp;" Action","OFFERING_GREENSHOE_SHARES_EX"),""))</f>
        <v/>
      </c>
      <c r="I494" s="16">
        <f>Database!Z494</f>
        <v/>
      </c>
      <c r="J494" s="24">
        <f>IFERROR(BDP(Database!$A494&amp;" HK Equity","PE_RATIO"),"")</f>
        <v/>
      </c>
      <c r="K494" s="10">
        <f>IFERROR(BDP(Database!$A494&amp;" HK Equity","A/H_SHARE_CONVERSION"),"")</f>
        <v/>
      </c>
      <c r="L494" s="16">
        <f>IF(Database!BA494="","(none found)",Database!BA494)</f>
        <v/>
      </c>
      <c r="M494" s="18">
        <f>IFERROR(BDH(Database!$A494&amp;" HK Equity","CUR_MKT_CAP",Database!$H494,Database!$H494),"")</f>
        <v/>
      </c>
      <c r="N494" s="99">
        <f>Database!Q494</f>
        <v/>
      </c>
      <c r="O494" s="24">
        <f>IFERROR(BDH(Database!$A494&amp;" HK Equity","PE_RATIO",Database!$H494,Database!$H494),"")</f>
        <v/>
      </c>
      <c r="P494" s="101">
        <f>IF(Database!AV494="","(n/m or not derivable)",Database!AV494)</f>
        <v/>
      </c>
      <c r="Q494" s="24">
        <f>IF(Database!BA494="","",IFERROR(BDH(LEFT(Database!BA494,FIND(".",Database!BA494)-1)&amp;" CH Equity","PE_RATIO",Database!$H494,Database!$H494),""))</f>
        <v/>
      </c>
      <c r="R494" s="24">
        <f>IF(Database!BA494="","",IFERROR(BDH("HSAHP Index","PX_LAST",Database!$H494,Database!$H494),""))</f>
        <v/>
      </c>
    </row>
    <row r="495">
      <c r="A495" s="16">
        <f>Database!A495&amp;"  "&amp;Database!B495</f>
        <v/>
      </c>
      <c r="B495" s="10">
        <f>IFERROR(INDEX(BDS(Database!$A495&amp;" HK Equity","EQUITY_OFFERINGS","array=t","endcol=1"),MATCH("IPO",BDS(Database!$A495&amp;" HK Equity","EQUITY_OFFERINGS","array=t","startcol=2","endcol=2"),0)),"")</f>
        <v/>
      </c>
      <c r="C495" s="103">
        <f>IF($B495="","",IFERROR(BDP($B495&amp;" Action","CP036"),""))</f>
        <v/>
      </c>
      <c r="D495" s="104">
        <f>Database!S495</f>
        <v/>
      </c>
      <c r="E495" s="103">
        <f>IF($B495="","",IFERROR(BDP($B495&amp;" Action","CP037"),""))</f>
        <v/>
      </c>
      <c r="F495" s="104">
        <f>Database!T495</f>
        <v/>
      </c>
      <c r="G495" s="103">
        <f>IF($B495="","",IFERROR(BDP($B495&amp;" Action","GREENSHOE_FACILITY"),""))</f>
        <v/>
      </c>
      <c r="H495" s="103">
        <f>IF($B495="","",IFERROR(BDP($B495&amp;" Action","OFFERING_GREENSHOE_SHARES_EX"),""))</f>
        <v/>
      </c>
      <c r="I495" s="16">
        <f>Database!Z495</f>
        <v/>
      </c>
      <c r="J495" s="24">
        <f>IFERROR(BDP(Database!$A495&amp;" HK Equity","PE_RATIO"),"")</f>
        <v/>
      </c>
      <c r="K495" s="10">
        <f>IFERROR(BDP(Database!$A495&amp;" HK Equity","A/H_SHARE_CONVERSION"),"")</f>
        <v/>
      </c>
      <c r="L495" s="16">
        <f>IF(Database!BA495="","(none found)",Database!BA495)</f>
        <v/>
      </c>
      <c r="M495" s="18">
        <f>IFERROR(BDH(Database!$A495&amp;" HK Equity","CUR_MKT_CAP",Database!$H495,Database!$H495),"")</f>
        <v/>
      </c>
      <c r="N495" s="99">
        <f>Database!Q495</f>
        <v/>
      </c>
      <c r="O495" s="24">
        <f>IFERROR(BDH(Database!$A495&amp;" HK Equity","PE_RATIO",Database!$H495,Database!$H495),"")</f>
        <v/>
      </c>
      <c r="P495" s="101">
        <f>IF(Database!AV495="","(n/m or not derivable)",Database!AV495)</f>
        <v/>
      </c>
      <c r="Q495" s="24">
        <f>IF(Database!BA495="","",IFERROR(BDH(LEFT(Database!BA495,FIND(".",Database!BA495)-1)&amp;" CH Equity","PE_RATIO",Database!$H495,Database!$H495),""))</f>
        <v/>
      </c>
      <c r="R495" s="24">
        <f>IF(Database!BA495="","",IFERROR(BDH("HSAHP Index","PX_LAST",Database!$H495,Database!$H495),""))</f>
        <v/>
      </c>
    </row>
    <row r="496">
      <c r="A496" s="16">
        <f>Database!A496&amp;"  "&amp;Database!B496</f>
        <v/>
      </c>
      <c r="B496" s="10">
        <f>IFERROR(INDEX(BDS(Database!$A496&amp;" HK Equity","EQUITY_OFFERINGS","array=t","endcol=1"),MATCH("IPO",BDS(Database!$A496&amp;" HK Equity","EQUITY_OFFERINGS","array=t","startcol=2","endcol=2"),0)),"")</f>
        <v/>
      </c>
      <c r="C496" s="103">
        <f>IF($B496="","",IFERROR(BDP($B496&amp;" Action","CP036"),""))</f>
        <v/>
      </c>
      <c r="D496" s="104">
        <f>Database!S496</f>
        <v/>
      </c>
      <c r="E496" s="103">
        <f>IF($B496="","",IFERROR(BDP($B496&amp;" Action","CP037"),""))</f>
        <v/>
      </c>
      <c r="F496" s="104">
        <f>Database!T496</f>
        <v/>
      </c>
      <c r="G496" s="103">
        <f>IF($B496="","",IFERROR(BDP($B496&amp;" Action","GREENSHOE_FACILITY"),""))</f>
        <v/>
      </c>
      <c r="H496" s="103">
        <f>IF($B496="","",IFERROR(BDP($B496&amp;" Action","OFFERING_GREENSHOE_SHARES_EX"),""))</f>
        <v/>
      </c>
      <c r="I496" s="16">
        <f>Database!Z496</f>
        <v/>
      </c>
      <c r="J496" s="24">
        <f>IFERROR(BDP(Database!$A496&amp;" HK Equity","PE_RATIO"),"")</f>
        <v/>
      </c>
      <c r="K496" s="10">
        <f>IFERROR(BDP(Database!$A496&amp;" HK Equity","A/H_SHARE_CONVERSION"),"")</f>
        <v/>
      </c>
      <c r="L496" s="16">
        <f>IF(Database!BA496="","(none found)",Database!BA496)</f>
        <v/>
      </c>
      <c r="M496" s="18">
        <f>IFERROR(BDH(Database!$A496&amp;" HK Equity","CUR_MKT_CAP",Database!$H496,Database!$H496),"")</f>
        <v/>
      </c>
      <c r="N496" s="99">
        <f>Database!Q496</f>
        <v/>
      </c>
      <c r="O496" s="24">
        <f>IFERROR(BDH(Database!$A496&amp;" HK Equity","PE_RATIO",Database!$H496,Database!$H496),"")</f>
        <v/>
      </c>
      <c r="P496" s="101">
        <f>IF(Database!AV496="","(n/m or not derivable)",Database!AV496)</f>
        <v/>
      </c>
      <c r="Q496" s="24">
        <f>IF(Database!BA496="","",IFERROR(BDH(LEFT(Database!BA496,FIND(".",Database!BA496)-1)&amp;" CH Equity","PE_RATIO",Database!$H496,Database!$H496),""))</f>
        <v/>
      </c>
      <c r="R496" s="24">
        <f>IF(Database!BA496="","",IFERROR(BDH("HSAHP Index","PX_LAST",Database!$H496,Database!$H496),""))</f>
        <v/>
      </c>
    </row>
    <row r="497">
      <c r="A497" s="16">
        <f>Database!A497&amp;"  "&amp;Database!B497</f>
        <v/>
      </c>
      <c r="B497" s="10">
        <f>IFERROR(INDEX(BDS(Database!$A497&amp;" HK Equity","EQUITY_OFFERINGS","array=t","endcol=1"),MATCH("IPO",BDS(Database!$A497&amp;" HK Equity","EQUITY_OFFERINGS","array=t","startcol=2","endcol=2"),0)),"")</f>
        <v/>
      </c>
      <c r="C497" s="103">
        <f>IF($B497="","",IFERROR(BDP($B497&amp;" Action","CP036"),""))</f>
        <v/>
      </c>
      <c r="D497" s="104">
        <f>Database!S497</f>
        <v/>
      </c>
      <c r="E497" s="103">
        <f>IF($B497="","",IFERROR(BDP($B497&amp;" Action","CP037"),""))</f>
        <v/>
      </c>
      <c r="F497" s="104">
        <f>Database!T497</f>
        <v/>
      </c>
      <c r="G497" s="103">
        <f>IF($B497="","",IFERROR(BDP($B497&amp;" Action","GREENSHOE_FACILITY"),""))</f>
        <v/>
      </c>
      <c r="H497" s="103">
        <f>IF($B497="","",IFERROR(BDP($B497&amp;" Action","OFFERING_GREENSHOE_SHARES_EX"),""))</f>
        <v/>
      </c>
      <c r="I497" s="16">
        <f>Database!Z497</f>
        <v/>
      </c>
      <c r="J497" s="24">
        <f>IFERROR(BDP(Database!$A497&amp;" HK Equity","PE_RATIO"),"")</f>
        <v/>
      </c>
      <c r="K497" s="10">
        <f>IFERROR(BDP(Database!$A497&amp;" HK Equity","A/H_SHARE_CONVERSION"),"")</f>
        <v/>
      </c>
      <c r="L497" s="16">
        <f>IF(Database!BA497="","(none found)",Database!BA497)</f>
        <v/>
      </c>
      <c r="M497" s="18">
        <f>IFERROR(BDH(Database!$A497&amp;" HK Equity","CUR_MKT_CAP",Database!$H497,Database!$H497),"")</f>
        <v/>
      </c>
      <c r="N497" s="99">
        <f>Database!Q497</f>
        <v/>
      </c>
      <c r="O497" s="24">
        <f>IFERROR(BDH(Database!$A497&amp;" HK Equity","PE_RATIO",Database!$H497,Database!$H497),"")</f>
        <v/>
      </c>
      <c r="P497" s="101">
        <f>IF(Database!AV497="","(n/m or not derivable)",Database!AV497)</f>
        <v/>
      </c>
      <c r="Q497" s="24">
        <f>IF(Database!BA497="","",IFERROR(BDH(LEFT(Database!BA497,FIND(".",Database!BA497)-1)&amp;" CH Equity","PE_RATIO",Database!$H497,Database!$H497),""))</f>
        <v/>
      </c>
      <c r="R497" s="24">
        <f>IF(Database!BA497="","",IFERROR(BDH("HSAHP Index","PX_LAST",Database!$H497,Database!$H497),""))</f>
        <v/>
      </c>
    </row>
    <row r="498">
      <c r="A498" s="16">
        <f>Database!A498&amp;"  "&amp;Database!B498</f>
        <v/>
      </c>
      <c r="B498" s="10">
        <f>IFERROR(INDEX(BDS(Database!$A498&amp;" HK Equity","EQUITY_OFFERINGS","array=t","endcol=1"),MATCH("IPO",BDS(Database!$A498&amp;" HK Equity","EQUITY_OFFERINGS","array=t","startcol=2","endcol=2"),0)),"")</f>
        <v/>
      </c>
      <c r="C498" s="103">
        <f>IF($B498="","",IFERROR(BDP($B498&amp;" Action","CP036"),""))</f>
        <v/>
      </c>
      <c r="D498" s="104">
        <f>Database!S498</f>
        <v/>
      </c>
      <c r="E498" s="103">
        <f>IF($B498="","",IFERROR(BDP($B498&amp;" Action","CP037"),""))</f>
        <v/>
      </c>
      <c r="F498" s="104">
        <f>Database!T498</f>
        <v/>
      </c>
      <c r="G498" s="103">
        <f>IF($B498="","",IFERROR(BDP($B498&amp;" Action","GREENSHOE_FACILITY"),""))</f>
        <v/>
      </c>
      <c r="H498" s="103">
        <f>IF($B498="","",IFERROR(BDP($B498&amp;" Action","OFFERING_GREENSHOE_SHARES_EX"),""))</f>
        <v/>
      </c>
      <c r="I498" s="16">
        <f>Database!Z498</f>
        <v/>
      </c>
      <c r="J498" s="24">
        <f>IFERROR(BDP(Database!$A498&amp;" HK Equity","PE_RATIO"),"")</f>
        <v/>
      </c>
      <c r="K498" s="10">
        <f>IFERROR(BDP(Database!$A498&amp;" HK Equity","A/H_SHARE_CONVERSION"),"")</f>
        <v/>
      </c>
      <c r="L498" s="16">
        <f>IF(Database!BA498="","(none found)",Database!BA498)</f>
        <v/>
      </c>
      <c r="M498" s="18">
        <f>IFERROR(BDH(Database!$A498&amp;" HK Equity","CUR_MKT_CAP",Database!$H498,Database!$H498),"")</f>
        <v/>
      </c>
      <c r="N498" s="99">
        <f>Database!Q498</f>
        <v/>
      </c>
      <c r="O498" s="24">
        <f>IFERROR(BDH(Database!$A498&amp;" HK Equity","PE_RATIO",Database!$H498,Database!$H498),"")</f>
        <v/>
      </c>
      <c r="P498" s="101">
        <f>IF(Database!AV498="","(n/m or not derivable)",Database!AV498)</f>
        <v/>
      </c>
      <c r="Q498" s="24">
        <f>IF(Database!BA498="","",IFERROR(BDH(LEFT(Database!BA498,FIND(".",Database!BA498)-1)&amp;" CH Equity","PE_RATIO",Database!$H498,Database!$H498),""))</f>
        <v/>
      </c>
      <c r="R498" s="24">
        <f>IF(Database!BA498="","",IFERROR(BDH("HSAHP Index","PX_LAST",Database!$H498,Database!$H498),""))</f>
        <v/>
      </c>
    </row>
    <row r="499">
      <c r="A499" s="16">
        <f>Database!A499&amp;"  "&amp;Database!B499</f>
        <v/>
      </c>
      <c r="B499" s="10">
        <f>IFERROR(INDEX(BDS(Database!$A499&amp;" HK Equity","EQUITY_OFFERINGS","array=t","endcol=1"),MATCH("IPO",BDS(Database!$A499&amp;" HK Equity","EQUITY_OFFERINGS","array=t","startcol=2","endcol=2"),0)),"")</f>
        <v/>
      </c>
      <c r="C499" s="103">
        <f>IF($B499="","",IFERROR(BDP($B499&amp;" Action","CP036"),""))</f>
        <v/>
      </c>
      <c r="D499" s="104">
        <f>Database!S499</f>
        <v/>
      </c>
      <c r="E499" s="103">
        <f>IF($B499="","",IFERROR(BDP($B499&amp;" Action","CP037"),""))</f>
        <v/>
      </c>
      <c r="F499" s="104">
        <f>Database!T499</f>
        <v/>
      </c>
      <c r="G499" s="103">
        <f>IF($B499="","",IFERROR(BDP($B499&amp;" Action","GREENSHOE_FACILITY"),""))</f>
        <v/>
      </c>
      <c r="H499" s="103">
        <f>IF($B499="","",IFERROR(BDP($B499&amp;" Action","OFFERING_GREENSHOE_SHARES_EX"),""))</f>
        <v/>
      </c>
      <c r="I499" s="16">
        <f>Database!Z499</f>
        <v/>
      </c>
      <c r="J499" s="24">
        <f>IFERROR(BDP(Database!$A499&amp;" HK Equity","PE_RATIO"),"")</f>
        <v/>
      </c>
      <c r="K499" s="10">
        <f>IFERROR(BDP(Database!$A499&amp;" HK Equity","A/H_SHARE_CONVERSION"),"")</f>
        <v/>
      </c>
      <c r="L499" s="16">
        <f>IF(Database!BA499="","(none found)",Database!BA499)</f>
        <v/>
      </c>
      <c r="M499" s="18">
        <f>IFERROR(BDH(Database!$A499&amp;" HK Equity","CUR_MKT_CAP",Database!$H499,Database!$H499),"")</f>
        <v/>
      </c>
      <c r="N499" s="99">
        <f>Database!Q499</f>
        <v/>
      </c>
      <c r="O499" s="24">
        <f>IFERROR(BDH(Database!$A499&amp;" HK Equity","PE_RATIO",Database!$H499,Database!$H499),"")</f>
        <v/>
      </c>
      <c r="P499" s="101">
        <f>IF(Database!AV499="","(n/m or not derivable)",Database!AV499)</f>
        <v/>
      </c>
      <c r="Q499" s="24">
        <f>IF(Database!BA499="","",IFERROR(BDH(LEFT(Database!BA499,FIND(".",Database!BA499)-1)&amp;" CH Equity","PE_RATIO",Database!$H499,Database!$H499),""))</f>
        <v/>
      </c>
      <c r="R499" s="24">
        <f>IF(Database!BA499="","",IFERROR(BDH("HSAHP Index","PX_LAST",Database!$H499,Database!$H499),""))</f>
        <v/>
      </c>
    </row>
    <row r="500">
      <c r="A500" s="16">
        <f>Database!A500&amp;"  "&amp;Database!B500</f>
        <v/>
      </c>
      <c r="B500" s="10">
        <f>IFERROR(INDEX(BDS(Database!$A500&amp;" HK Equity","EQUITY_OFFERINGS","array=t","endcol=1"),MATCH("IPO",BDS(Database!$A500&amp;" HK Equity","EQUITY_OFFERINGS","array=t","startcol=2","endcol=2"),0)),"")</f>
        <v/>
      </c>
      <c r="C500" s="103">
        <f>IF($B500="","",IFERROR(BDP($B500&amp;" Action","CP036"),""))</f>
        <v/>
      </c>
      <c r="D500" s="104">
        <f>Database!S500</f>
        <v/>
      </c>
      <c r="E500" s="103">
        <f>IF($B500="","",IFERROR(BDP($B500&amp;" Action","CP037"),""))</f>
        <v/>
      </c>
      <c r="F500" s="104">
        <f>Database!T500</f>
        <v/>
      </c>
      <c r="G500" s="103">
        <f>IF($B500="","",IFERROR(BDP($B500&amp;" Action","GREENSHOE_FACILITY"),""))</f>
        <v/>
      </c>
      <c r="H500" s="103">
        <f>IF($B500="","",IFERROR(BDP($B500&amp;" Action","OFFERING_GREENSHOE_SHARES_EX"),""))</f>
        <v/>
      </c>
      <c r="I500" s="16">
        <f>Database!Z500</f>
        <v/>
      </c>
      <c r="J500" s="24">
        <f>IFERROR(BDP(Database!$A500&amp;" HK Equity","PE_RATIO"),"")</f>
        <v/>
      </c>
      <c r="K500" s="10">
        <f>IFERROR(BDP(Database!$A500&amp;" HK Equity","A/H_SHARE_CONVERSION"),"")</f>
        <v/>
      </c>
      <c r="L500" s="16">
        <f>IF(Database!BA500="","(none found)",Database!BA500)</f>
        <v/>
      </c>
      <c r="M500" s="18">
        <f>IFERROR(BDH(Database!$A500&amp;" HK Equity","CUR_MKT_CAP",Database!$H500,Database!$H500),"")</f>
        <v/>
      </c>
      <c r="N500" s="99">
        <f>Database!Q500</f>
        <v/>
      </c>
      <c r="O500" s="24">
        <f>IFERROR(BDH(Database!$A500&amp;" HK Equity","PE_RATIO",Database!$H500,Database!$H500),"")</f>
        <v/>
      </c>
      <c r="P500" s="101">
        <f>IF(Database!AV500="","(n/m or not derivable)",Database!AV500)</f>
        <v/>
      </c>
      <c r="Q500" s="24">
        <f>IF(Database!BA500="","",IFERROR(BDH(LEFT(Database!BA500,FIND(".",Database!BA500)-1)&amp;" CH Equity","PE_RATIO",Database!$H500,Database!$H500),""))</f>
        <v/>
      </c>
      <c r="R500" s="24">
        <f>IF(Database!BA500="","",IFERROR(BDH("HSAHP Index","PX_LAST",Database!$H500,Database!$H500),""))</f>
        <v/>
      </c>
    </row>
    <row r="501">
      <c r="A501" s="16">
        <f>Database!A501&amp;"  "&amp;Database!B501</f>
        <v/>
      </c>
      <c r="B501" s="10">
        <f>IFERROR(INDEX(BDS(Database!$A501&amp;" HK Equity","EQUITY_OFFERINGS","array=t","endcol=1"),MATCH("IPO",BDS(Database!$A501&amp;" HK Equity","EQUITY_OFFERINGS","array=t","startcol=2","endcol=2"),0)),"")</f>
        <v/>
      </c>
      <c r="C501" s="103">
        <f>IF($B501="","",IFERROR(BDP($B501&amp;" Action","CP036"),""))</f>
        <v/>
      </c>
      <c r="D501" s="104">
        <f>Database!S501</f>
        <v/>
      </c>
      <c r="E501" s="103">
        <f>IF($B501="","",IFERROR(BDP($B501&amp;" Action","CP037"),""))</f>
        <v/>
      </c>
      <c r="F501" s="104">
        <f>Database!T501</f>
        <v/>
      </c>
      <c r="G501" s="103">
        <f>IF($B501="","",IFERROR(BDP($B501&amp;" Action","GREENSHOE_FACILITY"),""))</f>
        <v/>
      </c>
      <c r="H501" s="103">
        <f>IF($B501="","",IFERROR(BDP($B501&amp;" Action","OFFERING_GREENSHOE_SHARES_EX"),""))</f>
        <v/>
      </c>
      <c r="I501" s="16">
        <f>Database!Z501</f>
        <v/>
      </c>
      <c r="J501" s="24">
        <f>IFERROR(BDP(Database!$A501&amp;" HK Equity","PE_RATIO"),"")</f>
        <v/>
      </c>
      <c r="K501" s="10">
        <f>IFERROR(BDP(Database!$A501&amp;" HK Equity","A/H_SHARE_CONVERSION"),"")</f>
        <v/>
      </c>
      <c r="L501" s="16">
        <f>IF(Database!BA501="","(none found)",Database!BA501)</f>
        <v/>
      </c>
      <c r="M501" s="18">
        <f>IFERROR(BDH(Database!$A501&amp;" HK Equity","CUR_MKT_CAP",Database!$H501,Database!$H501),"")</f>
        <v/>
      </c>
      <c r="N501" s="99">
        <f>Database!Q501</f>
        <v/>
      </c>
      <c r="O501" s="24">
        <f>IFERROR(BDH(Database!$A501&amp;" HK Equity","PE_RATIO",Database!$H501,Database!$H501),"")</f>
        <v/>
      </c>
      <c r="P501" s="101">
        <f>IF(Database!AV501="","(n/m or not derivable)",Database!AV501)</f>
        <v/>
      </c>
      <c r="Q501" s="24">
        <f>IF(Database!BA501="","",IFERROR(BDH(LEFT(Database!BA501,FIND(".",Database!BA501)-1)&amp;" CH Equity","PE_RATIO",Database!$H501,Database!$H501),""))</f>
        <v/>
      </c>
      <c r="R501" s="24">
        <f>IF(Database!BA501="","",IFERROR(BDH("HSAHP Index","PX_LAST",Database!$H501,Database!$H501),""))</f>
        <v/>
      </c>
    </row>
    <row r="502">
      <c r="A502" s="16">
        <f>Database!A502&amp;"  "&amp;Database!B502</f>
        <v/>
      </c>
      <c r="B502" s="10">
        <f>IFERROR(INDEX(BDS(Database!$A502&amp;" HK Equity","EQUITY_OFFERINGS","array=t","endcol=1"),MATCH("IPO",BDS(Database!$A502&amp;" HK Equity","EQUITY_OFFERINGS","array=t","startcol=2","endcol=2"),0)),"")</f>
        <v/>
      </c>
      <c r="C502" s="103">
        <f>IF($B502="","",IFERROR(BDP($B502&amp;" Action","CP036"),""))</f>
        <v/>
      </c>
      <c r="D502" s="104">
        <f>Database!S502</f>
        <v/>
      </c>
      <c r="E502" s="103">
        <f>IF($B502="","",IFERROR(BDP($B502&amp;" Action","CP037"),""))</f>
        <v/>
      </c>
      <c r="F502" s="104">
        <f>Database!T502</f>
        <v/>
      </c>
      <c r="G502" s="103">
        <f>IF($B502="","",IFERROR(BDP($B502&amp;" Action","GREENSHOE_FACILITY"),""))</f>
        <v/>
      </c>
      <c r="H502" s="103">
        <f>IF($B502="","",IFERROR(BDP($B502&amp;" Action","OFFERING_GREENSHOE_SHARES_EX"),""))</f>
        <v/>
      </c>
      <c r="I502" s="16">
        <f>Database!Z502</f>
        <v/>
      </c>
      <c r="J502" s="24">
        <f>IFERROR(BDP(Database!$A502&amp;" HK Equity","PE_RATIO"),"")</f>
        <v/>
      </c>
      <c r="K502" s="10">
        <f>IFERROR(BDP(Database!$A502&amp;" HK Equity","A/H_SHARE_CONVERSION"),"")</f>
        <v/>
      </c>
      <c r="L502" s="16">
        <f>IF(Database!BA502="","(none found)",Database!BA502)</f>
        <v/>
      </c>
      <c r="M502" s="18">
        <f>IFERROR(BDH(Database!$A502&amp;" HK Equity","CUR_MKT_CAP",Database!$H502,Database!$H502),"")</f>
        <v/>
      </c>
      <c r="N502" s="99">
        <f>Database!Q502</f>
        <v/>
      </c>
      <c r="O502" s="24">
        <f>IFERROR(BDH(Database!$A502&amp;" HK Equity","PE_RATIO",Database!$H502,Database!$H502),"")</f>
        <v/>
      </c>
      <c r="P502" s="101">
        <f>IF(Database!AV502="","(n/m or not derivable)",Database!AV502)</f>
        <v/>
      </c>
      <c r="Q502" s="24">
        <f>IF(Database!BA502="","",IFERROR(BDH(LEFT(Database!BA502,FIND(".",Database!BA502)-1)&amp;" CH Equity","PE_RATIO",Database!$H502,Database!$H502),""))</f>
        <v/>
      </c>
      <c r="R502" s="24">
        <f>IF(Database!BA502="","",IFERROR(BDH("HSAHP Index","PX_LAST",Database!$H502,Database!$H502),""))</f>
        <v/>
      </c>
    </row>
    <row r="503">
      <c r="A503" s="16">
        <f>Database!A503&amp;"  "&amp;Database!B503</f>
        <v/>
      </c>
      <c r="B503" s="10">
        <f>IFERROR(INDEX(BDS(Database!$A503&amp;" HK Equity","EQUITY_OFFERINGS","array=t","endcol=1"),MATCH("IPO",BDS(Database!$A503&amp;" HK Equity","EQUITY_OFFERINGS","array=t","startcol=2","endcol=2"),0)),"")</f>
        <v/>
      </c>
      <c r="C503" s="103">
        <f>IF($B503="","",IFERROR(BDP($B503&amp;" Action","CP036"),""))</f>
        <v/>
      </c>
      <c r="D503" s="104">
        <f>Database!S503</f>
        <v/>
      </c>
      <c r="E503" s="103">
        <f>IF($B503="","",IFERROR(BDP($B503&amp;" Action","CP037"),""))</f>
        <v/>
      </c>
      <c r="F503" s="104">
        <f>Database!T503</f>
        <v/>
      </c>
      <c r="G503" s="103">
        <f>IF($B503="","",IFERROR(BDP($B503&amp;" Action","GREENSHOE_FACILITY"),""))</f>
        <v/>
      </c>
      <c r="H503" s="103">
        <f>IF($B503="","",IFERROR(BDP($B503&amp;" Action","OFFERING_GREENSHOE_SHARES_EX"),""))</f>
        <v/>
      </c>
      <c r="I503" s="16">
        <f>Database!Z503</f>
        <v/>
      </c>
      <c r="J503" s="24">
        <f>IFERROR(BDP(Database!$A503&amp;" HK Equity","PE_RATIO"),"")</f>
        <v/>
      </c>
      <c r="K503" s="10">
        <f>IFERROR(BDP(Database!$A503&amp;" HK Equity","A/H_SHARE_CONVERSION"),"")</f>
        <v/>
      </c>
      <c r="L503" s="16">
        <f>IF(Database!BA503="","(none found)",Database!BA503)</f>
        <v/>
      </c>
      <c r="M503" s="18">
        <f>IFERROR(BDH(Database!$A503&amp;" HK Equity","CUR_MKT_CAP",Database!$H503,Database!$H503),"")</f>
        <v/>
      </c>
      <c r="N503" s="99">
        <f>Database!Q503</f>
        <v/>
      </c>
      <c r="O503" s="24">
        <f>IFERROR(BDH(Database!$A503&amp;" HK Equity","PE_RATIO",Database!$H503,Database!$H503),"")</f>
        <v/>
      </c>
      <c r="P503" s="101">
        <f>IF(Database!AV503="","(n/m or not derivable)",Database!AV503)</f>
        <v/>
      </c>
      <c r="Q503" s="24">
        <f>IF(Database!BA503="","",IFERROR(BDH(LEFT(Database!BA503,FIND(".",Database!BA503)-1)&amp;" CH Equity","PE_RATIO",Database!$H503,Database!$H503),""))</f>
        <v/>
      </c>
      <c r="R503" s="24">
        <f>IF(Database!BA503="","",IFERROR(BDH("HSAHP Index","PX_LAST",Database!$H503,Database!$H503),""))</f>
        <v/>
      </c>
    </row>
    <row r="504">
      <c r="A504" s="16">
        <f>Database!A504&amp;"  "&amp;Database!B504</f>
        <v/>
      </c>
      <c r="B504" s="10">
        <f>IFERROR(INDEX(BDS(Database!$A504&amp;" HK Equity","EQUITY_OFFERINGS","array=t","endcol=1"),MATCH("IPO",BDS(Database!$A504&amp;" HK Equity","EQUITY_OFFERINGS","array=t","startcol=2","endcol=2"),0)),"")</f>
        <v/>
      </c>
      <c r="C504" s="103">
        <f>IF($B504="","",IFERROR(BDP($B504&amp;" Action","CP036"),""))</f>
        <v/>
      </c>
      <c r="D504" s="104">
        <f>Database!S504</f>
        <v/>
      </c>
      <c r="E504" s="103">
        <f>IF($B504="","",IFERROR(BDP($B504&amp;" Action","CP037"),""))</f>
        <v/>
      </c>
      <c r="F504" s="104">
        <f>Database!T504</f>
        <v/>
      </c>
      <c r="G504" s="103">
        <f>IF($B504="","",IFERROR(BDP($B504&amp;" Action","GREENSHOE_FACILITY"),""))</f>
        <v/>
      </c>
      <c r="H504" s="103">
        <f>IF($B504="","",IFERROR(BDP($B504&amp;" Action","OFFERING_GREENSHOE_SHARES_EX"),""))</f>
        <v/>
      </c>
      <c r="I504" s="16">
        <f>Database!Z504</f>
        <v/>
      </c>
      <c r="J504" s="24">
        <f>IFERROR(BDP(Database!$A504&amp;" HK Equity","PE_RATIO"),"")</f>
        <v/>
      </c>
      <c r="K504" s="10">
        <f>IFERROR(BDP(Database!$A504&amp;" HK Equity","A/H_SHARE_CONVERSION"),"")</f>
        <v/>
      </c>
      <c r="L504" s="16">
        <f>IF(Database!BA504="","(none found)",Database!BA504)</f>
        <v/>
      </c>
      <c r="M504" s="18">
        <f>IFERROR(BDH(Database!$A504&amp;" HK Equity","CUR_MKT_CAP",Database!$H504,Database!$H504),"")</f>
        <v/>
      </c>
      <c r="N504" s="99">
        <f>Database!Q504</f>
        <v/>
      </c>
      <c r="O504" s="24">
        <f>IFERROR(BDH(Database!$A504&amp;" HK Equity","PE_RATIO",Database!$H504,Database!$H504),"")</f>
        <v/>
      </c>
      <c r="P504" s="101">
        <f>IF(Database!AV504="","(n/m or not derivable)",Database!AV504)</f>
        <v/>
      </c>
      <c r="Q504" s="24">
        <f>IF(Database!BA504="","",IFERROR(BDH(LEFT(Database!BA504,FIND(".",Database!BA504)-1)&amp;" CH Equity","PE_RATIO",Database!$H504,Database!$H504),""))</f>
        <v/>
      </c>
      <c r="R504" s="24">
        <f>IF(Database!BA504="","",IFERROR(BDH("HSAHP Index","PX_LAST",Database!$H504,Database!$H504),""))</f>
        <v/>
      </c>
    </row>
    <row r="505">
      <c r="A505" s="16">
        <f>Database!A505&amp;"  "&amp;Database!B505</f>
        <v/>
      </c>
      <c r="B505" s="10">
        <f>IFERROR(INDEX(BDS(Database!$A505&amp;" HK Equity","EQUITY_OFFERINGS","array=t","endcol=1"),MATCH("IPO",BDS(Database!$A505&amp;" HK Equity","EQUITY_OFFERINGS","array=t","startcol=2","endcol=2"),0)),"")</f>
        <v/>
      </c>
      <c r="C505" s="103">
        <f>IF($B505="","",IFERROR(BDP($B505&amp;" Action","CP036"),""))</f>
        <v/>
      </c>
      <c r="D505" s="104">
        <f>Database!S505</f>
        <v/>
      </c>
      <c r="E505" s="103">
        <f>IF($B505="","",IFERROR(BDP($B505&amp;" Action","CP037"),""))</f>
        <v/>
      </c>
      <c r="F505" s="104">
        <f>Database!T505</f>
        <v/>
      </c>
      <c r="G505" s="103">
        <f>IF($B505="","",IFERROR(BDP($B505&amp;" Action","GREENSHOE_FACILITY"),""))</f>
        <v/>
      </c>
      <c r="H505" s="103">
        <f>IF($B505="","",IFERROR(BDP($B505&amp;" Action","OFFERING_GREENSHOE_SHARES_EX"),""))</f>
        <v/>
      </c>
      <c r="I505" s="16">
        <f>Database!Z505</f>
        <v/>
      </c>
      <c r="J505" s="24">
        <f>IFERROR(BDP(Database!$A505&amp;" HK Equity","PE_RATIO"),"")</f>
        <v/>
      </c>
      <c r="K505" s="10">
        <f>IFERROR(BDP(Database!$A505&amp;" HK Equity","A/H_SHARE_CONVERSION"),"")</f>
        <v/>
      </c>
      <c r="L505" s="16">
        <f>IF(Database!BA505="","(none found)",Database!BA505)</f>
        <v/>
      </c>
      <c r="M505" s="18">
        <f>IFERROR(BDH(Database!$A505&amp;" HK Equity","CUR_MKT_CAP",Database!$H505,Database!$H505),"")</f>
        <v/>
      </c>
      <c r="N505" s="99">
        <f>Database!Q505</f>
        <v/>
      </c>
      <c r="O505" s="24">
        <f>IFERROR(BDH(Database!$A505&amp;" HK Equity","PE_RATIO",Database!$H505,Database!$H505),"")</f>
        <v/>
      </c>
      <c r="P505" s="101">
        <f>IF(Database!AV505="","(n/m or not derivable)",Database!AV505)</f>
        <v/>
      </c>
      <c r="Q505" s="24">
        <f>IF(Database!BA505="","",IFERROR(BDH(LEFT(Database!BA505,FIND(".",Database!BA505)-1)&amp;" CH Equity","PE_RATIO",Database!$H505,Database!$H505),""))</f>
        <v/>
      </c>
      <c r="R505" s="24">
        <f>IF(Database!BA505="","",IFERROR(BDH("HSAHP Index","PX_LAST",Database!$H505,Database!$H505),""))</f>
        <v/>
      </c>
    </row>
    <row r="506">
      <c r="A506" s="16">
        <f>Database!A506&amp;"  "&amp;Database!B506</f>
        <v/>
      </c>
      <c r="B506" s="10">
        <f>IFERROR(INDEX(BDS(Database!$A506&amp;" HK Equity","EQUITY_OFFERINGS","array=t","endcol=1"),MATCH("IPO",BDS(Database!$A506&amp;" HK Equity","EQUITY_OFFERINGS","array=t","startcol=2","endcol=2"),0)),"")</f>
        <v/>
      </c>
      <c r="C506" s="103">
        <f>IF($B506="","",IFERROR(BDP($B506&amp;" Action","CP036"),""))</f>
        <v/>
      </c>
      <c r="D506" s="104">
        <f>Database!S506</f>
        <v/>
      </c>
      <c r="E506" s="103">
        <f>IF($B506="","",IFERROR(BDP($B506&amp;" Action","CP037"),""))</f>
        <v/>
      </c>
      <c r="F506" s="104">
        <f>Database!T506</f>
        <v/>
      </c>
      <c r="G506" s="103">
        <f>IF($B506="","",IFERROR(BDP($B506&amp;" Action","GREENSHOE_FACILITY"),""))</f>
        <v/>
      </c>
      <c r="H506" s="103">
        <f>IF($B506="","",IFERROR(BDP($B506&amp;" Action","OFFERING_GREENSHOE_SHARES_EX"),""))</f>
        <v/>
      </c>
      <c r="I506" s="16">
        <f>Database!Z506</f>
        <v/>
      </c>
      <c r="J506" s="24">
        <f>IFERROR(BDP(Database!$A506&amp;" HK Equity","PE_RATIO"),"")</f>
        <v/>
      </c>
      <c r="K506" s="10">
        <f>IFERROR(BDP(Database!$A506&amp;" HK Equity","A/H_SHARE_CONVERSION"),"")</f>
        <v/>
      </c>
      <c r="L506" s="16">
        <f>IF(Database!BA506="","(none found)",Database!BA506)</f>
        <v/>
      </c>
      <c r="M506" s="18">
        <f>IFERROR(BDH(Database!$A506&amp;" HK Equity","CUR_MKT_CAP",Database!$H506,Database!$H506),"")</f>
        <v/>
      </c>
      <c r="N506" s="99">
        <f>Database!Q506</f>
        <v/>
      </c>
      <c r="O506" s="24">
        <f>IFERROR(BDH(Database!$A506&amp;" HK Equity","PE_RATIO",Database!$H506,Database!$H506),"")</f>
        <v/>
      </c>
      <c r="P506" s="101">
        <f>IF(Database!AV506="","(n/m or not derivable)",Database!AV506)</f>
        <v/>
      </c>
      <c r="Q506" s="24">
        <f>IF(Database!BA506="","",IFERROR(BDH(LEFT(Database!BA506,FIND(".",Database!BA506)-1)&amp;" CH Equity","PE_RATIO",Database!$H506,Database!$H506),""))</f>
        <v/>
      </c>
      <c r="R506" s="24">
        <f>IF(Database!BA506="","",IFERROR(BDH("HSAHP Index","PX_LAST",Database!$H506,Database!$H506),""))</f>
        <v/>
      </c>
    </row>
    <row r="507">
      <c r="A507" s="16">
        <f>Database!A507&amp;"  "&amp;Database!B507</f>
        <v/>
      </c>
      <c r="B507" s="10">
        <f>IFERROR(INDEX(BDS(Database!$A507&amp;" HK Equity","EQUITY_OFFERINGS","array=t","endcol=1"),MATCH("IPO",BDS(Database!$A507&amp;" HK Equity","EQUITY_OFFERINGS","array=t","startcol=2","endcol=2"),0)),"")</f>
        <v/>
      </c>
      <c r="C507" s="103">
        <f>IF($B507="","",IFERROR(BDP($B507&amp;" Action","CP036"),""))</f>
        <v/>
      </c>
      <c r="D507" s="104">
        <f>Database!S507</f>
        <v/>
      </c>
      <c r="E507" s="103">
        <f>IF($B507="","",IFERROR(BDP($B507&amp;" Action","CP037"),""))</f>
        <v/>
      </c>
      <c r="F507" s="104">
        <f>Database!T507</f>
        <v/>
      </c>
      <c r="G507" s="103">
        <f>IF($B507="","",IFERROR(BDP($B507&amp;" Action","GREENSHOE_FACILITY"),""))</f>
        <v/>
      </c>
      <c r="H507" s="103">
        <f>IF($B507="","",IFERROR(BDP($B507&amp;" Action","OFFERING_GREENSHOE_SHARES_EX"),""))</f>
        <v/>
      </c>
      <c r="I507" s="16">
        <f>Database!Z507</f>
        <v/>
      </c>
      <c r="J507" s="24">
        <f>IFERROR(BDP(Database!$A507&amp;" HK Equity","PE_RATIO"),"")</f>
        <v/>
      </c>
      <c r="K507" s="10">
        <f>IFERROR(BDP(Database!$A507&amp;" HK Equity","A/H_SHARE_CONVERSION"),"")</f>
        <v/>
      </c>
      <c r="L507" s="16">
        <f>IF(Database!BA507="","(none found)",Database!BA507)</f>
        <v/>
      </c>
      <c r="M507" s="18">
        <f>IFERROR(BDH(Database!$A507&amp;" HK Equity","CUR_MKT_CAP",Database!$H507,Database!$H507),"")</f>
        <v/>
      </c>
      <c r="N507" s="99">
        <f>Database!Q507</f>
        <v/>
      </c>
      <c r="O507" s="24">
        <f>IFERROR(BDH(Database!$A507&amp;" HK Equity","PE_RATIO",Database!$H507,Database!$H507),"")</f>
        <v/>
      </c>
      <c r="P507" s="101">
        <f>IF(Database!AV507="","(n/m or not derivable)",Database!AV507)</f>
        <v/>
      </c>
      <c r="Q507" s="24">
        <f>IF(Database!BA507="","",IFERROR(BDH(LEFT(Database!BA507,FIND(".",Database!BA507)-1)&amp;" CH Equity","PE_RATIO",Database!$H507,Database!$H507),""))</f>
        <v/>
      </c>
      <c r="R507" s="24">
        <f>IF(Database!BA507="","",IFERROR(BDH("HSAHP Index","PX_LAST",Database!$H507,Database!$H507),""))</f>
        <v/>
      </c>
    </row>
    <row r="508">
      <c r="A508" s="16">
        <f>Database!A508&amp;"  "&amp;Database!B508</f>
        <v/>
      </c>
      <c r="B508" s="10">
        <f>IFERROR(INDEX(BDS(Database!$A508&amp;" HK Equity","EQUITY_OFFERINGS","array=t","endcol=1"),MATCH("IPO",BDS(Database!$A508&amp;" HK Equity","EQUITY_OFFERINGS","array=t","startcol=2","endcol=2"),0)),"")</f>
        <v/>
      </c>
      <c r="C508" s="103">
        <f>IF($B508="","",IFERROR(BDP($B508&amp;" Action","CP036"),""))</f>
        <v/>
      </c>
      <c r="D508" s="104">
        <f>Database!S508</f>
        <v/>
      </c>
      <c r="E508" s="103">
        <f>IF($B508="","",IFERROR(BDP($B508&amp;" Action","CP037"),""))</f>
        <v/>
      </c>
      <c r="F508" s="104">
        <f>Database!T508</f>
        <v/>
      </c>
      <c r="G508" s="103">
        <f>IF($B508="","",IFERROR(BDP($B508&amp;" Action","GREENSHOE_FACILITY"),""))</f>
        <v/>
      </c>
      <c r="H508" s="103">
        <f>IF($B508="","",IFERROR(BDP($B508&amp;" Action","OFFERING_GREENSHOE_SHARES_EX"),""))</f>
        <v/>
      </c>
      <c r="I508" s="16">
        <f>Database!Z508</f>
        <v/>
      </c>
      <c r="J508" s="24">
        <f>IFERROR(BDP(Database!$A508&amp;" HK Equity","PE_RATIO"),"")</f>
        <v/>
      </c>
      <c r="K508" s="10">
        <f>IFERROR(BDP(Database!$A508&amp;" HK Equity","A/H_SHARE_CONVERSION"),"")</f>
        <v/>
      </c>
      <c r="L508" s="16">
        <f>IF(Database!BA508="","(none found)",Database!BA508)</f>
        <v/>
      </c>
      <c r="M508" s="18">
        <f>IFERROR(BDH(Database!$A508&amp;" HK Equity","CUR_MKT_CAP",Database!$H508,Database!$H508),"")</f>
        <v/>
      </c>
      <c r="N508" s="99">
        <f>Database!Q508</f>
        <v/>
      </c>
      <c r="O508" s="24">
        <f>IFERROR(BDH(Database!$A508&amp;" HK Equity","PE_RATIO",Database!$H508,Database!$H508),"")</f>
        <v/>
      </c>
      <c r="P508" s="101">
        <f>IF(Database!AV508="","(n/m or not derivable)",Database!AV508)</f>
        <v/>
      </c>
      <c r="Q508" s="24">
        <f>IF(Database!BA508="","",IFERROR(BDH(LEFT(Database!BA508,FIND(".",Database!BA508)-1)&amp;" CH Equity","PE_RATIO",Database!$H508,Database!$H508),""))</f>
        <v/>
      </c>
      <c r="R508" s="24">
        <f>IF(Database!BA508="","",IFERROR(BDH("HSAHP Index","PX_LAST",Database!$H508,Database!$H508),""))</f>
        <v/>
      </c>
    </row>
    <row r="509">
      <c r="A509" s="16">
        <f>Database!A509&amp;"  "&amp;Database!B509</f>
        <v/>
      </c>
      <c r="B509" s="10">
        <f>IFERROR(INDEX(BDS(Database!$A509&amp;" HK Equity","EQUITY_OFFERINGS","array=t","endcol=1"),MATCH("IPO",BDS(Database!$A509&amp;" HK Equity","EQUITY_OFFERINGS","array=t","startcol=2","endcol=2"),0)),"")</f>
        <v/>
      </c>
      <c r="C509" s="103">
        <f>IF($B509="","",IFERROR(BDP($B509&amp;" Action","CP036"),""))</f>
        <v/>
      </c>
      <c r="D509" s="104">
        <f>Database!S509</f>
        <v/>
      </c>
      <c r="E509" s="103">
        <f>IF($B509="","",IFERROR(BDP($B509&amp;" Action","CP037"),""))</f>
        <v/>
      </c>
      <c r="F509" s="104">
        <f>Database!T509</f>
        <v/>
      </c>
      <c r="G509" s="103">
        <f>IF($B509="","",IFERROR(BDP($B509&amp;" Action","GREENSHOE_FACILITY"),""))</f>
        <v/>
      </c>
      <c r="H509" s="103">
        <f>IF($B509="","",IFERROR(BDP($B509&amp;" Action","OFFERING_GREENSHOE_SHARES_EX"),""))</f>
        <v/>
      </c>
      <c r="I509" s="16">
        <f>Database!Z509</f>
        <v/>
      </c>
      <c r="J509" s="24">
        <f>IFERROR(BDP(Database!$A509&amp;" HK Equity","PE_RATIO"),"")</f>
        <v/>
      </c>
      <c r="K509" s="10">
        <f>IFERROR(BDP(Database!$A509&amp;" HK Equity","A/H_SHARE_CONVERSION"),"")</f>
        <v/>
      </c>
      <c r="L509" s="16">
        <f>IF(Database!BA509="","(none found)",Database!BA509)</f>
        <v/>
      </c>
      <c r="M509" s="18">
        <f>IFERROR(BDH(Database!$A509&amp;" HK Equity","CUR_MKT_CAP",Database!$H509,Database!$H509),"")</f>
        <v/>
      </c>
      <c r="N509" s="99">
        <f>Database!Q509</f>
        <v/>
      </c>
      <c r="O509" s="24">
        <f>IFERROR(BDH(Database!$A509&amp;" HK Equity","PE_RATIO",Database!$H509,Database!$H509),"")</f>
        <v/>
      </c>
      <c r="P509" s="101">
        <f>IF(Database!AV509="","(n/m or not derivable)",Database!AV509)</f>
        <v/>
      </c>
      <c r="Q509" s="24">
        <f>IF(Database!BA509="","",IFERROR(BDH(LEFT(Database!BA509,FIND(".",Database!BA509)-1)&amp;" CH Equity","PE_RATIO",Database!$H509,Database!$H509),""))</f>
        <v/>
      </c>
      <c r="R509" s="24">
        <f>IF(Database!BA509="","",IFERROR(BDH("HSAHP Index","PX_LAST",Database!$H509,Database!$H509),""))</f>
        <v/>
      </c>
    </row>
    <row r="510">
      <c r="A510" s="16">
        <f>Database!A510&amp;"  "&amp;Database!B510</f>
        <v/>
      </c>
      <c r="B510" s="10">
        <f>IFERROR(INDEX(BDS(Database!$A510&amp;" HK Equity","EQUITY_OFFERINGS","array=t","endcol=1"),MATCH("IPO",BDS(Database!$A510&amp;" HK Equity","EQUITY_OFFERINGS","array=t","startcol=2","endcol=2"),0)),"")</f>
        <v/>
      </c>
      <c r="C510" s="103">
        <f>IF($B510="","",IFERROR(BDP($B510&amp;" Action","CP036"),""))</f>
        <v/>
      </c>
      <c r="D510" s="104">
        <f>Database!S510</f>
        <v/>
      </c>
      <c r="E510" s="103">
        <f>IF($B510="","",IFERROR(BDP($B510&amp;" Action","CP037"),""))</f>
        <v/>
      </c>
      <c r="F510" s="104">
        <f>Database!T510</f>
        <v/>
      </c>
      <c r="G510" s="103">
        <f>IF($B510="","",IFERROR(BDP($B510&amp;" Action","GREENSHOE_FACILITY"),""))</f>
        <v/>
      </c>
      <c r="H510" s="103">
        <f>IF($B510="","",IFERROR(BDP($B510&amp;" Action","OFFERING_GREENSHOE_SHARES_EX"),""))</f>
        <v/>
      </c>
      <c r="I510" s="16">
        <f>Database!Z510</f>
        <v/>
      </c>
      <c r="J510" s="24">
        <f>IFERROR(BDP(Database!$A510&amp;" HK Equity","PE_RATIO"),"")</f>
        <v/>
      </c>
      <c r="K510" s="10">
        <f>IFERROR(BDP(Database!$A510&amp;" HK Equity","A/H_SHARE_CONVERSION"),"")</f>
        <v/>
      </c>
      <c r="L510" s="16">
        <f>IF(Database!BA510="","(none found)",Database!BA510)</f>
        <v/>
      </c>
      <c r="M510" s="18">
        <f>IFERROR(BDH(Database!$A510&amp;" HK Equity","CUR_MKT_CAP",Database!$H510,Database!$H510),"")</f>
        <v/>
      </c>
      <c r="N510" s="99">
        <f>Database!Q510</f>
        <v/>
      </c>
      <c r="O510" s="24">
        <f>IFERROR(BDH(Database!$A510&amp;" HK Equity","PE_RATIO",Database!$H510,Database!$H510),"")</f>
        <v/>
      </c>
      <c r="P510" s="101">
        <f>IF(Database!AV510="","(n/m or not derivable)",Database!AV510)</f>
        <v/>
      </c>
      <c r="Q510" s="24">
        <f>IF(Database!BA510="","",IFERROR(BDH(LEFT(Database!BA510,FIND(".",Database!BA510)-1)&amp;" CH Equity","PE_RATIO",Database!$H510,Database!$H510),""))</f>
        <v/>
      </c>
      <c r="R510" s="24">
        <f>IF(Database!BA510="","",IFERROR(BDH("HSAHP Index","PX_LAST",Database!$H510,Database!$H510),""))</f>
        <v/>
      </c>
    </row>
    <row r="511">
      <c r="A511" s="16">
        <f>Database!A511&amp;"  "&amp;Database!B511</f>
        <v/>
      </c>
      <c r="B511" s="10">
        <f>IFERROR(INDEX(BDS(Database!$A511&amp;" HK Equity","EQUITY_OFFERINGS","array=t","endcol=1"),MATCH("IPO",BDS(Database!$A511&amp;" HK Equity","EQUITY_OFFERINGS","array=t","startcol=2","endcol=2"),0)),"")</f>
        <v/>
      </c>
      <c r="C511" s="103">
        <f>IF($B511="","",IFERROR(BDP($B511&amp;" Action","CP036"),""))</f>
        <v/>
      </c>
      <c r="D511" s="104">
        <f>Database!S511</f>
        <v/>
      </c>
      <c r="E511" s="103">
        <f>IF($B511="","",IFERROR(BDP($B511&amp;" Action","CP037"),""))</f>
        <v/>
      </c>
      <c r="F511" s="104">
        <f>Database!T511</f>
        <v/>
      </c>
      <c r="G511" s="103">
        <f>IF($B511="","",IFERROR(BDP($B511&amp;" Action","GREENSHOE_FACILITY"),""))</f>
        <v/>
      </c>
      <c r="H511" s="103">
        <f>IF($B511="","",IFERROR(BDP($B511&amp;" Action","OFFERING_GREENSHOE_SHARES_EX"),""))</f>
        <v/>
      </c>
      <c r="I511" s="16">
        <f>Database!Z511</f>
        <v/>
      </c>
      <c r="J511" s="24">
        <f>IFERROR(BDP(Database!$A511&amp;" HK Equity","PE_RATIO"),"")</f>
        <v/>
      </c>
      <c r="K511" s="10">
        <f>IFERROR(BDP(Database!$A511&amp;" HK Equity","A/H_SHARE_CONVERSION"),"")</f>
        <v/>
      </c>
      <c r="L511" s="16">
        <f>IF(Database!BA511="","(none found)",Database!BA511)</f>
        <v/>
      </c>
      <c r="M511" s="18">
        <f>IFERROR(BDH(Database!$A511&amp;" HK Equity","CUR_MKT_CAP",Database!$H511,Database!$H511),"")</f>
        <v/>
      </c>
      <c r="N511" s="99">
        <f>Database!Q511</f>
        <v/>
      </c>
      <c r="O511" s="24">
        <f>IFERROR(BDH(Database!$A511&amp;" HK Equity","PE_RATIO",Database!$H511,Database!$H511),"")</f>
        <v/>
      </c>
      <c r="P511" s="101">
        <f>IF(Database!AV511="","(n/m or not derivable)",Database!AV511)</f>
        <v/>
      </c>
      <c r="Q511" s="24">
        <f>IF(Database!BA511="","",IFERROR(BDH(LEFT(Database!BA511,FIND(".",Database!BA511)-1)&amp;" CH Equity","PE_RATIO",Database!$H511,Database!$H511),""))</f>
        <v/>
      </c>
      <c r="R511" s="24">
        <f>IF(Database!BA511="","",IFERROR(BDH("HSAHP Index","PX_LAST",Database!$H511,Database!$H511),""))</f>
        <v/>
      </c>
    </row>
    <row r="512">
      <c r="A512" s="16">
        <f>Database!A512&amp;"  "&amp;Database!B512</f>
        <v/>
      </c>
      <c r="B512" s="10">
        <f>IFERROR(INDEX(BDS(Database!$A512&amp;" HK Equity","EQUITY_OFFERINGS","array=t","endcol=1"),MATCH("IPO",BDS(Database!$A512&amp;" HK Equity","EQUITY_OFFERINGS","array=t","startcol=2","endcol=2"),0)),"")</f>
        <v/>
      </c>
      <c r="C512" s="103">
        <f>IF($B512="","",IFERROR(BDP($B512&amp;" Action","CP036"),""))</f>
        <v/>
      </c>
      <c r="D512" s="104">
        <f>Database!S512</f>
        <v/>
      </c>
      <c r="E512" s="103">
        <f>IF($B512="","",IFERROR(BDP($B512&amp;" Action","CP037"),""))</f>
        <v/>
      </c>
      <c r="F512" s="104">
        <f>Database!T512</f>
        <v/>
      </c>
      <c r="G512" s="103">
        <f>IF($B512="","",IFERROR(BDP($B512&amp;" Action","GREENSHOE_FACILITY"),""))</f>
        <v/>
      </c>
      <c r="H512" s="103">
        <f>IF($B512="","",IFERROR(BDP($B512&amp;" Action","OFFERING_GREENSHOE_SHARES_EX"),""))</f>
        <v/>
      </c>
      <c r="I512" s="16">
        <f>Database!Z512</f>
        <v/>
      </c>
      <c r="J512" s="24">
        <f>IFERROR(BDP(Database!$A512&amp;" HK Equity","PE_RATIO"),"")</f>
        <v/>
      </c>
      <c r="K512" s="10">
        <f>IFERROR(BDP(Database!$A512&amp;" HK Equity","A/H_SHARE_CONVERSION"),"")</f>
        <v/>
      </c>
      <c r="L512" s="16">
        <f>IF(Database!BA512="","(none found)",Database!BA512)</f>
        <v/>
      </c>
      <c r="M512" s="18">
        <f>IFERROR(BDH(Database!$A512&amp;" HK Equity","CUR_MKT_CAP",Database!$H512,Database!$H512),"")</f>
        <v/>
      </c>
      <c r="N512" s="99">
        <f>Database!Q512</f>
        <v/>
      </c>
      <c r="O512" s="24">
        <f>IFERROR(BDH(Database!$A512&amp;" HK Equity","PE_RATIO",Database!$H512,Database!$H512),"")</f>
        <v/>
      </c>
      <c r="P512" s="101">
        <f>IF(Database!AV512="","(n/m or not derivable)",Database!AV512)</f>
        <v/>
      </c>
      <c r="Q512" s="24">
        <f>IF(Database!BA512="","",IFERROR(BDH(LEFT(Database!BA512,FIND(".",Database!BA512)-1)&amp;" CH Equity","PE_RATIO",Database!$H512,Database!$H512),""))</f>
        <v/>
      </c>
      <c r="R512" s="24">
        <f>IF(Database!BA512="","",IFERROR(BDH("HSAHP Index","PX_LAST",Database!$H512,Database!$H512),""))</f>
        <v/>
      </c>
    </row>
    <row r="513">
      <c r="A513" s="16">
        <f>Database!A513&amp;"  "&amp;Database!B513</f>
        <v/>
      </c>
      <c r="B513" s="10">
        <f>IFERROR(INDEX(BDS(Database!$A513&amp;" HK Equity","EQUITY_OFFERINGS","array=t","endcol=1"),MATCH("IPO",BDS(Database!$A513&amp;" HK Equity","EQUITY_OFFERINGS","array=t","startcol=2","endcol=2"),0)),"")</f>
        <v/>
      </c>
      <c r="C513" s="103">
        <f>IF($B513="","",IFERROR(BDP($B513&amp;" Action","CP036"),""))</f>
        <v/>
      </c>
      <c r="D513" s="104">
        <f>Database!S513</f>
        <v/>
      </c>
      <c r="E513" s="103">
        <f>IF($B513="","",IFERROR(BDP($B513&amp;" Action","CP037"),""))</f>
        <v/>
      </c>
      <c r="F513" s="104">
        <f>Database!T513</f>
        <v/>
      </c>
      <c r="G513" s="103">
        <f>IF($B513="","",IFERROR(BDP($B513&amp;" Action","GREENSHOE_FACILITY"),""))</f>
        <v/>
      </c>
      <c r="H513" s="103">
        <f>IF($B513="","",IFERROR(BDP($B513&amp;" Action","OFFERING_GREENSHOE_SHARES_EX"),""))</f>
        <v/>
      </c>
      <c r="I513" s="16">
        <f>Database!Z513</f>
        <v/>
      </c>
      <c r="J513" s="24">
        <f>IFERROR(BDP(Database!$A513&amp;" HK Equity","PE_RATIO"),"")</f>
        <v/>
      </c>
      <c r="K513" s="10">
        <f>IFERROR(BDP(Database!$A513&amp;" HK Equity","A/H_SHARE_CONVERSION"),"")</f>
        <v/>
      </c>
      <c r="L513" s="16">
        <f>IF(Database!BA513="","(none found)",Database!BA513)</f>
        <v/>
      </c>
      <c r="M513" s="18">
        <f>IFERROR(BDH(Database!$A513&amp;" HK Equity","CUR_MKT_CAP",Database!$H513,Database!$H513),"")</f>
        <v/>
      </c>
      <c r="N513" s="99">
        <f>Database!Q513</f>
        <v/>
      </c>
      <c r="O513" s="24">
        <f>IFERROR(BDH(Database!$A513&amp;" HK Equity","PE_RATIO",Database!$H513,Database!$H513),"")</f>
        <v/>
      </c>
      <c r="P513" s="101">
        <f>IF(Database!AV513="","(n/m or not derivable)",Database!AV513)</f>
        <v/>
      </c>
      <c r="Q513" s="24">
        <f>IF(Database!BA513="","",IFERROR(BDH(LEFT(Database!BA513,FIND(".",Database!BA513)-1)&amp;" CH Equity","PE_RATIO",Database!$H513,Database!$H513),""))</f>
        <v/>
      </c>
      <c r="R513" s="24">
        <f>IF(Database!BA513="","",IFERROR(BDH("HSAHP Index","PX_LAST",Database!$H513,Database!$H513),""))</f>
        <v/>
      </c>
    </row>
    <row r="514">
      <c r="A514" s="16">
        <f>Database!A514&amp;"  "&amp;Database!B514</f>
        <v/>
      </c>
      <c r="B514" s="10">
        <f>IFERROR(INDEX(BDS(Database!$A514&amp;" HK Equity","EQUITY_OFFERINGS","array=t","endcol=1"),MATCH("IPO",BDS(Database!$A514&amp;" HK Equity","EQUITY_OFFERINGS","array=t","startcol=2","endcol=2"),0)),"")</f>
        <v/>
      </c>
      <c r="C514" s="103">
        <f>IF($B514="","",IFERROR(BDP($B514&amp;" Action","CP036"),""))</f>
        <v/>
      </c>
      <c r="D514" s="104">
        <f>Database!S514</f>
        <v/>
      </c>
      <c r="E514" s="103">
        <f>IF($B514="","",IFERROR(BDP($B514&amp;" Action","CP037"),""))</f>
        <v/>
      </c>
      <c r="F514" s="104">
        <f>Database!T514</f>
        <v/>
      </c>
      <c r="G514" s="103">
        <f>IF($B514="","",IFERROR(BDP($B514&amp;" Action","GREENSHOE_FACILITY"),""))</f>
        <v/>
      </c>
      <c r="H514" s="103">
        <f>IF($B514="","",IFERROR(BDP($B514&amp;" Action","OFFERING_GREENSHOE_SHARES_EX"),""))</f>
        <v/>
      </c>
      <c r="I514" s="16">
        <f>Database!Z514</f>
        <v/>
      </c>
      <c r="J514" s="24">
        <f>IFERROR(BDP(Database!$A514&amp;" HK Equity","PE_RATIO"),"")</f>
        <v/>
      </c>
      <c r="K514" s="10">
        <f>IFERROR(BDP(Database!$A514&amp;" HK Equity","A/H_SHARE_CONVERSION"),"")</f>
        <v/>
      </c>
      <c r="L514" s="16">
        <f>IF(Database!BA514="","(none found)",Database!BA514)</f>
        <v/>
      </c>
      <c r="M514" s="18">
        <f>IFERROR(BDH(Database!$A514&amp;" HK Equity","CUR_MKT_CAP",Database!$H514,Database!$H514),"")</f>
        <v/>
      </c>
      <c r="N514" s="99">
        <f>Database!Q514</f>
        <v/>
      </c>
      <c r="O514" s="24">
        <f>IFERROR(BDH(Database!$A514&amp;" HK Equity","PE_RATIO",Database!$H514,Database!$H514),"")</f>
        <v/>
      </c>
      <c r="P514" s="101">
        <f>IF(Database!AV514="","(n/m or not derivable)",Database!AV514)</f>
        <v/>
      </c>
      <c r="Q514" s="24">
        <f>IF(Database!BA514="","",IFERROR(BDH(LEFT(Database!BA514,FIND(".",Database!BA514)-1)&amp;" CH Equity","PE_RATIO",Database!$H514,Database!$H514),""))</f>
        <v/>
      </c>
      <c r="R514" s="24">
        <f>IF(Database!BA514="","",IFERROR(BDH("HSAHP Index","PX_LAST",Database!$H514,Database!$H514),""))</f>
        <v/>
      </c>
    </row>
    <row r="515">
      <c r="A515" s="16">
        <f>Database!A515&amp;"  "&amp;Database!B515</f>
        <v/>
      </c>
      <c r="B515" s="10">
        <f>IFERROR(INDEX(BDS(Database!$A515&amp;" HK Equity","EQUITY_OFFERINGS","array=t","endcol=1"),MATCH("IPO",BDS(Database!$A515&amp;" HK Equity","EQUITY_OFFERINGS","array=t","startcol=2","endcol=2"),0)),"")</f>
        <v/>
      </c>
      <c r="C515" s="103">
        <f>IF($B515="","",IFERROR(BDP($B515&amp;" Action","CP036"),""))</f>
        <v/>
      </c>
      <c r="D515" s="104">
        <f>Database!S515</f>
        <v/>
      </c>
      <c r="E515" s="103">
        <f>IF($B515="","",IFERROR(BDP($B515&amp;" Action","CP037"),""))</f>
        <v/>
      </c>
      <c r="F515" s="104">
        <f>Database!T515</f>
        <v/>
      </c>
      <c r="G515" s="103">
        <f>IF($B515="","",IFERROR(BDP($B515&amp;" Action","GREENSHOE_FACILITY"),""))</f>
        <v/>
      </c>
      <c r="H515" s="103">
        <f>IF($B515="","",IFERROR(BDP($B515&amp;" Action","OFFERING_GREENSHOE_SHARES_EX"),""))</f>
        <v/>
      </c>
      <c r="I515" s="16">
        <f>Database!Z515</f>
        <v/>
      </c>
      <c r="J515" s="24">
        <f>IFERROR(BDP(Database!$A515&amp;" HK Equity","PE_RATIO"),"")</f>
        <v/>
      </c>
      <c r="K515" s="10">
        <f>IFERROR(BDP(Database!$A515&amp;" HK Equity","A/H_SHARE_CONVERSION"),"")</f>
        <v/>
      </c>
      <c r="L515" s="16">
        <f>IF(Database!BA515="","(none found)",Database!BA515)</f>
        <v/>
      </c>
      <c r="M515" s="18">
        <f>IFERROR(BDH(Database!$A515&amp;" HK Equity","CUR_MKT_CAP",Database!$H515,Database!$H515),"")</f>
        <v/>
      </c>
      <c r="N515" s="99">
        <f>Database!Q515</f>
        <v/>
      </c>
      <c r="O515" s="24">
        <f>IFERROR(BDH(Database!$A515&amp;" HK Equity","PE_RATIO",Database!$H515,Database!$H515),"")</f>
        <v/>
      </c>
      <c r="P515" s="101">
        <f>IF(Database!AV515="","(n/m or not derivable)",Database!AV515)</f>
        <v/>
      </c>
      <c r="Q515" s="24">
        <f>IF(Database!BA515="","",IFERROR(BDH(LEFT(Database!BA515,FIND(".",Database!BA515)-1)&amp;" CH Equity","PE_RATIO",Database!$H515,Database!$H515),""))</f>
        <v/>
      </c>
      <c r="R515" s="24">
        <f>IF(Database!BA515="","",IFERROR(BDH("HSAHP Index","PX_LAST",Database!$H515,Database!$H515),""))</f>
        <v/>
      </c>
    </row>
    <row r="516"/>
    <row r="517">
      <c r="A517" s="2" t="inlineStr">
        <is>
          <t>Orange = Bloomberg and the scraped value differ by more than 25%. A blank scraped cell beside a Bloomberg value is a gap this file could not fill from public filings — take Bloomberg's.</t>
        </is>
      </c>
    </row>
  </sheetData>
  <conditionalFormatting sqref="C5:C515">
    <cfRule type="expression" priority="1" dxfId="3">
      <formula>AND(ISNUMBER(C5),ISNUMBER(D5),ABS(C5-D5)&gt;0.25*ABS(D5))</formula>
    </cfRule>
  </conditionalFormatting>
  <conditionalFormatting sqref="E5:E515">
    <cfRule type="expression" priority="2" dxfId="3">
      <formula>AND(ISNUMBER(E5),ISNUMBER(F5),ABS(E5-F5)&gt;0.25*ABS(F5))</formula>
    </cfRule>
  </conditionalFormatting>
  <conditionalFormatting sqref="M5:M515">
    <cfRule type="expression" priority="3" dxfId="3">
      <formula>AND(ISNUMBER(M5),ISNUMBER(N5),ABS(M5-N5)&gt;0.25*ABS(N5))</formula>
    </cfRule>
  </conditionalFormatting>
  <conditionalFormatting sqref="O5:O515">
    <cfRule type="expression" priority="4" dxfId="3">
      <formula>AND(ISNUMBER(O5),ISNUMBER(P5),ABS(O5-P5)&gt;0.25*ABS(P5))</formula>
    </cfRule>
  </conditionalFormatting>
  <pageMargins left="0.75" right="0.75" top="1" bottom="1" header="0.5" footer="0.5"/>
</worksheet>
</file>

<file path=xl/worksheets/sheet10.xml><?xml version="1.0" encoding="utf-8"?>
<worksheet xmlns="http://schemas.openxmlformats.org/spreadsheetml/2006/main">
  <sheetPr>
    <tabColor rgb="00BFBFBF"/>
    <outlinePr summaryBelow="1" summaryRight="1"/>
    <pageSetUpPr/>
  </sheetPr>
  <dimension ref="A1:E53"/>
  <sheetViews>
    <sheetView workbookViewId="0">
      <selection activeCell="A1" sqref="A1"/>
    </sheetView>
  </sheetViews>
  <sheetFormatPr baseColWidth="8" defaultRowHeight="15"/>
  <cols>
    <col width="18" customWidth="1" min="1" max="1"/>
    <col width="30" customWidth="1" min="2" max="2"/>
    <col width="70" customWidth="1" min="3" max="3"/>
    <col width="40" customWidth="1" min="4" max="4"/>
    <col hidden="1" width="13" customWidth="1" min="5" max="5"/>
  </cols>
  <sheetData>
    <row r="1">
      <c r="A1" s="1" t="inlineStr">
        <is>
          <t>SECTOR / SUBSECTOR TAXONOMY</t>
        </is>
      </c>
    </row>
    <row r="2">
      <c r="A2" s="2" t="inlineStr">
        <is>
          <t>single source: data/taxonomy.json — edit there and rebuild; screener gates on subsector first</t>
        </is>
      </c>
    </row>
    <row r="3">
      <c r="A3" s="12" t="inlineStr">
        <is>
          <t>Sector / subsector</t>
        </is>
      </c>
      <c r="B3" s="12" t="inlineStr"/>
      <c r="C3" s="12" t="inlineStr">
        <is>
          <t>Comp note</t>
        </is>
      </c>
      <c r="D3" s="12" t="inlineStr">
        <is>
          <t>Alpha benchmark (ticker — name)</t>
        </is>
      </c>
    </row>
    <row r="4">
      <c r="A4" s="105" t="inlineStr">
        <is>
          <t>Tech/AI</t>
        </is>
      </c>
      <c r="D4" s="75" t="inlineStr">
        <is>
          <t>3033.HK — HSTECH (Hang Seng TECH ETF)</t>
        </is>
      </c>
      <c r="E4" s="2" t="inlineStr">
        <is>
          <t>LLM / foundation model</t>
        </is>
      </c>
    </row>
    <row r="5">
      <c r="B5" s="62" t="inlineStr">
        <is>
          <t>LLM / foundation model</t>
        </is>
      </c>
      <c r="C5" s="2" t="inlineStr">
        <is>
          <t>Model-layer cos (MiniMax-type). NOT data-center, NOT AI application.</t>
        </is>
      </c>
      <c r="E5" s="2" t="inlineStr">
        <is>
          <t>AI application / agent software</t>
        </is>
      </c>
    </row>
    <row r="6">
      <c r="B6" s="62" t="inlineStr">
        <is>
          <t>AI application / agent software</t>
        </is>
      </c>
      <c r="C6" s="2" t="inlineStr">
        <is>
          <t>AI-native software &amp; agents monetising models; not the model layer itself.</t>
        </is>
      </c>
      <c r="E6" s="2" t="inlineStr">
        <is>
          <t>AI chips &amp; semis</t>
        </is>
      </c>
    </row>
    <row r="7">
      <c r="B7" s="62" t="inlineStr">
        <is>
          <t>AI chips &amp; semis</t>
        </is>
      </c>
      <c r="C7" s="2" t="inlineStr">
        <is>
          <t>GPU/ASIC/accelerator designers and semi supply chain.</t>
        </is>
      </c>
      <c r="E7" s="2" t="inlineStr">
        <is>
          <t>Data center / cloud infra</t>
        </is>
      </c>
    </row>
    <row r="8">
      <c r="B8" s="62" t="inlineStr">
        <is>
          <t>Data center / cloud infra</t>
        </is>
      </c>
      <c r="C8" s="2" t="inlineStr">
        <is>
          <t>IDC, cloud capacity, AI infra landlords. Distinct from model layer.</t>
        </is>
      </c>
      <c r="E8" s="2" t="inlineStr">
        <is>
          <t>Robotics &amp; autonomous driving</t>
        </is>
      </c>
    </row>
    <row r="9">
      <c r="B9" s="62" t="inlineStr">
        <is>
          <t>Robotics &amp; autonomous driving</t>
        </is>
      </c>
      <c r="C9" s="2" t="inlineStr">
        <is>
          <t>Embodied AI, ADAS/AD stacks, robotaxi, humanoid.</t>
        </is>
      </c>
      <c r="E9" s="2" t="inlineStr">
        <is>
          <t>Smart hardware / consumer electronics</t>
        </is>
      </c>
    </row>
    <row r="10">
      <c r="B10" s="62" t="inlineStr">
        <is>
          <t>Smart hardware / consumer electronics</t>
        </is>
      </c>
      <c r="C10" s="2" t="inlineStr">
        <is>
          <t>Devices, IoT, components ex-semis.</t>
        </is>
      </c>
      <c r="E10" s="2" t="inlineStr">
        <is>
          <t>SaaS / enterprise software</t>
        </is>
      </c>
    </row>
    <row r="11">
      <c r="B11" s="62" t="inlineStr">
        <is>
          <t>SaaS / enterprise software</t>
        </is>
      </c>
      <c r="C11" s="2" t="inlineStr">
        <is>
          <t>Recurring-revenue software without AI-native positioning.</t>
        </is>
      </c>
      <c r="E11" s="2" t="inlineStr">
        <is>
          <t>Internet platform / e-commerce</t>
        </is>
      </c>
    </row>
    <row r="12">
      <c r="B12" s="62" t="inlineStr">
        <is>
          <t>Internet platform / e-commerce</t>
        </is>
      </c>
      <c r="C12" s="2" t="inlineStr">
        <is>
          <t>Marketplaces, local services, content platforms.</t>
        </is>
      </c>
      <c r="E12" s="2" t="inlineStr">
        <is>
          <t>Fintech platform</t>
        </is>
      </c>
    </row>
    <row r="13">
      <c r="B13" s="62" t="inlineStr">
        <is>
          <t>Fintech platform</t>
        </is>
      </c>
      <c r="C13" s="2" t="inlineStr">
        <is>
          <t>Payments, lending, wealth platforms (tech-first).</t>
        </is>
      </c>
      <c r="E13" s="2" t="inlineStr">
        <is>
          <t>Biotech pre-revenue (18A)</t>
        </is>
      </c>
    </row>
    <row r="14">
      <c r="A14" s="105" t="inlineStr">
        <is>
          <t>Healthcare</t>
        </is>
      </c>
      <c r="D14" s="75" t="inlineStr">
        <is>
          <t>2820.HK — China Biotech ETF (HS biotech proxy)</t>
        </is>
      </c>
      <c r="E14" s="2" t="inlineStr">
        <is>
          <t>Biopharma commercial</t>
        </is>
      </c>
    </row>
    <row r="15">
      <c r="B15" s="62" t="inlineStr">
        <is>
          <t>Biotech pre-revenue (18A)</t>
        </is>
      </c>
      <c r="C15" s="2" t="inlineStr">
        <is>
          <t>Loss-making 18A; comp on pipeline/P-S-if-any, never P/E.</t>
        </is>
      </c>
      <c r="E15" s="2" t="inlineStr">
        <is>
          <t>Medical devices</t>
        </is>
      </c>
    </row>
    <row r="16">
      <c r="B16" s="62" t="inlineStr">
        <is>
          <t>Biopharma commercial</t>
        </is>
      </c>
      <c r="C16" s="2" t="inlineStr">
        <is>
          <t>Revenue-generating pharma/biotech.</t>
        </is>
      </c>
      <c r="E16" s="2" t="inlineStr">
        <is>
          <t>CXO / pharma services</t>
        </is>
      </c>
    </row>
    <row r="17">
      <c r="B17" s="62" t="inlineStr">
        <is>
          <t>Medical devices</t>
        </is>
      </c>
      <c r="C17" s="2" t="inlineStr">
        <is>
          <t>Devices incl. 18A device names.</t>
        </is>
      </c>
      <c r="E17" s="2" t="inlineStr">
        <is>
          <t>Digital health</t>
        </is>
      </c>
    </row>
    <row r="18">
      <c r="B18" s="62" t="inlineStr">
        <is>
          <t>CXO / pharma services</t>
        </is>
      </c>
      <c r="C18" s="2" t="inlineStr">
        <is>
          <t>CRO/CDMO/CMO.</t>
        </is>
      </c>
      <c r="E18" s="2" t="inlineStr">
        <is>
          <t>Hospitals / clinics</t>
        </is>
      </c>
    </row>
    <row r="19">
      <c r="B19" s="62" t="inlineStr">
        <is>
          <t>Digital health</t>
        </is>
      </c>
      <c r="C19" s="2" t="inlineStr">
        <is>
          <t>Online healthcare platforms.</t>
        </is>
      </c>
      <c r="E19" s="2" t="inlineStr">
        <is>
          <t>TCM</t>
        </is>
      </c>
    </row>
    <row r="20">
      <c r="B20" s="62" t="inlineStr">
        <is>
          <t>Hospitals / clinics</t>
        </is>
      </c>
      <c r="C20" s="2" t="inlineStr">
        <is>
          <t>Service providers.</t>
        </is>
      </c>
      <c r="E20" s="2" t="inlineStr">
        <is>
          <t>F&amp;B chains / restaurants</t>
        </is>
      </c>
    </row>
    <row r="21">
      <c r="B21" s="62" t="inlineStr">
        <is>
          <t>TCM</t>
        </is>
      </c>
      <c r="C21" s="2" t="inlineStr">
        <is>
          <t>Traditional Chinese medicine.</t>
        </is>
      </c>
      <c r="E21" s="2" t="inlineStr">
        <is>
          <t>Beverages / packaged food</t>
        </is>
      </c>
    </row>
    <row r="22">
      <c r="A22" s="105" t="inlineStr">
        <is>
          <t>Consumer</t>
        </is>
      </c>
      <c r="D22" s="75" t="inlineStr">
        <is>
          <t>^HSNC — Hang Seng Commerce &amp; Industry sub-index</t>
        </is>
      </c>
      <c r="E22" s="2" t="inlineStr">
        <is>
          <t>Apparel / luxury</t>
        </is>
      </c>
    </row>
    <row r="23">
      <c r="B23" s="62" t="inlineStr">
        <is>
          <t>F&amp;B chains / restaurants</t>
        </is>
      </c>
      <c r="C23" s="2" t="inlineStr">
        <is>
          <t>Mixue-type store-count stories.</t>
        </is>
      </c>
      <c r="E23" s="2" t="inlineStr">
        <is>
          <t>Beauty / personal care</t>
        </is>
      </c>
    </row>
    <row r="24">
      <c r="B24" s="62" t="inlineStr">
        <is>
          <t>Beverages / packaged food</t>
        </is>
      </c>
      <c r="C24" s="2" t="inlineStr">
        <is>
          <t>Brands, not chains.</t>
        </is>
      </c>
      <c r="E24" s="2" t="inlineStr">
        <is>
          <t>Consumer services / education</t>
        </is>
      </c>
    </row>
    <row r="25">
      <c r="B25" s="62" t="inlineStr">
        <is>
          <t>Apparel / luxury</t>
        </is>
      </c>
      <c r="C25" s="2" t="inlineStr"/>
      <c r="E25" s="2" t="inlineStr">
        <is>
          <t>Autos (NEV OEM)</t>
        </is>
      </c>
    </row>
    <row r="26">
      <c r="B26" s="62" t="inlineStr">
        <is>
          <t>Beauty / personal care</t>
        </is>
      </c>
      <c r="C26" s="2" t="inlineStr"/>
      <c r="E26" s="2" t="inlineStr">
        <is>
          <t>Auto parts / supply chain</t>
        </is>
      </c>
    </row>
    <row r="27">
      <c r="B27" s="62" t="inlineStr">
        <is>
          <t>Consumer services / education</t>
        </is>
      </c>
      <c r="C27" s="2" t="inlineStr"/>
      <c r="E27" s="2" t="inlineStr">
        <is>
          <t>Retail / distribution</t>
        </is>
      </c>
    </row>
    <row r="28">
      <c r="B28" s="62" t="inlineStr">
        <is>
          <t>Autos (NEV OEM)</t>
        </is>
      </c>
      <c r="C28" s="2" t="inlineStr">
        <is>
          <t>Vehicle OEMs; loss-making OEMs comp on P/S.</t>
        </is>
      </c>
      <c r="E28" s="2" t="inlineStr">
        <is>
          <t>Banks</t>
        </is>
      </c>
    </row>
    <row r="29">
      <c r="B29" s="62" t="inlineStr">
        <is>
          <t>Auto parts / supply chain</t>
        </is>
      </c>
      <c r="C29" s="2" t="inlineStr"/>
      <c r="E29" s="2" t="inlineStr">
        <is>
          <t>Insurance</t>
        </is>
      </c>
    </row>
    <row r="30">
      <c r="B30" s="62" t="inlineStr">
        <is>
          <t>Retail / distribution</t>
        </is>
      </c>
      <c r="C30" s="2" t="inlineStr"/>
      <c r="E30" s="2" t="inlineStr">
        <is>
          <t>Brokers / asset management</t>
        </is>
      </c>
    </row>
    <row r="31">
      <c r="A31" s="105" t="inlineStr">
        <is>
          <t>Financials</t>
        </is>
      </c>
      <c r="D31" s="75" t="inlineStr">
        <is>
          <t>^HSNF — Hang Seng Finance sub-index</t>
        </is>
      </c>
      <c r="E31" s="2" t="inlineStr">
        <is>
          <t>Capital goods / machinery</t>
        </is>
      </c>
    </row>
    <row r="32">
      <c r="B32" s="62" t="inlineStr">
        <is>
          <t>Banks</t>
        </is>
      </c>
      <c r="C32" s="2" t="inlineStr"/>
      <c r="E32" s="2" t="inlineStr">
        <is>
          <t>Batteries / energy storage</t>
        </is>
      </c>
    </row>
    <row r="33">
      <c r="B33" s="62" t="inlineStr">
        <is>
          <t>Insurance</t>
        </is>
      </c>
      <c r="C33" s="2" t="inlineStr"/>
      <c r="E33" s="2" t="inlineStr">
        <is>
          <t>Solar / wind supply chain</t>
        </is>
      </c>
    </row>
    <row r="34">
      <c r="B34" s="62" t="inlineStr">
        <is>
          <t>Brokers / asset management</t>
        </is>
      </c>
      <c r="C34" s="2" t="inlineStr"/>
      <c r="E34" s="2" t="inlineStr">
        <is>
          <t>Logistics</t>
        </is>
      </c>
    </row>
    <row r="35">
      <c r="A35" s="105" t="inlineStr">
        <is>
          <t>Industrials</t>
        </is>
      </c>
      <c r="D35" s="75" t="inlineStr">
        <is>
          <t>^HSNC — Hang Seng Commerce &amp; Industry sub-index</t>
        </is>
      </c>
      <c r="E35" s="2" t="inlineStr">
        <is>
          <t>Construction / engineering</t>
        </is>
      </c>
    </row>
    <row r="36">
      <c r="B36" s="62" t="inlineStr">
        <is>
          <t>Capital goods / machinery</t>
        </is>
      </c>
      <c r="C36" s="2" t="inlineStr"/>
      <c r="E36" s="2" t="inlineStr">
        <is>
          <t>Mining / metals</t>
        </is>
      </c>
    </row>
    <row r="37">
      <c r="B37" s="62" t="inlineStr">
        <is>
          <t>Batteries / energy storage</t>
        </is>
      </c>
      <c r="C37" s="2" t="inlineStr">
        <is>
          <t>CATL bucket: cells, materials, ESS.</t>
        </is>
      </c>
      <c r="E37" s="2" t="inlineStr">
        <is>
          <t>Chemicals</t>
        </is>
      </c>
    </row>
    <row r="38">
      <c r="B38" s="62" t="inlineStr">
        <is>
          <t>Solar / wind supply chain</t>
        </is>
      </c>
      <c r="C38" s="2" t="inlineStr"/>
      <c r="E38" s="2" t="inlineStr">
        <is>
          <t>Oil &amp; gas / utilities</t>
        </is>
      </c>
    </row>
    <row r="39">
      <c r="B39" s="62" t="inlineStr">
        <is>
          <t>Logistics</t>
        </is>
      </c>
      <c r="C39" s="2" t="inlineStr"/>
      <c r="E39" s="2" t="inlineStr">
        <is>
          <t>Developers</t>
        </is>
      </c>
    </row>
    <row r="40">
      <c r="B40" s="62" t="inlineStr">
        <is>
          <t>Construction / engineering</t>
        </is>
      </c>
      <c r="C40" s="2" t="inlineStr"/>
      <c r="E40" s="2" t="inlineStr">
        <is>
          <t>Property management</t>
        </is>
      </c>
    </row>
    <row r="41">
      <c r="A41" s="105" t="inlineStr">
        <is>
          <t>Materials/Energy</t>
        </is>
      </c>
      <c r="D41" s="75" t="inlineStr">
        <is>
          <t>^HSNC — Hang Seng Commerce &amp; Industry sub-index</t>
        </is>
      </c>
      <c r="E41" s="2" t="inlineStr">
        <is>
          <t>REITs / asset-light</t>
        </is>
      </c>
    </row>
    <row r="42">
      <c r="B42" s="62" t="inlineStr">
        <is>
          <t>Mining / metals</t>
        </is>
      </c>
      <c r="C42" s="2" t="inlineStr"/>
      <c r="E42" s="2" t="inlineStr">
        <is>
          <t>Telecom</t>
        </is>
      </c>
    </row>
    <row r="43">
      <c r="B43" s="62" t="inlineStr">
        <is>
          <t>Chemicals</t>
        </is>
      </c>
      <c r="C43" s="2" t="inlineStr"/>
      <c r="E43" s="2" t="inlineStr">
        <is>
          <t>Media / advertising</t>
        </is>
      </c>
    </row>
    <row r="44">
      <c r="B44" s="62" t="inlineStr">
        <is>
          <t>Oil &amp; gas / utilities</t>
        </is>
      </c>
      <c r="C44" s="2" t="inlineStr"/>
      <c r="E44" s="2" t="inlineStr">
        <is>
          <t>Other / unclassified</t>
        </is>
      </c>
    </row>
    <row r="45">
      <c r="A45" s="105" t="inlineStr">
        <is>
          <t>Real Estate</t>
        </is>
      </c>
      <c r="D45" s="75" t="inlineStr">
        <is>
          <t>^HSNP — Hang Seng Properties sub-index</t>
        </is>
      </c>
    </row>
    <row r="46">
      <c r="B46" s="62" t="inlineStr">
        <is>
          <t>Developers</t>
        </is>
      </c>
      <c r="C46" s="2" t="inlineStr"/>
    </row>
    <row r="47">
      <c r="B47" s="62" t="inlineStr">
        <is>
          <t>Property management</t>
        </is>
      </c>
      <c r="C47" s="2" t="inlineStr"/>
    </row>
    <row r="48">
      <c r="B48" s="62" t="inlineStr">
        <is>
          <t>REITs / asset-light</t>
        </is>
      </c>
      <c r="C48" s="2" t="inlineStr"/>
    </row>
    <row r="49">
      <c r="A49" s="105" t="inlineStr">
        <is>
          <t>TMT-other</t>
        </is>
      </c>
      <c r="D49" s="75" t="inlineStr">
        <is>
          <t>^HSI — Hang Seng Index</t>
        </is>
      </c>
    </row>
    <row r="50">
      <c r="B50" s="62" t="inlineStr">
        <is>
          <t>Telecom</t>
        </is>
      </c>
      <c r="C50" s="2" t="inlineStr"/>
    </row>
    <row r="51">
      <c r="B51" s="62" t="inlineStr">
        <is>
          <t>Media / advertising</t>
        </is>
      </c>
      <c r="C51" s="2" t="inlineStr"/>
    </row>
    <row r="52">
      <c r="A52" s="105" t="inlineStr">
        <is>
          <t>Other</t>
        </is>
      </c>
      <c r="D52" s="75" t="inlineStr">
        <is>
          <t>^HSI — Hang Seng Index</t>
        </is>
      </c>
    </row>
    <row r="53">
      <c r="B53" s="62" t="inlineStr">
        <is>
          <t>Other / unclassified</t>
        </is>
      </c>
      <c r="C53" s="2" t="inlineStr">
        <is>
          <t>Must stay &lt;5% of deals (checks.py enforces).</t>
        </is>
      </c>
    </row>
  </sheetData>
  <pageMargins left="0.75" right="0.75" top="1" bottom="1" header="0.5" footer="0.5"/>
</worksheet>
</file>

<file path=xl/worksheets/sheet11.xml><?xml version="1.0" encoding="utf-8"?>
<worksheet xmlns="http://schemas.openxmlformats.org/spreadsheetml/2006/main">
  <sheetPr>
    <tabColor rgb="00BFBFBF"/>
    <outlinePr summaryBelow="1" summaryRight="1"/>
    <pageSetUpPr/>
  </sheetPr>
  <dimension ref="A1:G19"/>
  <sheetViews>
    <sheetView workbookViewId="0">
      <selection activeCell="A1" sqref="A1"/>
    </sheetView>
  </sheetViews>
  <sheetFormatPr baseColWidth="8" defaultRowHeight="15"/>
  <cols>
    <col width="8" customWidth="1" min="1" max="1"/>
    <col width="24" customWidth="1" min="2" max="2"/>
    <col width="20" customWidth="1" min="3" max="3"/>
    <col width="12" customWidth="1" min="4" max="4"/>
    <col width="12" customWidth="1" min="5" max="5"/>
    <col width="10" customWidth="1" min="6" max="6"/>
    <col width="9" customWidth="1" min="7" max="7"/>
  </cols>
  <sheetData>
    <row r="1">
      <c r="A1" s="1" t="inlineStr">
        <is>
          <t>VERIFICATION — book vs official HKEX statistics</t>
        </is>
      </c>
    </row>
    <row r="2">
      <c r="A2" s="2" t="inlineStr">
        <is>
          <t>book counts are IPOs with a public offer (allotment results filed); official totals include listings by introduction / transfers — the Delta column is expected to be small and positive</t>
        </is>
      </c>
    </row>
    <row r="3"/>
    <row r="4">
      <c r="A4" s="12" t="inlineStr">
        <is>
          <t>Year</t>
        </is>
      </c>
      <c r="B4" s="12" t="inlineStr">
        <is>
          <t>Deals in book</t>
        </is>
      </c>
      <c r="C4" s="12" t="inlineStr">
        <is>
          <t>Official new listings</t>
        </is>
      </c>
      <c r="D4" s="12" t="inlineStr">
        <is>
          <t>Delta</t>
        </is>
      </c>
      <c r="E4" s="12" t="inlineStr">
        <is>
          <t>Book proceeds HK$bn</t>
        </is>
      </c>
      <c r="F4" s="12" t="inlineStr">
        <is>
          <t>Official IPO funds HK$bn</t>
        </is>
      </c>
      <c r="G4" s="12" t="inlineStr">
        <is>
          <t>Diff %</t>
        </is>
      </c>
    </row>
    <row r="5">
      <c r="A5" s="102" t="inlineStr">
        <is>
          <t>2021</t>
        </is>
      </c>
      <c r="B5" s="43">
        <f>COUNTIFS(Database!$H$5:$H$515,"&gt;="&amp;DATE(2021,1,1),Database!$H$5:$H$515,"&lt;="&amp;DATE(2021,12,31))</f>
        <v/>
      </c>
      <c r="C5" s="88" t="n"/>
      <c r="D5" s="43">
        <f>IF(C5="","n/a",C5-B5)</f>
        <v/>
      </c>
      <c r="E5" s="26">
        <f>SUMIFS(Database!$I$5:$I$515,Database!$H$5:$H$515,"&gt;="&amp;DATE(2021,1,1),Database!$H$5:$H$515,"&lt;="&amp;DATE(2021,12,31))/1000</f>
        <v/>
      </c>
      <c r="F5" s="106" t="n">
        <v>331.3</v>
      </c>
      <c r="G5" s="42">
        <f>IF(OR(F5="",E5=0),"n/a",F5/E5-1)</f>
        <v/>
      </c>
    </row>
    <row r="6">
      <c r="A6" s="102" t="inlineStr">
        <is>
          <t>2022</t>
        </is>
      </c>
      <c r="B6" s="43">
        <f>COUNTIFS(Database!$H$5:$H$515,"&gt;="&amp;DATE(2022,1,1),Database!$H$5:$H$515,"&lt;="&amp;DATE(2022,12,31))</f>
        <v/>
      </c>
      <c r="C6" s="88" t="n">
        <v>90</v>
      </c>
      <c r="D6" s="43">
        <f>IF(C6="","n/a",C6-B6)</f>
        <v/>
      </c>
      <c r="E6" s="26">
        <f>SUMIFS(Database!$I$5:$I$515,Database!$H$5:$H$515,"&gt;="&amp;DATE(2022,1,1),Database!$H$5:$H$515,"&lt;="&amp;DATE(2022,12,31))/1000</f>
        <v/>
      </c>
      <c r="F6" s="106" t="n">
        <v>104.6</v>
      </c>
      <c r="G6" s="42">
        <f>IF(OR(F6="",E6=0),"n/a",F6/E6-1)</f>
        <v/>
      </c>
    </row>
    <row r="7">
      <c r="A7" s="102" t="inlineStr">
        <is>
          <t>2023</t>
        </is>
      </c>
      <c r="B7" s="43">
        <f>COUNTIFS(Database!$H$5:$H$515,"&gt;="&amp;DATE(2023,1,1),Database!$H$5:$H$515,"&lt;="&amp;DATE(2023,12,31))</f>
        <v/>
      </c>
      <c r="C7" s="88" t="n">
        <v>73</v>
      </c>
      <c r="D7" s="43">
        <f>IF(C7="","n/a",C7-B7)</f>
        <v/>
      </c>
      <c r="E7" s="26">
        <f>SUMIFS(Database!$I$5:$I$515,Database!$H$5:$H$515,"&gt;="&amp;DATE(2023,1,1),Database!$H$5:$H$515,"&lt;="&amp;DATE(2023,12,31))/1000</f>
        <v/>
      </c>
      <c r="F7" s="106" t="n">
        <v>46.3</v>
      </c>
      <c r="G7" s="42">
        <f>IF(OR(F7="",E7=0),"n/a",F7/E7-1)</f>
        <v/>
      </c>
    </row>
    <row r="8">
      <c r="A8" s="102" t="inlineStr">
        <is>
          <t>2024</t>
        </is>
      </c>
      <c r="B8" s="43">
        <f>COUNTIFS(Database!$H$5:$H$515,"&gt;="&amp;DATE(2024,1,1),Database!$H$5:$H$515,"&lt;="&amp;DATE(2024,12,31))</f>
        <v/>
      </c>
      <c r="C8" s="88" t="n">
        <v>71</v>
      </c>
      <c r="D8" s="43">
        <f>IF(C8="","n/a",C8-B8)</f>
        <v/>
      </c>
      <c r="E8" s="26">
        <f>SUMIFS(Database!$I$5:$I$515,Database!$H$5:$H$515,"&gt;="&amp;DATE(2024,1,1),Database!$H$5:$H$515,"&lt;="&amp;DATE(2024,12,31))/1000</f>
        <v/>
      </c>
      <c r="F8" s="106" t="n">
        <v>87.5</v>
      </c>
      <c r="G8" s="42">
        <f>IF(OR(F8="",E8=0),"n/a",F8/E8-1)</f>
        <v/>
      </c>
    </row>
    <row r="9">
      <c r="A9" s="102" t="inlineStr">
        <is>
          <t>2025</t>
        </is>
      </c>
      <c r="B9" s="43">
        <f>COUNTIFS(Database!$H$5:$H$515,"&gt;="&amp;DATE(2025,1,1),Database!$H$5:$H$515,"&lt;="&amp;DATE(2025,12,31))</f>
        <v/>
      </c>
      <c r="C9" s="88" t="n"/>
      <c r="D9" s="43">
        <f>IF(C9="","n/a",C9-B9)</f>
        <v/>
      </c>
      <c r="E9" s="26">
        <f>SUMIFS(Database!$I$5:$I$515,Database!$H$5:$H$515,"&gt;="&amp;DATE(2025,1,1),Database!$H$5:$H$515,"&lt;="&amp;DATE(2025,12,31))/1000</f>
        <v/>
      </c>
      <c r="F9" s="106" t="n"/>
      <c r="G9" s="42">
        <f>IF(OR(F9="",E9=0),"n/a",F9/E9-1)</f>
        <v/>
      </c>
    </row>
    <row r="10">
      <c r="A10" s="102" t="inlineStr">
        <is>
          <t>2026</t>
        </is>
      </c>
      <c r="B10" s="43">
        <f>COUNTIFS(Database!$H$5:$H$515,"&gt;="&amp;DATE(2026,1,1),Database!$H$5:$H$515,"&lt;="&amp;DATE(2026,12,31))</f>
        <v/>
      </c>
      <c r="C10" s="88" t="n"/>
      <c r="D10" s="43">
        <f>IF(C10="","n/a",C10-B10)</f>
        <v/>
      </c>
      <c r="E10" s="26">
        <f>SUMIFS(Database!$I$5:$I$515,Database!$H$5:$H$515,"&gt;="&amp;DATE(2026,1,1),Database!$H$5:$H$515,"&lt;="&amp;DATE(2026,12,31))/1000</f>
        <v/>
      </c>
      <c r="F10" s="106" t="n"/>
      <c r="G10" s="42">
        <f>IF(OR(F10="",E10=0),"n/a",F10/E10-1)</f>
        <v/>
      </c>
    </row>
    <row r="11"/>
    <row r="12">
      <c r="A12" s="14" t="inlineStr">
        <is>
          <t>LANDMARK SPOT-CHECKS</t>
        </is>
      </c>
    </row>
    <row r="13">
      <c r="A13" s="12" t="inlineStr">
        <is>
          <t>Code</t>
        </is>
      </c>
      <c r="B13" s="12" t="inlineStr">
        <is>
          <t>Name</t>
        </is>
      </c>
      <c r="C13" s="12" t="inlineStr">
        <is>
          <t>Field</t>
        </is>
      </c>
      <c r="D13" s="12" t="inlineStr">
        <is>
          <t>Official</t>
        </is>
      </c>
      <c r="E13" s="12" t="inlineStr">
        <is>
          <t>In book</t>
        </is>
      </c>
      <c r="F13" s="12" t="inlineStr">
        <is>
          <t>Check</t>
        </is>
      </c>
    </row>
    <row r="14">
      <c r="A14" s="90" t="inlineStr">
        <is>
          <t>1024</t>
        </is>
      </c>
      <c r="B14" s="16" t="inlineStr">
        <is>
          <t>Kuaishou</t>
        </is>
      </c>
      <c r="C14" s="16" t="inlineStr">
        <is>
          <t>final_price</t>
        </is>
      </c>
      <c r="D14" s="97" t="n">
        <v>115</v>
      </c>
      <c r="E14" s="39">
        <f>INDEX(Database!$M$5:$M$515,MATCH("1024",Database!$A$5:$A$515,0))</f>
        <v/>
      </c>
      <c r="F14" s="10">
        <f>IF(E14="","MISSING",IF(ABS(E14-D14)/D14&lt;0.02,"OK","CHECK"))</f>
        <v/>
      </c>
    </row>
    <row r="15">
      <c r="A15" s="90" t="inlineStr">
        <is>
          <t>3750</t>
        </is>
      </c>
      <c r="B15" s="16" t="inlineStr">
        <is>
          <t>CATL (H)</t>
        </is>
      </c>
      <c r="C15" s="16" t="inlineStr">
        <is>
          <t>final_price</t>
        </is>
      </c>
      <c r="D15" s="97" t="n">
        <v>263</v>
      </c>
      <c r="E15" s="39">
        <f>INDEX(Database!$M$5:$M$515,MATCH("3750",Database!$A$5:$A$515,0))</f>
        <v/>
      </c>
      <c r="F15" s="10">
        <f>IF(E15="","MISSING",IF(ABS(E15-D15)/D15&lt;0.02,"OK","CHECK"))</f>
        <v/>
      </c>
    </row>
    <row r="16">
      <c r="A16" s="90" t="inlineStr">
        <is>
          <t>0300</t>
        </is>
      </c>
      <c r="B16" s="16" t="inlineStr">
        <is>
          <t>Midea Group (H)</t>
        </is>
      </c>
      <c r="C16" s="16" t="inlineStr">
        <is>
          <t>final_price</t>
        </is>
      </c>
      <c r="D16" s="97" t="n">
        <v>54.8</v>
      </c>
      <c r="E16" s="39">
        <f>INDEX(Database!$M$5:$M$515,MATCH("0300",Database!$A$5:$A$515,0))</f>
        <v/>
      </c>
      <c r="F16" s="10">
        <f>IF(E16="","MISSING",IF(ABS(E16-D16)/D16&lt;0.02,"OK","CHECK"))</f>
        <v/>
      </c>
    </row>
    <row r="17">
      <c r="A17" s="90" t="inlineStr">
        <is>
          <t>9660</t>
        </is>
      </c>
      <c r="B17" s="16" t="inlineStr">
        <is>
          <t>Horizon Robotics</t>
        </is>
      </c>
      <c r="C17" s="16" t="inlineStr">
        <is>
          <t>final_price</t>
        </is>
      </c>
      <c r="D17" s="97" t="n">
        <v>3.99</v>
      </c>
      <c r="E17" s="39">
        <f>INDEX(Database!$M$5:$M$515,MATCH("9660",Database!$A$5:$A$515,0))</f>
        <v/>
      </c>
      <c r="F17" s="10">
        <f>IF(E17="","MISSING",IF(ABS(E17-D17)/D17&lt;0.02,"OK","CHECK"))</f>
        <v/>
      </c>
    </row>
    <row r="18">
      <c r="A18" s="90" t="inlineStr">
        <is>
          <t>2097</t>
        </is>
      </c>
      <c r="B18" s="16" t="inlineStr">
        <is>
          <t>Mixue Group</t>
        </is>
      </c>
      <c r="C18" s="16" t="inlineStr">
        <is>
          <t>final_price</t>
        </is>
      </c>
      <c r="D18" s="97" t="n">
        <v>202.5</v>
      </c>
      <c r="E18" s="39">
        <f>INDEX(Database!$M$5:$M$515,MATCH("2097",Database!$A$5:$A$515,0))</f>
        <v/>
      </c>
      <c r="F18" s="10">
        <f>IF(E18="","MISSING",IF(ABS(E18-D18)/D18&lt;0.02,"OK","CHECK"))</f>
        <v/>
      </c>
    </row>
    <row r="19">
      <c r="A19" s="90" t="inlineStr">
        <is>
          <t>9696</t>
        </is>
      </c>
      <c r="B19" s="16" t="inlineStr">
        <is>
          <t>Tianqi Lithium (H)</t>
        </is>
      </c>
      <c r="C19" s="16" t="inlineStr">
        <is>
          <t>final_price</t>
        </is>
      </c>
      <c r="D19" s="97" t="n">
        <v>82</v>
      </c>
      <c r="E19" s="39">
        <f>INDEX(Database!$M$5:$M$515,MATCH("9696",Database!$A$5:$A$515,0))</f>
        <v/>
      </c>
      <c r="F19" s="10">
        <f>IF(E19="","MISSING",IF(ABS(E19-D19)/D19&lt;0.02,"OK","CHECK"))</f>
        <v/>
      </c>
    </row>
  </sheetData>
  <conditionalFormatting sqref="F14">
    <cfRule type="expression" priority="1" dxfId="3">
      <formula>$F14="CHECK"</formula>
    </cfRule>
  </conditionalFormatting>
  <conditionalFormatting sqref="F15">
    <cfRule type="expression" priority="2" dxfId="3">
      <formula>$F15="CHECK"</formula>
    </cfRule>
  </conditionalFormatting>
  <conditionalFormatting sqref="F16">
    <cfRule type="expression" priority="3" dxfId="3">
      <formula>$F16="CHECK"</formula>
    </cfRule>
  </conditionalFormatting>
  <conditionalFormatting sqref="F17">
    <cfRule type="expression" priority="4" dxfId="3">
      <formula>$F17="CHECK"</formula>
    </cfRule>
  </conditionalFormatting>
  <conditionalFormatting sqref="F18">
    <cfRule type="expression" priority="5" dxfId="3">
      <formula>$F18="CHECK"</formula>
    </cfRule>
  </conditionalFormatting>
  <conditionalFormatting sqref="F19">
    <cfRule type="expression" priority="6" dxfId="3">
      <formula>$F19="CHECK"</formula>
    </cfRule>
  </conditionalFormatting>
  <pageMargins left="0.75" right="0.75" top="1" bottom="1" header="0.5" footer="0.5"/>
</worksheet>
</file>

<file path=xl/worksheets/sheet12.xml><?xml version="1.0" encoding="utf-8"?>
<worksheet xmlns="http://schemas.openxmlformats.org/spreadsheetml/2006/main">
  <sheetPr>
    <tabColor rgb="00BFBFBF"/>
    <outlinePr summaryBelow="1" summaryRight="1"/>
    <pageSetUpPr/>
  </sheetPr>
  <dimension ref="A1:AH526"/>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c r="A1" s="1" t="inlineStr">
        <is>
          <t>SCORING ENGINE</t>
        </is>
      </c>
      <c r="S1" s="2" t="inlineStr">
        <is>
          <t>target cornerstone split →</t>
        </is>
      </c>
      <c r="T1">
        <f>IFERROR(INDEX(Database!$X$5:$X$515,MATCH(Screener!$B$5,Database!$B$5:$B$515,0))&amp;"","")</f>
        <v/>
      </c>
      <c r="U1">
        <f>TRIM(IFERROR(LEFT($T$1,FIND(";",$T$1&amp;";")-1),$T$1))</f>
        <v/>
      </c>
      <c r="V1">
        <f>TRIM(IFERROR(LEFT($T$2,FIND(";",$T$2&amp;";")-1),$T$2))</f>
        <v/>
      </c>
      <c r="W1">
        <f>TRIM(IFERROR(LEFT($T$3,FIND(";",$T$3&amp;";")-1),$T$3))</f>
        <v/>
      </c>
      <c r="X1">
        <f>TRIM(IFERROR(LEFT($T$4,FIND(";",$T$4&amp;";")-1),$T$4))</f>
        <v/>
      </c>
      <c r="Y1">
        <f>TRIM(IFERROR(LEFT($T$5,FIND(";",$T$5&amp;";")-1),$T$5))</f>
        <v/>
      </c>
    </row>
    <row r="2">
      <c r="A2" s="2" t="inlineStr">
        <is>
          <t>One row per Database deal. The Screener ranks by column H (comp score vs the Screener target). Weights are named cells on the Notes tab.</t>
        </is>
      </c>
      <c r="T2">
        <f>IFERROR(MID($T$1,FIND(";",$T$1)+1,9999),"")</f>
        <v/>
      </c>
      <c r="AA2" s="2" t="inlineStr">
        <is>
          <t>name</t>
        </is>
      </c>
      <c r="AB2" s="2" t="inlineStr">
        <is>
          <t>sector</t>
        </is>
      </c>
      <c r="AC2" s="2" t="inlineStr">
        <is>
          <t>subsector</t>
        </is>
      </c>
      <c r="AD2" s="2" t="inlineStr">
        <is>
          <t>size HK$m</t>
        </is>
      </c>
      <c r="AE2" s="2" t="inlineStr">
        <is>
          <t>profitable</t>
        </is>
      </c>
      <c r="AF2" s="2" t="inlineStr">
        <is>
          <t>H-share</t>
        </is>
      </c>
      <c r="AG2" s="2" t="inlineStr">
        <is>
          <t>date</t>
        </is>
      </c>
    </row>
    <row r="3">
      <c r="T3">
        <f>IFERROR(MID($T$2,FIND(";",$T$2)+1,9999),"")</f>
        <v/>
      </c>
      <c r="AA3">
        <f>Pipeline!B6</f>
        <v/>
      </c>
      <c r="AB3">
        <f>Pipeline!D6</f>
        <v/>
      </c>
      <c r="AC3">
        <f>Pipeline!E6</f>
        <v/>
      </c>
      <c r="AD3">
        <f>Pipeline!F6</f>
        <v/>
      </c>
      <c r="AE3">
        <f>Pipeline!Q6</f>
        <v/>
      </c>
      <c r="AF3">
        <f>Pipeline!R6</f>
        <v/>
      </c>
      <c r="AG3">
        <f>Pipeline!P6</f>
        <v/>
      </c>
      <c r="AH3">
        <f>Pipeline!L6</f>
        <v/>
      </c>
    </row>
    <row r="4">
      <c r="A4" s="12" t="inlineStr">
        <is>
          <t>Deal</t>
        </is>
      </c>
      <c r="B4" s="12" t="inlineStr">
        <is>
          <t>Subsector =</t>
        </is>
      </c>
      <c r="C4" s="12" t="inlineStr">
        <is>
          <t>Sector =</t>
        </is>
      </c>
      <c r="D4" s="12" t="inlineStr">
        <is>
          <t>Size pts</t>
        </is>
      </c>
      <c r="E4" s="12" t="inlineStr">
        <is>
          <t>Profit =</t>
        </is>
      </c>
      <c r="F4" s="12" t="inlineStr">
        <is>
          <t>A/H =</t>
        </is>
      </c>
      <c r="G4" s="12" t="inlineStr">
        <is>
          <t>Recency</t>
        </is>
      </c>
      <c r="H4" s="12" t="inlineStr">
        <is>
          <t>Cornerstone</t>
        </is>
      </c>
      <c r="I4" s="12" t="inlineStr">
        <is>
          <t>P/E prox</t>
        </is>
      </c>
      <c r="J4" s="12" t="inlineStr">
        <is>
          <t>Demand prox</t>
        </is>
      </c>
      <c r="K4" s="12" t="inlineStr">
        <is>
          <t>SCORE</t>
        </is>
      </c>
      <c r="T4">
        <f>IFERROR(MID($T$3,FIND(";",$T$3)+1,9999),"")</f>
        <v/>
      </c>
      <c r="AA4">
        <f>Pipeline!B7</f>
        <v/>
      </c>
      <c r="AB4">
        <f>Pipeline!D7</f>
        <v/>
      </c>
      <c r="AC4">
        <f>Pipeline!E7</f>
        <v/>
      </c>
      <c r="AD4">
        <f>Pipeline!F7</f>
        <v/>
      </c>
      <c r="AE4">
        <f>Pipeline!Q7</f>
        <v/>
      </c>
      <c r="AF4">
        <f>Pipeline!R7</f>
        <v/>
      </c>
      <c r="AG4">
        <f>Pipeline!P7</f>
        <v/>
      </c>
      <c r="AH4">
        <f>Pipeline!L7</f>
        <v/>
      </c>
    </row>
    <row r="5">
      <c r="A5">
        <f>Database!B5</f>
        <v/>
      </c>
      <c r="B5">
        <f>IF(AND(Screener!$D$8&lt;&gt;"",Database!$E5=Screener!$D$8),1,0)</f>
        <v/>
      </c>
      <c r="C5">
        <f>IF(AND(Screener!$D$7&lt;&gt;"",Database!$D5=Screener!$D$7),1,0)</f>
        <v/>
      </c>
      <c r="D5">
        <f>IF(OR(N(Database!$I5)&lt;=0,N(Screener!$D$9)&lt;=0),0,MAX(0,1-ABS(LOG10(N(Database!$I5)/Screener!$D$9))/W_SIZEHW))</f>
        <v/>
      </c>
      <c r="E5">
        <f>IF(OR(Database!$AU5="",Screener!$D$10=""),0,IF(Database!$AU5=Screener!$D$10,1,0))</f>
        <v/>
      </c>
      <c r="F5">
        <f>IF(OR(Database!$AZ5="",Screener!$D$11=""),0,IF(Database!$AZ5=Screener!$D$11,1,0))</f>
        <v/>
      </c>
      <c r="G5">
        <f>IF(OR(Database!$H5="",N(Screener!$D$12)&lt;=0),0,MAX(0,1-(N(Screener!$D$12)-Database!$H5)/W_RECD))</f>
        <v/>
      </c>
      <c r="H5">
        <f>IF($U$1="",0,N(ISNUMBER(SEARCH($U$1,Database!$X5&amp;""))))+IF($V$1="",0,N(ISNUMBER(SEARCH($V$1,Database!$X5&amp;""))))+IF($W$1="",0,N(ISNUMBER(SEARCH($W$1,Database!$X5&amp;""))))+IF($X$1="",0,N(ISNUMBER(SEARCH($X$1,Database!$X5&amp;""))))+IF($Y$1="",0,N(ISNUMBER(SEARCH($Y$1,Database!$X5&amp;""))))+IF(Screener!$B$17="",0,N(ISNUMBER(SEARCH(LOWER(Screener!$B$17),Database!$X5&amp;""))))</f>
        <v/>
      </c>
      <c r="I5">
        <f>IF(OR(N(Database!$AV5)&lt;=0,N(Screener!$D$13)&lt;=0),0,MAX(0,1-ABS(LOG10(N(Database!$AV5)/Screener!$D$13))/W_PEHW))</f>
        <v/>
      </c>
      <c r="J5">
        <f>IF(OR(N(Database!$S5)&lt;=0,N(Screener!$D$14)&lt;=0),0,MAX(0,1-ABS(LOG10(Database!$S5/Screener!$D$14))/0.6))</f>
        <v/>
      </c>
      <c r="K5">
        <f>IF(Database!$B5=Screener!$B$5,-999999,IF(ISNUMBER(SEARCH(","&amp;Database!$A5&amp;",",","&amp;SUBSTITUTE(Screener!$B$19," ","")&amp;",")),2000000,IF(IF(OR(Screener!$B$18="All",AND(Screener!$B$18="With A-share",(Database!$AZ5="Y")),AND(Screener!$B$18="Without A-share",NOT((Database!$AZ5="Y")))),1,0)=0,-999999,IF(Screener!$B$16="cornerstone overlap first",H5*100000,IF(Screener!$B$16="demand-similar first",J5*100000,0))+W_SUB*B5+W_SEC*C5*(1-B5)+W_SIZE*D5+W_PROF*E5+W_AH*F5+W_REC*G5+W_CS*H5+W_PE*I5)))+ROW()/1000000</f>
        <v/>
      </c>
      <c r="T5">
        <f>IFERROR(MID($T$4,FIND(";",$T$4)+1,9999),"")</f>
        <v/>
      </c>
      <c r="AA5">
        <f>Pipeline!B8</f>
        <v/>
      </c>
      <c r="AB5">
        <f>Pipeline!D8</f>
        <v/>
      </c>
      <c r="AC5">
        <f>Pipeline!E8</f>
        <v/>
      </c>
      <c r="AD5">
        <f>Pipeline!F8</f>
        <v/>
      </c>
      <c r="AE5">
        <f>Pipeline!Q8</f>
        <v/>
      </c>
      <c r="AF5">
        <f>Pipeline!R8</f>
        <v/>
      </c>
      <c r="AG5">
        <f>Pipeline!P8</f>
        <v/>
      </c>
      <c r="AH5">
        <f>Pipeline!L8</f>
        <v/>
      </c>
    </row>
    <row r="6">
      <c r="A6">
        <f>Database!B6</f>
        <v/>
      </c>
      <c r="B6">
        <f>IF(AND(Screener!$D$8&lt;&gt;"",Database!$E6=Screener!$D$8),1,0)</f>
        <v/>
      </c>
      <c r="C6">
        <f>IF(AND(Screener!$D$7&lt;&gt;"",Database!$D6=Screener!$D$7),1,0)</f>
        <v/>
      </c>
      <c r="D6">
        <f>IF(OR(N(Database!$I6)&lt;=0,N(Screener!$D$9)&lt;=0),0,MAX(0,1-ABS(LOG10(N(Database!$I6)/Screener!$D$9))/W_SIZEHW))</f>
        <v/>
      </c>
      <c r="E6">
        <f>IF(OR(Database!$AU6="",Screener!$D$10=""),0,IF(Database!$AU6=Screener!$D$10,1,0))</f>
        <v/>
      </c>
      <c r="F6">
        <f>IF(OR(Database!$AZ6="",Screener!$D$11=""),0,IF(Database!$AZ6=Screener!$D$11,1,0))</f>
        <v/>
      </c>
      <c r="G6">
        <f>IF(OR(Database!$H6="",N(Screener!$D$12)&lt;=0),0,MAX(0,1-(N(Screener!$D$12)-Database!$H6)/W_RECD))</f>
        <v/>
      </c>
      <c r="H6">
        <f>IF($U$1="",0,N(ISNUMBER(SEARCH($U$1,Database!$X6&amp;""))))+IF($V$1="",0,N(ISNUMBER(SEARCH($V$1,Database!$X6&amp;""))))+IF($W$1="",0,N(ISNUMBER(SEARCH($W$1,Database!$X6&amp;""))))+IF($X$1="",0,N(ISNUMBER(SEARCH($X$1,Database!$X6&amp;""))))+IF($Y$1="",0,N(ISNUMBER(SEARCH($Y$1,Database!$X6&amp;""))))+IF(Screener!$B$17="",0,N(ISNUMBER(SEARCH(LOWER(Screener!$B$17),Database!$X6&amp;""))))</f>
        <v/>
      </c>
      <c r="I6">
        <f>IF(OR(N(Database!$AV6)&lt;=0,N(Screener!$D$13)&lt;=0),0,MAX(0,1-ABS(LOG10(N(Database!$AV6)/Screener!$D$13))/W_PEHW))</f>
        <v/>
      </c>
      <c r="J6">
        <f>IF(OR(N(Database!$S6)&lt;=0,N(Screener!$D$14)&lt;=0),0,MAX(0,1-ABS(LOG10(Database!$S6/Screener!$D$14))/0.6))</f>
        <v/>
      </c>
      <c r="K6">
        <f>IF(Database!$B6=Screener!$B$5,-999999,IF(ISNUMBER(SEARCH(","&amp;Database!$A6&amp;",",","&amp;SUBSTITUTE(Screener!$B$19," ","")&amp;",")),2000000,IF(IF(OR(Screener!$B$18="All",AND(Screener!$B$18="With A-share",(Database!$AZ6="Y")),AND(Screener!$B$18="Without A-share",NOT((Database!$AZ6="Y")))),1,0)=0,-999999,IF(Screener!$B$16="cornerstone overlap first",H6*100000,IF(Screener!$B$16="demand-similar first",J6*100000,0))+W_SUB*B6+W_SEC*C6*(1-B6)+W_SIZE*D6+W_PROF*E6+W_AH*F6+W_REC*G6+W_CS*H6+W_PE*I6)))+ROW()/1000000</f>
        <v/>
      </c>
      <c r="AA6">
        <f>Pipeline!B9</f>
        <v/>
      </c>
      <c r="AB6">
        <f>Pipeline!D9</f>
        <v/>
      </c>
      <c r="AC6">
        <f>Pipeline!E9</f>
        <v/>
      </c>
      <c r="AD6">
        <f>Pipeline!F9</f>
        <v/>
      </c>
      <c r="AE6">
        <f>Pipeline!Q9</f>
        <v/>
      </c>
      <c r="AF6">
        <f>Pipeline!R9</f>
        <v/>
      </c>
      <c r="AG6">
        <f>Pipeline!P9</f>
        <v/>
      </c>
      <c r="AH6">
        <f>Pipeline!L9</f>
        <v/>
      </c>
    </row>
    <row r="7">
      <c r="A7">
        <f>Database!B7</f>
        <v/>
      </c>
      <c r="B7">
        <f>IF(AND(Screener!$D$8&lt;&gt;"",Database!$E7=Screener!$D$8),1,0)</f>
        <v/>
      </c>
      <c r="C7">
        <f>IF(AND(Screener!$D$7&lt;&gt;"",Database!$D7=Screener!$D$7),1,0)</f>
        <v/>
      </c>
      <c r="D7">
        <f>IF(OR(N(Database!$I7)&lt;=0,N(Screener!$D$9)&lt;=0),0,MAX(0,1-ABS(LOG10(N(Database!$I7)/Screener!$D$9))/W_SIZEHW))</f>
        <v/>
      </c>
      <c r="E7">
        <f>IF(OR(Database!$AU7="",Screener!$D$10=""),0,IF(Database!$AU7=Screener!$D$10,1,0))</f>
        <v/>
      </c>
      <c r="F7">
        <f>IF(OR(Database!$AZ7="",Screener!$D$11=""),0,IF(Database!$AZ7=Screener!$D$11,1,0))</f>
        <v/>
      </c>
      <c r="G7">
        <f>IF(OR(Database!$H7="",N(Screener!$D$12)&lt;=0),0,MAX(0,1-(N(Screener!$D$12)-Database!$H7)/W_RECD))</f>
        <v/>
      </c>
      <c r="H7">
        <f>IF($U$1="",0,N(ISNUMBER(SEARCH($U$1,Database!$X7&amp;""))))+IF($V$1="",0,N(ISNUMBER(SEARCH($V$1,Database!$X7&amp;""))))+IF($W$1="",0,N(ISNUMBER(SEARCH($W$1,Database!$X7&amp;""))))+IF($X$1="",0,N(ISNUMBER(SEARCH($X$1,Database!$X7&amp;""))))+IF($Y$1="",0,N(ISNUMBER(SEARCH($Y$1,Database!$X7&amp;""))))+IF(Screener!$B$17="",0,N(ISNUMBER(SEARCH(LOWER(Screener!$B$17),Database!$X7&amp;""))))</f>
        <v/>
      </c>
      <c r="I7">
        <f>IF(OR(N(Database!$AV7)&lt;=0,N(Screener!$D$13)&lt;=0),0,MAX(0,1-ABS(LOG10(N(Database!$AV7)/Screener!$D$13))/W_PEHW))</f>
        <v/>
      </c>
      <c r="J7">
        <f>IF(OR(N(Database!$S7)&lt;=0,N(Screener!$D$14)&lt;=0),0,MAX(0,1-ABS(LOG10(Database!$S7/Screener!$D$14))/0.6))</f>
        <v/>
      </c>
      <c r="K7">
        <f>IF(Database!$B7=Screener!$B$5,-999999,IF(ISNUMBER(SEARCH(","&amp;Database!$A7&amp;",",","&amp;SUBSTITUTE(Screener!$B$19," ","")&amp;",")),2000000,IF(IF(OR(Screener!$B$18="All",AND(Screener!$B$18="With A-share",(Database!$AZ7="Y")),AND(Screener!$B$18="Without A-share",NOT((Database!$AZ7="Y")))),1,0)=0,-999999,IF(Screener!$B$16="cornerstone overlap first",H7*100000,IF(Screener!$B$16="demand-similar first",J7*100000,0))+W_SUB*B7+W_SEC*C7*(1-B7)+W_SIZE*D7+W_PROF*E7+W_AH*F7+W_REC*G7+W_CS*H7+W_PE*I7)))+ROW()/1000000</f>
        <v/>
      </c>
      <c r="AA7">
        <f>Pipeline!B10</f>
        <v/>
      </c>
      <c r="AB7">
        <f>Pipeline!D10</f>
        <v/>
      </c>
      <c r="AC7">
        <f>Pipeline!E10</f>
        <v/>
      </c>
      <c r="AD7">
        <f>Pipeline!F10</f>
        <v/>
      </c>
      <c r="AE7">
        <f>Pipeline!Q10</f>
        <v/>
      </c>
      <c r="AF7">
        <f>Pipeline!R10</f>
        <v/>
      </c>
      <c r="AG7">
        <f>Pipeline!P10</f>
        <v/>
      </c>
      <c r="AH7">
        <f>Pipeline!L10</f>
        <v/>
      </c>
    </row>
    <row r="8">
      <c r="A8">
        <f>Database!B8</f>
        <v/>
      </c>
      <c r="B8">
        <f>IF(AND(Screener!$D$8&lt;&gt;"",Database!$E8=Screener!$D$8),1,0)</f>
        <v/>
      </c>
      <c r="C8">
        <f>IF(AND(Screener!$D$7&lt;&gt;"",Database!$D8=Screener!$D$7),1,0)</f>
        <v/>
      </c>
      <c r="D8">
        <f>IF(OR(N(Database!$I8)&lt;=0,N(Screener!$D$9)&lt;=0),0,MAX(0,1-ABS(LOG10(N(Database!$I8)/Screener!$D$9))/W_SIZEHW))</f>
        <v/>
      </c>
      <c r="E8">
        <f>IF(OR(Database!$AU8="",Screener!$D$10=""),0,IF(Database!$AU8=Screener!$D$10,1,0))</f>
        <v/>
      </c>
      <c r="F8">
        <f>IF(OR(Database!$AZ8="",Screener!$D$11=""),0,IF(Database!$AZ8=Screener!$D$11,1,0))</f>
        <v/>
      </c>
      <c r="G8">
        <f>IF(OR(Database!$H8="",N(Screener!$D$12)&lt;=0),0,MAX(0,1-(N(Screener!$D$12)-Database!$H8)/W_RECD))</f>
        <v/>
      </c>
      <c r="H8">
        <f>IF($U$1="",0,N(ISNUMBER(SEARCH($U$1,Database!$X8&amp;""))))+IF($V$1="",0,N(ISNUMBER(SEARCH($V$1,Database!$X8&amp;""))))+IF($W$1="",0,N(ISNUMBER(SEARCH($W$1,Database!$X8&amp;""))))+IF($X$1="",0,N(ISNUMBER(SEARCH($X$1,Database!$X8&amp;""))))+IF($Y$1="",0,N(ISNUMBER(SEARCH($Y$1,Database!$X8&amp;""))))+IF(Screener!$B$17="",0,N(ISNUMBER(SEARCH(LOWER(Screener!$B$17),Database!$X8&amp;""))))</f>
        <v/>
      </c>
      <c r="I8">
        <f>IF(OR(N(Database!$AV8)&lt;=0,N(Screener!$D$13)&lt;=0),0,MAX(0,1-ABS(LOG10(N(Database!$AV8)/Screener!$D$13))/W_PEHW))</f>
        <v/>
      </c>
      <c r="J8">
        <f>IF(OR(N(Database!$S8)&lt;=0,N(Screener!$D$14)&lt;=0),0,MAX(0,1-ABS(LOG10(Database!$S8/Screener!$D$14))/0.6))</f>
        <v/>
      </c>
      <c r="K8">
        <f>IF(Database!$B8=Screener!$B$5,-999999,IF(ISNUMBER(SEARCH(","&amp;Database!$A8&amp;",",","&amp;SUBSTITUTE(Screener!$B$19," ","")&amp;",")),2000000,IF(IF(OR(Screener!$B$18="All",AND(Screener!$B$18="With A-share",(Database!$AZ8="Y")),AND(Screener!$B$18="Without A-share",NOT((Database!$AZ8="Y")))),1,0)=0,-999999,IF(Screener!$B$16="cornerstone overlap first",H8*100000,IF(Screener!$B$16="demand-similar first",J8*100000,0))+W_SUB*B8+W_SEC*C8*(1-B8)+W_SIZE*D8+W_PROF*E8+W_AH*F8+W_REC*G8+W_CS*H8+W_PE*I8)))+ROW()/1000000</f>
        <v/>
      </c>
      <c r="AA8">
        <f>Pipeline!B11</f>
        <v/>
      </c>
      <c r="AB8">
        <f>Pipeline!D11</f>
        <v/>
      </c>
      <c r="AC8">
        <f>Pipeline!E11</f>
        <v/>
      </c>
      <c r="AD8">
        <f>Pipeline!F11</f>
        <v/>
      </c>
      <c r="AE8">
        <f>Pipeline!Q11</f>
        <v/>
      </c>
      <c r="AF8">
        <f>Pipeline!R11</f>
        <v/>
      </c>
      <c r="AG8">
        <f>Pipeline!P11</f>
        <v/>
      </c>
      <c r="AH8">
        <f>Pipeline!L11</f>
        <v/>
      </c>
    </row>
    <row r="9">
      <c r="A9">
        <f>Database!B9</f>
        <v/>
      </c>
      <c r="B9">
        <f>IF(AND(Screener!$D$8&lt;&gt;"",Database!$E9=Screener!$D$8),1,0)</f>
        <v/>
      </c>
      <c r="C9">
        <f>IF(AND(Screener!$D$7&lt;&gt;"",Database!$D9=Screener!$D$7),1,0)</f>
        <v/>
      </c>
      <c r="D9">
        <f>IF(OR(N(Database!$I9)&lt;=0,N(Screener!$D$9)&lt;=0),0,MAX(0,1-ABS(LOG10(N(Database!$I9)/Screener!$D$9))/W_SIZEHW))</f>
        <v/>
      </c>
      <c r="E9">
        <f>IF(OR(Database!$AU9="",Screener!$D$10=""),0,IF(Database!$AU9=Screener!$D$10,1,0))</f>
        <v/>
      </c>
      <c r="F9">
        <f>IF(OR(Database!$AZ9="",Screener!$D$11=""),0,IF(Database!$AZ9=Screener!$D$11,1,0))</f>
        <v/>
      </c>
      <c r="G9">
        <f>IF(OR(Database!$H9="",N(Screener!$D$12)&lt;=0),0,MAX(0,1-(N(Screener!$D$12)-Database!$H9)/W_RECD))</f>
        <v/>
      </c>
      <c r="H9">
        <f>IF($U$1="",0,N(ISNUMBER(SEARCH($U$1,Database!$X9&amp;""))))+IF($V$1="",0,N(ISNUMBER(SEARCH($V$1,Database!$X9&amp;""))))+IF($W$1="",0,N(ISNUMBER(SEARCH($W$1,Database!$X9&amp;""))))+IF($X$1="",0,N(ISNUMBER(SEARCH($X$1,Database!$X9&amp;""))))+IF($Y$1="",0,N(ISNUMBER(SEARCH($Y$1,Database!$X9&amp;""))))+IF(Screener!$B$17="",0,N(ISNUMBER(SEARCH(LOWER(Screener!$B$17),Database!$X9&amp;""))))</f>
        <v/>
      </c>
      <c r="I9">
        <f>IF(OR(N(Database!$AV9)&lt;=0,N(Screener!$D$13)&lt;=0),0,MAX(0,1-ABS(LOG10(N(Database!$AV9)/Screener!$D$13))/W_PEHW))</f>
        <v/>
      </c>
      <c r="J9">
        <f>IF(OR(N(Database!$S9)&lt;=0,N(Screener!$D$14)&lt;=0),0,MAX(0,1-ABS(LOG10(Database!$S9/Screener!$D$14))/0.6))</f>
        <v/>
      </c>
      <c r="K9">
        <f>IF(Database!$B9=Screener!$B$5,-999999,IF(ISNUMBER(SEARCH(","&amp;Database!$A9&amp;",",","&amp;SUBSTITUTE(Screener!$B$19," ","")&amp;",")),2000000,IF(IF(OR(Screener!$B$18="All",AND(Screener!$B$18="With A-share",(Database!$AZ9="Y")),AND(Screener!$B$18="Without A-share",NOT((Database!$AZ9="Y")))),1,0)=0,-999999,IF(Screener!$B$16="cornerstone overlap first",H9*100000,IF(Screener!$B$16="demand-similar first",J9*100000,0))+W_SUB*B9+W_SEC*C9*(1-B9)+W_SIZE*D9+W_PROF*E9+W_AH*F9+W_REC*G9+W_CS*H9+W_PE*I9)))+ROW()/1000000</f>
        <v/>
      </c>
      <c r="AA9">
        <f>Pipeline!B12</f>
        <v/>
      </c>
      <c r="AB9">
        <f>Pipeline!D12</f>
        <v/>
      </c>
      <c r="AC9">
        <f>Pipeline!E12</f>
        <v/>
      </c>
      <c r="AD9">
        <f>Pipeline!F12</f>
        <v/>
      </c>
      <c r="AE9">
        <f>Pipeline!Q12</f>
        <v/>
      </c>
      <c r="AF9">
        <f>Pipeline!R12</f>
        <v/>
      </c>
      <c r="AG9">
        <f>Pipeline!P12</f>
        <v/>
      </c>
      <c r="AH9">
        <f>Pipeline!L12</f>
        <v/>
      </c>
    </row>
    <row r="10">
      <c r="A10">
        <f>Database!B10</f>
        <v/>
      </c>
      <c r="B10">
        <f>IF(AND(Screener!$D$8&lt;&gt;"",Database!$E10=Screener!$D$8),1,0)</f>
        <v/>
      </c>
      <c r="C10">
        <f>IF(AND(Screener!$D$7&lt;&gt;"",Database!$D10=Screener!$D$7),1,0)</f>
        <v/>
      </c>
      <c r="D10">
        <f>IF(OR(N(Database!$I10)&lt;=0,N(Screener!$D$9)&lt;=0),0,MAX(0,1-ABS(LOG10(N(Database!$I10)/Screener!$D$9))/W_SIZEHW))</f>
        <v/>
      </c>
      <c r="E10">
        <f>IF(OR(Database!$AU10="",Screener!$D$10=""),0,IF(Database!$AU10=Screener!$D$10,1,0))</f>
        <v/>
      </c>
      <c r="F10">
        <f>IF(OR(Database!$AZ10="",Screener!$D$11=""),0,IF(Database!$AZ10=Screener!$D$11,1,0))</f>
        <v/>
      </c>
      <c r="G10">
        <f>IF(OR(Database!$H10="",N(Screener!$D$12)&lt;=0),0,MAX(0,1-(N(Screener!$D$12)-Database!$H10)/W_RECD))</f>
        <v/>
      </c>
      <c r="H10">
        <f>IF($U$1="",0,N(ISNUMBER(SEARCH($U$1,Database!$X10&amp;""))))+IF($V$1="",0,N(ISNUMBER(SEARCH($V$1,Database!$X10&amp;""))))+IF($W$1="",0,N(ISNUMBER(SEARCH($W$1,Database!$X10&amp;""))))+IF($X$1="",0,N(ISNUMBER(SEARCH($X$1,Database!$X10&amp;""))))+IF($Y$1="",0,N(ISNUMBER(SEARCH($Y$1,Database!$X10&amp;""))))+IF(Screener!$B$17="",0,N(ISNUMBER(SEARCH(LOWER(Screener!$B$17),Database!$X10&amp;""))))</f>
        <v/>
      </c>
      <c r="I10">
        <f>IF(OR(N(Database!$AV10)&lt;=0,N(Screener!$D$13)&lt;=0),0,MAX(0,1-ABS(LOG10(N(Database!$AV10)/Screener!$D$13))/W_PEHW))</f>
        <v/>
      </c>
      <c r="J10">
        <f>IF(OR(N(Database!$S10)&lt;=0,N(Screener!$D$14)&lt;=0),0,MAX(0,1-ABS(LOG10(Database!$S10/Screener!$D$14))/0.6))</f>
        <v/>
      </c>
      <c r="K10">
        <f>IF(Database!$B10=Screener!$B$5,-999999,IF(ISNUMBER(SEARCH(","&amp;Database!$A10&amp;",",","&amp;SUBSTITUTE(Screener!$B$19," ","")&amp;",")),2000000,IF(IF(OR(Screener!$B$18="All",AND(Screener!$B$18="With A-share",(Database!$AZ10="Y")),AND(Screener!$B$18="Without A-share",NOT((Database!$AZ10="Y")))),1,0)=0,-999999,IF(Screener!$B$16="cornerstone overlap first",H10*100000,IF(Screener!$B$16="demand-similar first",J10*100000,0))+W_SUB*B10+W_SEC*C10*(1-B10)+W_SIZE*D10+W_PROF*E10+W_AH*F10+W_REC*G10+W_CS*H10+W_PE*I10)))+ROW()/1000000</f>
        <v/>
      </c>
      <c r="AA10">
        <f>Pipeline!B13</f>
        <v/>
      </c>
      <c r="AB10">
        <f>Pipeline!D13</f>
        <v/>
      </c>
      <c r="AC10">
        <f>Pipeline!E13</f>
        <v/>
      </c>
      <c r="AD10">
        <f>Pipeline!F13</f>
        <v/>
      </c>
      <c r="AE10">
        <f>Pipeline!Q13</f>
        <v/>
      </c>
      <c r="AF10">
        <f>Pipeline!R13</f>
        <v/>
      </c>
      <c r="AG10">
        <f>Pipeline!P13</f>
        <v/>
      </c>
      <c r="AH10">
        <f>Pipeline!L13</f>
        <v/>
      </c>
    </row>
    <row r="11">
      <c r="A11">
        <f>Database!B11</f>
        <v/>
      </c>
      <c r="B11">
        <f>IF(AND(Screener!$D$8&lt;&gt;"",Database!$E11=Screener!$D$8),1,0)</f>
        <v/>
      </c>
      <c r="C11">
        <f>IF(AND(Screener!$D$7&lt;&gt;"",Database!$D11=Screener!$D$7),1,0)</f>
        <v/>
      </c>
      <c r="D11">
        <f>IF(OR(N(Database!$I11)&lt;=0,N(Screener!$D$9)&lt;=0),0,MAX(0,1-ABS(LOG10(N(Database!$I11)/Screener!$D$9))/W_SIZEHW))</f>
        <v/>
      </c>
      <c r="E11">
        <f>IF(OR(Database!$AU11="",Screener!$D$10=""),0,IF(Database!$AU11=Screener!$D$10,1,0))</f>
        <v/>
      </c>
      <c r="F11">
        <f>IF(OR(Database!$AZ11="",Screener!$D$11=""),0,IF(Database!$AZ11=Screener!$D$11,1,0))</f>
        <v/>
      </c>
      <c r="G11">
        <f>IF(OR(Database!$H11="",N(Screener!$D$12)&lt;=0),0,MAX(0,1-(N(Screener!$D$12)-Database!$H11)/W_RECD))</f>
        <v/>
      </c>
      <c r="H11">
        <f>IF($U$1="",0,N(ISNUMBER(SEARCH($U$1,Database!$X11&amp;""))))+IF($V$1="",0,N(ISNUMBER(SEARCH($V$1,Database!$X11&amp;""))))+IF($W$1="",0,N(ISNUMBER(SEARCH($W$1,Database!$X11&amp;""))))+IF($X$1="",0,N(ISNUMBER(SEARCH($X$1,Database!$X11&amp;""))))+IF($Y$1="",0,N(ISNUMBER(SEARCH($Y$1,Database!$X11&amp;""))))+IF(Screener!$B$17="",0,N(ISNUMBER(SEARCH(LOWER(Screener!$B$17),Database!$X11&amp;""))))</f>
        <v/>
      </c>
      <c r="I11">
        <f>IF(OR(N(Database!$AV11)&lt;=0,N(Screener!$D$13)&lt;=0),0,MAX(0,1-ABS(LOG10(N(Database!$AV11)/Screener!$D$13))/W_PEHW))</f>
        <v/>
      </c>
      <c r="J11">
        <f>IF(OR(N(Database!$S11)&lt;=0,N(Screener!$D$14)&lt;=0),0,MAX(0,1-ABS(LOG10(Database!$S11/Screener!$D$14))/0.6))</f>
        <v/>
      </c>
      <c r="K11">
        <f>IF(Database!$B11=Screener!$B$5,-999999,IF(ISNUMBER(SEARCH(","&amp;Database!$A11&amp;",",","&amp;SUBSTITUTE(Screener!$B$19," ","")&amp;",")),2000000,IF(IF(OR(Screener!$B$18="All",AND(Screener!$B$18="With A-share",(Database!$AZ11="Y")),AND(Screener!$B$18="Without A-share",NOT((Database!$AZ11="Y")))),1,0)=0,-999999,IF(Screener!$B$16="cornerstone overlap first",H11*100000,IF(Screener!$B$16="demand-similar first",J11*100000,0))+W_SUB*B11+W_SEC*C11*(1-B11)+W_SIZE*D11+W_PROF*E11+W_AH*F11+W_REC*G11+W_CS*H11+W_PE*I11)))+ROW()/1000000</f>
        <v/>
      </c>
      <c r="AA11">
        <f>Pipeline!B14</f>
        <v/>
      </c>
      <c r="AB11">
        <f>Pipeline!D14</f>
        <v/>
      </c>
      <c r="AC11">
        <f>Pipeline!E14</f>
        <v/>
      </c>
      <c r="AD11">
        <f>Pipeline!F14</f>
        <v/>
      </c>
      <c r="AE11">
        <f>Pipeline!Q14</f>
        <v/>
      </c>
      <c r="AF11">
        <f>Pipeline!R14</f>
        <v/>
      </c>
      <c r="AG11">
        <f>Pipeline!P14</f>
        <v/>
      </c>
      <c r="AH11">
        <f>Pipeline!L14</f>
        <v/>
      </c>
    </row>
    <row r="12">
      <c r="A12">
        <f>Database!B12</f>
        <v/>
      </c>
      <c r="B12">
        <f>IF(AND(Screener!$D$8&lt;&gt;"",Database!$E12=Screener!$D$8),1,0)</f>
        <v/>
      </c>
      <c r="C12">
        <f>IF(AND(Screener!$D$7&lt;&gt;"",Database!$D12=Screener!$D$7),1,0)</f>
        <v/>
      </c>
      <c r="D12">
        <f>IF(OR(N(Database!$I12)&lt;=0,N(Screener!$D$9)&lt;=0),0,MAX(0,1-ABS(LOG10(N(Database!$I12)/Screener!$D$9))/W_SIZEHW))</f>
        <v/>
      </c>
      <c r="E12">
        <f>IF(OR(Database!$AU12="",Screener!$D$10=""),0,IF(Database!$AU12=Screener!$D$10,1,0))</f>
        <v/>
      </c>
      <c r="F12">
        <f>IF(OR(Database!$AZ12="",Screener!$D$11=""),0,IF(Database!$AZ12=Screener!$D$11,1,0))</f>
        <v/>
      </c>
      <c r="G12">
        <f>IF(OR(Database!$H12="",N(Screener!$D$12)&lt;=0),0,MAX(0,1-(N(Screener!$D$12)-Database!$H12)/W_RECD))</f>
        <v/>
      </c>
      <c r="H12">
        <f>IF($U$1="",0,N(ISNUMBER(SEARCH($U$1,Database!$X12&amp;""))))+IF($V$1="",0,N(ISNUMBER(SEARCH($V$1,Database!$X12&amp;""))))+IF($W$1="",0,N(ISNUMBER(SEARCH($W$1,Database!$X12&amp;""))))+IF($X$1="",0,N(ISNUMBER(SEARCH($X$1,Database!$X12&amp;""))))+IF($Y$1="",0,N(ISNUMBER(SEARCH($Y$1,Database!$X12&amp;""))))+IF(Screener!$B$17="",0,N(ISNUMBER(SEARCH(LOWER(Screener!$B$17),Database!$X12&amp;""))))</f>
        <v/>
      </c>
      <c r="I12">
        <f>IF(OR(N(Database!$AV12)&lt;=0,N(Screener!$D$13)&lt;=0),0,MAX(0,1-ABS(LOG10(N(Database!$AV12)/Screener!$D$13))/W_PEHW))</f>
        <v/>
      </c>
      <c r="J12">
        <f>IF(OR(N(Database!$S12)&lt;=0,N(Screener!$D$14)&lt;=0),0,MAX(0,1-ABS(LOG10(Database!$S12/Screener!$D$14))/0.6))</f>
        <v/>
      </c>
      <c r="K12">
        <f>IF(Database!$B12=Screener!$B$5,-999999,IF(ISNUMBER(SEARCH(","&amp;Database!$A12&amp;",",","&amp;SUBSTITUTE(Screener!$B$19," ","")&amp;",")),2000000,IF(IF(OR(Screener!$B$18="All",AND(Screener!$B$18="With A-share",(Database!$AZ12="Y")),AND(Screener!$B$18="Without A-share",NOT((Database!$AZ12="Y")))),1,0)=0,-999999,IF(Screener!$B$16="cornerstone overlap first",H12*100000,IF(Screener!$B$16="demand-similar first",J12*100000,0))+W_SUB*B12+W_SEC*C12*(1-B12)+W_SIZE*D12+W_PROF*E12+W_AH*F12+W_REC*G12+W_CS*H12+W_PE*I12)))+ROW()/1000000</f>
        <v/>
      </c>
      <c r="AA12">
        <f>Pipeline!B15</f>
        <v/>
      </c>
      <c r="AB12">
        <f>Pipeline!D15</f>
        <v/>
      </c>
      <c r="AC12">
        <f>Pipeline!E15</f>
        <v/>
      </c>
      <c r="AD12">
        <f>Pipeline!F15</f>
        <v/>
      </c>
      <c r="AE12">
        <f>Pipeline!Q15</f>
        <v/>
      </c>
      <c r="AF12">
        <f>Pipeline!R15</f>
        <v/>
      </c>
      <c r="AG12">
        <f>Pipeline!P15</f>
        <v/>
      </c>
      <c r="AH12">
        <f>Pipeline!L15</f>
        <v/>
      </c>
    </row>
    <row r="13">
      <c r="A13">
        <f>Database!B13</f>
        <v/>
      </c>
      <c r="B13">
        <f>IF(AND(Screener!$D$8&lt;&gt;"",Database!$E13=Screener!$D$8),1,0)</f>
        <v/>
      </c>
      <c r="C13">
        <f>IF(AND(Screener!$D$7&lt;&gt;"",Database!$D13=Screener!$D$7),1,0)</f>
        <v/>
      </c>
      <c r="D13">
        <f>IF(OR(N(Database!$I13)&lt;=0,N(Screener!$D$9)&lt;=0),0,MAX(0,1-ABS(LOG10(N(Database!$I13)/Screener!$D$9))/W_SIZEHW))</f>
        <v/>
      </c>
      <c r="E13">
        <f>IF(OR(Database!$AU13="",Screener!$D$10=""),0,IF(Database!$AU13=Screener!$D$10,1,0))</f>
        <v/>
      </c>
      <c r="F13">
        <f>IF(OR(Database!$AZ13="",Screener!$D$11=""),0,IF(Database!$AZ13=Screener!$D$11,1,0))</f>
        <v/>
      </c>
      <c r="G13">
        <f>IF(OR(Database!$H13="",N(Screener!$D$12)&lt;=0),0,MAX(0,1-(N(Screener!$D$12)-Database!$H13)/W_RECD))</f>
        <v/>
      </c>
      <c r="H13">
        <f>IF($U$1="",0,N(ISNUMBER(SEARCH($U$1,Database!$X13&amp;""))))+IF($V$1="",0,N(ISNUMBER(SEARCH($V$1,Database!$X13&amp;""))))+IF($W$1="",0,N(ISNUMBER(SEARCH($W$1,Database!$X13&amp;""))))+IF($X$1="",0,N(ISNUMBER(SEARCH($X$1,Database!$X13&amp;""))))+IF($Y$1="",0,N(ISNUMBER(SEARCH($Y$1,Database!$X13&amp;""))))+IF(Screener!$B$17="",0,N(ISNUMBER(SEARCH(LOWER(Screener!$B$17),Database!$X13&amp;""))))</f>
        <v/>
      </c>
      <c r="I13">
        <f>IF(OR(N(Database!$AV13)&lt;=0,N(Screener!$D$13)&lt;=0),0,MAX(0,1-ABS(LOG10(N(Database!$AV13)/Screener!$D$13))/W_PEHW))</f>
        <v/>
      </c>
      <c r="J13">
        <f>IF(OR(N(Database!$S13)&lt;=0,N(Screener!$D$14)&lt;=0),0,MAX(0,1-ABS(LOG10(Database!$S13/Screener!$D$14))/0.6))</f>
        <v/>
      </c>
      <c r="K13">
        <f>IF(Database!$B13=Screener!$B$5,-999999,IF(ISNUMBER(SEARCH(","&amp;Database!$A13&amp;",",","&amp;SUBSTITUTE(Screener!$B$19," ","")&amp;",")),2000000,IF(IF(OR(Screener!$B$18="All",AND(Screener!$B$18="With A-share",(Database!$AZ13="Y")),AND(Screener!$B$18="Without A-share",NOT((Database!$AZ13="Y")))),1,0)=0,-999999,IF(Screener!$B$16="cornerstone overlap first",H13*100000,IF(Screener!$B$16="demand-similar first",J13*100000,0))+W_SUB*B13+W_SEC*C13*(1-B13)+W_SIZE*D13+W_PROF*E13+W_AH*F13+W_REC*G13+W_CS*H13+W_PE*I13)))+ROW()/1000000</f>
        <v/>
      </c>
      <c r="AA13">
        <f>Pipeline!B16</f>
        <v/>
      </c>
      <c r="AB13">
        <f>Pipeline!D16</f>
        <v/>
      </c>
      <c r="AC13">
        <f>Pipeline!E16</f>
        <v/>
      </c>
      <c r="AD13">
        <f>Pipeline!F16</f>
        <v/>
      </c>
      <c r="AE13">
        <f>Pipeline!Q16</f>
        <v/>
      </c>
      <c r="AF13">
        <f>Pipeline!R16</f>
        <v/>
      </c>
      <c r="AG13">
        <f>Pipeline!P16</f>
        <v/>
      </c>
      <c r="AH13">
        <f>Pipeline!L16</f>
        <v/>
      </c>
    </row>
    <row r="14">
      <c r="A14">
        <f>Database!B14</f>
        <v/>
      </c>
      <c r="B14">
        <f>IF(AND(Screener!$D$8&lt;&gt;"",Database!$E14=Screener!$D$8),1,0)</f>
        <v/>
      </c>
      <c r="C14">
        <f>IF(AND(Screener!$D$7&lt;&gt;"",Database!$D14=Screener!$D$7),1,0)</f>
        <v/>
      </c>
      <c r="D14">
        <f>IF(OR(N(Database!$I14)&lt;=0,N(Screener!$D$9)&lt;=0),0,MAX(0,1-ABS(LOG10(N(Database!$I14)/Screener!$D$9))/W_SIZEHW))</f>
        <v/>
      </c>
      <c r="E14">
        <f>IF(OR(Database!$AU14="",Screener!$D$10=""),0,IF(Database!$AU14=Screener!$D$10,1,0))</f>
        <v/>
      </c>
      <c r="F14">
        <f>IF(OR(Database!$AZ14="",Screener!$D$11=""),0,IF(Database!$AZ14=Screener!$D$11,1,0))</f>
        <v/>
      </c>
      <c r="G14">
        <f>IF(OR(Database!$H14="",N(Screener!$D$12)&lt;=0),0,MAX(0,1-(N(Screener!$D$12)-Database!$H14)/W_RECD))</f>
        <v/>
      </c>
      <c r="H14">
        <f>IF($U$1="",0,N(ISNUMBER(SEARCH($U$1,Database!$X14&amp;""))))+IF($V$1="",0,N(ISNUMBER(SEARCH($V$1,Database!$X14&amp;""))))+IF($W$1="",0,N(ISNUMBER(SEARCH($W$1,Database!$X14&amp;""))))+IF($X$1="",0,N(ISNUMBER(SEARCH($X$1,Database!$X14&amp;""))))+IF($Y$1="",0,N(ISNUMBER(SEARCH($Y$1,Database!$X14&amp;""))))+IF(Screener!$B$17="",0,N(ISNUMBER(SEARCH(LOWER(Screener!$B$17),Database!$X14&amp;""))))</f>
        <v/>
      </c>
      <c r="I14">
        <f>IF(OR(N(Database!$AV14)&lt;=0,N(Screener!$D$13)&lt;=0),0,MAX(0,1-ABS(LOG10(N(Database!$AV14)/Screener!$D$13))/W_PEHW))</f>
        <v/>
      </c>
      <c r="J14">
        <f>IF(OR(N(Database!$S14)&lt;=0,N(Screener!$D$14)&lt;=0),0,MAX(0,1-ABS(LOG10(Database!$S14/Screener!$D$14))/0.6))</f>
        <v/>
      </c>
      <c r="K14">
        <f>IF(Database!$B14=Screener!$B$5,-999999,IF(ISNUMBER(SEARCH(","&amp;Database!$A14&amp;",",","&amp;SUBSTITUTE(Screener!$B$19," ","")&amp;",")),2000000,IF(IF(OR(Screener!$B$18="All",AND(Screener!$B$18="With A-share",(Database!$AZ14="Y")),AND(Screener!$B$18="Without A-share",NOT((Database!$AZ14="Y")))),1,0)=0,-999999,IF(Screener!$B$16="cornerstone overlap first",H14*100000,IF(Screener!$B$16="demand-similar first",J14*100000,0))+W_SUB*B14+W_SEC*C14*(1-B14)+W_SIZE*D14+W_PROF*E14+W_AH*F14+W_REC*G14+W_CS*H14+W_PE*I14)))+ROW()/1000000</f>
        <v/>
      </c>
      <c r="AA14">
        <f>Pipeline!B17</f>
        <v/>
      </c>
      <c r="AB14">
        <f>Pipeline!D17</f>
        <v/>
      </c>
      <c r="AC14">
        <f>Pipeline!E17</f>
        <v/>
      </c>
      <c r="AD14">
        <f>Pipeline!F17</f>
        <v/>
      </c>
      <c r="AE14">
        <f>Pipeline!Q17</f>
        <v/>
      </c>
      <c r="AF14">
        <f>Pipeline!R17</f>
        <v/>
      </c>
      <c r="AG14">
        <f>Pipeline!P17</f>
        <v/>
      </c>
      <c r="AH14">
        <f>Pipeline!L17</f>
        <v/>
      </c>
    </row>
    <row r="15">
      <c r="A15">
        <f>Database!B15</f>
        <v/>
      </c>
      <c r="B15">
        <f>IF(AND(Screener!$D$8&lt;&gt;"",Database!$E15=Screener!$D$8),1,0)</f>
        <v/>
      </c>
      <c r="C15">
        <f>IF(AND(Screener!$D$7&lt;&gt;"",Database!$D15=Screener!$D$7),1,0)</f>
        <v/>
      </c>
      <c r="D15">
        <f>IF(OR(N(Database!$I15)&lt;=0,N(Screener!$D$9)&lt;=0),0,MAX(0,1-ABS(LOG10(N(Database!$I15)/Screener!$D$9))/W_SIZEHW))</f>
        <v/>
      </c>
      <c r="E15">
        <f>IF(OR(Database!$AU15="",Screener!$D$10=""),0,IF(Database!$AU15=Screener!$D$10,1,0))</f>
        <v/>
      </c>
      <c r="F15">
        <f>IF(OR(Database!$AZ15="",Screener!$D$11=""),0,IF(Database!$AZ15=Screener!$D$11,1,0))</f>
        <v/>
      </c>
      <c r="G15">
        <f>IF(OR(Database!$H15="",N(Screener!$D$12)&lt;=0),0,MAX(0,1-(N(Screener!$D$12)-Database!$H15)/W_RECD))</f>
        <v/>
      </c>
      <c r="H15">
        <f>IF($U$1="",0,N(ISNUMBER(SEARCH($U$1,Database!$X15&amp;""))))+IF($V$1="",0,N(ISNUMBER(SEARCH($V$1,Database!$X15&amp;""))))+IF($W$1="",0,N(ISNUMBER(SEARCH($W$1,Database!$X15&amp;""))))+IF($X$1="",0,N(ISNUMBER(SEARCH($X$1,Database!$X15&amp;""))))+IF($Y$1="",0,N(ISNUMBER(SEARCH($Y$1,Database!$X15&amp;""))))+IF(Screener!$B$17="",0,N(ISNUMBER(SEARCH(LOWER(Screener!$B$17),Database!$X15&amp;""))))</f>
        <v/>
      </c>
      <c r="I15">
        <f>IF(OR(N(Database!$AV15)&lt;=0,N(Screener!$D$13)&lt;=0),0,MAX(0,1-ABS(LOG10(N(Database!$AV15)/Screener!$D$13))/W_PEHW))</f>
        <v/>
      </c>
      <c r="J15">
        <f>IF(OR(N(Database!$S15)&lt;=0,N(Screener!$D$14)&lt;=0),0,MAX(0,1-ABS(LOG10(Database!$S15/Screener!$D$14))/0.6))</f>
        <v/>
      </c>
      <c r="K15">
        <f>IF(Database!$B15=Screener!$B$5,-999999,IF(ISNUMBER(SEARCH(","&amp;Database!$A15&amp;",",","&amp;SUBSTITUTE(Screener!$B$19," ","")&amp;",")),2000000,IF(IF(OR(Screener!$B$18="All",AND(Screener!$B$18="With A-share",(Database!$AZ15="Y")),AND(Screener!$B$18="Without A-share",NOT((Database!$AZ15="Y")))),1,0)=0,-999999,IF(Screener!$B$16="cornerstone overlap first",H15*100000,IF(Screener!$B$16="demand-similar first",J15*100000,0))+W_SUB*B15+W_SEC*C15*(1-B15)+W_SIZE*D15+W_PROF*E15+W_AH*F15+W_REC*G15+W_CS*H15+W_PE*I15)))+ROW()/1000000</f>
        <v/>
      </c>
      <c r="AA15">
        <f>Pipeline!B18</f>
        <v/>
      </c>
      <c r="AB15">
        <f>Pipeline!D18</f>
        <v/>
      </c>
      <c r="AC15">
        <f>Pipeline!E18</f>
        <v/>
      </c>
      <c r="AD15">
        <f>Pipeline!F18</f>
        <v/>
      </c>
      <c r="AE15">
        <f>Pipeline!Q18</f>
        <v/>
      </c>
      <c r="AF15">
        <f>Pipeline!R18</f>
        <v/>
      </c>
      <c r="AG15">
        <f>Pipeline!P18</f>
        <v/>
      </c>
      <c r="AH15">
        <f>Pipeline!L18</f>
        <v/>
      </c>
    </row>
    <row r="16">
      <c r="A16">
        <f>Database!B16</f>
        <v/>
      </c>
      <c r="B16">
        <f>IF(AND(Screener!$D$8&lt;&gt;"",Database!$E16=Screener!$D$8),1,0)</f>
        <v/>
      </c>
      <c r="C16">
        <f>IF(AND(Screener!$D$7&lt;&gt;"",Database!$D16=Screener!$D$7),1,0)</f>
        <v/>
      </c>
      <c r="D16">
        <f>IF(OR(N(Database!$I16)&lt;=0,N(Screener!$D$9)&lt;=0),0,MAX(0,1-ABS(LOG10(N(Database!$I16)/Screener!$D$9))/W_SIZEHW))</f>
        <v/>
      </c>
      <c r="E16">
        <f>IF(OR(Database!$AU16="",Screener!$D$10=""),0,IF(Database!$AU16=Screener!$D$10,1,0))</f>
        <v/>
      </c>
      <c r="F16">
        <f>IF(OR(Database!$AZ16="",Screener!$D$11=""),0,IF(Database!$AZ16=Screener!$D$11,1,0))</f>
        <v/>
      </c>
      <c r="G16">
        <f>IF(OR(Database!$H16="",N(Screener!$D$12)&lt;=0),0,MAX(0,1-(N(Screener!$D$12)-Database!$H16)/W_RECD))</f>
        <v/>
      </c>
      <c r="H16">
        <f>IF($U$1="",0,N(ISNUMBER(SEARCH($U$1,Database!$X16&amp;""))))+IF($V$1="",0,N(ISNUMBER(SEARCH($V$1,Database!$X16&amp;""))))+IF($W$1="",0,N(ISNUMBER(SEARCH($W$1,Database!$X16&amp;""))))+IF($X$1="",0,N(ISNUMBER(SEARCH($X$1,Database!$X16&amp;""))))+IF($Y$1="",0,N(ISNUMBER(SEARCH($Y$1,Database!$X16&amp;""))))+IF(Screener!$B$17="",0,N(ISNUMBER(SEARCH(LOWER(Screener!$B$17),Database!$X16&amp;""))))</f>
        <v/>
      </c>
      <c r="I16">
        <f>IF(OR(N(Database!$AV16)&lt;=0,N(Screener!$D$13)&lt;=0),0,MAX(0,1-ABS(LOG10(N(Database!$AV16)/Screener!$D$13))/W_PEHW))</f>
        <v/>
      </c>
      <c r="J16">
        <f>IF(OR(N(Database!$S16)&lt;=0,N(Screener!$D$14)&lt;=0),0,MAX(0,1-ABS(LOG10(Database!$S16/Screener!$D$14))/0.6))</f>
        <v/>
      </c>
      <c r="K16">
        <f>IF(Database!$B16=Screener!$B$5,-999999,IF(ISNUMBER(SEARCH(","&amp;Database!$A16&amp;",",","&amp;SUBSTITUTE(Screener!$B$19," ","")&amp;",")),2000000,IF(IF(OR(Screener!$B$18="All",AND(Screener!$B$18="With A-share",(Database!$AZ16="Y")),AND(Screener!$B$18="Without A-share",NOT((Database!$AZ16="Y")))),1,0)=0,-999999,IF(Screener!$B$16="cornerstone overlap first",H16*100000,IF(Screener!$B$16="demand-similar first",J16*100000,0))+W_SUB*B16+W_SEC*C16*(1-B16)+W_SIZE*D16+W_PROF*E16+W_AH*F16+W_REC*G16+W_CS*H16+W_PE*I16)))+ROW()/1000000</f>
        <v/>
      </c>
      <c r="AA16">
        <f>Database!B5</f>
        <v/>
      </c>
      <c r="AB16">
        <f>Database!D5</f>
        <v/>
      </c>
      <c r="AC16">
        <f>Database!E5</f>
        <v/>
      </c>
      <c r="AD16">
        <f>Database!I5</f>
        <v/>
      </c>
      <c r="AE16">
        <f>Database!AU5</f>
        <v/>
      </c>
      <c r="AF16">
        <f>Database!AZ5</f>
        <v/>
      </c>
      <c r="AG16">
        <f>Database!H5</f>
        <v/>
      </c>
      <c r="AH16">
        <f>Database!AV5</f>
        <v/>
      </c>
    </row>
    <row r="17">
      <c r="A17">
        <f>Database!B17</f>
        <v/>
      </c>
      <c r="B17">
        <f>IF(AND(Screener!$D$8&lt;&gt;"",Database!$E17=Screener!$D$8),1,0)</f>
        <v/>
      </c>
      <c r="C17">
        <f>IF(AND(Screener!$D$7&lt;&gt;"",Database!$D17=Screener!$D$7),1,0)</f>
        <v/>
      </c>
      <c r="D17">
        <f>IF(OR(N(Database!$I17)&lt;=0,N(Screener!$D$9)&lt;=0),0,MAX(0,1-ABS(LOG10(N(Database!$I17)/Screener!$D$9))/W_SIZEHW))</f>
        <v/>
      </c>
      <c r="E17">
        <f>IF(OR(Database!$AU17="",Screener!$D$10=""),0,IF(Database!$AU17=Screener!$D$10,1,0))</f>
        <v/>
      </c>
      <c r="F17">
        <f>IF(OR(Database!$AZ17="",Screener!$D$11=""),0,IF(Database!$AZ17=Screener!$D$11,1,0))</f>
        <v/>
      </c>
      <c r="G17">
        <f>IF(OR(Database!$H17="",N(Screener!$D$12)&lt;=0),0,MAX(0,1-(N(Screener!$D$12)-Database!$H17)/W_RECD))</f>
        <v/>
      </c>
      <c r="H17">
        <f>IF($U$1="",0,N(ISNUMBER(SEARCH($U$1,Database!$X17&amp;""))))+IF($V$1="",0,N(ISNUMBER(SEARCH($V$1,Database!$X17&amp;""))))+IF($W$1="",0,N(ISNUMBER(SEARCH($W$1,Database!$X17&amp;""))))+IF($X$1="",0,N(ISNUMBER(SEARCH($X$1,Database!$X17&amp;""))))+IF($Y$1="",0,N(ISNUMBER(SEARCH($Y$1,Database!$X17&amp;""))))+IF(Screener!$B$17="",0,N(ISNUMBER(SEARCH(LOWER(Screener!$B$17),Database!$X17&amp;""))))</f>
        <v/>
      </c>
      <c r="I17">
        <f>IF(OR(N(Database!$AV17)&lt;=0,N(Screener!$D$13)&lt;=0),0,MAX(0,1-ABS(LOG10(N(Database!$AV17)/Screener!$D$13))/W_PEHW))</f>
        <v/>
      </c>
      <c r="J17">
        <f>IF(OR(N(Database!$S17)&lt;=0,N(Screener!$D$14)&lt;=0),0,MAX(0,1-ABS(LOG10(Database!$S17/Screener!$D$14))/0.6))</f>
        <v/>
      </c>
      <c r="K17">
        <f>IF(Database!$B17=Screener!$B$5,-999999,IF(ISNUMBER(SEARCH(","&amp;Database!$A17&amp;",",","&amp;SUBSTITUTE(Screener!$B$19," ","")&amp;",")),2000000,IF(IF(OR(Screener!$B$18="All",AND(Screener!$B$18="With A-share",(Database!$AZ17="Y")),AND(Screener!$B$18="Without A-share",NOT((Database!$AZ17="Y")))),1,0)=0,-999999,IF(Screener!$B$16="cornerstone overlap first",H17*100000,IF(Screener!$B$16="demand-similar first",J17*100000,0))+W_SUB*B17+W_SEC*C17*(1-B17)+W_SIZE*D17+W_PROF*E17+W_AH*F17+W_REC*G17+W_CS*H17+W_PE*I17)))+ROW()/1000000</f>
        <v/>
      </c>
      <c r="AA17">
        <f>Database!B6</f>
        <v/>
      </c>
      <c r="AB17">
        <f>Database!D6</f>
        <v/>
      </c>
      <c r="AC17">
        <f>Database!E6</f>
        <v/>
      </c>
      <c r="AD17">
        <f>Database!I6</f>
        <v/>
      </c>
      <c r="AE17">
        <f>Database!AU6</f>
        <v/>
      </c>
      <c r="AF17">
        <f>Database!AZ6</f>
        <v/>
      </c>
      <c r="AG17">
        <f>Database!H6</f>
        <v/>
      </c>
      <c r="AH17">
        <f>Database!AV6</f>
        <v/>
      </c>
    </row>
    <row r="18">
      <c r="A18">
        <f>Database!B18</f>
        <v/>
      </c>
      <c r="B18">
        <f>IF(AND(Screener!$D$8&lt;&gt;"",Database!$E18=Screener!$D$8),1,0)</f>
        <v/>
      </c>
      <c r="C18">
        <f>IF(AND(Screener!$D$7&lt;&gt;"",Database!$D18=Screener!$D$7),1,0)</f>
        <v/>
      </c>
      <c r="D18">
        <f>IF(OR(N(Database!$I18)&lt;=0,N(Screener!$D$9)&lt;=0),0,MAX(0,1-ABS(LOG10(N(Database!$I18)/Screener!$D$9))/W_SIZEHW))</f>
        <v/>
      </c>
      <c r="E18">
        <f>IF(OR(Database!$AU18="",Screener!$D$10=""),0,IF(Database!$AU18=Screener!$D$10,1,0))</f>
        <v/>
      </c>
      <c r="F18">
        <f>IF(OR(Database!$AZ18="",Screener!$D$11=""),0,IF(Database!$AZ18=Screener!$D$11,1,0))</f>
        <v/>
      </c>
      <c r="G18">
        <f>IF(OR(Database!$H18="",N(Screener!$D$12)&lt;=0),0,MAX(0,1-(N(Screener!$D$12)-Database!$H18)/W_RECD))</f>
        <v/>
      </c>
      <c r="H18">
        <f>IF($U$1="",0,N(ISNUMBER(SEARCH($U$1,Database!$X18&amp;""))))+IF($V$1="",0,N(ISNUMBER(SEARCH($V$1,Database!$X18&amp;""))))+IF($W$1="",0,N(ISNUMBER(SEARCH($W$1,Database!$X18&amp;""))))+IF($X$1="",0,N(ISNUMBER(SEARCH($X$1,Database!$X18&amp;""))))+IF($Y$1="",0,N(ISNUMBER(SEARCH($Y$1,Database!$X18&amp;""))))+IF(Screener!$B$17="",0,N(ISNUMBER(SEARCH(LOWER(Screener!$B$17),Database!$X18&amp;""))))</f>
        <v/>
      </c>
      <c r="I18">
        <f>IF(OR(N(Database!$AV18)&lt;=0,N(Screener!$D$13)&lt;=0),0,MAX(0,1-ABS(LOG10(N(Database!$AV18)/Screener!$D$13))/W_PEHW))</f>
        <v/>
      </c>
      <c r="J18">
        <f>IF(OR(N(Database!$S18)&lt;=0,N(Screener!$D$14)&lt;=0),0,MAX(0,1-ABS(LOG10(Database!$S18/Screener!$D$14))/0.6))</f>
        <v/>
      </c>
      <c r="K18">
        <f>IF(Database!$B18=Screener!$B$5,-999999,IF(ISNUMBER(SEARCH(","&amp;Database!$A18&amp;",",","&amp;SUBSTITUTE(Screener!$B$19," ","")&amp;",")),2000000,IF(IF(OR(Screener!$B$18="All",AND(Screener!$B$18="With A-share",(Database!$AZ18="Y")),AND(Screener!$B$18="Without A-share",NOT((Database!$AZ18="Y")))),1,0)=0,-999999,IF(Screener!$B$16="cornerstone overlap first",H18*100000,IF(Screener!$B$16="demand-similar first",J18*100000,0))+W_SUB*B18+W_SEC*C18*(1-B18)+W_SIZE*D18+W_PROF*E18+W_AH*F18+W_REC*G18+W_CS*H18+W_PE*I18)))+ROW()/1000000</f>
        <v/>
      </c>
      <c r="AA18">
        <f>Database!B7</f>
        <v/>
      </c>
      <c r="AB18">
        <f>Database!D7</f>
        <v/>
      </c>
      <c r="AC18">
        <f>Database!E7</f>
        <v/>
      </c>
      <c r="AD18">
        <f>Database!I7</f>
        <v/>
      </c>
      <c r="AE18">
        <f>Database!AU7</f>
        <v/>
      </c>
      <c r="AF18">
        <f>Database!AZ7</f>
        <v/>
      </c>
      <c r="AG18">
        <f>Database!H7</f>
        <v/>
      </c>
      <c r="AH18">
        <f>Database!AV7</f>
        <v/>
      </c>
    </row>
    <row r="19">
      <c r="A19">
        <f>Database!B19</f>
        <v/>
      </c>
      <c r="B19">
        <f>IF(AND(Screener!$D$8&lt;&gt;"",Database!$E19=Screener!$D$8),1,0)</f>
        <v/>
      </c>
      <c r="C19">
        <f>IF(AND(Screener!$D$7&lt;&gt;"",Database!$D19=Screener!$D$7),1,0)</f>
        <v/>
      </c>
      <c r="D19">
        <f>IF(OR(N(Database!$I19)&lt;=0,N(Screener!$D$9)&lt;=0),0,MAX(0,1-ABS(LOG10(N(Database!$I19)/Screener!$D$9))/W_SIZEHW))</f>
        <v/>
      </c>
      <c r="E19">
        <f>IF(OR(Database!$AU19="",Screener!$D$10=""),0,IF(Database!$AU19=Screener!$D$10,1,0))</f>
        <v/>
      </c>
      <c r="F19">
        <f>IF(OR(Database!$AZ19="",Screener!$D$11=""),0,IF(Database!$AZ19=Screener!$D$11,1,0))</f>
        <v/>
      </c>
      <c r="G19">
        <f>IF(OR(Database!$H19="",N(Screener!$D$12)&lt;=0),0,MAX(0,1-(N(Screener!$D$12)-Database!$H19)/W_RECD))</f>
        <v/>
      </c>
      <c r="H19">
        <f>IF($U$1="",0,N(ISNUMBER(SEARCH($U$1,Database!$X19&amp;""))))+IF($V$1="",0,N(ISNUMBER(SEARCH($V$1,Database!$X19&amp;""))))+IF($W$1="",0,N(ISNUMBER(SEARCH($W$1,Database!$X19&amp;""))))+IF($X$1="",0,N(ISNUMBER(SEARCH($X$1,Database!$X19&amp;""))))+IF($Y$1="",0,N(ISNUMBER(SEARCH($Y$1,Database!$X19&amp;""))))+IF(Screener!$B$17="",0,N(ISNUMBER(SEARCH(LOWER(Screener!$B$17),Database!$X19&amp;""))))</f>
        <v/>
      </c>
      <c r="I19">
        <f>IF(OR(N(Database!$AV19)&lt;=0,N(Screener!$D$13)&lt;=0),0,MAX(0,1-ABS(LOG10(N(Database!$AV19)/Screener!$D$13))/W_PEHW))</f>
        <v/>
      </c>
      <c r="J19">
        <f>IF(OR(N(Database!$S19)&lt;=0,N(Screener!$D$14)&lt;=0),0,MAX(0,1-ABS(LOG10(Database!$S19/Screener!$D$14))/0.6))</f>
        <v/>
      </c>
      <c r="K19">
        <f>IF(Database!$B19=Screener!$B$5,-999999,IF(ISNUMBER(SEARCH(","&amp;Database!$A19&amp;",",","&amp;SUBSTITUTE(Screener!$B$19," ","")&amp;",")),2000000,IF(IF(OR(Screener!$B$18="All",AND(Screener!$B$18="With A-share",(Database!$AZ19="Y")),AND(Screener!$B$18="Without A-share",NOT((Database!$AZ19="Y")))),1,0)=0,-999999,IF(Screener!$B$16="cornerstone overlap first",H19*100000,IF(Screener!$B$16="demand-similar first",J19*100000,0))+W_SUB*B19+W_SEC*C19*(1-B19)+W_SIZE*D19+W_PROF*E19+W_AH*F19+W_REC*G19+W_CS*H19+W_PE*I19)))+ROW()/1000000</f>
        <v/>
      </c>
      <c r="AA19">
        <f>Database!B8</f>
        <v/>
      </c>
      <c r="AB19">
        <f>Database!D8</f>
        <v/>
      </c>
      <c r="AC19">
        <f>Database!E8</f>
        <v/>
      </c>
      <c r="AD19">
        <f>Database!I8</f>
        <v/>
      </c>
      <c r="AE19">
        <f>Database!AU8</f>
        <v/>
      </c>
      <c r="AF19">
        <f>Database!AZ8</f>
        <v/>
      </c>
      <c r="AG19">
        <f>Database!H8</f>
        <v/>
      </c>
      <c r="AH19">
        <f>Database!AV8</f>
        <v/>
      </c>
    </row>
    <row r="20">
      <c r="A20">
        <f>Database!B20</f>
        <v/>
      </c>
      <c r="B20">
        <f>IF(AND(Screener!$D$8&lt;&gt;"",Database!$E20=Screener!$D$8),1,0)</f>
        <v/>
      </c>
      <c r="C20">
        <f>IF(AND(Screener!$D$7&lt;&gt;"",Database!$D20=Screener!$D$7),1,0)</f>
        <v/>
      </c>
      <c r="D20">
        <f>IF(OR(N(Database!$I20)&lt;=0,N(Screener!$D$9)&lt;=0),0,MAX(0,1-ABS(LOG10(N(Database!$I20)/Screener!$D$9))/W_SIZEHW))</f>
        <v/>
      </c>
      <c r="E20">
        <f>IF(OR(Database!$AU20="",Screener!$D$10=""),0,IF(Database!$AU20=Screener!$D$10,1,0))</f>
        <v/>
      </c>
      <c r="F20">
        <f>IF(OR(Database!$AZ20="",Screener!$D$11=""),0,IF(Database!$AZ20=Screener!$D$11,1,0))</f>
        <v/>
      </c>
      <c r="G20">
        <f>IF(OR(Database!$H20="",N(Screener!$D$12)&lt;=0),0,MAX(0,1-(N(Screener!$D$12)-Database!$H20)/W_RECD))</f>
        <v/>
      </c>
      <c r="H20">
        <f>IF($U$1="",0,N(ISNUMBER(SEARCH($U$1,Database!$X20&amp;""))))+IF($V$1="",0,N(ISNUMBER(SEARCH($V$1,Database!$X20&amp;""))))+IF($W$1="",0,N(ISNUMBER(SEARCH($W$1,Database!$X20&amp;""))))+IF($X$1="",0,N(ISNUMBER(SEARCH($X$1,Database!$X20&amp;""))))+IF($Y$1="",0,N(ISNUMBER(SEARCH($Y$1,Database!$X20&amp;""))))+IF(Screener!$B$17="",0,N(ISNUMBER(SEARCH(LOWER(Screener!$B$17),Database!$X20&amp;""))))</f>
        <v/>
      </c>
      <c r="I20">
        <f>IF(OR(N(Database!$AV20)&lt;=0,N(Screener!$D$13)&lt;=0),0,MAX(0,1-ABS(LOG10(N(Database!$AV20)/Screener!$D$13))/W_PEHW))</f>
        <v/>
      </c>
      <c r="J20">
        <f>IF(OR(N(Database!$S20)&lt;=0,N(Screener!$D$14)&lt;=0),0,MAX(0,1-ABS(LOG10(Database!$S20/Screener!$D$14))/0.6))</f>
        <v/>
      </c>
      <c r="K20">
        <f>IF(Database!$B20=Screener!$B$5,-999999,IF(ISNUMBER(SEARCH(","&amp;Database!$A20&amp;",",","&amp;SUBSTITUTE(Screener!$B$19," ","")&amp;",")),2000000,IF(IF(OR(Screener!$B$18="All",AND(Screener!$B$18="With A-share",(Database!$AZ20="Y")),AND(Screener!$B$18="Without A-share",NOT((Database!$AZ20="Y")))),1,0)=0,-999999,IF(Screener!$B$16="cornerstone overlap first",H20*100000,IF(Screener!$B$16="demand-similar first",J20*100000,0))+W_SUB*B20+W_SEC*C20*(1-B20)+W_SIZE*D20+W_PROF*E20+W_AH*F20+W_REC*G20+W_CS*H20+W_PE*I20)))+ROW()/1000000</f>
        <v/>
      </c>
      <c r="AA20">
        <f>Database!B9</f>
        <v/>
      </c>
      <c r="AB20">
        <f>Database!D9</f>
        <v/>
      </c>
      <c r="AC20">
        <f>Database!E9</f>
        <v/>
      </c>
      <c r="AD20">
        <f>Database!I9</f>
        <v/>
      </c>
      <c r="AE20">
        <f>Database!AU9</f>
        <v/>
      </c>
      <c r="AF20">
        <f>Database!AZ9</f>
        <v/>
      </c>
      <c r="AG20">
        <f>Database!H9</f>
        <v/>
      </c>
      <c r="AH20">
        <f>Database!AV9</f>
        <v/>
      </c>
    </row>
    <row r="21">
      <c r="A21">
        <f>Database!B21</f>
        <v/>
      </c>
      <c r="B21">
        <f>IF(AND(Screener!$D$8&lt;&gt;"",Database!$E21=Screener!$D$8),1,0)</f>
        <v/>
      </c>
      <c r="C21">
        <f>IF(AND(Screener!$D$7&lt;&gt;"",Database!$D21=Screener!$D$7),1,0)</f>
        <v/>
      </c>
      <c r="D21">
        <f>IF(OR(N(Database!$I21)&lt;=0,N(Screener!$D$9)&lt;=0),0,MAX(0,1-ABS(LOG10(N(Database!$I21)/Screener!$D$9))/W_SIZEHW))</f>
        <v/>
      </c>
      <c r="E21">
        <f>IF(OR(Database!$AU21="",Screener!$D$10=""),0,IF(Database!$AU21=Screener!$D$10,1,0))</f>
        <v/>
      </c>
      <c r="F21">
        <f>IF(OR(Database!$AZ21="",Screener!$D$11=""),0,IF(Database!$AZ21=Screener!$D$11,1,0))</f>
        <v/>
      </c>
      <c r="G21">
        <f>IF(OR(Database!$H21="",N(Screener!$D$12)&lt;=0),0,MAX(0,1-(N(Screener!$D$12)-Database!$H21)/W_RECD))</f>
        <v/>
      </c>
      <c r="H21">
        <f>IF($U$1="",0,N(ISNUMBER(SEARCH($U$1,Database!$X21&amp;""))))+IF($V$1="",0,N(ISNUMBER(SEARCH($V$1,Database!$X21&amp;""))))+IF($W$1="",0,N(ISNUMBER(SEARCH($W$1,Database!$X21&amp;""))))+IF($X$1="",0,N(ISNUMBER(SEARCH($X$1,Database!$X21&amp;""))))+IF($Y$1="",0,N(ISNUMBER(SEARCH($Y$1,Database!$X21&amp;""))))+IF(Screener!$B$17="",0,N(ISNUMBER(SEARCH(LOWER(Screener!$B$17),Database!$X21&amp;""))))</f>
        <v/>
      </c>
      <c r="I21">
        <f>IF(OR(N(Database!$AV21)&lt;=0,N(Screener!$D$13)&lt;=0),0,MAX(0,1-ABS(LOG10(N(Database!$AV21)/Screener!$D$13))/W_PEHW))</f>
        <v/>
      </c>
      <c r="J21">
        <f>IF(OR(N(Database!$S21)&lt;=0,N(Screener!$D$14)&lt;=0),0,MAX(0,1-ABS(LOG10(Database!$S21/Screener!$D$14))/0.6))</f>
        <v/>
      </c>
      <c r="K21">
        <f>IF(Database!$B21=Screener!$B$5,-999999,IF(ISNUMBER(SEARCH(","&amp;Database!$A21&amp;",",","&amp;SUBSTITUTE(Screener!$B$19," ","")&amp;",")),2000000,IF(IF(OR(Screener!$B$18="All",AND(Screener!$B$18="With A-share",(Database!$AZ21="Y")),AND(Screener!$B$18="Without A-share",NOT((Database!$AZ21="Y")))),1,0)=0,-999999,IF(Screener!$B$16="cornerstone overlap first",H21*100000,IF(Screener!$B$16="demand-similar first",J21*100000,0))+W_SUB*B21+W_SEC*C21*(1-B21)+W_SIZE*D21+W_PROF*E21+W_AH*F21+W_REC*G21+W_CS*H21+W_PE*I21)))+ROW()/1000000</f>
        <v/>
      </c>
      <c r="AA21">
        <f>Database!B10</f>
        <v/>
      </c>
      <c r="AB21">
        <f>Database!D10</f>
        <v/>
      </c>
      <c r="AC21">
        <f>Database!E10</f>
        <v/>
      </c>
      <c r="AD21">
        <f>Database!I10</f>
        <v/>
      </c>
      <c r="AE21">
        <f>Database!AU10</f>
        <v/>
      </c>
      <c r="AF21">
        <f>Database!AZ10</f>
        <v/>
      </c>
      <c r="AG21">
        <f>Database!H10</f>
        <v/>
      </c>
      <c r="AH21">
        <f>Database!AV10</f>
        <v/>
      </c>
    </row>
    <row r="22">
      <c r="A22">
        <f>Database!B22</f>
        <v/>
      </c>
      <c r="B22">
        <f>IF(AND(Screener!$D$8&lt;&gt;"",Database!$E22=Screener!$D$8),1,0)</f>
        <v/>
      </c>
      <c r="C22">
        <f>IF(AND(Screener!$D$7&lt;&gt;"",Database!$D22=Screener!$D$7),1,0)</f>
        <v/>
      </c>
      <c r="D22">
        <f>IF(OR(N(Database!$I22)&lt;=0,N(Screener!$D$9)&lt;=0),0,MAX(0,1-ABS(LOG10(N(Database!$I22)/Screener!$D$9))/W_SIZEHW))</f>
        <v/>
      </c>
      <c r="E22">
        <f>IF(OR(Database!$AU22="",Screener!$D$10=""),0,IF(Database!$AU22=Screener!$D$10,1,0))</f>
        <v/>
      </c>
      <c r="F22">
        <f>IF(OR(Database!$AZ22="",Screener!$D$11=""),0,IF(Database!$AZ22=Screener!$D$11,1,0))</f>
        <v/>
      </c>
      <c r="G22">
        <f>IF(OR(Database!$H22="",N(Screener!$D$12)&lt;=0),0,MAX(0,1-(N(Screener!$D$12)-Database!$H22)/W_RECD))</f>
        <v/>
      </c>
      <c r="H22">
        <f>IF($U$1="",0,N(ISNUMBER(SEARCH($U$1,Database!$X22&amp;""))))+IF($V$1="",0,N(ISNUMBER(SEARCH($V$1,Database!$X22&amp;""))))+IF($W$1="",0,N(ISNUMBER(SEARCH($W$1,Database!$X22&amp;""))))+IF($X$1="",0,N(ISNUMBER(SEARCH($X$1,Database!$X22&amp;""))))+IF($Y$1="",0,N(ISNUMBER(SEARCH($Y$1,Database!$X22&amp;""))))+IF(Screener!$B$17="",0,N(ISNUMBER(SEARCH(LOWER(Screener!$B$17),Database!$X22&amp;""))))</f>
        <v/>
      </c>
      <c r="I22">
        <f>IF(OR(N(Database!$AV22)&lt;=0,N(Screener!$D$13)&lt;=0),0,MAX(0,1-ABS(LOG10(N(Database!$AV22)/Screener!$D$13))/W_PEHW))</f>
        <v/>
      </c>
      <c r="J22">
        <f>IF(OR(N(Database!$S22)&lt;=0,N(Screener!$D$14)&lt;=0),0,MAX(0,1-ABS(LOG10(Database!$S22/Screener!$D$14))/0.6))</f>
        <v/>
      </c>
      <c r="K22">
        <f>IF(Database!$B22=Screener!$B$5,-999999,IF(ISNUMBER(SEARCH(","&amp;Database!$A22&amp;",",","&amp;SUBSTITUTE(Screener!$B$19," ","")&amp;",")),2000000,IF(IF(OR(Screener!$B$18="All",AND(Screener!$B$18="With A-share",(Database!$AZ22="Y")),AND(Screener!$B$18="Without A-share",NOT((Database!$AZ22="Y")))),1,0)=0,-999999,IF(Screener!$B$16="cornerstone overlap first",H22*100000,IF(Screener!$B$16="demand-similar first",J22*100000,0))+W_SUB*B22+W_SEC*C22*(1-B22)+W_SIZE*D22+W_PROF*E22+W_AH*F22+W_REC*G22+W_CS*H22+W_PE*I22)))+ROW()/1000000</f>
        <v/>
      </c>
      <c r="AA22">
        <f>Database!B11</f>
        <v/>
      </c>
      <c r="AB22">
        <f>Database!D11</f>
        <v/>
      </c>
      <c r="AC22">
        <f>Database!E11</f>
        <v/>
      </c>
      <c r="AD22">
        <f>Database!I11</f>
        <v/>
      </c>
      <c r="AE22">
        <f>Database!AU11</f>
        <v/>
      </c>
      <c r="AF22">
        <f>Database!AZ11</f>
        <v/>
      </c>
      <c r="AG22">
        <f>Database!H11</f>
        <v/>
      </c>
      <c r="AH22">
        <f>Database!AV11</f>
        <v/>
      </c>
    </row>
    <row r="23">
      <c r="A23">
        <f>Database!B23</f>
        <v/>
      </c>
      <c r="B23">
        <f>IF(AND(Screener!$D$8&lt;&gt;"",Database!$E23=Screener!$D$8),1,0)</f>
        <v/>
      </c>
      <c r="C23">
        <f>IF(AND(Screener!$D$7&lt;&gt;"",Database!$D23=Screener!$D$7),1,0)</f>
        <v/>
      </c>
      <c r="D23">
        <f>IF(OR(N(Database!$I23)&lt;=0,N(Screener!$D$9)&lt;=0),0,MAX(0,1-ABS(LOG10(N(Database!$I23)/Screener!$D$9))/W_SIZEHW))</f>
        <v/>
      </c>
      <c r="E23">
        <f>IF(OR(Database!$AU23="",Screener!$D$10=""),0,IF(Database!$AU23=Screener!$D$10,1,0))</f>
        <v/>
      </c>
      <c r="F23">
        <f>IF(OR(Database!$AZ23="",Screener!$D$11=""),0,IF(Database!$AZ23=Screener!$D$11,1,0))</f>
        <v/>
      </c>
      <c r="G23">
        <f>IF(OR(Database!$H23="",N(Screener!$D$12)&lt;=0),0,MAX(0,1-(N(Screener!$D$12)-Database!$H23)/W_RECD))</f>
        <v/>
      </c>
      <c r="H23">
        <f>IF($U$1="",0,N(ISNUMBER(SEARCH($U$1,Database!$X23&amp;""))))+IF($V$1="",0,N(ISNUMBER(SEARCH($V$1,Database!$X23&amp;""))))+IF($W$1="",0,N(ISNUMBER(SEARCH($W$1,Database!$X23&amp;""))))+IF($X$1="",0,N(ISNUMBER(SEARCH($X$1,Database!$X23&amp;""))))+IF($Y$1="",0,N(ISNUMBER(SEARCH($Y$1,Database!$X23&amp;""))))+IF(Screener!$B$17="",0,N(ISNUMBER(SEARCH(LOWER(Screener!$B$17),Database!$X23&amp;""))))</f>
        <v/>
      </c>
      <c r="I23">
        <f>IF(OR(N(Database!$AV23)&lt;=0,N(Screener!$D$13)&lt;=0),0,MAX(0,1-ABS(LOG10(N(Database!$AV23)/Screener!$D$13))/W_PEHW))</f>
        <v/>
      </c>
      <c r="J23">
        <f>IF(OR(N(Database!$S23)&lt;=0,N(Screener!$D$14)&lt;=0),0,MAX(0,1-ABS(LOG10(Database!$S23/Screener!$D$14))/0.6))</f>
        <v/>
      </c>
      <c r="K23">
        <f>IF(Database!$B23=Screener!$B$5,-999999,IF(ISNUMBER(SEARCH(","&amp;Database!$A23&amp;",",","&amp;SUBSTITUTE(Screener!$B$19," ","")&amp;",")),2000000,IF(IF(OR(Screener!$B$18="All",AND(Screener!$B$18="With A-share",(Database!$AZ23="Y")),AND(Screener!$B$18="Without A-share",NOT((Database!$AZ23="Y")))),1,0)=0,-999999,IF(Screener!$B$16="cornerstone overlap first",H23*100000,IF(Screener!$B$16="demand-similar first",J23*100000,0))+W_SUB*B23+W_SEC*C23*(1-B23)+W_SIZE*D23+W_PROF*E23+W_AH*F23+W_REC*G23+W_CS*H23+W_PE*I23)))+ROW()/1000000</f>
        <v/>
      </c>
      <c r="AA23">
        <f>Database!B12</f>
        <v/>
      </c>
      <c r="AB23">
        <f>Database!D12</f>
        <v/>
      </c>
      <c r="AC23">
        <f>Database!E12</f>
        <v/>
      </c>
      <c r="AD23">
        <f>Database!I12</f>
        <v/>
      </c>
      <c r="AE23">
        <f>Database!AU12</f>
        <v/>
      </c>
      <c r="AF23">
        <f>Database!AZ12</f>
        <v/>
      </c>
      <c r="AG23">
        <f>Database!H12</f>
        <v/>
      </c>
      <c r="AH23">
        <f>Database!AV12</f>
        <v/>
      </c>
    </row>
    <row r="24">
      <c r="A24">
        <f>Database!B24</f>
        <v/>
      </c>
      <c r="B24">
        <f>IF(AND(Screener!$D$8&lt;&gt;"",Database!$E24=Screener!$D$8),1,0)</f>
        <v/>
      </c>
      <c r="C24">
        <f>IF(AND(Screener!$D$7&lt;&gt;"",Database!$D24=Screener!$D$7),1,0)</f>
        <v/>
      </c>
      <c r="D24">
        <f>IF(OR(N(Database!$I24)&lt;=0,N(Screener!$D$9)&lt;=0),0,MAX(0,1-ABS(LOG10(N(Database!$I24)/Screener!$D$9))/W_SIZEHW))</f>
        <v/>
      </c>
      <c r="E24">
        <f>IF(OR(Database!$AU24="",Screener!$D$10=""),0,IF(Database!$AU24=Screener!$D$10,1,0))</f>
        <v/>
      </c>
      <c r="F24">
        <f>IF(OR(Database!$AZ24="",Screener!$D$11=""),0,IF(Database!$AZ24=Screener!$D$11,1,0))</f>
        <v/>
      </c>
      <c r="G24">
        <f>IF(OR(Database!$H24="",N(Screener!$D$12)&lt;=0),0,MAX(0,1-(N(Screener!$D$12)-Database!$H24)/W_RECD))</f>
        <v/>
      </c>
      <c r="H24">
        <f>IF($U$1="",0,N(ISNUMBER(SEARCH($U$1,Database!$X24&amp;""))))+IF($V$1="",0,N(ISNUMBER(SEARCH($V$1,Database!$X24&amp;""))))+IF($W$1="",0,N(ISNUMBER(SEARCH($W$1,Database!$X24&amp;""))))+IF($X$1="",0,N(ISNUMBER(SEARCH($X$1,Database!$X24&amp;""))))+IF($Y$1="",0,N(ISNUMBER(SEARCH($Y$1,Database!$X24&amp;""))))+IF(Screener!$B$17="",0,N(ISNUMBER(SEARCH(LOWER(Screener!$B$17),Database!$X24&amp;""))))</f>
        <v/>
      </c>
      <c r="I24">
        <f>IF(OR(N(Database!$AV24)&lt;=0,N(Screener!$D$13)&lt;=0),0,MAX(0,1-ABS(LOG10(N(Database!$AV24)/Screener!$D$13))/W_PEHW))</f>
        <v/>
      </c>
      <c r="J24">
        <f>IF(OR(N(Database!$S24)&lt;=0,N(Screener!$D$14)&lt;=0),0,MAX(0,1-ABS(LOG10(Database!$S24/Screener!$D$14))/0.6))</f>
        <v/>
      </c>
      <c r="K24">
        <f>IF(Database!$B24=Screener!$B$5,-999999,IF(ISNUMBER(SEARCH(","&amp;Database!$A24&amp;",",","&amp;SUBSTITUTE(Screener!$B$19," ","")&amp;",")),2000000,IF(IF(OR(Screener!$B$18="All",AND(Screener!$B$18="With A-share",(Database!$AZ24="Y")),AND(Screener!$B$18="Without A-share",NOT((Database!$AZ24="Y")))),1,0)=0,-999999,IF(Screener!$B$16="cornerstone overlap first",H24*100000,IF(Screener!$B$16="demand-similar first",J24*100000,0))+W_SUB*B24+W_SEC*C24*(1-B24)+W_SIZE*D24+W_PROF*E24+W_AH*F24+W_REC*G24+W_CS*H24+W_PE*I24)))+ROW()/1000000</f>
        <v/>
      </c>
      <c r="AA24">
        <f>Database!B13</f>
        <v/>
      </c>
      <c r="AB24">
        <f>Database!D13</f>
        <v/>
      </c>
      <c r="AC24">
        <f>Database!E13</f>
        <v/>
      </c>
      <c r="AD24">
        <f>Database!I13</f>
        <v/>
      </c>
      <c r="AE24">
        <f>Database!AU13</f>
        <v/>
      </c>
      <c r="AF24">
        <f>Database!AZ13</f>
        <v/>
      </c>
      <c r="AG24">
        <f>Database!H13</f>
        <v/>
      </c>
      <c r="AH24">
        <f>Database!AV13</f>
        <v/>
      </c>
    </row>
    <row r="25">
      <c r="A25">
        <f>Database!B25</f>
        <v/>
      </c>
      <c r="B25">
        <f>IF(AND(Screener!$D$8&lt;&gt;"",Database!$E25=Screener!$D$8),1,0)</f>
        <v/>
      </c>
      <c r="C25">
        <f>IF(AND(Screener!$D$7&lt;&gt;"",Database!$D25=Screener!$D$7),1,0)</f>
        <v/>
      </c>
      <c r="D25">
        <f>IF(OR(N(Database!$I25)&lt;=0,N(Screener!$D$9)&lt;=0),0,MAX(0,1-ABS(LOG10(N(Database!$I25)/Screener!$D$9))/W_SIZEHW))</f>
        <v/>
      </c>
      <c r="E25">
        <f>IF(OR(Database!$AU25="",Screener!$D$10=""),0,IF(Database!$AU25=Screener!$D$10,1,0))</f>
        <v/>
      </c>
      <c r="F25">
        <f>IF(OR(Database!$AZ25="",Screener!$D$11=""),0,IF(Database!$AZ25=Screener!$D$11,1,0))</f>
        <v/>
      </c>
      <c r="G25">
        <f>IF(OR(Database!$H25="",N(Screener!$D$12)&lt;=0),0,MAX(0,1-(N(Screener!$D$12)-Database!$H25)/W_RECD))</f>
        <v/>
      </c>
      <c r="H25">
        <f>IF($U$1="",0,N(ISNUMBER(SEARCH($U$1,Database!$X25&amp;""))))+IF($V$1="",0,N(ISNUMBER(SEARCH($V$1,Database!$X25&amp;""))))+IF($W$1="",0,N(ISNUMBER(SEARCH($W$1,Database!$X25&amp;""))))+IF($X$1="",0,N(ISNUMBER(SEARCH($X$1,Database!$X25&amp;""))))+IF($Y$1="",0,N(ISNUMBER(SEARCH($Y$1,Database!$X25&amp;""))))+IF(Screener!$B$17="",0,N(ISNUMBER(SEARCH(LOWER(Screener!$B$17),Database!$X25&amp;""))))</f>
        <v/>
      </c>
      <c r="I25">
        <f>IF(OR(N(Database!$AV25)&lt;=0,N(Screener!$D$13)&lt;=0),0,MAX(0,1-ABS(LOG10(N(Database!$AV25)/Screener!$D$13))/W_PEHW))</f>
        <v/>
      </c>
      <c r="J25">
        <f>IF(OR(N(Database!$S25)&lt;=0,N(Screener!$D$14)&lt;=0),0,MAX(0,1-ABS(LOG10(Database!$S25/Screener!$D$14))/0.6))</f>
        <v/>
      </c>
      <c r="K25">
        <f>IF(Database!$B25=Screener!$B$5,-999999,IF(ISNUMBER(SEARCH(","&amp;Database!$A25&amp;",",","&amp;SUBSTITUTE(Screener!$B$19," ","")&amp;",")),2000000,IF(IF(OR(Screener!$B$18="All",AND(Screener!$B$18="With A-share",(Database!$AZ25="Y")),AND(Screener!$B$18="Without A-share",NOT((Database!$AZ25="Y")))),1,0)=0,-999999,IF(Screener!$B$16="cornerstone overlap first",H25*100000,IF(Screener!$B$16="demand-similar first",J25*100000,0))+W_SUB*B25+W_SEC*C25*(1-B25)+W_SIZE*D25+W_PROF*E25+W_AH*F25+W_REC*G25+W_CS*H25+W_PE*I25)))+ROW()/1000000</f>
        <v/>
      </c>
      <c r="AA25">
        <f>Database!B14</f>
        <v/>
      </c>
      <c r="AB25">
        <f>Database!D14</f>
        <v/>
      </c>
      <c r="AC25">
        <f>Database!E14</f>
        <v/>
      </c>
      <c r="AD25">
        <f>Database!I14</f>
        <v/>
      </c>
      <c r="AE25">
        <f>Database!AU14</f>
        <v/>
      </c>
      <c r="AF25">
        <f>Database!AZ14</f>
        <v/>
      </c>
      <c r="AG25">
        <f>Database!H14</f>
        <v/>
      </c>
      <c r="AH25">
        <f>Database!AV14</f>
        <v/>
      </c>
    </row>
    <row r="26">
      <c r="A26">
        <f>Database!B26</f>
        <v/>
      </c>
      <c r="B26">
        <f>IF(AND(Screener!$D$8&lt;&gt;"",Database!$E26=Screener!$D$8),1,0)</f>
        <v/>
      </c>
      <c r="C26">
        <f>IF(AND(Screener!$D$7&lt;&gt;"",Database!$D26=Screener!$D$7),1,0)</f>
        <v/>
      </c>
      <c r="D26">
        <f>IF(OR(N(Database!$I26)&lt;=0,N(Screener!$D$9)&lt;=0),0,MAX(0,1-ABS(LOG10(N(Database!$I26)/Screener!$D$9))/W_SIZEHW))</f>
        <v/>
      </c>
      <c r="E26">
        <f>IF(OR(Database!$AU26="",Screener!$D$10=""),0,IF(Database!$AU26=Screener!$D$10,1,0))</f>
        <v/>
      </c>
      <c r="F26">
        <f>IF(OR(Database!$AZ26="",Screener!$D$11=""),0,IF(Database!$AZ26=Screener!$D$11,1,0))</f>
        <v/>
      </c>
      <c r="G26">
        <f>IF(OR(Database!$H26="",N(Screener!$D$12)&lt;=0),0,MAX(0,1-(N(Screener!$D$12)-Database!$H26)/W_RECD))</f>
        <v/>
      </c>
      <c r="H26">
        <f>IF($U$1="",0,N(ISNUMBER(SEARCH($U$1,Database!$X26&amp;""))))+IF($V$1="",0,N(ISNUMBER(SEARCH($V$1,Database!$X26&amp;""))))+IF($W$1="",0,N(ISNUMBER(SEARCH($W$1,Database!$X26&amp;""))))+IF($X$1="",0,N(ISNUMBER(SEARCH($X$1,Database!$X26&amp;""))))+IF($Y$1="",0,N(ISNUMBER(SEARCH($Y$1,Database!$X26&amp;""))))+IF(Screener!$B$17="",0,N(ISNUMBER(SEARCH(LOWER(Screener!$B$17),Database!$X26&amp;""))))</f>
        <v/>
      </c>
      <c r="I26">
        <f>IF(OR(N(Database!$AV26)&lt;=0,N(Screener!$D$13)&lt;=0),0,MAX(0,1-ABS(LOG10(N(Database!$AV26)/Screener!$D$13))/W_PEHW))</f>
        <v/>
      </c>
      <c r="J26">
        <f>IF(OR(N(Database!$S26)&lt;=0,N(Screener!$D$14)&lt;=0),0,MAX(0,1-ABS(LOG10(Database!$S26/Screener!$D$14))/0.6))</f>
        <v/>
      </c>
      <c r="K26">
        <f>IF(Database!$B26=Screener!$B$5,-999999,IF(ISNUMBER(SEARCH(","&amp;Database!$A26&amp;",",","&amp;SUBSTITUTE(Screener!$B$19," ","")&amp;",")),2000000,IF(IF(OR(Screener!$B$18="All",AND(Screener!$B$18="With A-share",(Database!$AZ26="Y")),AND(Screener!$B$18="Without A-share",NOT((Database!$AZ26="Y")))),1,0)=0,-999999,IF(Screener!$B$16="cornerstone overlap first",H26*100000,IF(Screener!$B$16="demand-similar first",J26*100000,0))+W_SUB*B26+W_SEC*C26*(1-B26)+W_SIZE*D26+W_PROF*E26+W_AH*F26+W_REC*G26+W_CS*H26+W_PE*I26)))+ROW()/1000000</f>
        <v/>
      </c>
      <c r="AA26">
        <f>Database!B15</f>
        <v/>
      </c>
      <c r="AB26">
        <f>Database!D15</f>
        <v/>
      </c>
      <c r="AC26">
        <f>Database!E15</f>
        <v/>
      </c>
      <c r="AD26">
        <f>Database!I15</f>
        <v/>
      </c>
      <c r="AE26">
        <f>Database!AU15</f>
        <v/>
      </c>
      <c r="AF26">
        <f>Database!AZ15</f>
        <v/>
      </c>
      <c r="AG26">
        <f>Database!H15</f>
        <v/>
      </c>
      <c r="AH26">
        <f>Database!AV15</f>
        <v/>
      </c>
    </row>
    <row r="27">
      <c r="A27">
        <f>Database!B27</f>
        <v/>
      </c>
      <c r="B27">
        <f>IF(AND(Screener!$D$8&lt;&gt;"",Database!$E27=Screener!$D$8),1,0)</f>
        <v/>
      </c>
      <c r="C27">
        <f>IF(AND(Screener!$D$7&lt;&gt;"",Database!$D27=Screener!$D$7),1,0)</f>
        <v/>
      </c>
      <c r="D27">
        <f>IF(OR(N(Database!$I27)&lt;=0,N(Screener!$D$9)&lt;=0),0,MAX(0,1-ABS(LOG10(N(Database!$I27)/Screener!$D$9))/W_SIZEHW))</f>
        <v/>
      </c>
      <c r="E27">
        <f>IF(OR(Database!$AU27="",Screener!$D$10=""),0,IF(Database!$AU27=Screener!$D$10,1,0))</f>
        <v/>
      </c>
      <c r="F27">
        <f>IF(OR(Database!$AZ27="",Screener!$D$11=""),0,IF(Database!$AZ27=Screener!$D$11,1,0))</f>
        <v/>
      </c>
      <c r="G27">
        <f>IF(OR(Database!$H27="",N(Screener!$D$12)&lt;=0),0,MAX(0,1-(N(Screener!$D$12)-Database!$H27)/W_RECD))</f>
        <v/>
      </c>
      <c r="H27">
        <f>IF($U$1="",0,N(ISNUMBER(SEARCH($U$1,Database!$X27&amp;""))))+IF($V$1="",0,N(ISNUMBER(SEARCH($V$1,Database!$X27&amp;""))))+IF($W$1="",0,N(ISNUMBER(SEARCH($W$1,Database!$X27&amp;""))))+IF($X$1="",0,N(ISNUMBER(SEARCH($X$1,Database!$X27&amp;""))))+IF($Y$1="",0,N(ISNUMBER(SEARCH($Y$1,Database!$X27&amp;""))))+IF(Screener!$B$17="",0,N(ISNUMBER(SEARCH(LOWER(Screener!$B$17),Database!$X27&amp;""))))</f>
        <v/>
      </c>
      <c r="I27">
        <f>IF(OR(N(Database!$AV27)&lt;=0,N(Screener!$D$13)&lt;=0),0,MAX(0,1-ABS(LOG10(N(Database!$AV27)/Screener!$D$13))/W_PEHW))</f>
        <v/>
      </c>
      <c r="J27">
        <f>IF(OR(N(Database!$S27)&lt;=0,N(Screener!$D$14)&lt;=0),0,MAX(0,1-ABS(LOG10(Database!$S27/Screener!$D$14))/0.6))</f>
        <v/>
      </c>
      <c r="K27">
        <f>IF(Database!$B27=Screener!$B$5,-999999,IF(ISNUMBER(SEARCH(","&amp;Database!$A27&amp;",",","&amp;SUBSTITUTE(Screener!$B$19," ","")&amp;",")),2000000,IF(IF(OR(Screener!$B$18="All",AND(Screener!$B$18="With A-share",(Database!$AZ27="Y")),AND(Screener!$B$18="Without A-share",NOT((Database!$AZ27="Y")))),1,0)=0,-999999,IF(Screener!$B$16="cornerstone overlap first",H27*100000,IF(Screener!$B$16="demand-similar first",J27*100000,0))+W_SUB*B27+W_SEC*C27*(1-B27)+W_SIZE*D27+W_PROF*E27+W_AH*F27+W_REC*G27+W_CS*H27+W_PE*I27)))+ROW()/1000000</f>
        <v/>
      </c>
      <c r="AA27">
        <f>Database!B16</f>
        <v/>
      </c>
      <c r="AB27">
        <f>Database!D16</f>
        <v/>
      </c>
      <c r="AC27">
        <f>Database!E16</f>
        <v/>
      </c>
      <c r="AD27">
        <f>Database!I16</f>
        <v/>
      </c>
      <c r="AE27">
        <f>Database!AU16</f>
        <v/>
      </c>
      <c r="AF27">
        <f>Database!AZ16</f>
        <v/>
      </c>
      <c r="AG27">
        <f>Database!H16</f>
        <v/>
      </c>
      <c r="AH27">
        <f>Database!AV16</f>
        <v/>
      </c>
    </row>
    <row r="28">
      <c r="A28">
        <f>Database!B28</f>
        <v/>
      </c>
      <c r="B28">
        <f>IF(AND(Screener!$D$8&lt;&gt;"",Database!$E28=Screener!$D$8),1,0)</f>
        <v/>
      </c>
      <c r="C28">
        <f>IF(AND(Screener!$D$7&lt;&gt;"",Database!$D28=Screener!$D$7),1,0)</f>
        <v/>
      </c>
      <c r="D28">
        <f>IF(OR(N(Database!$I28)&lt;=0,N(Screener!$D$9)&lt;=0),0,MAX(0,1-ABS(LOG10(N(Database!$I28)/Screener!$D$9))/W_SIZEHW))</f>
        <v/>
      </c>
      <c r="E28">
        <f>IF(OR(Database!$AU28="",Screener!$D$10=""),0,IF(Database!$AU28=Screener!$D$10,1,0))</f>
        <v/>
      </c>
      <c r="F28">
        <f>IF(OR(Database!$AZ28="",Screener!$D$11=""),0,IF(Database!$AZ28=Screener!$D$11,1,0))</f>
        <v/>
      </c>
      <c r="G28">
        <f>IF(OR(Database!$H28="",N(Screener!$D$12)&lt;=0),0,MAX(0,1-(N(Screener!$D$12)-Database!$H28)/W_RECD))</f>
        <v/>
      </c>
      <c r="H28">
        <f>IF($U$1="",0,N(ISNUMBER(SEARCH($U$1,Database!$X28&amp;""))))+IF($V$1="",0,N(ISNUMBER(SEARCH($V$1,Database!$X28&amp;""))))+IF($W$1="",0,N(ISNUMBER(SEARCH($W$1,Database!$X28&amp;""))))+IF($X$1="",0,N(ISNUMBER(SEARCH($X$1,Database!$X28&amp;""))))+IF($Y$1="",0,N(ISNUMBER(SEARCH($Y$1,Database!$X28&amp;""))))+IF(Screener!$B$17="",0,N(ISNUMBER(SEARCH(LOWER(Screener!$B$17),Database!$X28&amp;""))))</f>
        <v/>
      </c>
      <c r="I28">
        <f>IF(OR(N(Database!$AV28)&lt;=0,N(Screener!$D$13)&lt;=0),0,MAX(0,1-ABS(LOG10(N(Database!$AV28)/Screener!$D$13))/W_PEHW))</f>
        <v/>
      </c>
      <c r="J28">
        <f>IF(OR(N(Database!$S28)&lt;=0,N(Screener!$D$14)&lt;=0),0,MAX(0,1-ABS(LOG10(Database!$S28/Screener!$D$14))/0.6))</f>
        <v/>
      </c>
      <c r="K28">
        <f>IF(Database!$B28=Screener!$B$5,-999999,IF(ISNUMBER(SEARCH(","&amp;Database!$A28&amp;",",","&amp;SUBSTITUTE(Screener!$B$19," ","")&amp;",")),2000000,IF(IF(OR(Screener!$B$18="All",AND(Screener!$B$18="With A-share",(Database!$AZ28="Y")),AND(Screener!$B$18="Without A-share",NOT((Database!$AZ28="Y")))),1,0)=0,-999999,IF(Screener!$B$16="cornerstone overlap first",H28*100000,IF(Screener!$B$16="demand-similar first",J28*100000,0))+W_SUB*B28+W_SEC*C28*(1-B28)+W_SIZE*D28+W_PROF*E28+W_AH*F28+W_REC*G28+W_CS*H28+W_PE*I28)))+ROW()/1000000</f>
        <v/>
      </c>
      <c r="AA28">
        <f>Database!B17</f>
        <v/>
      </c>
      <c r="AB28">
        <f>Database!D17</f>
        <v/>
      </c>
      <c r="AC28">
        <f>Database!E17</f>
        <v/>
      </c>
      <c r="AD28">
        <f>Database!I17</f>
        <v/>
      </c>
      <c r="AE28">
        <f>Database!AU17</f>
        <v/>
      </c>
      <c r="AF28">
        <f>Database!AZ17</f>
        <v/>
      </c>
      <c r="AG28">
        <f>Database!H17</f>
        <v/>
      </c>
      <c r="AH28">
        <f>Database!AV17</f>
        <v/>
      </c>
    </row>
    <row r="29">
      <c r="A29">
        <f>Database!B29</f>
        <v/>
      </c>
      <c r="B29">
        <f>IF(AND(Screener!$D$8&lt;&gt;"",Database!$E29=Screener!$D$8),1,0)</f>
        <v/>
      </c>
      <c r="C29">
        <f>IF(AND(Screener!$D$7&lt;&gt;"",Database!$D29=Screener!$D$7),1,0)</f>
        <v/>
      </c>
      <c r="D29">
        <f>IF(OR(N(Database!$I29)&lt;=0,N(Screener!$D$9)&lt;=0),0,MAX(0,1-ABS(LOG10(N(Database!$I29)/Screener!$D$9))/W_SIZEHW))</f>
        <v/>
      </c>
      <c r="E29">
        <f>IF(OR(Database!$AU29="",Screener!$D$10=""),0,IF(Database!$AU29=Screener!$D$10,1,0))</f>
        <v/>
      </c>
      <c r="F29">
        <f>IF(OR(Database!$AZ29="",Screener!$D$11=""),0,IF(Database!$AZ29=Screener!$D$11,1,0))</f>
        <v/>
      </c>
      <c r="G29">
        <f>IF(OR(Database!$H29="",N(Screener!$D$12)&lt;=0),0,MAX(0,1-(N(Screener!$D$12)-Database!$H29)/W_RECD))</f>
        <v/>
      </c>
      <c r="H29">
        <f>IF($U$1="",0,N(ISNUMBER(SEARCH($U$1,Database!$X29&amp;""))))+IF($V$1="",0,N(ISNUMBER(SEARCH($V$1,Database!$X29&amp;""))))+IF($W$1="",0,N(ISNUMBER(SEARCH($W$1,Database!$X29&amp;""))))+IF($X$1="",0,N(ISNUMBER(SEARCH($X$1,Database!$X29&amp;""))))+IF($Y$1="",0,N(ISNUMBER(SEARCH($Y$1,Database!$X29&amp;""))))+IF(Screener!$B$17="",0,N(ISNUMBER(SEARCH(LOWER(Screener!$B$17),Database!$X29&amp;""))))</f>
        <v/>
      </c>
      <c r="I29">
        <f>IF(OR(N(Database!$AV29)&lt;=0,N(Screener!$D$13)&lt;=0),0,MAX(0,1-ABS(LOG10(N(Database!$AV29)/Screener!$D$13))/W_PEHW))</f>
        <v/>
      </c>
      <c r="J29">
        <f>IF(OR(N(Database!$S29)&lt;=0,N(Screener!$D$14)&lt;=0),0,MAX(0,1-ABS(LOG10(Database!$S29/Screener!$D$14))/0.6))</f>
        <v/>
      </c>
      <c r="K29">
        <f>IF(Database!$B29=Screener!$B$5,-999999,IF(ISNUMBER(SEARCH(","&amp;Database!$A29&amp;",",","&amp;SUBSTITUTE(Screener!$B$19," ","")&amp;",")),2000000,IF(IF(OR(Screener!$B$18="All",AND(Screener!$B$18="With A-share",(Database!$AZ29="Y")),AND(Screener!$B$18="Without A-share",NOT((Database!$AZ29="Y")))),1,0)=0,-999999,IF(Screener!$B$16="cornerstone overlap first",H29*100000,IF(Screener!$B$16="demand-similar first",J29*100000,0))+W_SUB*B29+W_SEC*C29*(1-B29)+W_SIZE*D29+W_PROF*E29+W_AH*F29+W_REC*G29+W_CS*H29+W_PE*I29)))+ROW()/1000000</f>
        <v/>
      </c>
      <c r="AA29">
        <f>Database!B18</f>
        <v/>
      </c>
      <c r="AB29">
        <f>Database!D18</f>
        <v/>
      </c>
      <c r="AC29">
        <f>Database!E18</f>
        <v/>
      </c>
      <c r="AD29">
        <f>Database!I18</f>
        <v/>
      </c>
      <c r="AE29">
        <f>Database!AU18</f>
        <v/>
      </c>
      <c r="AF29">
        <f>Database!AZ18</f>
        <v/>
      </c>
      <c r="AG29">
        <f>Database!H18</f>
        <v/>
      </c>
      <c r="AH29">
        <f>Database!AV18</f>
        <v/>
      </c>
    </row>
    <row r="30">
      <c r="A30">
        <f>Database!B30</f>
        <v/>
      </c>
      <c r="B30">
        <f>IF(AND(Screener!$D$8&lt;&gt;"",Database!$E30=Screener!$D$8),1,0)</f>
        <v/>
      </c>
      <c r="C30">
        <f>IF(AND(Screener!$D$7&lt;&gt;"",Database!$D30=Screener!$D$7),1,0)</f>
        <v/>
      </c>
      <c r="D30">
        <f>IF(OR(N(Database!$I30)&lt;=0,N(Screener!$D$9)&lt;=0),0,MAX(0,1-ABS(LOG10(N(Database!$I30)/Screener!$D$9))/W_SIZEHW))</f>
        <v/>
      </c>
      <c r="E30">
        <f>IF(OR(Database!$AU30="",Screener!$D$10=""),0,IF(Database!$AU30=Screener!$D$10,1,0))</f>
        <v/>
      </c>
      <c r="F30">
        <f>IF(OR(Database!$AZ30="",Screener!$D$11=""),0,IF(Database!$AZ30=Screener!$D$11,1,0))</f>
        <v/>
      </c>
      <c r="G30">
        <f>IF(OR(Database!$H30="",N(Screener!$D$12)&lt;=0),0,MAX(0,1-(N(Screener!$D$12)-Database!$H30)/W_RECD))</f>
        <v/>
      </c>
      <c r="H30">
        <f>IF($U$1="",0,N(ISNUMBER(SEARCH($U$1,Database!$X30&amp;""))))+IF($V$1="",0,N(ISNUMBER(SEARCH($V$1,Database!$X30&amp;""))))+IF($W$1="",0,N(ISNUMBER(SEARCH($W$1,Database!$X30&amp;""))))+IF($X$1="",0,N(ISNUMBER(SEARCH($X$1,Database!$X30&amp;""))))+IF($Y$1="",0,N(ISNUMBER(SEARCH($Y$1,Database!$X30&amp;""))))+IF(Screener!$B$17="",0,N(ISNUMBER(SEARCH(LOWER(Screener!$B$17),Database!$X30&amp;""))))</f>
        <v/>
      </c>
      <c r="I30">
        <f>IF(OR(N(Database!$AV30)&lt;=0,N(Screener!$D$13)&lt;=0),0,MAX(0,1-ABS(LOG10(N(Database!$AV30)/Screener!$D$13))/W_PEHW))</f>
        <v/>
      </c>
      <c r="J30">
        <f>IF(OR(N(Database!$S30)&lt;=0,N(Screener!$D$14)&lt;=0),0,MAX(0,1-ABS(LOG10(Database!$S30/Screener!$D$14))/0.6))</f>
        <v/>
      </c>
      <c r="K30">
        <f>IF(Database!$B30=Screener!$B$5,-999999,IF(ISNUMBER(SEARCH(","&amp;Database!$A30&amp;",",","&amp;SUBSTITUTE(Screener!$B$19," ","")&amp;",")),2000000,IF(IF(OR(Screener!$B$18="All",AND(Screener!$B$18="With A-share",(Database!$AZ30="Y")),AND(Screener!$B$18="Without A-share",NOT((Database!$AZ30="Y")))),1,0)=0,-999999,IF(Screener!$B$16="cornerstone overlap first",H30*100000,IF(Screener!$B$16="demand-similar first",J30*100000,0))+W_SUB*B30+W_SEC*C30*(1-B30)+W_SIZE*D30+W_PROF*E30+W_AH*F30+W_REC*G30+W_CS*H30+W_PE*I30)))+ROW()/1000000</f>
        <v/>
      </c>
      <c r="AA30">
        <f>Database!B19</f>
        <v/>
      </c>
      <c r="AB30">
        <f>Database!D19</f>
        <v/>
      </c>
      <c r="AC30">
        <f>Database!E19</f>
        <v/>
      </c>
      <c r="AD30">
        <f>Database!I19</f>
        <v/>
      </c>
      <c r="AE30">
        <f>Database!AU19</f>
        <v/>
      </c>
      <c r="AF30">
        <f>Database!AZ19</f>
        <v/>
      </c>
      <c r="AG30">
        <f>Database!H19</f>
        <v/>
      </c>
      <c r="AH30">
        <f>Database!AV19</f>
        <v/>
      </c>
    </row>
    <row r="31">
      <c r="A31">
        <f>Database!B31</f>
        <v/>
      </c>
      <c r="B31">
        <f>IF(AND(Screener!$D$8&lt;&gt;"",Database!$E31=Screener!$D$8),1,0)</f>
        <v/>
      </c>
      <c r="C31">
        <f>IF(AND(Screener!$D$7&lt;&gt;"",Database!$D31=Screener!$D$7),1,0)</f>
        <v/>
      </c>
      <c r="D31">
        <f>IF(OR(N(Database!$I31)&lt;=0,N(Screener!$D$9)&lt;=0),0,MAX(0,1-ABS(LOG10(N(Database!$I31)/Screener!$D$9))/W_SIZEHW))</f>
        <v/>
      </c>
      <c r="E31">
        <f>IF(OR(Database!$AU31="",Screener!$D$10=""),0,IF(Database!$AU31=Screener!$D$10,1,0))</f>
        <v/>
      </c>
      <c r="F31">
        <f>IF(OR(Database!$AZ31="",Screener!$D$11=""),0,IF(Database!$AZ31=Screener!$D$11,1,0))</f>
        <v/>
      </c>
      <c r="G31">
        <f>IF(OR(Database!$H31="",N(Screener!$D$12)&lt;=0),0,MAX(0,1-(N(Screener!$D$12)-Database!$H31)/W_RECD))</f>
        <v/>
      </c>
      <c r="H31">
        <f>IF($U$1="",0,N(ISNUMBER(SEARCH($U$1,Database!$X31&amp;""))))+IF($V$1="",0,N(ISNUMBER(SEARCH($V$1,Database!$X31&amp;""))))+IF($W$1="",0,N(ISNUMBER(SEARCH($W$1,Database!$X31&amp;""))))+IF($X$1="",0,N(ISNUMBER(SEARCH($X$1,Database!$X31&amp;""))))+IF($Y$1="",0,N(ISNUMBER(SEARCH($Y$1,Database!$X31&amp;""))))+IF(Screener!$B$17="",0,N(ISNUMBER(SEARCH(LOWER(Screener!$B$17),Database!$X31&amp;""))))</f>
        <v/>
      </c>
      <c r="I31">
        <f>IF(OR(N(Database!$AV31)&lt;=0,N(Screener!$D$13)&lt;=0),0,MAX(0,1-ABS(LOG10(N(Database!$AV31)/Screener!$D$13))/W_PEHW))</f>
        <v/>
      </c>
      <c r="J31">
        <f>IF(OR(N(Database!$S31)&lt;=0,N(Screener!$D$14)&lt;=0),0,MAX(0,1-ABS(LOG10(Database!$S31/Screener!$D$14))/0.6))</f>
        <v/>
      </c>
      <c r="K31">
        <f>IF(Database!$B31=Screener!$B$5,-999999,IF(ISNUMBER(SEARCH(","&amp;Database!$A31&amp;",",","&amp;SUBSTITUTE(Screener!$B$19," ","")&amp;",")),2000000,IF(IF(OR(Screener!$B$18="All",AND(Screener!$B$18="With A-share",(Database!$AZ31="Y")),AND(Screener!$B$18="Without A-share",NOT((Database!$AZ31="Y")))),1,0)=0,-999999,IF(Screener!$B$16="cornerstone overlap first",H31*100000,IF(Screener!$B$16="demand-similar first",J31*100000,0))+W_SUB*B31+W_SEC*C31*(1-B31)+W_SIZE*D31+W_PROF*E31+W_AH*F31+W_REC*G31+W_CS*H31+W_PE*I31)))+ROW()/1000000</f>
        <v/>
      </c>
      <c r="AA31">
        <f>Database!B20</f>
        <v/>
      </c>
      <c r="AB31">
        <f>Database!D20</f>
        <v/>
      </c>
      <c r="AC31">
        <f>Database!E20</f>
        <v/>
      </c>
      <c r="AD31">
        <f>Database!I20</f>
        <v/>
      </c>
      <c r="AE31">
        <f>Database!AU20</f>
        <v/>
      </c>
      <c r="AF31">
        <f>Database!AZ20</f>
        <v/>
      </c>
      <c r="AG31">
        <f>Database!H20</f>
        <v/>
      </c>
      <c r="AH31">
        <f>Database!AV20</f>
        <v/>
      </c>
    </row>
    <row r="32">
      <c r="A32">
        <f>Database!B32</f>
        <v/>
      </c>
      <c r="B32">
        <f>IF(AND(Screener!$D$8&lt;&gt;"",Database!$E32=Screener!$D$8),1,0)</f>
        <v/>
      </c>
      <c r="C32">
        <f>IF(AND(Screener!$D$7&lt;&gt;"",Database!$D32=Screener!$D$7),1,0)</f>
        <v/>
      </c>
      <c r="D32">
        <f>IF(OR(N(Database!$I32)&lt;=0,N(Screener!$D$9)&lt;=0),0,MAX(0,1-ABS(LOG10(N(Database!$I32)/Screener!$D$9))/W_SIZEHW))</f>
        <v/>
      </c>
      <c r="E32">
        <f>IF(OR(Database!$AU32="",Screener!$D$10=""),0,IF(Database!$AU32=Screener!$D$10,1,0))</f>
        <v/>
      </c>
      <c r="F32">
        <f>IF(OR(Database!$AZ32="",Screener!$D$11=""),0,IF(Database!$AZ32=Screener!$D$11,1,0))</f>
        <v/>
      </c>
      <c r="G32">
        <f>IF(OR(Database!$H32="",N(Screener!$D$12)&lt;=0),0,MAX(0,1-(N(Screener!$D$12)-Database!$H32)/W_RECD))</f>
        <v/>
      </c>
      <c r="H32">
        <f>IF($U$1="",0,N(ISNUMBER(SEARCH($U$1,Database!$X32&amp;""))))+IF($V$1="",0,N(ISNUMBER(SEARCH($V$1,Database!$X32&amp;""))))+IF($W$1="",0,N(ISNUMBER(SEARCH($W$1,Database!$X32&amp;""))))+IF($X$1="",0,N(ISNUMBER(SEARCH($X$1,Database!$X32&amp;""))))+IF($Y$1="",0,N(ISNUMBER(SEARCH($Y$1,Database!$X32&amp;""))))+IF(Screener!$B$17="",0,N(ISNUMBER(SEARCH(LOWER(Screener!$B$17),Database!$X32&amp;""))))</f>
        <v/>
      </c>
      <c r="I32">
        <f>IF(OR(N(Database!$AV32)&lt;=0,N(Screener!$D$13)&lt;=0),0,MAX(0,1-ABS(LOG10(N(Database!$AV32)/Screener!$D$13))/W_PEHW))</f>
        <v/>
      </c>
      <c r="J32">
        <f>IF(OR(N(Database!$S32)&lt;=0,N(Screener!$D$14)&lt;=0),0,MAX(0,1-ABS(LOG10(Database!$S32/Screener!$D$14))/0.6))</f>
        <v/>
      </c>
      <c r="K32">
        <f>IF(Database!$B32=Screener!$B$5,-999999,IF(ISNUMBER(SEARCH(","&amp;Database!$A32&amp;",",","&amp;SUBSTITUTE(Screener!$B$19," ","")&amp;",")),2000000,IF(IF(OR(Screener!$B$18="All",AND(Screener!$B$18="With A-share",(Database!$AZ32="Y")),AND(Screener!$B$18="Without A-share",NOT((Database!$AZ32="Y")))),1,0)=0,-999999,IF(Screener!$B$16="cornerstone overlap first",H32*100000,IF(Screener!$B$16="demand-similar first",J32*100000,0))+W_SUB*B32+W_SEC*C32*(1-B32)+W_SIZE*D32+W_PROF*E32+W_AH*F32+W_REC*G32+W_CS*H32+W_PE*I32)))+ROW()/1000000</f>
        <v/>
      </c>
      <c r="AA32">
        <f>Database!B21</f>
        <v/>
      </c>
      <c r="AB32">
        <f>Database!D21</f>
        <v/>
      </c>
      <c r="AC32">
        <f>Database!E21</f>
        <v/>
      </c>
      <c r="AD32">
        <f>Database!I21</f>
        <v/>
      </c>
      <c r="AE32">
        <f>Database!AU21</f>
        <v/>
      </c>
      <c r="AF32">
        <f>Database!AZ21</f>
        <v/>
      </c>
      <c r="AG32">
        <f>Database!H21</f>
        <v/>
      </c>
      <c r="AH32">
        <f>Database!AV21</f>
        <v/>
      </c>
    </row>
    <row r="33">
      <c r="A33">
        <f>Database!B33</f>
        <v/>
      </c>
      <c r="B33">
        <f>IF(AND(Screener!$D$8&lt;&gt;"",Database!$E33=Screener!$D$8),1,0)</f>
        <v/>
      </c>
      <c r="C33">
        <f>IF(AND(Screener!$D$7&lt;&gt;"",Database!$D33=Screener!$D$7),1,0)</f>
        <v/>
      </c>
      <c r="D33">
        <f>IF(OR(N(Database!$I33)&lt;=0,N(Screener!$D$9)&lt;=0),0,MAX(0,1-ABS(LOG10(N(Database!$I33)/Screener!$D$9))/W_SIZEHW))</f>
        <v/>
      </c>
      <c r="E33">
        <f>IF(OR(Database!$AU33="",Screener!$D$10=""),0,IF(Database!$AU33=Screener!$D$10,1,0))</f>
        <v/>
      </c>
      <c r="F33">
        <f>IF(OR(Database!$AZ33="",Screener!$D$11=""),0,IF(Database!$AZ33=Screener!$D$11,1,0))</f>
        <v/>
      </c>
      <c r="G33">
        <f>IF(OR(Database!$H33="",N(Screener!$D$12)&lt;=0),0,MAX(0,1-(N(Screener!$D$12)-Database!$H33)/W_RECD))</f>
        <v/>
      </c>
      <c r="H33">
        <f>IF($U$1="",0,N(ISNUMBER(SEARCH($U$1,Database!$X33&amp;""))))+IF($V$1="",0,N(ISNUMBER(SEARCH($V$1,Database!$X33&amp;""))))+IF($W$1="",0,N(ISNUMBER(SEARCH($W$1,Database!$X33&amp;""))))+IF($X$1="",0,N(ISNUMBER(SEARCH($X$1,Database!$X33&amp;""))))+IF($Y$1="",0,N(ISNUMBER(SEARCH($Y$1,Database!$X33&amp;""))))+IF(Screener!$B$17="",0,N(ISNUMBER(SEARCH(LOWER(Screener!$B$17),Database!$X33&amp;""))))</f>
        <v/>
      </c>
      <c r="I33">
        <f>IF(OR(N(Database!$AV33)&lt;=0,N(Screener!$D$13)&lt;=0),0,MAX(0,1-ABS(LOG10(N(Database!$AV33)/Screener!$D$13))/W_PEHW))</f>
        <v/>
      </c>
      <c r="J33">
        <f>IF(OR(N(Database!$S33)&lt;=0,N(Screener!$D$14)&lt;=0),0,MAX(0,1-ABS(LOG10(Database!$S33/Screener!$D$14))/0.6))</f>
        <v/>
      </c>
      <c r="K33">
        <f>IF(Database!$B33=Screener!$B$5,-999999,IF(ISNUMBER(SEARCH(","&amp;Database!$A33&amp;",",","&amp;SUBSTITUTE(Screener!$B$19," ","")&amp;",")),2000000,IF(IF(OR(Screener!$B$18="All",AND(Screener!$B$18="With A-share",(Database!$AZ33="Y")),AND(Screener!$B$18="Without A-share",NOT((Database!$AZ33="Y")))),1,0)=0,-999999,IF(Screener!$B$16="cornerstone overlap first",H33*100000,IF(Screener!$B$16="demand-similar first",J33*100000,0))+W_SUB*B33+W_SEC*C33*(1-B33)+W_SIZE*D33+W_PROF*E33+W_AH*F33+W_REC*G33+W_CS*H33+W_PE*I33)))+ROW()/1000000</f>
        <v/>
      </c>
      <c r="AA33">
        <f>Database!B22</f>
        <v/>
      </c>
      <c r="AB33">
        <f>Database!D22</f>
        <v/>
      </c>
      <c r="AC33">
        <f>Database!E22</f>
        <v/>
      </c>
      <c r="AD33">
        <f>Database!I22</f>
        <v/>
      </c>
      <c r="AE33">
        <f>Database!AU22</f>
        <v/>
      </c>
      <c r="AF33">
        <f>Database!AZ22</f>
        <v/>
      </c>
      <c r="AG33">
        <f>Database!H22</f>
        <v/>
      </c>
      <c r="AH33">
        <f>Database!AV22</f>
        <v/>
      </c>
    </row>
    <row r="34">
      <c r="A34">
        <f>Database!B34</f>
        <v/>
      </c>
      <c r="B34">
        <f>IF(AND(Screener!$D$8&lt;&gt;"",Database!$E34=Screener!$D$8),1,0)</f>
        <v/>
      </c>
      <c r="C34">
        <f>IF(AND(Screener!$D$7&lt;&gt;"",Database!$D34=Screener!$D$7),1,0)</f>
        <v/>
      </c>
      <c r="D34">
        <f>IF(OR(N(Database!$I34)&lt;=0,N(Screener!$D$9)&lt;=0),0,MAX(0,1-ABS(LOG10(N(Database!$I34)/Screener!$D$9))/W_SIZEHW))</f>
        <v/>
      </c>
      <c r="E34">
        <f>IF(OR(Database!$AU34="",Screener!$D$10=""),0,IF(Database!$AU34=Screener!$D$10,1,0))</f>
        <v/>
      </c>
      <c r="F34">
        <f>IF(OR(Database!$AZ34="",Screener!$D$11=""),0,IF(Database!$AZ34=Screener!$D$11,1,0))</f>
        <v/>
      </c>
      <c r="G34">
        <f>IF(OR(Database!$H34="",N(Screener!$D$12)&lt;=0),0,MAX(0,1-(N(Screener!$D$12)-Database!$H34)/W_RECD))</f>
        <v/>
      </c>
      <c r="H34">
        <f>IF($U$1="",0,N(ISNUMBER(SEARCH($U$1,Database!$X34&amp;""))))+IF($V$1="",0,N(ISNUMBER(SEARCH($V$1,Database!$X34&amp;""))))+IF($W$1="",0,N(ISNUMBER(SEARCH($W$1,Database!$X34&amp;""))))+IF($X$1="",0,N(ISNUMBER(SEARCH($X$1,Database!$X34&amp;""))))+IF($Y$1="",0,N(ISNUMBER(SEARCH($Y$1,Database!$X34&amp;""))))+IF(Screener!$B$17="",0,N(ISNUMBER(SEARCH(LOWER(Screener!$B$17),Database!$X34&amp;""))))</f>
        <v/>
      </c>
      <c r="I34">
        <f>IF(OR(N(Database!$AV34)&lt;=0,N(Screener!$D$13)&lt;=0),0,MAX(0,1-ABS(LOG10(N(Database!$AV34)/Screener!$D$13))/W_PEHW))</f>
        <v/>
      </c>
      <c r="J34">
        <f>IF(OR(N(Database!$S34)&lt;=0,N(Screener!$D$14)&lt;=0),0,MAX(0,1-ABS(LOG10(Database!$S34/Screener!$D$14))/0.6))</f>
        <v/>
      </c>
      <c r="K34">
        <f>IF(Database!$B34=Screener!$B$5,-999999,IF(ISNUMBER(SEARCH(","&amp;Database!$A34&amp;",",","&amp;SUBSTITUTE(Screener!$B$19," ","")&amp;",")),2000000,IF(IF(OR(Screener!$B$18="All",AND(Screener!$B$18="With A-share",(Database!$AZ34="Y")),AND(Screener!$B$18="Without A-share",NOT((Database!$AZ34="Y")))),1,0)=0,-999999,IF(Screener!$B$16="cornerstone overlap first",H34*100000,IF(Screener!$B$16="demand-similar first",J34*100000,0))+W_SUB*B34+W_SEC*C34*(1-B34)+W_SIZE*D34+W_PROF*E34+W_AH*F34+W_REC*G34+W_CS*H34+W_PE*I34)))+ROW()/1000000</f>
        <v/>
      </c>
      <c r="AA34">
        <f>Database!B23</f>
        <v/>
      </c>
      <c r="AB34">
        <f>Database!D23</f>
        <v/>
      </c>
      <c r="AC34">
        <f>Database!E23</f>
        <v/>
      </c>
      <c r="AD34">
        <f>Database!I23</f>
        <v/>
      </c>
      <c r="AE34">
        <f>Database!AU23</f>
        <v/>
      </c>
      <c r="AF34">
        <f>Database!AZ23</f>
        <v/>
      </c>
      <c r="AG34">
        <f>Database!H23</f>
        <v/>
      </c>
      <c r="AH34">
        <f>Database!AV23</f>
        <v/>
      </c>
    </row>
    <row r="35">
      <c r="A35">
        <f>Database!B35</f>
        <v/>
      </c>
      <c r="B35">
        <f>IF(AND(Screener!$D$8&lt;&gt;"",Database!$E35=Screener!$D$8),1,0)</f>
        <v/>
      </c>
      <c r="C35">
        <f>IF(AND(Screener!$D$7&lt;&gt;"",Database!$D35=Screener!$D$7),1,0)</f>
        <v/>
      </c>
      <c r="D35">
        <f>IF(OR(N(Database!$I35)&lt;=0,N(Screener!$D$9)&lt;=0),0,MAX(0,1-ABS(LOG10(N(Database!$I35)/Screener!$D$9))/W_SIZEHW))</f>
        <v/>
      </c>
      <c r="E35">
        <f>IF(OR(Database!$AU35="",Screener!$D$10=""),0,IF(Database!$AU35=Screener!$D$10,1,0))</f>
        <v/>
      </c>
      <c r="F35">
        <f>IF(OR(Database!$AZ35="",Screener!$D$11=""),0,IF(Database!$AZ35=Screener!$D$11,1,0))</f>
        <v/>
      </c>
      <c r="G35">
        <f>IF(OR(Database!$H35="",N(Screener!$D$12)&lt;=0),0,MAX(0,1-(N(Screener!$D$12)-Database!$H35)/W_RECD))</f>
        <v/>
      </c>
      <c r="H35">
        <f>IF($U$1="",0,N(ISNUMBER(SEARCH($U$1,Database!$X35&amp;""))))+IF($V$1="",0,N(ISNUMBER(SEARCH($V$1,Database!$X35&amp;""))))+IF($W$1="",0,N(ISNUMBER(SEARCH($W$1,Database!$X35&amp;""))))+IF($X$1="",0,N(ISNUMBER(SEARCH($X$1,Database!$X35&amp;""))))+IF($Y$1="",0,N(ISNUMBER(SEARCH($Y$1,Database!$X35&amp;""))))+IF(Screener!$B$17="",0,N(ISNUMBER(SEARCH(LOWER(Screener!$B$17),Database!$X35&amp;""))))</f>
        <v/>
      </c>
      <c r="I35">
        <f>IF(OR(N(Database!$AV35)&lt;=0,N(Screener!$D$13)&lt;=0),0,MAX(0,1-ABS(LOG10(N(Database!$AV35)/Screener!$D$13))/W_PEHW))</f>
        <v/>
      </c>
      <c r="J35">
        <f>IF(OR(N(Database!$S35)&lt;=0,N(Screener!$D$14)&lt;=0),0,MAX(0,1-ABS(LOG10(Database!$S35/Screener!$D$14))/0.6))</f>
        <v/>
      </c>
      <c r="K35">
        <f>IF(Database!$B35=Screener!$B$5,-999999,IF(ISNUMBER(SEARCH(","&amp;Database!$A35&amp;",",","&amp;SUBSTITUTE(Screener!$B$19," ","")&amp;",")),2000000,IF(IF(OR(Screener!$B$18="All",AND(Screener!$B$18="With A-share",(Database!$AZ35="Y")),AND(Screener!$B$18="Without A-share",NOT((Database!$AZ35="Y")))),1,0)=0,-999999,IF(Screener!$B$16="cornerstone overlap first",H35*100000,IF(Screener!$B$16="demand-similar first",J35*100000,0))+W_SUB*B35+W_SEC*C35*(1-B35)+W_SIZE*D35+W_PROF*E35+W_AH*F35+W_REC*G35+W_CS*H35+W_PE*I35)))+ROW()/1000000</f>
        <v/>
      </c>
      <c r="AA35">
        <f>Database!B24</f>
        <v/>
      </c>
      <c r="AB35">
        <f>Database!D24</f>
        <v/>
      </c>
      <c r="AC35">
        <f>Database!E24</f>
        <v/>
      </c>
      <c r="AD35">
        <f>Database!I24</f>
        <v/>
      </c>
      <c r="AE35">
        <f>Database!AU24</f>
        <v/>
      </c>
      <c r="AF35">
        <f>Database!AZ24</f>
        <v/>
      </c>
      <c r="AG35">
        <f>Database!H24</f>
        <v/>
      </c>
      <c r="AH35">
        <f>Database!AV24</f>
        <v/>
      </c>
    </row>
    <row r="36">
      <c r="A36">
        <f>Database!B36</f>
        <v/>
      </c>
      <c r="B36">
        <f>IF(AND(Screener!$D$8&lt;&gt;"",Database!$E36=Screener!$D$8),1,0)</f>
        <v/>
      </c>
      <c r="C36">
        <f>IF(AND(Screener!$D$7&lt;&gt;"",Database!$D36=Screener!$D$7),1,0)</f>
        <v/>
      </c>
      <c r="D36">
        <f>IF(OR(N(Database!$I36)&lt;=0,N(Screener!$D$9)&lt;=0),0,MAX(0,1-ABS(LOG10(N(Database!$I36)/Screener!$D$9))/W_SIZEHW))</f>
        <v/>
      </c>
      <c r="E36">
        <f>IF(OR(Database!$AU36="",Screener!$D$10=""),0,IF(Database!$AU36=Screener!$D$10,1,0))</f>
        <v/>
      </c>
      <c r="F36">
        <f>IF(OR(Database!$AZ36="",Screener!$D$11=""),0,IF(Database!$AZ36=Screener!$D$11,1,0))</f>
        <v/>
      </c>
      <c r="G36">
        <f>IF(OR(Database!$H36="",N(Screener!$D$12)&lt;=0),0,MAX(0,1-(N(Screener!$D$12)-Database!$H36)/W_RECD))</f>
        <v/>
      </c>
      <c r="H36">
        <f>IF($U$1="",0,N(ISNUMBER(SEARCH($U$1,Database!$X36&amp;""))))+IF($V$1="",0,N(ISNUMBER(SEARCH($V$1,Database!$X36&amp;""))))+IF($W$1="",0,N(ISNUMBER(SEARCH($W$1,Database!$X36&amp;""))))+IF($X$1="",0,N(ISNUMBER(SEARCH($X$1,Database!$X36&amp;""))))+IF($Y$1="",0,N(ISNUMBER(SEARCH($Y$1,Database!$X36&amp;""))))+IF(Screener!$B$17="",0,N(ISNUMBER(SEARCH(LOWER(Screener!$B$17),Database!$X36&amp;""))))</f>
        <v/>
      </c>
      <c r="I36">
        <f>IF(OR(N(Database!$AV36)&lt;=0,N(Screener!$D$13)&lt;=0),0,MAX(0,1-ABS(LOG10(N(Database!$AV36)/Screener!$D$13))/W_PEHW))</f>
        <v/>
      </c>
      <c r="J36">
        <f>IF(OR(N(Database!$S36)&lt;=0,N(Screener!$D$14)&lt;=0),0,MAX(0,1-ABS(LOG10(Database!$S36/Screener!$D$14))/0.6))</f>
        <v/>
      </c>
      <c r="K36">
        <f>IF(Database!$B36=Screener!$B$5,-999999,IF(ISNUMBER(SEARCH(","&amp;Database!$A36&amp;",",","&amp;SUBSTITUTE(Screener!$B$19," ","")&amp;",")),2000000,IF(IF(OR(Screener!$B$18="All",AND(Screener!$B$18="With A-share",(Database!$AZ36="Y")),AND(Screener!$B$18="Without A-share",NOT((Database!$AZ36="Y")))),1,0)=0,-999999,IF(Screener!$B$16="cornerstone overlap first",H36*100000,IF(Screener!$B$16="demand-similar first",J36*100000,0))+W_SUB*B36+W_SEC*C36*(1-B36)+W_SIZE*D36+W_PROF*E36+W_AH*F36+W_REC*G36+W_CS*H36+W_PE*I36)))+ROW()/1000000</f>
        <v/>
      </c>
      <c r="AA36">
        <f>Database!B25</f>
        <v/>
      </c>
      <c r="AB36">
        <f>Database!D25</f>
        <v/>
      </c>
      <c r="AC36">
        <f>Database!E25</f>
        <v/>
      </c>
      <c r="AD36">
        <f>Database!I25</f>
        <v/>
      </c>
      <c r="AE36">
        <f>Database!AU25</f>
        <v/>
      </c>
      <c r="AF36">
        <f>Database!AZ25</f>
        <v/>
      </c>
      <c r="AG36">
        <f>Database!H25</f>
        <v/>
      </c>
      <c r="AH36">
        <f>Database!AV25</f>
        <v/>
      </c>
    </row>
    <row r="37">
      <c r="A37">
        <f>Database!B37</f>
        <v/>
      </c>
      <c r="B37">
        <f>IF(AND(Screener!$D$8&lt;&gt;"",Database!$E37=Screener!$D$8),1,0)</f>
        <v/>
      </c>
      <c r="C37">
        <f>IF(AND(Screener!$D$7&lt;&gt;"",Database!$D37=Screener!$D$7),1,0)</f>
        <v/>
      </c>
      <c r="D37">
        <f>IF(OR(N(Database!$I37)&lt;=0,N(Screener!$D$9)&lt;=0),0,MAX(0,1-ABS(LOG10(N(Database!$I37)/Screener!$D$9))/W_SIZEHW))</f>
        <v/>
      </c>
      <c r="E37">
        <f>IF(OR(Database!$AU37="",Screener!$D$10=""),0,IF(Database!$AU37=Screener!$D$10,1,0))</f>
        <v/>
      </c>
      <c r="F37">
        <f>IF(OR(Database!$AZ37="",Screener!$D$11=""),0,IF(Database!$AZ37=Screener!$D$11,1,0))</f>
        <v/>
      </c>
      <c r="G37">
        <f>IF(OR(Database!$H37="",N(Screener!$D$12)&lt;=0),0,MAX(0,1-(N(Screener!$D$12)-Database!$H37)/W_RECD))</f>
        <v/>
      </c>
      <c r="H37">
        <f>IF($U$1="",0,N(ISNUMBER(SEARCH($U$1,Database!$X37&amp;""))))+IF($V$1="",0,N(ISNUMBER(SEARCH($V$1,Database!$X37&amp;""))))+IF($W$1="",0,N(ISNUMBER(SEARCH($W$1,Database!$X37&amp;""))))+IF($X$1="",0,N(ISNUMBER(SEARCH($X$1,Database!$X37&amp;""))))+IF($Y$1="",0,N(ISNUMBER(SEARCH($Y$1,Database!$X37&amp;""))))+IF(Screener!$B$17="",0,N(ISNUMBER(SEARCH(LOWER(Screener!$B$17),Database!$X37&amp;""))))</f>
        <v/>
      </c>
      <c r="I37">
        <f>IF(OR(N(Database!$AV37)&lt;=0,N(Screener!$D$13)&lt;=0),0,MAX(0,1-ABS(LOG10(N(Database!$AV37)/Screener!$D$13))/W_PEHW))</f>
        <v/>
      </c>
      <c r="J37">
        <f>IF(OR(N(Database!$S37)&lt;=0,N(Screener!$D$14)&lt;=0),0,MAX(0,1-ABS(LOG10(Database!$S37/Screener!$D$14))/0.6))</f>
        <v/>
      </c>
      <c r="K37">
        <f>IF(Database!$B37=Screener!$B$5,-999999,IF(ISNUMBER(SEARCH(","&amp;Database!$A37&amp;",",","&amp;SUBSTITUTE(Screener!$B$19," ","")&amp;",")),2000000,IF(IF(OR(Screener!$B$18="All",AND(Screener!$B$18="With A-share",(Database!$AZ37="Y")),AND(Screener!$B$18="Without A-share",NOT((Database!$AZ37="Y")))),1,0)=0,-999999,IF(Screener!$B$16="cornerstone overlap first",H37*100000,IF(Screener!$B$16="demand-similar first",J37*100000,0))+W_SUB*B37+W_SEC*C37*(1-B37)+W_SIZE*D37+W_PROF*E37+W_AH*F37+W_REC*G37+W_CS*H37+W_PE*I37)))+ROW()/1000000</f>
        <v/>
      </c>
      <c r="AA37">
        <f>Database!B26</f>
        <v/>
      </c>
      <c r="AB37">
        <f>Database!D26</f>
        <v/>
      </c>
      <c r="AC37">
        <f>Database!E26</f>
        <v/>
      </c>
      <c r="AD37">
        <f>Database!I26</f>
        <v/>
      </c>
      <c r="AE37">
        <f>Database!AU26</f>
        <v/>
      </c>
      <c r="AF37">
        <f>Database!AZ26</f>
        <v/>
      </c>
      <c r="AG37">
        <f>Database!H26</f>
        <v/>
      </c>
      <c r="AH37">
        <f>Database!AV26</f>
        <v/>
      </c>
    </row>
    <row r="38">
      <c r="A38">
        <f>Database!B38</f>
        <v/>
      </c>
      <c r="B38">
        <f>IF(AND(Screener!$D$8&lt;&gt;"",Database!$E38=Screener!$D$8),1,0)</f>
        <v/>
      </c>
      <c r="C38">
        <f>IF(AND(Screener!$D$7&lt;&gt;"",Database!$D38=Screener!$D$7),1,0)</f>
        <v/>
      </c>
      <c r="D38">
        <f>IF(OR(N(Database!$I38)&lt;=0,N(Screener!$D$9)&lt;=0),0,MAX(0,1-ABS(LOG10(N(Database!$I38)/Screener!$D$9))/W_SIZEHW))</f>
        <v/>
      </c>
      <c r="E38">
        <f>IF(OR(Database!$AU38="",Screener!$D$10=""),0,IF(Database!$AU38=Screener!$D$10,1,0))</f>
        <v/>
      </c>
      <c r="F38">
        <f>IF(OR(Database!$AZ38="",Screener!$D$11=""),0,IF(Database!$AZ38=Screener!$D$11,1,0))</f>
        <v/>
      </c>
      <c r="G38">
        <f>IF(OR(Database!$H38="",N(Screener!$D$12)&lt;=0),0,MAX(0,1-(N(Screener!$D$12)-Database!$H38)/W_RECD))</f>
        <v/>
      </c>
      <c r="H38">
        <f>IF($U$1="",0,N(ISNUMBER(SEARCH($U$1,Database!$X38&amp;""))))+IF($V$1="",0,N(ISNUMBER(SEARCH($V$1,Database!$X38&amp;""))))+IF($W$1="",0,N(ISNUMBER(SEARCH($W$1,Database!$X38&amp;""))))+IF($X$1="",0,N(ISNUMBER(SEARCH($X$1,Database!$X38&amp;""))))+IF($Y$1="",0,N(ISNUMBER(SEARCH($Y$1,Database!$X38&amp;""))))+IF(Screener!$B$17="",0,N(ISNUMBER(SEARCH(LOWER(Screener!$B$17),Database!$X38&amp;""))))</f>
        <v/>
      </c>
      <c r="I38">
        <f>IF(OR(N(Database!$AV38)&lt;=0,N(Screener!$D$13)&lt;=0),0,MAX(0,1-ABS(LOG10(N(Database!$AV38)/Screener!$D$13))/W_PEHW))</f>
        <v/>
      </c>
      <c r="J38">
        <f>IF(OR(N(Database!$S38)&lt;=0,N(Screener!$D$14)&lt;=0),0,MAX(0,1-ABS(LOG10(Database!$S38/Screener!$D$14))/0.6))</f>
        <v/>
      </c>
      <c r="K38">
        <f>IF(Database!$B38=Screener!$B$5,-999999,IF(ISNUMBER(SEARCH(","&amp;Database!$A38&amp;",",","&amp;SUBSTITUTE(Screener!$B$19," ","")&amp;",")),2000000,IF(IF(OR(Screener!$B$18="All",AND(Screener!$B$18="With A-share",(Database!$AZ38="Y")),AND(Screener!$B$18="Without A-share",NOT((Database!$AZ38="Y")))),1,0)=0,-999999,IF(Screener!$B$16="cornerstone overlap first",H38*100000,IF(Screener!$B$16="demand-similar first",J38*100000,0))+W_SUB*B38+W_SEC*C38*(1-B38)+W_SIZE*D38+W_PROF*E38+W_AH*F38+W_REC*G38+W_CS*H38+W_PE*I38)))+ROW()/1000000</f>
        <v/>
      </c>
      <c r="AA38">
        <f>Database!B27</f>
        <v/>
      </c>
      <c r="AB38">
        <f>Database!D27</f>
        <v/>
      </c>
      <c r="AC38">
        <f>Database!E27</f>
        <v/>
      </c>
      <c r="AD38">
        <f>Database!I27</f>
        <v/>
      </c>
      <c r="AE38">
        <f>Database!AU27</f>
        <v/>
      </c>
      <c r="AF38">
        <f>Database!AZ27</f>
        <v/>
      </c>
      <c r="AG38">
        <f>Database!H27</f>
        <v/>
      </c>
      <c r="AH38">
        <f>Database!AV27</f>
        <v/>
      </c>
    </row>
    <row r="39">
      <c r="A39">
        <f>Database!B39</f>
        <v/>
      </c>
      <c r="B39">
        <f>IF(AND(Screener!$D$8&lt;&gt;"",Database!$E39=Screener!$D$8),1,0)</f>
        <v/>
      </c>
      <c r="C39">
        <f>IF(AND(Screener!$D$7&lt;&gt;"",Database!$D39=Screener!$D$7),1,0)</f>
        <v/>
      </c>
      <c r="D39">
        <f>IF(OR(N(Database!$I39)&lt;=0,N(Screener!$D$9)&lt;=0),0,MAX(0,1-ABS(LOG10(N(Database!$I39)/Screener!$D$9))/W_SIZEHW))</f>
        <v/>
      </c>
      <c r="E39">
        <f>IF(OR(Database!$AU39="",Screener!$D$10=""),0,IF(Database!$AU39=Screener!$D$10,1,0))</f>
        <v/>
      </c>
      <c r="F39">
        <f>IF(OR(Database!$AZ39="",Screener!$D$11=""),0,IF(Database!$AZ39=Screener!$D$11,1,0))</f>
        <v/>
      </c>
      <c r="G39">
        <f>IF(OR(Database!$H39="",N(Screener!$D$12)&lt;=0),0,MAX(0,1-(N(Screener!$D$12)-Database!$H39)/W_RECD))</f>
        <v/>
      </c>
      <c r="H39">
        <f>IF($U$1="",0,N(ISNUMBER(SEARCH($U$1,Database!$X39&amp;""))))+IF($V$1="",0,N(ISNUMBER(SEARCH($V$1,Database!$X39&amp;""))))+IF($W$1="",0,N(ISNUMBER(SEARCH($W$1,Database!$X39&amp;""))))+IF($X$1="",0,N(ISNUMBER(SEARCH($X$1,Database!$X39&amp;""))))+IF($Y$1="",0,N(ISNUMBER(SEARCH($Y$1,Database!$X39&amp;""))))+IF(Screener!$B$17="",0,N(ISNUMBER(SEARCH(LOWER(Screener!$B$17),Database!$X39&amp;""))))</f>
        <v/>
      </c>
      <c r="I39">
        <f>IF(OR(N(Database!$AV39)&lt;=0,N(Screener!$D$13)&lt;=0),0,MAX(0,1-ABS(LOG10(N(Database!$AV39)/Screener!$D$13))/W_PEHW))</f>
        <v/>
      </c>
      <c r="J39">
        <f>IF(OR(N(Database!$S39)&lt;=0,N(Screener!$D$14)&lt;=0),0,MAX(0,1-ABS(LOG10(Database!$S39/Screener!$D$14))/0.6))</f>
        <v/>
      </c>
      <c r="K39">
        <f>IF(Database!$B39=Screener!$B$5,-999999,IF(ISNUMBER(SEARCH(","&amp;Database!$A39&amp;",",","&amp;SUBSTITUTE(Screener!$B$19," ","")&amp;",")),2000000,IF(IF(OR(Screener!$B$18="All",AND(Screener!$B$18="With A-share",(Database!$AZ39="Y")),AND(Screener!$B$18="Without A-share",NOT((Database!$AZ39="Y")))),1,0)=0,-999999,IF(Screener!$B$16="cornerstone overlap first",H39*100000,IF(Screener!$B$16="demand-similar first",J39*100000,0))+W_SUB*B39+W_SEC*C39*(1-B39)+W_SIZE*D39+W_PROF*E39+W_AH*F39+W_REC*G39+W_CS*H39+W_PE*I39)))+ROW()/1000000</f>
        <v/>
      </c>
      <c r="AA39">
        <f>Database!B28</f>
        <v/>
      </c>
      <c r="AB39">
        <f>Database!D28</f>
        <v/>
      </c>
      <c r="AC39">
        <f>Database!E28</f>
        <v/>
      </c>
      <c r="AD39">
        <f>Database!I28</f>
        <v/>
      </c>
      <c r="AE39">
        <f>Database!AU28</f>
        <v/>
      </c>
      <c r="AF39">
        <f>Database!AZ28</f>
        <v/>
      </c>
      <c r="AG39">
        <f>Database!H28</f>
        <v/>
      </c>
      <c r="AH39">
        <f>Database!AV28</f>
        <v/>
      </c>
    </row>
    <row r="40">
      <c r="A40">
        <f>Database!B40</f>
        <v/>
      </c>
      <c r="B40">
        <f>IF(AND(Screener!$D$8&lt;&gt;"",Database!$E40=Screener!$D$8),1,0)</f>
        <v/>
      </c>
      <c r="C40">
        <f>IF(AND(Screener!$D$7&lt;&gt;"",Database!$D40=Screener!$D$7),1,0)</f>
        <v/>
      </c>
      <c r="D40">
        <f>IF(OR(N(Database!$I40)&lt;=0,N(Screener!$D$9)&lt;=0),0,MAX(0,1-ABS(LOG10(N(Database!$I40)/Screener!$D$9))/W_SIZEHW))</f>
        <v/>
      </c>
      <c r="E40">
        <f>IF(OR(Database!$AU40="",Screener!$D$10=""),0,IF(Database!$AU40=Screener!$D$10,1,0))</f>
        <v/>
      </c>
      <c r="F40">
        <f>IF(OR(Database!$AZ40="",Screener!$D$11=""),0,IF(Database!$AZ40=Screener!$D$11,1,0))</f>
        <v/>
      </c>
      <c r="G40">
        <f>IF(OR(Database!$H40="",N(Screener!$D$12)&lt;=0),0,MAX(0,1-(N(Screener!$D$12)-Database!$H40)/W_RECD))</f>
        <v/>
      </c>
      <c r="H40">
        <f>IF($U$1="",0,N(ISNUMBER(SEARCH($U$1,Database!$X40&amp;""))))+IF($V$1="",0,N(ISNUMBER(SEARCH($V$1,Database!$X40&amp;""))))+IF($W$1="",0,N(ISNUMBER(SEARCH($W$1,Database!$X40&amp;""))))+IF($X$1="",0,N(ISNUMBER(SEARCH($X$1,Database!$X40&amp;""))))+IF($Y$1="",0,N(ISNUMBER(SEARCH($Y$1,Database!$X40&amp;""))))+IF(Screener!$B$17="",0,N(ISNUMBER(SEARCH(LOWER(Screener!$B$17),Database!$X40&amp;""))))</f>
        <v/>
      </c>
      <c r="I40">
        <f>IF(OR(N(Database!$AV40)&lt;=0,N(Screener!$D$13)&lt;=0),0,MAX(0,1-ABS(LOG10(N(Database!$AV40)/Screener!$D$13))/W_PEHW))</f>
        <v/>
      </c>
      <c r="J40">
        <f>IF(OR(N(Database!$S40)&lt;=0,N(Screener!$D$14)&lt;=0),0,MAX(0,1-ABS(LOG10(Database!$S40/Screener!$D$14))/0.6))</f>
        <v/>
      </c>
      <c r="K40">
        <f>IF(Database!$B40=Screener!$B$5,-999999,IF(ISNUMBER(SEARCH(","&amp;Database!$A40&amp;",",","&amp;SUBSTITUTE(Screener!$B$19," ","")&amp;",")),2000000,IF(IF(OR(Screener!$B$18="All",AND(Screener!$B$18="With A-share",(Database!$AZ40="Y")),AND(Screener!$B$18="Without A-share",NOT((Database!$AZ40="Y")))),1,0)=0,-999999,IF(Screener!$B$16="cornerstone overlap first",H40*100000,IF(Screener!$B$16="demand-similar first",J40*100000,0))+W_SUB*B40+W_SEC*C40*(1-B40)+W_SIZE*D40+W_PROF*E40+W_AH*F40+W_REC*G40+W_CS*H40+W_PE*I40)))+ROW()/1000000</f>
        <v/>
      </c>
      <c r="AA40">
        <f>Database!B29</f>
        <v/>
      </c>
      <c r="AB40">
        <f>Database!D29</f>
        <v/>
      </c>
      <c r="AC40">
        <f>Database!E29</f>
        <v/>
      </c>
      <c r="AD40">
        <f>Database!I29</f>
        <v/>
      </c>
      <c r="AE40">
        <f>Database!AU29</f>
        <v/>
      </c>
      <c r="AF40">
        <f>Database!AZ29</f>
        <v/>
      </c>
      <c r="AG40">
        <f>Database!H29</f>
        <v/>
      </c>
      <c r="AH40">
        <f>Database!AV29</f>
        <v/>
      </c>
    </row>
    <row r="41">
      <c r="A41">
        <f>Database!B41</f>
        <v/>
      </c>
      <c r="B41">
        <f>IF(AND(Screener!$D$8&lt;&gt;"",Database!$E41=Screener!$D$8),1,0)</f>
        <v/>
      </c>
      <c r="C41">
        <f>IF(AND(Screener!$D$7&lt;&gt;"",Database!$D41=Screener!$D$7),1,0)</f>
        <v/>
      </c>
      <c r="D41">
        <f>IF(OR(N(Database!$I41)&lt;=0,N(Screener!$D$9)&lt;=0),0,MAX(0,1-ABS(LOG10(N(Database!$I41)/Screener!$D$9))/W_SIZEHW))</f>
        <v/>
      </c>
      <c r="E41">
        <f>IF(OR(Database!$AU41="",Screener!$D$10=""),0,IF(Database!$AU41=Screener!$D$10,1,0))</f>
        <v/>
      </c>
      <c r="F41">
        <f>IF(OR(Database!$AZ41="",Screener!$D$11=""),0,IF(Database!$AZ41=Screener!$D$11,1,0))</f>
        <v/>
      </c>
      <c r="G41">
        <f>IF(OR(Database!$H41="",N(Screener!$D$12)&lt;=0),0,MAX(0,1-(N(Screener!$D$12)-Database!$H41)/W_RECD))</f>
        <v/>
      </c>
      <c r="H41">
        <f>IF($U$1="",0,N(ISNUMBER(SEARCH($U$1,Database!$X41&amp;""))))+IF($V$1="",0,N(ISNUMBER(SEARCH($V$1,Database!$X41&amp;""))))+IF($W$1="",0,N(ISNUMBER(SEARCH($W$1,Database!$X41&amp;""))))+IF($X$1="",0,N(ISNUMBER(SEARCH($X$1,Database!$X41&amp;""))))+IF($Y$1="",0,N(ISNUMBER(SEARCH($Y$1,Database!$X41&amp;""))))+IF(Screener!$B$17="",0,N(ISNUMBER(SEARCH(LOWER(Screener!$B$17),Database!$X41&amp;""))))</f>
        <v/>
      </c>
      <c r="I41">
        <f>IF(OR(N(Database!$AV41)&lt;=0,N(Screener!$D$13)&lt;=0),0,MAX(0,1-ABS(LOG10(N(Database!$AV41)/Screener!$D$13))/W_PEHW))</f>
        <v/>
      </c>
      <c r="J41">
        <f>IF(OR(N(Database!$S41)&lt;=0,N(Screener!$D$14)&lt;=0),0,MAX(0,1-ABS(LOG10(Database!$S41/Screener!$D$14))/0.6))</f>
        <v/>
      </c>
      <c r="K41">
        <f>IF(Database!$B41=Screener!$B$5,-999999,IF(ISNUMBER(SEARCH(","&amp;Database!$A41&amp;",",","&amp;SUBSTITUTE(Screener!$B$19," ","")&amp;",")),2000000,IF(IF(OR(Screener!$B$18="All",AND(Screener!$B$18="With A-share",(Database!$AZ41="Y")),AND(Screener!$B$18="Without A-share",NOT((Database!$AZ41="Y")))),1,0)=0,-999999,IF(Screener!$B$16="cornerstone overlap first",H41*100000,IF(Screener!$B$16="demand-similar first",J41*100000,0))+W_SUB*B41+W_SEC*C41*(1-B41)+W_SIZE*D41+W_PROF*E41+W_AH*F41+W_REC*G41+W_CS*H41+W_PE*I41)))+ROW()/1000000</f>
        <v/>
      </c>
      <c r="AA41">
        <f>Database!B30</f>
        <v/>
      </c>
      <c r="AB41">
        <f>Database!D30</f>
        <v/>
      </c>
      <c r="AC41">
        <f>Database!E30</f>
        <v/>
      </c>
      <c r="AD41">
        <f>Database!I30</f>
        <v/>
      </c>
      <c r="AE41">
        <f>Database!AU30</f>
        <v/>
      </c>
      <c r="AF41">
        <f>Database!AZ30</f>
        <v/>
      </c>
      <c r="AG41">
        <f>Database!H30</f>
        <v/>
      </c>
      <c r="AH41">
        <f>Database!AV30</f>
        <v/>
      </c>
    </row>
    <row r="42">
      <c r="A42">
        <f>Database!B42</f>
        <v/>
      </c>
      <c r="B42">
        <f>IF(AND(Screener!$D$8&lt;&gt;"",Database!$E42=Screener!$D$8),1,0)</f>
        <v/>
      </c>
      <c r="C42">
        <f>IF(AND(Screener!$D$7&lt;&gt;"",Database!$D42=Screener!$D$7),1,0)</f>
        <v/>
      </c>
      <c r="D42">
        <f>IF(OR(N(Database!$I42)&lt;=0,N(Screener!$D$9)&lt;=0),0,MAX(0,1-ABS(LOG10(N(Database!$I42)/Screener!$D$9))/W_SIZEHW))</f>
        <v/>
      </c>
      <c r="E42">
        <f>IF(OR(Database!$AU42="",Screener!$D$10=""),0,IF(Database!$AU42=Screener!$D$10,1,0))</f>
        <v/>
      </c>
      <c r="F42">
        <f>IF(OR(Database!$AZ42="",Screener!$D$11=""),0,IF(Database!$AZ42=Screener!$D$11,1,0))</f>
        <v/>
      </c>
      <c r="G42">
        <f>IF(OR(Database!$H42="",N(Screener!$D$12)&lt;=0),0,MAX(0,1-(N(Screener!$D$12)-Database!$H42)/W_RECD))</f>
        <v/>
      </c>
      <c r="H42">
        <f>IF($U$1="",0,N(ISNUMBER(SEARCH($U$1,Database!$X42&amp;""))))+IF($V$1="",0,N(ISNUMBER(SEARCH($V$1,Database!$X42&amp;""))))+IF($W$1="",0,N(ISNUMBER(SEARCH($W$1,Database!$X42&amp;""))))+IF($X$1="",0,N(ISNUMBER(SEARCH($X$1,Database!$X42&amp;""))))+IF($Y$1="",0,N(ISNUMBER(SEARCH($Y$1,Database!$X42&amp;""))))+IF(Screener!$B$17="",0,N(ISNUMBER(SEARCH(LOWER(Screener!$B$17),Database!$X42&amp;""))))</f>
        <v/>
      </c>
      <c r="I42">
        <f>IF(OR(N(Database!$AV42)&lt;=0,N(Screener!$D$13)&lt;=0),0,MAX(0,1-ABS(LOG10(N(Database!$AV42)/Screener!$D$13))/W_PEHW))</f>
        <v/>
      </c>
      <c r="J42">
        <f>IF(OR(N(Database!$S42)&lt;=0,N(Screener!$D$14)&lt;=0),0,MAX(0,1-ABS(LOG10(Database!$S42/Screener!$D$14))/0.6))</f>
        <v/>
      </c>
      <c r="K42">
        <f>IF(Database!$B42=Screener!$B$5,-999999,IF(ISNUMBER(SEARCH(","&amp;Database!$A42&amp;",",","&amp;SUBSTITUTE(Screener!$B$19," ","")&amp;",")),2000000,IF(IF(OR(Screener!$B$18="All",AND(Screener!$B$18="With A-share",(Database!$AZ42="Y")),AND(Screener!$B$18="Without A-share",NOT((Database!$AZ42="Y")))),1,0)=0,-999999,IF(Screener!$B$16="cornerstone overlap first",H42*100000,IF(Screener!$B$16="demand-similar first",J42*100000,0))+W_SUB*B42+W_SEC*C42*(1-B42)+W_SIZE*D42+W_PROF*E42+W_AH*F42+W_REC*G42+W_CS*H42+W_PE*I42)))+ROW()/1000000</f>
        <v/>
      </c>
      <c r="AA42">
        <f>Database!B31</f>
        <v/>
      </c>
      <c r="AB42">
        <f>Database!D31</f>
        <v/>
      </c>
      <c r="AC42">
        <f>Database!E31</f>
        <v/>
      </c>
      <c r="AD42">
        <f>Database!I31</f>
        <v/>
      </c>
      <c r="AE42">
        <f>Database!AU31</f>
        <v/>
      </c>
      <c r="AF42">
        <f>Database!AZ31</f>
        <v/>
      </c>
      <c r="AG42">
        <f>Database!H31</f>
        <v/>
      </c>
      <c r="AH42">
        <f>Database!AV31</f>
        <v/>
      </c>
    </row>
    <row r="43">
      <c r="A43">
        <f>Database!B43</f>
        <v/>
      </c>
      <c r="B43">
        <f>IF(AND(Screener!$D$8&lt;&gt;"",Database!$E43=Screener!$D$8),1,0)</f>
        <v/>
      </c>
      <c r="C43">
        <f>IF(AND(Screener!$D$7&lt;&gt;"",Database!$D43=Screener!$D$7),1,0)</f>
        <v/>
      </c>
      <c r="D43">
        <f>IF(OR(N(Database!$I43)&lt;=0,N(Screener!$D$9)&lt;=0),0,MAX(0,1-ABS(LOG10(N(Database!$I43)/Screener!$D$9))/W_SIZEHW))</f>
        <v/>
      </c>
      <c r="E43">
        <f>IF(OR(Database!$AU43="",Screener!$D$10=""),0,IF(Database!$AU43=Screener!$D$10,1,0))</f>
        <v/>
      </c>
      <c r="F43">
        <f>IF(OR(Database!$AZ43="",Screener!$D$11=""),0,IF(Database!$AZ43=Screener!$D$11,1,0))</f>
        <v/>
      </c>
      <c r="G43">
        <f>IF(OR(Database!$H43="",N(Screener!$D$12)&lt;=0),0,MAX(0,1-(N(Screener!$D$12)-Database!$H43)/W_RECD))</f>
        <v/>
      </c>
      <c r="H43">
        <f>IF($U$1="",0,N(ISNUMBER(SEARCH($U$1,Database!$X43&amp;""))))+IF($V$1="",0,N(ISNUMBER(SEARCH($V$1,Database!$X43&amp;""))))+IF($W$1="",0,N(ISNUMBER(SEARCH($W$1,Database!$X43&amp;""))))+IF($X$1="",0,N(ISNUMBER(SEARCH($X$1,Database!$X43&amp;""))))+IF($Y$1="",0,N(ISNUMBER(SEARCH($Y$1,Database!$X43&amp;""))))+IF(Screener!$B$17="",0,N(ISNUMBER(SEARCH(LOWER(Screener!$B$17),Database!$X43&amp;""))))</f>
        <v/>
      </c>
      <c r="I43">
        <f>IF(OR(N(Database!$AV43)&lt;=0,N(Screener!$D$13)&lt;=0),0,MAX(0,1-ABS(LOG10(N(Database!$AV43)/Screener!$D$13))/W_PEHW))</f>
        <v/>
      </c>
      <c r="J43">
        <f>IF(OR(N(Database!$S43)&lt;=0,N(Screener!$D$14)&lt;=0),0,MAX(0,1-ABS(LOG10(Database!$S43/Screener!$D$14))/0.6))</f>
        <v/>
      </c>
      <c r="K43">
        <f>IF(Database!$B43=Screener!$B$5,-999999,IF(ISNUMBER(SEARCH(","&amp;Database!$A43&amp;",",","&amp;SUBSTITUTE(Screener!$B$19," ","")&amp;",")),2000000,IF(IF(OR(Screener!$B$18="All",AND(Screener!$B$18="With A-share",(Database!$AZ43="Y")),AND(Screener!$B$18="Without A-share",NOT((Database!$AZ43="Y")))),1,0)=0,-999999,IF(Screener!$B$16="cornerstone overlap first",H43*100000,IF(Screener!$B$16="demand-similar first",J43*100000,0))+W_SUB*B43+W_SEC*C43*(1-B43)+W_SIZE*D43+W_PROF*E43+W_AH*F43+W_REC*G43+W_CS*H43+W_PE*I43)))+ROW()/1000000</f>
        <v/>
      </c>
      <c r="AA43">
        <f>Database!B32</f>
        <v/>
      </c>
      <c r="AB43">
        <f>Database!D32</f>
        <v/>
      </c>
      <c r="AC43">
        <f>Database!E32</f>
        <v/>
      </c>
      <c r="AD43">
        <f>Database!I32</f>
        <v/>
      </c>
      <c r="AE43">
        <f>Database!AU32</f>
        <v/>
      </c>
      <c r="AF43">
        <f>Database!AZ32</f>
        <v/>
      </c>
      <c r="AG43">
        <f>Database!H32</f>
        <v/>
      </c>
      <c r="AH43">
        <f>Database!AV32</f>
        <v/>
      </c>
    </row>
    <row r="44">
      <c r="A44">
        <f>Database!B44</f>
        <v/>
      </c>
      <c r="B44">
        <f>IF(AND(Screener!$D$8&lt;&gt;"",Database!$E44=Screener!$D$8),1,0)</f>
        <v/>
      </c>
      <c r="C44">
        <f>IF(AND(Screener!$D$7&lt;&gt;"",Database!$D44=Screener!$D$7),1,0)</f>
        <v/>
      </c>
      <c r="D44">
        <f>IF(OR(N(Database!$I44)&lt;=0,N(Screener!$D$9)&lt;=0),0,MAX(0,1-ABS(LOG10(N(Database!$I44)/Screener!$D$9))/W_SIZEHW))</f>
        <v/>
      </c>
      <c r="E44">
        <f>IF(OR(Database!$AU44="",Screener!$D$10=""),0,IF(Database!$AU44=Screener!$D$10,1,0))</f>
        <v/>
      </c>
      <c r="F44">
        <f>IF(OR(Database!$AZ44="",Screener!$D$11=""),0,IF(Database!$AZ44=Screener!$D$11,1,0))</f>
        <v/>
      </c>
      <c r="G44">
        <f>IF(OR(Database!$H44="",N(Screener!$D$12)&lt;=0),0,MAX(0,1-(N(Screener!$D$12)-Database!$H44)/W_RECD))</f>
        <v/>
      </c>
      <c r="H44">
        <f>IF($U$1="",0,N(ISNUMBER(SEARCH($U$1,Database!$X44&amp;""))))+IF($V$1="",0,N(ISNUMBER(SEARCH($V$1,Database!$X44&amp;""))))+IF($W$1="",0,N(ISNUMBER(SEARCH($W$1,Database!$X44&amp;""))))+IF($X$1="",0,N(ISNUMBER(SEARCH($X$1,Database!$X44&amp;""))))+IF($Y$1="",0,N(ISNUMBER(SEARCH($Y$1,Database!$X44&amp;""))))+IF(Screener!$B$17="",0,N(ISNUMBER(SEARCH(LOWER(Screener!$B$17),Database!$X44&amp;""))))</f>
        <v/>
      </c>
      <c r="I44">
        <f>IF(OR(N(Database!$AV44)&lt;=0,N(Screener!$D$13)&lt;=0),0,MAX(0,1-ABS(LOG10(N(Database!$AV44)/Screener!$D$13))/W_PEHW))</f>
        <v/>
      </c>
      <c r="J44">
        <f>IF(OR(N(Database!$S44)&lt;=0,N(Screener!$D$14)&lt;=0),0,MAX(0,1-ABS(LOG10(Database!$S44/Screener!$D$14))/0.6))</f>
        <v/>
      </c>
      <c r="K44">
        <f>IF(Database!$B44=Screener!$B$5,-999999,IF(ISNUMBER(SEARCH(","&amp;Database!$A44&amp;",",","&amp;SUBSTITUTE(Screener!$B$19," ","")&amp;",")),2000000,IF(IF(OR(Screener!$B$18="All",AND(Screener!$B$18="With A-share",(Database!$AZ44="Y")),AND(Screener!$B$18="Without A-share",NOT((Database!$AZ44="Y")))),1,0)=0,-999999,IF(Screener!$B$16="cornerstone overlap first",H44*100000,IF(Screener!$B$16="demand-similar first",J44*100000,0))+W_SUB*B44+W_SEC*C44*(1-B44)+W_SIZE*D44+W_PROF*E44+W_AH*F44+W_REC*G44+W_CS*H44+W_PE*I44)))+ROW()/1000000</f>
        <v/>
      </c>
      <c r="AA44">
        <f>Database!B33</f>
        <v/>
      </c>
      <c r="AB44">
        <f>Database!D33</f>
        <v/>
      </c>
      <c r="AC44">
        <f>Database!E33</f>
        <v/>
      </c>
      <c r="AD44">
        <f>Database!I33</f>
        <v/>
      </c>
      <c r="AE44">
        <f>Database!AU33</f>
        <v/>
      </c>
      <c r="AF44">
        <f>Database!AZ33</f>
        <v/>
      </c>
      <c r="AG44">
        <f>Database!H33</f>
        <v/>
      </c>
      <c r="AH44">
        <f>Database!AV33</f>
        <v/>
      </c>
    </row>
    <row r="45">
      <c r="A45">
        <f>Database!B45</f>
        <v/>
      </c>
      <c r="B45">
        <f>IF(AND(Screener!$D$8&lt;&gt;"",Database!$E45=Screener!$D$8),1,0)</f>
        <v/>
      </c>
      <c r="C45">
        <f>IF(AND(Screener!$D$7&lt;&gt;"",Database!$D45=Screener!$D$7),1,0)</f>
        <v/>
      </c>
      <c r="D45">
        <f>IF(OR(N(Database!$I45)&lt;=0,N(Screener!$D$9)&lt;=0),0,MAX(0,1-ABS(LOG10(N(Database!$I45)/Screener!$D$9))/W_SIZEHW))</f>
        <v/>
      </c>
      <c r="E45">
        <f>IF(OR(Database!$AU45="",Screener!$D$10=""),0,IF(Database!$AU45=Screener!$D$10,1,0))</f>
        <v/>
      </c>
      <c r="F45">
        <f>IF(OR(Database!$AZ45="",Screener!$D$11=""),0,IF(Database!$AZ45=Screener!$D$11,1,0))</f>
        <v/>
      </c>
      <c r="G45">
        <f>IF(OR(Database!$H45="",N(Screener!$D$12)&lt;=0),0,MAX(0,1-(N(Screener!$D$12)-Database!$H45)/W_RECD))</f>
        <v/>
      </c>
      <c r="H45">
        <f>IF($U$1="",0,N(ISNUMBER(SEARCH($U$1,Database!$X45&amp;""))))+IF($V$1="",0,N(ISNUMBER(SEARCH($V$1,Database!$X45&amp;""))))+IF($W$1="",0,N(ISNUMBER(SEARCH($W$1,Database!$X45&amp;""))))+IF($X$1="",0,N(ISNUMBER(SEARCH($X$1,Database!$X45&amp;""))))+IF($Y$1="",0,N(ISNUMBER(SEARCH($Y$1,Database!$X45&amp;""))))+IF(Screener!$B$17="",0,N(ISNUMBER(SEARCH(LOWER(Screener!$B$17),Database!$X45&amp;""))))</f>
        <v/>
      </c>
      <c r="I45">
        <f>IF(OR(N(Database!$AV45)&lt;=0,N(Screener!$D$13)&lt;=0),0,MAX(0,1-ABS(LOG10(N(Database!$AV45)/Screener!$D$13))/W_PEHW))</f>
        <v/>
      </c>
      <c r="J45">
        <f>IF(OR(N(Database!$S45)&lt;=0,N(Screener!$D$14)&lt;=0),0,MAX(0,1-ABS(LOG10(Database!$S45/Screener!$D$14))/0.6))</f>
        <v/>
      </c>
      <c r="K45">
        <f>IF(Database!$B45=Screener!$B$5,-999999,IF(ISNUMBER(SEARCH(","&amp;Database!$A45&amp;",",","&amp;SUBSTITUTE(Screener!$B$19," ","")&amp;",")),2000000,IF(IF(OR(Screener!$B$18="All",AND(Screener!$B$18="With A-share",(Database!$AZ45="Y")),AND(Screener!$B$18="Without A-share",NOT((Database!$AZ45="Y")))),1,0)=0,-999999,IF(Screener!$B$16="cornerstone overlap first",H45*100000,IF(Screener!$B$16="demand-similar first",J45*100000,0))+W_SUB*B45+W_SEC*C45*(1-B45)+W_SIZE*D45+W_PROF*E45+W_AH*F45+W_REC*G45+W_CS*H45+W_PE*I45)))+ROW()/1000000</f>
        <v/>
      </c>
      <c r="AA45">
        <f>Database!B34</f>
        <v/>
      </c>
      <c r="AB45">
        <f>Database!D34</f>
        <v/>
      </c>
      <c r="AC45">
        <f>Database!E34</f>
        <v/>
      </c>
      <c r="AD45">
        <f>Database!I34</f>
        <v/>
      </c>
      <c r="AE45">
        <f>Database!AU34</f>
        <v/>
      </c>
      <c r="AF45">
        <f>Database!AZ34</f>
        <v/>
      </c>
      <c r="AG45">
        <f>Database!H34</f>
        <v/>
      </c>
      <c r="AH45">
        <f>Database!AV34</f>
        <v/>
      </c>
    </row>
    <row r="46">
      <c r="A46">
        <f>Database!B46</f>
        <v/>
      </c>
      <c r="B46">
        <f>IF(AND(Screener!$D$8&lt;&gt;"",Database!$E46=Screener!$D$8),1,0)</f>
        <v/>
      </c>
      <c r="C46">
        <f>IF(AND(Screener!$D$7&lt;&gt;"",Database!$D46=Screener!$D$7),1,0)</f>
        <v/>
      </c>
      <c r="D46">
        <f>IF(OR(N(Database!$I46)&lt;=0,N(Screener!$D$9)&lt;=0),0,MAX(0,1-ABS(LOG10(N(Database!$I46)/Screener!$D$9))/W_SIZEHW))</f>
        <v/>
      </c>
      <c r="E46">
        <f>IF(OR(Database!$AU46="",Screener!$D$10=""),0,IF(Database!$AU46=Screener!$D$10,1,0))</f>
        <v/>
      </c>
      <c r="F46">
        <f>IF(OR(Database!$AZ46="",Screener!$D$11=""),0,IF(Database!$AZ46=Screener!$D$11,1,0))</f>
        <v/>
      </c>
      <c r="G46">
        <f>IF(OR(Database!$H46="",N(Screener!$D$12)&lt;=0),0,MAX(0,1-(N(Screener!$D$12)-Database!$H46)/W_RECD))</f>
        <v/>
      </c>
      <c r="H46">
        <f>IF($U$1="",0,N(ISNUMBER(SEARCH($U$1,Database!$X46&amp;""))))+IF($V$1="",0,N(ISNUMBER(SEARCH($V$1,Database!$X46&amp;""))))+IF($W$1="",0,N(ISNUMBER(SEARCH($W$1,Database!$X46&amp;""))))+IF($X$1="",0,N(ISNUMBER(SEARCH($X$1,Database!$X46&amp;""))))+IF($Y$1="",0,N(ISNUMBER(SEARCH($Y$1,Database!$X46&amp;""))))+IF(Screener!$B$17="",0,N(ISNUMBER(SEARCH(LOWER(Screener!$B$17),Database!$X46&amp;""))))</f>
        <v/>
      </c>
      <c r="I46">
        <f>IF(OR(N(Database!$AV46)&lt;=0,N(Screener!$D$13)&lt;=0),0,MAX(0,1-ABS(LOG10(N(Database!$AV46)/Screener!$D$13))/W_PEHW))</f>
        <v/>
      </c>
      <c r="J46">
        <f>IF(OR(N(Database!$S46)&lt;=0,N(Screener!$D$14)&lt;=0),0,MAX(0,1-ABS(LOG10(Database!$S46/Screener!$D$14))/0.6))</f>
        <v/>
      </c>
      <c r="K46">
        <f>IF(Database!$B46=Screener!$B$5,-999999,IF(ISNUMBER(SEARCH(","&amp;Database!$A46&amp;",",","&amp;SUBSTITUTE(Screener!$B$19," ","")&amp;",")),2000000,IF(IF(OR(Screener!$B$18="All",AND(Screener!$B$18="With A-share",(Database!$AZ46="Y")),AND(Screener!$B$18="Without A-share",NOT((Database!$AZ46="Y")))),1,0)=0,-999999,IF(Screener!$B$16="cornerstone overlap first",H46*100000,IF(Screener!$B$16="demand-similar first",J46*100000,0))+W_SUB*B46+W_SEC*C46*(1-B46)+W_SIZE*D46+W_PROF*E46+W_AH*F46+W_REC*G46+W_CS*H46+W_PE*I46)))+ROW()/1000000</f>
        <v/>
      </c>
      <c r="AA46">
        <f>Database!B35</f>
        <v/>
      </c>
      <c r="AB46">
        <f>Database!D35</f>
        <v/>
      </c>
      <c r="AC46">
        <f>Database!E35</f>
        <v/>
      </c>
      <c r="AD46">
        <f>Database!I35</f>
        <v/>
      </c>
      <c r="AE46">
        <f>Database!AU35</f>
        <v/>
      </c>
      <c r="AF46">
        <f>Database!AZ35</f>
        <v/>
      </c>
      <c r="AG46">
        <f>Database!H35</f>
        <v/>
      </c>
      <c r="AH46">
        <f>Database!AV35</f>
        <v/>
      </c>
    </row>
    <row r="47">
      <c r="A47">
        <f>Database!B47</f>
        <v/>
      </c>
      <c r="B47">
        <f>IF(AND(Screener!$D$8&lt;&gt;"",Database!$E47=Screener!$D$8),1,0)</f>
        <v/>
      </c>
      <c r="C47">
        <f>IF(AND(Screener!$D$7&lt;&gt;"",Database!$D47=Screener!$D$7),1,0)</f>
        <v/>
      </c>
      <c r="D47">
        <f>IF(OR(N(Database!$I47)&lt;=0,N(Screener!$D$9)&lt;=0),0,MAX(0,1-ABS(LOG10(N(Database!$I47)/Screener!$D$9))/W_SIZEHW))</f>
        <v/>
      </c>
      <c r="E47">
        <f>IF(OR(Database!$AU47="",Screener!$D$10=""),0,IF(Database!$AU47=Screener!$D$10,1,0))</f>
        <v/>
      </c>
      <c r="F47">
        <f>IF(OR(Database!$AZ47="",Screener!$D$11=""),0,IF(Database!$AZ47=Screener!$D$11,1,0))</f>
        <v/>
      </c>
      <c r="G47">
        <f>IF(OR(Database!$H47="",N(Screener!$D$12)&lt;=0),0,MAX(0,1-(N(Screener!$D$12)-Database!$H47)/W_RECD))</f>
        <v/>
      </c>
      <c r="H47">
        <f>IF($U$1="",0,N(ISNUMBER(SEARCH($U$1,Database!$X47&amp;""))))+IF($V$1="",0,N(ISNUMBER(SEARCH($V$1,Database!$X47&amp;""))))+IF($W$1="",0,N(ISNUMBER(SEARCH($W$1,Database!$X47&amp;""))))+IF($X$1="",0,N(ISNUMBER(SEARCH($X$1,Database!$X47&amp;""))))+IF($Y$1="",0,N(ISNUMBER(SEARCH($Y$1,Database!$X47&amp;""))))+IF(Screener!$B$17="",0,N(ISNUMBER(SEARCH(LOWER(Screener!$B$17),Database!$X47&amp;""))))</f>
        <v/>
      </c>
      <c r="I47">
        <f>IF(OR(N(Database!$AV47)&lt;=0,N(Screener!$D$13)&lt;=0),0,MAX(0,1-ABS(LOG10(N(Database!$AV47)/Screener!$D$13))/W_PEHW))</f>
        <v/>
      </c>
      <c r="J47">
        <f>IF(OR(N(Database!$S47)&lt;=0,N(Screener!$D$14)&lt;=0),0,MAX(0,1-ABS(LOG10(Database!$S47/Screener!$D$14))/0.6))</f>
        <v/>
      </c>
      <c r="K47">
        <f>IF(Database!$B47=Screener!$B$5,-999999,IF(ISNUMBER(SEARCH(","&amp;Database!$A47&amp;",",","&amp;SUBSTITUTE(Screener!$B$19," ","")&amp;",")),2000000,IF(IF(OR(Screener!$B$18="All",AND(Screener!$B$18="With A-share",(Database!$AZ47="Y")),AND(Screener!$B$18="Without A-share",NOT((Database!$AZ47="Y")))),1,0)=0,-999999,IF(Screener!$B$16="cornerstone overlap first",H47*100000,IF(Screener!$B$16="demand-similar first",J47*100000,0))+W_SUB*B47+W_SEC*C47*(1-B47)+W_SIZE*D47+W_PROF*E47+W_AH*F47+W_REC*G47+W_CS*H47+W_PE*I47)))+ROW()/1000000</f>
        <v/>
      </c>
      <c r="AA47">
        <f>Database!B36</f>
        <v/>
      </c>
      <c r="AB47">
        <f>Database!D36</f>
        <v/>
      </c>
      <c r="AC47">
        <f>Database!E36</f>
        <v/>
      </c>
      <c r="AD47">
        <f>Database!I36</f>
        <v/>
      </c>
      <c r="AE47">
        <f>Database!AU36</f>
        <v/>
      </c>
      <c r="AF47">
        <f>Database!AZ36</f>
        <v/>
      </c>
      <c r="AG47">
        <f>Database!H36</f>
        <v/>
      </c>
      <c r="AH47">
        <f>Database!AV36</f>
        <v/>
      </c>
    </row>
    <row r="48">
      <c r="A48">
        <f>Database!B48</f>
        <v/>
      </c>
      <c r="B48">
        <f>IF(AND(Screener!$D$8&lt;&gt;"",Database!$E48=Screener!$D$8),1,0)</f>
        <v/>
      </c>
      <c r="C48">
        <f>IF(AND(Screener!$D$7&lt;&gt;"",Database!$D48=Screener!$D$7),1,0)</f>
        <v/>
      </c>
      <c r="D48">
        <f>IF(OR(N(Database!$I48)&lt;=0,N(Screener!$D$9)&lt;=0),0,MAX(0,1-ABS(LOG10(N(Database!$I48)/Screener!$D$9))/W_SIZEHW))</f>
        <v/>
      </c>
      <c r="E48">
        <f>IF(OR(Database!$AU48="",Screener!$D$10=""),0,IF(Database!$AU48=Screener!$D$10,1,0))</f>
        <v/>
      </c>
      <c r="F48">
        <f>IF(OR(Database!$AZ48="",Screener!$D$11=""),0,IF(Database!$AZ48=Screener!$D$11,1,0))</f>
        <v/>
      </c>
      <c r="G48">
        <f>IF(OR(Database!$H48="",N(Screener!$D$12)&lt;=0),0,MAX(0,1-(N(Screener!$D$12)-Database!$H48)/W_RECD))</f>
        <v/>
      </c>
      <c r="H48">
        <f>IF($U$1="",0,N(ISNUMBER(SEARCH($U$1,Database!$X48&amp;""))))+IF($V$1="",0,N(ISNUMBER(SEARCH($V$1,Database!$X48&amp;""))))+IF($W$1="",0,N(ISNUMBER(SEARCH($W$1,Database!$X48&amp;""))))+IF($X$1="",0,N(ISNUMBER(SEARCH($X$1,Database!$X48&amp;""))))+IF($Y$1="",0,N(ISNUMBER(SEARCH($Y$1,Database!$X48&amp;""))))+IF(Screener!$B$17="",0,N(ISNUMBER(SEARCH(LOWER(Screener!$B$17),Database!$X48&amp;""))))</f>
        <v/>
      </c>
      <c r="I48">
        <f>IF(OR(N(Database!$AV48)&lt;=0,N(Screener!$D$13)&lt;=0),0,MAX(0,1-ABS(LOG10(N(Database!$AV48)/Screener!$D$13))/W_PEHW))</f>
        <v/>
      </c>
      <c r="J48">
        <f>IF(OR(N(Database!$S48)&lt;=0,N(Screener!$D$14)&lt;=0),0,MAX(0,1-ABS(LOG10(Database!$S48/Screener!$D$14))/0.6))</f>
        <v/>
      </c>
      <c r="K48">
        <f>IF(Database!$B48=Screener!$B$5,-999999,IF(ISNUMBER(SEARCH(","&amp;Database!$A48&amp;",",","&amp;SUBSTITUTE(Screener!$B$19," ","")&amp;",")),2000000,IF(IF(OR(Screener!$B$18="All",AND(Screener!$B$18="With A-share",(Database!$AZ48="Y")),AND(Screener!$B$18="Without A-share",NOT((Database!$AZ48="Y")))),1,0)=0,-999999,IF(Screener!$B$16="cornerstone overlap first",H48*100000,IF(Screener!$B$16="demand-similar first",J48*100000,0))+W_SUB*B48+W_SEC*C48*(1-B48)+W_SIZE*D48+W_PROF*E48+W_AH*F48+W_REC*G48+W_CS*H48+W_PE*I48)))+ROW()/1000000</f>
        <v/>
      </c>
      <c r="AA48">
        <f>Database!B37</f>
        <v/>
      </c>
      <c r="AB48">
        <f>Database!D37</f>
        <v/>
      </c>
      <c r="AC48">
        <f>Database!E37</f>
        <v/>
      </c>
      <c r="AD48">
        <f>Database!I37</f>
        <v/>
      </c>
      <c r="AE48">
        <f>Database!AU37</f>
        <v/>
      </c>
      <c r="AF48">
        <f>Database!AZ37</f>
        <v/>
      </c>
      <c r="AG48">
        <f>Database!H37</f>
        <v/>
      </c>
      <c r="AH48">
        <f>Database!AV37</f>
        <v/>
      </c>
    </row>
    <row r="49">
      <c r="A49">
        <f>Database!B49</f>
        <v/>
      </c>
      <c r="B49">
        <f>IF(AND(Screener!$D$8&lt;&gt;"",Database!$E49=Screener!$D$8),1,0)</f>
        <v/>
      </c>
      <c r="C49">
        <f>IF(AND(Screener!$D$7&lt;&gt;"",Database!$D49=Screener!$D$7),1,0)</f>
        <v/>
      </c>
      <c r="D49">
        <f>IF(OR(N(Database!$I49)&lt;=0,N(Screener!$D$9)&lt;=0),0,MAX(0,1-ABS(LOG10(N(Database!$I49)/Screener!$D$9))/W_SIZEHW))</f>
        <v/>
      </c>
      <c r="E49">
        <f>IF(OR(Database!$AU49="",Screener!$D$10=""),0,IF(Database!$AU49=Screener!$D$10,1,0))</f>
        <v/>
      </c>
      <c r="F49">
        <f>IF(OR(Database!$AZ49="",Screener!$D$11=""),0,IF(Database!$AZ49=Screener!$D$11,1,0))</f>
        <v/>
      </c>
      <c r="G49">
        <f>IF(OR(Database!$H49="",N(Screener!$D$12)&lt;=0),0,MAX(0,1-(N(Screener!$D$12)-Database!$H49)/W_RECD))</f>
        <v/>
      </c>
      <c r="H49">
        <f>IF($U$1="",0,N(ISNUMBER(SEARCH($U$1,Database!$X49&amp;""))))+IF($V$1="",0,N(ISNUMBER(SEARCH($V$1,Database!$X49&amp;""))))+IF($W$1="",0,N(ISNUMBER(SEARCH($W$1,Database!$X49&amp;""))))+IF($X$1="",0,N(ISNUMBER(SEARCH($X$1,Database!$X49&amp;""))))+IF($Y$1="",0,N(ISNUMBER(SEARCH($Y$1,Database!$X49&amp;""))))+IF(Screener!$B$17="",0,N(ISNUMBER(SEARCH(LOWER(Screener!$B$17),Database!$X49&amp;""))))</f>
        <v/>
      </c>
      <c r="I49">
        <f>IF(OR(N(Database!$AV49)&lt;=0,N(Screener!$D$13)&lt;=0),0,MAX(0,1-ABS(LOG10(N(Database!$AV49)/Screener!$D$13))/W_PEHW))</f>
        <v/>
      </c>
      <c r="J49">
        <f>IF(OR(N(Database!$S49)&lt;=0,N(Screener!$D$14)&lt;=0),0,MAX(0,1-ABS(LOG10(Database!$S49/Screener!$D$14))/0.6))</f>
        <v/>
      </c>
      <c r="K49">
        <f>IF(Database!$B49=Screener!$B$5,-999999,IF(ISNUMBER(SEARCH(","&amp;Database!$A49&amp;",",","&amp;SUBSTITUTE(Screener!$B$19," ","")&amp;",")),2000000,IF(IF(OR(Screener!$B$18="All",AND(Screener!$B$18="With A-share",(Database!$AZ49="Y")),AND(Screener!$B$18="Without A-share",NOT((Database!$AZ49="Y")))),1,0)=0,-999999,IF(Screener!$B$16="cornerstone overlap first",H49*100000,IF(Screener!$B$16="demand-similar first",J49*100000,0))+W_SUB*B49+W_SEC*C49*(1-B49)+W_SIZE*D49+W_PROF*E49+W_AH*F49+W_REC*G49+W_CS*H49+W_PE*I49)))+ROW()/1000000</f>
        <v/>
      </c>
      <c r="AA49">
        <f>Database!B38</f>
        <v/>
      </c>
      <c r="AB49">
        <f>Database!D38</f>
        <v/>
      </c>
      <c r="AC49">
        <f>Database!E38</f>
        <v/>
      </c>
      <c r="AD49">
        <f>Database!I38</f>
        <v/>
      </c>
      <c r="AE49">
        <f>Database!AU38</f>
        <v/>
      </c>
      <c r="AF49">
        <f>Database!AZ38</f>
        <v/>
      </c>
      <c r="AG49">
        <f>Database!H38</f>
        <v/>
      </c>
      <c r="AH49">
        <f>Database!AV38</f>
        <v/>
      </c>
    </row>
    <row r="50">
      <c r="A50">
        <f>Database!B50</f>
        <v/>
      </c>
      <c r="B50">
        <f>IF(AND(Screener!$D$8&lt;&gt;"",Database!$E50=Screener!$D$8),1,0)</f>
        <v/>
      </c>
      <c r="C50">
        <f>IF(AND(Screener!$D$7&lt;&gt;"",Database!$D50=Screener!$D$7),1,0)</f>
        <v/>
      </c>
      <c r="D50">
        <f>IF(OR(N(Database!$I50)&lt;=0,N(Screener!$D$9)&lt;=0),0,MAX(0,1-ABS(LOG10(N(Database!$I50)/Screener!$D$9))/W_SIZEHW))</f>
        <v/>
      </c>
      <c r="E50">
        <f>IF(OR(Database!$AU50="",Screener!$D$10=""),0,IF(Database!$AU50=Screener!$D$10,1,0))</f>
        <v/>
      </c>
      <c r="F50">
        <f>IF(OR(Database!$AZ50="",Screener!$D$11=""),0,IF(Database!$AZ50=Screener!$D$11,1,0))</f>
        <v/>
      </c>
      <c r="G50">
        <f>IF(OR(Database!$H50="",N(Screener!$D$12)&lt;=0),0,MAX(0,1-(N(Screener!$D$12)-Database!$H50)/W_RECD))</f>
        <v/>
      </c>
      <c r="H50">
        <f>IF($U$1="",0,N(ISNUMBER(SEARCH($U$1,Database!$X50&amp;""))))+IF($V$1="",0,N(ISNUMBER(SEARCH($V$1,Database!$X50&amp;""))))+IF($W$1="",0,N(ISNUMBER(SEARCH($W$1,Database!$X50&amp;""))))+IF($X$1="",0,N(ISNUMBER(SEARCH($X$1,Database!$X50&amp;""))))+IF($Y$1="",0,N(ISNUMBER(SEARCH($Y$1,Database!$X50&amp;""))))+IF(Screener!$B$17="",0,N(ISNUMBER(SEARCH(LOWER(Screener!$B$17),Database!$X50&amp;""))))</f>
        <v/>
      </c>
      <c r="I50">
        <f>IF(OR(N(Database!$AV50)&lt;=0,N(Screener!$D$13)&lt;=0),0,MAX(0,1-ABS(LOG10(N(Database!$AV50)/Screener!$D$13))/W_PEHW))</f>
        <v/>
      </c>
      <c r="J50">
        <f>IF(OR(N(Database!$S50)&lt;=0,N(Screener!$D$14)&lt;=0),0,MAX(0,1-ABS(LOG10(Database!$S50/Screener!$D$14))/0.6))</f>
        <v/>
      </c>
      <c r="K50">
        <f>IF(Database!$B50=Screener!$B$5,-999999,IF(ISNUMBER(SEARCH(","&amp;Database!$A50&amp;",",","&amp;SUBSTITUTE(Screener!$B$19," ","")&amp;",")),2000000,IF(IF(OR(Screener!$B$18="All",AND(Screener!$B$18="With A-share",(Database!$AZ50="Y")),AND(Screener!$B$18="Without A-share",NOT((Database!$AZ50="Y")))),1,0)=0,-999999,IF(Screener!$B$16="cornerstone overlap first",H50*100000,IF(Screener!$B$16="demand-similar first",J50*100000,0))+W_SUB*B50+W_SEC*C50*(1-B50)+W_SIZE*D50+W_PROF*E50+W_AH*F50+W_REC*G50+W_CS*H50+W_PE*I50)))+ROW()/1000000</f>
        <v/>
      </c>
      <c r="AA50">
        <f>Database!B39</f>
        <v/>
      </c>
      <c r="AB50">
        <f>Database!D39</f>
        <v/>
      </c>
      <c r="AC50">
        <f>Database!E39</f>
        <v/>
      </c>
      <c r="AD50">
        <f>Database!I39</f>
        <v/>
      </c>
      <c r="AE50">
        <f>Database!AU39</f>
        <v/>
      </c>
      <c r="AF50">
        <f>Database!AZ39</f>
        <v/>
      </c>
      <c r="AG50">
        <f>Database!H39</f>
        <v/>
      </c>
      <c r="AH50">
        <f>Database!AV39</f>
        <v/>
      </c>
    </row>
    <row r="51">
      <c r="A51">
        <f>Database!B51</f>
        <v/>
      </c>
      <c r="B51">
        <f>IF(AND(Screener!$D$8&lt;&gt;"",Database!$E51=Screener!$D$8),1,0)</f>
        <v/>
      </c>
      <c r="C51">
        <f>IF(AND(Screener!$D$7&lt;&gt;"",Database!$D51=Screener!$D$7),1,0)</f>
        <v/>
      </c>
      <c r="D51">
        <f>IF(OR(N(Database!$I51)&lt;=0,N(Screener!$D$9)&lt;=0),0,MAX(0,1-ABS(LOG10(N(Database!$I51)/Screener!$D$9))/W_SIZEHW))</f>
        <v/>
      </c>
      <c r="E51">
        <f>IF(OR(Database!$AU51="",Screener!$D$10=""),0,IF(Database!$AU51=Screener!$D$10,1,0))</f>
        <v/>
      </c>
      <c r="F51">
        <f>IF(OR(Database!$AZ51="",Screener!$D$11=""),0,IF(Database!$AZ51=Screener!$D$11,1,0))</f>
        <v/>
      </c>
      <c r="G51">
        <f>IF(OR(Database!$H51="",N(Screener!$D$12)&lt;=0),0,MAX(0,1-(N(Screener!$D$12)-Database!$H51)/W_RECD))</f>
        <v/>
      </c>
      <c r="H51">
        <f>IF($U$1="",0,N(ISNUMBER(SEARCH($U$1,Database!$X51&amp;""))))+IF($V$1="",0,N(ISNUMBER(SEARCH($V$1,Database!$X51&amp;""))))+IF($W$1="",0,N(ISNUMBER(SEARCH($W$1,Database!$X51&amp;""))))+IF($X$1="",0,N(ISNUMBER(SEARCH($X$1,Database!$X51&amp;""))))+IF($Y$1="",0,N(ISNUMBER(SEARCH($Y$1,Database!$X51&amp;""))))+IF(Screener!$B$17="",0,N(ISNUMBER(SEARCH(LOWER(Screener!$B$17),Database!$X51&amp;""))))</f>
        <v/>
      </c>
      <c r="I51">
        <f>IF(OR(N(Database!$AV51)&lt;=0,N(Screener!$D$13)&lt;=0),0,MAX(0,1-ABS(LOG10(N(Database!$AV51)/Screener!$D$13))/W_PEHW))</f>
        <v/>
      </c>
      <c r="J51">
        <f>IF(OR(N(Database!$S51)&lt;=0,N(Screener!$D$14)&lt;=0),0,MAX(0,1-ABS(LOG10(Database!$S51/Screener!$D$14))/0.6))</f>
        <v/>
      </c>
      <c r="K51">
        <f>IF(Database!$B51=Screener!$B$5,-999999,IF(ISNUMBER(SEARCH(","&amp;Database!$A51&amp;",",","&amp;SUBSTITUTE(Screener!$B$19," ","")&amp;",")),2000000,IF(IF(OR(Screener!$B$18="All",AND(Screener!$B$18="With A-share",(Database!$AZ51="Y")),AND(Screener!$B$18="Without A-share",NOT((Database!$AZ51="Y")))),1,0)=0,-999999,IF(Screener!$B$16="cornerstone overlap first",H51*100000,IF(Screener!$B$16="demand-similar first",J51*100000,0))+W_SUB*B51+W_SEC*C51*(1-B51)+W_SIZE*D51+W_PROF*E51+W_AH*F51+W_REC*G51+W_CS*H51+W_PE*I51)))+ROW()/1000000</f>
        <v/>
      </c>
      <c r="AA51">
        <f>Database!B40</f>
        <v/>
      </c>
      <c r="AB51">
        <f>Database!D40</f>
        <v/>
      </c>
      <c r="AC51">
        <f>Database!E40</f>
        <v/>
      </c>
      <c r="AD51">
        <f>Database!I40</f>
        <v/>
      </c>
      <c r="AE51">
        <f>Database!AU40</f>
        <v/>
      </c>
      <c r="AF51">
        <f>Database!AZ40</f>
        <v/>
      </c>
      <c r="AG51">
        <f>Database!H40</f>
        <v/>
      </c>
      <c r="AH51">
        <f>Database!AV40</f>
        <v/>
      </c>
    </row>
    <row r="52">
      <c r="A52">
        <f>Database!B52</f>
        <v/>
      </c>
      <c r="B52">
        <f>IF(AND(Screener!$D$8&lt;&gt;"",Database!$E52=Screener!$D$8),1,0)</f>
        <v/>
      </c>
      <c r="C52">
        <f>IF(AND(Screener!$D$7&lt;&gt;"",Database!$D52=Screener!$D$7),1,0)</f>
        <v/>
      </c>
      <c r="D52">
        <f>IF(OR(N(Database!$I52)&lt;=0,N(Screener!$D$9)&lt;=0),0,MAX(0,1-ABS(LOG10(N(Database!$I52)/Screener!$D$9))/W_SIZEHW))</f>
        <v/>
      </c>
      <c r="E52">
        <f>IF(OR(Database!$AU52="",Screener!$D$10=""),0,IF(Database!$AU52=Screener!$D$10,1,0))</f>
        <v/>
      </c>
      <c r="F52">
        <f>IF(OR(Database!$AZ52="",Screener!$D$11=""),0,IF(Database!$AZ52=Screener!$D$11,1,0))</f>
        <v/>
      </c>
      <c r="G52">
        <f>IF(OR(Database!$H52="",N(Screener!$D$12)&lt;=0),0,MAX(0,1-(N(Screener!$D$12)-Database!$H52)/W_RECD))</f>
        <v/>
      </c>
      <c r="H52">
        <f>IF($U$1="",0,N(ISNUMBER(SEARCH($U$1,Database!$X52&amp;""))))+IF($V$1="",0,N(ISNUMBER(SEARCH($V$1,Database!$X52&amp;""))))+IF($W$1="",0,N(ISNUMBER(SEARCH($W$1,Database!$X52&amp;""))))+IF($X$1="",0,N(ISNUMBER(SEARCH($X$1,Database!$X52&amp;""))))+IF($Y$1="",0,N(ISNUMBER(SEARCH($Y$1,Database!$X52&amp;""))))+IF(Screener!$B$17="",0,N(ISNUMBER(SEARCH(LOWER(Screener!$B$17),Database!$X52&amp;""))))</f>
        <v/>
      </c>
      <c r="I52">
        <f>IF(OR(N(Database!$AV52)&lt;=0,N(Screener!$D$13)&lt;=0),0,MAX(0,1-ABS(LOG10(N(Database!$AV52)/Screener!$D$13))/W_PEHW))</f>
        <v/>
      </c>
      <c r="J52">
        <f>IF(OR(N(Database!$S52)&lt;=0,N(Screener!$D$14)&lt;=0),0,MAX(0,1-ABS(LOG10(Database!$S52/Screener!$D$14))/0.6))</f>
        <v/>
      </c>
      <c r="K52">
        <f>IF(Database!$B52=Screener!$B$5,-999999,IF(ISNUMBER(SEARCH(","&amp;Database!$A52&amp;",",","&amp;SUBSTITUTE(Screener!$B$19," ","")&amp;",")),2000000,IF(IF(OR(Screener!$B$18="All",AND(Screener!$B$18="With A-share",(Database!$AZ52="Y")),AND(Screener!$B$18="Without A-share",NOT((Database!$AZ52="Y")))),1,0)=0,-999999,IF(Screener!$B$16="cornerstone overlap first",H52*100000,IF(Screener!$B$16="demand-similar first",J52*100000,0))+W_SUB*B52+W_SEC*C52*(1-B52)+W_SIZE*D52+W_PROF*E52+W_AH*F52+W_REC*G52+W_CS*H52+W_PE*I52)))+ROW()/1000000</f>
        <v/>
      </c>
      <c r="AA52">
        <f>Database!B41</f>
        <v/>
      </c>
      <c r="AB52">
        <f>Database!D41</f>
        <v/>
      </c>
      <c r="AC52">
        <f>Database!E41</f>
        <v/>
      </c>
      <c r="AD52">
        <f>Database!I41</f>
        <v/>
      </c>
      <c r="AE52">
        <f>Database!AU41</f>
        <v/>
      </c>
      <c r="AF52">
        <f>Database!AZ41</f>
        <v/>
      </c>
      <c r="AG52">
        <f>Database!H41</f>
        <v/>
      </c>
      <c r="AH52">
        <f>Database!AV41</f>
        <v/>
      </c>
    </row>
    <row r="53">
      <c r="A53">
        <f>Database!B53</f>
        <v/>
      </c>
      <c r="B53">
        <f>IF(AND(Screener!$D$8&lt;&gt;"",Database!$E53=Screener!$D$8),1,0)</f>
        <v/>
      </c>
      <c r="C53">
        <f>IF(AND(Screener!$D$7&lt;&gt;"",Database!$D53=Screener!$D$7),1,0)</f>
        <v/>
      </c>
      <c r="D53">
        <f>IF(OR(N(Database!$I53)&lt;=0,N(Screener!$D$9)&lt;=0),0,MAX(0,1-ABS(LOG10(N(Database!$I53)/Screener!$D$9))/W_SIZEHW))</f>
        <v/>
      </c>
      <c r="E53">
        <f>IF(OR(Database!$AU53="",Screener!$D$10=""),0,IF(Database!$AU53=Screener!$D$10,1,0))</f>
        <v/>
      </c>
      <c r="F53">
        <f>IF(OR(Database!$AZ53="",Screener!$D$11=""),0,IF(Database!$AZ53=Screener!$D$11,1,0))</f>
        <v/>
      </c>
      <c r="G53">
        <f>IF(OR(Database!$H53="",N(Screener!$D$12)&lt;=0),0,MAX(0,1-(N(Screener!$D$12)-Database!$H53)/W_RECD))</f>
        <v/>
      </c>
      <c r="H53">
        <f>IF($U$1="",0,N(ISNUMBER(SEARCH($U$1,Database!$X53&amp;""))))+IF($V$1="",0,N(ISNUMBER(SEARCH($V$1,Database!$X53&amp;""))))+IF($W$1="",0,N(ISNUMBER(SEARCH($W$1,Database!$X53&amp;""))))+IF($X$1="",0,N(ISNUMBER(SEARCH($X$1,Database!$X53&amp;""))))+IF($Y$1="",0,N(ISNUMBER(SEARCH($Y$1,Database!$X53&amp;""))))+IF(Screener!$B$17="",0,N(ISNUMBER(SEARCH(LOWER(Screener!$B$17),Database!$X53&amp;""))))</f>
        <v/>
      </c>
      <c r="I53">
        <f>IF(OR(N(Database!$AV53)&lt;=0,N(Screener!$D$13)&lt;=0),0,MAX(0,1-ABS(LOG10(N(Database!$AV53)/Screener!$D$13))/W_PEHW))</f>
        <v/>
      </c>
      <c r="J53">
        <f>IF(OR(N(Database!$S53)&lt;=0,N(Screener!$D$14)&lt;=0),0,MAX(0,1-ABS(LOG10(Database!$S53/Screener!$D$14))/0.6))</f>
        <v/>
      </c>
      <c r="K53">
        <f>IF(Database!$B53=Screener!$B$5,-999999,IF(ISNUMBER(SEARCH(","&amp;Database!$A53&amp;",",","&amp;SUBSTITUTE(Screener!$B$19," ","")&amp;",")),2000000,IF(IF(OR(Screener!$B$18="All",AND(Screener!$B$18="With A-share",(Database!$AZ53="Y")),AND(Screener!$B$18="Without A-share",NOT((Database!$AZ53="Y")))),1,0)=0,-999999,IF(Screener!$B$16="cornerstone overlap first",H53*100000,IF(Screener!$B$16="demand-similar first",J53*100000,0))+W_SUB*B53+W_SEC*C53*(1-B53)+W_SIZE*D53+W_PROF*E53+W_AH*F53+W_REC*G53+W_CS*H53+W_PE*I53)))+ROW()/1000000</f>
        <v/>
      </c>
      <c r="AA53">
        <f>Database!B42</f>
        <v/>
      </c>
      <c r="AB53">
        <f>Database!D42</f>
        <v/>
      </c>
      <c r="AC53">
        <f>Database!E42</f>
        <v/>
      </c>
      <c r="AD53">
        <f>Database!I42</f>
        <v/>
      </c>
      <c r="AE53">
        <f>Database!AU42</f>
        <v/>
      </c>
      <c r="AF53">
        <f>Database!AZ42</f>
        <v/>
      </c>
      <c r="AG53">
        <f>Database!H42</f>
        <v/>
      </c>
      <c r="AH53">
        <f>Database!AV42</f>
        <v/>
      </c>
    </row>
    <row r="54">
      <c r="A54">
        <f>Database!B54</f>
        <v/>
      </c>
      <c r="B54">
        <f>IF(AND(Screener!$D$8&lt;&gt;"",Database!$E54=Screener!$D$8),1,0)</f>
        <v/>
      </c>
      <c r="C54">
        <f>IF(AND(Screener!$D$7&lt;&gt;"",Database!$D54=Screener!$D$7),1,0)</f>
        <v/>
      </c>
      <c r="D54">
        <f>IF(OR(N(Database!$I54)&lt;=0,N(Screener!$D$9)&lt;=0),0,MAX(0,1-ABS(LOG10(N(Database!$I54)/Screener!$D$9))/W_SIZEHW))</f>
        <v/>
      </c>
      <c r="E54">
        <f>IF(OR(Database!$AU54="",Screener!$D$10=""),0,IF(Database!$AU54=Screener!$D$10,1,0))</f>
        <v/>
      </c>
      <c r="F54">
        <f>IF(OR(Database!$AZ54="",Screener!$D$11=""),0,IF(Database!$AZ54=Screener!$D$11,1,0))</f>
        <v/>
      </c>
      <c r="G54">
        <f>IF(OR(Database!$H54="",N(Screener!$D$12)&lt;=0),0,MAX(0,1-(N(Screener!$D$12)-Database!$H54)/W_RECD))</f>
        <v/>
      </c>
      <c r="H54">
        <f>IF($U$1="",0,N(ISNUMBER(SEARCH($U$1,Database!$X54&amp;""))))+IF($V$1="",0,N(ISNUMBER(SEARCH($V$1,Database!$X54&amp;""))))+IF($W$1="",0,N(ISNUMBER(SEARCH($W$1,Database!$X54&amp;""))))+IF($X$1="",0,N(ISNUMBER(SEARCH($X$1,Database!$X54&amp;""))))+IF($Y$1="",0,N(ISNUMBER(SEARCH($Y$1,Database!$X54&amp;""))))+IF(Screener!$B$17="",0,N(ISNUMBER(SEARCH(LOWER(Screener!$B$17),Database!$X54&amp;""))))</f>
        <v/>
      </c>
      <c r="I54">
        <f>IF(OR(N(Database!$AV54)&lt;=0,N(Screener!$D$13)&lt;=0),0,MAX(0,1-ABS(LOG10(N(Database!$AV54)/Screener!$D$13))/W_PEHW))</f>
        <v/>
      </c>
      <c r="J54">
        <f>IF(OR(N(Database!$S54)&lt;=0,N(Screener!$D$14)&lt;=0),0,MAX(0,1-ABS(LOG10(Database!$S54/Screener!$D$14))/0.6))</f>
        <v/>
      </c>
      <c r="K54">
        <f>IF(Database!$B54=Screener!$B$5,-999999,IF(ISNUMBER(SEARCH(","&amp;Database!$A54&amp;",",","&amp;SUBSTITUTE(Screener!$B$19," ","")&amp;",")),2000000,IF(IF(OR(Screener!$B$18="All",AND(Screener!$B$18="With A-share",(Database!$AZ54="Y")),AND(Screener!$B$18="Without A-share",NOT((Database!$AZ54="Y")))),1,0)=0,-999999,IF(Screener!$B$16="cornerstone overlap first",H54*100000,IF(Screener!$B$16="demand-similar first",J54*100000,0))+W_SUB*B54+W_SEC*C54*(1-B54)+W_SIZE*D54+W_PROF*E54+W_AH*F54+W_REC*G54+W_CS*H54+W_PE*I54)))+ROW()/1000000</f>
        <v/>
      </c>
      <c r="AA54">
        <f>Database!B43</f>
        <v/>
      </c>
      <c r="AB54">
        <f>Database!D43</f>
        <v/>
      </c>
      <c r="AC54">
        <f>Database!E43</f>
        <v/>
      </c>
      <c r="AD54">
        <f>Database!I43</f>
        <v/>
      </c>
      <c r="AE54">
        <f>Database!AU43</f>
        <v/>
      </c>
      <c r="AF54">
        <f>Database!AZ43</f>
        <v/>
      </c>
      <c r="AG54">
        <f>Database!H43</f>
        <v/>
      </c>
      <c r="AH54">
        <f>Database!AV43</f>
        <v/>
      </c>
    </row>
    <row r="55">
      <c r="A55">
        <f>Database!B55</f>
        <v/>
      </c>
      <c r="B55">
        <f>IF(AND(Screener!$D$8&lt;&gt;"",Database!$E55=Screener!$D$8),1,0)</f>
        <v/>
      </c>
      <c r="C55">
        <f>IF(AND(Screener!$D$7&lt;&gt;"",Database!$D55=Screener!$D$7),1,0)</f>
        <v/>
      </c>
      <c r="D55">
        <f>IF(OR(N(Database!$I55)&lt;=0,N(Screener!$D$9)&lt;=0),0,MAX(0,1-ABS(LOG10(N(Database!$I55)/Screener!$D$9))/W_SIZEHW))</f>
        <v/>
      </c>
      <c r="E55">
        <f>IF(OR(Database!$AU55="",Screener!$D$10=""),0,IF(Database!$AU55=Screener!$D$10,1,0))</f>
        <v/>
      </c>
      <c r="F55">
        <f>IF(OR(Database!$AZ55="",Screener!$D$11=""),0,IF(Database!$AZ55=Screener!$D$11,1,0))</f>
        <v/>
      </c>
      <c r="G55">
        <f>IF(OR(Database!$H55="",N(Screener!$D$12)&lt;=0),0,MAX(0,1-(N(Screener!$D$12)-Database!$H55)/W_RECD))</f>
        <v/>
      </c>
      <c r="H55">
        <f>IF($U$1="",0,N(ISNUMBER(SEARCH($U$1,Database!$X55&amp;""))))+IF($V$1="",0,N(ISNUMBER(SEARCH($V$1,Database!$X55&amp;""))))+IF($W$1="",0,N(ISNUMBER(SEARCH($W$1,Database!$X55&amp;""))))+IF($X$1="",0,N(ISNUMBER(SEARCH($X$1,Database!$X55&amp;""))))+IF($Y$1="",0,N(ISNUMBER(SEARCH($Y$1,Database!$X55&amp;""))))+IF(Screener!$B$17="",0,N(ISNUMBER(SEARCH(LOWER(Screener!$B$17),Database!$X55&amp;""))))</f>
        <v/>
      </c>
      <c r="I55">
        <f>IF(OR(N(Database!$AV55)&lt;=0,N(Screener!$D$13)&lt;=0),0,MAX(0,1-ABS(LOG10(N(Database!$AV55)/Screener!$D$13))/W_PEHW))</f>
        <v/>
      </c>
      <c r="J55">
        <f>IF(OR(N(Database!$S55)&lt;=0,N(Screener!$D$14)&lt;=0),0,MAX(0,1-ABS(LOG10(Database!$S55/Screener!$D$14))/0.6))</f>
        <v/>
      </c>
      <c r="K55">
        <f>IF(Database!$B55=Screener!$B$5,-999999,IF(ISNUMBER(SEARCH(","&amp;Database!$A55&amp;",",","&amp;SUBSTITUTE(Screener!$B$19," ","")&amp;",")),2000000,IF(IF(OR(Screener!$B$18="All",AND(Screener!$B$18="With A-share",(Database!$AZ55="Y")),AND(Screener!$B$18="Without A-share",NOT((Database!$AZ55="Y")))),1,0)=0,-999999,IF(Screener!$B$16="cornerstone overlap first",H55*100000,IF(Screener!$B$16="demand-similar first",J55*100000,0))+W_SUB*B55+W_SEC*C55*(1-B55)+W_SIZE*D55+W_PROF*E55+W_AH*F55+W_REC*G55+W_CS*H55+W_PE*I55)))+ROW()/1000000</f>
        <v/>
      </c>
      <c r="AA55">
        <f>Database!B44</f>
        <v/>
      </c>
      <c r="AB55">
        <f>Database!D44</f>
        <v/>
      </c>
      <c r="AC55">
        <f>Database!E44</f>
        <v/>
      </c>
      <c r="AD55">
        <f>Database!I44</f>
        <v/>
      </c>
      <c r="AE55">
        <f>Database!AU44</f>
        <v/>
      </c>
      <c r="AF55">
        <f>Database!AZ44</f>
        <v/>
      </c>
      <c r="AG55">
        <f>Database!H44</f>
        <v/>
      </c>
      <c r="AH55">
        <f>Database!AV44</f>
        <v/>
      </c>
    </row>
    <row r="56">
      <c r="A56">
        <f>Database!B56</f>
        <v/>
      </c>
      <c r="B56">
        <f>IF(AND(Screener!$D$8&lt;&gt;"",Database!$E56=Screener!$D$8),1,0)</f>
        <v/>
      </c>
      <c r="C56">
        <f>IF(AND(Screener!$D$7&lt;&gt;"",Database!$D56=Screener!$D$7),1,0)</f>
        <v/>
      </c>
      <c r="D56">
        <f>IF(OR(N(Database!$I56)&lt;=0,N(Screener!$D$9)&lt;=0),0,MAX(0,1-ABS(LOG10(N(Database!$I56)/Screener!$D$9))/W_SIZEHW))</f>
        <v/>
      </c>
      <c r="E56">
        <f>IF(OR(Database!$AU56="",Screener!$D$10=""),0,IF(Database!$AU56=Screener!$D$10,1,0))</f>
        <v/>
      </c>
      <c r="F56">
        <f>IF(OR(Database!$AZ56="",Screener!$D$11=""),0,IF(Database!$AZ56=Screener!$D$11,1,0))</f>
        <v/>
      </c>
      <c r="G56">
        <f>IF(OR(Database!$H56="",N(Screener!$D$12)&lt;=0),0,MAX(0,1-(N(Screener!$D$12)-Database!$H56)/W_RECD))</f>
        <v/>
      </c>
      <c r="H56">
        <f>IF($U$1="",0,N(ISNUMBER(SEARCH($U$1,Database!$X56&amp;""))))+IF($V$1="",0,N(ISNUMBER(SEARCH($V$1,Database!$X56&amp;""))))+IF($W$1="",0,N(ISNUMBER(SEARCH($W$1,Database!$X56&amp;""))))+IF($X$1="",0,N(ISNUMBER(SEARCH($X$1,Database!$X56&amp;""))))+IF($Y$1="",0,N(ISNUMBER(SEARCH($Y$1,Database!$X56&amp;""))))+IF(Screener!$B$17="",0,N(ISNUMBER(SEARCH(LOWER(Screener!$B$17),Database!$X56&amp;""))))</f>
        <v/>
      </c>
      <c r="I56">
        <f>IF(OR(N(Database!$AV56)&lt;=0,N(Screener!$D$13)&lt;=0),0,MAX(0,1-ABS(LOG10(N(Database!$AV56)/Screener!$D$13))/W_PEHW))</f>
        <v/>
      </c>
      <c r="J56">
        <f>IF(OR(N(Database!$S56)&lt;=0,N(Screener!$D$14)&lt;=0),0,MAX(0,1-ABS(LOG10(Database!$S56/Screener!$D$14))/0.6))</f>
        <v/>
      </c>
      <c r="K56">
        <f>IF(Database!$B56=Screener!$B$5,-999999,IF(ISNUMBER(SEARCH(","&amp;Database!$A56&amp;",",","&amp;SUBSTITUTE(Screener!$B$19," ","")&amp;",")),2000000,IF(IF(OR(Screener!$B$18="All",AND(Screener!$B$18="With A-share",(Database!$AZ56="Y")),AND(Screener!$B$18="Without A-share",NOT((Database!$AZ56="Y")))),1,0)=0,-999999,IF(Screener!$B$16="cornerstone overlap first",H56*100000,IF(Screener!$B$16="demand-similar first",J56*100000,0))+W_SUB*B56+W_SEC*C56*(1-B56)+W_SIZE*D56+W_PROF*E56+W_AH*F56+W_REC*G56+W_CS*H56+W_PE*I56)))+ROW()/1000000</f>
        <v/>
      </c>
      <c r="AA56">
        <f>Database!B45</f>
        <v/>
      </c>
      <c r="AB56">
        <f>Database!D45</f>
        <v/>
      </c>
      <c r="AC56">
        <f>Database!E45</f>
        <v/>
      </c>
      <c r="AD56">
        <f>Database!I45</f>
        <v/>
      </c>
      <c r="AE56">
        <f>Database!AU45</f>
        <v/>
      </c>
      <c r="AF56">
        <f>Database!AZ45</f>
        <v/>
      </c>
      <c r="AG56">
        <f>Database!H45</f>
        <v/>
      </c>
      <c r="AH56">
        <f>Database!AV45</f>
        <v/>
      </c>
    </row>
    <row r="57">
      <c r="A57">
        <f>Database!B57</f>
        <v/>
      </c>
      <c r="B57">
        <f>IF(AND(Screener!$D$8&lt;&gt;"",Database!$E57=Screener!$D$8),1,0)</f>
        <v/>
      </c>
      <c r="C57">
        <f>IF(AND(Screener!$D$7&lt;&gt;"",Database!$D57=Screener!$D$7),1,0)</f>
        <v/>
      </c>
      <c r="D57">
        <f>IF(OR(N(Database!$I57)&lt;=0,N(Screener!$D$9)&lt;=0),0,MAX(0,1-ABS(LOG10(N(Database!$I57)/Screener!$D$9))/W_SIZEHW))</f>
        <v/>
      </c>
      <c r="E57">
        <f>IF(OR(Database!$AU57="",Screener!$D$10=""),0,IF(Database!$AU57=Screener!$D$10,1,0))</f>
        <v/>
      </c>
      <c r="F57">
        <f>IF(OR(Database!$AZ57="",Screener!$D$11=""),0,IF(Database!$AZ57=Screener!$D$11,1,0))</f>
        <v/>
      </c>
      <c r="G57">
        <f>IF(OR(Database!$H57="",N(Screener!$D$12)&lt;=0),0,MAX(0,1-(N(Screener!$D$12)-Database!$H57)/W_RECD))</f>
        <v/>
      </c>
      <c r="H57">
        <f>IF($U$1="",0,N(ISNUMBER(SEARCH($U$1,Database!$X57&amp;""))))+IF($V$1="",0,N(ISNUMBER(SEARCH($V$1,Database!$X57&amp;""))))+IF($W$1="",0,N(ISNUMBER(SEARCH($W$1,Database!$X57&amp;""))))+IF($X$1="",0,N(ISNUMBER(SEARCH($X$1,Database!$X57&amp;""))))+IF($Y$1="",0,N(ISNUMBER(SEARCH($Y$1,Database!$X57&amp;""))))+IF(Screener!$B$17="",0,N(ISNUMBER(SEARCH(LOWER(Screener!$B$17),Database!$X57&amp;""))))</f>
        <v/>
      </c>
      <c r="I57">
        <f>IF(OR(N(Database!$AV57)&lt;=0,N(Screener!$D$13)&lt;=0),0,MAX(0,1-ABS(LOG10(N(Database!$AV57)/Screener!$D$13))/W_PEHW))</f>
        <v/>
      </c>
      <c r="J57">
        <f>IF(OR(N(Database!$S57)&lt;=0,N(Screener!$D$14)&lt;=0),0,MAX(0,1-ABS(LOG10(Database!$S57/Screener!$D$14))/0.6))</f>
        <v/>
      </c>
      <c r="K57">
        <f>IF(Database!$B57=Screener!$B$5,-999999,IF(ISNUMBER(SEARCH(","&amp;Database!$A57&amp;",",","&amp;SUBSTITUTE(Screener!$B$19," ","")&amp;",")),2000000,IF(IF(OR(Screener!$B$18="All",AND(Screener!$B$18="With A-share",(Database!$AZ57="Y")),AND(Screener!$B$18="Without A-share",NOT((Database!$AZ57="Y")))),1,0)=0,-999999,IF(Screener!$B$16="cornerstone overlap first",H57*100000,IF(Screener!$B$16="demand-similar first",J57*100000,0))+W_SUB*B57+W_SEC*C57*(1-B57)+W_SIZE*D57+W_PROF*E57+W_AH*F57+W_REC*G57+W_CS*H57+W_PE*I57)))+ROW()/1000000</f>
        <v/>
      </c>
      <c r="AA57">
        <f>Database!B46</f>
        <v/>
      </c>
      <c r="AB57">
        <f>Database!D46</f>
        <v/>
      </c>
      <c r="AC57">
        <f>Database!E46</f>
        <v/>
      </c>
      <c r="AD57">
        <f>Database!I46</f>
        <v/>
      </c>
      <c r="AE57">
        <f>Database!AU46</f>
        <v/>
      </c>
      <c r="AF57">
        <f>Database!AZ46</f>
        <v/>
      </c>
      <c r="AG57">
        <f>Database!H46</f>
        <v/>
      </c>
      <c r="AH57">
        <f>Database!AV46</f>
        <v/>
      </c>
    </row>
    <row r="58">
      <c r="A58">
        <f>Database!B58</f>
        <v/>
      </c>
      <c r="B58">
        <f>IF(AND(Screener!$D$8&lt;&gt;"",Database!$E58=Screener!$D$8),1,0)</f>
        <v/>
      </c>
      <c r="C58">
        <f>IF(AND(Screener!$D$7&lt;&gt;"",Database!$D58=Screener!$D$7),1,0)</f>
        <v/>
      </c>
      <c r="D58">
        <f>IF(OR(N(Database!$I58)&lt;=0,N(Screener!$D$9)&lt;=0),0,MAX(0,1-ABS(LOG10(N(Database!$I58)/Screener!$D$9))/W_SIZEHW))</f>
        <v/>
      </c>
      <c r="E58">
        <f>IF(OR(Database!$AU58="",Screener!$D$10=""),0,IF(Database!$AU58=Screener!$D$10,1,0))</f>
        <v/>
      </c>
      <c r="F58">
        <f>IF(OR(Database!$AZ58="",Screener!$D$11=""),0,IF(Database!$AZ58=Screener!$D$11,1,0))</f>
        <v/>
      </c>
      <c r="G58">
        <f>IF(OR(Database!$H58="",N(Screener!$D$12)&lt;=0),0,MAX(0,1-(N(Screener!$D$12)-Database!$H58)/W_RECD))</f>
        <v/>
      </c>
      <c r="H58">
        <f>IF($U$1="",0,N(ISNUMBER(SEARCH($U$1,Database!$X58&amp;""))))+IF($V$1="",0,N(ISNUMBER(SEARCH($V$1,Database!$X58&amp;""))))+IF($W$1="",0,N(ISNUMBER(SEARCH($W$1,Database!$X58&amp;""))))+IF($X$1="",0,N(ISNUMBER(SEARCH($X$1,Database!$X58&amp;""))))+IF($Y$1="",0,N(ISNUMBER(SEARCH($Y$1,Database!$X58&amp;""))))+IF(Screener!$B$17="",0,N(ISNUMBER(SEARCH(LOWER(Screener!$B$17),Database!$X58&amp;""))))</f>
        <v/>
      </c>
      <c r="I58">
        <f>IF(OR(N(Database!$AV58)&lt;=0,N(Screener!$D$13)&lt;=0),0,MAX(0,1-ABS(LOG10(N(Database!$AV58)/Screener!$D$13))/W_PEHW))</f>
        <v/>
      </c>
      <c r="J58">
        <f>IF(OR(N(Database!$S58)&lt;=0,N(Screener!$D$14)&lt;=0),0,MAX(0,1-ABS(LOG10(Database!$S58/Screener!$D$14))/0.6))</f>
        <v/>
      </c>
      <c r="K58">
        <f>IF(Database!$B58=Screener!$B$5,-999999,IF(ISNUMBER(SEARCH(","&amp;Database!$A58&amp;",",","&amp;SUBSTITUTE(Screener!$B$19," ","")&amp;",")),2000000,IF(IF(OR(Screener!$B$18="All",AND(Screener!$B$18="With A-share",(Database!$AZ58="Y")),AND(Screener!$B$18="Without A-share",NOT((Database!$AZ58="Y")))),1,0)=0,-999999,IF(Screener!$B$16="cornerstone overlap first",H58*100000,IF(Screener!$B$16="demand-similar first",J58*100000,0))+W_SUB*B58+W_SEC*C58*(1-B58)+W_SIZE*D58+W_PROF*E58+W_AH*F58+W_REC*G58+W_CS*H58+W_PE*I58)))+ROW()/1000000</f>
        <v/>
      </c>
      <c r="AA58">
        <f>Database!B47</f>
        <v/>
      </c>
      <c r="AB58">
        <f>Database!D47</f>
        <v/>
      </c>
      <c r="AC58">
        <f>Database!E47</f>
        <v/>
      </c>
      <c r="AD58">
        <f>Database!I47</f>
        <v/>
      </c>
      <c r="AE58">
        <f>Database!AU47</f>
        <v/>
      </c>
      <c r="AF58">
        <f>Database!AZ47</f>
        <v/>
      </c>
      <c r="AG58">
        <f>Database!H47</f>
        <v/>
      </c>
      <c r="AH58">
        <f>Database!AV47</f>
        <v/>
      </c>
    </row>
    <row r="59">
      <c r="A59">
        <f>Database!B59</f>
        <v/>
      </c>
      <c r="B59">
        <f>IF(AND(Screener!$D$8&lt;&gt;"",Database!$E59=Screener!$D$8),1,0)</f>
        <v/>
      </c>
      <c r="C59">
        <f>IF(AND(Screener!$D$7&lt;&gt;"",Database!$D59=Screener!$D$7),1,0)</f>
        <v/>
      </c>
      <c r="D59">
        <f>IF(OR(N(Database!$I59)&lt;=0,N(Screener!$D$9)&lt;=0),0,MAX(0,1-ABS(LOG10(N(Database!$I59)/Screener!$D$9))/W_SIZEHW))</f>
        <v/>
      </c>
      <c r="E59">
        <f>IF(OR(Database!$AU59="",Screener!$D$10=""),0,IF(Database!$AU59=Screener!$D$10,1,0))</f>
        <v/>
      </c>
      <c r="F59">
        <f>IF(OR(Database!$AZ59="",Screener!$D$11=""),0,IF(Database!$AZ59=Screener!$D$11,1,0))</f>
        <v/>
      </c>
      <c r="G59">
        <f>IF(OR(Database!$H59="",N(Screener!$D$12)&lt;=0),0,MAX(0,1-(N(Screener!$D$12)-Database!$H59)/W_RECD))</f>
        <v/>
      </c>
      <c r="H59">
        <f>IF($U$1="",0,N(ISNUMBER(SEARCH($U$1,Database!$X59&amp;""))))+IF($V$1="",0,N(ISNUMBER(SEARCH($V$1,Database!$X59&amp;""))))+IF($W$1="",0,N(ISNUMBER(SEARCH($W$1,Database!$X59&amp;""))))+IF($X$1="",0,N(ISNUMBER(SEARCH($X$1,Database!$X59&amp;""))))+IF($Y$1="",0,N(ISNUMBER(SEARCH($Y$1,Database!$X59&amp;""))))+IF(Screener!$B$17="",0,N(ISNUMBER(SEARCH(LOWER(Screener!$B$17),Database!$X59&amp;""))))</f>
        <v/>
      </c>
      <c r="I59">
        <f>IF(OR(N(Database!$AV59)&lt;=0,N(Screener!$D$13)&lt;=0),0,MAX(0,1-ABS(LOG10(N(Database!$AV59)/Screener!$D$13))/W_PEHW))</f>
        <v/>
      </c>
      <c r="J59">
        <f>IF(OR(N(Database!$S59)&lt;=0,N(Screener!$D$14)&lt;=0),0,MAX(0,1-ABS(LOG10(Database!$S59/Screener!$D$14))/0.6))</f>
        <v/>
      </c>
      <c r="K59">
        <f>IF(Database!$B59=Screener!$B$5,-999999,IF(ISNUMBER(SEARCH(","&amp;Database!$A59&amp;",",","&amp;SUBSTITUTE(Screener!$B$19," ","")&amp;",")),2000000,IF(IF(OR(Screener!$B$18="All",AND(Screener!$B$18="With A-share",(Database!$AZ59="Y")),AND(Screener!$B$18="Without A-share",NOT((Database!$AZ59="Y")))),1,0)=0,-999999,IF(Screener!$B$16="cornerstone overlap first",H59*100000,IF(Screener!$B$16="demand-similar first",J59*100000,0))+W_SUB*B59+W_SEC*C59*(1-B59)+W_SIZE*D59+W_PROF*E59+W_AH*F59+W_REC*G59+W_CS*H59+W_PE*I59)))+ROW()/1000000</f>
        <v/>
      </c>
      <c r="AA59">
        <f>Database!B48</f>
        <v/>
      </c>
      <c r="AB59">
        <f>Database!D48</f>
        <v/>
      </c>
      <c r="AC59">
        <f>Database!E48</f>
        <v/>
      </c>
      <c r="AD59">
        <f>Database!I48</f>
        <v/>
      </c>
      <c r="AE59">
        <f>Database!AU48</f>
        <v/>
      </c>
      <c r="AF59">
        <f>Database!AZ48</f>
        <v/>
      </c>
      <c r="AG59">
        <f>Database!H48</f>
        <v/>
      </c>
      <c r="AH59">
        <f>Database!AV48</f>
        <v/>
      </c>
    </row>
    <row r="60">
      <c r="A60">
        <f>Database!B60</f>
        <v/>
      </c>
      <c r="B60">
        <f>IF(AND(Screener!$D$8&lt;&gt;"",Database!$E60=Screener!$D$8),1,0)</f>
        <v/>
      </c>
      <c r="C60">
        <f>IF(AND(Screener!$D$7&lt;&gt;"",Database!$D60=Screener!$D$7),1,0)</f>
        <v/>
      </c>
      <c r="D60">
        <f>IF(OR(N(Database!$I60)&lt;=0,N(Screener!$D$9)&lt;=0),0,MAX(0,1-ABS(LOG10(N(Database!$I60)/Screener!$D$9))/W_SIZEHW))</f>
        <v/>
      </c>
      <c r="E60">
        <f>IF(OR(Database!$AU60="",Screener!$D$10=""),0,IF(Database!$AU60=Screener!$D$10,1,0))</f>
        <v/>
      </c>
      <c r="F60">
        <f>IF(OR(Database!$AZ60="",Screener!$D$11=""),0,IF(Database!$AZ60=Screener!$D$11,1,0))</f>
        <v/>
      </c>
      <c r="G60">
        <f>IF(OR(Database!$H60="",N(Screener!$D$12)&lt;=0),0,MAX(0,1-(N(Screener!$D$12)-Database!$H60)/W_RECD))</f>
        <v/>
      </c>
      <c r="H60">
        <f>IF($U$1="",0,N(ISNUMBER(SEARCH($U$1,Database!$X60&amp;""))))+IF($V$1="",0,N(ISNUMBER(SEARCH($V$1,Database!$X60&amp;""))))+IF($W$1="",0,N(ISNUMBER(SEARCH($W$1,Database!$X60&amp;""))))+IF($X$1="",0,N(ISNUMBER(SEARCH($X$1,Database!$X60&amp;""))))+IF($Y$1="",0,N(ISNUMBER(SEARCH($Y$1,Database!$X60&amp;""))))+IF(Screener!$B$17="",0,N(ISNUMBER(SEARCH(LOWER(Screener!$B$17),Database!$X60&amp;""))))</f>
        <v/>
      </c>
      <c r="I60">
        <f>IF(OR(N(Database!$AV60)&lt;=0,N(Screener!$D$13)&lt;=0),0,MAX(0,1-ABS(LOG10(N(Database!$AV60)/Screener!$D$13))/W_PEHW))</f>
        <v/>
      </c>
      <c r="J60">
        <f>IF(OR(N(Database!$S60)&lt;=0,N(Screener!$D$14)&lt;=0),0,MAX(0,1-ABS(LOG10(Database!$S60/Screener!$D$14))/0.6))</f>
        <v/>
      </c>
      <c r="K60">
        <f>IF(Database!$B60=Screener!$B$5,-999999,IF(ISNUMBER(SEARCH(","&amp;Database!$A60&amp;",",","&amp;SUBSTITUTE(Screener!$B$19," ","")&amp;",")),2000000,IF(IF(OR(Screener!$B$18="All",AND(Screener!$B$18="With A-share",(Database!$AZ60="Y")),AND(Screener!$B$18="Without A-share",NOT((Database!$AZ60="Y")))),1,0)=0,-999999,IF(Screener!$B$16="cornerstone overlap first",H60*100000,IF(Screener!$B$16="demand-similar first",J60*100000,0))+W_SUB*B60+W_SEC*C60*(1-B60)+W_SIZE*D60+W_PROF*E60+W_AH*F60+W_REC*G60+W_CS*H60+W_PE*I60)))+ROW()/1000000</f>
        <v/>
      </c>
      <c r="AA60">
        <f>Database!B49</f>
        <v/>
      </c>
      <c r="AB60">
        <f>Database!D49</f>
        <v/>
      </c>
      <c r="AC60">
        <f>Database!E49</f>
        <v/>
      </c>
      <c r="AD60">
        <f>Database!I49</f>
        <v/>
      </c>
      <c r="AE60">
        <f>Database!AU49</f>
        <v/>
      </c>
      <c r="AF60">
        <f>Database!AZ49</f>
        <v/>
      </c>
      <c r="AG60">
        <f>Database!H49</f>
        <v/>
      </c>
      <c r="AH60">
        <f>Database!AV49</f>
        <v/>
      </c>
    </row>
    <row r="61">
      <c r="A61">
        <f>Database!B61</f>
        <v/>
      </c>
      <c r="B61">
        <f>IF(AND(Screener!$D$8&lt;&gt;"",Database!$E61=Screener!$D$8),1,0)</f>
        <v/>
      </c>
      <c r="C61">
        <f>IF(AND(Screener!$D$7&lt;&gt;"",Database!$D61=Screener!$D$7),1,0)</f>
        <v/>
      </c>
      <c r="D61">
        <f>IF(OR(N(Database!$I61)&lt;=0,N(Screener!$D$9)&lt;=0),0,MAX(0,1-ABS(LOG10(N(Database!$I61)/Screener!$D$9))/W_SIZEHW))</f>
        <v/>
      </c>
      <c r="E61">
        <f>IF(OR(Database!$AU61="",Screener!$D$10=""),0,IF(Database!$AU61=Screener!$D$10,1,0))</f>
        <v/>
      </c>
      <c r="F61">
        <f>IF(OR(Database!$AZ61="",Screener!$D$11=""),0,IF(Database!$AZ61=Screener!$D$11,1,0))</f>
        <v/>
      </c>
      <c r="G61">
        <f>IF(OR(Database!$H61="",N(Screener!$D$12)&lt;=0),0,MAX(0,1-(N(Screener!$D$12)-Database!$H61)/W_RECD))</f>
        <v/>
      </c>
      <c r="H61">
        <f>IF($U$1="",0,N(ISNUMBER(SEARCH($U$1,Database!$X61&amp;""))))+IF($V$1="",0,N(ISNUMBER(SEARCH($V$1,Database!$X61&amp;""))))+IF($W$1="",0,N(ISNUMBER(SEARCH($W$1,Database!$X61&amp;""))))+IF($X$1="",0,N(ISNUMBER(SEARCH($X$1,Database!$X61&amp;""))))+IF($Y$1="",0,N(ISNUMBER(SEARCH($Y$1,Database!$X61&amp;""))))+IF(Screener!$B$17="",0,N(ISNUMBER(SEARCH(LOWER(Screener!$B$17),Database!$X61&amp;""))))</f>
        <v/>
      </c>
      <c r="I61">
        <f>IF(OR(N(Database!$AV61)&lt;=0,N(Screener!$D$13)&lt;=0),0,MAX(0,1-ABS(LOG10(N(Database!$AV61)/Screener!$D$13))/W_PEHW))</f>
        <v/>
      </c>
      <c r="J61">
        <f>IF(OR(N(Database!$S61)&lt;=0,N(Screener!$D$14)&lt;=0),0,MAX(0,1-ABS(LOG10(Database!$S61/Screener!$D$14))/0.6))</f>
        <v/>
      </c>
      <c r="K61">
        <f>IF(Database!$B61=Screener!$B$5,-999999,IF(ISNUMBER(SEARCH(","&amp;Database!$A61&amp;",",","&amp;SUBSTITUTE(Screener!$B$19," ","")&amp;",")),2000000,IF(IF(OR(Screener!$B$18="All",AND(Screener!$B$18="With A-share",(Database!$AZ61="Y")),AND(Screener!$B$18="Without A-share",NOT((Database!$AZ61="Y")))),1,0)=0,-999999,IF(Screener!$B$16="cornerstone overlap first",H61*100000,IF(Screener!$B$16="demand-similar first",J61*100000,0))+W_SUB*B61+W_SEC*C61*(1-B61)+W_SIZE*D61+W_PROF*E61+W_AH*F61+W_REC*G61+W_CS*H61+W_PE*I61)))+ROW()/1000000</f>
        <v/>
      </c>
      <c r="AA61">
        <f>Database!B50</f>
        <v/>
      </c>
      <c r="AB61">
        <f>Database!D50</f>
        <v/>
      </c>
      <c r="AC61">
        <f>Database!E50</f>
        <v/>
      </c>
      <c r="AD61">
        <f>Database!I50</f>
        <v/>
      </c>
      <c r="AE61">
        <f>Database!AU50</f>
        <v/>
      </c>
      <c r="AF61">
        <f>Database!AZ50</f>
        <v/>
      </c>
      <c r="AG61">
        <f>Database!H50</f>
        <v/>
      </c>
      <c r="AH61">
        <f>Database!AV50</f>
        <v/>
      </c>
    </row>
    <row r="62">
      <c r="A62">
        <f>Database!B62</f>
        <v/>
      </c>
      <c r="B62">
        <f>IF(AND(Screener!$D$8&lt;&gt;"",Database!$E62=Screener!$D$8),1,0)</f>
        <v/>
      </c>
      <c r="C62">
        <f>IF(AND(Screener!$D$7&lt;&gt;"",Database!$D62=Screener!$D$7),1,0)</f>
        <v/>
      </c>
      <c r="D62">
        <f>IF(OR(N(Database!$I62)&lt;=0,N(Screener!$D$9)&lt;=0),0,MAX(0,1-ABS(LOG10(N(Database!$I62)/Screener!$D$9))/W_SIZEHW))</f>
        <v/>
      </c>
      <c r="E62">
        <f>IF(OR(Database!$AU62="",Screener!$D$10=""),0,IF(Database!$AU62=Screener!$D$10,1,0))</f>
        <v/>
      </c>
      <c r="F62">
        <f>IF(OR(Database!$AZ62="",Screener!$D$11=""),0,IF(Database!$AZ62=Screener!$D$11,1,0))</f>
        <v/>
      </c>
      <c r="G62">
        <f>IF(OR(Database!$H62="",N(Screener!$D$12)&lt;=0),0,MAX(0,1-(N(Screener!$D$12)-Database!$H62)/W_RECD))</f>
        <v/>
      </c>
      <c r="H62">
        <f>IF($U$1="",0,N(ISNUMBER(SEARCH($U$1,Database!$X62&amp;""))))+IF($V$1="",0,N(ISNUMBER(SEARCH($V$1,Database!$X62&amp;""))))+IF($W$1="",0,N(ISNUMBER(SEARCH($W$1,Database!$X62&amp;""))))+IF($X$1="",0,N(ISNUMBER(SEARCH($X$1,Database!$X62&amp;""))))+IF($Y$1="",0,N(ISNUMBER(SEARCH($Y$1,Database!$X62&amp;""))))+IF(Screener!$B$17="",0,N(ISNUMBER(SEARCH(LOWER(Screener!$B$17),Database!$X62&amp;""))))</f>
        <v/>
      </c>
      <c r="I62">
        <f>IF(OR(N(Database!$AV62)&lt;=0,N(Screener!$D$13)&lt;=0),0,MAX(0,1-ABS(LOG10(N(Database!$AV62)/Screener!$D$13))/W_PEHW))</f>
        <v/>
      </c>
      <c r="J62">
        <f>IF(OR(N(Database!$S62)&lt;=0,N(Screener!$D$14)&lt;=0),0,MAX(0,1-ABS(LOG10(Database!$S62/Screener!$D$14))/0.6))</f>
        <v/>
      </c>
      <c r="K62">
        <f>IF(Database!$B62=Screener!$B$5,-999999,IF(ISNUMBER(SEARCH(","&amp;Database!$A62&amp;",",","&amp;SUBSTITUTE(Screener!$B$19," ","")&amp;",")),2000000,IF(IF(OR(Screener!$B$18="All",AND(Screener!$B$18="With A-share",(Database!$AZ62="Y")),AND(Screener!$B$18="Without A-share",NOT((Database!$AZ62="Y")))),1,0)=0,-999999,IF(Screener!$B$16="cornerstone overlap first",H62*100000,IF(Screener!$B$16="demand-similar first",J62*100000,0))+W_SUB*B62+W_SEC*C62*(1-B62)+W_SIZE*D62+W_PROF*E62+W_AH*F62+W_REC*G62+W_CS*H62+W_PE*I62)))+ROW()/1000000</f>
        <v/>
      </c>
      <c r="AA62">
        <f>Database!B51</f>
        <v/>
      </c>
      <c r="AB62">
        <f>Database!D51</f>
        <v/>
      </c>
      <c r="AC62">
        <f>Database!E51</f>
        <v/>
      </c>
      <c r="AD62">
        <f>Database!I51</f>
        <v/>
      </c>
      <c r="AE62">
        <f>Database!AU51</f>
        <v/>
      </c>
      <c r="AF62">
        <f>Database!AZ51</f>
        <v/>
      </c>
      <c r="AG62">
        <f>Database!H51</f>
        <v/>
      </c>
      <c r="AH62">
        <f>Database!AV51</f>
        <v/>
      </c>
    </row>
    <row r="63">
      <c r="A63">
        <f>Database!B63</f>
        <v/>
      </c>
      <c r="B63">
        <f>IF(AND(Screener!$D$8&lt;&gt;"",Database!$E63=Screener!$D$8),1,0)</f>
        <v/>
      </c>
      <c r="C63">
        <f>IF(AND(Screener!$D$7&lt;&gt;"",Database!$D63=Screener!$D$7),1,0)</f>
        <v/>
      </c>
      <c r="D63">
        <f>IF(OR(N(Database!$I63)&lt;=0,N(Screener!$D$9)&lt;=0),0,MAX(0,1-ABS(LOG10(N(Database!$I63)/Screener!$D$9))/W_SIZEHW))</f>
        <v/>
      </c>
      <c r="E63">
        <f>IF(OR(Database!$AU63="",Screener!$D$10=""),0,IF(Database!$AU63=Screener!$D$10,1,0))</f>
        <v/>
      </c>
      <c r="F63">
        <f>IF(OR(Database!$AZ63="",Screener!$D$11=""),0,IF(Database!$AZ63=Screener!$D$11,1,0))</f>
        <v/>
      </c>
      <c r="G63">
        <f>IF(OR(Database!$H63="",N(Screener!$D$12)&lt;=0),0,MAX(0,1-(N(Screener!$D$12)-Database!$H63)/W_RECD))</f>
        <v/>
      </c>
      <c r="H63">
        <f>IF($U$1="",0,N(ISNUMBER(SEARCH($U$1,Database!$X63&amp;""))))+IF($V$1="",0,N(ISNUMBER(SEARCH($V$1,Database!$X63&amp;""))))+IF($W$1="",0,N(ISNUMBER(SEARCH($W$1,Database!$X63&amp;""))))+IF($X$1="",0,N(ISNUMBER(SEARCH($X$1,Database!$X63&amp;""))))+IF($Y$1="",0,N(ISNUMBER(SEARCH($Y$1,Database!$X63&amp;""))))+IF(Screener!$B$17="",0,N(ISNUMBER(SEARCH(LOWER(Screener!$B$17),Database!$X63&amp;""))))</f>
        <v/>
      </c>
      <c r="I63">
        <f>IF(OR(N(Database!$AV63)&lt;=0,N(Screener!$D$13)&lt;=0),0,MAX(0,1-ABS(LOG10(N(Database!$AV63)/Screener!$D$13))/W_PEHW))</f>
        <v/>
      </c>
      <c r="J63">
        <f>IF(OR(N(Database!$S63)&lt;=0,N(Screener!$D$14)&lt;=0),0,MAX(0,1-ABS(LOG10(Database!$S63/Screener!$D$14))/0.6))</f>
        <v/>
      </c>
      <c r="K63">
        <f>IF(Database!$B63=Screener!$B$5,-999999,IF(ISNUMBER(SEARCH(","&amp;Database!$A63&amp;",",","&amp;SUBSTITUTE(Screener!$B$19," ","")&amp;",")),2000000,IF(IF(OR(Screener!$B$18="All",AND(Screener!$B$18="With A-share",(Database!$AZ63="Y")),AND(Screener!$B$18="Without A-share",NOT((Database!$AZ63="Y")))),1,0)=0,-999999,IF(Screener!$B$16="cornerstone overlap first",H63*100000,IF(Screener!$B$16="demand-similar first",J63*100000,0))+W_SUB*B63+W_SEC*C63*(1-B63)+W_SIZE*D63+W_PROF*E63+W_AH*F63+W_REC*G63+W_CS*H63+W_PE*I63)))+ROW()/1000000</f>
        <v/>
      </c>
      <c r="AA63">
        <f>Database!B52</f>
        <v/>
      </c>
      <c r="AB63">
        <f>Database!D52</f>
        <v/>
      </c>
      <c r="AC63">
        <f>Database!E52</f>
        <v/>
      </c>
      <c r="AD63">
        <f>Database!I52</f>
        <v/>
      </c>
      <c r="AE63">
        <f>Database!AU52</f>
        <v/>
      </c>
      <c r="AF63">
        <f>Database!AZ52</f>
        <v/>
      </c>
      <c r="AG63">
        <f>Database!H52</f>
        <v/>
      </c>
      <c r="AH63">
        <f>Database!AV52</f>
        <v/>
      </c>
    </row>
    <row r="64">
      <c r="A64">
        <f>Database!B64</f>
        <v/>
      </c>
      <c r="B64">
        <f>IF(AND(Screener!$D$8&lt;&gt;"",Database!$E64=Screener!$D$8),1,0)</f>
        <v/>
      </c>
      <c r="C64">
        <f>IF(AND(Screener!$D$7&lt;&gt;"",Database!$D64=Screener!$D$7),1,0)</f>
        <v/>
      </c>
      <c r="D64">
        <f>IF(OR(N(Database!$I64)&lt;=0,N(Screener!$D$9)&lt;=0),0,MAX(0,1-ABS(LOG10(N(Database!$I64)/Screener!$D$9))/W_SIZEHW))</f>
        <v/>
      </c>
      <c r="E64">
        <f>IF(OR(Database!$AU64="",Screener!$D$10=""),0,IF(Database!$AU64=Screener!$D$10,1,0))</f>
        <v/>
      </c>
      <c r="F64">
        <f>IF(OR(Database!$AZ64="",Screener!$D$11=""),0,IF(Database!$AZ64=Screener!$D$11,1,0))</f>
        <v/>
      </c>
      <c r="G64">
        <f>IF(OR(Database!$H64="",N(Screener!$D$12)&lt;=0),0,MAX(0,1-(N(Screener!$D$12)-Database!$H64)/W_RECD))</f>
        <v/>
      </c>
      <c r="H64">
        <f>IF($U$1="",0,N(ISNUMBER(SEARCH($U$1,Database!$X64&amp;""))))+IF($V$1="",0,N(ISNUMBER(SEARCH($V$1,Database!$X64&amp;""))))+IF($W$1="",0,N(ISNUMBER(SEARCH($W$1,Database!$X64&amp;""))))+IF($X$1="",0,N(ISNUMBER(SEARCH($X$1,Database!$X64&amp;""))))+IF($Y$1="",0,N(ISNUMBER(SEARCH($Y$1,Database!$X64&amp;""))))+IF(Screener!$B$17="",0,N(ISNUMBER(SEARCH(LOWER(Screener!$B$17),Database!$X64&amp;""))))</f>
        <v/>
      </c>
      <c r="I64">
        <f>IF(OR(N(Database!$AV64)&lt;=0,N(Screener!$D$13)&lt;=0),0,MAX(0,1-ABS(LOG10(N(Database!$AV64)/Screener!$D$13))/W_PEHW))</f>
        <v/>
      </c>
      <c r="J64">
        <f>IF(OR(N(Database!$S64)&lt;=0,N(Screener!$D$14)&lt;=0),0,MAX(0,1-ABS(LOG10(Database!$S64/Screener!$D$14))/0.6))</f>
        <v/>
      </c>
      <c r="K64">
        <f>IF(Database!$B64=Screener!$B$5,-999999,IF(ISNUMBER(SEARCH(","&amp;Database!$A64&amp;",",","&amp;SUBSTITUTE(Screener!$B$19," ","")&amp;",")),2000000,IF(IF(OR(Screener!$B$18="All",AND(Screener!$B$18="With A-share",(Database!$AZ64="Y")),AND(Screener!$B$18="Without A-share",NOT((Database!$AZ64="Y")))),1,0)=0,-999999,IF(Screener!$B$16="cornerstone overlap first",H64*100000,IF(Screener!$B$16="demand-similar first",J64*100000,0))+W_SUB*B64+W_SEC*C64*(1-B64)+W_SIZE*D64+W_PROF*E64+W_AH*F64+W_REC*G64+W_CS*H64+W_PE*I64)))+ROW()/1000000</f>
        <v/>
      </c>
      <c r="AA64">
        <f>Database!B53</f>
        <v/>
      </c>
      <c r="AB64">
        <f>Database!D53</f>
        <v/>
      </c>
      <c r="AC64">
        <f>Database!E53</f>
        <v/>
      </c>
      <c r="AD64">
        <f>Database!I53</f>
        <v/>
      </c>
      <c r="AE64">
        <f>Database!AU53</f>
        <v/>
      </c>
      <c r="AF64">
        <f>Database!AZ53</f>
        <v/>
      </c>
      <c r="AG64">
        <f>Database!H53</f>
        <v/>
      </c>
      <c r="AH64">
        <f>Database!AV53</f>
        <v/>
      </c>
    </row>
    <row r="65">
      <c r="A65">
        <f>Database!B65</f>
        <v/>
      </c>
      <c r="B65">
        <f>IF(AND(Screener!$D$8&lt;&gt;"",Database!$E65=Screener!$D$8),1,0)</f>
        <v/>
      </c>
      <c r="C65">
        <f>IF(AND(Screener!$D$7&lt;&gt;"",Database!$D65=Screener!$D$7),1,0)</f>
        <v/>
      </c>
      <c r="D65">
        <f>IF(OR(N(Database!$I65)&lt;=0,N(Screener!$D$9)&lt;=0),0,MAX(0,1-ABS(LOG10(N(Database!$I65)/Screener!$D$9))/W_SIZEHW))</f>
        <v/>
      </c>
      <c r="E65">
        <f>IF(OR(Database!$AU65="",Screener!$D$10=""),0,IF(Database!$AU65=Screener!$D$10,1,0))</f>
        <v/>
      </c>
      <c r="F65">
        <f>IF(OR(Database!$AZ65="",Screener!$D$11=""),0,IF(Database!$AZ65=Screener!$D$11,1,0))</f>
        <v/>
      </c>
      <c r="G65">
        <f>IF(OR(Database!$H65="",N(Screener!$D$12)&lt;=0),0,MAX(0,1-(N(Screener!$D$12)-Database!$H65)/W_RECD))</f>
        <v/>
      </c>
      <c r="H65">
        <f>IF($U$1="",0,N(ISNUMBER(SEARCH($U$1,Database!$X65&amp;""))))+IF($V$1="",0,N(ISNUMBER(SEARCH($V$1,Database!$X65&amp;""))))+IF($W$1="",0,N(ISNUMBER(SEARCH($W$1,Database!$X65&amp;""))))+IF($X$1="",0,N(ISNUMBER(SEARCH($X$1,Database!$X65&amp;""))))+IF($Y$1="",0,N(ISNUMBER(SEARCH($Y$1,Database!$X65&amp;""))))+IF(Screener!$B$17="",0,N(ISNUMBER(SEARCH(LOWER(Screener!$B$17),Database!$X65&amp;""))))</f>
        <v/>
      </c>
      <c r="I65">
        <f>IF(OR(N(Database!$AV65)&lt;=0,N(Screener!$D$13)&lt;=0),0,MAX(0,1-ABS(LOG10(N(Database!$AV65)/Screener!$D$13))/W_PEHW))</f>
        <v/>
      </c>
      <c r="J65">
        <f>IF(OR(N(Database!$S65)&lt;=0,N(Screener!$D$14)&lt;=0),0,MAX(0,1-ABS(LOG10(Database!$S65/Screener!$D$14))/0.6))</f>
        <v/>
      </c>
      <c r="K65">
        <f>IF(Database!$B65=Screener!$B$5,-999999,IF(ISNUMBER(SEARCH(","&amp;Database!$A65&amp;",",","&amp;SUBSTITUTE(Screener!$B$19," ","")&amp;",")),2000000,IF(IF(OR(Screener!$B$18="All",AND(Screener!$B$18="With A-share",(Database!$AZ65="Y")),AND(Screener!$B$18="Without A-share",NOT((Database!$AZ65="Y")))),1,0)=0,-999999,IF(Screener!$B$16="cornerstone overlap first",H65*100000,IF(Screener!$B$16="demand-similar first",J65*100000,0))+W_SUB*B65+W_SEC*C65*(1-B65)+W_SIZE*D65+W_PROF*E65+W_AH*F65+W_REC*G65+W_CS*H65+W_PE*I65)))+ROW()/1000000</f>
        <v/>
      </c>
      <c r="AA65">
        <f>Database!B54</f>
        <v/>
      </c>
      <c r="AB65">
        <f>Database!D54</f>
        <v/>
      </c>
      <c r="AC65">
        <f>Database!E54</f>
        <v/>
      </c>
      <c r="AD65">
        <f>Database!I54</f>
        <v/>
      </c>
      <c r="AE65">
        <f>Database!AU54</f>
        <v/>
      </c>
      <c r="AF65">
        <f>Database!AZ54</f>
        <v/>
      </c>
      <c r="AG65">
        <f>Database!H54</f>
        <v/>
      </c>
      <c r="AH65">
        <f>Database!AV54</f>
        <v/>
      </c>
    </row>
    <row r="66">
      <c r="A66">
        <f>Database!B66</f>
        <v/>
      </c>
      <c r="B66">
        <f>IF(AND(Screener!$D$8&lt;&gt;"",Database!$E66=Screener!$D$8),1,0)</f>
        <v/>
      </c>
      <c r="C66">
        <f>IF(AND(Screener!$D$7&lt;&gt;"",Database!$D66=Screener!$D$7),1,0)</f>
        <v/>
      </c>
      <c r="D66">
        <f>IF(OR(N(Database!$I66)&lt;=0,N(Screener!$D$9)&lt;=0),0,MAX(0,1-ABS(LOG10(N(Database!$I66)/Screener!$D$9))/W_SIZEHW))</f>
        <v/>
      </c>
      <c r="E66">
        <f>IF(OR(Database!$AU66="",Screener!$D$10=""),0,IF(Database!$AU66=Screener!$D$10,1,0))</f>
        <v/>
      </c>
      <c r="F66">
        <f>IF(OR(Database!$AZ66="",Screener!$D$11=""),0,IF(Database!$AZ66=Screener!$D$11,1,0))</f>
        <v/>
      </c>
      <c r="G66">
        <f>IF(OR(Database!$H66="",N(Screener!$D$12)&lt;=0),0,MAX(0,1-(N(Screener!$D$12)-Database!$H66)/W_RECD))</f>
        <v/>
      </c>
      <c r="H66">
        <f>IF($U$1="",0,N(ISNUMBER(SEARCH($U$1,Database!$X66&amp;""))))+IF($V$1="",0,N(ISNUMBER(SEARCH($V$1,Database!$X66&amp;""))))+IF($W$1="",0,N(ISNUMBER(SEARCH($W$1,Database!$X66&amp;""))))+IF($X$1="",0,N(ISNUMBER(SEARCH($X$1,Database!$X66&amp;""))))+IF($Y$1="",0,N(ISNUMBER(SEARCH($Y$1,Database!$X66&amp;""))))+IF(Screener!$B$17="",0,N(ISNUMBER(SEARCH(LOWER(Screener!$B$17),Database!$X66&amp;""))))</f>
        <v/>
      </c>
      <c r="I66">
        <f>IF(OR(N(Database!$AV66)&lt;=0,N(Screener!$D$13)&lt;=0),0,MAX(0,1-ABS(LOG10(N(Database!$AV66)/Screener!$D$13))/W_PEHW))</f>
        <v/>
      </c>
      <c r="J66">
        <f>IF(OR(N(Database!$S66)&lt;=0,N(Screener!$D$14)&lt;=0),0,MAX(0,1-ABS(LOG10(Database!$S66/Screener!$D$14))/0.6))</f>
        <v/>
      </c>
      <c r="K66">
        <f>IF(Database!$B66=Screener!$B$5,-999999,IF(ISNUMBER(SEARCH(","&amp;Database!$A66&amp;",",","&amp;SUBSTITUTE(Screener!$B$19," ","")&amp;",")),2000000,IF(IF(OR(Screener!$B$18="All",AND(Screener!$B$18="With A-share",(Database!$AZ66="Y")),AND(Screener!$B$18="Without A-share",NOT((Database!$AZ66="Y")))),1,0)=0,-999999,IF(Screener!$B$16="cornerstone overlap first",H66*100000,IF(Screener!$B$16="demand-similar first",J66*100000,0))+W_SUB*B66+W_SEC*C66*(1-B66)+W_SIZE*D66+W_PROF*E66+W_AH*F66+W_REC*G66+W_CS*H66+W_PE*I66)))+ROW()/1000000</f>
        <v/>
      </c>
      <c r="AA66">
        <f>Database!B55</f>
        <v/>
      </c>
      <c r="AB66">
        <f>Database!D55</f>
        <v/>
      </c>
      <c r="AC66">
        <f>Database!E55</f>
        <v/>
      </c>
      <c r="AD66">
        <f>Database!I55</f>
        <v/>
      </c>
      <c r="AE66">
        <f>Database!AU55</f>
        <v/>
      </c>
      <c r="AF66">
        <f>Database!AZ55</f>
        <v/>
      </c>
      <c r="AG66">
        <f>Database!H55</f>
        <v/>
      </c>
      <c r="AH66">
        <f>Database!AV55</f>
        <v/>
      </c>
    </row>
    <row r="67">
      <c r="A67">
        <f>Database!B67</f>
        <v/>
      </c>
      <c r="B67">
        <f>IF(AND(Screener!$D$8&lt;&gt;"",Database!$E67=Screener!$D$8),1,0)</f>
        <v/>
      </c>
      <c r="C67">
        <f>IF(AND(Screener!$D$7&lt;&gt;"",Database!$D67=Screener!$D$7),1,0)</f>
        <v/>
      </c>
      <c r="D67">
        <f>IF(OR(N(Database!$I67)&lt;=0,N(Screener!$D$9)&lt;=0),0,MAX(0,1-ABS(LOG10(N(Database!$I67)/Screener!$D$9))/W_SIZEHW))</f>
        <v/>
      </c>
      <c r="E67">
        <f>IF(OR(Database!$AU67="",Screener!$D$10=""),0,IF(Database!$AU67=Screener!$D$10,1,0))</f>
        <v/>
      </c>
      <c r="F67">
        <f>IF(OR(Database!$AZ67="",Screener!$D$11=""),0,IF(Database!$AZ67=Screener!$D$11,1,0))</f>
        <v/>
      </c>
      <c r="G67">
        <f>IF(OR(Database!$H67="",N(Screener!$D$12)&lt;=0),0,MAX(0,1-(N(Screener!$D$12)-Database!$H67)/W_RECD))</f>
        <v/>
      </c>
      <c r="H67">
        <f>IF($U$1="",0,N(ISNUMBER(SEARCH($U$1,Database!$X67&amp;""))))+IF($V$1="",0,N(ISNUMBER(SEARCH($V$1,Database!$X67&amp;""))))+IF($W$1="",0,N(ISNUMBER(SEARCH($W$1,Database!$X67&amp;""))))+IF($X$1="",0,N(ISNUMBER(SEARCH($X$1,Database!$X67&amp;""))))+IF($Y$1="",0,N(ISNUMBER(SEARCH($Y$1,Database!$X67&amp;""))))+IF(Screener!$B$17="",0,N(ISNUMBER(SEARCH(LOWER(Screener!$B$17),Database!$X67&amp;""))))</f>
        <v/>
      </c>
      <c r="I67">
        <f>IF(OR(N(Database!$AV67)&lt;=0,N(Screener!$D$13)&lt;=0),0,MAX(0,1-ABS(LOG10(N(Database!$AV67)/Screener!$D$13))/W_PEHW))</f>
        <v/>
      </c>
      <c r="J67">
        <f>IF(OR(N(Database!$S67)&lt;=0,N(Screener!$D$14)&lt;=0),0,MAX(0,1-ABS(LOG10(Database!$S67/Screener!$D$14))/0.6))</f>
        <v/>
      </c>
      <c r="K67">
        <f>IF(Database!$B67=Screener!$B$5,-999999,IF(ISNUMBER(SEARCH(","&amp;Database!$A67&amp;",",","&amp;SUBSTITUTE(Screener!$B$19," ","")&amp;",")),2000000,IF(IF(OR(Screener!$B$18="All",AND(Screener!$B$18="With A-share",(Database!$AZ67="Y")),AND(Screener!$B$18="Without A-share",NOT((Database!$AZ67="Y")))),1,0)=0,-999999,IF(Screener!$B$16="cornerstone overlap first",H67*100000,IF(Screener!$B$16="demand-similar first",J67*100000,0))+W_SUB*B67+W_SEC*C67*(1-B67)+W_SIZE*D67+W_PROF*E67+W_AH*F67+W_REC*G67+W_CS*H67+W_PE*I67)))+ROW()/1000000</f>
        <v/>
      </c>
      <c r="AA67">
        <f>Database!B56</f>
        <v/>
      </c>
      <c r="AB67">
        <f>Database!D56</f>
        <v/>
      </c>
      <c r="AC67">
        <f>Database!E56</f>
        <v/>
      </c>
      <c r="AD67">
        <f>Database!I56</f>
        <v/>
      </c>
      <c r="AE67">
        <f>Database!AU56</f>
        <v/>
      </c>
      <c r="AF67">
        <f>Database!AZ56</f>
        <v/>
      </c>
      <c r="AG67">
        <f>Database!H56</f>
        <v/>
      </c>
      <c r="AH67">
        <f>Database!AV56</f>
        <v/>
      </c>
    </row>
    <row r="68">
      <c r="A68">
        <f>Database!B68</f>
        <v/>
      </c>
      <c r="B68">
        <f>IF(AND(Screener!$D$8&lt;&gt;"",Database!$E68=Screener!$D$8),1,0)</f>
        <v/>
      </c>
      <c r="C68">
        <f>IF(AND(Screener!$D$7&lt;&gt;"",Database!$D68=Screener!$D$7),1,0)</f>
        <v/>
      </c>
      <c r="D68">
        <f>IF(OR(N(Database!$I68)&lt;=0,N(Screener!$D$9)&lt;=0),0,MAX(0,1-ABS(LOG10(N(Database!$I68)/Screener!$D$9))/W_SIZEHW))</f>
        <v/>
      </c>
      <c r="E68">
        <f>IF(OR(Database!$AU68="",Screener!$D$10=""),0,IF(Database!$AU68=Screener!$D$10,1,0))</f>
        <v/>
      </c>
      <c r="F68">
        <f>IF(OR(Database!$AZ68="",Screener!$D$11=""),0,IF(Database!$AZ68=Screener!$D$11,1,0))</f>
        <v/>
      </c>
      <c r="G68">
        <f>IF(OR(Database!$H68="",N(Screener!$D$12)&lt;=0),0,MAX(0,1-(N(Screener!$D$12)-Database!$H68)/W_RECD))</f>
        <v/>
      </c>
      <c r="H68">
        <f>IF($U$1="",0,N(ISNUMBER(SEARCH($U$1,Database!$X68&amp;""))))+IF($V$1="",0,N(ISNUMBER(SEARCH($V$1,Database!$X68&amp;""))))+IF($W$1="",0,N(ISNUMBER(SEARCH($W$1,Database!$X68&amp;""))))+IF($X$1="",0,N(ISNUMBER(SEARCH($X$1,Database!$X68&amp;""))))+IF($Y$1="",0,N(ISNUMBER(SEARCH($Y$1,Database!$X68&amp;""))))+IF(Screener!$B$17="",0,N(ISNUMBER(SEARCH(LOWER(Screener!$B$17),Database!$X68&amp;""))))</f>
        <v/>
      </c>
      <c r="I68">
        <f>IF(OR(N(Database!$AV68)&lt;=0,N(Screener!$D$13)&lt;=0),0,MAX(0,1-ABS(LOG10(N(Database!$AV68)/Screener!$D$13))/W_PEHW))</f>
        <v/>
      </c>
      <c r="J68">
        <f>IF(OR(N(Database!$S68)&lt;=0,N(Screener!$D$14)&lt;=0),0,MAX(0,1-ABS(LOG10(Database!$S68/Screener!$D$14))/0.6))</f>
        <v/>
      </c>
      <c r="K68">
        <f>IF(Database!$B68=Screener!$B$5,-999999,IF(ISNUMBER(SEARCH(","&amp;Database!$A68&amp;",",","&amp;SUBSTITUTE(Screener!$B$19," ","")&amp;",")),2000000,IF(IF(OR(Screener!$B$18="All",AND(Screener!$B$18="With A-share",(Database!$AZ68="Y")),AND(Screener!$B$18="Without A-share",NOT((Database!$AZ68="Y")))),1,0)=0,-999999,IF(Screener!$B$16="cornerstone overlap first",H68*100000,IF(Screener!$B$16="demand-similar first",J68*100000,0))+W_SUB*B68+W_SEC*C68*(1-B68)+W_SIZE*D68+W_PROF*E68+W_AH*F68+W_REC*G68+W_CS*H68+W_PE*I68)))+ROW()/1000000</f>
        <v/>
      </c>
      <c r="AA68">
        <f>Database!B57</f>
        <v/>
      </c>
      <c r="AB68">
        <f>Database!D57</f>
        <v/>
      </c>
      <c r="AC68">
        <f>Database!E57</f>
        <v/>
      </c>
      <c r="AD68">
        <f>Database!I57</f>
        <v/>
      </c>
      <c r="AE68">
        <f>Database!AU57</f>
        <v/>
      </c>
      <c r="AF68">
        <f>Database!AZ57</f>
        <v/>
      </c>
      <c r="AG68">
        <f>Database!H57</f>
        <v/>
      </c>
      <c r="AH68">
        <f>Database!AV57</f>
        <v/>
      </c>
    </row>
    <row r="69">
      <c r="A69">
        <f>Database!B69</f>
        <v/>
      </c>
      <c r="B69">
        <f>IF(AND(Screener!$D$8&lt;&gt;"",Database!$E69=Screener!$D$8),1,0)</f>
        <v/>
      </c>
      <c r="C69">
        <f>IF(AND(Screener!$D$7&lt;&gt;"",Database!$D69=Screener!$D$7),1,0)</f>
        <v/>
      </c>
      <c r="D69">
        <f>IF(OR(N(Database!$I69)&lt;=0,N(Screener!$D$9)&lt;=0),0,MAX(0,1-ABS(LOG10(N(Database!$I69)/Screener!$D$9))/W_SIZEHW))</f>
        <v/>
      </c>
      <c r="E69">
        <f>IF(OR(Database!$AU69="",Screener!$D$10=""),0,IF(Database!$AU69=Screener!$D$10,1,0))</f>
        <v/>
      </c>
      <c r="F69">
        <f>IF(OR(Database!$AZ69="",Screener!$D$11=""),0,IF(Database!$AZ69=Screener!$D$11,1,0))</f>
        <v/>
      </c>
      <c r="G69">
        <f>IF(OR(Database!$H69="",N(Screener!$D$12)&lt;=0),0,MAX(0,1-(N(Screener!$D$12)-Database!$H69)/W_RECD))</f>
        <v/>
      </c>
      <c r="H69">
        <f>IF($U$1="",0,N(ISNUMBER(SEARCH($U$1,Database!$X69&amp;""))))+IF($V$1="",0,N(ISNUMBER(SEARCH($V$1,Database!$X69&amp;""))))+IF($W$1="",0,N(ISNUMBER(SEARCH($W$1,Database!$X69&amp;""))))+IF($X$1="",0,N(ISNUMBER(SEARCH($X$1,Database!$X69&amp;""))))+IF($Y$1="",0,N(ISNUMBER(SEARCH($Y$1,Database!$X69&amp;""))))+IF(Screener!$B$17="",0,N(ISNUMBER(SEARCH(LOWER(Screener!$B$17),Database!$X69&amp;""))))</f>
        <v/>
      </c>
      <c r="I69">
        <f>IF(OR(N(Database!$AV69)&lt;=0,N(Screener!$D$13)&lt;=0),0,MAX(0,1-ABS(LOG10(N(Database!$AV69)/Screener!$D$13))/W_PEHW))</f>
        <v/>
      </c>
      <c r="J69">
        <f>IF(OR(N(Database!$S69)&lt;=0,N(Screener!$D$14)&lt;=0),0,MAX(0,1-ABS(LOG10(Database!$S69/Screener!$D$14))/0.6))</f>
        <v/>
      </c>
      <c r="K69">
        <f>IF(Database!$B69=Screener!$B$5,-999999,IF(ISNUMBER(SEARCH(","&amp;Database!$A69&amp;",",","&amp;SUBSTITUTE(Screener!$B$19," ","")&amp;",")),2000000,IF(IF(OR(Screener!$B$18="All",AND(Screener!$B$18="With A-share",(Database!$AZ69="Y")),AND(Screener!$B$18="Without A-share",NOT((Database!$AZ69="Y")))),1,0)=0,-999999,IF(Screener!$B$16="cornerstone overlap first",H69*100000,IF(Screener!$B$16="demand-similar first",J69*100000,0))+W_SUB*B69+W_SEC*C69*(1-B69)+W_SIZE*D69+W_PROF*E69+W_AH*F69+W_REC*G69+W_CS*H69+W_PE*I69)))+ROW()/1000000</f>
        <v/>
      </c>
      <c r="AA69">
        <f>Database!B58</f>
        <v/>
      </c>
      <c r="AB69">
        <f>Database!D58</f>
        <v/>
      </c>
      <c r="AC69">
        <f>Database!E58</f>
        <v/>
      </c>
      <c r="AD69">
        <f>Database!I58</f>
        <v/>
      </c>
      <c r="AE69">
        <f>Database!AU58</f>
        <v/>
      </c>
      <c r="AF69">
        <f>Database!AZ58</f>
        <v/>
      </c>
      <c r="AG69">
        <f>Database!H58</f>
        <v/>
      </c>
      <c r="AH69">
        <f>Database!AV58</f>
        <v/>
      </c>
    </row>
    <row r="70">
      <c r="A70">
        <f>Database!B70</f>
        <v/>
      </c>
      <c r="B70">
        <f>IF(AND(Screener!$D$8&lt;&gt;"",Database!$E70=Screener!$D$8),1,0)</f>
        <v/>
      </c>
      <c r="C70">
        <f>IF(AND(Screener!$D$7&lt;&gt;"",Database!$D70=Screener!$D$7),1,0)</f>
        <v/>
      </c>
      <c r="D70">
        <f>IF(OR(N(Database!$I70)&lt;=0,N(Screener!$D$9)&lt;=0),0,MAX(0,1-ABS(LOG10(N(Database!$I70)/Screener!$D$9))/W_SIZEHW))</f>
        <v/>
      </c>
      <c r="E70">
        <f>IF(OR(Database!$AU70="",Screener!$D$10=""),0,IF(Database!$AU70=Screener!$D$10,1,0))</f>
        <v/>
      </c>
      <c r="F70">
        <f>IF(OR(Database!$AZ70="",Screener!$D$11=""),0,IF(Database!$AZ70=Screener!$D$11,1,0))</f>
        <v/>
      </c>
      <c r="G70">
        <f>IF(OR(Database!$H70="",N(Screener!$D$12)&lt;=0),0,MAX(0,1-(N(Screener!$D$12)-Database!$H70)/W_RECD))</f>
        <v/>
      </c>
      <c r="H70">
        <f>IF($U$1="",0,N(ISNUMBER(SEARCH($U$1,Database!$X70&amp;""))))+IF($V$1="",0,N(ISNUMBER(SEARCH($V$1,Database!$X70&amp;""))))+IF($W$1="",0,N(ISNUMBER(SEARCH($W$1,Database!$X70&amp;""))))+IF($X$1="",0,N(ISNUMBER(SEARCH($X$1,Database!$X70&amp;""))))+IF($Y$1="",0,N(ISNUMBER(SEARCH($Y$1,Database!$X70&amp;""))))+IF(Screener!$B$17="",0,N(ISNUMBER(SEARCH(LOWER(Screener!$B$17),Database!$X70&amp;""))))</f>
        <v/>
      </c>
      <c r="I70">
        <f>IF(OR(N(Database!$AV70)&lt;=0,N(Screener!$D$13)&lt;=0),0,MAX(0,1-ABS(LOG10(N(Database!$AV70)/Screener!$D$13))/W_PEHW))</f>
        <v/>
      </c>
      <c r="J70">
        <f>IF(OR(N(Database!$S70)&lt;=0,N(Screener!$D$14)&lt;=0),0,MAX(0,1-ABS(LOG10(Database!$S70/Screener!$D$14))/0.6))</f>
        <v/>
      </c>
      <c r="K70">
        <f>IF(Database!$B70=Screener!$B$5,-999999,IF(ISNUMBER(SEARCH(","&amp;Database!$A70&amp;",",","&amp;SUBSTITUTE(Screener!$B$19," ","")&amp;",")),2000000,IF(IF(OR(Screener!$B$18="All",AND(Screener!$B$18="With A-share",(Database!$AZ70="Y")),AND(Screener!$B$18="Without A-share",NOT((Database!$AZ70="Y")))),1,0)=0,-999999,IF(Screener!$B$16="cornerstone overlap first",H70*100000,IF(Screener!$B$16="demand-similar first",J70*100000,0))+W_SUB*B70+W_SEC*C70*(1-B70)+W_SIZE*D70+W_PROF*E70+W_AH*F70+W_REC*G70+W_CS*H70+W_PE*I70)))+ROW()/1000000</f>
        <v/>
      </c>
      <c r="AA70">
        <f>Database!B59</f>
        <v/>
      </c>
      <c r="AB70">
        <f>Database!D59</f>
        <v/>
      </c>
      <c r="AC70">
        <f>Database!E59</f>
        <v/>
      </c>
      <c r="AD70">
        <f>Database!I59</f>
        <v/>
      </c>
      <c r="AE70">
        <f>Database!AU59</f>
        <v/>
      </c>
      <c r="AF70">
        <f>Database!AZ59</f>
        <v/>
      </c>
      <c r="AG70">
        <f>Database!H59</f>
        <v/>
      </c>
      <c r="AH70">
        <f>Database!AV59</f>
        <v/>
      </c>
    </row>
    <row r="71">
      <c r="A71">
        <f>Database!B71</f>
        <v/>
      </c>
      <c r="B71">
        <f>IF(AND(Screener!$D$8&lt;&gt;"",Database!$E71=Screener!$D$8),1,0)</f>
        <v/>
      </c>
      <c r="C71">
        <f>IF(AND(Screener!$D$7&lt;&gt;"",Database!$D71=Screener!$D$7),1,0)</f>
        <v/>
      </c>
      <c r="D71">
        <f>IF(OR(N(Database!$I71)&lt;=0,N(Screener!$D$9)&lt;=0),0,MAX(0,1-ABS(LOG10(N(Database!$I71)/Screener!$D$9))/W_SIZEHW))</f>
        <v/>
      </c>
      <c r="E71">
        <f>IF(OR(Database!$AU71="",Screener!$D$10=""),0,IF(Database!$AU71=Screener!$D$10,1,0))</f>
        <v/>
      </c>
      <c r="F71">
        <f>IF(OR(Database!$AZ71="",Screener!$D$11=""),0,IF(Database!$AZ71=Screener!$D$11,1,0))</f>
        <v/>
      </c>
      <c r="G71">
        <f>IF(OR(Database!$H71="",N(Screener!$D$12)&lt;=0),0,MAX(0,1-(N(Screener!$D$12)-Database!$H71)/W_RECD))</f>
        <v/>
      </c>
      <c r="H71">
        <f>IF($U$1="",0,N(ISNUMBER(SEARCH($U$1,Database!$X71&amp;""))))+IF($V$1="",0,N(ISNUMBER(SEARCH($V$1,Database!$X71&amp;""))))+IF($W$1="",0,N(ISNUMBER(SEARCH($W$1,Database!$X71&amp;""))))+IF($X$1="",0,N(ISNUMBER(SEARCH($X$1,Database!$X71&amp;""))))+IF($Y$1="",0,N(ISNUMBER(SEARCH($Y$1,Database!$X71&amp;""))))+IF(Screener!$B$17="",0,N(ISNUMBER(SEARCH(LOWER(Screener!$B$17),Database!$X71&amp;""))))</f>
        <v/>
      </c>
      <c r="I71">
        <f>IF(OR(N(Database!$AV71)&lt;=0,N(Screener!$D$13)&lt;=0),0,MAX(0,1-ABS(LOG10(N(Database!$AV71)/Screener!$D$13))/W_PEHW))</f>
        <v/>
      </c>
      <c r="J71">
        <f>IF(OR(N(Database!$S71)&lt;=0,N(Screener!$D$14)&lt;=0),0,MAX(0,1-ABS(LOG10(Database!$S71/Screener!$D$14))/0.6))</f>
        <v/>
      </c>
      <c r="K71">
        <f>IF(Database!$B71=Screener!$B$5,-999999,IF(ISNUMBER(SEARCH(","&amp;Database!$A71&amp;",",","&amp;SUBSTITUTE(Screener!$B$19," ","")&amp;",")),2000000,IF(IF(OR(Screener!$B$18="All",AND(Screener!$B$18="With A-share",(Database!$AZ71="Y")),AND(Screener!$B$18="Without A-share",NOT((Database!$AZ71="Y")))),1,0)=0,-999999,IF(Screener!$B$16="cornerstone overlap first",H71*100000,IF(Screener!$B$16="demand-similar first",J71*100000,0))+W_SUB*B71+W_SEC*C71*(1-B71)+W_SIZE*D71+W_PROF*E71+W_AH*F71+W_REC*G71+W_CS*H71+W_PE*I71)))+ROW()/1000000</f>
        <v/>
      </c>
      <c r="AA71">
        <f>Database!B60</f>
        <v/>
      </c>
      <c r="AB71">
        <f>Database!D60</f>
        <v/>
      </c>
      <c r="AC71">
        <f>Database!E60</f>
        <v/>
      </c>
      <c r="AD71">
        <f>Database!I60</f>
        <v/>
      </c>
      <c r="AE71">
        <f>Database!AU60</f>
        <v/>
      </c>
      <c r="AF71">
        <f>Database!AZ60</f>
        <v/>
      </c>
      <c r="AG71">
        <f>Database!H60</f>
        <v/>
      </c>
      <c r="AH71">
        <f>Database!AV60</f>
        <v/>
      </c>
    </row>
    <row r="72">
      <c r="A72">
        <f>Database!B72</f>
        <v/>
      </c>
      <c r="B72">
        <f>IF(AND(Screener!$D$8&lt;&gt;"",Database!$E72=Screener!$D$8),1,0)</f>
        <v/>
      </c>
      <c r="C72">
        <f>IF(AND(Screener!$D$7&lt;&gt;"",Database!$D72=Screener!$D$7),1,0)</f>
        <v/>
      </c>
      <c r="D72">
        <f>IF(OR(N(Database!$I72)&lt;=0,N(Screener!$D$9)&lt;=0),0,MAX(0,1-ABS(LOG10(N(Database!$I72)/Screener!$D$9))/W_SIZEHW))</f>
        <v/>
      </c>
      <c r="E72">
        <f>IF(OR(Database!$AU72="",Screener!$D$10=""),0,IF(Database!$AU72=Screener!$D$10,1,0))</f>
        <v/>
      </c>
      <c r="F72">
        <f>IF(OR(Database!$AZ72="",Screener!$D$11=""),0,IF(Database!$AZ72=Screener!$D$11,1,0))</f>
        <v/>
      </c>
      <c r="G72">
        <f>IF(OR(Database!$H72="",N(Screener!$D$12)&lt;=0),0,MAX(0,1-(N(Screener!$D$12)-Database!$H72)/W_RECD))</f>
        <v/>
      </c>
      <c r="H72">
        <f>IF($U$1="",0,N(ISNUMBER(SEARCH($U$1,Database!$X72&amp;""))))+IF($V$1="",0,N(ISNUMBER(SEARCH($V$1,Database!$X72&amp;""))))+IF($W$1="",0,N(ISNUMBER(SEARCH($W$1,Database!$X72&amp;""))))+IF($X$1="",0,N(ISNUMBER(SEARCH($X$1,Database!$X72&amp;""))))+IF($Y$1="",0,N(ISNUMBER(SEARCH($Y$1,Database!$X72&amp;""))))+IF(Screener!$B$17="",0,N(ISNUMBER(SEARCH(LOWER(Screener!$B$17),Database!$X72&amp;""))))</f>
        <v/>
      </c>
      <c r="I72">
        <f>IF(OR(N(Database!$AV72)&lt;=0,N(Screener!$D$13)&lt;=0),0,MAX(0,1-ABS(LOG10(N(Database!$AV72)/Screener!$D$13))/W_PEHW))</f>
        <v/>
      </c>
      <c r="J72">
        <f>IF(OR(N(Database!$S72)&lt;=0,N(Screener!$D$14)&lt;=0),0,MAX(0,1-ABS(LOG10(Database!$S72/Screener!$D$14))/0.6))</f>
        <v/>
      </c>
      <c r="K72">
        <f>IF(Database!$B72=Screener!$B$5,-999999,IF(ISNUMBER(SEARCH(","&amp;Database!$A72&amp;",",","&amp;SUBSTITUTE(Screener!$B$19," ","")&amp;",")),2000000,IF(IF(OR(Screener!$B$18="All",AND(Screener!$B$18="With A-share",(Database!$AZ72="Y")),AND(Screener!$B$18="Without A-share",NOT((Database!$AZ72="Y")))),1,0)=0,-999999,IF(Screener!$B$16="cornerstone overlap first",H72*100000,IF(Screener!$B$16="demand-similar first",J72*100000,0))+W_SUB*B72+W_SEC*C72*(1-B72)+W_SIZE*D72+W_PROF*E72+W_AH*F72+W_REC*G72+W_CS*H72+W_PE*I72)))+ROW()/1000000</f>
        <v/>
      </c>
      <c r="AA72">
        <f>Database!B61</f>
        <v/>
      </c>
      <c r="AB72">
        <f>Database!D61</f>
        <v/>
      </c>
      <c r="AC72">
        <f>Database!E61</f>
        <v/>
      </c>
      <c r="AD72">
        <f>Database!I61</f>
        <v/>
      </c>
      <c r="AE72">
        <f>Database!AU61</f>
        <v/>
      </c>
      <c r="AF72">
        <f>Database!AZ61</f>
        <v/>
      </c>
      <c r="AG72">
        <f>Database!H61</f>
        <v/>
      </c>
      <c r="AH72">
        <f>Database!AV61</f>
        <v/>
      </c>
    </row>
    <row r="73">
      <c r="A73">
        <f>Database!B73</f>
        <v/>
      </c>
      <c r="B73">
        <f>IF(AND(Screener!$D$8&lt;&gt;"",Database!$E73=Screener!$D$8),1,0)</f>
        <v/>
      </c>
      <c r="C73">
        <f>IF(AND(Screener!$D$7&lt;&gt;"",Database!$D73=Screener!$D$7),1,0)</f>
        <v/>
      </c>
      <c r="D73">
        <f>IF(OR(N(Database!$I73)&lt;=0,N(Screener!$D$9)&lt;=0),0,MAX(0,1-ABS(LOG10(N(Database!$I73)/Screener!$D$9))/W_SIZEHW))</f>
        <v/>
      </c>
      <c r="E73">
        <f>IF(OR(Database!$AU73="",Screener!$D$10=""),0,IF(Database!$AU73=Screener!$D$10,1,0))</f>
        <v/>
      </c>
      <c r="F73">
        <f>IF(OR(Database!$AZ73="",Screener!$D$11=""),0,IF(Database!$AZ73=Screener!$D$11,1,0))</f>
        <v/>
      </c>
      <c r="G73">
        <f>IF(OR(Database!$H73="",N(Screener!$D$12)&lt;=0),0,MAX(0,1-(N(Screener!$D$12)-Database!$H73)/W_RECD))</f>
        <v/>
      </c>
      <c r="H73">
        <f>IF($U$1="",0,N(ISNUMBER(SEARCH($U$1,Database!$X73&amp;""))))+IF($V$1="",0,N(ISNUMBER(SEARCH($V$1,Database!$X73&amp;""))))+IF($W$1="",0,N(ISNUMBER(SEARCH($W$1,Database!$X73&amp;""))))+IF($X$1="",0,N(ISNUMBER(SEARCH($X$1,Database!$X73&amp;""))))+IF($Y$1="",0,N(ISNUMBER(SEARCH($Y$1,Database!$X73&amp;""))))+IF(Screener!$B$17="",0,N(ISNUMBER(SEARCH(LOWER(Screener!$B$17),Database!$X73&amp;""))))</f>
        <v/>
      </c>
      <c r="I73">
        <f>IF(OR(N(Database!$AV73)&lt;=0,N(Screener!$D$13)&lt;=0),0,MAX(0,1-ABS(LOG10(N(Database!$AV73)/Screener!$D$13))/W_PEHW))</f>
        <v/>
      </c>
      <c r="J73">
        <f>IF(OR(N(Database!$S73)&lt;=0,N(Screener!$D$14)&lt;=0),0,MAX(0,1-ABS(LOG10(Database!$S73/Screener!$D$14))/0.6))</f>
        <v/>
      </c>
      <c r="K73">
        <f>IF(Database!$B73=Screener!$B$5,-999999,IF(ISNUMBER(SEARCH(","&amp;Database!$A73&amp;",",","&amp;SUBSTITUTE(Screener!$B$19," ","")&amp;",")),2000000,IF(IF(OR(Screener!$B$18="All",AND(Screener!$B$18="With A-share",(Database!$AZ73="Y")),AND(Screener!$B$18="Without A-share",NOT((Database!$AZ73="Y")))),1,0)=0,-999999,IF(Screener!$B$16="cornerstone overlap first",H73*100000,IF(Screener!$B$16="demand-similar first",J73*100000,0))+W_SUB*B73+W_SEC*C73*(1-B73)+W_SIZE*D73+W_PROF*E73+W_AH*F73+W_REC*G73+W_CS*H73+W_PE*I73)))+ROW()/1000000</f>
        <v/>
      </c>
      <c r="AA73">
        <f>Database!B62</f>
        <v/>
      </c>
      <c r="AB73">
        <f>Database!D62</f>
        <v/>
      </c>
      <c r="AC73">
        <f>Database!E62</f>
        <v/>
      </c>
      <c r="AD73">
        <f>Database!I62</f>
        <v/>
      </c>
      <c r="AE73">
        <f>Database!AU62</f>
        <v/>
      </c>
      <c r="AF73">
        <f>Database!AZ62</f>
        <v/>
      </c>
      <c r="AG73">
        <f>Database!H62</f>
        <v/>
      </c>
      <c r="AH73">
        <f>Database!AV62</f>
        <v/>
      </c>
    </row>
    <row r="74">
      <c r="A74">
        <f>Database!B74</f>
        <v/>
      </c>
      <c r="B74">
        <f>IF(AND(Screener!$D$8&lt;&gt;"",Database!$E74=Screener!$D$8),1,0)</f>
        <v/>
      </c>
      <c r="C74">
        <f>IF(AND(Screener!$D$7&lt;&gt;"",Database!$D74=Screener!$D$7),1,0)</f>
        <v/>
      </c>
      <c r="D74">
        <f>IF(OR(N(Database!$I74)&lt;=0,N(Screener!$D$9)&lt;=0),0,MAX(0,1-ABS(LOG10(N(Database!$I74)/Screener!$D$9))/W_SIZEHW))</f>
        <v/>
      </c>
      <c r="E74">
        <f>IF(OR(Database!$AU74="",Screener!$D$10=""),0,IF(Database!$AU74=Screener!$D$10,1,0))</f>
        <v/>
      </c>
      <c r="F74">
        <f>IF(OR(Database!$AZ74="",Screener!$D$11=""),0,IF(Database!$AZ74=Screener!$D$11,1,0))</f>
        <v/>
      </c>
      <c r="G74">
        <f>IF(OR(Database!$H74="",N(Screener!$D$12)&lt;=0),0,MAX(0,1-(N(Screener!$D$12)-Database!$H74)/W_RECD))</f>
        <v/>
      </c>
      <c r="H74">
        <f>IF($U$1="",0,N(ISNUMBER(SEARCH($U$1,Database!$X74&amp;""))))+IF($V$1="",0,N(ISNUMBER(SEARCH($V$1,Database!$X74&amp;""))))+IF($W$1="",0,N(ISNUMBER(SEARCH($W$1,Database!$X74&amp;""))))+IF($X$1="",0,N(ISNUMBER(SEARCH($X$1,Database!$X74&amp;""))))+IF($Y$1="",0,N(ISNUMBER(SEARCH($Y$1,Database!$X74&amp;""))))+IF(Screener!$B$17="",0,N(ISNUMBER(SEARCH(LOWER(Screener!$B$17),Database!$X74&amp;""))))</f>
        <v/>
      </c>
      <c r="I74">
        <f>IF(OR(N(Database!$AV74)&lt;=0,N(Screener!$D$13)&lt;=0),0,MAX(0,1-ABS(LOG10(N(Database!$AV74)/Screener!$D$13))/W_PEHW))</f>
        <v/>
      </c>
      <c r="J74">
        <f>IF(OR(N(Database!$S74)&lt;=0,N(Screener!$D$14)&lt;=0),0,MAX(0,1-ABS(LOG10(Database!$S74/Screener!$D$14))/0.6))</f>
        <v/>
      </c>
      <c r="K74">
        <f>IF(Database!$B74=Screener!$B$5,-999999,IF(ISNUMBER(SEARCH(","&amp;Database!$A74&amp;",",","&amp;SUBSTITUTE(Screener!$B$19," ","")&amp;",")),2000000,IF(IF(OR(Screener!$B$18="All",AND(Screener!$B$18="With A-share",(Database!$AZ74="Y")),AND(Screener!$B$18="Without A-share",NOT((Database!$AZ74="Y")))),1,0)=0,-999999,IF(Screener!$B$16="cornerstone overlap first",H74*100000,IF(Screener!$B$16="demand-similar first",J74*100000,0))+W_SUB*B74+W_SEC*C74*(1-B74)+W_SIZE*D74+W_PROF*E74+W_AH*F74+W_REC*G74+W_CS*H74+W_PE*I74)))+ROW()/1000000</f>
        <v/>
      </c>
      <c r="AA74">
        <f>Database!B63</f>
        <v/>
      </c>
      <c r="AB74">
        <f>Database!D63</f>
        <v/>
      </c>
      <c r="AC74">
        <f>Database!E63</f>
        <v/>
      </c>
      <c r="AD74">
        <f>Database!I63</f>
        <v/>
      </c>
      <c r="AE74">
        <f>Database!AU63</f>
        <v/>
      </c>
      <c r="AF74">
        <f>Database!AZ63</f>
        <v/>
      </c>
      <c r="AG74">
        <f>Database!H63</f>
        <v/>
      </c>
      <c r="AH74">
        <f>Database!AV63</f>
        <v/>
      </c>
    </row>
    <row r="75">
      <c r="A75">
        <f>Database!B75</f>
        <v/>
      </c>
      <c r="B75">
        <f>IF(AND(Screener!$D$8&lt;&gt;"",Database!$E75=Screener!$D$8),1,0)</f>
        <v/>
      </c>
      <c r="C75">
        <f>IF(AND(Screener!$D$7&lt;&gt;"",Database!$D75=Screener!$D$7),1,0)</f>
        <v/>
      </c>
      <c r="D75">
        <f>IF(OR(N(Database!$I75)&lt;=0,N(Screener!$D$9)&lt;=0),0,MAX(0,1-ABS(LOG10(N(Database!$I75)/Screener!$D$9))/W_SIZEHW))</f>
        <v/>
      </c>
      <c r="E75">
        <f>IF(OR(Database!$AU75="",Screener!$D$10=""),0,IF(Database!$AU75=Screener!$D$10,1,0))</f>
        <v/>
      </c>
      <c r="F75">
        <f>IF(OR(Database!$AZ75="",Screener!$D$11=""),0,IF(Database!$AZ75=Screener!$D$11,1,0))</f>
        <v/>
      </c>
      <c r="G75">
        <f>IF(OR(Database!$H75="",N(Screener!$D$12)&lt;=0),0,MAX(0,1-(N(Screener!$D$12)-Database!$H75)/W_RECD))</f>
        <v/>
      </c>
      <c r="H75">
        <f>IF($U$1="",0,N(ISNUMBER(SEARCH($U$1,Database!$X75&amp;""))))+IF($V$1="",0,N(ISNUMBER(SEARCH($V$1,Database!$X75&amp;""))))+IF($W$1="",0,N(ISNUMBER(SEARCH($W$1,Database!$X75&amp;""))))+IF($X$1="",0,N(ISNUMBER(SEARCH($X$1,Database!$X75&amp;""))))+IF($Y$1="",0,N(ISNUMBER(SEARCH($Y$1,Database!$X75&amp;""))))+IF(Screener!$B$17="",0,N(ISNUMBER(SEARCH(LOWER(Screener!$B$17),Database!$X75&amp;""))))</f>
        <v/>
      </c>
      <c r="I75">
        <f>IF(OR(N(Database!$AV75)&lt;=0,N(Screener!$D$13)&lt;=0),0,MAX(0,1-ABS(LOG10(N(Database!$AV75)/Screener!$D$13))/W_PEHW))</f>
        <v/>
      </c>
      <c r="J75">
        <f>IF(OR(N(Database!$S75)&lt;=0,N(Screener!$D$14)&lt;=0),0,MAX(0,1-ABS(LOG10(Database!$S75/Screener!$D$14))/0.6))</f>
        <v/>
      </c>
      <c r="K75">
        <f>IF(Database!$B75=Screener!$B$5,-999999,IF(ISNUMBER(SEARCH(","&amp;Database!$A75&amp;",",","&amp;SUBSTITUTE(Screener!$B$19," ","")&amp;",")),2000000,IF(IF(OR(Screener!$B$18="All",AND(Screener!$B$18="With A-share",(Database!$AZ75="Y")),AND(Screener!$B$18="Without A-share",NOT((Database!$AZ75="Y")))),1,0)=0,-999999,IF(Screener!$B$16="cornerstone overlap first",H75*100000,IF(Screener!$B$16="demand-similar first",J75*100000,0))+W_SUB*B75+W_SEC*C75*(1-B75)+W_SIZE*D75+W_PROF*E75+W_AH*F75+W_REC*G75+W_CS*H75+W_PE*I75)))+ROW()/1000000</f>
        <v/>
      </c>
      <c r="AA75">
        <f>Database!B64</f>
        <v/>
      </c>
      <c r="AB75">
        <f>Database!D64</f>
        <v/>
      </c>
      <c r="AC75">
        <f>Database!E64</f>
        <v/>
      </c>
      <c r="AD75">
        <f>Database!I64</f>
        <v/>
      </c>
      <c r="AE75">
        <f>Database!AU64</f>
        <v/>
      </c>
      <c r="AF75">
        <f>Database!AZ64</f>
        <v/>
      </c>
      <c r="AG75">
        <f>Database!H64</f>
        <v/>
      </c>
      <c r="AH75">
        <f>Database!AV64</f>
        <v/>
      </c>
    </row>
    <row r="76">
      <c r="A76">
        <f>Database!B76</f>
        <v/>
      </c>
      <c r="B76">
        <f>IF(AND(Screener!$D$8&lt;&gt;"",Database!$E76=Screener!$D$8),1,0)</f>
        <v/>
      </c>
      <c r="C76">
        <f>IF(AND(Screener!$D$7&lt;&gt;"",Database!$D76=Screener!$D$7),1,0)</f>
        <v/>
      </c>
      <c r="D76">
        <f>IF(OR(N(Database!$I76)&lt;=0,N(Screener!$D$9)&lt;=0),0,MAX(0,1-ABS(LOG10(N(Database!$I76)/Screener!$D$9))/W_SIZEHW))</f>
        <v/>
      </c>
      <c r="E76">
        <f>IF(OR(Database!$AU76="",Screener!$D$10=""),0,IF(Database!$AU76=Screener!$D$10,1,0))</f>
        <v/>
      </c>
      <c r="F76">
        <f>IF(OR(Database!$AZ76="",Screener!$D$11=""),0,IF(Database!$AZ76=Screener!$D$11,1,0))</f>
        <v/>
      </c>
      <c r="G76">
        <f>IF(OR(Database!$H76="",N(Screener!$D$12)&lt;=0),0,MAX(0,1-(N(Screener!$D$12)-Database!$H76)/W_RECD))</f>
        <v/>
      </c>
      <c r="H76">
        <f>IF($U$1="",0,N(ISNUMBER(SEARCH($U$1,Database!$X76&amp;""))))+IF($V$1="",0,N(ISNUMBER(SEARCH($V$1,Database!$X76&amp;""))))+IF($W$1="",0,N(ISNUMBER(SEARCH($W$1,Database!$X76&amp;""))))+IF($X$1="",0,N(ISNUMBER(SEARCH($X$1,Database!$X76&amp;""))))+IF($Y$1="",0,N(ISNUMBER(SEARCH($Y$1,Database!$X76&amp;""))))+IF(Screener!$B$17="",0,N(ISNUMBER(SEARCH(LOWER(Screener!$B$17),Database!$X76&amp;""))))</f>
        <v/>
      </c>
      <c r="I76">
        <f>IF(OR(N(Database!$AV76)&lt;=0,N(Screener!$D$13)&lt;=0),0,MAX(0,1-ABS(LOG10(N(Database!$AV76)/Screener!$D$13))/W_PEHW))</f>
        <v/>
      </c>
      <c r="J76">
        <f>IF(OR(N(Database!$S76)&lt;=0,N(Screener!$D$14)&lt;=0),0,MAX(0,1-ABS(LOG10(Database!$S76/Screener!$D$14))/0.6))</f>
        <v/>
      </c>
      <c r="K76">
        <f>IF(Database!$B76=Screener!$B$5,-999999,IF(ISNUMBER(SEARCH(","&amp;Database!$A76&amp;",",","&amp;SUBSTITUTE(Screener!$B$19," ","")&amp;",")),2000000,IF(IF(OR(Screener!$B$18="All",AND(Screener!$B$18="With A-share",(Database!$AZ76="Y")),AND(Screener!$B$18="Without A-share",NOT((Database!$AZ76="Y")))),1,0)=0,-999999,IF(Screener!$B$16="cornerstone overlap first",H76*100000,IF(Screener!$B$16="demand-similar first",J76*100000,0))+W_SUB*B76+W_SEC*C76*(1-B76)+W_SIZE*D76+W_PROF*E76+W_AH*F76+W_REC*G76+W_CS*H76+W_PE*I76)))+ROW()/1000000</f>
        <v/>
      </c>
      <c r="AA76">
        <f>Database!B65</f>
        <v/>
      </c>
      <c r="AB76">
        <f>Database!D65</f>
        <v/>
      </c>
      <c r="AC76">
        <f>Database!E65</f>
        <v/>
      </c>
      <c r="AD76">
        <f>Database!I65</f>
        <v/>
      </c>
      <c r="AE76">
        <f>Database!AU65</f>
        <v/>
      </c>
      <c r="AF76">
        <f>Database!AZ65</f>
        <v/>
      </c>
      <c r="AG76">
        <f>Database!H65</f>
        <v/>
      </c>
      <c r="AH76">
        <f>Database!AV65</f>
        <v/>
      </c>
    </row>
    <row r="77">
      <c r="A77">
        <f>Database!B77</f>
        <v/>
      </c>
      <c r="B77">
        <f>IF(AND(Screener!$D$8&lt;&gt;"",Database!$E77=Screener!$D$8),1,0)</f>
        <v/>
      </c>
      <c r="C77">
        <f>IF(AND(Screener!$D$7&lt;&gt;"",Database!$D77=Screener!$D$7),1,0)</f>
        <v/>
      </c>
      <c r="D77">
        <f>IF(OR(N(Database!$I77)&lt;=0,N(Screener!$D$9)&lt;=0),0,MAX(0,1-ABS(LOG10(N(Database!$I77)/Screener!$D$9))/W_SIZEHW))</f>
        <v/>
      </c>
      <c r="E77">
        <f>IF(OR(Database!$AU77="",Screener!$D$10=""),0,IF(Database!$AU77=Screener!$D$10,1,0))</f>
        <v/>
      </c>
      <c r="F77">
        <f>IF(OR(Database!$AZ77="",Screener!$D$11=""),0,IF(Database!$AZ77=Screener!$D$11,1,0))</f>
        <v/>
      </c>
      <c r="G77">
        <f>IF(OR(Database!$H77="",N(Screener!$D$12)&lt;=0),0,MAX(0,1-(N(Screener!$D$12)-Database!$H77)/W_RECD))</f>
        <v/>
      </c>
      <c r="H77">
        <f>IF($U$1="",0,N(ISNUMBER(SEARCH($U$1,Database!$X77&amp;""))))+IF($V$1="",0,N(ISNUMBER(SEARCH($V$1,Database!$X77&amp;""))))+IF($W$1="",0,N(ISNUMBER(SEARCH($W$1,Database!$X77&amp;""))))+IF($X$1="",0,N(ISNUMBER(SEARCH($X$1,Database!$X77&amp;""))))+IF($Y$1="",0,N(ISNUMBER(SEARCH($Y$1,Database!$X77&amp;""))))+IF(Screener!$B$17="",0,N(ISNUMBER(SEARCH(LOWER(Screener!$B$17),Database!$X77&amp;""))))</f>
        <v/>
      </c>
      <c r="I77">
        <f>IF(OR(N(Database!$AV77)&lt;=0,N(Screener!$D$13)&lt;=0),0,MAX(0,1-ABS(LOG10(N(Database!$AV77)/Screener!$D$13))/W_PEHW))</f>
        <v/>
      </c>
      <c r="J77">
        <f>IF(OR(N(Database!$S77)&lt;=0,N(Screener!$D$14)&lt;=0),0,MAX(0,1-ABS(LOG10(Database!$S77/Screener!$D$14))/0.6))</f>
        <v/>
      </c>
      <c r="K77">
        <f>IF(Database!$B77=Screener!$B$5,-999999,IF(ISNUMBER(SEARCH(","&amp;Database!$A77&amp;",",","&amp;SUBSTITUTE(Screener!$B$19," ","")&amp;",")),2000000,IF(IF(OR(Screener!$B$18="All",AND(Screener!$B$18="With A-share",(Database!$AZ77="Y")),AND(Screener!$B$18="Without A-share",NOT((Database!$AZ77="Y")))),1,0)=0,-999999,IF(Screener!$B$16="cornerstone overlap first",H77*100000,IF(Screener!$B$16="demand-similar first",J77*100000,0))+W_SUB*B77+W_SEC*C77*(1-B77)+W_SIZE*D77+W_PROF*E77+W_AH*F77+W_REC*G77+W_CS*H77+W_PE*I77)))+ROW()/1000000</f>
        <v/>
      </c>
      <c r="AA77">
        <f>Database!B66</f>
        <v/>
      </c>
      <c r="AB77">
        <f>Database!D66</f>
        <v/>
      </c>
      <c r="AC77">
        <f>Database!E66</f>
        <v/>
      </c>
      <c r="AD77">
        <f>Database!I66</f>
        <v/>
      </c>
      <c r="AE77">
        <f>Database!AU66</f>
        <v/>
      </c>
      <c r="AF77">
        <f>Database!AZ66</f>
        <v/>
      </c>
      <c r="AG77">
        <f>Database!H66</f>
        <v/>
      </c>
      <c r="AH77">
        <f>Database!AV66</f>
        <v/>
      </c>
    </row>
    <row r="78">
      <c r="A78">
        <f>Database!B78</f>
        <v/>
      </c>
      <c r="B78">
        <f>IF(AND(Screener!$D$8&lt;&gt;"",Database!$E78=Screener!$D$8),1,0)</f>
        <v/>
      </c>
      <c r="C78">
        <f>IF(AND(Screener!$D$7&lt;&gt;"",Database!$D78=Screener!$D$7),1,0)</f>
        <v/>
      </c>
      <c r="D78">
        <f>IF(OR(N(Database!$I78)&lt;=0,N(Screener!$D$9)&lt;=0),0,MAX(0,1-ABS(LOG10(N(Database!$I78)/Screener!$D$9))/W_SIZEHW))</f>
        <v/>
      </c>
      <c r="E78">
        <f>IF(OR(Database!$AU78="",Screener!$D$10=""),0,IF(Database!$AU78=Screener!$D$10,1,0))</f>
        <v/>
      </c>
      <c r="F78">
        <f>IF(OR(Database!$AZ78="",Screener!$D$11=""),0,IF(Database!$AZ78=Screener!$D$11,1,0))</f>
        <v/>
      </c>
      <c r="G78">
        <f>IF(OR(Database!$H78="",N(Screener!$D$12)&lt;=0),0,MAX(0,1-(N(Screener!$D$12)-Database!$H78)/W_RECD))</f>
        <v/>
      </c>
      <c r="H78">
        <f>IF($U$1="",0,N(ISNUMBER(SEARCH($U$1,Database!$X78&amp;""))))+IF($V$1="",0,N(ISNUMBER(SEARCH($V$1,Database!$X78&amp;""))))+IF($W$1="",0,N(ISNUMBER(SEARCH($W$1,Database!$X78&amp;""))))+IF($X$1="",0,N(ISNUMBER(SEARCH($X$1,Database!$X78&amp;""))))+IF($Y$1="",0,N(ISNUMBER(SEARCH($Y$1,Database!$X78&amp;""))))+IF(Screener!$B$17="",0,N(ISNUMBER(SEARCH(LOWER(Screener!$B$17),Database!$X78&amp;""))))</f>
        <v/>
      </c>
      <c r="I78">
        <f>IF(OR(N(Database!$AV78)&lt;=0,N(Screener!$D$13)&lt;=0),0,MAX(0,1-ABS(LOG10(N(Database!$AV78)/Screener!$D$13))/W_PEHW))</f>
        <v/>
      </c>
      <c r="J78">
        <f>IF(OR(N(Database!$S78)&lt;=0,N(Screener!$D$14)&lt;=0),0,MAX(0,1-ABS(LOG10(Database!$S78/Screener!$D$14))/0.6))</f>
        <v/>
      </c>
      <c r="K78">
        <f>IF(Database!$B78=Screener!$B$5,-999999,IF(ISNUMBER(SEARCH(","&amp;Database!$A78&amp;",",","&amp;SUBSTITUTE(Screener!$B$19," ","")&amp;",")),2000000,IF(IF(OR(Screener!$B$18="All",AND(Screener!$B$18="With A-share",(Database!$AZ78="Y")),AND(Screener!$B$18="Without A-share",NOT((Database!$AZ78="Y")))),1,0)=0,-999999,IF(Screener!$B$16="cornerstone overlap first",H78*100000,IF(Screener!$B$16="demand-similar first",J78*100000,0))+W_SUB*B78+W_SEC*C78*(1-B78)+W_SIZE*D78+W_PROF*E78+W_AH*F78+W_REC*G78+W_CS*H78+W_PE*I78)))+ROW()/1000000</f>
        <v/>
      </c>
      <c r="AA78">
        <f>Database!B67</f>
        <v/>
      </c>
      <c r="AB78">
        <f>Database!D67</f>
        <v/>
      </c>
      <c r="AC78">
        <f>Database!E67</f>
        <v/>
      </c>
      <c r="AD78">
        <f>Database!I67</f>
        <v/>
      </c>
      <c r="AE78">
        <f>Database!AU67</f>
        <v/>
      </c>
      <c r="AF78">
        <f>Database!AZ67</f>
        <v/>
      </c>
      <c r="AG78">
        <f>Database!H67</f>
        <v/>
      </c>
      <c r="AH78">
        <f>Database!AV67</f>
        <v/>
      </c>
    </row>
    <row r="79">
      <c r="A79">
        <f>Database!B79</f>
        <v/>
      </c>
      <c r="B79">
        <f>IF(AND(Screener!$D$8&lt;&gt;"",Database!$E79=Screener!$D$8),1,0)</f>
        <v/>
      </c>
      <c r="C79">
        <f>IF(AND(Screener!$D$7&lt;&gt;"",Database!$D79=Screener!$D$7),1,0)</f>
        <v/>
      </c>
      <c r="D79">
        <f>IF(OR(N(Database!$I79)&lt;=0,N(Screener!$D$9)&lt;=0),0,MAX(0,1-ABS(LOG10(N(Database!$I79)/Screener!$D$9))/W_SIZEHW))</f>
        <v/>
      </c>
      <c r="E79">
        <f>IF(OR(Database!$AU79="",Screener!$D$10=""),0,IF(Database!$AU79=Screener!$D$10,1,0))</f>
        <v/>
      </c>
      <c r="F79">
        <f>IF(OR(Database!$AZ79="",Screener!$D$11=""),0,IF(Database!$AZ79=Screener!$D$11,1,0))</f>
        <v/>
      </c>
      <c r="G79">
        <f>IF(OR(Database!$H79="",N(Screener!$D$12)&lt;=0),0,MAX(0,1-(N(Screener!$D$12)-Database!$H79)/W_RECD))</f>
        <v/>
      </c>
      <c r="H79">
        <f>IF($U$1="",0,N(ISNUMBER(SEARCH($U$1,Database!$X79&amp;""))))+IF($V$1="",0,N(ISNUMBER(SEARCH($V$1,Database!$X79&amp;""))))+IF($W$1="",0,N(ISNUMBER(SEARCH($W$1,Database!$X79&amp;""))))+IF($X$1="",0,N(ISNUMBER(SEARCH($X$1,Database!$X79&amp;""))))+IF($Y$1="",0,N(ISNUMBER(SEARCH($Y$1,Database!$X79&amp;""))))+IF(Screener!$B$17="",0,N(ISNUMBER(SEARCH(LOWER(Screener!$B$17),Database!$X79&amp;""))))</f>
        <v/>
      </c>
      <c r="I79">
        <f>IF(OR(N(Database!$AV79)&lt;=0,N(Screener!$D$13)&lt;=0),0,MAX(0,1-ABS(LOG10(N(Database!$AV79)/Screener!$D$13))/W_PEHW))</f>
        <v/>
      </c>
      <c r="J79">
        <f>IF(OR(N(Database!$S79)&lt;=0,N(Screener!$D$14)&lt;=0),0,MAX(0,1-ABS(LOG10(Database!$S79/Screener!$D$14))/0.6))</f>
        <v/>
      </c>
      <c r="K79">
        <f>IF(Database!$B79=Screener!$B$5,-999999,IF(ISNUMBER(SEARCH(","&amp;Database!$A79&amp;",",","&amp;SUBSTITUTE(Screener!$B$19," ","")&amp;",")),2000000,IF(IF(OR(Screener!$B$18="All",AND(Screener!$B$18="With A-share",(Database!$AZ79="Y")),AND(Screener!$B$18="Without A-share",NOT((Database!$AZ79="Y")))),1,0)=0,-999999,IF(Screener!$B$16="cornerstone overlap first",H79*100000,IF(Screener!$B$16="demand-similar first",J79*100000,0))+W_SUB*B79+W_SEC*C79*(1-B79)+W_SIZE*D79+W_PROF*E79+W_AH*F79+W_REC*G79+W_CS*H79+W_PE*I79)))+ROW()/1000000</f>
        <v/>
      </c>
      <c r="AA79">
        <f>Database!B68</f>
        <v/>
      </c>
      <c r="AB79">
        <f>Database!D68</f>
        <v/>
      </c>
      <c r="AC79">
        <f>Database!E68</f>
        <v/>
      </c>
      <c r="AD79">
        <f>Database!I68</f>
        <v/>
      </c>
      <c r="AE79">
        <f>Database!AU68</f>
        <v/>
      </c>
      <c r="AF79">
        <f>Database!AZ68</f>
        <v/>
      </c>
      <c r="AG79">
        <f>Database!H68</f>
        <v/>
      </c>
      <c r="AH79">
        <f>Database!AV68</f>
        <v/>
      </c>
    </row>
    <row r="80">
      <c r="A80">
        <f>Database!B80</f>
        <v/>
      </c>
      <c r="B80">
        <f>IF(AND(Screener!$D$8&lt;&gt;"",Database!$E80=Screener!$D$8),1,0)</f>
        <v/>
      </c>
      <c r="C80">
        <f>IF(AND(Screener!$D$7&lt;&gt;"",Database!$D80=Screener!$D$7),1,0)</f>
        <v/>
      </c>
      <c r="D80">
        <f>IF(OR(N(Database!$I80)&lt;=0,N(Screener!$D$9)&lt;=0),0,MAX(0,1-ABS(LOG10(N(Database!$I80)/Screener!$D$9))/W_SIZEHW))</f>
        <v/>
      </c>
      <c r="E80">
        <f>IF(OR(Database!$AU80="",Screener!$D$10=""),0,IF(Database!$AU80=Screener!$D$10,1,0))</f>
        <v/>
      </c>
      <c r="F80">
        <f>IF(OR(Database!$AZ80="",Screener!$D$11=""),0,IF(Database!$AZ80=Screener!$D$11,1,0))</f>
        <v/>
      </c>
      <c r="G80">
        <f>IF(OR(Database!$H80="",N(Screener!$D$12)&lt;=0),0,MAX(0,1-(N(Screener!$D$12)-Database!$H80)/W_RECD))</f>
        <v/>
      </c>
      <c r="H80">
        <f>IF($U$1="",0,N(ISNUMBER(SEARCH($U$1,Database!$X80&amp;""))))+IF($V$1="",0,N(ISNUMBER(SEARCH($V$1,Database!$X80&amp;""))))+IF($W$1="",0,N(ISNUMBER(SEARCH($W$1,Database!$X80&amp;""))))+IF($X$1="",0,N(ISNUMBER(SEARCH($X$1,Database!$X80&amp;""))))+IF($Y$1="",0,N(ISNUMBER(SEARCH($Y$1,Database!$X80&amp;""))))+IF(Screener!$B$17="",0,N(ISNUMBER(SEARCH(LOWER(Screener!$B$17),Database!$X80&amp;""))))</f>
        <v/>
      </c>
      <c r="I80">
        <f>IF(OR(N(Database!$AV80)&lt;=0,N(Screener!$D$13)&lt;=0),0,MAX(0,1-ABS(LOG10(N(Database!$AV80)/Screener!$D$13))/W_PEHW))</f>
        <v/>
      </c>
      <c r="J80">
        <f>IF(OR(N(Database!$S80)&lt;=0,N(Screener!$D$14)&lt;=0),0,MAX(0,1-ABS(LOG10(Database!$S80/Screener!$D$14))/0.6))</f>
        <v/>
      </c>
      <c r="K80">
        <f>IF(Database!$B80=Screener!$B$5,-999999,IF(ISNUMBER(SEARCH(","&amp;Database!$A80&amp;",",","&amp;SUBSTITUTE(Screener!$B$19," ","")&amp;",")),2000000,IF(IF(OR(Screener!$B$18="All",AND(Screener!$B$18="With A-share",(Database!$AZ80="Y")),AND(Screener!$B$18="Without A-share",NOT((Database!$AZ80="Y")))),1,0)=0,-999999,IF(Screener!$B$16="cornerstone overlap first",H80*100000,IF(Screener!$B$16="demand-similar first",J80*100000,0))+W_SUB*B80+W_SEC*C80*(1-B80)+W_SIZE*D80+W_PROF*E80+W_AH*F80+W_REC*G80+W_CS*H80+W_PE*I80)))+ROW()/1000000</f>
        <v/>
      </c>
      <c r="AA80">
        <f>Database!B69</f>
        <v/>
      </c>
      <c r="AB80">
        <f>Database!D69</f>
        <v/>
      </c>
      <c r="AC80">
        <f>Database!E69</f>
        <v/>
      </c>
      <c r="AD80">
        <f>Database!I69</f>
        <v/>
      </c>
      <c r="AE80">
        <f>Database!AU69</f>
        <v/>
      </c>
      <c r="AF80">
        <f>Database!AZ69</f>
        <v/>
      </c>
      <c r="AG80">
        <f>Database!H69</f>
        <v/>
      </c>
      <c r="AH80">
        <f>Database!AV69</f>
        <v/>
      </c>
    </row>
    <row r="81">
      <c r="A81">
        <f>Database!B81</f>
        <v/>
      </c>
      <c r="B81">
        <f>IF(AND(Screener!$D$8&lt;&gt;"",Database!$E81=Screener!$D$8),1,0)</f>
        <v/>
      </c>
      <c r="C81">
        <f>IF(AND(Screener!$D$7&lt;&gt;"",Database!$D81=Screener!$D$7),1,0)</f>
        <v/>
      </c>
      <c r="D81">
        <f>IF(OR(N(Database!$I81)&lt;=0,N(Screener!$D$9)&lt;=0),0,MAX(0,1-ABS(LOG10(N(Database!$I81)/Screener!$D$9))/W_SIZEHW))</f>
        <v/>
      </c>
      <c r="E81">
        <f>IF(OR(Database!$AU81="",Screener!$D$10=""),0,IF(Database!$AU81=Screener!$D$10,1,0))</f>
        <v/>
      </c>
      <c r="F81">
        <f>IF(OR(Database!$AZ81="",Screener!$D$11=""),0,IF(Database!$AZ81=Screener!$D$11,1,0))</f>
        <v/>
      </c>
      <c r="G81">
        <f>IF(OR(Database!$H81="",N(Screener!$D$12)&lt;=0),0,MAX(0,1-(N(Screener!$D$12)-Database!$H81)/W_RECD))</f>
        <v/>
      </c>
      <c r="H81">
        <f>IF($U$1="",0,N(ISNUMBER(SEARCH($U$1,Database!$X81&amp;""))))+IF($V$1="",0,N(ISNUMBER(SEARCH($V$1,Database!$X81&amp;""))))+IF($W$1="",0,N(ISNUMBER(SEARCH($W$1,Database!$X81&amp;""))))+IF($X$1="",0,N(ISNUMBER(SEARCH($X$1,Database!$X81&amp;""))))+IF($Y$1="",0,N(ISNUMBER(SEARCH($Y$1,Database!$X81&amp;""))))+IF(Screener!$B$17="",0,N(ISNUMBER(SEARCH(LOWER(Screener!$B$17),Database!$X81&amp;""))))</f>
        <v/>
      </c>
      <c r="I81">
        <f>IF(OR(N(Database!$AV81)&lt;=0,N(Screener!$D$13)&lt;=0),0,MAX(0,1-ABS(LOG10(N(Database!$AV81)/Screener!$D$13))/W_PEHW))</f>
        <v/>
      </c>
      <c r="J81">
        <f>IF(OR(N(Database!$S81)&lt;=0,N(Screener!$D$14)&lt;=0),0,MAX(0,1-ABS(LOG10(Database!$S81/Screener!$D$14))/0.6))</f>
        <v/>
      </c>
      <c r="K81">
        <f>IF(Database!$B81=Screener!$B$5,-999999,IF(ISNUMBER(SEARCH(","&amp;Database!$A81&amp;",",","&amp;SUBSTITUTE(Screener!$B$19," ","")&amp;",")),2000000,IF(IF(OR(Screener!$B$18="All",AND(Screener!$B$18="With A-share",(Database!$AZ81="Y")),AND(Screener!$B$18="Without A-share",NOT((Database!$AZ81="Y")))),1,0)=0,-999999,IF(Screener!$B$16="cornerstone overlap first",H81*100000,IF(Screener!$B$16="demand-similar first",J81*100000,0))+W_SUB*B81+W_SEC*C81*(1-B81)+W_SIZE*D81+W_PROF*E81+W_AH*F81+W_REC*G81+W_CS*H81+W_PE*I81)))+ROW()/1000000</f>
        <v/>
      </c>
      <c r="AA81">
        <f>Database!B70</f>
        <v/>
      </c>
      <c r="AB81">
        <f>Database!D70</f>
        <v/>
      </c>
      <c r="AC81">
        <f>Database!E70</f>
        <v/>
      </c>
      <c r="AD81">
        <f>Database!I70</f>
        <v/>
      </c>
      <c r="AE81">
        <f>Database!AU70</f>
        <v/>
      </c>
      <c r="AF81">
        <f>Database!AZ70</f>
        <v/>
      </c>
      <c r="AG81">
        <f>Database!H70</f>
        <v/>
      </c>
      <c r="AH81">
        <f>Database!AV70</f>
        <v/>
      </c>
    </row>
    <row r="82">
      <c r="A82">
        <f>Database!B82</f>
        <v/>
      </c>
      <c r="B82">
        <f>IF(AND(Screener!$D$8&lt;&gt;"",Database!$E82=Screener!$D$8),1,0)</f>
        <v/>
      </c>
      <c r="C82">
        <f>IF(AND(Screener!$D$7&lt;&gt;"",Database!$D82=Screener!$D$7),1,0)</f>
        <v/>
      </c>
      <c r="D82">
        <f>IF(OR(N(Database!$I82)&lt;=0,N(Screener!$D$9)&lt;=0),0,MAX(0,1-ABS(LOG10(N(Database!$I82)/Screener!$D$9))/W_SIZEHW))</f>
        <v/>
      </c>
      <c r="E82">
        <f>IF(OR(Database!$AU82="",Screener!$D$10=""),0,IF(Database!$AU82=Screener!$D$10,1,0))</f>
        <v/>
      </c>
      <c r="F82">
        <f>IF(OR(Database!$AZ82="",Screener!$D$11=""),0,IF(Database!$AZ82=Screener!$D$11,1,0))</f>
        <v/>
      </c>
      <c r="G82">
        <f>IF(OR(Database!$H82="",N(Screener!$D$12)&lt;=0),0,MAX(0,1-(N(Screener!$D$12)-Database!$H82)/W_RECD))</f>
        <v/>
      </c>
      <c r="H82">
        <f>IF($U$1="",0,N(ISNUMBER(SEARCH($U$1,Database!$X82&amp;""))))+IF($V$1="",0,N(ISNUMBER(SEARCH($V$1,Database!$X82&amp;""))))+IF($W$1="",0,N(ISNUMBER(SEARCH($W$1,Database!$X82&amp;""))))+IF($X$1="",0,N(ISNUMBER(SEARCH($X$1,Database!$X82&amp;""))))+IF($Y$1="",0,N(ISNUMBER(SEARCH($Y$1,Database!$X82&amp;""))))+IF(Screener!$B$17="",0,N(ISNUMBER(SEARCH(LOWER(Screener!$B$17),Database!$X82&amp;""))))</f>
        <v/>
      </c>
      <c r="I82">
        <f>IF(OR(N(Database!$AV82)&lt;=0,N(Screener!$D$13)&lt;=0),0,MAX(0,1-ABS(LOG10(N(Database!$AV82)/Screener!$D$13))/W_PEHW))</f>
        <v/>
      </c>
      <c r="J82">
        <f>IF(OR(N(Database!$S82)&lt;=0,N(Screener!$D$14)&lt;=0),0,MAX(0,1-ABS(LOG10(Database!$S82/Screener!$D$14))/0.6))</f>
        <v/>
      </c>
      <c r="K82">
        <f>IF(Database!$B82=Screener!$B$5,-999999,IF(ISNUMBER(SEARCH(","&amp;Database!$A82&amp;",",","&amp;SUBSTITUTE(Screener!$B$19," ","")&amp;",")),2000000,IF(IF(OR(Screener!$B$18="All",AND(Screener!$B$18="With A-share",(Database!$AZ82="Y")),AND(Screener!$B$18="Without A-share",NOT((Database!$AZ82="Y")))),1,0)=0,-999999,IF(Screener!$B$16="cornerstone overlap first",H82*100000,IF(Screener!$B$16="demand-similar first",J82*100000,0))+W_SUB*B82+W_SEC*C82*(1-B82)+W_SIZE*D82+W_PROF*E82+W_AH*F82+W_REC*G82+W_CS*H82+W_PE*I82)))+ROW()/1000000</f>
        <v/>
      </c>
      <c r="AA82">
        <f>Database!B71</f>
        <v/>
      </c>
      <c r="AB82">
        <f>Database!D71</f>
        <v/>
      </c>
      <c r="AC82">
        <f>Database!E71</f>
        <v/>
      </c>
      <c r="AD82">
        <f>Database!I71</f>
        <v/>
      </c>
      <c r="AE82">
        <f>Database!AU71</f>
        <v/>
      </c>
      <c r="AF82">
        <f>Database!AZ71</f>
        <v/>
      </c>
      <c r="AG82">
        <f>Database!H71</f>
        <v/>
      </c>
      <c r="AH82">
        <f>Database!AV71</f>
        <v/>
      </c>
    </row>
    <row r="83">
      <c r="A83">
        <f>Database!B83</f>
        <v/>
      </c>
      <c r="B83">
        <f>IF(AND(Screener!$D$8&lt;&gt;"",Database!$E83=Screener!$D$8),1,0)</f>
        <v/>
      </c>
      <c r="C83">
        <f>IF(AND(Screener!$D$7&lt;&gt;"",Database!$D83=Screener!$D$7),1,0)</f>
        <v/>
      </c>
      <c r="D83">
        <f>IF(OR(N(Database!$I83)&lt;=0,N(Screener!$D$9)&lt;=0),0,MAX(0,1-ABS(LOG10(N(Database!$I83)/Screener!$D$9))/W_SIZEHW))</f>
        <v/>
      </c>
      <c r="E83">
        <f>IF(OR(Database!$AU83="",Screener!$D$10=""),0,IF(Database!$AU83=Screener!$D$10,1,0))</f>
        <v/>
      </c>
      <c r="F83">
        <f>IF(OR(Database!$AZ83="",Screener!$D$11=""),0,IF(Database!$AZ83=Screener!$D$11,1,0))</f>
        <v/>
      </c>
      <c r="G83">
        <f>IF(OR(Database!$H83="",N(Screener!$D$12)&lt;=0),0,MAX(0,1-(N(Screener!$D$12)-Database!$H83)/W_RECD))</f>
        <v/>
      </c>
      <c r="H83">
        <f>IF($U$1="",0,N(ISNUMBER(SEARCH($U$1,Database!$X83&amp;""))))+IF($V$1="",0,N(ISNUMBER(SEARCH($V$1,Database!$X83&amp;""))))+IF($W$1="",0,N(ISNUMBER(SEARCH($W$1,Database!$X83&amp;""))))+IF($X$1="",0,N(ISNUMBER(SEARCH($X$1,Database!$X83&amp;""))))+IF($Y$1="",0,N(ISNUMBER(SEARCH($Y$1,Database!$X83&amp;""))))+IF(Screener!$B$17="",0,N(ISNUMBER(SEARCH(LOWER(Screener!$B$17),Database!$X83&amp;""))))</f>
        <v/>
      </c>
      <c r="I83">
        <f>IF(OR(N(Database!$AV83)&lt;=0,N(Screener!$D$13)&lt;=0),0,MAX(0,1-ABS(LOG10(N(Database!$AV83)/Screener!$D$13))/W_PEHW))</f>
        <v/>
      </c>
      <c r="J83">
        <f>IF(OR(N(Database!$S83)&lt;=0,N(Screener!$D$14)&lt;=0),0,MAX(0,1-ABS(LOG10(Database!$S83/Screener!$D$14))/0.6))</f>
        <v/>
      </c>
      <c r="K83">
        <f>IF(Database!$B83=Screener!$B$5,-999999,IF(ISNUMBER(SEARCH(","&amp;Database!$A83&amp;",",","&amp;SUBSTITUTE(Screener!$B$19," ","")&amp;",")),2000000,IF(IF(OR(Screener!$B$18="All",AND(Screener!$B$18="With A-share",(Database!$AZ83="Y")),AND(Screener!$B$18="Without A-share",NOT((Database!$AZ83="Y")))),1,0)=0,-999999,IF(Screener!$B$16="cornerstone overlap first",H83*100000,IF(Screener!$B$16="demand-similar first",J83*100000,0))+W_SUB*B83+W_SEC*C83*(1-B83)+W_SIZE*D83+W_PROF*E83+W_AH*F83+W_REC*G83+W_CS*H83+W_PE*I83)))+ROW()/1000000</f>
        <v/>
      </c>
      <c r="AA83">
        <f>Database!B72</f>
        <v/>
      </c>
      <c r="AB83">
        <f>Database!D72</f>
        <v/>
      </c>
      <c r="AC83">
        <f>Database!E72</f>
        <v/>
      </c>
      <c r="AD83">
        <f>Database!I72</f>
        <v/>
      </c>
      <c r="AE83">
        <f>Database!AU72</f>
        <v/>
      </c>
      <c r="AF83">
        <f>Database!AZ72</f>
        <v/>
      </c>
      <c r="AG83">
        <f>Database!H72</f>
        <v/>
      </c>
      <c r="AH83">
        <f>Database!AV72</f>
        <v/>
      </c>
    </row>
    <row r="84">
      <c r="A84">
        <f>Database!B84</f>
        <v/>
      </c>
      <c r="B84">
        <f>IF(AND(Screener!$D$8&lt;&gt;"",Database!$E84=Screener!$D$8),1,0)</f>
        <v/>
      </c>
      <c r="C84">
        <f>IF(AND(Screener!$D$7&lt;&gt;"",Database!$D84=Screener!$D$7),1,0)</f>
        <v/>
      </c>
      <c r="D84">
        <f>IF(OR(N(Database!$I84)&lt;=0,N(Screener!$D$9)&lt;=0),0,MAX(0,1-ABS(LOG10(N(Database!$I84)/Screener!$D$9))/W_SIZEHW))</f>
        <v/>
      </c>
      <c r="E84">
        <f>IF(OR(Database!$AU84="",Screener!$D$10=""),0,IF(Database!$AU84=Screener!$D$10,1,0))</f>
        <v/>
      </c>
      <c r="F84">
        <f>IF(OR(Database!$AZ84="",Screener!$D$11=""),0,IF(Database!$AZ84=Screener!$D$11,1,0))</f>
        <v/>
      </c>
      <c r="G84">
        <f>IF(OR(Database!$H84="",N(Screener!$D$12)&lt;=0),0,MAX(0,1-(N(Screener!$D$12)-Database!$H84)/W_RECD))</f>
        <v/>
      </c>
      <c r="H84">
        <f>IF($U$1="",0,N(ISNUMBER(SEARCH($U$1,Database!$X84&amp;""))))+IF($V$1="",0,N(ISNUMBER(SEARCH($V$1,Database!$X84&amp;""))))+IF($W$1="",0,N(ISNUMBER(SEARCH($W$1,Database!$X84&amp;""))))+IF($X$1="",0,N(ISNUMBER(SEARCH($X$1,Database!$X84&amp;""))))+IF($Y$1="",0,N(ISNUMBER(SEARCH($Y$1,Database!$X84&amp;""))))+IF(Screener!$B$17="",0,N(ISNUMBER(SEARCH(LOWER(Screener!$B$17),Database!$X84&amp;""))))</f>
        <v/>
      </c>
      <c r="I84">
        <f>IF(OR(N(Database!$AV84)&lt;=0,N(Screener!$D$13)&lt;=0),0,MAX(0,1-ABS(LOG10(N(Database!$AV84)/Screener!$D$13))/W_PEHW))</f>
        <v/>
      </c>
      <c r="J84">
        <f>IF(OR(N(Database!$S84)&lt;=0,N(Screener!$D$14)&lt;=0),0,MAX(0,1-ABS(LOG10(Database!$S84/Screener!$D$14))/0.6))</f>
        <v/>
      </c>
      <c r="K84">
        <f>IF(Database!$B84=Screener!$B$5,-999999,IF(ISNUMBER(SEARCH(","&amp;Database!$A84&amp;",",","&amp;SUBSTITUTE(Screener!$B$19," ","")&amp;",")),2000000,IF(IF(OR(Screener!$B$18="All",AND(Screener!$B$18="With A-share",(Database!$AZ84="Y")),AND(Screener!$B$18="Without A-share",NOT((Database!$AZ84="Y")))),1,0)=0,-999999,IF(Screener!$B$16="cornerstone overlap first",H84*100000,IF(Screener!$B$16="demand-similar first",J84*100000,0))+W_SUB*B84+W_SEC*C84*(1-B84)+W_SIZE*D84+W_PROF*E84+W_AH*F84+W_REC*G84+W_CS*H84+W_PE*I84)))+ROW()/1000000</f>
        <v/>
      </c>
      <c r="AA84">
        <f>Database!B73</f>
        <v/>
      </c>
      <c r="AB84">
        <f>Database!D73</f>
        <v/>
      </c>
      <c r="AC84">
        <f>Database!E73</f>
        <v/>
      </c>
      <c r="AD84">
        <f>Database!I73</f>
        <v/>
      </c>
      <c r="AE84">
        <f>Database!AU73</f>
        <v/>
      </c>
      <c r="AF84">
        <f>Database!AZ73</f>
        <v/>
      </c>
      <c r="AG84">
        <f>Database!H73</f>
        <v/>
      </c>
      <c r="AH84">
        <f>Database!AV73</f>
        <v/>
      </c>
    </row>
    <row r="85">
      <c r="A85">
        <f>Database!B85</f>
        <v/>
      </c>
      <c r="B85">
        <f>IF(AND(Screener!$D$8&lt;&gt;"",Database!$E85=Screener!$D$8),1,0)</f>
        <v/>
      </c>
      <c r="C85">
        <f>IF(AND(Screener!$D$7&lt;&gt;"",Database!$D85=Screener!$D$7),1,0)</f>
        <v/>
      </c>
      <c r="D85">
        <f>IF(OR(N(Database!$I85)&lt;=0,N(Screener!$D$9)&lt;=0),0,MAX(0,1-ABS(LOG10(N(Database!$I85)/Screener!$D$9))/W_SIZEHW))</f>
        <v/>
      </c>
      <c r="E85">
        <f>IF(OR(Database!$AU85="",Screener!$D$10=""),0,IF(Database!$AU85=Screener!$D$10,1,0))</f>
        <v/>
      </c>
      <c r="F85">
        <f>IF(OR(Database!$AZ85="",Screener!$D$11=""),0,IF(Database!$AZ85=Screener!$D$11,1,0))</f>
        <v/>
      </c>
      <c r="G85">
        <f>IF(OR(Database!$H85="",N(Screener!$D$12)&lt;=0),0,MAX(0,1-(N(Screener!$D$12)-Database!$H85)/W_RECD))</f>
        <v/>
      </c>
      <c r="H85">
        <f>IF($U$1="",0,N(ISNUMBER(SEARCH($U$1,Database!$X85&amp;""))))+IF($V$1="",0,N(ISNUMBER(SEARCH($V$1,Database!$X85&amp;""))))+IF($W$1="",0,N(ISNUMBER(SEARCH($W$1,Database!$X85&amp;""))))+IF($X$1="",0,N(ISNUMBER(SEARCH($X$1,Database!$X85&amp;""))))+IF($Y$1="",0,N(ISNUMBER(SEARCH($Y$1,Database!$X85&amp;""))))+IF(Screener!$B$17="",0,N(ISNUMBER(SEARCH(LOWER(Screener!$B$17),Database!$X85&amp;""))))</f>
        <v/>
      </c>
      <c r="I85">
        <f>IF(OR(N(Database!$AV85)&lt;=0,N(Screener!$D$13)&lt;=0),0,MAX(0,1-ABS(LOG10(N(Database!$AV85)/Screener!$D$13))/W_PEHW))</f>
        <v/>
      </c>
      <c r="J85">
        <f>IF(OR(N(Database!$S85)&lt;=0,N(Screener!$D$14)&lt;=0),0,MAX(0,1-ABS(LOG10(Database!$S85/Screener!$D$14))/0.6))</f>
        <v/>
      </c>
      <c r="K85">
        <f>IF(Database!$B85=Screener!$B$5,-999999,IF(ISNUMBER(SEARCH(","&amp;Database!$A85&amp;",",","&amp;SUBSTITUTE(Screener!$B$19," ","")&amp;",")),2000000,IF(IF(OR(Screener!$B$18="All",AND(Screener!$B$18="With A-share",(Database!$AZ85="Y")),AND(Screener!$B$18="Without A-share",NOT((Database!$AZ85="Y")))),1,0)=0,-999999,IF(Screener!$B$16="cornerstone overlap first",H85*100000,IF(Screener!$B$16="demand-similar first",J85*100000,0))+W_SUB*B85+W_SEC*C85*(1-B85)+W_SIZE*D85+W_PROF*E85+W_AH*F85+W_REC*G85+W_CS*H85+W_PE*I85)))+ROW()/1000000</f>
        <v/>
      </c>
      <c r="AA85">
        <f>Database!B74</f>
        <v/>
      </c>
      <c r="AB85">
        <f>Database!D74</f>
        <v/>
      </c>
      <c r="AC85">
        <f>Database!E74</f>
        <v/>
      </c>
      <c r="AD85">
        <f>Database!I74</f>
        <v/>
      </c>
      <c r="AE85">
        <f>Database!AU74</f>
        <v/>
      </c>
      <c r="AF85">
        <f>Database!AZ74</f>
        <v/>
      </c>
      <c r="AG85">
        <f>Database!H74</f>
        <v/>
      </c>
      <c r="AH85">
        <f>Database!AV74</f>
        <v/>
      </c>
    </row>
    <row r="86">
      <c r="A86">
        <f>Database!B86</f>
        <v/>
      </c>
      <c r="B86">
        <f>IF(AND(Screener!$D$8&lt;&gt;"",Database!$E86=Screener!$D$8),1,0)</f>
        <v/>
      </c>
      <c r="C86">
        <f>IF(AND(Screener!$D$7&lt;&gt;"",Database!$D86=Screener!$D$7),1,0)</f>
        <v/>
      </c>
      <c r="D86">
        <f>IF(OR(N(Database!$I86)&lt;=0,N(Screener!$D$9)&lt;=0),0,MAX(0,1-ABS(LOG10(N(Database!$I86)/Screener!$D$9))/W_SIZEHW))</f>
        <v/>
      </c>
      <c r="E86">
        <f>IF(OR(Database!$AU86="",Screener!$D$10=""),0,IF(Database!$AU86=Screener!$D$10,1,0))</f>
        <v/>
      </c>
      <c r="F86">
        <f>IF(OR(Database!$AZ86="",Screener!$D$11=""),0,IF(Database!$AZ86=Screener!$D$11,1,0))</f>
        <v/>
      </c>
      <c r="G86">
        <f>IF(OR(Database!$H86="",N(Screener!$D$12)&lt;=0),0,MAX(0,1-(N(Screener!$D$12)-Database!$H86)/W_RECD))</f>
        <v/>
      </c>
      <c r="H86">
        <f>IF($U$1="",0,N(ISNUMBER(SEARCH($U$1,Database!$X86&amp;""))))+IF($V$1="",0,N(ISNUMBER(SEARCH($V$1,Database!$X86&amp;""))))+IF($W$1="",0,N(ISNUMBER(SEARCH($W$1,Database!$X86&amp;""))))+IF($X$1="",0,N(ISNUMBER(SEARCH($X$1,Database!$X86&amp;""))))+IF($Y$1="",0,N(ISNUMBER(SEARCH($Y$1,Database!$X86&amp;""))))+IF(Screener!$B$17="",0,N(ISNUMBER(SEARCH(LOWER(Screener!$B$17),Database!$X86&amp;""))))</f>
        <v/>
      </c>
      <c r="I86">
        <f>IF(OR(N(Database!$AV86)&lt;=0,N(Screener!$D$13)&lt;=0),0,MAX(0,1-ABS(LOG10(N(Database!$AV86)/Screener!$D$13))/W_PEHW))</f>
        <v/>
      </c>
      <c r="J86">
        <f>IF(OR(N(Database!$S86)&lt;=0,N(Screener!$D$14)&lt;=0),0,MAX(0,1-ABS(LOG10(Database!$S86/Screener!$D$14))/0.6))</f>
        <v/>
      </c>
      <c r="K86">
        <f>IF(Database!$B86=Screener!$B$5,-999999,IF(ISNUMBER(SEARCH(","&amp;Database!$A86&amp;",",","&amp;SUBSTITUTE(Screener!$B$19," ","")&amp;",")),2000000,IF(IF(OR(Screener!$B$18="All",AND(Screener!$B$18="With A-share",(Database!$AZ86="Y")),AND(Screener!$B$18="Without A-share",NOT((Database!$AZ86="Y")))),1,0)=0,-999999,IF(Screener!$B$16="cornerstone overlap first",H86*100000,IF(Screener!$B$16="demand-similar first",J86*100000,0))+W_SUB*B86+W_SEC*C86*(1-B86)+W_SIZE*D86+W_PROF*E86+W_AH*F86+W_REC*G86+W_CS*H86+W_PE*I86)))+ROW()/1000000</f>
        <v/>
      </c>
      <c r="AA86">
        <f>Database!B75</f>
        <v/>
      </c>
      <c r="AB86">
        <f>Database!D75</f>
        <v/>
      </c>
      <c r="AC86">
        <f>Database!E75</f>
        <v/>
      </c>
      <c r="AD86">
        <f>Database!I75</f>
        <v/>
      </c>
      <c r="AE86">
        <f>Database!AU75</f>
        <v/>
      </c>
      <c r="AF86">
        <f>Database!AZ75</f>
        <v/>
      </c>
      <c r="AG86">
        <f>Database!H75</f>
        <v/>
      </c>
      <c r="AH86">
        <f>Database!AV75</f>
        <v/>
      </c>
    </row>
    <row r="87">
      <c r="A87">
        <f>Database!B87</f>
        <v/>
      </c>
      <c r="B87">
        <f>IF(AND(Screener!$D$8&lt;&gt;"",Database!$E87=Screener!$D$8),1,0)</f>
        <v/>
      </c>
      <c r="C87">
        <f>IF(AND(Screener!$D$7&lt;&gt;"",Database!$D87=Screener!$D$7),1,0)</f>
        <v/>
      </c>
      <c r="D87">
        <f>IF(OR(N(Database!$I87)&lt;=0,N(Screener!$D$9)&lt;=0),0,MAX(0,1-ABS(LOG10(N(Database!$I87)/Screener!$D$9))/W_SIZEHW))</f>
        <v/>
      </c>
      <c r="E87">
        <f>IF(OR(Database!$AU87="",Screener!$D$10=""),0,IF(Database!$AU87=Screener!$D$10,1,0))</f>
        <v/>
      </c>
      <c r="F87">
        <f>IF(OR(Database!$AZ87="",Screener!$D$11=""),0,IF(Database!$AZ87=Screener!$D$11,1,0))</f>
        <v/>
      </c>
      <c r="G87">
        <f>IF(OR(Database!$H87="",N(Screener!$D$12)&lt;=0),0,MAX(0,1-(N(Screener!$D$12)-Database!$H87)/W_RECD))</f>
        <v/>
      </c>
      <c r="H87">
        <f>IF($U$1="",0,N(ISNUMBER(SEARCH($U$1,Database!$X87&amp;""))))+IF($V$1="",0,N(ISNUMBER(SEARCH($V$1,Database!$X87&amp;""))))+IF($W$1="",0,N(ISNUMBER(SEARCH($W$1,Database!$X87&amp;""))))+IF($X$1="",0,N(ISNUMBER(SEARCH($X$1,Database!$X87&amp;""))))+IF($Y$1="",0,N(ISNUMBER(SEARCH($Y$1,Database!$X87&amp;""))))+IF(Screener!$B$17="",0,N(ISNUMBER(SEARCH(LOWER(Screener!$B$17),Database!$X87&amp;""))))</f>
        <v/>
      </c>
      <c r="I87">
        <f>IF(OR(N(Database!$AV87)&lt;=0,N(Screener!$D$13)&lt;=0),0,MAX(0,1-ABS(LOG10(N(Database!$AV87)/Screener!$D$13))/W_PEHW))</f>
        <v/>
      </c>
      <c r="J87">
        <f>IF(OR(N(Database!$S87)&lt;=0,N(Screener!$D$14)&lt;=0),0,MAX(0,1-ABS(LOG10(Database!$S87/Screener!$D$14))/0.6))</f>
        <v/>
      </c>
      <c r="K87">
        <f>IF(Database!$B87=Screener!$B$5,-999999,IF(ISNUMBER(SEARCH(","&amp;Database!$A87&amp;",",","&amp;SUBSTITUTE(Screener!$B$19," ","")&amp;",")),2000000,IF(IF(OR(Screener!$B$18="All",AND(Screener!$B$18="With A-share",(Database!$AZ87="Y")),AND(Screener!$B$18="Without A-share",NOT((Database!$AZ87="Y")))),1,0)=0,-999999,IF(Screener!$B$16="cornerstone overlap first",H87*100000,IF(Screener!$B$16="demand-similar first",J87*100000,0))+W_SUB*B87+W_SEC*C87*(1-B87)+W_SIZE*D87+W_PROF*E87+W_AH*F87+W_REC*G87+W_CS*H87+W_PE*I87)))+ROW()/1000000</f>
        <v/>
      </c>
      <c r="AA87">
        <f>Database!B76</f>
        <v/>
      </c>
      <c r="AB87">
        <f>Database!D76</f>
        <v/>
      </c>
      <c r="AC87">
        <f>Database!E76</f>
        <v/>
      </c>
      <c r="AD87">
        <f>Database!I76</f>
        <v/>
      </c>
      <c r="AE87">
        <f>Database!AU76</f>
        <v/>
      </c>
      <c r="AF87">
        <f>Database!AZ76</f>
        <v/>
      </c>
      <c r="AG87">
        <f>Database!H76</f>
        <v/>
      </c>
      <c r="AH87">
        <f>Database!AV76</f>
        <v/>
      </c>
    </row>
    <row r="88">
      <c r="A88">
        <f>Database!B88</f>
        <v/>
      </c>
      <c r="B88">
        <f>IF(AND(Screener!$D$8&lt;&gt;"",Database!$E88=Screener!$D$8),1,0)</f>
        <v/>
      </c>
      <c r="C88">
        <f>IF(AND(Screener!$D$7&lt;&gt;"",Database!$D88=Screener!$D$7),1,0)</f>
        <v/>
      </c>
      <c r="D88">
        <f>IF(OR(N(Database!$I88)&lt;=0,N(Screener!$D$9)&lt;=0),0,MAX(0,1-ABS(LOG10(N(Database!$I88)/Screener!$D$9))/W_SIZEHW))</f>
        <v/>
      </c>
      <c r="E88">
        <f>IF(OR(Database!$AU88="",Screener!$D$10=""),0,IF(Database!$AU88=Screener!$D$10,1,0))</f>
        <v/>
      </c>
      <c r="F88">
        <f>IF(OR(Database!$AZ88="",Screener!$D$11=""),0,IF(Database!$AZ88=Screener!$D$11,1,0))</f>
        <v/>
      </c>
      <c r="G88">
        <f>IF(OR(Database!$H88="",N(Screener!$D$12)&lt;=0),0,MAX(0,1-(N(Screener!$D$12)-Database!$H88)/W_RECD))</f>
        <v/>
      </c>
      <c r="H88">
        <f>IF($U$1="",0,N(ISNUMBER(SEARCH($U$1,Database!$X88&amp;""))))+IF($V$1="",0,N(ISNUMBER(SEARCH($V$1,Database!$X88&amp;""))))+IF($W$1="",0,N(ISNUMBER(SEARCH($W$1,Database!$X88&amp;""))))+IF($X$1="",0,N(ISNUMBER(SEARCH($X$1,Database!$X88&amp;""))))+IF($Y$1="",0,N(ISNUMBER(SEARCH($Y$1,Database!$X88&amp;""))))+IF(Screener!$B$17="",0,N(ISNUMBER(SEARCH(LOWER(Screener!$B$17),Database!$X88&amp;""))))</f>
        <v/>
      </c>
      <c r="I88">
        <f>IF(OR(N(Database!$AV88)&lt;=0,N(Screener!$D$13)&lt;=0),0,MAX(0,1-ABS(LOG10(N(Database!$AV88)/Screener!$D$13))/W_PEHW))</f>
        <v/>
      </c>
      <c r="J88">
        <f>IF(OR(N(Database!$S88)&lt;=0,N(Screener!$D$14)&lt;=0),0,MAX(0,1-ABS(LOG10(Database!$S88/Screener!$D$14))/0.6))</f>
        <v/>
      </c>
      <c r="K88">
        <f>IF(Database!$B88=Screener!$B$5,-999999,IF(ISNUMBER(SEARCH(","&amp;Database!$A88&amp;",",","&amp;SUBSTITUTE(Screener!$B$19," ","")&amp;",")),2000000,IF(IF(OR(Screener!$B$18="All",AND(Screener!$B$18="With A-share",(Database!$AZ88="Y")),AND(Screener!$B$18="Without A-share",NOT((Database!$AZ88="Y")))),1,0)=0,-999999,IF(Screener!$B$16="cornerstone overlap first",H88*100000,IF(Screener!$B$16="demand-similar first",J88*100000,0))+W_SUB*B88+W_SEC*C88*(1-B88)+W_SIZE*D88+W_PROF*E88+W_AH*F88+W_REC*G88+W_CS*H88+W_PE*I88)))+ROW()/1000000</f>
        <v/>
      </c>
      <c r="AA88">
        <f>Database!B77</f>
        <v/>
      </c>
      <c r="AB88">
        <f>Database!D77</f>
        <v/>
      </c>
      <c r="AC88">
        <f>Database!E77</f>
        <v/>
      </c>
      <c r="AD88">
        <f>Database!I77</f>
        <v/>
      </c>
      <c r="AE88">
        <f>Database!AU77</f>
        <v/>
      </c>
      <c r="AF88">
        <f>Database!AZ77</f>
        <v/>
      </c>
      <c r="AG88">
        <f>Database!H77</f>
        <v/>
      </c>
      <c r="AH88">
        <f>Database!AV77</f>
        <v/>
      </c>
    </row>
    <row r="89">
      <c r="A89">
        <f>Database!B89</f>
        <v/>
      </c>
      <c r="B89">
        <f>IF(AND(Screener!$D$8&lt;&gt;"",Database!$E89=Screener!$D$8),1,0)</f>
        <v/>
      </c>
      <c r="C89">
        <f>IF(AND(Screener!$D$7&lt;&gt;"",Database!$D89=Screener!$D$7),1,0)</f>
        <v/>
      </c>
      <c r="D89">
        <f>IF(OR(N(Database!$I89)&lt;=0,N(Screener!$D$9)&lt;=0),0,MAX(0,1-ABS(LOG10(N(Database!$I89)/Screener!$D$9))/W_SIZEHW))</f>
        <v/>
      </c>
      <c r="E89">
        <f>IF(OR(Database!$AU89="",Screener!$D$10=""),0,IF(Database!$AU89=Screener!$D$10,1,0))</f>
        <v/>
      </c>
      <c r="F89">
        <f>IF(OR(Database!$AZ89="",Screener!$D$11=""),0,IF(Database!$AZ89=Screener!$D$11,1,0))</f>
        <v/>
      </c>
      <c r="G89">
        <f>IF(OR(Database!$H89="",N(Screener!$D$12)&lt;=0),0,MAX(0,1-(N(Screener!$D$12)-Database!$H89)/W_RECD))</f>
        <v/>
      </c>
      <c r="H89">
        <f>IF($U$1="",0,N(ISNUMBER(SEARCH($U$1,Database!$X89&amp;""))))+IF($V$1="",0,N(ISNUMBER(SEARCH($V$1,Database!$X89&amp;""))))+IF($W$1="",0,N(ISNUMBER(SEARCH($W$1,Database!$X89&amp;""))))+IF($X$1="",0,N(ISNUMBER(SEARCH($X$1,Database!$X89&amp;""))))+IF($Y$1="",0,N(ISNUMBER(SEARCH($Y$1,Database!$X89&amp;""))))+IF(Screener!$B$17="",0,N(ISNUMBER(SEARCH(LOWER(Screener!$B$17),Database!$X89&amp;""))))</f>
        <v/>
      </c>
      <c r="I89">
        <f>IF(OR(N(Database!$AV89)&lt;=0,N(Screener!$D$13)&lt;=0),0,MAX(0,1-ABS(LOG10(N(Database!$AV89)/Screener!$D$13))/W_PEHW))</f>
        <v/>
      </c>
      <c r="J89">
        <f>IF(OR(N(Database!$S89)&lt;=0,N(Screener!$D$14)&lt;=0),0,MAX(0,1-ABS(LOG10(Database!$S89/Screener!$D$14))/0.6))</f>
        <v/>
      </c>
      <c r="K89">
        <f>IF(Database!$B89=Screener!$B$5,-999999,IF(ISNUMBER(SEARCH(","&amp;Database!$A89&amp;",",","&amp;SUBSTITUTE(Screener!$B$19," ","")&amp;",")),2000000,IF(IF(OR(Screener!$B$18="All",AND(Screener!$B$18="With A-share",(Database!$AZ89="Y")),AND(Screener!$B$18="Without A-share",NOT((Database!$AZ89="Y")))),1,0)=0,-999999,IF(Screener!$B$16="cornerstone overlap first",H89*100000,IF(Screener!$B$16="demand-similar first",J89*100000,0))+W_SUB*B89+W_SEC*C89*(1-B89)+W_SIZE*D89+W_PROF*E89+W_AH*F89+W_REC*G89+W_CS*H89+W_PE*I89)))+ROW()/1000000</f>
        <v/>
      </c>
      <c r="AA89">
        <f>Database!B78</f>
        <v/>
      </c>
      <c r="AB89">
        <f>Database!D78</f>
        <v/>
      </c>
      <c r="AC89">
        <f>Database!E78</f>
        <v/>
      </c>
      <c r="AD89">
        <f>Database!I78</f>
        <v/>
      </c>
      <c r="AE89">
        <f>Database!AU78</f>
        <v/>
      </c>
      <c r="AF89">
        <f>Database!AZ78</f>
        <v/>
      </c>
      <c r="AG89">
        <f>Database!H78</f>
        <v/>
      </c>
      <c r="AH89">
        <f>Database!AV78</f>
        <v/>
      </c>
    </row>
    <row r="90">
      <c r="A90">
        <f>Database!B90</f>
        <v/>
      </c>
      <c r="B90">
        <f>IF(AND(Screener!$D$8&lt;&gt;"",Database!$E90=Screener!$D$8),1,0)</f>
        <v/>
      </c>
      <c r="C90">
        <f>IF(AND(Screener!$D$7&lt;&gt;"",Database!$D90=Screener!$D$7),1,0)</f>
        <v/>
      </c>
      <c r="D90">
        <f>IF(OR(N(Database!$I90)&lt;=0,N(Screener!$D$9)&lt;=0),0,MAX(0,1-ABS(LOG10(N(Database!$I90)/Screener!$D$9))/W_SIZEHW))</f>
        <v/>
      </c>
      <c r="E90">
        <f>IF(OR(Database!$AU90="",Screener!$D$10=""),0,IF(Database!$AU90=Screener!$D$10,1,0))</f>
        <v/>
      </c>
      <c r="F90">
        <f>IF(OR(Database!$AZ90="",Screener!$D$11=""),0,IF(Database!$AZ90=Screener!$D$11,1,0))</f>
        <v/>
      </c>
      <c r="G90">
        <f>IF(OR(Database!$H90="",N(Screener!$D$12)&lt;=0),0,MAX(0,1-(N(Screener!$D$12)-Database!$H90)/W_RECD))</f>
        <v/>
      </c>
      <c r="H90">
        <f>IF($U$1="",0,N(ISNUMBER(SEARCH($U$1,Database!$X90&amp;""))))+IF($V$1="",0,N(ISNUMBER(SEARCH($V$1,Database!$X90&amp;""))))+IF($W$1="",0,N(ISNUMBER(SEARCH($W$1,Database!$X90&amp;""))))+IF($X$1="",0,N(ISNUMBER(SEARCH($X$1,Database!$X90&amp;""))))+IF($Y$1="",0,N(ISNUMBER(SEARCH($Y$1,Database!$X90&amp;""))))+IF(Screener!$B$17="",0,N(ISNUMBER(SEARCH(LOWER(Screener!$B$17),Database!$X90&amp;""))))</f>
        <v/>
      </c>
      <c r="I90">
        <f>IF(OR(N(Database!$AV90)&lt;=0,N(Screener!$D$13)&lt;=0),0,MAX(0,1-ABS(LOG10(N(Database!$AV90)/Screener!$D$13))/W_PEHW))</f>
        <v/>
      </c>
      <c r="J90">
        <f>IF(OR(N(Database!$S90)&lt;=0,N(Screener!$D$14)&lt;=0),0,MAX(0,1-ABS(LOG10(Database!$S90/Screener!$D$14))/0.6))</f>
        <v/>
      </c>
      <c r="K90">
        <f>IF(Database!$B90=Screener!$B$5,-999999,IF(ISNUMBER(SEARCH(","&amp;Database!$A90&amp;",",","&amp;SUBSTITUTE(Screener!$B$19," ","")&amp;",")),2000000,IF(IF(OR(Screener!$B$18="All",AND(Screener!$B$18="With A-share",(Database!$AZ90="Y")),AND(Screener!$B$18="Without A-share",NOT((Database!$AZ90="Y")))),1,0)=0,-999999,IF(Screener!$B$16="cornerstone overlap first",H90*100000,IF(Screener!$B$16="demand-similar first",J90*100000,0))+W_SUB*B90+W_SEC*C90*(1-B90)+W_SIZE*D90+W_PROF*E90+W_AH*F90+W_REC*G90+W_CS*H90+W_PE*I90)))+ROW()/1000000</f>
        <v/>
      </c>
      <c r="AA90">
        <f>Database!B79</f>
        <v/>
      </c>
      <c r="AB90">
        <f>Database!D79</f>
        <v/>
      </c>
      <c r="AC90">
        <f>Database!E79</f>
        <v/>
      </c>
      <c r="AD90">
        <f>Database!I79</f>
        <v/>
      </c>
      <c r="AE90">
        <f>Database!AU79</f>
        <v/>
      </c>
      <c r="AF90">
        <f>Database!AZ79</f>
        <v/>
      </c>
      <c r="AG90">
        <f>Database!H79</f>
        <v/>
      </c>
      <c r="AH90">
        <f>Database!AV79</f>
        <v/>
      </c>
    </row>
    <row r="91">
      <c r="A91">
        <f>Database!B91</f>
        <v/>
      </c>
      <c r="B91">
        <f>IF(AND(Screener!$D$8&lt;&gt;"",Database!$E91=Screener!$D$8),1,0)</f>
        <v/>
      </c>
      <c r="C91">
        <f>IF(AND(Screener!$D$7&lt;&gt;"",Database!$D91=Screener!$D$7),1,0)</f>
        <v/>
      </c>
      <c r="D91">
        <f>IF(OR(N(Database!$I91)&lt;=0,N(Screener!$D$9)&lt;=0),0,MAX(0,1-ABS(LOG10(N(Database!$I91)/Screener!$D$9))/W_SIZEHW))</f>
        <v/>
      </c>
      <c r="E91">
        <f>IF(OR(Database!$AU91="",Screener!$D$10=""),0,IF(Database!$AU91=Screener!$D$10,1,0))</f>
        <v/>
      </c>
      <c r="F91">
        <f>IF(OR(Database!$AZ91="",Screener!$D$11=""),0,IF(Database!$AZ91=Screener!$D$11,1,0))</f>
        <v/>
      </c>
      <c r="G91">
        <f>IF(OR(Database!$H91="",N(Screener!$D$12)&lt;=0),0,MAX(0,1-(N(Screener!$D$12)-Database!$H91)/W_RECD))</f>
        <v/>
      </c>
      <c r="H91">
        <f>IF($U$1="",0,N(ISNUMBER(SEARCH($U$1,Database!$X91&amp;""))))+IF($V$1="",0,N(ISNUMBER(SEARCH($V$1,Database!$X91&amp;""))))+IF($W$1="",0,N(ISNUMBER(SEARCH($W$1,Database!$X91&amp;""))))+IF($X$1="",0,N(ISNUMBER(SEARCH($X$1,Database!$X91&amp;""))))+IF($Y$1="",0,N(ISNUMBER(SEARCH($Y$1,Database!$X91&amp;""))))+IF(Screener!$B$17="",0,N(ISNUMBER(SEARCH(LOWER(Screener!$B$17),Database!$X91&amp;""))))</f>
        <v/>
      </c>
      <c r="I91">
        <f>IF(OR(N(Database!$AV91)&lt;=0,N(Screener!$D$13)&lt;=0),0,MAX(0,1-ABS(LOG10(N(Database!$AV91)/Screener!$D$13))/W_PEHW))</f>
        <v/>
      </c>
      <c r="J91">
        <f>IF(OR(N(Database!$S91)&lt;=0,N(Screener!$D$14)&lt;=0),0,MAX(0,1-ABS(LOG10(Database!$S91/Screener!$D$14))/0.6))</f>
        <v/>
      </c>
      <c r="K91">
        <f>IF(Database!$B91=Screener!$B$5,-999999,IF(ISNUMBER(SEARCH(","&amp;Database!$A91&amp;",",","&amp;SUBSTITUTE(Screener!$B$19," ","")&amp;",")),2000000,IF(IF(OR(Screener!$B$18="All",AND(Screener!$B$18="With A-share",(Database!$AZ91="Y")),AND(Screener!$B$18="Without A-share",NOT((Database!$AZ91="Y")))),1,0)=0,-999999,IF(Screener!$B$16="cornerstone overlap first",H91*100000,IF(Screener!$B$16="demand-similar first",J91*100000,0))+W_SUB*B91+W_SEC*C91*(1-B91)+W_SIZE*D91+W_PROF*E91+W_AH*F91+W_REC*G91+W_CS*H91+W_PE*I91)))+ROW()/1000000</f>
        <v/>
      </c>
      <c r="AA91">
        <f>Database!B80</f>
        <v/>
      </c>
      <c r="AB91">
        <f>Database!D80</f>
        <v/>
      </c>
      <c r="AC91">
        <f>Database!E80</f>
        <v/>
      </c>
      <c r="AD91">
        <f>Database!I80</f>
        <v/>
      </c>
      <c r="AE91">
        <f>Database!AU80</f>
        <v/>
      </c>
      <c r="AF91">
        <f>Database!AZ80</f>
        <v/>
      </c>
      <c r="AG91">
        <f>Database!H80</f>
        <v/>
      </c>
      <c r="AH91">
        <f>Database!AV80</f>
        <v/>
      </c>
    </row>
    <row r="92">
      <c r="A92">
        <f>Database!B92</f>
        <v/>
      </c>
      <c r="B92">
        <f>IF(AND(Screener!$D$8&lt;&gt;"",Database!$E92=Screener!$D$8),1,0)</f>
        <v/>
      </c>
      <c r="C92">
        <f>IF(AND(Screener!$D$7&lt;&gt;"",Database!$D92=Screener!$D$7),1,0)</f>
        <v/>
      </c>
      <c r="D92">
        <f>IF(OR(N(Database!$I92)&lt;=0,N(Screener!$D$9)&lt;=0),0,MAX(0,1-ABS(LOG10(N(Database!$I92)/Screener!$D$9))/W_SIZEHW))</f>
        <v/>
      </c>
      <c r="E92">
        <f>IF(OR(Database!$AU92="",Screener!$D$10=""),0,IF(Database!$AU92=Screener!$D$10,1,0))</f>
        <v/>
      </c>
      <c r="F92">
        <f>IF(OR(Database!$AZ92="",Screener!$D$11=""),0,IF(Database!$AZ92=Screener!$D$11,1,0))</f>
        <v/>
      </c>
      <c r="G92">
        <f>IF(OR(Database!$H92="",N(Screener!$D$12)&lt;=0),0,MAX(0,1-(N(Screener!$D$12)-Database!$H92)/W_RECD))</f>
        <v/>
      </c>
      <c r="H92">
        <f>IF($U$1="",0,N(ISNUMBER(SEARCH($U$1,Database!$X92&amp;""))))+IF($V$1="",0,N(ISNUMBER(SEARCH($V$1,Database!$X92&amp;""))))+IF($W$1="",0,N(ISNUMBER(SEARCH($W$1,Database!$X92&amp;""))))+IF($X$1="",0,N(ISNUMBER(SEARCH($X$1,Database!$X92&amp;""))))+IF($Y$1="",0,N(ISNUMBER(SEARCH($Y$1,Database!$X92&amp;""))))+IF(Screener!$B$17="",0,N(ISNUMBER(SEARCH(LOWER(Screener!$B$17),Database!$X92&amp;""))))</f>
        <v/>
      </c>
      <c r="I92">
        <f>IF(OR(N(Database!$AV92)&lt;=0,N(Screener!$D$13)&lt;=0),0,MAX(0,1-ABS(LOG10(N(Database!$AV92)/Screener!$D$13))/W_PEHW))</f>
        <v/>
      </c>
      <c r="J92">
        <f>IF(OR(N(Database!$S92)&lt;=0,N(Screener!$D$14)&lt;=0),0,MAX(0,1-ABS(LOG10(Database!$S92/Screener!$D$14))/0.6))</f>
        <v/>
      </c>
      <c r="K92">
        <f>IF(Database!$B92=Screener!$B$5,-999999,IF(ISNUMBER(SEARCH(","&amp;Database!$A92&amp;",",","&amp;SUBSTITUTE(Screener!$B$19," ","")&amp;",")),2000000,IF(IF(OR(Screener!$B$18="All",AND(Screener!$B$18="With A-share",(Database!$AZ92="Y")),AND(Screener!$B$18="Without A-share",NOT((Database!$AZ92="Y")))),1,0)=0,-999999,IF(Screener!$B$16="cornerstone overlap first",H92*100000,IF(Screener!$B$16="demand-similar first",J92*100000,0))+W_SUB*B92+W_SEC*C92*(1-B92)+W_SIZE*D92+W_PROF*E92+W_AH*F92+W_REC*G92+W_CS*H92+W_PE*I92)))+ROW()/1000000</f>
        <v/>
      </c>
      <c r="AA92">
        <f>Database!B81</f>
        <v/>
      </c>
      <c r="AB92">
        <f>Database!D81</f>
        <v/>
      </c>
      <c r="AC92">
        <f>Database!E81</f>
        <v/>
      </c>
      <c r="AD92">
        <f>Database!I81</f>
        <v/>
      </c>
      <c r="AE92">
        <f>Database!AU81</f>
        <v/>
      </c>
      <c r="AF92">
        <f>Database!AZ81</f>
        <v/>
      </c>
      <c r="AG92">
        <f>Database!H81</f>
        <v/>
      </c>
      <c r="AH92">
        <f>Database!AV81</f>
        <v/>
      </c>
    </row>
    <row r="93">
      <c r="A93">
        <f>Database!B93</f>
        <v/>
      </c>
      <c r="B93">
        <f>IF(AND(Screener!$D$8&lt;&gt;"",Database!$E93=Screener!$D$8),1,0)</f>
        <v/>
      </c>
      <c r="C93">
        <f>IF(AND(Screener!$D$7&lt;&gt;"",Database!$D93=Screener!$D$7),1,0)</f>
        <v/>
      </c>
      <c r="D93">
        <f>IF(OR(N(Database!$I93)&lt;=0,N(Screener!$D$9)&lt;=0),0,MAX(0,1-ABS(LOG10(N(Database!$I93)/Screener!$D$9))/W_SIZEHW))</f>
        <v/>
      </c>
      <c r="E93">
        <f>IF(OR(Database!$AU93="",Screener!$D$10=""),0,IF(Database!$AU93=Screener!$D$10,1,0))</f>
        <v/>
      </c>
      <c r="F93">
        <f>IF(OR(Database!$AZ93="",Screener!$D$11=""),0,IF(Database!$AZ93=Screener!$D$11,1,0))</f>
        <v/>
      </c>
      <c r="G93">
        <f>IF(OR(Database!$H93="",N(Screener!$D$12)&lt;=0),0,MAX(0,1-(N(Screener!$D$12)-Database!$H93)/W_RECD))</f>
        <v/>
      </c>
      <c r="H93">
        <f>IF($U$1="",0,N(ISNUMBER(SEARCH($U$1,Database!$X93&amp;""))))+IF($V$1="",0,N(ISNUMBER(SEARCH($V$1,Database!$X93&amp;""))))+IF($W$1="",0,N(ISNUMBER(SEARCH($W$1,Database!$X93&amp;""))))+IF($X$1="",0,N(ISNUMBER(SEARCH($X$1,Database!$X93&amp;""))))+IF($Y$1="",0,N(ISNUMBER(SEARCH($Y$1,Database!$X93&amp;""))))+IF(Screener!$B$17="",0,N(ISNUMBER(SEARCH(LOWER(Screener!$B$17),Database!$X93&amp;""))))</f>
        <v/>
      </c>
      <c r="I93">
        <f>IF(OR(N(Database!$AV93)&lt;=0,N(Screener!$D$13)&lt;=0),0,MAX(0,1-ABS(LOG10(N(Database!$AV93)/Screener!$D$13))/W_PEHW))</f>
        <v/>
      </c>
      <c r="J93">
        <f>IF(OR(N(Database!$S93)&lt;=0,N(Screener!$D$14)&lt;=0),0,MAX(0,1-ABS(LOG10(Database!$S93/Screener!$D$14))/0.6))</f>
        <v/>
      </c>
      <c r="K93">
        <f>IF(Database!$B93=Screener!$B$5,-999999,IF(ISNUMBER(SEARCH(","&amp;Database!$A93&amp;",",","&amp;SUBSTITUTE(Screener!$B$19," ","")&amp;",")),2000000,IF(IF(OR(Screener!$B$18="All",AND(Screener!$B$18="With A-share",(Database!$AZ93="Y")),AND(Screener!$B$18="Without A-share",NOT((Database!$AZ93="Y")))),1,0)=0,-999999,IF(Screener!$B$16="cornerstone overlap first",H93*100000,IF(Screener!$B$16="demand-similar first",J93*100000,0))+W_SUB*B93+W_SEC*C93*(1-B93)+W_SIZE*D93+W_PROF*E93+W_AH*F93+W_REC*G93+W_CS*H93+W_PE*I93)))+ROW()/1000000</f>
        <v/>
      </c>
      <c r="AA93">
        <f>Database!B82</f>
        <v/>
      </c>
      <c r="AB93">
        <f>Database!D82</f>
        <v/>
      </c>
      <c r="AC93">
        <f>Database!E82</f>
        <v/>
      </c>
      <c r="AD93">
        <f>Database!I82</f>
        <v/>
      </c>
      <c r="AE93">
        <f>Database!AU82</f>
        <v/>
      </c>
      <c r="AF93">
        <f>Database!AZ82</f>
        <v/>
      </c>
      <c r="AG93">
        <f>Database!H82</f>
        <v/>
      </c>
      <c r="AH93">
        <f>Database!AV82</f>
        <v/>
      </c>
    </row>
    <row r="94">
      <c r="A94">
        <f>Database!B94</f>
        <v/>
      </c>
      <c r="B94">
        <f>IF(AND(Screener!$D$8&lt;&gt;"",Database!$E94=Screener!$D$8),1,0)</f>
        <v/>
      </c>
      <c r="C94">
        <f>IF(AND(Screener!$D$7&lt;&gt;"",Database!$D94=Screener!$D$7),1,0)</f>
        <v/>
      </c>
      <c r="D94">
        <f>IF(OR(N(Database!$I94)&lt;=0,N(Screener!$D$9)&lt;=0),0,MAX(0,1-ABS(LOG10(N(Database!$I94)/Screener!$D$9))/W_SIZEHW))</f>
        <v/>
      </c>
      <c r="E94">
        <f>IF(OR(Database!$AU94="",Screener!$D$10=""),0,IF(Database!$AU94=Screener!$D$10,1,0))</f>
        <v/>
      </c>
      <c r="F94">
        <f>IF(OR(Database!$AZ94="",Screener!$D$11=""),0,IF(Database!$AZ94=Screener!$D$11,1,0))</f>
        <v/>
      </c>
      <c r="G94">
        <f>IF(OR(Database!$H94="",N(Screener!$D$12)&lt;=0),0,MAX(0,1-(N(Screener!$D$12)-Database!$H94)/W_RECD))</f>
        <v/>
      </c>
      <c r="H94">
        <f>IF($U$1="",0,N(ISNUMBER(SEARCH($U$1,Database!$X94&amp;""))))+IF($V$1="",0,N(ISNUMBER(SEARCH($V$1,Database!$X94&amp;""))))+IF($W$1="",0,N(ISNUMBER(SEARCH($W$1,Database!$X94&amp;""))))+IF($X$1="",0,N(ISNUMBER(SEARCH($X$1,Database!$X94&amp;""))))+IF($Y$1="",0,N(ISNUMBER(SEARCH($Y$1,Database!$X94&amp;""))))+IF(Screener!$B$17="",0,N(ISNUMBER(SEARCH(LOWER(Screener!$B$17),Database!$X94&amp;""))))</f>
        <v/>
      </c>
      <c r="I94">
        <f>IF(OR(N(Database!$AV94)&lt;=0,N(Screener!$D$13)&lt;=0),0,MAX(0,1-ABS(LOG10(N(Database!$AV94)/Screener!$D$13))/W_PEHW))</f>
        <v/>
      </c>
      <c r="J94">
        <f>IF(OR(N(Database!$S94)&lt;=0,N(Screener!$D$14)&lt;=0),0,MAX(0,1-ABS(LOG10(Database!$S94/Screener!$D$14))/0.6))</f>
        <v/>
      </c>
      <c r="K94">
        <f>IF(Database!$B94=Screener!$B$5,-999999,IF(ISNUMBER(SEARCH(","&amp;Database!$A94&amp;",",","&amp;SUBSTITUTE(Screener!$B$19," ","")&amp;",")),2000000,IF(IF(OR(Screener!$B$18="All",AND(Screener!$B$18="With A-share",(Database!$AZ94="Y")),AND(Screener!$B$18="Without A-share",NOT((Database!$AZ94="Y")))),1,0)=0,-999999,IF(Screener!$B$16="cornerstone overlap first",H94*100000,IF(Screener!$B$16="demand-similar first",J94*100000,0))+W_SUB*B94+W_SEC*C94*(1-B94)+W_SIZE*D94+W_PROF*E94+W_AH*F94+W_REC*G94+W_CS*H94+W_PE*I94)))+ROW()/1000000</f>
        <v/>
      </c>
      <c r="AA94">
        <f>Database!B83</f>
        <v/>
      </c>
      <c r="AB94">
        <f>Database!D83</f>
        <v/>
      </c>
      <c r="AC94">
        <f>Database!E83</f>
        <v/>
      </c>
      <c r="AD94">
        <f>Database!I83</f>
        <v/>
      </c>
      <c r="AE94">
        <f>Database!AU83</f>
        <v/>
      </c>
      <c r="AF94">
        <f>Database!AZ83</f>
        <v/>
      </c>
      <c r="AG94">
        <f>Database!H83</f>
        <v/>
      </c>
      <c r="AH94">
        <f>Database!AV83</f>
        <v/>
      </c>
    </row>
    <row r="95">
      <c r="A95">
        <f>Database!B95</f>
        <v/>
      </c>
      <c r="B95">
        <f>IF(AND(Screener!$D$8&lt;&gt;"",Database!$E95=Screener!$D$8),1,0)</f>
        <v/>
      </c>
      <c r="C95">
        <f>IF(AND(Screener!$D$7&lt;&gt;"",Database!$D95=Screener!$D$7),1,0)</f>
        <v/>
      </c>
      <c r="D95">
        <f>IF(OR(N(Database!$I95)&lt;=0,N(Screener!$D$9)&lt;=0),0,MAX(0,1-ABS(LOG10(N(Database!$I95)/Screener!$D$9))/W_SIZEHW))</f>
        <v/>
      </c>
      <c r="E95">
        <f>IF(OR(Database!$AU95="",Screener!$D$10=""),0,IF(Database!$AU95=Screener!$D$10,1,0))</f>
        <v/>
      </c>
      <c r="F95">
        <f>IF(OR(Database!$AZ95="",Screener!$D$11=""),0,IF(Database!$AZ95=Screener!$D$11,1,0))</f>
        <v/>
      </c>
      <c r="G95">
        <f>IF(OR(Database!$H95="",N(Screener!$D$12)&lt;=0),0,MAX(0,1-(N(Screener!$D$12)-Database!$H95)/W_RECD))</f>
        <v/>
      </c>
      <c r="H95">
        <f>IF($U$1="",0,N(ISNUMBER(SEARCH($U$1,Database!$X95&amp;""))))+IF($V$1="",0,N(ISNUMBER(SEARCH($V$1,Database!$X95&amp;""))))+IF($W$1="",0,N(ISNUMBER(SEARCH($W$1,Database!$X95&amp;""))))+IF($X$1="",0,N(ISNUMBER(SEARCH($X$1,Database!$X95&amp;""))))+IF($Y$1="",0,N(ISNUMBER(SEARCH($Y$1,Database!$X95&amp;""))))+IF(Screener!$B$17="",0,N(ISNUMBER(SEARCH(LOWER(Screener!$B$17),Database!$X95&amp;""))))</f>
        <v/>
      </c>
      <c r="I95">
        <f>IF(OR(N(Database!$AV95)&lt;=0,N(Screener!$D$13)&lt;=0),0,MAX(0,1-ABS(LOG10(N(Database!$AV95)/Screener!$D$13))/W_PEHW))</f>
        <v/>
      </c>
      <c r="J95">
        <f>IF(OR(N(Database!$S95)&lt;=0,N(Screener!$D$14)&lt;=0),0,MAX(0,1-ABS(LOG10(Database!$S95/Screener!$D$14))/0.6))</f>
        <v/>
      </c>
      <c r="K95">
        <f>IF(Database!$B95=Screener!$B$5,-999999,IF(ISNUMBER(SEARCH(","&amp;Database!$A95&amp;",",","&amp;SUBSTITUTE(Screener!$B$19," ","")&amp;",")),2000000,IF(IF(OR(Screener!$B$18="All",AND(Screener!$B$18="With A-share",(Database!$AZ95="Y")),AND(Screener!$B$18="Without A-share",NOT((Database!$AZ95="Y")))),1,0)=0,-999999,IF(Screener!$B$16="cornerstone overlap first",H95*100000,IF(Screener!$B$16="demand-similar first",J95*100000,0))+W_SUB*B95+W_SEC*C95*(1-B95)+W_SIZE*D95+W_PROF*E95+W_AH*F95+W_REC*G95+W_CS*H95+W_PE*I95)))+ROW()/1000000</f>
        <v/>
      </c>
      <c r="AA95">
        <f>Database!B84</f>
        <v/>
      </c>
      <c r="AB95">
        <f>Database!D84</f>
        <v/>
      </c>
      <c r="AC95">
        <f>Database!E84</f>
        <v/>
      </c>
      <c r="AD95">
        <f>Database!I84</f>
        <v/>
      </c>
      <c r="AE95">
        <f>Database!AU84</f>
        <v/>
      </c>
      <c r="AF95">
        <f>Database!AZ84</f>
        <v/>
      </c>
      <c r="AG95">
        <f>Database!H84</f>
        <v/>
      </c>
      <c r="AH95">
        <f>Database!AV84</f>
        <v/>
      </c>
    </row>
    <row r="96">
      <c r="A96">
        <f>Database!B96</f>
        <v/>
      </c>
      <c r="B96">
        <f>IF(AND(Screener!$D$8&lt;&gt;"",Database!$E96=Screener!$D$8),1,0)</f>
        <v/>
      </c>
      <c r="C96">
        <f>IF(AND(Screener!$D$7&lt;&gt;"",Database!$D96=Screener!$D$7),1,0)</f>
        <v/>
      </c>
      <c r="D96">
        <f>IF(OR(N(Database!$I96)&lt;=0,N(Screener!$D$9)&lt;=0),0,MAX(0,1-ABS(LOG10(N(Database!$I96)/Screener!$D$9))/W_SIZEHW))</f>
        <v/>
      </c>
      <c r="E96">
        <f>IF(OR(Database!$AU96="",Screener!$D$10=""),0,IF(Database!$AU96=Screener!$D$10,1,0))</f>
        <v/>
      </c>
      <c r="F96">
        <f>IF(OR(Database!$AZ96="",Screener!$D$11=""),0,IF(Database!$AZ96=Screener!$D$11,1,0))</f>
        <v/>
      </c>
      <c r="G96">
        <f>IF(OR(Database!$H96="",N(Screener!$D$12)&lt;=0),0,MAX(0,1-(N(Screener!$D$12)-Database!$H96)/W_RECD))</f>
        <v/>
      </c>
      <c r="H96">
        <f>IF($U$1="",0,N(ISNUMBER(SEARCH($U$1,Database!$X96&amp;""))))+IF($V$1="",0,N(ISNUMBER(SEARCH($V$1,Database!$X96&amp;""))))+IF($W$1="",0,N(ISNUMBER(SEARCH($W$1,Database!$X96&amp;""))))+IF($X$1="",0,N(ISNUMBER(SEARCH($X$1,Database!$X96&amp;""))))+IF($Y$1="",0,N(ISNUMBER(SEARCH($Y$1,Database!$X96&amp;""))))+IF(Screener!$B$17="",0,N(ISNUMBER(SEARCH(LOWER(Screener!$B$17),Database!$X96&amp;""))))</f>
        <v/>
      </c>
      <c r="I96">
        <f>IF(OR(N(Database!$AV96)&lt;=0,N(Screener!$D$13)&lt;=0),0,MAX(0,1-ABS(LOG10(N(Database!$AV96)/Screener!$D$13))/W_PEHW))</f>
        <v/>
      </c>
      <c r="J96">
        <f>IF(OR(N(Database!$S96)&lt;=0,N(Screener!$D$14)&lt;=0),0,MAX(0,1-ABS(LOG10(Database!$S96/Screener!$D$14))/0.6))</f>
        <v/>
      </c>
      <c r="K96">
        <f>IF(Database!$B96=Screener!$B$5,-999999,IF(ISNUMBER(SEARCH(","&amp;Database!$A96&amp;",",","&amp;SUBSTITUTE(Screener!$B$19," ","")&amp;",")),2000000,IF(IF(OR(Screener!$B$18="All",AND(Screener!$B$18="With A-share",(Database!$AZ96="Y")),AND(Screener!$B$18="Without A-share",NOT((Database!$AZ96="Y")))),1,0)=0,-999999,IF(Screener!$B$16="cornerstone overlap first",H96*100000,IF(Screener!$B$16="demand-similar first",J96*100000,0))+W_SUB*B96+W_SEC*C96*(1-B96)+W_SIZE*D96+W_PROF*E96+W_AH*F96+W_REC*G96+W_CS*H96+W_PE*I96)))+ROW()/1000000</f>
        <v/>
      </c>
      <c r="AA96">
        <f>Database!B85</f>
        <v/>
      </c>
      <c r="AB96">
        <f>Database!D85</f>
        <v/>
      </c>
      <c r="AC96">
        <f>Database!E85</f>
        <v/>
      </c>
      <c r="AD96">
        <f>Database!I85</f>
        <v/>
      </c>
      <c r="AE96">
        <f>Database!AU85</f>
        <v/>
      </c>
      <c r="AF96">
        <f>Database!AZ85</f>
        <v/>
      </c>
      <c r="AG96">
        <f>Database!H85</f>
        <v/>
      </c>
      <c r="AH96">
        <f>Database!AV85</f>
        <v/>
      </c>
    </row>
    <row r="97">
      <c r="A97">
        <f>Database!B97</f>
        <v/>
      </c>
      <c r="B97">
        <f>IF(AND(Screener!$D$8&lt;&gt;"",Database!$E97=Screener!$D$8),1,0)</f>
        <v/>
      </c>
      <c r="C97">
        <f>IF(AND(Screener!$D$7&lt;&gt;"",Database!$D97=Screener!$D$7),1,0)</f>
        <v/>
      </c>
      <c r="D97">
        <f>IF(OR(N(Database!$I97)&lt;=0,N(Screener!$D$9)&lt;=0),0,MAX(0,1-ABS(LOG10(N(Database!$I97)/Screener!$D$9))/W_SIZEHW))</f>
        <v/>
      </c>
      <c r="E97">
        <f>IF(OR(Database!$AU97="",Screener!$D$10=""),0,IF(Database!$AU97=Screener!$D$10,1,0))</f>
        <v/>
      </c>
      <c r="F97">
        <f>IF(OR(Database!$AZ97="",Screener!$D$11=""),0,IF(Database!$AZ97=Screener!$D$11,1,0))</f>
        <v/>
      </c>
      <c r="G97">
        <f>IF(OR(Database!$H97="",N(Screener!$D$12)&lt;=0),0,MAX(0,1-(N(Screener!$D$12)-Database!$H97)/W_RECD))</f>
        <v/>
      </c>
      <c r="H97">
        <f>IF($U$1="",0,N(ISNUMBER(SEARCH($U$1,Database!$X97&amp;""))))+IF($V$1="",0,N(ISNUMBER(SEARCH($V$1,Database!$X97&amp;""))))+IF($W$1="",0,N(ISNUMBER(SEARCH($W$1,Database!$X97&amp;""))))+IF($X$1="",0,N(ISNUMBER(SEARCH($X$1,Database!$X97&amp;""))))+IF($Y$1="",0,N(ISNUMBER(SEARCH($Y$1,Database!$X97&amp;""))))+IF(Screener!$B$17="",0,N(ISNUMBER(SEARCH(LOWER(Screener!$B$17),Database!$X97&amp;""))))</f>
        <v/>
      </c>
      <c r="I97">
        <f>IF(OR(N(Database!$AV97)&lt;=0,N(Screener!$D$13)&lt;=0),0,MAX(0,1-ABS(LOG10(N(Database!$AV97)/Screener!$D$13))/W_PEHW))</f>
        <v/>
      </c>
      <c r="J97">
        <f>IF(OR(N(Database!$S97)&lt;=0,N(Screener!$D$14)&lt;=0),0,MAX(0,1-ABS(LOG10(Database!$S97/Screener!$D$14))/0.6))</f>
        <v/>
      </c>
      <c r="K97">
        <f>IF(Database!$B97=Screener!$B$5,-999999,IF(ISNUMBER(SEARCH(","&amp;Database!$A97&amp;",",","&amp;SUBSTITUTE(Screener!$B$19," ","")&amp;",")),2000000,IF(IF(OR(Screener!$B$18="All",AND(Screener!$B$18="With A-share",(Database!$AZ97="Y")),AND(Screener!$B$18="Without A-share",NOT((Database!$AZ97="Y")))),1,0)=0,-999999,IF(Screener!$B$16="cornerstone overlap first",H97*100000,IF(Screener!$B$16="demand-similar first",J97*100000,0))+W_SUB*B97+W_SEC*C97*(1-B97)+W_SIZE*D97+W_PROF*E97+W_AH*F97+W_REC*G97+W_CS*H97+W_PE*I97)))+ROW()/1000000</f>
        <v/>
      </c>
      <c r="AA97">
        <f>Database!B86</f>
        <v/>
      </c>
      <c r="AB97">
        <f>Database!D86</f>
        <v/>
      </c>
      <c r="AC97">
        <f>Database!E86</f>
        <v/>
      </c>
      <c r="AD97">
        <f>Database!I86</f>
        <v/>
      </c>
      <c r="AE97">
        <f>Database!AU86</f>
        <v/>
      </c>
      <c r="AF97">
        <f>Database!AZ86</f>
        <v/>
      </c>
      <c r="AG97">
        <f>Database!H86</f>
        <v/>
      </c>
      <c r="AH97">
        <f>Database!AV86</f>
        <v/>
      </c>
    </row>
    <row r="98">
      <c r="A98">
        <f>Database!B98</f>
        <v/>
      </c>
      <c r="B98">
        <f>IF(AND(Screener!$D$8&lt;&gt;"",Database!$E98=Screener!$D$8),1,0)</f>
        <v/>
      </c>
      <c r="C98">
        <f>IF(AND(Screener!$D$7&lt;&gt;"",Database!$D98=Screener!$D$7),1,0)</f>
        <v/>
      </c>
      <c r="D98">
        <f>IF(OR(N(Database!$I98)&lt;=0,N(Screener!$D$9)&lt;=0),0,MAX(0,1-ABS(LOG10(N(Database!$I98)/Screener!$D$9))/W_SIZEHW))</f>
        <v/>
      </c>
      <c r="E98">
        <f>IF(OR(Database!$AU98="",Screener!$D$10=""),0,IF(Database!$AU98=Screener!$D$10,1,0))</f>
        <v/>
      </c>
      <c r="F98">
        <f>IF(OR(Database!$AZ98="",Screener!$D$11=""),0,IF(Database!$AZ98=Screener!$D$11,1,0))</f>
        <v/>
      </c>
      <c r="G98">
        <f>IF(OR(Database!$H98="",N(Screener!$D$12)&lt;=0),0,MAX(0,1-(N(Screener!$D$12)-Database!$H98)/W_RECD))</f>
        <v/>
      </c>
      <c r="H98">
        <f>IF($U$1="",0,N(ISNUMBER(SEARCH($U$1,Database!$X98&amp;""))))+IF($V$1="",0,N(ISNUMBER(SEARCH($V$1,Database!$X98&amp;""))))+IF($W$1="",0,N(ISNUMBER(SEARCH($W$1,Database!$X98&amp;""))))+IF($X$1="",0,N(ISNUMBER(SEARCH($X$1,Database!$X98&amp;""))))+IF($Y$1="",0,N(ISNUMBER(SEARCH($Y$1,Database!$X98&amp;""))))+IF(Screener!$B$17="",0,N(ISNUMBER(SEARCH(LOWER(Screener!$B$17),Database!$X98&amp;""))))</f>
        <v/>
      </c>
      <c r="I98">
        <f>IF(OR(N(Database!$AV98)&lt;=0,N(Screener!$D$13)&lt;=0),0,MAX(0,1-ABS(LOG10(N(Database!$AV98)/Screener!$D$13))/W_PEHW))</f>
        <v/>
      </c>
      <c r="J98">
        <f>IF(OR(N(Database!$S98)&lt;=0,N(Screener!$D$14)&lt;=0),0,MAX(0,1-ABS(LOG10(Database!$S98/Screener!$D$14))/0.6))</f>
        <v/>
      </c>
      <c r="K98">
        <f>IF(Database!$B98=Screener!$B$5,-999999,IF(ISNUMBER(SEARCH(","&amp;Database!$A98&amp;",",","&amp;SUBSTITUTE(Screener!$B$19," ","")&amp;",")),2000000,IF(IF(OR(Screener!$B$18="All",AND(Screener!$B$18="With A-share",(Database!$AZ98="Y")),AND(Screener!$B$18="Without A-share",NOT((Database!$AZ98="Y")))),1,0)=0,-999999,IF(Screener!$B$16="cornerstone overlap first",H98*100000,IF(Screener!$B$16="demand-similar first",J98*100000,0))+W_SUB*B98+W_SEC*C98*(1-B98)+W_SIZE*D98+W_PROF*E98+W_AH*F98+W_REC*G98+W_CS*H98+W_PE*I98)))+ROW()/1000000</f>
        <v/>
      </c>
      <c r="AA98">
        <f>Database!B87</f>
        <v/>
      </c>
      <c r="AB98">
        <f>Database!D87</f>
        <v/>
      </c>
      <c r="AC98">
        <f>Database!E87</f>
        <v/>
      </c>
      <c r="AD98">
        <f>Database!I87</f>
        <v/>
      </c>
      <c r="AE98">
        <f>Database!AU87</f>
        <v/>
      </c>
      <c r="AF98">
        <f>Database!AZ87</f>
        <v/>
      </c>
      <c r="AG98">
        <f>Database!H87</f>
        <v/>
      </c>
      <c r="AH98">
        <f>Database!AV87</f>
        <v/>
      </c>
    </row>
    <row r="99">
      <c r="A99">
        <f>Database!B99</f>
        <v/>
      </c>
      <c r="B99">
        <f>IF(AND(Screener!$D$8&lt;&gt;"",Database!$E99=Screener!$D$8),1,0)</f>
        <v/>
      </c>
      <c r="C99">
        <f>IF(AND(Screener!$D$7&lt;&gt;"",Database!$D99=Screener!$D$7),1,0)</f>
        <v/>
      </c>
      <c r="D99">
        <f>IF(OR(N(Database!$I99)&lt;=0,N(Screener!$D$9)&lt;=0),0,MAX(0,1-ABS(LOG10(N(Database!$I99)/Screener!$D$9))/W_SIZEHW))</f>
        <v/>
      </c>
      <c r="E99">
        <f>IF(OR(Database!$AU99="",Screener!$D$10=""),0,IF(Database!$AU99=Screener!$D$10,1,0))</f>
        <v/>
      </c>
      <c r="F99">
        <f>IF(OR(Database!$AZ99="",Screener!$D$11=""),0,IF(Database!$AZ99=Screener!$D$11,1,0))</f>
        <v/>
      </c>
      <c r="G99">
        <f>IF(OR(Database!$H99="",N(Screener!$D$12)&lt;=0),0,MAX(0,1-(N(Screener!$D$12)-Database!$H99)/W_RECD))</f>
        <v/>
      </c>
      <c r="H99">
        <f>IF($U$1="",0,N(ISNUMBER(SEARCH($U$1,Database!$X99&amp;""))))+IF($V$1="",0,N(ISNUMBER(SEARCH($V$1,Database!$X99&amp;""))))+IF($W$1="",0,N(ISNUMBER(SEARCH($W$1,Database!$X99&amp;""))))+IF($X$1="",0,N(ISNUMBER(SEARCH($X$1,Database!$X99&amp;""))))+IF($Y$1="",0,N(ISNUMBER(SEARCH($Y$1,Database!$X99&amp;""))))+IF(Screener!$B$17="",0,N(ISNUMBER(SEARCH(LOWER(Screener!$B$17),Database!$X99&amp;""))))</f>
        <v/>
      </c>
      <c r="I99">
        <f>IF(OR(N(Database!$AV99)&lt;=0,N(Screener!$D$13)&lt;=0),0,MAX(0,1-ABS(LOG10(N(Database!$AV99)/Screener!$D$13))/W_PEHW))</f>
        <v/>
      </c>
      <c r="J99">
        <f>IF(OR(N(Database!$S99)&lt;=0,N(Screener!$D$14)&lt;=0),0,MAX(0,1-ABS(LOG10(Database!$S99/Screener!$D$14))/0.6))</f>
        <v/>
      </c>
      <c r="K99">
        <f>IF(Database!$B99=Screener!$B$5,-999999,IF(ISNUMBER(SEARCH(","&amp;Database!$A99&amp;",",","&amp;SUBSTITUTE(Screener!$B$19," ","")&amp;",")),2000000,IF(IF(OR(Screener!$B$18="All",AND(Screener!$B$18="With A-share",(Database!$AZ99="Y")),AND(Screener!$B$18="Without A-share",NOT((Database!$AZ99="Y")))),1,0)=0,-999999,IF(Screener!$B$16="cornerstone overlap first",H99*100000,IF(Screener!$B$16="demand-similar first",J99*100000,0))+W_SUB*B99+W_SEC*C99*(1-B99)+W_SIZE*D99+W_PROF*E99+W_AH*F99+W_REC*G99+W_CS*H99+W_PE*I99)))+ROW()/1000000</f>
        <v/>
      </c>
      <c r="AA99">
        <f>Database!B88</f>
        <v/>
      </c>
      <c r="AB99">
        <f>Database!D88</f>
        <v/>
      </c>
      <c r="AC99">
        <f>Database!E88</f>
        <v/>
      </c>
      <c r="AD99">
        <f>Database!I88</f>
        <v/>
      </c>
      <c r="AE99">
        <f>Database!AU88</f>
        <v/>
      </c>
      <c r="AF99">
        <f>Database!AZ88</f>
        <v/>
      </c>
      <c r="AG99">
        <f>Database!H88</f>
        <v/>
      </c>
      <c r="AH99">
        <f>Database!AV88</f>
        <v/>
      </c>
    </row>
    <row r="100">
      <c r="A100">
        <f>Database!B100</f>
        <v/>
      </c>
      <c r="B100">
        <f>IF(AND(Screener!$D$8&lt;&gt;"",Database!$E100=Screener!$D$8),1,0)</f>
        <v/>
      </c>
      <c r="C100">
        <f>IF(AND(Screener!$D$7&lt;&gt;"",Database!$D100=Screener!$D$7),1,0)</f>
        <v/>
      </c>
      <c r="D100">
        <f>IF(OR(N(Database!$I100)&lt;=0,N(Screener!$D$9)&lt;=0),0,MAX(0,1-ABS(LOG10(N(Database!$I100)/Screener!$D$9))/W_SIZEHW))</f>
        <v/>
      </c>
      <c r="E100">
        <f>IF(OR(Database!$AU100="",Screener!$D$10=""),0,IF(Database!$AU100=Screener!$D$10,1,0))</f>
        <v/>
      </c>
      <c r="F100">
        <f>IF(OR(Database!$AZ100="",Screener!$D$11=""),0,IF(Database!$AZ100=Screener!$D$11,1,0))</f>
        <v/>
      </c>
      <c r="G100">
        <f>IF(OR(Database!$H100="",N(Screener!$D$12)&lt;=0),0,MAX(0,1-(N(Screener!$D$12)-Database!$H100)/W_RECD))</f>
        <v/>
      </c>
      <c r="H100">
        <f>IF($U$1="",0,N(ISNUMBER(SEARCH($U$1,Database!$X100&amp;""))))+IF($V$1="",0,N(ISNUMBER(SEARCH($V$1,Database!$X100&amp;""))))+IF($W$1="",0,N(ISNUMBER(SEARCH($W$1,Database!$X100&amp;""))))+IF($X$1="",0,N(ISNUMBER(SEARCH($X$1,Database!$X100&amp;""))))+IF($Y$1="",0,N(ISNUMBER(SEARCH($Y$1,Database!$X100&amp;""))))+IF(Screener!$B$17="",0,N(ISNUMBER(SEARCH(LOWER(Screener!$B$17),Database!$X100&amp;""))))</f>
        <v/>
      </c>
      <c r="I100">
        <f>IF(OR(N(Database!$AV100)&lt;=0,N(Screener!$D$13)&lt;=0),0,MAX(0,1-ABS(LOG10(N(Database!$AV100)/Screener!$D$13))/W_PEHW))</f>
        <v/>
      </c>
      <c r="J100">
        <f>IF(OR(N(Database!$S100)&lt;=0,N(Screener!$D$14)&lt;=0),0,MAX(0,1-ABS(LOG10(Database!$S100/Screener!$D$14))/0.6))</f>
        <v/>
      </c>
      <c r="K100">
        <f>IF(Database!$B100=Screener!$B$5,-999999,IF(ISNUMBER(SEARCH(","&amp;Database!$A100&amp;",",","&amp;SUBSTITUTE(Screener!$B$19," ","")&amp;",")),2000000,IF(IF(OR(Screener!$B$18="All",AND(Screener!$B$18="With A-share",(Database!$AZ100="Y")),AND(Screener!$B$18="Without A-share",NOT((Database!$AZ100="Y")))),1,0)=0,-999999,IF(Screener!$B$16="cornerstone overlap first",H100*100000,IF(Screener!$B$16="demand-similar first",J100*100000,0))+W_SUB*B100+W_SEC*C100*(1-B100)+W_SIZE*D100+W_PROF*E100+W_AH*F100+W_REC*G100+W_CS*H100+W_PE*I100)))+ROW()/1000000</f>
        <v/>
      </c>
      <c r="AA100">
        <f>Database!B89</f>
        <v/>
      </c>
      <c r="AB100">
        <f>Database!D89</f>
        <v/>
      </c>
      <c r="AC100">
        <f>Database!E89</f>
        <v/>
      </c>
      <c r="AD100">
        <f>Database!I89</f>
        <v/>
      </c>
      <c r="AE100">
        <f>Database!AU89</f>
        <v/>
      </c>
      <c r="AF100">
        <f>Database!AZ89</f>
        <v/>
      </c>
      <c r="AG100">
        <f>Database!H89</f>
        <v/>
      </c>
      <c r="AH100">
        <f>Database!AV89</f>
        <v/>
      </c>
    </row>
    <row r="101">
      <c r="A101">
        <f>Database!B101</f>
        <v/>
      </c>
      <c r="B101">
        <f>IF(AND(Screener!$D$8&lt;&gt;"",Database!$E101=Screener!$D$8),1,0)</f>
        <v/>
      </c>
      <c r="C101">
        <f>IF(AND(Screener!$D$7&lt;&gt;"",Database!$D101=Screener!$D$7),1,0)</f>
        <v/>
      </c>
      <c r="D101">
        <f>IF(OR(N(Database!$I101)&lt;=0,N(Screener!$D$9)&lt;=0),0,MAX(0,1-ABS(LOG10(N(Database!$I101)/Screener!$D$9))/W_SIZEHW))</f>
        <v/>
      </c>
      <c r="E101">
        <f>IF(OR(Database!$AU101="",Screener!$D$10=""),0,IF(Database!$AU101=Screener!$D$10,1,0))</f>
        <v/>
      </c>
      <c r="F101">
        <f>IF(OR(Database!$AZ101="",Screener!$D$11=""),0,IF(Database!$AZ101=Screener!$D$11,1,0))</f>
        <v/>
      </c>
      <c r="G101">
        <f>IF(OR(Database!$H101="",N(Screener!$D$12)&lt;=0),0,MAX(0,1-(N(Screener!$D$12)-Database!$H101)/W_RECD))</f>
        <v/>
      </c>
      <c r="H101">
        <f>IF($U$1="",0,N(ISNUMBER(SEARCH($U$1,Database!$X101&amp;""))))+IF($V$1="",0,N(ISNUMBER(SEARCH($V$1,Database!$X101&amp;""))))+IF($W$1="",0,N(ISNUMBER(SEARCH($W$1,Database!$X101&amp;""))))+IF($X$1="",0,N(ISNUMBER(SEARCH($X$1,Database!$X101&amp;""))))+IF($Y$1="",0,N(ISNUMBER(SEARCH($Y$1,Database!$X101&amp;""))))+IF(Screener!$B$17="",0,N(ISNUMBER(SEARCH(LOWER(Screener!$B$17),Database!$X101&amp;""))))</f>
        <v/>
      </c>
      <c r="I101">
        <f>IF(OR(N(Database!$AV101)&lt;=0,N(Screener!$D$13)&lt;=0),0,MAX(0,1-ABS(LOG10(N(Database!$AV101)/Screener!$D$13))/W_PEHW))</f>
        <v/>
      </c>
      <c r="J101">
        <f>IF(OR(N(Database!$S101)&lt;=0,N(Screener!$D$14)&lt;=0),0,MAX(0,1-ABS(LOG10(Database!$S101/Screener!$D$14))/0.6))</f>
        <v/>
      </c>
      <c r="K101">
        <f>IF(Database!$B101=Screener!$B$5,-999999,IF(ISNUMBER(SEARCH(","&amp;Database!$A101&amp;",",","&amp;SUBSTITUTE(Screener!$B$19," ","")&amp;",")),2000000,IF(IF(OR(Screener!$B$18="All",AND(Screener!$B$18="With A-share",(Database!$AZ101="Y")),AND(Screener!$B$18="Without A-share",NOT((Database!$AZ101="Y")))),1,0)=0,-999999,IF(Screener!$B$16="cornerstone overlap first",H101*100000,IF(Screener!$B$16="demand-similar first",J101*100000,0))+W_SUB*B101+W_SEC*C101*(1-B101)+W_SIZE*D101+W_PROF*E101+W_AH*F101+W_REC*G101+W_CS*H101+W_PE*I101)))+ROW()/1000000</f>
        <v/>
      </c>
      <c r="AA101">
        <f>Database!B90</f>
        <v/>
      </c>
      <c r="AB101">
        <f>Database!D90</f>
        <v/>
      </c>
      <c r="AC101">
        <f>Database!E90</f>
        <v/>
      </c>
      <c r="AD101">
        <f>Database!I90</f>
        <v/>
      </c>
      <c r="AE101">
        <f>Database!AU90</f>
        <v/>
      </c>
      <c r="AF101">
        <f>Database!AZ90</f>
        <v/>
      </c>
      <c r="AG101">
        <f>Database!H90</f>
        <v/>
      </c>
      <c r="AH101">
        <f>Database!AV90</f>
        <v/>
      </c>
    </row>
    <row r="102">
      <c r="A102">
        <f>Database!B102</f>
        <v/>
      </c>
      <c r="B102">
        <f>IF(AND(Screener!$D$8&lt;&gt;"",Database!$E102=Screener!$D$8),1,0)</f>
        <v/>
      </c>
      <c r="C102">
        <f>IF(AND(Screener!$D$7&lt;&gt;"",Database!$D102=Screener!$D$7),1,0)</f>
        <v/>
      </c>
      <c r="D102">
        <f>IF(OR(N(Database!$I102)&lt;=0,N(Screener!$D$9)&lt;=0),0,MAX(0,1-ABS(LOG10(N(Database!$I102)/Screener!$D$9))/W_SIZEHW))</f>
        <v/>
      </c>
      <c r="E102">
        <f>IF(OR(Database!$AU102="",Screener!$D$10=""),0,IF(Database!$AU102=Screener!$D$10,1,0))</f>
        <v/>
      </c>
      <c r="F102">
        <f>IF(OR(Database!$AZ102="",Screener!$D$11=""),0,IF(Database!$AZ102=Screener!$D$11,1,0))</f>
        <v/>
      </c>
      <c r="G102">
        <f>IF(OR(Database!$H102="",N(Screener!$D$12)&lt;=0),0,MAX(0,1-(N(Screener!$D$12)-Database!$H102)/W_RECD))</f>
        <v/>
      </c>
      <c r="H102">
        <f>IF($U$1="",0,N(ISNUMBER(SEARCH($U$1,Database!$X102&amp;""))))+IF($V$1="",0,N(ISNUMBER(SEARCH($V$1,Database!$X102&amp;""))))+IF($W$1="",0,N(ISNUMBER(SEARCH($W$1,Database!$X102&amp;""))))+IF($X$1="",0,N(ISNUMBER(SEARCH($X$1,Database!$X102&amp;""))))+IF($Y$1="",0,N(ISNUMBER(SEARCH($Y$1,Database!$X102&amp;""))))+IF(Screener!$B$17="",0,N(ISNUMBER(SEARCH(LOWER(Screener!$B$17),Database!$X102&amp;""))))</f>
        <v/>
      </c>
      <c r="I102">
        <f>IF(OR(N(Database!$AV102)&lt;=0,N(Screener!$D$13)&lt;=0),0,MAX(0,1-ABS(LOG10(N(Database!$AV102)/Screener!$D$13))/W_PEHW))</f>
        <v/>
      </c>
      <c r="J102">
        <f>IF(OR(N(Database!$S102)&lt;=0,N(Screener!$D$14)&lt;=0),0,MAX(0,1-ABS(LOG10(Database!$S102/Screener!$D$14))/0.6))</f>
        <v/>
      </c>
      <c r="K102">
        <f>IF(Database!$B102=Screener!$B$5,-999999,IF(ISNUMBER(SEARCH(","&amp;Database!$A102&amp;",",","&amp;SUBSTITUTE(Screener!$B$19," ","")&amp;",")),2000000,IF(IF(OR(Screener!$B$18="All",AND(Screener!$B$18="With A-share",(Database!$AZ102="Y")),AND(Screener!$B$18="Without A-share",NOT((Database!$AZ102="Y")))),1,0)=0,-999999,IF(Screener!$B$16="cornerstone overlap first",H102*100000,IF(Screener!$B$16="demand-similar first",J102*100000,0))+W_SUB*B102+W_SEC*C102*(1-B102)+W_SIZE*D102+W_PROF*E102+W_AH*F102+W_REC*G102+W_CS*H102+W_PE*I102)))+ROW()/1000000</f>
        <v/>
      </c>
      <c r="AA102">
        <f>Database!B91</f>
        <v/>
      </c>
      <c r="AB102">
        <f>Database!D91</f>
        <v/>
      </c>
      <c r="AC102">
        <f>Database!E91</f>
        <v/>
      </c>
      <c r="AD102">
        <f>Database!I91</f>
        <v/>
      </c>
      <c r="AE102">
        <f>Database!AU91</f>
        <v/>
      </c>
      <c r="AF102">
        <f>Database!AZ91</f>
        <v/>
      </c>
      <c r="AG102">
        <f>Database!H91</f>
        <v/>
      </c>
      <c r="AH102">
        <f>Database!AV91</f>
        <v/>
      </c>
    </row>
    <row r="103">
      <c r="A103">
        <f>Database!B103</f>
        <v/>
      </c>
      <c r="B103">
        <f>IF(AND(Screener!$D$8&lt;&gt;"",Database!$E103=Screener!$D$8),1,0)</f>
        <v/>
      </c>
      <c r="C103">
        <f>IF(AND(Screener!$D$7&lt;&gt;"",Database!$D103=Screener!$D$7),1,0)</f>
        <v/>
      </c>
      <c r="D103">
        <f>IF(OR(N(Database!$I103)&lt;=0,N(Screener!$D$9)&lt;=0),0,MAX(0,1-ABS(LOG10(N(Database!$I103)/Screener!$D$9))/W_SIZEHW))</f>
        <v/>
      </c>
      <c r="E103">
        <f>IF(OR(Database!$AU103="",Screener!$D$10=""),0,IF(Database!$AU103=Screener!$D$10,1,0))</f>
        <v/>
      </c>
      <c r="F103">
        <f>IF(OR(Database!$AZ103="",Screener!$D$11=""),0,IF(Database!$AZ103=Screener!$D$11,1,0))</f>
        <v/>
      </c>
      <c r="G103">
        <f>IF(OR(Database!$H103="",N(Screener!$D$12)&lt;=0),0,MAX(0,1-(N(Screener!$D$12)-Database!$H103)/W_RECD))</f>
        <v/>
      </c>
      <c r="H103">
        <f>IF($U$1="",0,N(ISNUMBER(SEARCH($U$1,Database!$X103&amp;""))))+IF($V$1="",0,N(ISNUMBER(SEARCH($V$1,Database!$X103&amp;""))))+IF($W$1="",0,N(ISNUMBER(SEARCH($W$1,Database!$X103&amp;""))))+IF($X$1="",0,N(ISNUMBER(SEARCH($X$1,Database!$X103&amp;""))))+IF($Y$1="",0,N(ISNUMBER(SEARCH($Y$1,Database!$X103&amp;""))))+IF(Screener!$B$17="",0,N(ISNUMBER(SEARCH(LOWER(Screener!$B$17),Database!$X103&amp;""))))</f>
        <v/>
      </c>
      <c r="I103">
        <f>IF(OR(N(Database!$AV103)&lt;=0,N(Screener!$D$13)&lt;=0),0,MAX(0,1-ABS(LOG10(N(Database!$AV103)/Screener!$D$13))/W_PEHW))</f>
        <v/>
      </c>
      <c r="J103">
        <f>IF(OR(N(Database!$S103)&lt;=0,N(Screener!$D$14)&lt;=0),0,MAX(0,1-ABS(LOG10(Database!$S103/Screener!$D$14))/0.6))</f>
        <v/>
      </c>
      <c r="K103">
        <f>IF(Database!$B103=Screener!$B$5,-999999,IF(ISNUMBER(SEARCH(","&amp;Database!$A103&amp;",",","&amp;SUBSTITUTE(Screener!$B$19," ","")&amp;",")),2000000,IF(IF(OR(Screener!$B$18="All",AND(Screener!$B$18="With A-share",(Database!$AZ103="Y")),AND(Screener!$B$18="Without A-share",NOT((Database!$AZ103="Y")))),1,0)=0,-999999,IF(Screener!$B$16="cornerstone overlap first",H103*100000,IF(Screener!$B$16="demand-similar first",J103*100000,0))+W_SUB*B103+W_SEC*C103*(1-B103)+W_SIZE*D103+W_PROF*E103+W_AH*F103+W_REC*G103+W_CS*H103+W_PE*I103)))+ROW()/1000000</f>
        <v/>
      </c>
      <c r="AA103">
        <f>Database!B92</f>
        <v/>
      </c>
      <c r="AB103">
        <f>Database!D92</f>
        <v/>
      </c>
      <c r="AC103">
        <f>Database!E92</f>
        <v/>
      </c>
      <c r="AD103">
        <f>Database!I92</f>
        <v/>
      </c>
      <c r="AE103">
        <f>Database!AU92</f>
        <v/>
      </c>
      <c r="AF103">
        <f>Database!AZ92</f>
        <v/>
      </c>
      <c r="AG103">
        <f>Database!H92</f>
        <v/>
      </c>
      <c r="AH103">
        <f>Database!AV92</f>
        <v/>
      </c>
    </row>
    <row r="104">
      <c r="A104">
        <f>Database!B104</f>
        <v/>
      </c>
      <c r="B104">
        <f>IF(AND(Screener!$D$8&lt;&gt;"",Database!$E104=Screener!$D$8),1,0)</f>
        <v/>
      </c>
      <c r="C104">
        <f>IF(AND(Screener!$D$7&lt;&gt;"",Database!$D104=Screener!$D$7),1,0)</f>
        <v/>
      </c>
      <c r="D104">
        <f>IF(OR(N(Database!$I104)&lt;=0,N(Screener!$D$9)&lt;=0),0,MAX(0,1-ABS(LOG10(N(Database!$I104)/Screener!$D$9))/W_SIZEHW))</f>
        <v/>
      </c>
      <c r="E104">
        <f>IF(OR(Database!$AU104="",Screener!$D$10=""),0,IF(Database!$AU104=Screener!$D$10,1,0))</f>
        <v/>
      </c>
      <c r="F104">
        <f>IF(OR(Database!$AZ104="",Screener!$D$11=""),0,IF(Database!$AZ104=Screener!$D$11,1,0))</f>
        <v/>
      </c>
      <c r="G104">
        <f>IF(OR(Database!$H104="",N(Screener!$D$12)&lt;=0),0,MAX(0,1-(N(Screener!$D$12)-Database!$H104)/W_RECD))</f>
        <v/>
      </c>
      <c r="H104">
        <f>IF($U$1="",0,N(ISNUMBER(SEARCH($U$1,Database!$X104&amp;""))))+IF($V$1="",0,N(ISNUMBER(SEARCH($V$1,Database!$X104&amp;""))))+IF($W$1="",0,N(ISNUMBER(SEARCH($W$1,Database!$X104&amp;""))))+IF($X$1="",0,N(ISNUMBER(SEARCH($X$1,Database!$X104&amp;""))))+IF($Y$1="",0,N(ISNUMBER(SEARCH($Y$1,Database!$X104&amp;""))))+IF(Screener!$B$17="",0,N(ISNUMBER(SEARCH(LOWER(Screener!$B$17),Database!$X104&amp;""))))</f>
        <v/>
      </c>
      <c r="I104">
        <f>IF(OR(N(Database!$AV104)&lt;=0,N(Screener!$D$13)&lt;=0),0,MAX(0,1-ABS(LOG10(N(Database!$AV104)/Screener!$D$13))/W_PEHW))</f>
        <v/>
      </c>
      <c r="J104">
        <f>IF(OR(N(Database!$S104)&lt;=0,N(Screener!$D$14)&lt;=0),0,MAX(0,1-ABS(LOG10(Database!$S104/Screener!$D$14))/0.6))</f>
        <v/>
      </c>
      <c r="K104">
        <f>IF(Database!$B104=Screener!$B$5,-999999,IF(ISNUMBER(SEARCH(","&amp;Database!$A104&amp;",",","&amp;SUBSTITUTE(Screener!$B$19," ","")&amp;",")),2000000,IF(IF(OR(Screener!$B$18="All",AND(Screener!$B$18="With A-share",(Database!$AZ104="Y")),AND(Screener!$B$18="Without A-share",NOT((Database!$AZ104="Y")))),1,0)=0,-999999,IF(Screener!$B$16="cornerstone overlap first",H104*100000,IF(Screener!$B$16="demand-similar first",J104*100000,0))+W_SUB*B104+W_SEC*C104*(1-B104)+W_SIZE*D104+W_PROF*E104+W_AH*F104+W_REC*G104+W_CS*H104+W_PE*I104)))+ROW()/1000000</f>
        <v/>
      </c>
      <c r="AA104">
        <f>Database!B93</f>
        <v/>
      </c>
      <c r="AB104">
        <f>Database!D93</f>
        <v/>
      </c>
      <c r="AC104">
        <f>Database!E93</f>
        <v/>
      </c>
      <c r="AD104">
        <f>Database!I93</f>
        <v/>
      </c>
      <c r="AE104">
        <f>Database!AU93</f>
        <v/>
      </c>
      <c r="AF104">
        <f>Database!AZ93</f>
        <v/>
      </c>
      <c r="AG104">
        <f>Database!H93</f>
        <v/>
      </c>
      <c r="AH104">
        <f>Database!AV93</f>
        <v/>
      </c>
    </row>
    <row r="105">
      <c r="A105">
        <f>Database!B105</f>
        <v/>
      </c>
      <c r="B105">
        <f>IF(AND(Screener!$D$8&lt;&gt;"",Database!$E105=Screener!$D$8),1,0)</f>
        <v/>
      </c>
      <c r="C105">
        <f>IF(AND(Screener!$D$7&lt;&gt;"",Database!$D105=Screener!$D$7),1,0)</f>
        <v/>
      </c>
      <c r="D105">
        <f>IF(OR(N(Database!$I105)&lt;=0,N(Screener!$D$9)&lt;=0),0,MAX(0,1-ABS(LOG10(N(Database!$I105)/Screener!$D$9))/W_SIZEHW))</f>
        <v/>
      </c>
      <c r="E105">
        <f>IF(OR(Database!$AU105="",Screener!$D$10=""),0,IF(Database!$AU105=Screener!$D$10,1,0))</f>
        <v/>
      </c>
      <c r="F105">
        <f>IF(OR(Database!$AZ105="",Screener!$D$11=""),0,IF(Database!$AZ105=Screener!$D$11,1,0))</f>
        <v/>
      </c>
      <c r="G105">
        <f>IF(OR(Database!$H105="",N(Screener!$D$12)&lt;=0),0,MAX(0,1-(N(Screener!$D$12)-Database!$H105)/W_RECD))</f>
        <v/>
      </c>
      <c r="H105">
        <f>IF($U$1="",0,N(ISNUMBER(SEARCH($U$1,Database!$X105&amp;""))))+IF($V$1="",0,N(ISNUMBER(SEARCH($V$1,Database!$X105&amp;""))))+IF($W$1="",0,N(ISNUMBER(SEARCH($W$1,Database!$X105&amp;""))))+IF($X$1="",0,N(ISNUMBER(SEARCH($X$1,Database!$X105&amp;""))))+IF($Y$1="",0,N(ISNUMBER(SEARCH($Y$1,Database!$X105&amp;""))))+IF(Screener!$B$17="",0,N(ISNUMBER(SEARCH(LOWER(Screener!$B$17),Database!$X105&amp;""))))</f>
        <v/>
      </c>
      <c r="I105">
        <f>IF(OR(N(Database!$AV105)&lt;=0,N(Screener!$D$13)&lt;=0),0,MAX(0,1-ABS(LOG10(N(Database!$AV105)/Screener!$D$13))/W_PEHW))</f>
        <v/>
      </c>
      <c r="J105">
        <f>IF(OR(N(Database!$S105)&lt;=0,N(Screener!$D$14)&lt;=0),0,MAX(0,1-ABS(LOG10(Database!$S105/Screener!$D$14))/0.6))</f>
        <v/>
      </c>
      <c r="K105">
        <f>IF(Database!$B105=Screener!$B$5,-999999,IF(ISNUMBER(SEARCH(","&amp;Database!$A105&amp;",",","&amp;SUBSTITUTE(Screener!$B$19," ","")&amp;",")),2000000,IF(IF(OR(Screener!$B$18="All",AND(Screener!$B$18="With A-share",(Database!$AZ105="Y")),AND(Screener!$B$18="Without A-share",NOT((Database!$AZ105="Y")))),1,0)=0,-999999,IF(Screener!$B$16="cornerstone overlap first",H105*100000,IF(Screener!$B$16="demand-similar first",J105*100000,0))+W_SUB*B105+W_SEC*C105*(1-B105)+W_SIZE*D105+W_PROF*E105+W_AH*F105+W_REC*G105+W_CS*H105+W_PE*I105)))+ROW()/1000000</f>
        <v/>
      </c>
      <c r="AA105">
        <f>Database!B94</f>
        <v/>
      </c>
      <c r="AB105">
        <f>Database!D94</f>
        <v/>
      </c>
      <c r="AC105">
        <f>Database!E94</f>
        <v/>
      </c>
      <c r="AD105">
        <f>Database!I94</f>
        <v/>
      </c>
      <c r="AE105">
        <f>Database!AU94</f>
        <v/>
      </c>
      <c r="AF105">
        <f>Database!AZ94</f>
        <v/>
      </c>
      <c r="AG105">
        <f>Database!H94</f>
        <v/>
      </c>
      <c r="AH105">
        <f>Database!AV94</f>
        <v/>
      </c>
    </row>
    <row r="106">
      <c r="A106">
        <f>Database!B106</f>
        <v/>
      </c>
      <c r="B106">
        <f>IF(AND(Screener!$D$8&lt;&gt;"",Database!$E106=Screener!$D$8),1,0)</f>
        <v/>
      </c>
      <c r="C106">
        <f>IF(AND(Screener!$D$7&lt;&gt;"",Database!$D106=Screener!$D$7),1,0)</f>
        <v/>
      </c>
      <c r="D106">
        <f>IF(OR(N(Database!$I106)&lt;=0,N(Screener!$D$9)&lt;=0),0,MAX(0,1-ABS(LOG10(N(Database!$I106)/Screener!$D$9))/W_SIZEHW))</f>
        <v/>
      </c>
      <c r="E106">
        <f>IF(OR(Database!$AU106="",Screener!$D$10=""),0,IF(Database!$AU106=Screener!$D$10,1,0))</f>
        <v/>
      </c>
      <c r="F106">
        <f>IF(OR(Database!$AZ106="",Screener!$D$11=""),0,IF(Database!$AZ106=Screener!$D$11,1,0))</f>
        <v/>
      </c>
      <c r="G106">
        <f>IF(OR(Database!$H106="",N(Screener!$D$12)&lt;=0),0,MAX(0,1-(N(Screener!$D$12)-Database!$H106)/W_RECD))</f>
        <v/>
      </c>
      <c r="H106">
        <f>IF($U$1="",0,N(ISNUMBER(SEARCH($U$1,Database!$X106&amp;""))))+IF($V$1="",0,N(ISNUMBER(SEARCH($V$1,Database!$X106&amp;""))))+IF($W$1="",0,N(ISNUMBER(SEARCH($W$1,Database!$X106&amp;""))))+IF($X$1="",0,N(ISNUMBER(SEARCH($X$1,Database!$X106&amp;""))))+IF($Y$1="",0,N(ISNUMBER(SEARCH($Y$1,Database!$X106&amp;""))))+IF(Screener!$B$17="",0,N(ISNUMBER(SEARCH(LOWER(Screener!$B$17),Database!$X106&amp;""))))</f>
        <v/>
      </c>
      <c r="I106">
        <f>IF(OR(N(Database!$AV106)&lt;=0,N(Screener!$D$13)&lt;=0),0,MAX(0,1-ABS(LOG10(N(Database!$AV106)/Screener!$D$13))/W_PEHW))</f>
        <v/>
      </c>
      <c r="J106">
        <f>IF(OR(N(Database!$S106)&lt;=0,N(Screener!$D$14)&lt;=0),0,MAX(0,1-ABS(LOG10(Database!$S106/Screener!$D$14))/0.6))</f>
        <v/>
      </c>
      <c r="K106">
        <f>IF(Database!$B106=Screener!$B$5,-999999,IF(ISNUMBER(SEARCH(","&amp;Database!$A106&amp;",",","&amp;SUBSTITUTE(Screener!$B$19," ","")&amp;",")),2000000,IF(IF(OR(Screener!$B$18="All",AND(Screener!$B$18="With A-share",(Database!$AZ106="Y")),AND(Screener!$B$18="Without A-share",NOT((Database!$AZ106="Y")))),1,0)=0,-999999,IF(Screener!$B$16="cornerstone overlap first",H106*100000,IF(Screener!$B$16="demand-similar first",J106*100000,0))+W_SUB*B106+W_SEC*C106*(1-B106)+W_SIZE*D106+W_PROF*E106+W_AH*F106+W_REC*G106+W_CS*H106+W_PE*I106)))+ROW()/1000000</f>
        <v/>
      </c>
      <c r="AA106">
        <f>Database!B95</f>
        <v/>
      </c>
      <c r="AB106">
        <f>Database!D95</f>
        <v/>
      </c>
      <c r="AC106">
        <f>Database!E95</f>
        <v/>
      </c>
      <c r="AD106">
        <f>Database!I95</f>
        <v/>
      </c>
      <c r="AE106">
        <f>Database!AU95</f>
        <v/>
      </c>
      <c r="AF106">
        <f>Database!AZ95</f>
        <v/>
      </c>
      <c r="AG106">
        <f>Database!H95</f>
        <v/>
      </c>
      <c r="AH106">
        <f>Database!AV95</f>
        <v/>
      </c>
    </row>
    <row r="107">
      <c r="A107">
        <f>Database!B107</f>
        <v/>
      </c>
      <c r="B107">
        <f>IF(AND(Screener!$D$8&lt;&gt;"",Database!$E107=Screener!$D$8),1,0)</f>
        <v/>
      </c>
      <c r="C107">
        <f>IF(AND(Screener!$D$7&lt;&gt;"",Database!$D107=Screener!$D$7),1,0)</f>
        <v/>
      </c>
      <c r="D107">
        <f>IF(OR(N(Database!$I107)&lt;=0,N(Screener!$D$9)&lt;=0),0,MAX(0,1-ABS(LOG10(N(Database!$I107)/Screener!$D$9))/W_SIZEHW))</f>
        <v/>
      </c>
      <c r="E107">
        <f>IF(OR(Database!$AU107="",Screener!$D$10=""),0,IF(Database!$AU107=Screener!$D$10,1,0))</f>
        <v/>
      </c>
      <c r="F107">
        <f>IF(OR(Database!$AZ107="",Screener!$D$11=""),0,IF(Database!$AZ107=Screener!$D$11,1,0))</f>
        <v/>
      </c>
      <c r="G107">
        <f>IF(OR(Database!$H107="",N(Screener!$D$12)&lt;=0),0,MAX(0,1-(N(Screener!$D$12)-Database!$H107)/W_RECD))</f>
        <v/>
      </c>
      <c r="H107">
        <f>IF($U$1="",0,N(ISNUMBER(SEARCH($U$1,Database!$X107&amp;""))))+IF($V$1="",0,N(ISNUMBER(SEARCH($V$1,Database!$X107&amp;""))))+IF($W$1="",0,N(ISNUMBER(SEARCH($W$1,Database!$X107&amp;""))))+IF($X$1="",0,N(ISNUMBER(SEARCH($X$1,Database!$X107&amp;""))))+IF($Y$1="",0,N(ISNUMBER(SEARCH($Y$1,Database!$X107&amp;""))))+IF(Screener!$B$17="",0,N(ISNUMBER(SEARCH(LOWER(Screener!$B$17),Database!$X107&amp;""))))</f>
        <v/>
      </c>
      <c r="I107">
        <f>IF(OR(N(Database!$AV107)&lt;=0,N(Screener!$D$13)&lt;=0),0,MAX(0,1-ABS(LOG10(N(Database!$AV107)/Screener!$D$13))/W_PEHW))</f>
        <v/>
      </c>
      <c r="J107">
        <f>IF(OR(N(Database!$S107)&lt;=0,N(Screener!$D$14)&lt;=0),0,MAX(0,1-ABS(LOG10(Database!$S107/Screener!$D$14))/0.6))</f>
        <v/>
      </c>
      <c r="K107">
        <f>IF(Database!$B107=Screener!$B$5,-999999,IF(ISNUMBER(SEARCH(","&amp;Database!$A107&amp;",",","&amp;SUBSTITUTE(Screener!$B$19," ","")&amp;",")),2000000,IF(IF(OR(Screener!$B$18="All",AND(Screener!$B$18="With A-share",(Database!$AZ107="Y")),AND(Screener!$B$18="Without A-share",NOT((Database!$AZ107="Y")))),1,0)=0,-999999,IF(Screener!$B$16="cornerstone overlap first",H107*100000,IF(Screener!$B$16="demand-similar first",J107*100000,0))+W_SUB*B107+W_SEC*C107*(1-B107)+W_SIZE*D107+W_PROF*E107+W_AH*F107+W_REC*G107+W_CS*H107+W_PE*I107)))+ROW()/1000000</f>
        <v/>
      </c>
      <c r="AA107">
        <f>Database!B96</f>
        <v/>
      </c>
      <c r="AB107">
        <f>Database!D96</f>
        <v/>
      </c>
      <c r="AC107">
        <f>Database!E96</f>
        <v/>
      </c>
      <c r="AD107">
        <f>Database!I96</f>
        <v/>
      </c>
      <c r="AE107">
        <f>Database!AU96</f>
        <v/>
      </c>
      <c r="AF107">
        <f>Database!AZ96</f>
        <v/>
      </c>
      <c r="AG107">
        <f>Database!H96</f>
        <v/>
      </c>
      <c r="AH107">
        <f>Database!AV96</f>
        <v/>
      </c>
    </row>
    <row r="108">
      <c r="A108">
        <f>Database!B108</f>
        <v/>
      </c>
      <c r="B108">
        <f>IF(AND(Screener!$D$8&lt;&gt;"",Database!$E108=Screener!$D$8),1,0)</f>
        <v/>
      </c>
      <c r="C108">
        <f>IF(AND(Screener!$D$7&lt;&gt;"",Database!$D108=Screener!$D$7),1,0)</f>
        <v/>
      </c>
      <c r="D108">
        <f>IF(OR(N(Database!$I108)&lt;=0,N(Screener!$D$9)&lt;=0),0,MAX(0,1-ABS(LOG10(N(Database!$I108)/Screener!$D$9))/W_SIZEHW))</f>
        <v/>
      </c>
      <c r="E108">
        <f>IF(OR(Database!$AU108="",Screener!$D$10=""),0,IF(Database!$AU108=Screener!$D$10,1,0))</f>
        <v/>
      </c>
      <c r="F108">
        <f>IF(OR(Database!$AZ108="",Screener!$D$11=""),0,IF(Database!$AZ108=Screener!$D$11,1,0))</f>
        <v/>
      </c>
      <c r="G108">
        <f>IF(OR(Database!$H108="",N(Screener!$D$12)&lt;=0),0,MAX(0,1-(N(Screener!$D$12)-Database!$H108)/W_RECD))</f>
        <v/>
      </c>
      <c r="H108">
        <f>IF($U$1="",0,N(ISNUMBER(SEARCH($U$1,Database!$X108&amp;""))))+IF($V$1="",0,N(ISNUMBER(SEARCH($V$1,Database!$X108&amp;""))))+IF($W$1="",0,N(ISNUMBER(SEARCH($W$1,Database!$X108&amp;""))))+IF($X$1="",0,N(ISNUMBER(SEARCH($X$1,Database!$X108&amp;""))))+IF($Y$1="",0,N(ISNUMBER(SEARCH($Y$1,Database!$X108&amp;""))))+IF(Screener!$B$17="",0,N(ISNUMBER(SEARCH(LOWER(Screener!$B$17),Database!$X108&amp;""))))</f>
        <v/>
      </c>
      <c r="I108">
        <f>IF(OR(N(Database!$AV108)&lt;=0,N(Screener!$D$13)&lt;=0),0,MAX(0,1-ABS(LOG10(N(Database!$AV108)/Screener!$D$13))/W_PEHW))</f>
        <v/>
      </c>
      <c r="J108">
        <f>IF(OR(N(Database!$S108)&lt;=0,N(Screener!$D$14)&lt;=0),0,MAX(0,1-ABS(LOG10(Database!$S108/Screener!$D$14))/0.6))</f>
        <v/>
      </c>
      <c r="K108">
        <f>IF(Database!$B108=Screener!$B$5,-999999,IF(ISNUMBER(SEARCH(","&amp;Database!$A108&amp;",",","&amp;SUBSTITUTE(Screener!$B$19," ","")&amp;",")),2000000,IF(IF(OR(Screener!$B$18="All",AND(Screener!$B$18="With A-share",(Database!$AZ108="Y")),AND(Screener!$B$18="Without A-share",NOT((Database!$AZ108="Y")))),1,0)=0,-999999,IF(Screener!$B$16="cornerstone overlap first",H108*100000,IF(Screener!$B$16="demand-similar first",J108*100000,0))+W_SUB*B108+W_SEC*C108*(1-B108)+W_SIZE*D108+W_PROF*E108+W_AH*F108+W_REC*G108+W_CS*H108+W_PE*I108)))+ROW()/1000000</f>
        <v/>
      </c>
      <c r="AA108">
        <f>Database!B97</f>
        <v/>
      </c>
      <c r="AB108">
        <f>Database!D97</f>
        <v/>
      </c>
      <c r="AC108">
        <f>Database!E97</f>
        <v/>
      </c>
      <c r="AD108">
        <f>Database!I97</f>
        <v/>
      </c>
      <c r="AE108">
        <f>Database!AU97</f>
        <v/>
      </c>
      <c r="AF108">
        <f>Database!AZ97</f>
        <v/>
      </c>
      <c r="AG108">
        <f>Database!H97</f>
        <v/>
      </c>
      <c r="AH108">
        <f>Database!AV97</f>
        <v/>
      </c>
    </row>
    <row r="109">
      <c r="A109">
        <f>Database!B109</f>
        <v/>
      </c>
      <c r="B109">
        <f>IF(AND(Screener!$D$8&lt;&gt;"",Database!$E109=Screener!$D$8),1,0)</f>
        <v/>
      </c>
      <c r="C109">
        <f>IF(AND(Screener!$D$7&lt;&gt;"",Database!$D109=Screener!$D$7),1,0)</f>
        <v/>
      </c>
      <c r="D109">
        <f>IF(OR(N(Database!$I109)&lt;=0,N(Screener!$D$9)&lt;=0),0,MAX(0,1-ABS(LOG10(N(Database!$I109)/Screener!$D$9))/W_SIZEHW))</f>
        <v/>
      </c>
      <c r="E109">
        <f>IF(OR(Database!$AU109="",Screener!$D$10=""),0,IF(Database!$AU109=Screener!$D$10,1,0))</f>
        <v/>
      </c>
      <c r="F109">
        <f>IF(OR(Database!$AZ109="",Screener!$D$11=""),0,IF(Database!$AZ109=Screener!$D$11,1,0))</f>
        <v/>
      </c>
      <c r="G109">
        <f>IF(OR(Database!$H109="",N(Screener!$D$12)&lt;=0),0,MAX(0,1-(N(Screener!$D$12)-Database!$H109)/W_RECD))</f>
        <v/>
      </c>
      <c r="H109">
        <f>IF($U$1="",0,N(ISNUMBER(SEARCH($U$1,Database!$X109&amp;""))))+IF($V$1="",0,N(ISNUMBER(SEARCH($V$1,Database!$X109&amp;""))))+IF($W$1="",0,N(ISNUMBER(SEARCH($W$1,Database!$X109&amp;""))))+IF($X$1="",0,N(ISNUMBER(SEARCH($X$1,Database!$X109&amp;""))))+IF($Y$1="",0,N(ISNUMBER(SEARCH($Y$1,Database!$X109&amp;""))))+IF(Screener!$B$17="",0,N(ISNUMBER(SEARCH(LOWER(Screener!$B$17),Database!$X109&amp;""))))</f>
        <v/>
      </c>
      <c r="I109">
        <f>IF(OR(N(Database!$AV109)&lt;=0,N(Screener!$D$13)&lt;=0),0,MAX(0,1-ABS(LOG10(N(Database!$AV109)/Screener!$D$13))/W_PEHW))</f>
        <v/>
      </c>
      <c r="J109">
        <f>IF(OR(N(Database!$S109)&lt;=0,N(Screener!$D$14)&lt;=0),0,MAX(0,1-ABS(LOG10(Database!$S109/Screener!$D$14))/0.6))</f>
        <v/>
      </c>
      <c r="K109">
        <f>IF(Database!$B109=Screener!$B$5,-999999,IF(ISNUMBER(SEARCH(","&amp;Database!$A109&amp;",",","&amp;SUBSTITUTE(Screener!$B$19," ","")&amp;",")),2000000,IF(IF(OR(Screener!$B$18="All",AND(Screener!$B$18="With A-share",(Database!$AZ109="Y")),AND(Screener!$B$18="Without A-share",NOT((Database!$AZ109="Y")))),1,0)=0,-999999,IF(Screener!$B$16="cornerstone overlap first",H109*100000,IF(Screener!$B$16="demand-similar first",J109*100000,0))+W_SUB*B109+W_SEC*C109*(1-B109)+W_SIZE*D109+W_PROF*E109+W_AH*F109+W_REC*G109+W_CS*H109+W_PE*I109)))+ROW()/1000000</f>
        <v/>
      </c>
      <c r="AA109">
        <f>Database!B98</f>
        <v/>
      </c>
      <c r="AB109">
        <f>Database!D98</f>
        <v/>
      </c>
      <c r="AC109">
        <f>Database!E98</f>
        <v/>
      </c>
      <c r="AD109">
        <f>Database!I98</f>
        <v/>
      </c>
      <c r="AE109">
        <f>Database!AU98</f>
        <v/>
      </c>
      <c r="AF109">
        <f>Database!AZ98</f>
        <v/>
      </c>
      <c r="AG109">
        <f>Database!H98</f>
        <v/>
      </c>
      <c r="AH109">
        <f>Database!AV98</f>
        <v/>
      </c>
    </row>
    <row r="110">
      <c r="A110">
        <f>Database!B110</f>
        <v/>
      </c>
      <c r="B110">
        <f>IF(AND(Screener!$D$8&lt;&gt;"",Database!$E110=Screener!$D$8),1,0)</f>
        <v/>
      </c>
      <c r="C110">
        <f>IF(AND(Screener!$D$7&lt;&gt;"",Database!$D110=Screener!$D$7),1,0)</f>
        <v/>
      </c>
      <c r="D110">
        <f>IF(OR(N(Database!$I110)&lt;=0,N(Screener!$D$9)&lt;=0),0,MAX(0,1-ABS(LOG10(N(Database!$I110)/Screener!$D$9))/W_SIZEHW))</f>
        <v/>
      </c>
      <c r="E110">
        <f>IF(OR(Database!$AU110="",Screener!$D$10=""),0,IF(Database!$AU110=Screener!$D$10,1,0))</f>
        <v/>
      </c>
      <c r="F110">
        <f>IF(OR(Database!$AZ110="",Screener!$D$11=""),0,IF(Database!$AZ110=Screener!$D$11,1,0))</f>
        <v/>
      </c>
      <c r="G110">
        <f>IF(OR(Database!$H110="",N(Screener!$D$12)&lt;=0),0,MAX(0,1-(N(Screener!$D$12)-Database!$H110)/W_RECD))</f>
        <v/>
      </c>
      <c r="H110">
        <f>IF($U$1="",0,N(ISNUMBER(SEARCH($U$1,Database!$X110&amp;""))))+IF($V$1="",0,N(ISNUMBER(SEARCH($V$1,Database!$X110&amp;""))))+IF($W$1="",0,N(ISNUMBER(SEARCH($W$1,Database!$X110&amp;""))))+IF($X$1="",0,N(ISNUMBER(SEARCH($X$1,Database!$X110&amp;""))))+IF($Y$1="",0,N(ISNUMBER(SEARCH($Y$1,Database!$X110&amp;""))))+IF(Screener!$B$17="",0,N(ISNUMBER(SEARCH(LOWER(Screener!$B$17),Database!$X110&amp;""))))</f>
        <v/>
      </c>
      <c r="I110">
        <f>IF(OR(N(Database!$AV110)&lt;=0,N(Screener!$D$13)&lt;=0),0,MAX(0,1-ABS(LOG10(N(Database!$AV110)/Screener!$D$13))/W_PEHW))</f>
        <v/>
      </c>
      <c r="J110">
        <f>IF(OR(N(Database!$S110)&lt;=0,N(Screener!$D$14)&lt;=0),0,MAX(0,1-ABS(LOG10(Database!$S110/Screener!$D$14))/0.6))</f>
        <v/>
      </c>
      <c r="K110">
        <f>IF(Database!$B110=Screener!$B$5,-999999,IF(ISNUMBER(SEARCH(","&amp;Database!$A110&amp;",",","&amp;SUBSTITUTE(Screener!$B$19," ","")&amp;",")),2000000,IF(IF(OR(Screener!$B$18="All",AND(Screener!$B$18="With A-share",(Database!$AZ110="Y")),AND(Screener!$B$18="Without A-share",NOT((Database!$AZ110="Y")))),1,0)=0,-999999,IF(Screener!$B$16="cornerstone overlap first",H110*100000,IF(Screener!$B$16="demand-similar first",J110*100000,0))+W_SUB*B110+W_SEC*C110*(1-B110)+W_SIZE*D110+W_PROF*E110+W_AH*F110+W_REC*G110+W_CS*H110+W_PE*I110)))+ROW()/1000000</f>
        <v/>
      </c>
      <c r="AA110">
        <f>Database!B99</f>
        <v/>
      </c>
      <c r="AB110">
        <f>Database!D99</f>
        <v/>
      </c>
      <c r="AC110">
        <f>Database!E99</f>
        <v/>
      </c>
      <c r="AD110">
        <f>Database!I99</f>
        <v/>
      </c>
      <c r="AE110">
        <f>Database!AU99</f>
        <v/>
      </c>
      <c r="AF110">
        <f>Database!AZ99</f>
        <v/>
      </c>
      <c r="AG110">
        <f>Database!H99</f>
        <v/>
      </c>
      <c r="AH110">
        <f>Database!AV99</f>
        <v/>
      </c>
    </row>
    <row r="111">
      <c r="A111">
        <f>Database!B111</f>
        <v/>
      </c>
      <c r="B111">
        <f>IF(AND(Screener!$D$8&lt;&gt;"",Database!$E111=Screener!$D$8),1,0)</f>
        <v/>
      </c>
      <c r="C111">
        <f>IF(AND(Screener!$D$7&lt;&gt;"",Database!$D111=Screener!$D$7),1,0)</f>
        <v/>
      </c>
      <c r="D111">
        <f>IF(OR(N(Database!$I111)&lt;=0,N(Screener!$D$9)&lt;=0),0,MAX(0,1-ABS(LOG10(N(Database!$I111)/Screener!$D$9))/W_SIZEHW))</f>
        <v/>
      </c>
      <c r="E111">
        <f>IF(OR(Database!$AU111="",Screener!$D$10=""),0,IF(Database!$AU111=Screener!$D$10,1,0))</f>
        <v/>
      </c>
      <c r="F111">
        <f>IF(OR(Database!$AZ111="",Screener!$D$11=""),0,IF(Database!$AZ111=Screener!$D$11,1,0))</f>
        <v/>
      </c>
      <c r="G111">
        <f>IF(OR(Database!$H111="",N(Screener!$D$12)&lt;=0),0,MAX(0,1-(N(Screener!$D$12)-Database!$H111)/W_RECD))</f>
        <v/>
      </c>
      <c r="H111">
        <f>IF($U$1="",0,N(ISNUMBER(SEARCH($U$1,Database!$X111&amp;""))))+IF($V$1="",0,N(ISNUMBER(SEARCH($V$1,Database!$X111&amp;""))))+IF($W$1="",0,N(ISNUMBER(SEARCH($W$1,Database!$X111&amp;""))))+IF($X$1="",0,N(ISNUMBER(SEARCH($X$1,Database!$X111&amp;""))))+IF($Y$1="",0,N(ISNUMBER(SEARCH($Y$1,Database!$X111&amp;""))))+IF(Screener!$B$17="",0,N(ISNUMBER(SEARCH(LOWER(Screener!$B$17),Database!$X111&amp;""))))</f>
        <v/>
      </c>
      <c r="I111">
        <f>IF(OR(N(Database!$AV111)&lt;=0,N(Screener!$D$13)&lt;=0),0,MAX(0,1-ABS(LOG10(N(Database!$AV111)/Screener!$D$13))/W_PEHW))</f>
        <v/>
      </c>
      <c r="J111">
        <f>IF(OR(N(Database!$S111)&lt;=0,N(Screener!$D$14)&lt;=0),0,MAX(0,1-ABS(LOG10(Database!$S111/Screener!$D$14))/0.6))</f>
        <v/>
      </c>
      <c r="K111">
        <f>IF(Database!$B111=Screener!$B$5,-999999,IF(ISNUMBER(SEARCH(","&amp;Database!$A111&amp;",",","&amp;SUBSTITUTE(Screener!$B$19," ","")&amp;",")),2000000,IF(IF(OR(Screener!$B$18="All",AND(Screener!$B$18="With A-share",(Database!$AZ111="Y")),AND(Screener!$B$18="Without A-share",NOT((Database!$AZ111="Y")))),1,0)=0,-999999,IF(Screener!$B$16="cornerstone overlap first",H111*100000,IF(Screener!$B$16="demand-similar first",J111*100000,0))+W_SUB*B111+W_SEC*C111*(1-B111)+W_SIZE*D111+W_PROF*E111+W_AH*F111+W_REC*G111+W_CS*H111+W_PE*I111)))+ROW()/1000000</f>
        <v/>
      </c>
      <c r="AA111">
        <f>Database!B100</f>
        <v/>
      </c>
      <c r="AB111">
        <f>Database!D100</f>
        <v/>
      </c>
      <c r="AC111">
        <f>Database!E100</f>
        <v/>
      </c>
      <c r="AD111">
        <f>Database!I100</f>
        <v/>
      </c>
      <c r="AE111">
        <f>Database!AU100</f>
        <v/>
      </c>
      <c r="AF111">
        <f>Database!AZ100</f>
        <v/>
      </c>
      <c r="AG111">
        <f>Database!H100</f>
        <v/>
      </c>
      <c r="AH111">
        <f>Database!AV100</f>
        <v/>
      </c>
    </row>
    <row r="112">
      <c r="A112">
        <f>Database!B112</f>
        <v/>
      </c>
      <c r="B112">
        <f>IF(AND(Screener!$D$8&lt;&gt;"",Database!$E112=Screener!$D$8),1,0)</f>
        <v/>
      </c>
      <c r="C112">
        <f>IF(AND(Screener!$D$7&lt;&gt;"",Database!$D112=Screener!$D$7),1,0)</f>
        <v/>
      </c>
      <c r="D112">
        <f>IF(OR(N(Database!$I112)&lt;=0,N(Screener!$D$9)&lt;=0),0,MAX(0,1-ABS(LOG10(N(Database!$I112)/Screener!$D$9))/W_SIZEHW))</f>
        <v/>
      </c>
      <c r="E112">
        <f>IF(OR(Database!$AU112="",Screener!$D$10=""),0,IF(Database!$AU112=Screener!$D$10,1,0))</f>
        <v/>
      </c>
      <c r="F112">
        <f>IF(OR(Database!$AZ112="",Screener!$D$11=""),0,IF(Database!$AZ112=Screener!$D$11,1,0))</f>
        <v/>
      </c>
      <c r="G112">
        <f>IF(OR(Database!$H112="",N(Screener!$D$12)&lt;=0),0,MAX(0,1-(N(Screener!$D$12)-Database!$H112)/W_RECD))</f>
        <v/>
      </c>
      <c r="H112">
        <f>IF($U$1="",0,N(ISNUMBER(SEARCH($U$1,Database!$X112&amp;""))))+IF($V$1="",0,N(ISNUMBER(SEARCH($V$1,Database!$X112&amp;""))))+IF($W$1="",0,N(ISNUMBER(SEARCH($W$1,Database!$X112&amp;""))))+IF($X$1="",0,N(ISNUMBER(SEARCH($X$1,Database!$X112&amp;""))))+IF($Y$1="",0,N(ISNUMBER(SEARCH($Y$1,Database!$X112&amp;""))))+IF(Screener!$B$17="",0,N(ISNUMBER(SEARCH(LOWER(Screener!$B$17),Database!$X112&amp;""))))</f>
        <v/>
      </c>
      <c r="I112">
        <f>IF(OR(N(Database!$AV112)&lt;=0,N(Screener!$D$13)&lt;=0),0,MAX(0,1-ABS(LOG10(N(Database!$AV112)/Screener!$D$13))/W_PEHW))</f>
        <v/>
      </c>
      <c r="J112">
        <f>IF(OR(N(Database!$S112)&lt;=0,N(Screener!$D$14)&lt;=0),0,MAX(0,1-ABS(LOG10(Database!$S112/Screener!$D$14))/0.6))</f>
        <v/>
      </c>
      <c r="K112">
        <f>IF(Database!$B112=Screener!$B$5,-999999,IF(ISNUMBER(SEARCH(","&amp;Database!$A112&amp;",",","&amp;SUBSTITUTE(Screener!$B$19," ","")&amp;",")),2000000,IF(IF(OR(Screener!$B$18="All",AND(Screener!$B$18="With A-share",(Database!$AZ112="Y")),AND(Screener!$B$18="Without A-share",NOT((Database!$AZ112="Y")))),1,0)=0,-999999,IF(Screener!$B$16="cornerstone overlap first",H112*100000,IF(Screener!$B$16="demand-similar first",J112*100000,0))+W_SUB*B112+W_SEC*C112*(1-B112)+W_SIZE*D112+W_PROF*E112+W_AH*F112+W_REC*G112+W_CS*H112+W_PE*I112)))+ROW()/1000000</f>
        <v/>
      </c>
      <c r="AA112">
        <f>Database!B101</f>
        <v/>
      </c>
      <c r="AB112">
        <f>Database!D101</f>
        <v/>
      </c>
      <c r="AC112">
        <f>Database!E101</f>
        <v/>
      </c>
      <c r="AD112">
        <f>Database!I101</f>
        <v/>
      </c>
      <c r="AE112">
        <f>Database!AU101</f>
        <v/>
      </c>
      <c r="AF112">
        <f>Database!AZ101</f>
        <v/>
      </c>
      <c r="AG112">
        <f>Database!H101</f>
        <v/>
      </c>
      <c r="AH112">
        <f>Database!AV101</f>
        <v/>
      </c>
    </row>
    <row r="113">
      <c r="A113">
        <f>Database!B113</f>
        <v/>
      </c>
      <c r="B113">
        <f>IF(AND(Screener!$D$8&lt;&gt;"",Database!$E113=Screener!$D$8),1,0)</f>
        <v/>
      </c>
      <c r="C113">
        <f>IF(AND(Screener!$D$7&lt;&gt;"",Database!$D113=Screener!$D$7),1,0)</f>
        <v/>
      </c>
      <c r="D113">
        <f>IF(OR(N(Database!$I113)&lt;=0,N(Screener!$D$9)&lt;=0),0,MAX(0,1-ABS(LOG10(N(Database!$I113)/Screener!$D$9))/W_SIZEHW))</f>
        <v/>
      </c>
      <c r="E113">
        <f>IF(OR(Database!$AU113="",Screener!$D$10=""),0,IF(Database!$AU113=Screener!$D$10,1,0))</f>
        <v/>
      </c>
      <c r="F113">
        <f>IF(OR(Database!$AZ113="",Screener!$D$11=""),0,IF(Database!$AZ113=Screener!$D$11,1,0))</f>
        <v/>
      </c>
      <c r="G113">
        <f>IF(OR(Database!$H113="",N(Screener!$D$12)&lt;=0),0,MAX(0,1-(N(Screener!$D$12)-Database!$H113)/W_RECD))</f>
        <v/>
      </c>
      <c r="H113">
        <f>IF($U$1="",0,N(ISNUMBER(SEARCH($U$1,Database!$X113&amp;""))))+IF($V$1="",0,N(ISNUMBER(SEARCH($V$1,Database!$X113&amp;""))))+IF($W$1="",0,N(ISNUMBER(SEARCH($W$1,Database!$X113&amp;""))))+IF($X$1="",0,N(ISNUMBER(SEARCH($X$1,Database!$X113&amp;""))))+IF($Y$1="",0,N(ISNUMBER(SEARCH($Y$1,Database!$X113&amp;""))))+IF(Screener!$B$17="",0,N(ISNUMBER(SEARCH(LOWER(Screener!$B$17),Database!$X113&amp;""))))</f>
        <v/>
      </c>
      <c r="I113">
        <f>IF(OR(N(Database!$AV113)&lt;=0,N(Screener!$D$13)&lt;=0),0,MAX(0,1-ABS(LOG10(N(Database!$AV113)/Screener!$D$13))/W_PEHW))</f>
        <v/>
      </c>
      <c r="J113">
        <f>IF(OR(N(Database!$S113)&lt;=0,N(Screener!$D$14)&lt;=0),0,MAX(0,1-ABS(LOG10(Database!$S113/Screener!$D$14))/0.6))</f>
        <v/>
      </c>
      <c r="K113">
        <f>IF(Database!$B113=Screener!$B$5,-999999,IF(ISNUMBER(SEARCH(","&amp;Database!$A113&amp;",",","&amp;SUBSTITUTE(Screener!$B$19," ","")&amp;",")),2000000,IF(IF(OR(Screener!$B$18="All",AND(Screener!$B$18="With A-share",(Database!$AZ113="Y")),AND(Screener!$B$18="Without A-share",NOT((Database!$AZ113="Y")))),1,0)=0,-999999,IF(Screener!$B$16="cornerstone overlap first",H113*100000,IF(Screener!$B$16="demand-similar first",J113*100000,0))+W_SUB*B113+W_SEC*C113*(1-B113)+W_SIZE*D113+W_PROF*E113+W_AH*F113+W_REC*G113+W_CS*H113+W_PE*I113)))+ROW()/1000000</f>
        <v/>
      </c>
      <c r="AA113">
        <f>Database!B102</f>
        <v/>
      </c>
      <c r="AB113">
        <f>Database!D102</f>
        <v/>
      </c>
      <c r="AC113">
        <f>Database!E102</f>
        <v/>
      </c>
      <c r="AD113">
        <f>Database!I102</f>
        <v/>
      </c>
      <c r="AE113">
        <f>Database!AU102</f>
        <v/>
      </c>
      <c r="AF113">
        <f>Database!AZ102</f>
        <v/>
      </c>
      <c r="AG113">
        <f>Database!H102</f>
        <v/>
      </c>
      <c r="AH113">
        <f>Database!AV102</f>
        <v/>
      </c>
    </row>
    <row r="114">
      <c r="A114">
        <f>Database!B114</f>
        <v/>
      </c>
      <c r="B114">
        <f>IF(AND(Screener!$D$8&lt;&gt;"",Database!$E114=Screener!$D$8),1,0)</f>
        <v/>
      </c>
      <c r="C114">
        <f>IF(AND(Screener!$D$7&lt;&gt;"",Database!$D114=Screener!$D$7),1,0)</f>
        <v/>
      </c>
      <c r="D114">
        <f>IF(OR(N(Database!$I114)&lt;=0,N(Screener!$D$9)&lt;=0),0,MAX(0,1-ABS(LOG10(N(Database!$I114)/Screener!$D$9))/W_SIZEHW))</f>
        <v/>
      </c>
      <c r="E114">
        <f>IF(OR(Database!$AU114="",Screener!$D$10=""),0,IF(Database!$AU114=Screener!$D$10,1,0))</f>
        <v/>
      </c>
      <c r="F114">
        <f>IF(OR(Database!$AZ114="",Screener!$D$11=""),0,IF(Database!$AZ114=Screener!$D$11,1,0))</f>
        <v/>
      </c>
      <c r="G114">
        <f>IF(OR(Database!$H114="",N(Screener!$D$12)&lt;=0),0,MAX(0,1-(N(Screener!$D$12)-Database!$H114)/W_RECD))</f>
        <v/>
      </c>
      <c r="H114">
        <f>IF($U$1="",0,N(ISNUMBER(SEARCH($U$1,Database!$X114&amp;""))))+IF($V$1="",0,N(ISNUMBER(SEARCH($V$1,Database!$X114&amp;""))))+IF($W$1="",0,N(ISNUMBER(SEARCH($W$1,Database!$X114&amp;""))))+IF($X$1="",0,N(ISNUMBER(SEARCH($X$1,Database!$X114&amp;""))))+IF($Y$1="",0,N(ISNUMBER(SEARCH($Y$1,Database!$X114&amp;""))))+IF(Screener!$B$17="",0,N(ISNUMBER(SEARCH(LOWER(Screener!$B$17),Database!$X114&amp;""))))</f>
        <v/>
      </c>
      <c r="I114">
        <f>IF(OR(N(Database!$AV114)&lt;=0,N(Screener!$D$13)&lt;=0),0,MAX(0,1-ABS(LOG10(N(Database!$AV114)/Screener!$D$13))/W_PEHW))</f>
        <v/>
      </c>
      <c r="J114">
        <f>IF(OR(N(Database!$S114)&lt;=0,N(Screener!$D$14)&lt;=0),0,MAX(0,1-ABS(LOG10(Database!$S114/Screener!$D$14))/0.6))</f>
        <v/>
      </c>
      <c r="K114">
        <f>IF(Database!$B114=Screener!$B$5,-999999,IF(ISNUMBER(SEARCH(","&amp;Database!$A114&amp;",",","&amp;SUBSTITUTE(Screener!$B$19," ","")&amp;",")),2000000,IF(IF(OR(Screener!$B$18="All",AND(Screener!$B$18="With A-share",(Database!$AZ114="Y")),AND(Screener!$B$18="Without A-share",NOT((Database!$AZ114="Y")))),1,0)=0,-999999,IF(Screener!$B$16="cornerstone overlap first",H114*100000,IF(Screener!$B$16="demand-similar first",J114*100000,0))+W_SUB*B114+W_SEC*C114*(1-B114)+W_SIZE*D114+W_PROF*E114+W_AH*F114+W_REC*G114+W_CS*H114+W_PE*I114)))+ROW()/1000000</f>
        <v/>
      </c>
      <c r="AA114">
        <f>Database!B103</f>
        <v/>
      </c>
      <c r="AB114">
        <f>Database!D103</f>
        <v/>
      </c>
      <c r="AC114">
        <f>Database!E103</f>
        <v/>
      </c>
      <c r="AD114">
        <f>Database!I103</f>
        <v/>
      </c>
      <c r="AE114">
        <f>Database!AU103</f>
        <v/>
      </c>
      <c r="AF114">
        <f>Database!AZ103</f>
        <v/>
      </c>
      <c r="AG114">
        <f>Database!H103</f>
        <v/>
      </c>
      <c r="AH114">
        <f>Database!AV103</f>
        <v/>
      </c>
    </row>
    <row r="115">
      <c r="A115">
        <f>Database!B115</f>
        <v/>
      </c>
      <c r="B115">
        <f>IF(AND(Screener!$D$8&lt;&gt;"",Database!$E115=Screener!$D$8),1,0)</f>
        <v/>
      </c>
      <c r="C115">
        <f>IF(AND(Screener!$D$7&lt;&gt;"",Database!$D115=Screener!$D$7),1,0)</f>
        <v/>
      </c>
      <c r="D115">
        <f>IF(OR(N(Database!$I115)&lt;=0,N(Screener!$D$9)&lt;=0),0,MAX(0,1-ABS(LOG10(N(Database!$I115)/Screener!$D$9))/W_SIZEHW))</f>
        <v/>
      </c>
      <c r="E115">
        <f>IF(OR(Database!$AU115="",Screener!$D$10=""),0,IF(Database!$AU115=Screener!$D$10,1,0))</f>
        <v/>
      </c>
      <c r="F115">
        <f>IF(OR(Database!$AZ115="",Screener!$D$11=""),0,IF(Database!$AZ115=Screener!$D$11,1,0))</f>
        <v/>
      </c>
      <c r="G115">
        <f>IF(OR(Database!$H115="",N(Screener!$D$12)&lt;=0),0,MAX(0,1-(N(Screener!$D$12)-Database!$H115)/W_RECD))</f>
        <v/>
      </c>
      <c r="H115">
        <f>IF($U$1="",0,N(ISNUMBER(SEARCH($U$1,Database!$X115&amp;""))))+IF($V$1="",0,N(ISNUMBER(SEARCH($V$1,Database!$X115&amp;""))))+IF($W$1="",0,N(ISNUMBER(SEARCH($W$1,Database!$X115&amp;""))))+IF($X$1="",0,N(ISNUMBER(SEARCH($X$1,Database!$X115&amp;""))))+IF($Y$1="",0,N(ISNUMBER(SEARCH($Y$1,Database!$X115&amp;""))))+IF(Screener!$B$17="",0,N(ISNUMBER(SEARCH(LOWER(Screener!$B$17),Database!$X115&amp;""))))</f>
        <v/>
      </c>
      <c r="I115">
        <f>IF(OR(N(Database!$AV115)&lt;=0,N(Screener!$D$13)&lt;=0),0,MAX(0,1-ABS(LOG10(N(Database!$AV115)/Screener!$D$13))/W_PEHW))</f>
        <v/>
      </c>
      <c r="J115">
        <f>IF(OR(N(Database!$S115)&lt;=0,N(Screener!$D$14)&lt;=0),0,MAX(0,1-ABS(LOG10(Database!$S115/Screener!$D$14))/0.6))</f>
        <v/>
      </c>
      <c r="K115">
        <f>IF(Database!$B115=Screener!$B$5,-999999,IF(ISNUMBER(SEARCH(","&amp;Database!$A115&amp;",",","&amp;SUBSTITUTE(Screener!$B$19," ","")&amp;",")),2000000,IF(IF(OR(Screener!$B$18="All",AND(Screener!$B$18="With A-share",(Database!$AZ115="Y")),AND(Screener!$B$18="Without A-share",NOT((Database!$AZ115="Y")))),1,0)=0,-999999,IF(Screener!$B$16="cornerstone overlap first",H115*100000,IF(Screener!$B$16="demand-similar first",J115*100000,0))+W_SUB*B115+W_SEC*C115*(1-B115)+W_SIZE*D115+W_PROF*E115+W_AH*F115+W_REC*G115+W_CS*H115+W_PE*I115)))+ROW()/1000000</f>
        <v/>
      </c>
      <c r="AA115">
        <f>Database!B104</f>
        <v/>
      </c>
      <c r="AB115">
        <f>Database!D104</f>
        <v/>
      </c>
      <c r="AC115">
        <f>Database!E104</f>
        <v/>
      </c>
      <c r="AD115">
        <f>Database!I104</f>
        <v/>
      </c>
      <c r="AE115">
        <f>Database!AU104</f>
        <v/>
      </c>
      <c r="AF115">
        <f>Database!AZ104</f>
        <v/>
      </c>
      <c r="AG115">
        <f>Database!H104</f>
        <v/>
      </c>
      <c r="AH115">
        <f>Database!AV104</f>
        <v/>
      </c>
    </row>
    <row r="116">
      <c r="A116">
        <f>Database!B116</f>
        <v/>
      </c>
      <c r="B116">
        <f>IF(AND(Screener!$D$8&lt;&gt;"",Database!$E116=Screener!$D$8),1,0)</f>
        <v/>
      </c>
      <c r="C116">
        <f>IF(AND(Screener!$D$7&lt;&gt;"",Database!$D116=Screener!$D$7),1,0)</f>
        <v/>
      </c>
      <c r="D116">
        <f>IF(OR(N(Database!$I116)&lt;=0,N(Screener!$D$9)&lt;=0),0,MAX(0,1-ABS(LOG10(N(Database!$I116)/Screener!$D$9))/W_SIZEHW))</f>
        <v/>
      </c>
      <c r="E116">
        <f>IF(OR(Database!$AU116="",Screener!$D$10=""),0,IF(Database!$AU116=Screener!$D$10,1,0))</f>
        <v/>
      </c>
      <c r="F116">
        <f>IF(OR(Database!$AZ116="",Screener!$D$11=""),0,IF(Database!$AZ116=Screener!$D$11,1,0))</f>
        <v/>
      </c>
      <c r="G116">
        <f>IF(OR(Database!$H116="",N(Screener!$D$12)&lt;=0),0,MAX(0,1-(N(Screener!$D$12)-Database!$H116)/W_RECD))</f>
        <v/>
      </c>
      <c r="H116">
        <f>IF($U$1="",0,N(ISNUMBER(SEARCH($U$1,Database!$X116&amp;""))))+IF($V$1="",0,N(ISNUMBER(SEARCH($V$1,Database!$X116&amp;""))))+IF($W$1="",0,N(ISNUMBER(SEARCH($W$1,Database!$X116&amp;""))))+IF($X$1="",0,N(ISNUMBER(SEARCH($X$1,Database!$X116&amp;""))))+IF($Y$1="",0,N(ISNUMBER(SEARCH($Y$1,Database!$X116&amp;""))))+IF(Screener!$B$17="",0,N(ISNUMBER(SEARCH(LOWER(Screener!$B$17),Database!$X116&amp;""))))</f>
        <v/>
      </c>
      <c r="I116">
        <f>IF(OR(N(Database!$AV116)&lt;=0,N(Screener!$D$13)&lt;=0),0,MAX(0,1-ABS(LOG10(N(Database!$AV116)/Screener!$D$13))/W_PEHW))</f>
        <v/>
      </c>
      <c r="J116">
        <f>IF(OR(N(Database!$S116)&lt;=0,N(Screener!$D$14)&lt;=0),0,MAX(0,1-ABS(LOG10(Database!$S116/Screener!$D$14))/0.6))</f>
        <v/>
      </c>
      <c r="K116">
        <f>IF(Database!$B116=Screener!$B$5,-999999,IF(ISNUMBER(SEARCH(","&amp;Database!$A116&amp;",",","&amp;SUBSTITUTE(Screener!$B$19," ","")&amp;",")),2000000,IF(IF(OR(Screener!$B$18="All",AND(Screener!$B$18="With A-share",(Database!$AZ116="Y")),AND(Screener!$B$18="Without A-share",NOT((Database!$AZ116="Y")))),1,0)=0,-999999,IF(Screener!$B$16="cornerstone overlap first",H116*100000,IF(Screener!$B$16="demand-similar first",J116*100000,0))+W_SUB*B116+W_SEC*C116*(1-B116)+W_SIZE*D116+W_PROF*E116+W_AH*F116+W_REC*G116+W_CS*H116+W_PE*I116)))+ROW()/1000000</f>
        <v/>
      </c>
      <c r="AA116">
        <f>Database!B105</f>
        <v/>
      </c>
      <c r="AB116">
        <f>Database!D105</f>
        <v/>
      </c>
      <c r="AC116">
        <f>Database!E105</f>
        <v/>
      </c>
      <c r="AD116">
        <f>Database!I105</f>
        <v/>
      </c>
      <c r="AE116">
        <f>Database!AU105</f>
        <v/>
      </c>
      <c r="AF116">
        <f>Database!AZ105</f>
        <v/>
      </c>
      <c r="AG116">
        <f>Database!H105</f>
        <v/>
      </c>
      <c r="AH116">
        <f>Database!AV105</f>
        <v/>
      </c>
    </row>
    <row r="117">
      <c r="A117">
        <f>Database!B117</f>
        <v/>
      </c>
      <c r="B117">
        <f>IF(AND(Screener!$D$8&lt;&gt;"",Database!$E117=Screener!$D$8),1,0)</f>
        <v/>
      </c>
      <c r="C117">
        <f>IF(AND(Screener!$D$7&lt;&gt;"",Database!$D117=Screener!$D$7),1,0)</f>
        <v/>
      </c>
      <c r="D117">
        <f>IF(OR(N(Database!$I117)&lt;=0,N(Screener!$D$9)&lt;=0),0,MAX(0,1-ABS(LOG10(N(Database!$I117)/Screener!$D$9))/W_SIZEHW))</f>
        <v/>
      </c>
      <c r="E117">
        <f>IF(OR(Database!$AU117="",Screener!$D$10=""),0,IF(Database!$AU117=Screener!$D$10,1,0))</f>
        <v/>
      </c>
      <c r="F117">
        <f>IF(OR(Database!$AZ117="",Screener!$D$11=""),0,IF(Database!$AZ117=Screener!$D$11,1,0))</f>
        <v/>
      </c>
      <c r="G117">
        <f>IF(OR(Database!$H117="",N(Screener!$D$12)&lt;=0),0,MAX(0,1-(N(Screener!$D$12)-Database!$H117)/W_RECD))</f>
        <v/>
      </c>
      <c r="H117">
        <f>IF($U$1="",0,N(ISNUMBER(SEARCH($U$1,Database!$X117&amp;""))))+IF($V$1="",0,N(ISNUMBER(SEARCH($V$1,Database!$X117&amp;""))))+IF($W$1="",0,N(ISNUMBER(SEARCH($W$1,Database!$X117&amp;""))))+IF($X$1="",0,N(ISNUMBER(SEARCH($X$1,Database!$X117&amp;""))))+IF($Y$1="",0,N(ISNUMBER(SEARCH($Y$1,Database!$X117&amp;""))))+IF(Screener!$B$17="",0,N(ISNUMBER(SEARCH(LOWER(Screener!$B$17),Database!$X117&amp;""))))</f>
        <v/>
      </c>
      <c r="I117">
        <f>IF(OR(N(Database!$AV117)&lt;=0,N(Screener!$D$13)&lt;=0),0,MAX(0,1-ABS(LOG10(N(Database!$AV117)/Screener!$D$13))/W_PEHW))</f>
        <v/>
      </c>
      <c r="J117">
        <f>IF(OR(N(Database!$S117)&lt;=0,N(Screener!$D$14)&lt;=0),0,MAX(0,1-ABS(LOG10(Database!$S117/Screener!$D$14))/0.6))</f>
        <v/>
      </c>
      <c r="K117">
        <f>IF(Database!$B117=Screener!$B$5,-999999,IF(ISNUMBER(SEARCH(","&amp;Database!$A117&amp;",",","&amp;SUBSTITUTE(Screener!$B$19," ","")&amp;",")),2000000,IF(IF(OR(Screener!$B$18="All",AND(Screener!$B$18="With A-share",(Database!$AZ117="Y")),AND(Screener!$B$18="Without A-share",NOT((Database!$AZ117="Y")))),1,0)=0,-999999,IF(Screener!$B$16="cornerstone overlap first",H117*100000,IF(Screener!$B$16="demand-similar first",J117*100000,0))+W_SUB*B117+W_SEC*C117*(1-B117)+W_SIZE*D117+W_PROF*E117+W_AH*F117+W_REC*G117+W_CS*H117+W_PE*I117)))+ROW()/1000000</f>
        <v/>
      </c>
      <c r="AA117">
        <f>Database!B106</f>
        <v/>
      </c>
      <c r="AB117">
        <f>Database!D106</f>
        <v/>
      </c>
      <c r="AC117">
        <f>Database!E106</f>
        <v/>
      </c>
      <c r="AD117">
        <f>Database!I106</f>
        <v/>
      </c>
      <c r="AE117">
        <f>Database!AU106</f>
        <v/>
      </c>
      <c r="AF117">
        <f>Database!AZ106</f>
        <v/>
      </c>
      <c r="AG117">
        <f>Database!H106</f>
        <v/>
      </c>
      <c r="AH117">
        <f>Database!AV106</f>
        <v/>
      </c>
    </row>
    <row r="118">
      <c r="A118">
        <f>Database!B118</f>
        <v/>
      </c>
      <c r="B118">
        <f>IF(AND(Screener!$D$8&lt;&gt;"",Database!$E118=Screener!$D$8),1,0)</f>
        <v/>
      </c>
      <c r="C118">
        <f>IF(AND(Screener!$D$7&lt;&gt;"",Database!$D118=Screener!$D$7),1,0)</f>
        <v/>
      </c>
      <c r="D118">
        <f>IF(OR(N(Database!$I118)&lt;=0,N(Screener!$D$9)&lt;=0),0,MAX(0,1-ABS(LOG10(N(Database!$I118)/Screener!$D$9))/W_SIZEHW))</f>
        <v/>
      </c>
      <c r="E118">
        <f>IF(OR(Database!$AU118="",Screener!$D$10=""),0,IF(Database!$AU118=Screener!$D$10,1,0))</f>
        <v/>
      </c>
      <c r="F118">
        <f>IF(OR(Database!$AZ118="",Screener!$D$11=""),0,IF(Database!$AZ118=Screener!$D$11,1,0))</f>
        <v/>
      </c>
      <c r="G118">
        <f>IF(OR(Database!$H118="",N(Screener!$D$12)&lt;=0),0,MAX(0,1-(N(Screener!$D$12)-Database!$H118)/W_RECD))</f>
        <v/>
      </c>
      <c r="H118">
        <f>IF($U$1="",0,N(ISNUMBER(SEARCH($U$1,Database!$X118&amp;""))))+IF($V$1="",0,N(ISNUMBER(SEARCH($V$1,Database!$X118&amp;""))))+IF($W$1="",0,N(ISNUMBER(SEARCH($W$1,Database!$X118&amp;""))))+IF($X$1="",0,N(ISNUMBER(SEARCH($X$1,Database!$X118&amp;""))))+IF($Y$1="",0,N(ISNUMBER(SEARCH($Y$1,Database!$X118&amp;""))))+IF(Screener!$B$17="",0,N(ISNUMBER(SEARCH(LOWER(Screener!$B$17),Database!$X118&amp;""))))</f>
        <v/>
      </c>
      <c r="I118">
        <f>IF(OR(N(Database!$AV118)&lt;=0,N(Screener!$D$13)&lt;=0),0,MAX(0,1-ABS(LOG10(N(Database!$AV118)/Screener!$D$13))/W_PEHW))</f>
        <v/>
      </c>
      <c r="J118">
        <f>IF(OR(N(Database!$S118)&lt;=0,N(Screener!$D$14)&lt;=0),0,MAX(0,1-ABS(LOG10(Database!$S118/Screener!$D$14))/0.6))</f>
        <v/>
      </c>
      <c r="K118">
        <f>IF(Database!$B118=Screener!$B$5,-999999,IF(ISNUMBER(SEARCH(","&amp;Database!$A118&amp;",",","&amp;SUBSTITUTE(Screener!$B$19," ","")&amp;",")),2000000,IF(IF(OR(Screener!$B$18="All",AND(Screener!$B$18="With A-share",(Database!$AZ118="Y")),AND(Screener!$B$18="Without A-share",NOT((Database!$AZ118="Y")))),1,0)=0,-999999,IF(Screener!$B$16="cornerstone overlap first",H118*100000,IF(Screener!$B$16="demand-similar first",J118*100000,0))+W_SUB*B118+W_SEC*C118*(1-B118)+W_SIZE*D118+W_PROF*E118+W_AH*F118+W_REC*G118+W_CS*H118+W_PE*I118)))+ROW()/1000000</f>
        <v/>
      </c>
      <c r="AA118">
        <f>Database!B107</f>
        <v/>
      </c>
      <c r="AB118">
        <f>Database!D107</f>
        <v/>
      </c>
      <c r="AC118">
        <f>Database!E107</f>
        <v/>
      </c>
      <c r="AD118">
        <f>Database!I107</f>
        <v/>
      </c>
      <c r="AE118">
        <f>Database!AU107</f>
        <v/>
      </c>
      <c r="AF118">
        <f>Database!AZ107</f>
        <v/>
      </c>
      <c r="AG118">
        <f>Database!H107</f>
        <v/>
      </c>
      <c r="AH118">
        <f>Database!AV107</f>
        <v/>
      </c>
    </row>
    <row r="119">
      <c r="A119">
        <f>Database!B119</f>
        <v/>
      </c>
      <c r="B119">
        <f>IF(AND(Screener!$D$8&lt;&gt;"",Database!$E119=Screener!$D$8),1,0)</f>
        <v/>
      </c>
      <c r="C119">
        <f>IF(AND(Screener!$D$7&lt;&gt;"",Database!$D119=Screener!$D$7),1,0)</f>
        <v/>
      </c>
      <c r="D119">
        <f>IF(OR(N(Database!$I119)&lt;=0,N(Screener!$D$9)&lt;=0),0,MAX(0,1-ABS(LOG10(N(Database!$I119)/Screener!$D$9))/W_SIZEHW))</f>
        <v/>
      </c>
      <c r="E119">
        <f>IF(OR(Database!$AU119="",Screener!$D$10=""),0,IF(Database!$AU119=Screener!$D$10,1,0))</f>
        <v/>
      </c>
      <c r="F119">
        <f>IF(OR(Database!$AZ119="",Screener!$D$11=""),0,IF(Database!$AZ119=Screener!$D$11,1,0))</f>
        <v/>
      </c>
      <c r="G119">
        <f>IF(OR(Database!$H119="",N(Screener!$D$12)&lt;=0),0,MAX(0,1-(N(Screener!$D$12)-Database!$H119)/W_RECD))</f>
        <v/>
      </c>
      <c r="H119">
        <f>IF($U$1="",0,N(ISNUMBER(SEARCH($U$1,Database!$X119&amp;""))))+IF($V$1="",0,N(ISNUMBER(SEARCH($V$1,Database!$X119&amp;""))))+IF($W$1="",0,N(ISNUMBER(SEARCH($W$1,Database!$X119&amp;""))))+IF($X$1="",0,N(ISNUMBER(SEARCH($X$1,Database!$X119&amp;""))))+IF($Y$1="",0,N(ISNUMBER(SEARCH($Y$1,Database!$X119&amp;""))))+IF(Screener!$B$17="",0,N(ISNUMBER(SEARCH(LOWER(Screener!$B$17),Database!$X119&amp;""))))</f>
        <v/>
      </c>
      <c r="I119">
        <f>IF(OR(N(Database!$AV119)&lt;=0,N(Screener!$D$13)&lt;=0),0,MAX(0,1-ABS(LOG10(N(Database!$AV119)/Screener!$D$13))/W_PEHW))</f>
        <v/>
      </c>
      <c r="J119">
        <f>IF(OR(N(Database!$S119)&lt;=0,N(Screener!$D$14)&lt;=0),0,MAX(0,1-ABS(LOG10(Database!$S119/Screener!$D$14))/0.6))</f>
        <v/>
      </c>
      <c r="K119">
        <f>IF(Database!$B119=Screener!$B$5,-999999,IF(ISNUMBER(SEARCH(","&amp;Database!$A119&amp;",",","&amp;SUBSTITUTE(Screener!$B$19," ","")&amp;",")),2000000,IF(IF(OR(Screener!$B$18="All",AND(Screener!$B$18="With A-share",(Database!$AZ119="Y")),AND(Screener!$B$18="Without A-share",NOT((Database!$AZ119="Y")))),1,0)=0,-999999,IF(Screener!$B$16="cornerstone overlap first",H119*100000,IF(Screener!$B$16="demand-similar first",J119*100000,0))+W_SUB*B119+W_SEC*C119*(1-B119)+W_SIZE*D119+W_PROF*E119+W_AH*F119+W_REC*G119+W_CS*H119+W_PE*I119)))+ROW()/1000000</f>
        <v/>
      </c>
      <c r="AA119">
        <f>Database!B108</f>
        <v/>
      </c>
      <c r="AB119">
        <f>Database!D108</f>
        <v/>
      </c>
      <c r="AC119">
        <f>Database!E108</f>
        <v/>
      </c>
      <c r="AD119">
        <f>Database!I108</f>
        <v/>
      </c>
      <c r="AE119">
        <f>Database!AU108</f>
        <v/>
      </c>
      <c r="AF119">
        <f>Database!AZ108</f>
        <v/>
      </c>
      <c r="AG119">
        <f>Database!H108</f>
        <v/>
      </c>
      <c r="AH119">
        <f>Database!AV108</f>
        <v/>
      </c>
    </row>
    <row r="120">
      <c r="A120">
        <f>Database!B120</f>
        <v/>
      </c>
      <c r="B120">
        <f>IF(AND(Screener!$D$8&lt;&gt;"",Database!$E120=Screener!$D$8),1,0)</f>
        <v/>
      </c>
      <c r="C120">
        <f>IF(AND(Screener!$D$7&lt;&gt;"",Database!$D120=Screener!$D$7),1,0)</f>
        <v/>
      </c>
      <c r="D120">
        <f>IF(OR(N(Database!$I120)&lt;=0,N(Screener!$D$9)&lt;=0),0,MAX(0,1-ABS(LOG10(N(Database!$I120)/Screener!$D$9))/W_SIZEHW))</f>
        <v/>
      </c>
      <c r="E120">
        <f>IF(OR(Database!$AU120="",Screener!$D$10=""),0,IF(Database!$AU120=Screener!$D$10,1,0))</f>
        <v/>
      </c>
      <c r="F120">
        <f>IF(OR(Database!$AZ120="",Screener!$D$11=""),0,IF(Database!$AZ120=Screener!$D$11,1,0))</f>
        <v/>
      </c>
      <c r="G120">
        <f>IF(OR(Database!$H120="",N(Screener!$D$12)&lt;=0),0,MAX(0,1-(N(Screener!$D$12)-Database!$H120)/W_RECD))</f>
        <v/>
      </c>
      <c r="H120">
        <f>IF($U$1="",0,N(ISNUMBER(SEARCH($U$1,Database!$X120&amp;""))))+IF($V$1="",0,N(ISNUMBER(SEARCH($V$1,Database!$X120&amp;""))))+IF($W$1="",0,N(ISNUMBER(SEARCH($W$1,Database!$X120&amp;""))))+IF($X$1="",0,N(ISNUMBER(SEARCH($X$1,Database!$X120&amp;""))))+IF($Y$1="",0,N(ISNUMBER(SEARCH($Y$1,Database!$X120&amp;""))))+IF(Screener!$B$17="",0,N(ISNUMBER(SEARCH(LOWER(Screener!$B$17),Database!$X120&amp;""))))</f>
        <v/>
      </c>
      <c r="I120">
        <f>IF(OR(N(Database!$AV120)&lt;=0,N(Screener!$D$13)&lt;=0),0,MAX(0,1-ABS(LOG10(N(Database!$AV120)/Screener!$D$13))/W_PEHW))</f>
        <v/>
      </c>
      <c r="J120">
        <f>IF(OR(N(Database!$S120)&lt;=0,N(Screener!$D$14)&lt;=0),0,MAX(0,1-ABS(LOG10(Database!$S120/Screener!$D$14))/0.6))</f>
        <v/>
      </c>
      <c r="K120">
        <f>IF(Database!$B120=Screener!$B$5,-999999,IF(ISNUMBER(SEARCH(","&amp;Database!$A120&amp;",",","&amp;SUBSTITUTE(Screener!$B$19," ","")&amp;",")),2000000,IF(IF(OR(Screener!$B$18="All",AND(Screener!$B$18="With A-share",(Database!$AZ120="Y")),AND(Screener!$B$18="Without A-share",NOT((Database!$AZ120="Y")))),1,0)=0,-999999,IF(Screener!$B$16="cornerstone overlap first",H120*100000,IF(Screener!$B$16="demand-similar first",J120*100000,0))+W_SUB*B120+W_SEC*C120*(1-B120)+W_SIZE*D120+W_PROF*E120+W_AH*F120+W_REC*G120+W_CS*H120+W_PE*I120)))+ROW()/1000000</f>
        <v/>
      </c>
      <c r="AA120">
        <f>Database!B109</f>
        <v/>
      </c>
      <c r="AB120">
        <f>Database!D109</f>
        <v/>
      </c>
      <c r="AC120">
        <f>Database!E109</f>
        <v/>
      </c>
      <c r="AD120">
        <f>Database!I109</f>
        <v/>
      </c>
      <c r="AE120">
        <f>Database!AU109</f>
        <v/>
      </c>
      <c r="AF120">
        <f>Database!AZ109</f>
        <v/>
      </c>
      <c r="AG120">
        <f>Database!H109</f>
        <v/>
      </c>
      <c r="AH120">
        <f>Database!AV109</f>
        <v/>
      </c>
    </row>
    <row r="121">
      <c r="A121">
        <f>Database!B121</f>
        <v/>
      </c>
      <c r="B121">
        <f>IF(AND(Screener!$D$8&lt;&gt;"",Database!$E121=Screener!$D$8),1,0)</f>
        <v/>
      </c>
      <c r="C121">
        <f>IF(AND(Screener!$D$7&lt;&gt;"",Database!$D121=Screener!$D$7),1,0)</f>
        <v/>
      </c>
      <c r="D121">
        <f>IF(OR(N(Database!$I121)&lt;=0,N(Screener!$D$9)&lt;=0),0,MAX(0,1-ABS(LOG10(N(Database!$I121)/Screener!$D$9))/W_SIZEHW))</f>
        <v/>
      </c>
      <c r="E121">
        <f>IF(OR(Database!$AU121="",Screener!$D$10=""),0,IF(Database!$AU121=Screener!$D$10,1,0))</f>
        <v/>
      </c>
      <c r="F121">
        <f>IF(OR(Database!$AZ121="",Screener!$D$11=""),0,IF(Database!$AZ121=Screener!$D$11,1,0))</f>
        <v/>
      </c>
      <c r="G121">
        <f>IF(OR(Database!$H121="",N(Screener!$D$12)&lt;=0),0,MAX(0,1-(N(Screener!$D$12)-Database!$H121)/W_RECD))</f>
        <v/>
      </c>
      <c r="H121">
        <f>IF($U$1="",0,N(ISNUMBER(SEARCH($U$1,Database!$X121&amp;""))))+IF($V$1="",0,N(ISNUMBER(SEARCH($V$1,Database!$X121&amp;""))))+IF($W$1="",0,N(ISNUMBER(SEARCH($W$1,Database!$X121&amp;""))))+IF($X$1="",0,N(ISNUMBER(SEARCH($X$1,Database!$X121&amp;""))))+IF($Y$1="",0,N(ISNUMBER(SEARCH($Y$1,Database!$X121&amp;""))))+IF(Screener!$B$17="",0,N(ISNUMBER(SEARCH(LOWER(Screener!$B$17),Database!$X121&amp;""))))</f>
        <v/>
      </c>
      <c r="I121">
        <f>IF(OR(N(Database!$AV121)&lt;=0,N(Screener!$D$13)&lt;=0),0,MAX(0,1-ABS(LOG10(N(Database!$AV121)/Screener!$D$13))/W_PEHW))</f>
        <v/>
      </c>
      <c r="J121">
        <f>IF(OR(N(Database!$S121)&lt;=0,N(Screener!$D$14)&lt;=0),0,MAX(0,1-ABS(LOG10(Database!$S121/Screener!$D$14))/0.6))</f>
        <v/>
      </c>
      <c r="K121">
        <f>IF(Database!$B121=Screener!$B$5,-999999,IF(ISNUMBER(SEARCH(","&amp;Database!$A121&amp;",",","&amp;SUBSTITUTE(Screener!$B$19," ","")&amp;",")),2000000,IF(IF(OR(Screener!$B$18="All",AND(Screener!$B$18="With A-share",(Database!$AZ121="Y")),AND(Screener!$B$18="Without A-share",NOT((Database!$AZ121="Y")))),1,0)=0,-999999,IF(Screener!$B$16="cornerstone overlap first",H121*100000,IF(Screener!$B$16="demand-similar first",J121*100000,0))+W_SUB*B121+W_SEC*C121*(1-B121)+W_SIZE*D121+W_PROF*E121+W_AH*F121+W_REC*G121+W_CS*H121+W_PE*I121)))+ROW()/1000000</f>
        <v/>
      </c>
      <c r="AA121">
        <f>Database!B110</f>
        <v/>
      </c>
      <c r="AB121">
        <f>Database!D110</f>
        <v/>
      </c>
      <c r="AC121">
        <f>Database!E110</f>
        <v/>
      </c>
      <c r="AD121">
        <f>Database!I110</f>
        <v/>
      </c>
      <c r="AE121">
        <f>Database!AU110</f>
        <v/>
      </c>
      <c r="AF121">
        <f>Database!AZ110</f>
        <v/>
      </c>
      <c r="AG121">
        <f>Database!H110</f>
        <v/>
      </c>
      <c r="AH121">
        <f>Database!AV110</f>
        <v/>
      </c>
    </row>
    <row r="122">
      <c r="A122">
        <f>Database!B122</f>
        <v/>
      </c>
      <c r="B122">
        <f>IF(AND(Screener!$D$8&lt;&gt;"",Database!$E122=Screener!$D$8),1,0)</f>
        <v/>
      </c>
      <c r="C122">
        <f>IF(AND(Screener!$D$7&lt;&gt;"",Database!$D122=Screener!$D$7),1,0)</f>
        <v/>
      </c>
      <c r="D122">
        <f>IF(OR(N(Database!$I122)&lt;=0,N(Screener!$D$9)&lt;=0),0,MAX(0,1-ABS(LOG10(N(Database!$I122)/Screener!$D$9))/W_SIZEHW))</f>
        <v/>
      </c>
      <c r="E122">
        <f>IF(OR(Database!$AU122="",Screener!$D$10=""),0,IF(Database!$AU122=Screener!$D$10,1,0))</f>
        <v/>
      </c>
      <c r="F122">
        <f>IF(OR(Database!$AZ122="",Screener!$D$11=""),0,IF(Database!$AZ122=Screener!$D$11,1,0))</f>
        <v/>
      </c>
      <c r="G122">
        <f>IF(OR(Database!$H122="",N(Screener!$D$12)&lt;=0),0,MAX(0,1-(N(Screener!$D$12)-Database!$H122)/W_RECD))</f>
        <v/>
      </c>
      <c r="H122">
        <f>IF($U$1="",0,N(ISNUMBER(SEARCH($U$1,Database!$X122&amp;""))))+IF($V$1="",0,N(ISNUMBER(SEARCH($V$1,Database!$X122&amp;""))))+IF($W$1="",0,N(ISNUMBER(SEARCH($W$1,Database!$X122&amp;""))))+IF($X$1="",0,N(ISNUMBER(SEARCH($X$1,Database!$X122&amp;""))))+IF($Y$1="",0,N(ISNUMBER(SEARCH($Y$1,Database!$X122&amp;""))))+IF(Screener!$B$17="",0,N(ISNUMBER(SEARCH(LOWER(Screener!$B$17),Database!$X122&amp;""))))</f>
        <v/>
      </c>
      <c r="I122">
        <f>IF(OR(N(Database!$AV122)&lt;=0,N(Screener!$D$13)&lt;=0),0,MAX(0,1-ABS(LOG10(N(Database!$AV122)/Screener!$D$13))/W_PEHW))</f>
        <v/>
      </c>
      <c r="J122">
        <f>IF(OR(N(Database!$S122)&lt;=0,N(Screener!$D$14)&lt;=0),0,MAX(0,1-ABS(LOG10(Database!$S122/Screener!$D$14))/0.6))</f>
        <v/>
      </c>
      <c r="K122">
        <f>IF(Database!$B122=Screener!$B$5,-999999,IF(ISNUMBER(SEARCH(","&amp;Database!$A122&amp;",",","&amp;SUBSTITUTE(Screener!$B$19," ","")&amp;",")),2000000,IF(IF(OR(Screener!$B$18="All",AND(Screener!$B$18="With A-share",(Database!$AZ122="Y")),AND(Screener!$B$18="Without A-share",NOT((Database!$AZ122="Y")))),1,0)=0,-999999,IF(Screener!$B$16="cornerstone overlap first",H122*100000,IF(Screener!$B$16="demand-similar first",J122*100000,0))+W_SUB*B122+W_SEC*C122*(1-B122)+W_SIZE*D122+W_PROF*E122+W_AH*F122+W_REC*G122+W_CS*H122+W_PE*I122)))+ROW()/1000000</f>
        <v/>
      </c>
      <c r="AA122">
        <f>Database!B111</f>
        <v/>
      </c>
      <c r="AB122">
        <f>Database!D111</f>
        <v/>
      </c>
      <c r="AC122">
        <f>Database!E111</f>
        <v/>
      </c>
      <c r="AD122">
        <f>Database!I111</f>
        <v/>
      </c>
      <c r="AE122">
        <f>Database!AU111</f>
        <v/>
      </c>
      <c r="AF122">
        <f>Database!AZ111</f>
        <v/>
      </c>
      <c r="AG122">
        <f>Database!H111</f>
        <v/>
      </c>
      <c r="AH122">
        <f>Database!AV111</f>
        <v/>
      </c>
    </row>
    <row r="123">
      <c r="A123">
        <f>Database!B123</f>
        <v/>
      </c>
      <c r="B123">
        <f>IF(AND(Screener!$D$8&lt;&gt;"",Database!$E123=Screener!$D$8),1,0)</f>
        <v/>
      </c>
      <c r="C123">
        <f>IF(AND(Screener!$D$7&lt;&gt;"",Database!$D123=Screener!$D$7),1,0)</f>
        <v/>
      </c>
      <c r="D123">
        <f>IF(OR(N(Database!$I123)&lt;=0,N(Screener!$D$9)&lt;=0),0,MAX(0,1-ABS(LOG10(N(Database!$I123)/Screener!$D$9))/W_SIZEHW))</f>
        <v/>
      </c>
      <c r="E123">
        <f>IF(OR(Database!$AU123="",Screener!$D$10=""),0,IF(Database!$AU123=Screener!$D$10,1,0))</f>
        <v/>
      </c>
      <c r="F123">
        <f>IF(OR(Database!$AZ123="",Screener!$D$11=""),0,IF(Database!$AZ123=Screener!$D$11,1,0))</f>
        <v/>
      </c>
      <c r="G123">
        <f>IF(OR(Database!$H123="",N(Screener!$D$12)&lt;=0),0,MAX(0,1-(N(Screener!$D$12)-Database!$H123)/W_RECD))</f>
        <v/>
      </c>
      <c r="H123">
        <f>IF($U$1="",0,N(ISNUMBER(SEARCH($U$1,Database!$X123&amp;""))))+IF($V$1="",0,N(ISNUMBER(SEARCH($V$1,Database!$X123&amp;""))))+IF($W$1="",0,N(ISNUMBER(SEARCH($W$1,Database!$X123&amp;""))))+IF($X$1="",0,N(ISNUMBER(SEARCH($X$1,Database!$X123&amp;""))))+IF($Y$1="",0,N(ISNUMBER(SEARCH($Y$1,Database!$X123&amp;""))))+IF(Screener!$B$17="",0,N(ISNUMBER(SEARCH(LOWER(Screener!$B$17),Database!$X123&amp;""))))</f>
        <v/>
      </c>
      <c r="I123">
        <f>IF(OR(N(Database!$AV123)&lt;=0,N(Screener!$D$13)&lt;=0),0,MAX(0,1-ABS(LOG10(N(Database!$AV123)/Screener!$D$13))/W_PEHW))</f>
        <v/>
      </c>
      <c r="J123">
        <f>IF(OR(N(Database!$S123)&lt;=0,N(Screener!$D$14)&lt;=0),0,MAX(0,1-ABS(LOG10(Database!$S123/Screener!$D$14))/0.6))</f>
        <v/>
      </c>
      <c r="K123">
        <f>IF(Database!$B123=Screener!$B$5,-999999,IF(ISNUMBER(SEARCH(","&amp;Database!$A123&amp;",",","&amp;SUBSTITUTE(Screener!$B$19," ","")&amp;",")),2000000,IF(IF(OR(Screener!$B$18="All",AND(Screener!$B$18="With A-share",(Database!$AZ123="Y")),AND(Screener!$B$18="Without A-share",NOT((Database!$AZ123="Y")))),1,0)=0,-999999,IF(Screener!$B$16="cornerstone overlap first",H123*100000,IF(Screener!$B$16="demand-similar first",J123*100000,0))+W_SUB*B123+W_SEC*C123*(1-B123)+W_SIZE*D123+W_PROF*E123+W_AH*F123+W_REC*G123+W_CS*H123+W_PE*I123)))+ROW()/1000000</f>
        <v/>
      </c>
      <c r="AA123">
        <f>Database!B112</f>
        <v/>
      </c>
      <c r="AB123">
        <f>Database!D112</f>
        <v/>
      </c>
      <c r="AC123">
        <f>Database!E112</f>
        <v/>
      </c>
      <c r="AD123">
        <f>Database!I112</f>
        <v/>
      </c>
      <c r="AE123">
        <f>Database!AU112</f>
        <v/>
      </c>
      <c r="AF123">
        <f>Database!AZ112</f>
        <v/>
      </c>
      <c r="AG123">
        <f>Database!H112</f>
        <v/>
      </c>
      <c r="AH123">
        <f>Database!AV112</f>
        <v/>
      </c>
    </row>
    <row r="124">
      <c r="A124">
        <f>Database!B124</f>
        <v/>
      </c>
      <c r="B124">
        <f>IF(AND(Screener!$D$8&lt;&gt;"",Database!$E124=Screener!$D$8),1,0)</f>
        <v/>
      </c>
      <c r="C124">
        <f>IF(AND(Screener!$D$7&lt;&gt;"",Database!$D124=Screener!$D$7),1,0)</f>
        <v/>
      </c>
      <c r="D124">
        <f>IF(OR(N(Database!$I124)&lt;=0,N(Screener!$D$9)&lt;=0),0,MAX(0,1-ABS(LOG10(N(Database!$I124)/Screener!$D$9))/W_SIZEHW))</f>
        <v/>
      </c>
      <c r="E124">
        <f>IF(OR(Database!$AU124="",Screener!$D$10=""),0,IF(Database!$AU124=Screener!$D$10,1,0))</f>
        <v/>
      </c>
      <c r="F124">
        <f>IF(OR(Database!$AZ124="",Screener!$D$11=""),0,IF(Database!$AZ124=Screener!$D$11,1,0))</f>
        <v/>
      </c>
      <c r="G124">
        <f>IF(OR(Database!$H124="",N(Screener!$D$12)&lt;=0),0,MAX(0,1-(N(Screener!$D$12)-Database!$H124)/W_RECD))</f>
        <v/>
      </c>
      <c r="H124">
        <f>IF($U$1="",0,N(ISNUMBER(SEARCH($U$1,Database!$X124&amp;""))))+IF($V$1="",0,N(ISNUMBER(SEARCH($V$1,Database!$X124&amp;""))))+IF($W$1="",0,N(ISNUMBER(SEARCH($W$1,Database!$X124&amp;""))))+IF($X$1="",0,N(ISNUMBER(SEARCH($X$1,Database!$X124&amp;""))))+IF($Y$1="",0,N(ISNUMBER(SEARCH($Y$1,Database!$X124&amp;""))))+IF(Screener!$B$17="",0,N(ISNUMBER(SEARCH(LOWER(Screener!$B$17),Database!$X124&amp;""))))</f>
        <v/>
      </c>
      <c r="I124">
        <f>IF(OR(N(Database!$AV124)&lt;=0,N(Screener!$D$13)&lt;=0),0,MAX(0,1-ABS(LOG10(N(Database!$AV124)/Screener!$D$13))/W_PEHW))</f>
        <v/>
      </c>
      <c r="J124">
        <f>IF(OR(N(Database!$S124)&lt;=0,N(Screener!$D$14)&lt;=0),0,MAX(0,1-ABS(LOG10(Database!$S124/Screener!$D$14))/0.6))</f>
        <v/>
      </c>
      <c r="K124">
        <f>IF(Database!$B124=Screener!$B$5,-999999,IF(ISNUMBER(SEARCH(","&amp;Database!$A124&amp;",",","&amp;SUBSTITUTE(Screener!$B$19," ","")&amp;",")),2000000,IF(IF(OR(Screener!$B$18="All",AND(Screener!$B$18="With A-share",(Database!$AZ124="Y")),AND(Screener!$B$18="Without A-share",NOT((Database!$AZ124="Y")))),1,0)=0,-999999,IF(Screener!$B$16="cornerstone overlap first",H124*100000,IF(Screener!$B$16="demand-similar first",J124*100000,0))+W_SUB*B124+W_SEC*C124*(1-B124)+W_SIZE*D124+W_PROF*E124+W_AH*F124+W_REC*G124+W_CS*H124+W_PE*I124)))+ROW()/1000000</f>
        <v/>
      </c>
      <c r="AA124">
        <f>Database!B113</f>
        <v/>
      </c>
      <c r="AB124">
        <f>Database!D113</f>
        <v/>
      </c>
      <c r="AC124">
        <f>Database!E113</f>
        <v/>
      </c>
      <c r="AD124">
        <f>Database!I113</f>
        <v/>
      </c>
      <c r="AE124">
        <f>Database!AU113</f>
        <v/>
      </c>
      <c r="AF124">
        <f>Database!AZ113</f>
        <v/>
      </c>
      <c r="AG124">
        <f>Database!H113</f>
        <v/>
      </c>
      <c r="AH124">
        <f>Database!AV113</f>
        <v/>
      </c>
    </row>
    <row r="125">
      <c r="A125">
        <f>Database!B125</f>
        <v/>
      </c>
      <c r="B125">
        <f>IF(AND(Screener!$D$8&lt;&gt;"",Database!$E125=Screener!$D$8),1,0)</f>
        <v/>
      </c>
      <c r="C125">
        <f>IF(AND(Screener!$D$7&lt;&gt;"",Database!$D125=Screener!$D$7),1,0)</f>
        <v/>
      </c>
      <c r="D125">
        <f>IF(OR(N(Database!$I125)&lt;=0,N(Screener!$D$9)&lt;=0),0,MAX(0,1-ABS(LOG10(N(Database!$I125)/Screener!$D$9))/W_SIZEHW))</f>
        <v/>
      </c>
      <c r="E125">
        <f>IF(OR(Database!$AU125="",Screener!$D$10=""),0,IF(Database!$AU125=Screener!$D$10,1,0))</f>
        <v/>
      </c>
      <c r="F125">
        <f>IF(OR(Database!$AZ125="",Screener!$D$11=""),0,IF(Database!$AZ125=Screener!$D$11,1,0))</f>
        <v/>
      </c>
      <c r="G125">
        <f>IF(OR(Database!$H125="",N(Screener!$D$12)&lt;=0),0,MAX(0,1-(N(Screener!$D$12)-Database!$H125)/W_RECD))</f>
        <v/>
      </c>
      <c r="H125">
        <f>IF($U$1="",0,N(ISNUMBER(SEARCH($U$1,Database!$X125&amp;""))))+IF($V$1="",0,N(ISNUMBER(SEARCH($V$1,Database!$X125&amp;""))))+IF($W$1="",0,N(ISNUMBER(SEARCH($W$1,Database!$X125&amp;""))))+IF($X$1="",0,N(ISNUMBER(SEARCH($X$1,Database!$X125&amp;""))))+IF($Y$1="",0,N(ISNUMBER(SEARCH($Y$1,Database!$X125&amp;""))))+IF(Screener!$B$17="",0,N(ISNUMBER(SEARCH(LOWER(Screener!$B$17),Database!$X125&amp;""))))</f>
        <v/>
      </c>
      <c r="I125">
        <f>IF(OR(N(Database!$AV125)&lt;=0,N(Screener!$D$13)&lt;=0),0,MAX(0,1-ABS(LOG10(N(Database!$AV125)/Screener!$D$13))/W_PEHW))</f>
        <v/>
      </c>
      <c r="J125">
        <f>IF(OR(N(Database!$S125)&lt;=0,N(Screener!$D$14)&lt;=0),0,MAX(0,1-ABS(LOG10(Database!$S125/Screener!$D$14))/0.6))</f>
        <v/>
      </c>
      <c r="K125">
        <f>IF(Database!$B125=Screener!$B$5,-999999,IF(ISNUMBER(SEARCH(","&amp;Database!$A125&amp;",",","&amp;SUBSTITUTE(Screener!$B$19," ","")&amp;",")),2000000,IF(IF(OR(Screener!$B$18="All",AND(Screener!$B$18="With A-share",(Database!$AZ125="Y")),AND(Screener!$B$18="Without A-share",NOT((Database!$AZ125="Y")))),1,0)=0,-999999,IF(Screener!$B$16="cornerstone overlap first",H125*100000,IF(Screener!$B$16="demand-similar first",J125*100000,0))+W_SUB*B125+W_SEC*C125*(1-B125)+W_SIZE*D125+W_PROF*E125+W_AH*F125+W_REC*G125+W_CS*H125+W_PE*I125)))+ROW()/1000000</f>
        <v/>
      </c>
      <c r="AA125">
        <f>Database!B114</f>
        <v/>
      </c>
      <c r="AB125">
        <f>Database!D114</f>
        <v/>
      </c>
      <c r="AC125">
        <f>Database!E114</f>
        <v/>
      </c>
      <c r="AD125">
        <f>Database!I114</f>
        <v/>
      </c>
      <c r="AE125">
        <f>Database!AU114</f>
        <v/>
      </c>
      <c r="AF125">
        <f>Database!AZ114</f>
        <v/>
      </c>
      <c r="AG125">
        <f>Database!H114</f>
        <v/>
      </c>
      <c r="AH125">
        <f>Database!AV114</f>
        <v/>
      </c>
    </row>
    <row r="126">
      <c r="A126">
        <f>Database!B126</f>
        <v/>
      </c>
      <c r="B126">
        <f>IF(AND(Screener!$D$8&lt;&gt;"",Database!$E126=Screener!$D$8),1,0)</f>
        <v/>
      </c>
      <c r="C126">
        <f>IF(AND(Screener!$D$7&lt;&gt;"",Database!$D126=Screener!$D$7),1,0)</f>
        <v/>
      </c>
      <c r="D126">
        <f>IF(OR(N(Database!$I126)&lt;=0,N(Screener!$D$9)&lt;=0),0,MAX(0,1-ABS(LOG10(N(Database!$I126)/Screener!$D$9))/W_SIZEHW))</f>
        <v/>
      </c>
      <c r="E126">
        <f>IF(OR(Database!$AU126="",Screener!$D$10=""),0,IF(Database!$AU126=Screener!$D$10,1,0))</f>
        <v/>
      </c>
      <c r="F126">
        <f>IF(OR(Database!$AZ126="",Screener!$D$11=""),0,IF(Database!$AZ126=Screener!$D$11,1,0))</f>
        <v/>
      </c>
      <c r="G126">
        <f>IF(OR(Database!$H126="",N(Screener!$D$12)&lt;=0),0,MAX(0,1-(N(Screener!$D$12)-Database!$H126)/W_RECD))</f>
        <v/>
      </c>
      <c r="H126">
        <f>IF($U$1="",0,N(ISNUMBER(SEARCH($U$1,Database!$X126&amp;""))))+IF($V$1="",0,N(ISNUMBER(SEARCH($V$1,Database!$X126&amp;""))))+IF($W$1="",0,N(ISNUMBER(SEARCH($W$1,Database!$X126&amp;""))))+IF($X$1="",0,N(ISNUMBER(SEARCH($X$1,Database!$X126&amp;""))))+IF($Y$1="",0,N(ISNUMBER(SEARCH($Y$1,Database!$X126&amp;""))))+IF(Screener!$B$17="",0,N(ISNUMBER(SEARCH(LOWER(Screener!$B$17),Database!$X126&amp;""))))</f>
        <v/>
      </c>
      <c r="I126">
        <f>IF(OR(N(Database!$AV126)&lt;=0,N(Screener!$D$13)&lt;=0),0,MAX(0,1-ABS(LOG10(N(Database!$AV126)/Screener!$D$13))/W_PEHW))</f>
        <v/>
      </c>
      <c r="J126">
        <f>IF(OR(N(Database!$S126)&lt;=0,N(Screener!$D$14)&lt;=0),0,MAX(0,1-ABS(LOG10(Database!$S126/Screener!$D$14))/0.6))</f>
        <v/>
      </c>
      <c r="K126">
        <f>IF(Database!$B126=Screener!$B$5,-999999,IF(ISNUMBER(SEARCH(","&amp;Database!$A126&amp;",",","&amp;SUBSTITUTE(Screener!$B$19," ","")&amp;",")),2000000,IF(IF(OR(Screener!$B$18="All",AND(Screener!$B$18="With A-share",(Database!$AZ126="Y")),AND(Screener!$B$18="Without A-share",NOT((Database!$AZ126="Y")))),1,0)=0,-999999,IF(Screener!$B$16="cornerstone overlap first",H126*100000,IF(Screener!$B$16="demand-similar first",J126*100000,0))+W_SUB*B126+W_SEC*C126*(1-B126)+W_SIZE*D126+W_PROF*E126+W_AH*F126+W_REC*G126+W_CS*H126+W_PE*I126)))+ROW()/1000000</f>
        <v/>
      </c>
      <c r="AA126">
        <f>Database!B115</f>
        <v/>
      </c>
      <c r="AB126">
        <f>Database!D115</f>
        <v/>
      </c>
      <c r="AC126">
        <f>Database!E115</f>
        <v/>
      </c>
      <c r="AD126">
        <f>Database!I115</f>
        <v/>
      </c>
      <c r="AE126">
        <f>Database!AU115</f>
        <v/>
      </c>
      <c r="AF126">
        <f>Database!AZ115</f>
        <v/>
      </c>
      <c r="AG126">
        <f>Database!H115</f>
        <v/>
      </c>
      <c r="AH126">
        <f>Database!AV115</f>
        <v/>
      </c>
    </row>
    <row r="127">
      <c r="A127">
        <f>Database!B127</f>
        <v/>
      </c>
      <c r="B127">
        <f>IF(AND(Screener!$D$8&lt;&gt;"",Database!$E127=Screener!$D$8),1,0)</f>
        <v/>
      </c>
      <c r="C127">
        <f>IF(AND(Screener!$D$7&lt;&gt;"",Database!$D127=Screener!$D$7),1,0)</f>
        <v/>
      </c>
      <c r="D127">
        <f>IF(OR(N(Database!$I127)&lt;=0,N(Screener!$D$9)&lt;=0),0,MAX(0,1-ABS(LOG10(N(Database!$I127)/Screener!$D$9))/W_SIZEHW))</f>
        <v/>
      </c>
      <c r="E127">
        <f>IF(OR(Database!$AU127="",Screener!$D$10=""),0,IF(Database!$AU127=Screener!$D$10,1,0))</f>
        <v/>
      </c>
      <c r="F127">
        <f>IF(OR(Database!$AZ127="",Screener!$D$11=""),0,IF(Database!$AZ127=Screener!$D$11,1,0))</f>
        <v/>
      </c>
      <c r="G127">
        <f>IF(OR(Database!$H127="",N(Screener!$D$12)&lt;=0),0,MAX(0,1-(N(Screener!$D$12)-Database!$H127)/W_RECD))</f>
        <v/>
      </c>
      <c r="H127">
        <f>IF($U$1="",0,N(ISNUMBER(SEARCH($U$1,Database!$X127&amp;""))))+IF($V$1="",0,N(ISNUMBER(SEARCH($V$1,Database!$X127&amp;""))))+IF($W$1="",0,N(ISNUMBER(SEARCH($W$1,Database!$X127&amp;""))))+IF($X$1="",0,N(ISNUMBER(SEARCH($X$1,Database!$X127&amp;""))))+IF($Y$1="",0,N(ISNUMBER(SEARCH($Y$1,Database!$X127&amp;""))))+IF(Screener!$B$17="",0,N(ISNUMBER(SEARCH(LOWER(Screener!$B$17),Database!$X127&amp;""))))</f>
        <v/>
      </c>
      <c r="I127">
        <f>IF(OR(N(Database!$AV127)&lt;=0,N(Screener!$D$13)&lt;=0),0,MAX(0,1-ABS(LOG10(N(Database!$AV127)/Screener!$D$13))/W_PEHW))</f>
        <v/>
      </c>
      <c r="J127">
        <f>IF(OR(N(Database!$S127)&lt;=0,N(Screener!$D$14)&lt;=0),0,MAX(0,1-ABS(LOG10(Database!$S127/Screener!$D$14))/0.6))</f>
        <v/>
      </c>
      <c r="K127">
        <f>IF(Database!$B127=Screener!$B$5,-999999,IF(ISNUMBER(SEARCH(","&amp;Database!$A127&amp;",",","&amp;SUBSTITUTE(Screener!$B$19," ","")&amp;",")),2000000,IF(IF(OR(Screener!$B$18="All",AND(Screener!$B$18="With A-share",(Database!$AZ127="Y")),AND(Screener!$B$18="Without A-share",NOT((Database!$AZ127="Y")))),1,0)=0,-999999,IF(Screener!$B$16="cornerstone overlap first",H127*100000,IF(Screener!$B$16="demand-similar first",J127*100000,0))+W_SUB*B127+W_SEC*C127*(1-B127)+W_SIZE*D127+W_PROF*E127+W_AH*F127+W_REC*G127+W_CS*H127+W_PE*I127)))+ROW()/1000000</f>
        <v/>
      </c>
      <c r="AA127">
        <f>Database!B116</f>
        <v/>
      </c>
      <c r="AB127">
        <f>Database!D116</f>
        <v/>
      </c>
      <c r="AC127">
        <f>Database!E116</f>
        <v/>
      </c>
      <c r="AD127">
        <f>Database!I116</f>
        <v/>
      </c>
      <c r="AE127">
        <f>Database!AU116</f>
        <v/>
      </c>
      <c r="AF127">
        <f>Database!AZ116</f>
        <v/>
      </c>
      <c r="AG127">
        <f>Database!H116</f>
        <v/>
      </c>
      <c r="AH127">
        <f>Database!AV116</f>
        <v/>
      </c>
    </row>
    <row r="128">
      <c r="A128">
        <f>Database!B128</f>
        <v/>
      </c>
      <c r="B128">
        <f>IF(AND(Screener!$D$8&lt;&gt;"",Database!$E128=Screener!$D$8),1,0)</f>
        <v/>
      </c>
      <c r="C128">
        <f>IF(AND(Screener!$D$7&lt;&gt;"",Database!$D128=Screener!$D$7),1,0)</f>
        <v/>
      </c>
      <c r="D128">
        <f>IF(OR(N(Database!$I128)&lt;=0,N(Screener!$D$9)&lt;=0),0,MAX(0,1-ABS(LOG10(N(Database!$I128)/Screener!$D$9))/W_SIZEHW))</f>
        <v/>
      </c>
      <c r="E128">
        <f>IF(OR(Database!$AU128="",Screener!$D$10=""),0,IF(Database!$AU128=Screener!$D$10,1,0))</f>
        <v/>
      </c>
      <c r="F128">
        <f>IF(OR(Database!$AZ128="",Screener!$D$11=""),0,IF(Database!$AZ128=Screener!$D$11,1,0))</f>
        <v/>
      </c>
      <c r="G128">
        <f>IF(OR(Database!$H128="",N(Screener!$D$12)&lt;=0),0,MAX(0,1-(N(Screener!$D$12)-Database!$H128)/W_RECD))</f>
        <v/>
      </c>
      <c r="H128">
        <f>IF($U$1="",0,N(ISNUMBER(SEARCH($U$1,Database!$X128&amp;""))))+IF($V$1="",0,N(ISNUMBER(SEARCH($V$1,Database!$X128&amp;""))))+IF($W$1="",0,N(ISNUMBER(SEARCH($W$1,Database!$X128&amp;""))))+IF($X$1="",0,N(ISNUMBER(SEARCH($X$1,Database!$X128&amp;""))))+IF($Y$1="",0,N(ISNUMBER(SEARCH($Y$1,Database!$X128&amp;""))))+IF(Screener!$B$17="",0,N(ISNUMBER(SEARCH(LOWER(Screener!$B$17),Database!$X128&amp;""))))</f>
        <v/>
      </c>
      <c r="I128">
        <f>IF(OR(N(Database!$AV128)&lt;=0,N(Screener!$D$13)&lt;=0),0,MAX(0,1-ABS(LOG10(N(Database!$AV128)/Screener!$D$13))/W_PEHW))</f>
        <v/>
      </c>
      <c r="J128">
        <f>IF(OR(N(Database!$S128)&lt;=0,N(Screener!$D$14)&lt;=0),0,MAX(0,1-ABS(LOG10(Database!$S128/Screener!$D$14))/0.6))</f>
        <v/>
      </c>
      <c r="K128">
        <f>IF(Database!$B128=Screener!$B$5,-999999,IF(ISNUMBER(SEARCH(","&amp;Database!$A128&amp;",",","&amp;SUBSTITUTE(Screener!$B$19," ","")&amp;",")),2000000,IF(IF(OR(Screener!$B$18="All",AND(Screener!$B$18="With A-share",(Database!$AZ128="Y")),AND(Screener!$B$18="Without A-share",NOT((Database!$AZ128="Y")))),1,0)=0,-999999,IF(Screener!$B$16="cornerstone overlap first",H128*100000,IF(Screener!$B$16="demand-similar first",J128*100000,0))+W_SUB*B128+W_SEC*C128*(1-B128)+W_SIZE*D128+W_PROF*E128+W_AH*F128+W_REC*G128+W_CS*H128+W_PE*I128)))+ROW()/1000000</f>
        <v/>
      </c>
      <c r="AA128">
        <f>Database!B117</f>
        <v/>
      </c>
      <c r="AB128">
        <f>Database!D117</f>
        <v/>
      </c>
      <c r="AC128">
        <f>Database!E117</f>
        <v/>
      </c>
      <c r="AD128">
        <f>Database!I117</f>
        <v/>
      </c>
      <c r="AE128">
        <f>Database!AU117</f>
        <v/>
      </c>
      <c r="AF128">
        <f>Database!AZ117</f>
        <v/>
      </c>
      <c r="AG128">
        <f>Database!H117</f>
        <v/>
      </c>
      <c r="AH128">
        <f>Database!AV117</f>
        <v/>
      </c>
    </row>
    <row r="129">
      <c r="A129">
        <f>Database!B129</f>
        <v/>
      </c>
      <c r="B129">
        <f>IF(AND(Screener!$D$8&lt;&gt;"",Database!$E129=Screener!$D$8),1,0)</f>
        <v/>
      </c>
      <c r="C129">
        <f>IF(AND(Screener!$D$7&lt;&gt;"",Database!$D129=Screener!$D$7),1,0)</f>
        <v/>
      </c>
      <c r="D129">
        <f>IF(OR(N(Database!$I129)&lt;=0,N(Screener!$D$9)&lt;=0),0,MAX(0,1-ABS(LOG10(N(Database!$I129)/Screener!$D$9))/W_SIZEHW))</f>
        <v/>
      </c>
      <c r="E129">
        <f>IF(OR(Database!$AU129="",Screener!$D$10=""),0,IF(Database!$AU129=Screener!$D$10,1,0))</f>
        <v/>
      </c>
      <c r="F129">
        <f>IF(OR(Database!$AZ129="",Screener!$D$11=""),0,IF(Database!$AZ129=Screener!$D$11,1,0))</f>
        <v/>
      </c>
      <c r="G129">
        <f>IF(OR(Database!$H129="",N(Screener!$D$12)&lt;=0),0,MAX(0,1-(N(Screener!$D$12)-Database!$H129)/W_RECD))</f>
        <v/>
      </c>
      <c r="H129">
        <f>IF($U$1="",0,N(ISNUMBER(SEARCH($U$1,Database!$X129&amp;""))))+IF($V$1="",0,N(ISNUMBER(SEARCH($V$1,Database!$X129&amp;""))))+IF($W$1="",0,N(ISNUMBER(SEARCH($W$1,Database!$X129&amp;""))))+IF($X$1="",0,N(ISNUMBER(SEARCH($X$1,Database!$X129&amp;""))))+IF($Y$1="",0,N(ISNUMBER(SEARCH($Y$1,Database!$X129&amp;""))))+IF(Screener!$B$17="",0,N(ISNUMBER(SEARCH(LOWER(Screener!$B$17),Database!$X129&amp;""))))</f>
        <v/>
      </c>
      <c r="I129">
        <f>IF(OR(N(Database!$AV129)&lt;=0,N(Screener!$D$13)&lt;=0),0,MAX(0,1-ABS(LOG10(N(Database!$AV129)/Screener!$D$13))/W_PEHW))</f>
        <v/>
      </c>
      <c r="J129">
        <f>IF(OR(N(Database!$S129)&lt;=0,N(Screener!$D$14)&lt;=0),0,MAX(0,1-ABS(LOG10(Database!$S129/Screener!$D$14))/0.6))</f>
        <v/>
      </c>
      <c r="K129">
        <f>IF(Database!$B129=Screener!$B$5,-999999,IF(ISNUMBER(SEARCH(","&amp;Database!$A129&amp;",",","&amp;SUBSTITUTE(Screener!$B$19," ","")&amp;",")),2000000,IF(IF(OR(Screener!$B$18="All",AND(Screener!$B$18="With A-share",(Database!$AZ129="Y")),AND(Screener!$B$18="Without A-share",NOT((Database!$AZ129="Y")))),1,0)=0,-999999,IF(Screener!$B$16="cornerstone overlap first",H129*100000,IF(Screener!$B$16="demand-similar first",J129*100000,0))+W_SUB*B129+W_SEC*C129*(1-B129)+W_SIZE*D129+W_PROF*E129+W_AH*F129+W_REC*G129+W_CS*H129+W_PE*I129)))+ROW()/1000000</f>
        <v/>
      </c>
      <c r="AA129">
        <f>Database!B118</f>
        <v/>
      </c>
      <c r="AB129">
        <f>Database!D118</f>
        <v/>
      </c>
      <c r="AC129">
        <f>Database!E118</f>
        <v/>
      </c>
      <c r="AD129">
        <f>Database!I118</f>
        <v/>
      </c>
      <c r="AE129">
        <f>Database!AU118</f>
        <v/>
      </c>
      <c r="AF129">
        <f>Database!AZ118</f>
        <v/>
      </c>
      <c r="AG129">
        <f>Database!H118</f>
        <v/>
      </c>
      <c r="AH129">
        <f>Database!AV118</f>
        <v/>
      </c>
    </row>
    <row r="130">
      <c r="A130">
        <f>Database!B130</f>
        <v/>
      </c>
      <c r="B130">
        <f>IF(AND(Screener!$D$8&lt;&gt;"",Database!$E130=Screener!$D$8),1,0)</f>
        <v/>
      </c>
      <c r="C130">
        <f>IF(AND(Screener!$D$7&lt;&gt;"",Database!$D130=Screener!$D$7),1,0)</f>
        <v/>
      </c>
      <c r="D130">
        <f>IF(OR(N(Database!$I130)&lt;=0,N(Screener!$D$9)&lt;=0),0,MAX(0,1-ABS(LOG10(N(Database!$I130)/Screener!$D$9))/W_SIZEHW))</f>
        <v/>
      </c>
      <c r="E130">
        <f>IF(OR(Database!$AU130="",Screener!$D$10=""),0,IF(Database!$AU130=Screener!$D$10,1,0))</f>
        <v/>
      </c>
      <c r="F130">
        <f>IF(OR(Database!$AZ130="",Screener!$D$11=""),0,IF(Database!$AZ130=Screener!$D$11,1,0))</f>
        <v/>
      </c>
      <c r="G130">
        <f>IF(OR(Database!$H130="",N(Screener!$D$12)&lt;=0),0,MAX(0,1-(N(Screener!$D$12)-Database!$H130)/W_RECD))</f>
        <v/>
      </c>
      <c r="H130">
        <f>IF($U$1="",0,N(ISNUMBER(SEARCH($U$1,Database!$X130&amp;""))))+IF($V$1="",0,N(ISNUMBER(SEARCH($V$1,Database!$X130&amp;""))))+IF($W$1="",0,N(ISNUMBER(SEARCH($W$1,Database!$X130&amp;""))))+IF($X$1="",0,N(ISNUMBER(SEARCH($X$1,Database!$X130&amp;""))))+IF($Y$1="",0,N(ISNUMBER(SEARCH($Y$1,Database!$X130&amp;""))))+IF(Screener!$B$17="",0,N(ISNUMBER(SEARCH(LOWER(Screener!$B$17),Database!$X130&amp;""))))</f>
        <v/>
      </c>
      <c r="I130">
        <f>IF(OR(N(Database!$AV130)&lt;=0,N(Screener!$D$13)&lt;=0),0,MAX(0,1-ABS(LOG10(N(Database!$AV130)/Screener!$D$13))/W_PEHW))</f>
        <v/>
      </c>
      <c r="J130">
        <f>IF(OR(N(Database!$S130)&lt;=0,N(Screener!$D$14)&lt;=0),0,MAX(0,1-ABS(LOG10(Database!$S130/Screener!$D$14))/0.6))</f>
        <v/>
      </c>
      <c r="K130">
        <f>IF(Database!$B130=Screener!$B$5,-999999,IF(ISNUMBER(SEARCH(","&amp;Database!$A130&amp;",",","&amp;SUBSTITUTE(Screener!$B$19," ","")&amp;",")),2000000,IF(IF(OR(Screener!$B$18="All",AND(Screener!$B$18="With A-share",(Database!$AZ130="Y")),AND(Screener!$B$18="Without A-share",NOT((Database!$AZ130="Y")))),1,0)=0,-999999,IF(Screener!$B$16="cornerstone overlap first",H130*100000,IF(Screener!$B$16="demand-similar first",J130*100000,0))+W_SUB*B130+W_SEC*C130*(1-B130)+W_SIZE*D130+W_PROF*E130+W_AH*F130+W_REC*G130+W_CS*H130+W_PE*I130)))+ROW()/1000000</f>
        <v/>
      </c>
      <c r="AA130">
        <f>Database!B119</f>
        <v/>
      </c>
      <c r="AB130">
        <f>Database!D119</f>
        <v/>
      </c>
      <c r="AC130">
        <f>Database!E119</f>
        <v/>
      </c>
      <c r="AD130">
        <f>Database!I119</f>
        <v/>
      </c>
      <c r="AE130">
        <f>Database!AU119</f>
        <v/>
      </c>
      <c r="AF130">
        <f>Database!AZ119</f>
        <v/>
      </c>
      <c r="AG130">
        <f>Database!H119</f>
        <v/>
      </c>
      <c r="AH130">
        <f>Database!AV119</f>
        <v/>
      </c>
    </row>
    <row r="131">
      <c r="A131">
        <f>Database!B131</f>
        <v/>
      </c>
      <c r="B131">
        <f>IF(AND(Screener!$D$8&lt;&gt;"",Database!$E131=Screener!$D$8),1,0)</f>
        <v/>
      </c>
      <c r="C131">
        <f>IF(AND(Screener!$D$7&lt;&gt;"",Database!$D131=Screener!$D$7),1,0)</f>
        <v/>
      </c>
      <c r="D131">
        <f>IF(OR(N(Database!$I131)&lt;=0,N(Screener!$D$9)&lt;=0),0,MAX(0,1-ABS(LOG10(N(Database!$I131)/Screener!$D$9))/W_SIZEHW))</f>
        <v/>
      </c>
      <c r="E131">
        <f>IF(OR(Database!$AU131="",Screener!$D$10=""),0,IF(Database!$AU131=Screener!$D$10,1,0))</f>
        <v/>
      </c>
      <c r="F131">
        <f>IF(OR(Database!$AZ131="",Screener!$D$11=""),0,IF(Database!$AZ131=Screener!$D$11,1,0))</f>
        <v/>
      </c>
      <c r="G131">
        <f>IF(OR(Database!$H131="",N(Screener!$D$12)&lt;=0),0,MAX(0,1-(N(Screener!$D$12)-Database!$H131)/W_RECD))</f>
        <v/>
      </c>
      <c r="H131">
        <f>IF($U$1="",0,N(ISNUMBER(SEARCH($U$1,Database!$X131&amp;""))))+IF($V$1="",0,N(ISNUMBER(SEARCH($V$1,Database!$X131&amp;""))))+IF($W$1="",0,N(ISNUMBER(SEARCH($W$1,Database!$X131&amp;""))))+IF($X$1="",0,N(ISNUMBER(SEARCH($X$1,Database!$X131&amp;""))))+IF($Y$1="",0,N(ISNUMBER(SEARCH($Y$1,Database!$X131&amp;""))))+IF(Screener!$B$17="",0,N(ISNUMBER(SEARCH(LOWER(Screener!$B$17),Database!$X131&amp;""))))</f>
        <v/>
      </c>
      <c r="I131">
        <f>IF(OR(N(Database!$AV131)&lt;=0,N(Screener!$D$13)&lt;=0),0,MAX(0,1-ABS(LOG10(N(Database!$AV131)/Screener!$D$13))/W_PEHW))</f>
        <v/>
      </c>
      <c r="J131">
        <f>IF(OR(N(Database!$S131)&lt;=0,N(Screener!$D$14)&lt;=0),0,MAX(0,1-ABS(LOG10(Database!$S131/Screener!$D$14))/0.6))</f>
        <v/>
      </c>
      <c r="K131">
        <f>IF(Database!$B131=Screener!$B$5,-999999,IF(ISNUMBER(SEARCH(","&amp;Database!$A131&amp;",",","&amp;SUBSTITUTE(Screener!$B$19," ","")&amp;",")),2000000,IF(IF(OR(Screener!$B$18="All",AND(Screener!$B$18="With A-share",(Database!$AZ131="Y")),AND(Screener!$B$18="Without A-share",NOT((Database!$AZ131="Y")))),1,0)=0,-999999,IF(Screener!$B$16="cornerstone overlap first",H131*100000,IF(Screener!$B$16="demand-similar first",J131*100000,0))+W_SUB*B131+W_SEC*C131*(1-B131)+W_SIZE*D131+W_PROF*E131+W_AH*F131+W_REC*G131+W_CS*H131+W_PE*I131)))+ROW()/1000000</f>
        <v/>
      </c>
      <c r="AA131">
        <f>Database!B120</f>
        <v/>
      </c>
      <c r="AB131">
        <f>Database!D120</f>
        <v/>
      </c>
      <c r="AC131">
        <f>Database!E120</f>
        <v/>
      </c>
      <c r="AD131">
        <f>Database!I120</f>
        <v/>
      </c>
      <c r="AE131">
        <f>Database!AU120</f>
        <v/>
      </c>
      <c r="AF131">
        <f>Database!AZ120</f>
        <v/>
      </c>
      <c r="AG131">
        <f>Database!H120</f>
        <v/>
      </c>
      <c r="AH131">
        <f>Database!AV120</f>
        <v/>
      </c>
    </row>
    <row r="132">
      <c r="A132">
        <f>Database!B132</f>
        <v/>
      </c>
      <c r="B132">
        <f>IF(AND(Screener!$D$8&lt;&gt;"",Database!$E132=Screener!$D$8),1,0)</f>
        <v/>
      </c>
      <c r="C132">
        <f>IF(AND(Screener!$D$7&lt;&gt;"",Database!$D132=Screener!$D$7),1,0)</f>
        <v/>
      </c>
      <c r="D132">
        <f>IF(OR(N(Database!$I132)&lt;=0,N(Screener!$D$9)&lt;=0),0,MAX(0,1-ABS(LOG10(N(Database!$I132)/Screener!$D$9))/W_SIZEHW))</f>
        <v/>
      </c>
      <c r="E132">
        <f>IF(OR(Database!$AU132="",Screener!$D$10=""),0,IF(Database!$AU132=Screener!$D$10,1,0))</f>
        <v/>
      </c>
      <c r="F132">
        <f>IF(OR(Database!$AZ132="",Screener!$D$11=""),0,IF(Database!$AZ132=Screener!$D$11,1,0))</f>
        <v/>
      </c>
      <c r="G132">
        <f>IF(OR(Database!$H132="",N(Screener!$D$12)&lt;=0),0,MAX(0,1-(N(Screener!$D$12)-Database!$H132)/W_RECD))</f>
        <v/>
      </c>
      <c r="H132">
        <f>IF($U$1="",0,N(ISNUMBER(SEARCH($U$1,Database!$X132&amp;""))))+IF($V$1="",0,N(ISNUMBER(SEARCH($V$1,Database!$X132&amp;""))))+IF($W$1="",0,N(ISNUMBER(SEARCH($W$1,Database!$X132&amp;""))))+IF($X$1="",0,N(ISNUMBER(SEARCH($X$1,Database!$X132&amp;""))))+IF($Y$1="",0,N(ISNUMBER(SEARCH($Y$1,Database!$X132&amp;""))))+IF(Screener!$B$17="",0,N(ISNUMBER(SEARCH(LOWER(Screener!$B$17),Database!$X132&amp;""))))</f>
        <v/>
      </c>
      <c r="I132">
        <f>IF(OR(N(Database!$AV132)&lt;=0,N(Screener!$D$13)&lt;=0),0,MAX(0,1-ABS(LOG10(N(Database!$AV132)/Screener!$D$13))/W_PEHW))</f>
        <v/>
      </c>
      <c r="J132">
        <f>IF(OR(N(Database!$S132)&lt;=0,N(Screener!$D$14)&lt;=0),0,MAX(0,1-ABS(LOG10(Database!$S132/Screener!$D$14))/0.6))</f>
        <v/>
      </c>
      <c r="K132">
        <f>IF(Database!$B132=Screener!$B$5,-999999,IF(ISNUMBER(SEARCH(","&amp;Database!$A132&amp;",",","&amp;SUBSTITUTE(Screener!$B$19," ","")&amp;",")),2000000,IF(IF(OR(Screener!$B$18="All",AND(Screener!$B$18="With A-share",(Database!$AZ132="Y")),AND(Screener!$B$18="Without A-share",NOT((Database!$AZ132="Y")))),1,0)=0,-999999,IF(Screener!$B$16="cornerstone overlap first",H132*100000,IF(Screener!$B$16="demand-similar first",J132*100000,0))+W_SUB*B132+W_SEC*C132*(1-B132)+W_SIZE*D132+W_PROF*E132+W_AH*F132+W_REC*G132+W_CS*H132+W_PE*I132)))+ROW()/1000000</f>
        <v/>
      </c>
      <c r="AA132">
        <f>Database!B121</f>
        <v/>
      </c>
      <c r="AB132">
        <f>Database!D121</f>
        <v/>
      </c>
      <c r="AC132">
        <f>Database!E121</f>
        <v/>
      </c>
      <c r="AD132">
        <f>Database!I121</f>
        <v/>
      </c>
      <c r="AE132">
        <f>Database!AU121</f>
        <v/>
      </c>
      <c r="AF132">
        <f>Database!AZ121</f>
        <v/>
      </c>
      <c r="AG132">
        <f>Database!H121</f>
        <v/>
      </c>
      <c r="AH132">
        <f>Database!AV121</f>
        <v/>
      </c>
    </row>
    <row r="133">
      <c r="A133">
        <f>Database!B133</f>
        <v/>
      </c>
      <c r="B133">
        <f>IF(AND(Screener!$D$8&lt;&gt;"",Database!$E133=Screener!$D$8),1,0)</f>
        <v/>
      </c>
      <c r="C133">
        <f>IF(AND(Screener!$D$7&lt;&gt;"",Database!$D133=Screener!$D$7),1,0)</f>
        <v/>
      </c>
      <c r="D133">
        <f>IF(OR(N(Database!$I133)&lt;=0,N(Screener!$D$9)&lt;=0),0,MAX(0,1-ABS(LOG10(N(Database!$I133)/Screener!$D$9))/W_SIZEHW))</f>
        <v/>
      </c>
      <c r="E133">
        <f>IF(OR(Database!$AU133="",Screener!$D$10=""),0,IF(Database!$AU133=Screener!$D$10,1,0))</f>
        <v/>
      </c>
      <c r="F133">
        <f>IF(OR(Database!$AZ133="",Screener!$D$11=""),0,IF(Database!$AZ133=Screener!$D$11,1,0))</f>
        <v/>
      </c>
      <c r="G133">
        <f>IF(OR(Database!$H133="",N(Screener!$D$12)&lt;=0),0,MAX(0,1-(N(Screener!$D$12)-Database!$H133)/W_RECD))</f>
        <v/>
      </c>
      <c r="H133">
        <f>IF($U$1="",0,N(ISNUMBER(SEARCH($U$1,Database!$X133&amp;""))))+IF($V$1="",0,N(ISNUMBER(SEARCH($V$1,Database!$X133&amp;""))))+IF($W$1="",0,N(ISNUMBER(SEARCH($W$1,Database!$X133&amp;""))))+IF($X$1="",0,N(ISNUMBER(SEARCH($X$1,Database!$X133&amp;""))))+IF($Y$1="",0,N(ISNUMBER(SEARCH($Y$1,Database!$X133&amp;""))))+IF(Screener!$B$17="",0,N(ISNUMBER(SEARCH(LOWER(Screener!$B$17),Database!$X133&amp;""))))</f>
        <v/>
      </c>
      <c r="I133">
        <f>IF(OR(N(Database!$AV133)&lt;=0,N(Screener!$D$13)&lt;=0),0,MAX(0,1-ABS(LOG10(N(Database!$AV133)/Screener!$D$13))/W_PEHW))</f>
        <v/>
      </c>
      <c r="J133">
        <f>IF(OR(N(Database!$S133)&lt;=0,N(Screener!$D$14)&lt;=0),0,MAX(0,1-ABS(LOG10(Database!$S133/Screener!$D$14))/0.6))</f>
        <v/>
      </c>
      <c r="K133">
        <f>IF(Database!$B133=Screener!$B$5,-999999,IF(ISNUMBER(SEARCH(","&amp;Database!$A133&amp;",",","&amp;SUBSTITUTE(Screener!$B$19," ","")&amp;",")),2000000,IF(IF(OR(Screener!$B$18="All",AND(Screener!$B$18="With A-share",(Database!$AZ133="Y")),AND(Screener!$B$18="Without A-share",NOT((Database!$AZ133="Y")))),1,0)=0,-999999,IF(Screener!$B$16="cornerstone overlap first",H133*100000,IF(Screener!$B$16="demand-similar first",J133*100000,0))+W_SUB*B133+W_SEC*C133*(1-B133)+W_SIZE*D133+W_PROF*E133+W_AH*F133+W_REC*G133+W_CS*H133+W_PE*I133)))+ROW()/1000000</f>
        <v/>
      </c>
      <c r="AA133">
        <f>Database!B122</f>
        <v/>
      </c>
      <c r="AB133">
        <f>Database!D122</f>
        <v/>
      </c>
      <c r="AC133">
        <f>Database!E122</f>
        <v/>
      </c>
      <c r="AD133">
        <f>Database!I122</f>
        <v/>
      </c>
      <c r="AE133">
        <f>Database!AU122</f>
        <v/>
      </c>
      <c r="AF133">
        <f>Database!AZ122</f>
        <v/>
      </c>
      <c r="AG133">
        <f>Database!H122</f>
        <v/>
      </c>
      <c r="AH133">
        <f>Database!AV122</f>
        <v/>
      </c>
    </row>
    <row r="134">
      <c r="A134">
        <f>Database!B134</f>
        <v/>
      </c>
      <c r="B134">
        <f>IF(AND(Screener!$D$8&lt;&gt;"",Database!$E134=Screener!$D$8),1,0)</f>
        <v/>
      </c>
      <c r="C134">
        <f>IF(AND(Screener!$D$7&lt;&gt;"",Database!$D134=Screener!$D$7),1,0)</f>
        <v/>
      </c>
      <c r="D134">
        <f>IF(OR(N(Database!$I134)&lt;=0,N(Screener!$D$9)&lt;=0),0,MAX(0,1-ABS(LOG10(N(Database!$I134)/Screener!$D$9))/W_SIZEHW))</f>
        <v/>
      </c>
      <c r="E134">
        <f>IF(OR(Database!$AU134="",Screener!$D$10=""),0,IF(Database!$AU134=Screener!$D$10,1,0))</f>
        <v/>
      </c>
      <c r="F134">
        <f>IF(OR(Database!$AZ134="",Screener!$D$11=""),0,IF(Database!$AZ134=Screener!$D$11,1,0))</f>
        <v/>
      </c>
      <c r="G134">
        <f>IF(OR(Database!$H134="",N(Screener!$D$12)&lt;=0),0,MAX(0,1-(N(Screener!$D$12)-Database!$H134)/W_RECD))</f>
        <v/>
      </c>
      <c r="H134">
        <f>IF($U$1="",0,N(ISNUMBER(SEARCH($U$1,Database!$X134&amp;""))))+IF($V$1="",0,N(ISNUMBER(SEARCH($V$1,Database!$X134&amp;""))))+IF($W$1="",0,N(ISNUMBER(SEARCH($W$1,Database!$X134&amp;""))))+IF($X$1="",0,N(ISNUMBER(SEARCH($X$1,Database!$X134&amp;""))))+IF($Y$1="",0,N(ISNUMBER(SEARCH($Y$1,Database!$X134&amp;""))))+IF(Screener!$B$17="",0,N(ISNUMBER(SEARCH(LOWER(Screener!$B$17),Database!$X134&amp;""))))</f>
        <v/>
      </c>
      <c r="I134">
        <f>IF(OR(N(Database!$AV134)&lt;=0,N(Screener!$D$13)&lt;=0),0,MAX(0,1-ABS(LOG10(N(Database!$AV134)/Screener!$D$13))/W_PEHW))</f>
        <v/>
      </c>
      <c r="J134">
        <f>IF(OR(N(Database!$S134)&lt;=0,N(Screener!$D$14)&lt;=0),0,MAX(0,1-ABS(LOG10(Database!$S134/Screener!$D$14))/0.6))</f>
        <v/>
      </c>
      <c r="K134">
        <f>IF(Database!$B134=Screener!$B$5,-999999,IF(ISNUMBER(SEARCH(","&amp;Database!$A134&amp;",",","&amp;SUBSTITUTE(Screener!$B$19," ","")&amp;",")),2000000,IF(IF(OR(Screener!$B$18="All",AND(Screener!$B$18="With A-share",(Database!$AZ134="Y")),AND(Screener!$B$18="Without A-share",NOT((Database!$AZ134="Y")))),1,0)=0,-999999,IF(Screener!$B$16="cornerstone overlap first",H134*100000,IF(Screener!$B$16="demand-similar first",J134*100000,0))+W_SUB*B134+W_SEC*C134*(1-B134)+W_SIZE*D134+W_PROF*E134+W_AH*F134+W_REC*G134+W_CS*H134+W_PE*I134)))+ROW()/1000000</f>
        <v/>
      </c>
      <c r="AA134">
        <f>Database!B123</f>
        <v/>
      </c>
      <c r="AB134">
        <f>Database!D123</f>
        <v/>
      </c>
      <c r="AC134">
        <f>Database!E123</f>
        <v/>
      </c>
      <c r="AD134">
        <f>Database!I123</f>
        <v/>
      </c>
      <c r="AE134">
        <f>Database!AU123</f>
        <v/>
      </c>
      <c r="AF134">
        <f>Database!AZ123</f>
        <v/>
      </c>
      <c r="AG134">
        <f>Database!H123</f>
        <v/>
      </c>
      <c r="AH134">
        <f>Database!AV123</f>
        <v/>
      </c>
    </row>
    <row r="135">
      <c r="A135">
        <f>Database!B135</f>
        <v/>
      </c>
      <c r="B135">
        <f>IF(AND(Screener!$D$8&lt;&gt;"",Database!$E135=Screener!$D$8),1,0)</f>
        <v/>
      </c>
      <c r="C135">
        <f>IF(AND(Screener!$D$7&lt;&gt;"",Database!$D135=Screener!$D$7),1,0)</f>
        <v/>
      </c>
      <c r="D135">
        <f>IF(OR(N(Database!$I135)&lt;=0,N(Screener!$D$9)&lt;=0),0,MAX(0,1-ABS(LOG10(N(Database!$I135)/Screener!$D$9))/W_SIZEHW))</f>
        <v/>
      </c>
      <c r="E135">
        <f>IF(OR(Database!$AU135="",Screener!$D$10=""),0,IF(Database!$AU135=Screener!$D$10,1,0))</f>
        <v/>
      </c>
      <c r="F135">
        <f>IF(OR(Database!$AZ135="",Screener!$D$11=""),0,IF(Database!$AZ135=Screener!$D$11,1,0))</f>
        <v/>
      </c>
      <c r="G135">
        <f>IF(OR(Database!$H135="",N(Screener!$D$12)&lt;=0),0,MAX(0,1-(N(Screener!$D$12)-Database!$H135)/W_RECD))</f>
        <v/>
      </c>
      <c r="H135">
        <f>IF($U$1="",0,N(ISNUMBER(SEARCH($U$1,Database!$X135&amp;""))))+IF($V$1="",0,N(ISNUMBER(SEARCH($V$1,Database!$X135&amp;""))))+IF($W$1="",0,N(ISNUMBER(SEARCH($W$1,Database!$X135&amp;""))))+IF($X$1="",0,N(ISNUMBER(SEARCH($X$1,Database!$X135&amp;""))))+IF($Y$1="",0,N(ISNUMBER(SEARCH($Y$1,Database!$X135&amp;""))))+IF(Screener!$B$17="",0,N(ISNUMBER(SEARCH(LOWER(Screener!$B$17),Database!$X135&amp;""))))</f>
        <v/>
      </c>
      <c r="I135">
        <f>IF(OR(N(Database!$AV135)&lt;=0,N(Screener!$D$13)&lt;=0),0,MAX(0,1-ABS(LOG10(N(Database!$AV135)/Screener!$D$13))/W_PEHW))</f>
        <v/>
      </c>
      <c r="J135">
        <f>IF(OR(N(Database!$S135)&lt;=0,N(Screener!$D$14)&lt;=0),0,MAX(0,1-ABS(LOG10(Database!$S135/Screener!$D$14))/0.6))</f>
        <v/>
      </c>
      <c r="K135">
        <f>IF(Database!$B135=Screener!$B$5,-999999,IF(ISNUMBER(SEARCH(","&amp;Database!$A135&amp;",",","&amp;SUBSTITUTE(Screener!$B$19," ","")&amp;",")),2000000,IF(IF(OR(Screener!$B$18="All",AND(Screener!$B$18="With A-share",(Database!$AZ135="Y")),AND(Screener!$B$18="Without A-share",NOT((Database!$AZ135="Y")))),1,0)=0,-999999,IF(Screener!$B$16="cornerstone overlap first",H135*100000,IF(Screener!$B$16="demand-similar first",J135*100000,0))+W_SUB*B135+W_SEC*C135*(1-B135)+W_SIZE*D135+W_PROF*E135+W_AH*F135+W_REC*G135+W_CS*H135+W_PE*I135)))+ROW()/1000000</f>
        <v/>
      </c>
      <c r="AA135">
        <f>Database!B124</f>
        <v/>
      </c>
      <c r="AB135">
        <f>Database!D124</f>
        <v/>
      </c>
      <c r="AC135">
        <f>Database!E124</f>
        <v/>
      </c>
      <c r="AD135">
        <f>Database!I124</f>
        <v/>
      </c>
      <c r="AE135">
        <f>Database!AU124</f>
        <v/>
      </c>
      <c r="AF135">
        <f>Database!AZ124</f>
        <v/>
      </c>
      <c r="AG135">
        <f>Database!H124</f>
        <v/>
      </c>
      <c r="AH135">
        <f>Database!AV124</f>
        <v/>
      </c>
    </row>
    <row r="136">
      <c r="A136">
        <f>Database!B136</f>
        <v/>
      </c>
      <c r="B136">
        <f>IF(AND(Screener!$D$8&lt;&gt;"",Database!$E136=Screener!$D$8),1,0)</f>
        <v/>
      </c>
      <c r="C136">
        <f>IF(AND(Screener!$D$7&lt;&gt;"",Database!$D136=Screener!$D$7),1,0)</f>
        <v/>
      </c>
      <c r="D136">
        <f>IF(OR(N(Database!$I136)&lt;=0,N(Screener!$D$9)&lt;=0),0,MAX(0,1-ABS(LOG10(N(Database!$I136)/Screener!$D$9))/W_SIZEHW))</f>
        <v/>
      </c>
      <c r="E136">
        <f>IF(OR(Database!$AU136="",Screener!$D$10=""),0,IF(Database!$AU136=Screener!$D$10,1,0))</f>
        <v/>
      </c>
      <c r="F136">
        <f>IF(OR(Database!$AZ136="",Screener!$D$11=""),0,IF(Database!$AZ136=Screener!$D$11,1,0))</f>
        <v/>
      </c>
      <c r="G136">
        <f>IF(OR(Database!$H136="",N(Screener!$D$12)&lt;=0),0,MAX(0,1-(N(Screener!$D$12)-Database!$H136)/W_RECD))</f>
        <v/>
      </c>
      <c r="H136">
        <f>IF($U$1="",0,N(ISNUMBER(SEARCH($U$1,Database!$X136&amp;""))))+IF($V$1="",0,N(ISNUMBER(SEARCH($V$1,Database!$X136&amp;""))))+IF($W$1="",0,N(ISNUMBER(SEARCH($W$1,Database!$X136&amp;""))))+IF($X$1="",0,N(ISNUMBER(SEARCH($X$1,Database!$X136&amp;""))))+IF($Y$1="",0,N(ISNUMBER(SEARCH($Y$1,Database!$X136&amp;""))))+IF(Screener!$B$17="",0,N(ISNUMBER(SEARCH(LOWER(Screener!$B$17),Database!$X136&amp;""))))</f>
        <v/>
      </c>
      <c r="I136">
        <f>IF(OR(N(Database!$AV136)&lt;=0,N(Screener!$D$13)&lt;=0),0,MAX(0,1-ABS(LOG10(N(Database!$AV136)/Screener!$D$13))/W_PEHW))</f>
        <v/>
      </c>
      <c r="J136">
        <f>IF(OR(N(Database!$S136)&lt;=0,N(Screener!$D$14)&lt;=0),0,MAX(0,1-ABS(LOG10(Database!$S136/Screener!$D$14))/0.6))</f>
        <v/>
      </c>
      <c r="K136">
        <f>IF(Database!$B136=Screener!$B$5,-999999,IF(ISNUMBER(SEARCH(","&amp;Database!$A136&amp;",",","&amp;SUBSTITUTE(Screener!$B$19," ","")&amp;",")),2000000,IF(IF(OR(Screener!$B$18="All",AND(Screener!$B$18="With A-share",(Database!$AZ136="Y")),AND(Screener!$B$18="Without A-share",NOT((Database!$AZ136="Y")))),1,0)=0,-999999,IF(Screener!$B$16="cornerstone overlap first",H136*100000,IF(Screener!$B$16="demand-similar first",J136*100000,0))+W_SUB*B136+W_SEC*C136*(1-B136)+W_SIZE*D136+W_PROF*E136+W_AH*F136+W_REC*G136+W_CS*H136+W_PE*I136)))+ROW()/1000000</f>
        <v/>
      </c>
      <c r="AA136">
        <f>Database!B125</f>
        <v/>
      </c>
      <c r="AB136">
        <f>Database!D125</f>
        <v/>
      </c>
      <c r="AC136">
        <f>Database!E125</f>
        <v/>
      </c>
      <c r="AD136">
        <f>Database!I125</f>
        <v/>
      </c>
      <c r="AE136">
        <f>Database!AU125</f>
        <v/>
      </c>
      <c r="AF136">
        <f>Database!AZ125</f>
        <v/>
      </c>
      <c r="AG136">
        <f>Database!H125</f>
        <v/>
      </c>
      <c r="AH136">
        <f>Database!AV125</f>
        <v/>
      </c>
    </row>
    <row r="137">
      <c r="A137">
        <f>Database!B137</f>
        <v/>
      </c>
      <c r="B137">
        <f>IF(AND(Screener!$D$8&lt;&gt;"",Database!$E137=Screener!$D$8),1,0)</f>
        <v/>
      </c>
      <c r="C137">
        <f>IF(AND(Screener!$D$7&lt;&gt;"",Database!$D137=Screener!$D$7),1,0)</f>
        <v/>
      </c>
      <c r="D137">
        <f>IF(OR(N(Database!$I137)&lt;=0,N(Screener!$D$9)&lt;=0),0,MAX(0,1-ABS(LOG10(N(Database!$I137)/Screener!$D$9))/W_SIZEHW))</f>
        <v/>
      </c>
      <c r="E137">
        <f>IF(OR(Database!$AU137="",Screener!$D$10=""),0,IF(Database!$AU137=Screener!$D$10,1,0))</f>
        <v/>
      </c>
      <c r="F137">
        <f>IF(OR(Database!$AZ137="",Screener!$D$11=""),0,IF(Database!$AZ137=Screener!$D$11,1,0))</f>
        <v/>
      </c>
      <c r="G137">
        <f>IF(OR(Database!$H137="",N(Screener!$D$12)&lt;=0),0,MAX(0,1-(N(Screener!$D$12)-Database!$H137)/W_RECD))</f>
        <v/>
      </c>
      <c r="H137">
        <f>IF($U$1="",0,N(ISNUMBER(SEARCH($U$1,Database!$X137&amp;""))))+IF($V$1="",0,N(ISNUMBER(SEARCH($V$1,Database!$X137&amp;""))))+IF($W$1="",0,N(ISNUMBER(SEARCH($W$1,Database!$X137&amp;""))))+IF($X$1="",0,N(ISNUMBER(SEARCH($X$1,Database!$X137&amp;""))))+IF($Y$1="",0,N(ISNUMBER(SEARCH($Y$1,Database!$X137&amp;""))))+IF(Screener!$B$17="",0,N(ISNUMBER(SEARCH(LOWER(Screener!$B$17),Database!$X137&amp;""))))</f>
        <v/>
      </c>
      <c r="I137">
        <f>IF(OR(N(Database!$AV137)&lt;=0,N(Screener!$D$13)&lt;=0),0,MAX(0,1-ABS(LOG10(N(Database!$AV137)/Screener!$D$13))/W_PEHW))</f>
        <v/>
      </c>
      <c r="J137">
        <f>IF(OR(N(Database!$S137)&lt;=0,N(Screener!$D$14)&lt;=0),0,MAX(0,1-ABS(LOG10(Database!$S137/Screener!$D$14))/0.6))</f>
        <v/>
      </c>
      <c r="K137">
        <f>IF(Database!$B137=Screener!$B$5,-999999,IF(ISNUMBER(SEARCH(","&amp;Database!$A137&amp;",",","&amp;SUBSTITUTE(Screener!$B$19," ","")&amp;",")),2000000,IF(IF(OR(Screener!$B$18="All",AND(Screener!$B$18="With A-share",(Database!$AZ137="Y")),AND(Screener!$B$18="Without A-share",NOT((Database!$AZ137="Y")))),1,0)=0,-999999,IF(Screener!$B$16="cornerstone overlap first",H137*100000,IF(Screener!$B$16="demand-similar first",J137*100000,0))+W_SUB*B137+W_SEC*C137*(1-B137)+W_SIZE*D137+W_PROF*E137+W_AH*F137+W_REC*G137+W_CS*H137+W_PE*I137)))+ROW()/1000000</f>
        <v/>
      </c>
      <c r="AA137">
        <f>Database!B126</f>
        <v/>
      </c>
      <c r="AB137">
        <f>Database!D126</f>
        <v/>
      </c>
      <c r="AC137">
        <f>Database!E126</f>
        <v/>
      </c>
      <c r="AD137">
        <f>Database!I126</f>
        <v/>
      </c>
      <c r="AE137">
        <f>Database!AU126</f>
        <v/>
      </c>
      <c r="AF137">
        <f>Database!AZ126</f>
        <v/>
      </c>
      <c r="AG137">
        <f>Database!H126</f>
        <v/>
      </c>
      <c r="AH137">
        <f>Database!AV126</f>
        <v/>
      </c>
    </row>
    <row r="138">
      <c r="A138">
        <f>Database!B138</f>
        <v/>
      </c>
      <c r="B138">
        <f>IF(AND(Screener!$D$8&lt;&gt;"",Database!$E138=Screener!$D$8),1,0)</f>
        <v/>
      </c>
      <c r="C138">
        <f>IF(AND(Screener!$D$7&lt;&gt;"",Database!$D138=Screener!$D$7),1,0)</f>
        <v/>
      </c>
      <c r="D138">
        <f>IF(OR(N(Database!$I138)&lt;=0,N(Screener!$D$9)&lt;=0),0,MAX(0,1-ABS(LOG10(N(Database!$I138)/Screener!$D$9))/W_SIZEHW))</f>
        <v/>
      </c>
      <c r="E138">
        <f>IF(OR(Database!$AU138="",Screener!$D$10=""),0,IF(Database!$AU138=Screener!$D$10,1,0))</f>
        <v/>
      </c>
      <c r="F138">
        <f>IF(OR(Database!$AZ138="",Screener!$D$11=""),0,IF(Database!$AZ138=Screener!$D$11,1,0))</f>
        <v/>
      </c>
      <c r="G138">
        <f>IF(OR(Database!$H138="",N(Screener!$D$12)&lt;=0),0,MAX(0,1-(N(Screener!$D$12)-Database!$H138)/W_RECD))</f>
        <v/>
      </c>
      <c r="H138">
        <f>IF($U$1="",0,N(ISNUMBER(SEARCH($U$1,Database!$X138&amp;""))))+IF($V$1="",0,N(ISNUMBER(SEARCH($V$1,Database!$X138&amp;""))))+IF($W$1="",0,N(ISNUMBER(SEARCH($W$1,Database!$X138&amp;""))))+IF($X$1="",0,N(ISNUMBER(SEARCH($X$1,Database!$X138&amp;""))))+IF($Y$1="",0,N(ISNUMBER(SEARCH($Y$1,Database!$X138&amp;""))))+IF(Screener!$B$17="",0,N(ISNUMBER(SEARCH(LOWER(Screener!$B$17),Database!$X138&amp;""))))</f>
        <v/>
      </c>
      <c r="I138">
        <f>IF(OR(N(Database!$AV138)&lt;=0,N(Screener!$D$13)&lt;=0),0,MAX(0,1-ABS(LOG10(N(Database!$AV138)/Screener!$D$13))/W_PEHW))</f>
        <v/>
      </c>
      <c r="J138">
        <f>IF(OR(N(Database!$S138)&lt;=0,N(Screener!$D$14)&lt;=0),0,MAX(0,1-ABS(LOG10(Database!$S138/Screener!$D$14))/0.6))</f>
        <v/>
      </c>
      <c r="K138">
        <f>IF(Database!$B138=Screener!$B$5,-999999,IF(ISNUMBER(SEARCH(","&amp;Database!$A138&amp;",",","&amp;SUBSTITUTE(Screener!$B$19," ","")&amp;",")),2000000,IF(IF(OR(Screener!$B$18="All",AND(Screener!$B$18="With A-share",(Database!$AZ138="Y")),AND(Screener!$B$18="Without A-share",NOT((Database!$AZ138="Y")))),1,0)=0,-999999,IF(Screener!$B$16="cornerstone overlap first",H138*100000,IF(Screener!$B$16="demand-similar first",J138*100000,0))+W_SUB*B138+W_SEC*C138*(1-B138)+W_SIZE*D138+W_PROF*E138+W_AH*F138+W_REC*G138+W_CS*H138+W_PE*I138)))+ROW()/1000000</f>
        <v/>
      </c>
      <c r="AA138">
        <f>Database!B127</f>
        <v/>
      </c>
      <c r="AB138">
        <f>Database!D127</f>
        <v/>
      </c>
      <c r="AC138">
        <f>Database!E127</f>
        <v/>
      </c>
      <c r="AD138">
        <f>Database!I127</f>
        <v/>
      </c>
      <c r="AE138">
        <f>Database!AU127</f>
        <v/>
      </c>
      <c r="AF138">
        <f>Database!AZ127</f>
        <v/>
      </c>
      <c r="AG138">
        <f>Database!H127</f>
        <v/>
      </c>
      <c r="AH138">
        <f>Database!AV127</f>
        <v/>
      </c>
    </row>
    <row r="139">
      <c r="A139">
        <f>Database!B139</f>
        <v/>
      </c>
      <c r="B139">
        <f>IF(AND(Screener!$D$8&lt;&gt;"",Database!$E139=Screener!$D$8),1,0)</f>
        <v/>
      </c>
      <c r="C139">
        <f>IF(AND(Screener!$D$7&lt;&gt;"",Database!$D139=Screener!$D$7),1,0)</f>
        <v/>
      </c>
      <c r="D139">
        <f>IF(OR(N(Database!$I139)&lt;=0,N(Screener!$D$9)&lt;=0),0,MAX(0,1-ABS(LOG10(N(Database!$I139)/Screener!$D$9))/W_SIZEHW))</f>
        <v/>
      </c>
      <c r="E139">
        <f>IF(OR(Database!$AU139="",Screener!$D$10=""),0,IF(Database!$AU139=Screener!$D$10,1,0))</f>
        <v/>
      </c>
      <c r="F139">
        <f>IF(OR(Database!$AZ139="",Screener!$D$11=""),0,IF(Database!$AZ139=Screener!$D$11,1,0))</f>
        <v/>
      </c>
      <c r="G139">
        <f>IF(OR(Database!$H139="",N(Screener!$D$12)&lt;=0),0,MAX(0,1-(N(Screener!$D$12)-Database!$H139)/W_RECD))</f>
        <v/>
      </c>
      <c r="H139">
        <f>IF($U$1="",0,N(ISNUMBER(SEARCH($U$1,Database!$X139&amp;""))))+IF($V$1="",0,N(ISNUMBER(SEARCH($V$1,Database!$X139&amp;""))))+IF($W$1="",0,N(ISNUMBER(SEARCH($W$1,Database!$X139&amp;""))))+IF($X$1="",0,N(ISNUMBER(SEARCH($X$1,Database!$X139&amp;""))))+IF($Y$1="",0,N(ISNUMBER(SEARCH($Y$1,Database!$X139&amp;""))))+IF(Screener!$B$17="",0,N(ISNUMBER(SEARCH(LOWER(Screener!$B$17),Database!$X139&amp;""))))</f>
        <v/>
      </c>
      <c r="I139">
        <f>IF(OR(N(Database!$AV139)&lt;=0,N(Screener!$D$13)&lt;=0),0,MAX(0,1-ABS(LOG10(N(Database!$AV139)/Screener!$D$13))/W_PEHW))</f>
        <v/>
      </c>
      <c r="J139">
        <f>IF(OR(N(Database!$S139)&lt;=0,N(Screener!$D$14)&lt;=0),0,MAX(0,1-ABS(LOG10(Database!$S139/Screener!$D$14))/0.6))</f>
        <v/>
      </c>
      <c r="K139">
        <f>IF(Database!$B139=Screener!$B$5,-999999,IF(ISNUMBER(SEARCH(","&amp;Database!$A139&amp;",",","&amp;SUBSTITUTE(Screener!$B$19," ","")&amp;",")),2000000,IF(IF(OR(Screener!$B$18="All",AND(Screener!$B$18="With A-share",(Database!$AZ139="Y")),AND(Screener!$B$18="Without A-share",NOT((Database!$AZ139="Y")))),1,0)=0,-999999,IF(Screener!$B$16="cornerstone overlap first",H139*100000,IF(Screener!$B$16="demand-similar first",J139*100000,0))+W_SUB*B139+W_SEC*C139*(1-B139)+W_SIZE*D139+W_PROF*E139+W_AH*F139+W_REC*G139+W_CS*H139+W_PE*I139)))+ROW()/1000000</f>
        <v/>
      </c>
      <c r="AA139">
        <f>Database!B128</f>
        <v/>
      </c>
      <c r="AB139">
        <f>Database!D128</f>
        <v/>
      </c>
      <c r="AC139">
        <f>Database!E128</f>
        <v/>
      </c>
      <c r="AD139">
        <f>Database!I128</f>
        <v/>
      </c>
      <c r="AE139">
        <f>Database!AU128</f>
        <v/>
      </c>
      <c r="AF139">
        <f>Database!AZ128</f>
        <v/>
      </c>
      <c r="AG139">
        <f>Database!H128</f>
        <v/>
      </c>
      <c r="AH139">
        <f>Database!AV128</f>
        <v/>
      </c>
    </row>
    <row r="140">
      <c r="A140">
        <f>Database!B140</f>
        <v/>
      </c>
      <c r="B140">
        <f>IF(AND(Screener!$D$8&lt;&gt;"",Database!$E140=Screener!$D$8),1,0)</f>
        <v/>
      </c>
      <c r="C140">
        <f>IF(AND(Screener!$D$7&lt;&gt;"",Database!$D140=Screener!$D$7),1,0)</f>
        <v/>
      </c>
      <c r="D140">
        <f>IF(OR(N(Database!$I140)&lt;=0,N(Screener!$D$9)&lt;=0),0,MAX(0,1-ABS(LOG10(N(Database!$I140)/Screener!$D$9))/W_SIZEHW))</f>
        <v/>
      </c>
      <c r="E140">
        <f>IF(OR(Database!$AU140="",Screener!$D$10=""),0,IF(Database!$AU140=Screener!$D$10,1,0))</f>
        <v/>
      </c>
      <c r="F140">
        <f>IF(OR(Database!$AZ140="",Screener!$D$11=""),0,IF(Database!$AZ140=Screener!$D$11,1,0))</f>
        <v/>
      </c>
      <c r="G140">
        <f>IF(OR(Database!$H140="",N(Screener!$D$12)&lt;=0),0,MAX(0,1-(N(Screener!$D$12)-Database!$H140)/W_RECD))</f>
        <v/>
      </c>
      <c r="H140">
        <f>IF($U$1="",0,N(ISNUMBER(SEARCH($U$1,Database!$X140&amp;""))))+IF($V$1="",0,N(ISNUMBER(SEARCH($V$1,Database!$X140&amp;""))))+IF($W$1="",0,N(ISNUMBER(SEARCH($W$1,Database!$X140&amp;""))))+IF($X$1="",0,N(ISNUMBER(SEARCH($X$1,Database!$X140&amp;""))))+IF($Y$1="",0,N(ISNUMBER(SEARCH($Y$1,Database!$X140&amp;""))))+IF(Screener!$B$17="",0,N(ISNUMBER(SEARCH(LOWER(Screener!$B$17),Database!$X140&amp;""))))</f>
        <v/>
      </c>
      <c r="I140">
        <f>IF(OR(N(Database!$AV140)&lt;=0,N(Screener!$D$13)&lt;=0),0,MAX(0,1-ABS(LOG10(N(Database!$AV140)/Screener!$D$13))/W_PEHW))</f>
        <v/>
      </c>
      <c r="J140">
        <f>IF(OR(N(Database!$S140)&lt;=0,N(Screener!$D$14)&lt;=0),0,MAX(0,1-ABS(LOG10(Database!$S140/Screener!$D$14))/0.6))</f>
        <v/>
      </c>
      <c r="K140">
        <f>IF(Database!$B140=Screener!$B$5,-999999,IF(ISNUMBER(SEARCH(","&amp;Database!$A140&amp;",",","&amp;SUBSTITUTE(Screener!$B$19," ","")&amp;",")),2000000,IF(IF(OR(Screener!$B$18="All",AND(Screener!$B$18="With A-share",(Database!$AZ140="Y")),AND(Screener!$B$18="Without A-share",NOT((Database!$AZ140="Y")))),1,0)=0,-999999,IF(Screener!$B$16="cornerstone overlap first",H140*100000,IF(Screener!$B$16="demand-similar first",J140*100000,0))+W_SUB*B140+W_SEC*C140*(1-B140)+W_SIZE*D140+W_PROF*E140+W_AH*F140+W_REC*G140+W_CS*H140+W_PE*I140)))+ROW()/1000000</f>
        <v/>
      </c>
      <c r="AA140">
        <f>Database!B129</f>
        <v/>
      </c>
      <c r="AB140">
        <f>Database!D129</f>
        <v/>
      </c>
      <c r="AC140">
        <f>Database!E129</f>
        <v/>
      </c>
      <c r="AD140">
        <f>Database!I129</f>
        <v/>
      </c>
      <c r="AE140">
        <f>Database!AU129</f>
        <v/>
      </c>
      <c r="AF140">
        <f>Database!AZ129</f>
        <v/>
      </c>
      <c r="AG140">
        <f>Database!H129</f>
        <v/>
      </c>
      <c r="AH140">
        <f>Database!AV129</f>
        <v/>
      </c>
    </row>
    <row r="141">
      <c r="A141">
        <f>Database!B141</f>
        <v/>
      </c>
      <c r="B141">
        <f>IF(AND(Screener!$D$8&lt;&gt;"",Database!$E141=Screener!$D$8),1,0)</f>
        <v/>
      </c>
      <c r="C141">
        <f>IF(AND(Screener!$D$7&lt;&gt;"",Database!$D141=Screener!$D$7),1,0)</f>
        <v/>
      </c>
      <c r="D141">
        <f>IF(OR(N(Database!$I141)&lt;=0,N(Screener!$D$9)&lt;=0),0,MAX(0,1-ABS(LOG10(N(Database!$I141)/Screener!$D$9))/W_SIZEHW))</f>
        <v/>
      </c>
      <c r="E141">
        <f>IF(OR(Database!$AU141="",Screener!$D$10=""),0,IF(Database!$AU141=Screener!$D$10,1,0))</f>
        <v/>
      </c>
      <c r="F141">
        <f>IF(OR(Database!$AZ141="",Screener!$D$11=""),0,IF(Database!$AZ141=Screener!$D$11,1,0))</f>
        <v/>
      </c>
      <c r="G141">
        <f>IF(OR(Database!$H141="",N(Screener!$D$12)&lt;=0),0,MAX(0,1-(N(Screener!$D$12)-Database!$H141)/W_RECD))</f>
        <v/>
      </c>
      <c r="H141">
        <f>IF($U$1="",0,N(ISNUMBER(SEARCH($U$1,Database!$X141&amp;""))))+IF($V$1="",0,N(ISNUMBER(SEARCH($V$1,Database!$X141&amp;""))))+IF($W$1="",0,N(ISNUMBER(SEARCH($W$1,Database!$X141&amp;""))))+IF($X$1="",0,N(ISNUMBER(SEARCH($X$1,Database!$X141&amp;""))))+IF($Y$1="",0,N(ISNUMBER(SEARCH($Y$1,Database!$X141&amp;""))))+IF(Screener!$B$17="",0,N(ISNUMBER(SEARCH(LOWER(Screener!$B$17),Database!$X141&amp;""))))</f>
        <v/>
      </c>
      <c r="I141">
        <f>IF(OR(N(Database!$AV141)&lt;=0,N(Screener!$D$13)&lt;=0),0,MAX(0,1-ABS(LOG10(N(Database!$AV141)/Screener!$D$13))/W_PEHW))</f>
        <v/>
      </c>
      <c r="J141">
        <f>IF(OR(N(Database!$S141)&lt;=0,N(Screener!$D$14)&lt;=0),0,MAX(0,1-ABS(LOG10(Database!$S141/Screener!$D$14))/0.6))</f>
        <v/>
      </c>
      <c r="K141">
        <f>IF(Database!$B141=Screener!$B$5,-999999,IF(ISNUMBER(SEARCH(","&amp;Database!$A141&amp;",",","&amp;SUBSTITUTE(Screener!$B$19," ","")&amp;",")),2000000,IF(IF(OR(Screener!$B$18="All",AND(Screener!$B$18="With A-share",(Database!$AZ141="Y")),AND(Screener!$B$18="Without A-share",NOT((Database!$AZ141="Y")))),1,0)=0,-999999,IF(Screener!$B$16="cornerstone overlap first",H141*100000,IF(Screener!$B$16="demand-similar first",J141*100000,0))+W_SUB*B141+W_SEC*C141*(1-B141)+W_SIZE*D141+W_PROF*E141+W_AH*F141+W_REC*G141+W_CS*H141+W_PE*I141)))+ROW()/1000000</f>
        <v/>
      </c>
      <c r="AA141">
        <f>Database!B130</f>
        <v/>
      </c>
      <c r="AB141">
        <f>Database!D130</f>
        <v/>
      </c>
      <c r="AC141">
        <f>Database!E130</f>
        <v/>
      </c>
      <c r="AD141">
        <f>Database!I130</f>
        <v/>
      </c>
      <c r="AE141">
        <f>Database!AU130</f>
        <v/>
      </c>
      <c r="AF141">
        <f>Database!AZ130</f>
        <v/>
      </c>
      <c r="AG141">
        <f>Database!H130</f>
        <v/>
      </c>
      <c r="AH141">
        <f>Database!AV130</f>
        <v/>
      </c>
    </row>
    <row r="142">
      <c r="A142">
        <f>Database!B142</f>
        <v/>
      </c>
      <c r="B142">
        <f>IF(AND(Screener!$D$8&lt;&gt;"",Database!$E142=Screener!$D$8),1,0)</f>
        <v/>
      </c>
      <c r="C142">
        <f>IF(AND(Screener!$D$7&lt;&gt;"",Database!$D142=Screener!$D$7),1,0)</f>
        <v/>
      </c>
      <c r="D142">
        <f>IF(OR(N(Database!$I142)&lt;=0,N(Screener!$D$9)&lt;=0),0,MAX(0,1-ABS(LOG10(N(Database!$I142)/Screener!$D$9))/W_SIZEHW))</f>
        <v/>
      </c>
      <c r="E142">
        <f>IF(OR(Database!$AU142="",Screener!$D$10=""),0,IF(Database!$AU142=Screener!$D$10,1,0))</f>
        <v/>
      </c>
      <c r="F142">
        <f>IF(OR(Database!$AZ142="",Screener!$D$11=""),0,IF(Database!$AZ142=Screener!$D$11,1,0))</f>
        <v/>
      </c>
      <c r="G142">
        <f>IF(OR(Database!$H142="",N(Screener!$D$12)&lt;=0),0,MAX(0,1-(N(Screener!$D$12)-Database!$H142)/W_RECD))</f>
        <v/>
      </c>
      <c r="H142">
        <f>IF($U$1="",0,N(ISNUMBER(SEARCH($U$1,Database!$X142&amp;""))))+IF($V$1="",0,N(ISNUMBER(SEARCH($V$1,Database!$X142&amp;""))))+IF($W$1="",0,N(ISNUMBER(SEARCH($W$1,Database!$X142&amp;""))))+IF($X$1="",0,N(ISNUMBER(SEARCH($X$1,Database!$X142&amp;""))))+IF($Y$1="",0,N(ISNUMBER(SEARCH($Y$1,Database!$X142&amp;""))))+IF(Screener!$B$17="",0,N(ISNUMBER(SEARCH(LOWER(Screener!$B$17),Database!$X142&amp;""))))</f>
        <v/>
      </c>
      <c r="I142">
        <f>IF(OR(N(Database!$AV142)&lt;=0,N(Screener!$D$13)&lt;=0),0,MAX(0,1-ABS(LOG10(N(Database!$AV142)/Screener!$D$13))/W_PEHW))</f>
        <v/>
      </c>
      <c r="J142">
        <f>IF(OR(N(Database!$S142)&lt;=0,N(Screener!$D$14)&lt;=0),0,MAX(0,1-ABS(LOG10(Database!$S142/Screener!$D$14))/0.6))</f>
        <v/>
      </c>
      <c r="K142">
        <f>IF(Database!$B142=Screener!$B$5,-999999,IF(ISNUMBER(SEARCH(","&amp;Database!$A142&amp;",",","&amp;SUBSTITUTE(Screener!$B$19," ","")&amp;",")),2000000,IF(IF(OR(Screener!$B$18="All",AND(Screener!$B$18="With A-share",(Database!$AZ142="Y")),AND(Screener!$B$18="Without A-share",NOT((Database!$AZ142="Y")))),1,0)=0,-999999,IF(Screener!$B$16="cornerstone overlap first",H142*100000,IF(Screener!$B$16="demand-similar first",J142*100000,0))+W_SUB*B142+W_SEC*C142*(1-B142)+W_SIZE*D142+W_PROF*E142+W_AH*F142+W_REC*G142+W_CS*H142+W_PE*I142)))+ROW()/1000000</f>
        <v/>
      </c>
      <c r="AA142">
        <f>Database!B131</f>
        <v/>
      </c>
      <c r="AB142">
        <f>Database!D131</f>
        <v/>
      </c>
      <c r="AC142">
        <f>Database!E131</f>
        <v/>
      </c>
      <c r="AD142">
        <f>Database!I131</f>
        <v/>
      </c>
      <c r="AE142">
        <f>Database!AU131</f>
        <v/>
      </c>
      <c r="AF142">
        <f>Database!AZ131</f>
        <v/>
      </c>
      <c r="AG142">
        <f>Database!H131</f>
        <v/>
      </c>
      <c r="AH142">
        <f>Database!AV131</f>
        <v/>
      </c>
    </row>
    <row r="143">
      <c r="A143">
        <f>Database!B143</f>
        <v/>
      </c>
      <c r="B143">
        <f>IF(AND(Screener!$D$8&lt;&gt;"",Database!$E143=Screener!$D$8),1,0)</f>
        <v/>
      </c>
      <c r="C143">
        <f>IF(AND(Screener!$D$7&lt;&gt;"",Database!$D143=Screener!$D$7),1,0)</f>
        <v/>
      </c>
      <c r="D143">
        <f>IF(OR(N(Database!$I143)&lt;=0,N(Screener!$D$9)&lt;=0),0,MAX(0,1-ABS(LOG10(N(Database!$I143)/Screener!$D$9))/W_SIZEHW))</f>
        <v/>
      </c>
      <c r="E143">
        <f>IF(OR(Database!$AU143="",Screener!$D$10=""),0,IF(Database!$AU143=Screener!$D$10,1,0))</f>
        <v/>
      </c>
      <c r="F143">
        <f>IF(OR(Database!$AZ143="",Screener!$D$11=""),0,IF(Database!$AZ143=Screener!$D$11,1,0))</f>
        <v/>
      </c>
      <c r="G143">
        <f>IF(OR(Database!$H143="",N(Screener!$D$12)&lt;=0),0,MAX(0,1-(N(Screener!$D$12)-Database!$H143)/W_RECD))</f>
        <v/>
      </c>
      <c r="H143">
        <f>IF($U$1="",0,N(ISNUMBER(SEARCH($U$1,Database!$X143&amp;""))))+IF($V$1="",0,N(ISNUMBER(SEARCH($V$1,Database!$X143&amp;""))))+IF($W$1="",0,N(ISNUMBER(SEARCH($W$1,Database!$X143&amp;""))))+IF($X$1="",0,N(ISNUMBER(SEARCH($X$1,Database!$X143&amp;""))))+IF($Y$1="",0,N(ISNUMBER(SEARCH($Y$1,Database!$X143&amp;""))))+IF(Screener!$B$17="",0,N(ISNUMBER(SEARCH(LOWER(Screener!$B$17),Database!$X143&amp;""))))</f>
        <v/>
      </c>
      <c r="I143">
        <f>IF(OR(N(Database!$AV143)&lt;=0,N(Screener!$D$13)&lt;=0),0,MAX(0,1-ABS(LOG10(N(Database!$AV143)/Screener!$D$13))/W_PEHW))</f>
        <v/>
      </c>
      <c r="J143">
        <f>IF(OR(N(Database!$S143)&lt;=0,N(Screener!$D$14)&lt;=0),0,MAX(0,1-ABS(LOG10(Database!$S143/Screener!$D$14))/0.6))</f>
        <v/>
      </c>
      <c r="K143">
        <f>IF(Database!$B143=Screener!$B$5,-999999,IF(ISNUMBER(SEARCH(","&amp;Database!$A143&amp;",",","&amp;SUBSTITUTE(Screener!$B$19," ","")&amp;",")),2000000,IF(IF(OR(Screener!$B$18="All",AND(Screener!$B$18="With A-share",(Database!$AZ143="Y")),AND(Screener!$B$18="Without A-share",NOT((Database!$AZ143="Y")))),1,0)=0,-999999,IF(Screener!$B$16="cornerstone overlap first",H143*100000,IF(Screener!$B$16="demand-similar first",J143*100000,0))+W_SUB*B143+W_SEC*C143*(1-B143)+W_SIZE*D143+W_PROF*E143+W_AH*F143+W_REC*G143+W_CS*H143+W_PE*I143)))+ROW()/1000000</f>
        <v/>
      </c>
      <c r="AA143">
        <f>Database!B132</f>
        <v/>
      </c>
      <c r="AB143">
        <f>Database!D132</f>
        <v/>
      </c>
      <c r="AC143">
        <f>Database!E132</f>
        <v/>
      </c>
      <c r="AD143">
        <f>Database!I132</f>
        <v/>
      </c>
      <c r="AE143">
        <f>Database!AU132</f>
        <v/>
      </c>
      <c r="AF143">
        <f>Database!AZ132</f>
        <v/>
      </c>
      <c r="AG143">
        <f>Database!H132</f>
        <v/>
      </c>
      <c r="AH143">
        <f>Database!AV132</f>
        <v/>
      </c>
    </row>
    <row r="144">
      <c r="A144">
        <f>Database!B144</f>
        <v/>
      </c>
      <c r="B144">
        <f>IF(AND(Screener!$D$8&lt;&gt;"",Database!$E144=Screener!$D$8),1,0)</f>
        <v/>
      </c>
      <c r="C144">
        <f>IF(AND(Screener!$D$7&lt;&gt;"",Database!$D144=Screener!$D$7),1,0)</f>
        <v/>
      </c>
      <c r="D144">
        <f>IF(OR(N(Database!$I144)&lt;=0,N(Screener!$D$9)&lt;=0),0,MAX(0,1-ABS(LOG10(N(Database!$I144)/Screener!$D$9))/W_SIZEHW))</f>
        <v/>
      </c>
      <c r="E144">
        <f>IF(OR(Database!$AU144="",Screener!$D$10=""),0,IF(Database!$AU144=Screener!$D$10,1,0))</f>
        <v/>
      </c>
      <c r="F144">
        <f>IF(OR(Database!$AZ144="",Screener!$D$11=""),0,IF(Database!$AZ144=Screener!$D$11,1,0))</f>
        <v/>
      </c>
      <c r="G144">
        <f>IF(OR(Database!$H144="",N(Screener!$D$12)&lt;=0),0,MAX(0,1-(N(Screener!$D$12)-Database!$H144)/W_RECD))</f>
        <v/>
      </c>
      <c r="H144">
        <f>IF($U$1="",0,N(ISNUMBER(SEARCH($U$1,Database!$X144&amp;""))))+IF($V$1="",0,N(ISNUMBER(SEARCH($V$1,Database!$X144&amp;""))))+IF($W$1="",0,N(ISNUMBER(SEARCH($W$1,Database!$X144&amp;""))))+IF($X$1="",0,N(ISNUMBER(SEARCH($X$1,Database!$X144&amp;""))))+IF($Y$1="",0,N(ISNUMBER(SEARCH($Y$1,Database!$X144&amp;""))))+IF(Screener!$B$17="",0,N(ISNUMBER(SEARCH(LOWER(Screener!$B$17),Database!$X144&amp;""))))</f>
        <v/>
      </c>
      <c r="I144">
        <f>IF(OR(N(Database!$AV144)&lt;=0,N(Screener!$D$13)&lt;=0),0,MAX(0,1-ABS(LOG10(N(Database!$AV144)/Screener!$D$13))/W_PEHW))</f>
        <v/>
      </c>
      <c r="J144">
        <f>IF(OR(N(Database!$S144)&lt;=0,N(Screener!$D$14)&lt;=0),0,MAX(0,1-ABS(LOG10(Database!$S144/Screener!$D$14))/0.6))</f>
        <v/>
      </c>
      <c r="K144">
        <f>IF(Database!$B144=Screener!$B$5,-999999,IF(ISNUMBER(SEARCH(","&amp;Database!$A144&amp;",",","&amp;SUBSTITUTE(Screener!$B$19," ","")&amp;",")),2000000,IF(IF(OR(Screener!$B$18="All",AND(Screener!$B$18="With A-share",(Database!$AZ144="Y")),AND(Screener!$B$18="Without A-share",NOT((Database!$AZ144="Y")))),1,0)=0,-999999,IF(Screener!$B$16="cornerstone overlap first",H144*100000,IF(Screener!$B$16="demand-similar first",J144*100000,0))+W_SUB*B144+W_SEC*C144*(1-B144)+W_SIZE*D144+W_PROF*E144+W_AH*F144+W_REC*G144+W_CS*H144+W_PE*I144)))+ROW()/1000000</f>
        <v/>
      </c>
      <c r="AA144">
        <f>Database!B133</f>
        <v/>
      </c>
      <c r="AB144">
        <f>Database!D133</f>
        <v/>
      </c>
      <c r="AC144">
        <f>Database!E133</f>
        <v/>
      </c>
      <c r="AD144">
        <f>Database!I133</f>
        <v/>
      </c>
      <c r="AE144">
        <f>Database!AU133</f>
        <v/>
      </c>
      <c r="AF144">
        <f>Database!AZ133</f>
        <v/>
      </c>
      <c r="AG144">
        <f>Database!H133</f>
        <v/>
      </c>
      <c r="AH144">
        <f>Database!AV133</f>
        <v/>
      </c>
    </row>
    <row r="145">
      <c r="A145">
        <f>Database!B145</f>
        <v/>
      </c>
      <c r="B145">
        <f>IF(AND(Screener!$D$8&lt;&gt;"",Database!$E145=Screener!$D$8),1,0)</f>
        <v/>
      </c>
      <c r="C145">
        <f>IF(AND(Screener!$D$7&lt;&gt;"",Database!$D145=Screener!$D$7),1,0)</f>
        <v/>
      </c>
      <c r="D145">
        <f>IF(OR(N(Database!$I145)&lt;=0,N(Screener!$D$9)&lt;=0),0,MAX(0,1-ABS(LOG10(N(Database!$I145)/Screener!$D$9))/W_SIZEHW))</f>
        <v/>
      </c>
      <c r="E145">
        <f>IF(OR(Database!$AU145="",Screener!$D$10=""),0,IF(Database!$AU145=Screener!$D$10,1,0))</f>
        <v/>
      </c>
      <c r="F145">
        <f>IF(OR(Database!$AZ145="",Screener!$D$11=""),0,IF(Database!$AZ145=Screener!$D$11,1,0))</f>
        <v/>
      </c>
      <c r="G145">
        <f>IF(OR(Database!$H145="",N(Screener!$D$12)&lt;=0),0,MAX(0,1-(N(Screener!$D$12)-Database!$H145)/W_RECD))</f>
        <v/>
      </c>
      <c r="H145">
        <f>IF($U$1="",0,N(ISNUMBER(SEARCH($U$1,Database!$X145&amp;""))))+IF($V$1="",0,N(ISNUMBER(SEARCH($V$1,Database!$X145&amp;""))))+IF($W$1="",0,N(ISNUMBER(SEARCH($W$1,Database!$X145&amp;""))))+IF($X$1="",0,N(ISNUMBER(SEARCH($X$1,Database!$X145&amp;""))))+IF($Y$1="",0,N(ISNUMBER(SEARCH($Y$1,Database!$X145&amp;""))))+IF(Screener!$B$17="",0,N(ISNUMBER(SEARCH(LOWER(Screener!$B$17),Database!$X145&amp;""))))</f>
        <v/>
      </c>
      <c r="I145">
        <f>IF(OR(N(Database!$AV145)&lt;=0,N(Screener!$D$13)&lt;=0),0,MAX(0,1-ABS(LOG10(N(Database!$AV145)/Screener!$D$13))/W_PEHW))</f>
        <v/>
      </c>
      <c r="J145">
        <f>IF(OR(N(Database!$S145)&lt;=0,N(Screener!$D$14)&lt;=0),0,MAX(0,1-ABS(LOG10(Database!$S145/Screener!$D$14))/0.6))</f>
        <v/>
      </c>
      <c r="K145">
        <f>IF(Database!$B145=Screener!$B$5,-999999,IF(ISNUMBER(SEARCH(","&amp;Database!$A145&amp;",",","&amp;SUBSTITUTE(Screener!$B$19," ","")&amp;",")),2000000,IF(IF(OR(Screener!$B$18="All",AND(Screener!$B$18="With A-share",(Database!$AZ145="Y")),AND(Screener!$B$18="Without A-share",NOT((Database!$AZ145="Y")))),1,0)=0,-999999,IF(Screener!$B$16="cornerstone overlap first",H145*100000,IF(Screener!$B$16="demand-similar first",J145*100000,0))+W_SUB*B145+W_SEC*C145*(1-B145)+W_SIZE*D145+W_PROF*E145+W_AH*F145+W_REC*G145+W_CS*H145+W_PE*I145)))+ROW()/1000000</f>
        <v/>
      </c>
      <c r="AA145">
        <f>Database!B134</f>
        <v/>
      </c>
      <c r="AB145">
        <f>Database!D134</f>
        <v/>
      </c>
      <c r="AC145">
        <f>Database!E134</f>
        <v/>
      </c>
      <c r="AD145">
        <f>Database!I134</f>
        <v/>
      </c>
      <c r="AE145">
        <f>Database!AU134</f>
        <v/>
      </c>
      <c r="AF145">
        <f>Database!AZ134</f>
        <v/>
      </c>
      <c r="AG145">
        <f>Database!H134</f>
        <v/>
      </c>
      <c r="AH145">
        <f>Database!AV134</f>
        <v/>
      </c>
    </row>
    <row r="146">
      <c r="A146">
        <f>Database!B146</f>
        <v/>
      </c>
      <c r="B146">
        <f>IF(AND(Screener!$D$8&lt;&gt;"",Database!$E146=Screener!$D$8),1,0)</f>
        <v/>
      </c>
      <c r="C146">
        <f>IF(AND(Screener!$D$7&lt;&gt;"",Database!$D146=Screener!$D$7),1,0)</f>
        <v/>
      </c>
      <c r="D146">
        <f>IF(OR(N(Database!$I146)&lt;=0,N(Screener!$D$9)&lt;=0),0,MAX(0,1-ABS(LOG10(N(Database!$I146)/Screener!$D$9))/W_SIZEHW))</f>
        <v/>
      </c>
      <c r="E146">
        <f>IF(OR(Database!$AU146="",Screener!$D$10=""),0,IF(Database!$AU146=Screener!$D$10,1,0))</f>
        <v/>
      </c>
      <c r="F146">
        <f>IF(OR(Database!$AZ146="",Screener!$D$11=""),0,IF(Database!$AZ146=Screener!$D$11,1,0))</f>
        <v/>
      </c>
      <c r="G146">
        <f>IF(OR(Database!$H146="",N(Screener!$D$12)&lt;=0),0,MAX(0,1-(N(Screener!$D$12)-Database!$H146)/W_RECD))</f>
        <v/>
      </c>
      <c r="H146">
        <f>IF($U$1="",0,N(ISNUMBER(SEARCH($U$1,Database!$X146&amp;""))))+IF($V$1="",0,N(ISNUMBER(SEARCH($V$1,Database!$X146&amp;""))))+IF($W$1="",0,N(ISNUMBER(SEARCH($W$1,Database!$X146&amp;""))))+IF($X$1="",0,N(ISNUMBER(SEARCH($X$1,Database!$X146&amp;""))))+IF($Y$1="",0,N(ISNUMBER(SEARCH($Y$1,Database!$X146&amp;""))))+IF(Screener!$B$17="",0,N(ISNUMBER(SEARCH(LOWER(Screener!$B$17),Database!$X146&amp;""))))</f>
        <v/>
      </c>
      <c r="I146">
        <f>IF(OR(N(Database!$AV146)&lt;=0,N(Screener!$D$13)&lt;=0),0,MAX(0,1-ABS(LOG10(N(Database!$AV146)/Screener!$D$13))/W_PEHW))</f>
        <v/>
      </c>
      <c r="J146">
        <f>IF(OR(N(Database!$S146)&lt;=0,N(Screener!$D$14)&lt;=0),0,MAX(0,1-ABS(LOG10(Database!$S146/Screener!$D$14))/0.6))</f>
        <v/>
      </c>
      <c r="K146">
        <f>IF(Database!$B146=Screener!$B$5,-999999,IF(ISNUMBER(SEARCH(","&amp;Database!$A146&amp;",",","&amp;SUBSTITUTE(Screener!$B$19," ","")&amp;",")),2000000,IF(IF(OR(Screener!$B$18="All",AND(Screener!$B$18="With A-share",(Database!$AZ146="Y")),AND(Screener!$B$18="Without A-share",NOT((Database!$AZ146="Y")))),1,0)=0,-999999,IF(Screener!$B$16="cornerstone overlap first",H146*100000,IF(Screener!$B$16="demand-similar first",J146*100000,0))+W_SUB*B146+W_SEC*C146*(1-B146)+W_SIZE*D146+W_PROF*E146+W_AH*F146+W_REC*G146+W_CS*H146+W_PE*I146)))+ROW()/1000000</f>
        <v/>
      </c>
      <c r="AA146">
        <f>Database!B135</f>
        <v/>
      </c>
      <c r="AB146">
        <f>Database!D135</f>
        <v/>
      </c>
      <c r="AC146">
        <f>Database!E135</f>
        <v/>
      </c>
      <c r="AD146">
        <f>Database!I135</f>
        <v/>
      </c>
      <c r="AE146">
        <f>Database!AU135</f>
        <v/>
      </c>
      <c r="AF146">
        <f>Database!AZ135</f>
        <v/>
      </c>
      <c r="AG146">
        <f>Database!H135</f>
        <v/>
      </c>
      <c r="AH146">
        <f>Database!AV135</f>
        <v/>
      </c>
    </row>
    <row r="147">
      <c r="A147">
        <f>Database!B147</f>
        <v/>
      </c>
      <c r="B147">
        <f>IF(AND(Screener!$D$8&lt;&gt;"",Database!$E147=Screener!$D$8),1,0)</f>
        <v/>
      </c>
      <c r="C147">
        <f>IF(AND(Screener!$D$7&lt;&gt;"",Database!$D147=Screener!$D$7),1,0)</f>
        <v/>
      </c>
      <c r="D147">
        <f>IF(OR(N(Database!$I147)&lt;=0,N(Screener!$D$9)&lt;=0),0,MAX(0,1-ABS(LOG10(N(Database!$I147)/Screener!$D$9))/W_SIZEHW))</f>
        <v/>
      </c>
      <c r="E147">
        <f>IF(OR(Database!$AU147="",Screener!$D$10=""),0,IF(Database!$AU147=Screener!$D$10,1,0))</f>
        <v/>
      </c>
      <c r="F147">
        <f>IF(OR(Database!$AZ147="",Screener!$D$11=""),0,IF(Database!$AZ147=Screener!$D$11,1,0))</f>
        <v/>
      </c>
      <c r="G147">
        <f>IF(OR(Database!$H147="",N(Screener!$D$12)&lt;=0),0,MAX(0,1-(N(Screener!$D$12)-Database!$H147)/W_RECD))</f>
        <v/>
      </c>
      <c r="H147">
        <f>IF($U$1="",0,N(ISNUMBER(SEARCH($U$1,Database!$X147&amp;""))))+IF($V$1="",0,N(ISNUMBER(SEARCH($V$1,Database!$X147&amp;""))))+IF($W$1="",0,N(ISNUMBER(SEARCH($W$1,Database!$X147&amp;""))))+IF($X$1="",0,N(ISNUMBER(SEARCH($X$1,Database!$X147&amp;""))))+IF($Y$1="",0,N(ISNUMBER(SEARCH($Y$1,Database!$X147&amp;""))))+IF(Screener!$B$17="",0,N(ISNUMBER(SEARCH(LOWER(Screener!$B$17),Database!$X147&amp;""))))</f>
        <v/>
      </c>
      <c r="I147">
        <f>IF(OR(N(Database!$AV147)&lt;=0,N(Screener!$D$13)&lt;=0),0,MAX(0,1-ABS(LOG10(N(Database!$AV147)/Screener!$D$13))/W_PEHW))</f>
        <v/>
      </c>
      <c r="J147">
        <f>IF(OR(N(Database!$S147)&lt;=0,N(Screener!$D$14)&lt;=0),0,MAX(0,1-ABS(LOG10(Database!$S147/Screener!$D$14))/0.6))</f>
        <v/>
      </c>
      <c r="K147">
        <f>IF(Database!$B147=Screener!$B$5,-999999,IF(ISNUMBER(SEARCH(","&amp;Database!$A147&amp;",",","&amp;SUBSTITUTE(Screener!$B$19," ","")&amp;",")),2000000,IF(IF(OR(Screener!$B$18="All",AND(Screener!$B$18="With A-share",(Database!$AZ147="Y")),AND(Screener!$B$18="Without A-share",NOT((Database!$AZ147="Y")))),1,0)=0,-999999,IF(Screener!$B$16="cornerstone overlap first",H147*100000,IF(Screener!$B$16="demand-similar first",J147*100000,0))+W_SUB*B147+W_SEC*C147*(1-B147)+W_SIZE*D147+W_PROF*E147+W_AH*F147+W_REC*G147+W_CS*H147+W_PE*I147)))+ROW()/1000000</f>
        <v/>
      </c>
      <c r="AA147">
        <f>Database!B136</f>
        <v/>
      </c>
      <c r="AB147">
        <f>Database!D136</f>
        <v/>
      </c>
      <c r="AC147">
        <f>Database!E136</f>
        <v/>
      </c>
      <c r="AD147">
        <f>Database!I136</f>
        <v/>
      </c>
      <c r="AE147">
        <f>Database!AU136</f>
        <v/>
      </c>
      <c r="AF147">
        <f>Database!AZ136</f>
        <v/>
      </c>
      <c r="AG147">
        <f>Database!H136</f>
        <v/>
      </c>
      <c r="AH147">
        <f>Database!AV136</f>
        <v/>
      </c>
    </row>
    <row r="148">
      <c r="A148">
        <f>Database!B148</f>
        <v/>
      </c>
      <c r="B148">
        <f>IF(AND(Screener!$D$8&lt;&gt;"",Database!$E148=Screener!$D$8),1,0)</f>
        <v/>
      </c>
      <c r="C148">
        <f>IF(AND(Screener!$D$7&lt;&gt;"",Database!$D148=Screener!$D$7),1,0)</f>
        <v/>
      </c>
      <c r="D148">
        <f>IF(OR(N(Database!$I148)&lt;=0,N(Screener!$D$9)&lt;=0),0,MAX(0,1-ABS(LOG10(N(Database!$I148)/Screener!$D$9))/W_SIZEHW))</f>
        <v/>
      </c>
      <c r="E148">
        <f>IF(OR(Database!$AU148="",Screener!$D$10=""),0,IF(Database!$AU148=Screener!$D$10,1,0))</f>
        <v/>
      </c>
      <c r="F148">
        <f>IF(OR(Database!$AZ148="",Screener!$D$11=""),0,IF(Database!$AZ148=Screener!$D$11,1,0))</f>
        <v/>
      </c>
      <c r="G148">
        <f>IF(OR(Database!$H148="",N(Screener!$D$12)&lt;=0),0,MAX(0,1-(N(Screener!$D$12)-Database!$H148)/W_RECD))</f>
        <v/>
      </c>
      <c r="H148">
        <f>IF($U$1="",0,N(ISNUMBER(SEARCH($U$1,Database!$X148&amp;""))))+IF($V$1="",0,N(ISNUMBER(SEARCH($V$1,Database!$X148&amp;""))))+IF($W$1="",0,N(ISNUMBER(SEARCH($W$1,Database!$X148&amp;""))))+IF($X$1="",0,N(ISNUMBER(SEARCH($X$1,Database!$X148&amp;""))))+IF($Y$1="",0,N(ISNUMBER(SEARCH($Y$1,Database!$X148&amp;""))))+IF(Screener!$B$17="",0,N(ISNUMBER(SEARCH(LOWER(Screener!$B$17),Database!$X148&amp;""))))</f>
        <v/>
      </c>
      <c r="I148">
        <f>IF(OR(N(Database!$AV148)&lt;=0,N(Screener!$D$13)&lt;=0),0,MAX(0,1-ABS(LOG10(N(Database!$AV148)/Screener!$D$13))/W_PEHW))</f>
        <v/>
      </c>
      <c r="J148">
        <f>IF(OR(N(Database!$S148)&lt;=0,N(Screener!$D$14)&lt;=0),0,MAX(0,1-ABS(LOG10(Database!$S148/Screener!$D$14))/0.6))</f>
        <v/>
      </c>
      <c r="K148">
        <f>IF(Database!$B148=Screener!$B$5,-999999,IF(ISNUMBER(SEARCH(","&amp;Database!$A148&amp;",",","&amp;SUBSTITUTE(Screener!$B$19," ","")&amp;",")),2000000,IF(IF(OR(Screener!$B$18="All",AND(Screener!$B$18="With A-share",(Database!$AZ148="Y")),AND(Screener!$B$18="Without A-share",NOT((Database!$AZ148="Y")))),1,0)=0,-999999,IF(Screener!$B$16="cornerstone overlap first",H148*100000,IF(Screener!$B$16="demand-similar first",J148*100000,0))+W_SUB*B148+W_SEC*C148*(1-B148)+W_SIZE*D148+W_PROF*E148+W_AH*F148+W_REC*G148+W_CS*H148+W_PE*I148)))+ROW()/1000000</f>
        <v/>
      </c>
      <c r="AA148">
        <f>Database!B137</f>
        <v/>
      </c>
      <c r="AB148">
        <f>Database!D137</f>
        <v/>
      </c>
      <c r="AC148">
        <f>Database!E137</f>
        <v/>
      </c>
      <c r="AD148">
        <f>Database!I137</f>
        <v/>
      </c>
      <c r="AE148">
        <f>Database!AU137</f>
        <v/>
      </c>
      <c r="AF148">
        <f>Database!AZ137</f>
        <v/>
      </c>
      <c r="AG148">
        <f>Database!H137</f>
        <v/>
      </c>
      <c r="AH148">
        <f>Database!AV137</f>
        <v/>
      </c>
    </row>
    <row r="149">
      <c r="A149">
        <f>Database!B149</f>
        <v/>
      </c>
      <c r="B149">
        <f>IF(AND(Screener!$D$8&lt;&gt;"",Database!$E149=Screener!$D$8),1,0)</f>
        <v/>
      </c>
      <c r="C149">
        <f>IF(AND(Screener!$D$7&lt;&gt;"",Database!$D149=Screener!$D$7),1,0)</f>
        <v/>
      </c>
      <c r="D149">
        <f>IF(OR(N(Database!$I149)&lt;=0,N(Screener!$D$9)&lt;=0),0,MAX(0,1-ABS(LOG10(N(Database!$I149)/Screener!$D$9))/W_SIZEHW))</f>
        <v/>
      </c>
      <c r="E149">
        <f>IF(OR(Database!$AU149="",Screener!$D$10=""),0,IF(Database!$AU149=Screener!$D$10,1,0))</f>
        <v/>
      </c>
      <c r="F149">
        <f>IF(OR(Database!$AZ149="",Screener!$D$11=""),0,IF(Database!$AZ149=Screener!$D$11,1,0))</f>
        <v/>
      </c>
      <c r="G149">
        <f>IF(OR(Database!$H149="",N(Screener!$D$12)&lt;=0),0,MAX(0,1-(N(Screener!$D$12)-Database!$H149)/W_RECD))</f>
        <v/>
      </c>
      <c r="H149">
        <f>IF($U$1="",0,N(ISNUMBER(SEARCH($U$1,Database!$X149&amp;""))))+IF($V$1="",0,N(ISNUMBER(SEARCH($V$1,Database!$X149&amp;""))))+IF($W$1="",0,N(ISNUMBER(SEARCH($W$1,Database!$X149&amp;""))))+IF($X$1="",0,N(ISNUMBER(SEARCH($X$1,Database!$X149&amp;""))))+IF($Y$1="",0,N(ISNUMBER(SEARCH($Y$1,Database!$X149&amp;""))))+IF(Screener!$B$17="",0,N(ISNUMBER(SEARCH(LOWER(Screener!$B$17),Database!$X149&amp;""))))</f>
        <v/>
      </c>
      <c r="I149">
        <f>IF(OR(N(Database!$AV149)&lt;=0,N(Screener!$D$13)&lt;=0),0,MAX(0,1-ABS(LOG10(N(Database!$AV149)/Screener!$D$13))/W_PEHW))</f>
        <v/>
      </c>
      <c r="J149">
        <f>IF(OR(N(Database!$S149)&lt;=0,N(Screener!$D$14)&lt;=0),0,MAX(0,1-ABS(LOG10(Database!$S149/Screener!$D$14))/0.6))</f>
        <v/>
      </c>
      <c r="K149">
        <f>IF(Database!$B149=Screener!$B$5,-999999,IF(ISNUMBER(SEARCH(","&amp;Database!$A149&amp;",",","&amp;SUBSTITUTE(Screener!$B$19," ","")&amp;",")),2000000,IF(IF(OR(Screener!$B$18="All",AND(Screener!$B$18="With A-share",(Database!$AZ149="Y")),AND(Screener!$B$18="Without A-share",NOT((Database!$AZ149="Y")))),1,0)=0,-999999,IF(Screener!$B$16="cornerstone overlap first",H149*100000,IF(Screener!$B$16="demand-similar first",J149*100000,0))+W_SUB*B149+W_SEC*C149*(1-B149)+W_SIZE*D149+W_PROF*E149+W_AH*F149+W_REC*G149+W_CS*H149+W_PE*I149)))+ROW()/1000000</f>
        <v/>
      </c>
      <c r="AA149">
        <f>Database!B138</f>
        <v/>
      </c>
      <c r="AB149">
        <f>Database!D138</f>
        <v/>
      </c>
      <c r="AC149">
        <f>Database!E138</f>
        <v/>
      </c>
      <c r="AD149">
        <f>Database!I138</f>
        <v/>
      </c>
      <c r="AE149">
        <f>Database!AU138</f>
        <v/>
      </c>
      <c r="AF149">
        <f>Database!AZ138</f>
        <v/>
      </c>
      <c r="AG149">
        <f>Database!H138</f>
        <v/>
      </c>
      <c r="AH149">
        <f>Database!AV138</f>
        <v/>
      </c>
    </row>
    <row r="150">
      <c r="A150">
        <f>Database!B150</f>
        <v/>
      </c>
      <c r="B150">
        <f>IF(AND(Screener!$D$8&lt;&gt;"",Database!$E150=Screener!$D$8),1,0)</f>
        <v/>
      </c>
      <c r="C150">
        <f>IF(AND(Screener!$D$7&lt;&gt;"",Database!$D150=Screener!$D$7),1,0)</f>
        <v/>
      </c>
      <c r="D150">
        <f>IF(OR(N(Database!$I150)&lt;=0,N(Screener!$D$9)&lt;=0),0,MAX(0,1-ABS(LOG10(N(Database!$I150)/Screener!$D$9))/W_SIZEHW))</f>
        <v/>
      </c>
      <c r="E150">
        <f>IF(OR(Database!$AU150="",Screener!$D$10=""),0,IF(Database!$AU150=Screener!$D$10,1,0))</f>
        <v/>
      </c>
      <c r="F150">
        <f>IF(OR(Database!$AZ150="",Screener!$D$11=""),0,IF(Database!$AZ150=Screener!$D$11,1,0))</f>
        <v/>
      </c>
      <c r="G150">
        <f>IF(OR(Database!$H150="",N(Screener!$D$12)&lt;=0),0,MAX(0,1-(N(Screener!$D$12)-Database!$H150)/W_RECD))</f>
        <v/>
      </c>
      <c r="H150">
        <f>IF($U$1="",0,N(ISNUMBER(SEARCH($U$1,Database!$X150&amp;""))))+IF($V$1="",0,N(ISNUMBER(SEARCH($V$1,Database!$X150&amp;""))))+IF($W$1="",0,N(ISNUMBER(SEARCH($W$1,Database!$X150&amp;""))))+IF($X$1="",0,N(ISNUMBER(SEARCH($X$1,Database!$X150&amp;""))))+IF($Y$1="",0,N(ISNUMBER(SEARCH($Y$1,Database!$X150&amp;""))))+IF(Screener!$B$17="",0,N(ISNUMBER(SEARCH(LOWER(Screener!$B$17),Database!$X150&amp;""))))</f>
        <v/>
      </c>
      <c r="I150">
        <f>IF(OR(N(Database!$AV150)&lt;=0,N(Screener!$D$13)&lt;=0),0,MAX(0,1-ABS(LOG10(N(Database!$AV150)/Screener!$D$13))/W_PEHW))</f>
        <v/>
      </c>
      <c r="J150">
        <f>IF(OR(N(Database!$S150)&lt;=0,N(Screener!$D$14)&lt;=0),0,MAX(0,1-ABS(LOG10(Database!$S150/Screener!$D$14))/0.6))</f>
        <v/>
      </c>
      <c r="K150">
        <f>IF(Database!$B150=Screener!$B$5,-999999,IF(ISNUMBER(SEARCH(","&amp;Database!$A150&amp;",",","&amp;SUBSTITUTE(Screener!$B$19," ","")&amp;",")),2000000,IF(IF(OR(Screener!$B$18="All",AND(Screener!$B$18="With A-share",(Database!$AZ150="Y")),AND(Screener!$B$18="Without A-share",NOT((Database!$AZ150="Y")))),1,0)=0,-999999,IF(Screener!$B$16="cornerstone overlap first",H150*100000,IF(Screener!$B$16="demand-similar first",J150*100000,0))+W_SUB*B150+W_SEC*C150*(1-B150)+W_SIZE*D150+W_PROF*E150+W_AH*F150+W_REC*G150+W_CS*H150+W_PE*I150)))+ROW()/1000000</f>
        <v/>
      </c>
      <c r="AA150">
        <f>Database!B139</f>
        <v/>
      </c>
      <c r="AB150">
        <f>Database!D139</f>
        <v/>
      </c>
      <c r="AC150">
        <f>Database!E139</f>
        <v/>
      </c>
      <c r="AD150">
        <f>Database!I139</f>
        <v/>
      </c>
      <c r="AE150">
        <f>Database!AU139</f>
        <v/>
      </c>
      <c r="AF150">
        <f>Database!AZ139</f>
        <v/>
      </c>
      <c r="AG150">
        <f>Database!H139</f>
        <v/>
      </c>
      <c r="AH150">
        <f>Database!AV139</f>
        <v/>
      </c>
    </row>
    <row r="151">
      <c r="A151">
        <f>Database!B151</f>
        <v/>
      </c>
      <c r="B151">
        <f>IF(AND(Screener!$D$8&lt;&gt;"",Database!$E151=Screener!$D$8),1,0)</f>
        <v/>
      </c>
      <c r="C151">
        <f>IF(AND(Screener!$D$7&lt;&gt;"",Database!$D151=Screener!$D$7),1,0)</f>
        <v/>
      </c>
      <c r="D151">
        <f>IF(OR(N(Database!$I151)&lt;=0,N(Screener!$D$9)&lt;=0),0,MAX(0,1-ABS(LOG10(N(Database!$I151)/Screener!$D$9))/W_SIZEHW))</f>
        <v/>
      </c>
      <c r="E151">
        <f>IF(OR(Database!$AU151="",Screener!$D$10=""),0,IF(Database!$AU151=Screener!$D$10,1,0))</f>
        <v/>
      </c>
      <c r="F151">
        <f>IF(OR(Database!$AZ151="",Screener!$D$11=""),0,IF(Database!$AZ151=Screener!$D$11,1,0))</f>
        <v/>
      </c>
      <c r="G151">
        <f>IF(OR(Database!$H151="",N(Screener!$D$12)&lt;=0),0,MAX(0,1-(N(Screener!$D$12)-Database!$H151)/W_RECD))</f>
        <v/>
      </c>
      <c r="H151">
        <f>IF($U$1="",0,N(ISNUMBER(SEARCH($U$1,Database!$X151&amp;""))))+IF($V$1="",0,N(ISNUMBER(SEARCH($V$1,Database!$X151&amp;""))))+IF($W$1="",0,N(ISNUMBER(SEARCH($W$1,Database!$X151&amp;""))))+IF($X$1="",0,N(ISNUMBER(SEARCH($X$1,Database!$X151&amp;""))))+IF($Y$1="",0,N(ISNUMBER(SEARCH($Y$1,Database!$X151&amp;""))))+IF(Screener!$B$17="",0,N(ISNUMBER(SEARCH(LOWER(Screener!$B$17),Database!$X151&amp;""))))</f>
        <v/>
      </c>
      <c r="I151">
        <f>IF(OR(N(Database!$AV151)&lt;=0,N(Screener!$D$13)&lt;=0),0,MAX(0,1-ABS(LOG10(N(Database!$AV151)/Screener!$D$13))/W_PEHW))</f>
        <v/>
      </c>
      <c r="J151">
        <f>IF(OR(N(Database!$S151)&lt;=0,N(Screener!$D$14)&lt;=0),0,MAX(0,1-ABS(LOG10(Database!$S151/Screener!$D$14))/0.6))</f>
        <v/>
      </c>
      <c r="K151">
        <f>IF(Database!$B151=Screener!$B$5,-999999,IF(ISNUMBER(SEARCH(","&amp;Database!$A151&amp;",",","&amp;SUBSTITUTE(Screener!$B$19," ","")&amp;",")),2000000,IF(IF(OR(Screener!$B$18="All",AND(Screener!$B$18="With A-share",(Database!$AZ151="Y")),AND(Screener!$B$18="Without A-share",NOT((Database!$AZ151="Y")))),1,0)=0,-999999,IF(Screener!$B$16="cornerstone overlap first",H151*100000,IF(Screener!$B$16="demand-similar first",J151*100000,0))+W_SUB*B151+W_SEC*C151*(1-B151)+W_SIZE*D151+W_PROF*E151+W_AH*F151+W_REC*G151+W_CS*H151+W_PE*I151)))+ROW()/1000000</f>
        <v/>
      </c>
      <c r="AA151">
        <f>Database!B140</f>
        <v/>
      </c>
      <c r="AB151">
        <f>Database!D140</f>
        <v/>
      </c>
      <c r="AC151">
        <f>Database!E140</f>
        <v/>
      </c>
      <c r="AD151">
        <f>Database!I140</f>
        <v/>
      </c>
      <c r="AE151">
        <f>Database!AU140</f>
        <v/>
      </c>
      <c r="AF151">
        <f>Database!AZ140</f>
        <v/>
      </c>
      <c r="AG151">
        <f>Database!H140</f>
        <v/>
      </c>
      <c r="AH151">
        <f>Database!AV140</f>
        <v/>
      </c>
    </row>
    <row r="152">
      <c r="A152">
        <f>Database!B152</f>
        <v/>
      </c>
      <c r="B152">
        <f>IF(AND(Screener!$D$8&lt;&gt;"",Database!$E152=Screener!$D$8),1,0)</f>
        <v/>
      </c>
      <c r="C152">
        <f>IF(AND(Screener!$D$7&lt;&gt;"",Database!$D152=Screener!$D$7),1,0)</f>
        <v/>
      </c>
      <c r="D152">
        <f>IF(OR(N(Database!$I152)&lt;=0,N(Screener!$D$9)&lt;=0),0,MAX(0,1-ABS(LOG10(N(Database!$I152)/Screener!$D$9))/W_SIZEHW))</f>
        <v/>
      </c>
      <c r="E152">
        <f>IF(OR(Database!$AU152="",Screener!$D$10=""),0,IF(Database!$AU152=Screener!$D$10,1,0))</f>
        <v/>
      </c>
      <c r="F152">
        <f>IF(OR(Database!$AZ152="",Screener!$D$11=""),0,IF(Database!$AZ152=Screener!$D$11,1,0))</f>
        <v/>
      </c>
      <c r="G152">
        <f>IF(OR(Database!$H152="",N(Screener!$D$12)&lt;=0),0,MAX(0,1-(N(Screener!$D$12)-Database!$H152)/W_RECD))</f>
        <v/>
      </c>
      <c r="H152">
        <f>IF($U$1="",0,N(ISNUMBER(SEARCH($U$1,Database!$X152&amp;""))))+IF($V$1="",0,N(ISNUMBER(SEARCH($V$1,Database!$X152&amp;""))))+IF($W$1="",0,N(ISNUMBER(SEARCH($W$1,Database!$X152&amp;""))))+IF($X$1="",0,N(ISNUMBER(SEARCH($X$1,Database!$X152&amp;""))))+IF($Y$1="",0,N(ISNUMBER(SEARCH($Y$1,Database!$X152&amp;""))))+IF(Screener!$B$17="",0,N(ISNUMBER(SEARCH(LOWER(Screener!$B$17),Database!$X152&amp;""))))</f>
        <v/>
      </c>
      <c r="I152">
        <f>IF(OR(N(Database!$AV152)&lt;=0,N(Screener!$D$13)&lt;=0),0,MAX(0,1-ABS(LOG10(N(Database!$AV152)/Screener!$D$13))/W_PEHW))</f>
        <v/>
      </c>
      <c r="J152">
        <f>IF(OR(N(Database!$S152)&lt;=0,N(Screener!$D$14)&lt;=0),0,MAX(0,1-ABS(LOG10(Database!$S152/Screener!$D$14))/0.6))</f>
        <v/>
      </c>
      <c r="K152">
        <f>IF(Database!$B152=Screener!$B$5,-999999,IF(ISNUMBER(SEARCH(","&amp;Database!$A152&amp;",",","&amp;SUBSTITUTE(Screener!$B$19," ","")&amp;",")),2000000,IF(IF(OR(Screener!$B$18="All",AND(Screener!$B$18="With A-share",(Database!$AZ152="Y")),AND(Screener!$B$18="Without A-share",NOT((Database!$AZ152="Y")))),1,0)=0,-999999,IF(Screener!$B$16="cornerstone overlap first",H152*100000,IF(Screener!$B$16="demand-similar first",J152*100000,0))+W_SUB*B152+W_SEC*C152*(1-B152)+W_SIZE*D152+W_PROF*E152+W_AH*F152+W_REC*G152+W_CS*H152+W_PE*I152)))+ROW()/1000000</f>
        <v/>
      </c>
      <c r="AA152">
        <f>Database!B141</f>
        <v/>
      </c>
      <c r="AB152">
        <f>Database!D141</f>
        <v/>
      </c>
      <c r="AC152">
        <f>Database!E141</f>
        <v/>
      </c>
      <c r="AD152">
        <f>Database!I141</f>
        <v/>
      </c>
      <c r="AE152">
        <f>Database!AU141</f>
        <v/>
      </c>
      <c r="AF152">
        <f>Database!AZ141</f>
        <v/>
      </c>
      <c r="AG152">
        <f>Database!H141</f>
        <v/>
      </c>
      <c r="AH152">
        <f>Database!AV141</f>
        <v/>
      </c>
    </row>
    <row r="153">
      <c r="A153">
        <f>Database!B153</f>
        <v/>
      </c>
      <c r="B153">
        <f>IF(AND(Screener!$D$8&lt;&gt;"",Database!$E153=Screener!$D$8),1,0)</f>
        <v/>
      </c>
      <c r="C153">
        <f>IF(AND(Screener!$D$7&lt;&gt;"",Database!$D153=Screener!$D$7),1,0)</f>
        <v/>
      </c>
      <c r="D153">
        <f>IF(OR(N(Database!$I153)&lt;=0,N(Screener!$D$9)&lt;=0),0,MAX(0,1-ABS(LOG10(N(Database!$I153)/Screener!$D$9))/W_SIZEHW))</f>
        <v/>
      </c>
      <c r="E153">
        <f>IF(OR(Database!$AU153="",Screener!$D$10=""),0,IF(Database!$AU153=Screener!$D$10,1,0))</f>
        <v/>
      </c>
      <c r="F153">
        <f>IF(OR(Database!$AZ153="",Screener!$D$11=""),0,IF(Database!$AZ153=Screener!$D$11,1,0))</f>
        <v/>
      </c>
      <c r="G153">
        <f>IF(OR(Database!$H153="",N(Screener!$D$12)&lt;=0),0,MAX(0,1-(N(Screener!$D$12)-Database!$H153)/W_RECD))</f>
        <v/>
      </c>
      <c r="H153">
        <f>IF($U$1="",0,N(ISNUMBER(SEARCH($U$1,Database!$X153&amp;""))))+IF($V$1="",0,N(ISNUMBER(SEARCH($V$1,Database!$X153&amp;""))))+IF($W$1="",0,N(ISNUMBER(SEARCH($W$1,Database!$X153&amp;""))))+IF($X$1="",0,N(ISNUMBER(SEARCH($X$1,Database!$X153&amp;""))))+IF($Y$1="",0,N(ISNUMBER(SEARCH($Y$1,Database!$X153&amp;""))))+IF(Screener!$B$17="",0,N(ISNUMBER(SEARCH(LOWER(Screener!$B$17),Database!$X153&amp;""))))</f>
        <v/>
      </c>
      <c r="I153">
        <f>IF(OR(N(Database!$AV153)&lt;=0,N(Screener!$D$13)&lt;=0),0,MAX(0,1-ABS(LOG10(N(Database!$AV153)/Screener!$D$13))/W_PEHW))</f>
        <v/>
      </c>
      <c r="J153">
        <f>IF(OR(N(Database!$S153)&lt;=0,N(Screener!$D$14)&lt;=0),0,MAX(0,1-ABS(LOG10(Database!$S153/Screener!$D$14))/0.6))</f>
        <v/>
      </c>
      <c r="K153">
        <f>IF(Database!$B153=Screener!$B$5,-999999,IF(ISNUMBER(SEARCH(","&amp;Database!$A153&amp;",",","&amp;SUBSTITUTE(Screener!$B$19," ","")&amp;",")),2000000,IF(IF(OR(Screener!$B$18="All",AND(Screener!$B$18="With A-share",(Database!$AZ153="Y")),AND(Screener!$B$18="Without A-share",NOT((Database!$AZ153="Y")))),1,0)=0,-999999,IF(Screener!$B$16="cornerstone overlap first",H153*100000,IF(Screener!$B$16="demand-similar first",J153*100000,0))+W_SUB*B153+W_SEC*C153*(1-B153)+W_SIZE*D153+W_PROF*E153+W_AH*F153+W_REC*G153+W_CS*H153+W_PE*I153)))+ROW()/1000000</f>
        <v/>
      </c>
      <c r="AA153">
        <f>Database!B142</f>
        <v/>
      </c>
      <c r="AB153">
        <f>Database!D142</f>
        <v/>
      </c>
      <c r="AC153">
        <f>Database!E142</f>
        <v/>
      </c>
      <c r="AD153">
        <f>Database!I142</f>
        <v/>
      </c>
      <c r="AE153">
        <f>Database!AU142</f>
        <v/>
      </c>
      <c r="AF153">
        <f>Database!AZ142</f>
        <v/>
      </c>
      <c r="AG153">
        <f>Database!H142</f>
        <v/>
      </c>
      <c r="AH153">
        <f>Database!AV142</f>
        <v/>
      </c>
    </row>
    <row r="154">
      <c r="A154">
        <f>Database!B154</f>
        <v/>
      </c>
      <c r="B154">
        <f>IF(AND(Screener!$D$8&lt;&gt;"",Database!$E154=Screener!$D$8),1,0)</f>
        <v/>
      </c>
      <c r="C154">
        <f>IF(AND(Screener!$D$7&lt;&gt;"",Database!$D154=Screener!$D$7),1,0)</f>
        <v/>
      </c>
      <c r="D154">
        <f>IF(OR(N(Database!$I154)&lt;=0,N(Screener!$D$9)&lt;=0),0,MAX(0,1-ABS(LOG10(N(Database!$I154)/Screener!$D$9))/W_SIZEHW))</f>
        <v/>
      </c>
      <c r="E154">
        <f>IF(OR(Database!$AU154="",Screener!$D$10=""),0,IF(Database!$AU154=Screener!$D$10,1,0))</f>
        <v/>
      </c>
      <c r="F154">
        <f>IF(OR(Database!$AZ154="",Screener!$D$11=""),0,IF(Database!$AZ154=Screener!$D$11,1,0))</f>
        <v/>
      </c>
      <c r="G154">
        <f>IF(OR(Database!$H154="",N(Screener!$D$12)&lt;=0),0,MAX(0,1-(N(Screener!$D$12)-Database!$H154)/W_RECD))</f>
        <v/>
      </c>
      <c r="H154">
        <f>IF($U$1="",0,N(ISNUMBER(SEARCH($U$1,Database!$X154&amp;""))))+IF($V$1="",0,N(ISNUMBER(SEARCH($V$1,Database!$X154&amp;""))))+IF($W$1="",0,N(ISNUMBER(SEARCH($W$1,Database!$X154&amp;""))))+IF($X$1="",0,N(ISNUMBER(SEARCH($X$1,Database!$X154&amp;""))))+IF($Y$1="",0,N(ISNUMBER(SEARCH($Y$1,Database!$X154&amp;""))))+IF(Screener!$B$17="",0,N(ISNUMBER(SEARCH(LOWER(Screener!$B$17),Database!$X154&amp;""))))</f>
        <v/>
      </c>
      <c r="I154">
        <f>IF(OR(N(Database!$AV154)&lt;=0,N(Screener!$D$13)&lt;=0),0,MAX(0,1-ABS(LOG10(N(Database!$AV154)/Screener!$D$13))/W_PEHW))</f>
        <v/>
      </c>
      <c r="J154">
        <f>IF(OR(N(Database!$S154)&lt;=0,N(Screener!$D$14)&lt;=0),0,MAX(0,1-ABS(LOG10(Database!$S154/Screener!$D$14))/0.6))</f>
        <v/>
      </c>
      <c r="K154">
        <f>IF(Database!$B154=Screener!$B$5,-999999,IF(ISNUMBER(SEARCH(","&amp;Database!$A154&amp;",",","&amp;SUBSTITUTE(Screener!$B$19," ","")&amp;",")),2000000,IF(IF(OR(Screener!$B$18="All",AND(Screener!$B$18="With A-share",(Database!$AZ154="Y")),AND(Screener!$B$18="Without A-share",NOT((Database!$AZ154="Y")))),1,0)=0,-999999,IF(Screener!$B$16="cornerstone overlap first",H154*100000,IF(Screener!$B$16="demand-similar first",J154*100000,0))+W_SUB*B154+W_SEC*C154*(1-B154)+W_SIZE*D154+W_PROF*E154+W_AH*F154+W_REC*G154+W_CS*H154+W_PE*I154)))+ROW()/1000000</f>
        <v/>
      </c>
      <c r="AA154">
        <f>Database!B143</f>
        <v/>
      </c>
      <c r="AB154">
        <f>Database!D143</f>
        <v/>
      </c>
      <c r="AC154">
        <f>Database!E143</f>
        <v/>
      </c>
      <c r="AD154">
        <f>Database!I143</f>
        <v/>
      </c>
      <c r="AE154">
        <f>Database!AU143</f>
        <v/>
      </c>
      <c r="AF154">
        <f>Database!AZ143</f>
        <v/>
      </c>
      <c r="AG154">
        <f>Database!H143</f>
        <v/>
      </c>
      <c r="AH154">
        <f>Database!AV143</f>
        <v/>
      </c>
    </row>
    <row r="155">
      <c r="A155">
        <f>Database!B155</f>
        <v/>
      </c>
      <c r="B155">
        <f>IF(AND(Screener!$D$8&lt;&gt;"",Database!$E155=Screener!$D$8),1,0)</f>
        <v/>
      </c>
      <c r="C155">
        <f>IF(AND(Screener!$D$7&lt;&gt;"",Database!$D155=Screener!$D$7),1,0)</f>
        <v/>
      </c>
      <c r="D155">
        <f>IF(OR(N(Database!$I155)&lt;=0,N(Screener!$D$9)&lt;=0),0,MAX(0,1-ABS(LOG10(N(Database!$I155)/Screener!$D$9))/W_SIZEHW))</f>
        <v/>
      </c>
      <c r="E155">
        <f>IF(OR(Database!$AU155="",Screener!$D$10=""),0,IF(Database!$AU155=Screener!$D$10,1,0))</f>
        <v/>
      </c>
      <c r="F155">
        <f>IF(OR(Database!$AZ155="",Screener!$D$11=""),0,IF(Database!$AZ155=Screener!$D$11,1,0))</f>
        <v/>
      </c>
      <c r="G155">
        <f>IF(OR(Database!$H155="",N(Screener!$D$12)&lt;=0),0,MAX(0,1-(N(Screener!$D$12)-Database!$H155)/W_RECD))</f>
        <v/>
      </c>
      <c r="H155">
        <f>IF($U$1="",0,N(ISNUMBER(SEARCH($U$1,Database!$X155&amp;""))))+IF($V$1="",0,N(ISNUMBER(SEARCH($V$1,Database!$X155&amp;""))))+IF($W$1="",0,N(ISNUMBER(SEARCH($W$1,Database!$X155&amp;""))))+IF($X$1="",0,N(ISNUMBER(SEARCH($X$1,Database!$X155&amp;""))))+IF($Y$1="",0,N(ISNUMBER(SEARCH($Y$1,Database!$X155&amp;""))))+IF(Screener!$B$17="",0,N(ISNUMBER(SEARCH(LOWER(Screener!$B$17),Database!$X155&amp;""))))</f>
        <v/>
      </c>
      <c r="I155">
        <f>IF(OR(N(Database!$AV155)&lt;=0,N(Screener!$D$13)&lt;=0),0,MAX(0,1-ABS(LOG10(N(Database!$AV155)/Screener!$D$13))/W_PEHW))</f>
        <v/>
      </c>
      <c r="J155">
        <f>IF(OR(N(Database!$S155)&lt;=0,N(Screener!$D$14)&lt;=0),0,MAX(0,1-ABS(LOG10(Database!$S155/Screener!$D$14))/0.6))</f>
        <v/>
      </c>
      <c r="K155">
        <f>IF(Database!$B155=Screener!$B$5,-999999,IF(ISNUMBER(SEARCH(","&amp;Database!$A155&amp;",",","&amp;SUBSTITUTE(Screener!$B$19," ","")&amp;",")),2000000,IF(IF(OR(Screener!$B$18="All",AND(Screener!$B$18="With A-share",(Database!$AZ155="Y")),AND(Screener!$B$18="Without A-share",NOT((Database!$AZ155="Y")))),1,0)=0,-999999,IF(Screener!$B$16="cornerstone overlap first",H155*100000,IF(Screener!$B$16="demand-similar first",J155*100000,0))+W_SUB*B155+W_SEC*C155*(1-B155)+W_SIZE*D155+W_PROF*E155+W_AH*F155+W_REC*G155+W_CS*H155+W_PE*I155)))+ROW()/1000000</f>
        <v/>
      </c>
      <c r="AA155">
        <f>Database!B144</f>
        <v/>
      </c>
      <c r="AB155">
        <f>Database!D144</f>
        <v/>
      </c>
      <c r="AC155">
        <f>Database!E144</f>
        <v/>
      </c>
      <c r="AD155">
        <f>Database!I144</f>
        <v/>
      </c>
      <c r="AE155">
        <f>Database!AU144</f>
        <v/>
      </c>
      <c r="AF155">
        <f>Database!AZ144</f>
        <v/>
      </c>
      <c r="AG155">
        <f>Database!H144</f>
        <v/>
      </c>
      <c r="AH155">
        <f>Database!AV144</f>
        <v/>
      </c>
    </row>
    <row r="156">
      <c r="A156">
        <f>Database!B156</f>
        <v/>
      </c>
      <c r="B156">
        <f>IF(AND(Screener!$D$8&lt;&gt;"",Database!$E156=Screener!$D$8),1,0)</f>
        <v/>
      </c>
      <c r="C156">
        <f>IF(AND(Screener!$D$7&lt;&gt;"",Database!$D156=Screener!$D$7),1,0)</f>
        <v/>
      </c>
      <c r="D156">
        <f>IF(OR(N(Database!$I156)&lt;=0,N(Screener!$D$9)&lt;=0),0,MAX(0,1-ABS(LOG10(N(Database!$I156)/Screener!$D$9))/W_SIZEHW))</f>
        <v/>
      </c>
      <c r="E156">
        <f>IF(OR(Database!$AU156="",Screener!$D$10=""),0,IF(Database!$AU156=Screener!$D$10,1,0))</f>
        <v/>
      </c>
      <c r="F156">
        <f>IF(OR(Database!$AZ156="",Screener!$D$11=""),0,IF(Database!$AZ156=Screener!$D$11,1,0))</f>
        <v/>
      </c>
      <c r="G156">
        <f>IF(OR(Database!$H156="",N(Screener!$D$12)&lt;=0),0,MAX(0,1-(N(Screener!$D$12)-Database!$H156)/W_RECD))</f>
        <v/>
      </c>
      <c r="H156">
        <f>IF($U$1="",0,N(ISNUMBER(SEARCH($U$1,Database!$X156&amp;""))))+IF($V$1="",0,N(ISNUMBER(SEARCH($V$1,Database!$X156&amp;""))))+IF($W$1="",0,N(ISNUMBER(SEARCH($W$1,Database!$X156&amp;""))))+IF($X$1="",0,N(ISNUMBER(SEARCH($X$1,Database!$X156&amp;""))))+IF($Y$1="",0,N(ISNUMBER(SEARCH($Y$1,Database!$X156&amp;""))))+IF(Screener!$B$17="",0,N(ISNUMBER(SEARCH(LOWER(Screener!$B$17),Database!$X156&amp;""))))</f>
        <v/>
      </c>
      <c r="I156">
        <f>IF(OR(N(Database!$AV156)&lt;=0,N(Screener!$D$13)&lt;=0),0,MAX(0,1-ABS(LOG10(N(Database!$AV156)/Screener!$D$13))/W_PEHW))</f>
        <v/>
      </c>
      <c r="J156">
        <f>IF(OR(N(Database!$S156)&lt;=0,N(Screener!$D$14)&lt;=0),0,MAX(0,1-ABS(LOG10(Database!$S156/Screener!$D$14))/0.6))</f>
        <v/>
      </c>
      <c r="K156">
        <f>IF(Database!$B156=Screener!$B$5,-999999,IF(ISNUMBER(SEARCH(","&amp;Database!$A156&amp;",",","&amp;SUBSTITUTE(Screener!$B$19," ","")&amp;",")),2000000,IF(IF(OR(Screener!$B$18="All",AND(Screener!$B$18="With A-share",(Database!$AZ156="Y")),AND(Screener!$B$18="Without A-share",NOT((Database!$AZ156="Y")))),1,0)=0,-999999,IF(Screener!$B$16="cornerstone overlap first",H156*100000,IF(Screener!$B$16="demand-similar first",J156*100000,0))+W_SUB*B156+W_SEC*C156*(1-B156)+W_SIZE*D156+W_PROF*E156+W_AH*F156+W_REC*G156+W_CS*H156+W_PE*I156)))+ROW()/1000000</f>
        <v/>
      </c>
      <c r="AA156">
        <f>Database!B145</f>
        <v/>
      </c>
      <c r="AB156">
        <f>Database!D145</f>
        <v/>
      </c>
      <c r="AC156">
        <f>Database!E145</f>
        <v/>
      </c>
      <c r="AD156">
        <f>Database!I145</f>
        <v/>
      </c>
      <c r="AE156">
        <f>Database!AU145</f>
        <v/>
      </c>
      <c r="AF156">
        <f>Database!AZ145</f>
        <v/>
      </c>
      <c r="AG156">
        <f>Database!H145</f>
        <v/>
      </c>
      <c r="AH156">
        <f>Database!AV145</f>
        <v/>
      </c>
    </row>
    <row r="157">
      <c r="A157">
        <f>Database!B157</f>
        <v/>
      </c>
      <c r="B157">
        <f>IF(AND(Screener!$D$8&lt;&gt;"",Database!$E157=Screener!$D$8),1,0)</f>
        <v/>
      </c>
      <c r="C157">
        <f>IF(AND(Screener!$D$7&lt;&gt;"",Database!$D157=Screener!$D$7),1,0)</f>
        <v/>
      </c>
      <c r="D157">
        <f>IF(OR(N(Database!$I157)&lt;=0,N(Screener!$D$9)&lt;=0),0,MAX(0,1-ABS(LOG10(N(Database!$I157)/Screener!$D$9))/W_SIZEHW))</f>
        <v/>
      </c>
      <c r="E157">
        <f>IF(OR(Database!$AU157="",Screener!$D$10=""),0,IF(Database!$AU157=Screener!$D$10,1,0))</f>
        <v/>
      </c>
      <c r="F157">
        <f>IF(OR(Database!$AZ157="",Screener!$D$11=""),0,IF(Database!$AZ157=Screener!$D$11,1,0))</f>
        <v/>
      </c>
      <c r="G157">
        <f>IF(OR(Database!$H157="",N(Screener!$D$12)&lt;=0),0,MAX(0,1-(N(Screener!$D$12)-Database!$H157)/W_RECD))</f>
        <v/>
      </c>
      <c r="H157">
        <f>IF($U$1="",0,N(ISNUMBER(SEARCH($U$1,Database!$X157&amp;""))))+IF($V$1="",0,N(ISNUMBER(SEARCH($V$1,Database!$X157&amp;""))))+IF($W$1="",0,N(ISNUMBER(SEARCH($W$1,Database!$X157&amp;""))))+IF($X$1="",0,N(ISNUMBER(SEARCH($X$1,Database!$X157&amp;""))))+IF($Y$1="",0,N(ISNUMBER(SEARCH($Y$1,Database!$X157&amp;""))))+IF(Screener!$B$17="",0,N(ISNUMBER(SEARCH(LOWER(Screener!$B$17),Database!$X157&amp;""))))</f>
        <v/>
      </c>
      <c r="I157">
        <f>IF(OR(N(Database!$AV157)&lt;=0,N(Screener!$D$13)&lt;=0),0,MAX(0,1-ABS(LOG10(N(Database!$AV157)/Screener!$D$13))/W_PEHW))</f>
        <v/>
      </c>
      <c r="J157">
        <f>IF(OR(N(Database!$S157)&lt;=0,N(Screener!$D$14)&lt;=0),0,MAX(0,1-ABS(LOG10(Database!$S157/Screener!$D$14))/0.6))</f>
        <v/>
      </c>
      <c r="K157">
        <f>IF(Database!$B157=Screener!$B$5,-999999,IF(ISNUMBER(SEARCH(","&amp;Database!$A157&amp;",",","&amp;SUBSTITUTE(Screener!$B$19," ","")&amp;",")),2000000,IF(IF(OR(Screener!$B$18="All",AND(Screener!$B$18="With A-share",(Database!$AZ157="Y")),AND(Screener!$B$18="Without A-share",NOT((Database!$AZ157="Y")))),1,0)=0,-999999,IF(Screener!$B$16="cornerstone overlap first",H157*100000,IF(Screener!$B$16="demand-similar first",J157*100000,0))+W_SUB*B157+W_SEC*C157*(1-B157)+W_SIZE*D157+W_PROF*E157+W_AH*F157+W_REC*G157+W_CS*H157+W_PE*I157)))+ROW()/1000000</f>
        <v/>
      </c>
      <c r="AA157">
        <f>Database!B146</f>
        <v/>
      </c>
      <c r="AB157">
        <f>Database!D146</f>
        <v/>
      </c>
      <c r="AC157">
        <f>Database!E146</f>
        <v/>
      </c>
      <c r="AD157">
        <f>Database!I146</f>
        <v/>
      </c>
      <c r="AE157">
        <f>Database!AU146</f>
        <v/>
      </c>
      <c r="AF157">
        <f>Database!AZ146</f>
        <v/>
      </c>
      <c r="AG157">
        <f>Database!H146</f>
        <v/>
      </c>
      <c r="AH157">
        <f>Database!AV146</f>
        <v/>
      </c>
    </row>
    <row r="158">
      <c r="A158">
        <f>Database!B158</f>
        <v/>
      </c>
      <c r="B158">
        <f>IF(AND(Screener!$D$8&lt;&gt;"",Database!$E158=Screener!$D$8),1,0)</f>
        <v/>
      </c>
      <c r="C158">
        <f>IF(AND(Screener!$D$7&lt;&gt;"",Database!$D158=Screener!$D$7),1,0)</f>
        <v/>
      </c>
      <c r="D158">
        <f>IF(OR(N(Database!$I158)&lt;=0,N(Screener!$D$9)&lt;=0),0,MAX(0,1-ABS(LOG10(N(Database!$I158)/Screener!$D$9))/W_SIZEHW))</f>
        <v/>
      </c>
      <c r="E158">
        <f>IF(OR(Database!$AU158="",Screener!$D$10=""),0,IF(Database!$AU158=Screener!$D$10,1,0))</f>
        <v/>
      </c>
      <c r="F158">
        <f>IF(OR(Database!$AZ158="",Screener!$D$11=""),0,IF(Database!$AZ158=Screener!$D$11,1,0))</f>
        <v/>
      </c>
      <c r="G158">
        <f>IF(OR(Database!$H158="",N(Screener!$D$12)&lt;=0),0,MAX(0,1-(N(Screener!$D$12)-Database!$H158)/W_RECD))</f>
        <v/>
      </c>
      <c r="H158">
        <f>IF($U$1="",0,N(ISNUMBER(SEARCH($U$1,Database!$X158&amp;""))))+IF($V$1="",0,N(ISNUMBER(SEARCH($V$1,Database!$X158&amp;""))))+IF($W$1="",0,N(ISNUMBER(SEARCH($W$1,Database!$X158&amp;""))))+IF($X$1="",0,N(ISNUMBER(SEARCH($X$1,Database!$X158&amp;""))))+IF($Y$1="",0,N(ISNUMBER(SEARCH($Y$1,Database!$X158&amp;""))))+IF(Screener!$B$17="",0,N(ISNUMBER(SEARCH(LOWER(Screener!$B$17),Database!$X158&amp;""))))</f>
        <v/>
      </c>
      <c r="I158">
        <f>IF(OR(N(Database!$AV158)&lt;=0,N(Screener!$D$13)&lt;=0),0,MAX(0,1-ABS(LOG10(N(Database!$AV158)/Screener!$D$13))/W_PEHW))</f>
        <v/>
      </c>
      <c r="J158">
        <f>IF(OR(N(Database!$S158)&lt;=0,N(Screener!$D$14)&lt;=0),0,MAX(0,1-ABS(LOG10(Database!$S158/Screener!$D$14))/0.6))</f>
        <v/>
      </c>
      <c r="K158">
        <f>IF(Database!$B158=Screener!$B$5,-999999,IF(ISNUMBER(SEARCH(","&amp;Database!$A158&amp;",",","&amp;SUBSTITUTE(Screener!$B$19," ","")&amp;",")),2000000,IF(IF(OR(Screener!$B$18="All",AND(Screener!$B$18="With A-share",(Database!$AZ158="Y")),AND(Screener!$B$18="Without A-share",NOT((Database!$AZ158="Y")))),1,0)=0,-999999,IF(Screener!$B$16="cornerstone overlap first",H158*100000,IF(Screener!$B$16="demand-similar first",J158*100000,0))+W_SUB*B158+W_SEC*C158*(1-B158)+W_SIZE*D158+W_PROF*E158+W_AH*F158+W_REC*G158+W_CS*H158+W_PE*I158)))+ROW()/1000000</f>
        <v/>
      </c>
      <c r="AA158">
        <f>Database!B147</f>
        <v/>
      </c>
      <c r="AB158">
        <f>Database!D147</f>
        <v/>
      </c>
      <c r="AC158">
        <f>Database!E147</f>
        <v/>
      </c>
      <c r="AD158">
        <f>Database!I147</f>
        <v/>
      </c>
      <c r="AE158">
        <f>Database!AU147</f>
        <v/>
      </c>
      <c r="AF158">
        <f>Database!AZ147</f>
        <v/>
      </c>
      <c r="AG158">
        <f>Database!H147</f>
        <v/>
      </c>
      <c r="AH158">
        <f>Database!AV147</f>
        <v/>
      </c>
    </row>
    <row r="159">
      <c r="A159">
        <f>Database!B159</f>
        <v/>
      </c>
      <c r="B159">
        <f>IF(AND(Screener!$D$8&lt;&gt;"",Database!$E159=Screener!$D$8),1,0)</f>
        <v/>
      </c>
      <c r="C159">
        <f>IF(AND(Screener!$D$7&lt;&gt;"",Database!$D159=Screener!$D$7),1,0)</f>
        <v/>
      </c>
      <c r="D159">
        <f>IF(OR(N(Database!$I159)&lt;=0,N(Screener!$D$9)&lt;=0),0,MAX(0,1-ABS(LOG10(N(Database!$I159)/Screener!$D$9))/W_SIZEHW))</f>
        <v/>
      </c>
      <c r="E159">
        <f>IF(OR(Database!$AU159="",Screener!$D$10=""),0,IF(Database!$AU159=Screener!$D$10,1,0))</f>
        <v/>
      </c>
      <c r="F159">
        <f>IF(OR(Database!$AZ159="",Screener!$D$11=""),0,IF(Database!$AZ159=Screener!$D$11,1,0))</f>
        <v/>
      </c>
      <c r="G159">
        <f>IF(OR(Database!$H159="",N(Screener!$D$12)&lt;=0),0,MAX(0,1-(N(Screener!$D$12)-Database!$H159)/W_RECD))</f>
        <v/>
      </c>
      <c r="H159">
        <f>IF($U$1="",0,N(ISNUMBER(SEARCH($U$1,Database!$X159&amp;""))))+IF($V$1="",0,N(ISNUMBER(SEARCH($V$1,Database!$X159&amp;""))))+IF($W$1="",0,N(ISNUMBER(SEARCH($W$1,Database!$X159&amp;""))))+IF($X$1="",0,N(ISNUMBER(SEARCH($X$1,Database!$X159&amp;""))))+IF($Y$1="",0,N(ISNUMBER(SEARCH($Y$1,Database!$X159&amp;""))))+IF(Screener!$B$17="",0,N(ISNUMBER(SEARCH(LOWER(Screener!$B$17),Database!$X159&amp;""))))</f>
        <v/>
      </c>
      <c r="I159">
        <f>IF(OR(N(Database!$AV159)&lt;=0,N(Screener!$D$13)&lt;=0),0,MAX(0,1-ABS(LOG10(N(Database!$AV159)/Screener!$D$13))/W_PEHW))</f>
        <v/>
      </c>
      <c r="J159">
        <f>IF(OR(N(Database!$S159)&lt;=0,N(Screener!$D$14)&lt;=0),0,MAX(0,1-ABS(LOG10(Database!$S159/Screener!$D$14))/0.6))</f>
        <v/>
      </c>
      <c r="K159">
        <f>IF(Database!$B159=Screener!$B$5,-999999,IF(ISNUMBER(SEARCH(","&amp;Database!$A159&amp;",",","&amp;SUBSTITUTE(Screener!$B$19," ","")&amp;",")),2000000,IF(IF(OR(Screener!$B$18="All",AND(Screener!$B$18="With A-share",(Database!$AZ159="Y")),AND(Screener!$B$18="Without A-share",NOT((Database!$AZ159="Y")))),1,0)=0,-999999,IF(Screener!$B$16="cornerstone overlap first",H159*100000,IF(Screener!$B$16="demand-similar first",J159*100000,0))+W_SUB*B159+W_SEC*C159*(1-B159)+W_SIZE*D159+W_PROF*E159+W_AH*F159+W_REC*G159+W_CS*H159+W_PE*I159)))+ROW()/1000000</f>
        <v/>
      </c>
      <c r="AA159">
        <f>Database!B148</f>
        <v/>
      </c>
      <c r="AB159">
        <f>Database!D148</f>
        <v/>
      </c>
      <c r="AC159">
        <f>Database!E148</f>
        <v/>
      </c>
      <c r="AD159">
        <f>Database!I148</f>
        <v/>
      </c>
      <c r="AE159">
        <f>Database!AU148</f>
        <v/>
      </c>
      <c r="AF159">
        <f>Database!AZ148</f>
        <v/>
      </c>
      <c r="AG159">
        <f>Database!H148</f>
        <v/>
      </c>
      <c r="AH159">
        <f>Database!AV148</f>
        <v/>
      </c>
    </row>
    <row r="160">
      <c r="A160">
        <f>Database!B160</f>
        <v/>
      </c>
      <c r="B160">
        <f>IF(AND(Screener!$D$8&lt;&gt;"",Database!$E160=Screener!$D$8),1,0)</f>
        <v/>
      </c>
      <c r="C160">
        <f>IF(AND(Screener!$D$7&lt;&gt;"",Database!$D160=Screener!$D$7),1,0)</f>
        <v/>
      </c>
      <c r="D160">
        <f>IF(OR(N(Database!$I160)&lt;=0,N(Screener!$D$9)&lt;=0),0,MAX(0,1-ABS(LOG10(N(Database!$I160)/Screener!$D$9))/W_SIZEHW))</f>
        <v/>
      </c>
      <c r="E160">
        <f>IF(OR(Database!$AU160="",Screener!$D$10=""),0,IF(Database!$AU160=Screener!$D$10,1,0))</f>
        <v/>
      </c>
      <c r="F160">
        <f>IF(OR(Database!$AZ160="",Screener!$D$11=""),0,IF(Database!$AZ160=Screener!$D$11,1,0))</f>
        <v/>
      </c>
      <c r="G160">
        <f>IF(OR(Database!$H160="",N(Screener!$D$12)&lt;=0),0,MAX(0,1-(N(Screener!$D$12)-Database!$H160)/W_RECD))</f>
        <v/>
      </c>
      <c r="H160">
        <f>IF($U$1="",0,N(ISNUMBER(SEARCH($U$1,Database!$X160&amp;""))))+IF($V$1="",0,N(ISNUMBER(SEARCH($V$1,Database!$X160&amp;""))))+IF($W$1="",0,N(ISNUMBER(SEARCH($W$1,Database!$X160&amp;""))))+IF($X$1="",0,N(ISNUMBER(SEARCH($X$1,Database!$X160&amp;""))))+IF($Y$1="",0,N(ISNUMBER(SEARCH($Y$1,Database!$X160&amp;""))))+IF(Screener!$B$17="",0,N(ISNUMBER(SEARCH(LOWER(Screener!$B$17),Database!$X160&amp;""))))</f>
        <v/>
      </c>
      <c r="I160">
        <f>IF(OR(N(Database!$AV160)&lt;=0,N(Screener!$D$13)&lt;=0),0,MAX(0,1-ABS(LOG10(N(Database!$AV160)/Screener!$D$13))/W_PEHW))</f>
        <v/>
      </c>
      <c r="J160">
        <f>IF(OR(N(Database!$S160)&lt;=0,N(Screener!$D$14)&lt;=0),0,MAX(0,1-ABS(LOG10(Database!$S160/Screener!$D$14))/0.6))</f>
        <v/>
      </c>
      <c r="K160">
        <f>IF(Database!$B160=Screener!$B$5,-999999,IF(ISNUMBER(SEARCH(","&amp;Database!$A160&amp;",",","&amp;SUBSTITUTE(Screener!$B$19," ","")&amp;",")),2000000,IF(IF(OR(Screener!$B$18="All",AND(Screener!$B$18="With A-share",(Database!$AZ160="Y")),AND(Screener!$B$18="Without A-share",NOT((Database!$AZ160="Y")))),1,0)=0,-999999,IF(Screener!$B$16="cornerstone overlap first",H160*100000,IF(Screener!$B$16="demand-similar first",J160*100000,0))+W_SUB*B160+W_SEC*C160*(1-B160)+W_SIZE*D160+W_PROF*E160+W_AH*F160+W_REC*G160+W_CS*H160+W_PE*I160)))+ROW()/1000000</f>
        <v/>
      </c>
      <c r="AA160">
        <f>Database!B149</f>
        <v/>
      </c>
      <c r="AB160">
        <f>Database!D149</f>
        <v/>
      </c>
      <c r="AC160">
        <f>Database!E149</f>
        <v/>
      </c>
      <c r="AD160">
        <f>Database!I149</f>
        <v/>
      </c>
      <c r="AE160">
        <f>Database!AU149</f>
        <v/>
      </c>
      <c r="AF160">
        <f>Database!AZ149</f>
        <v/>
      </c>
      <c r="AG160">
        <f>Database!H149</f>
        <v/>
      </c>
      <c r="AH160">
        <f>Database!AV149</f>
        <v/>
      </c>
    </row>
    <row r="161">
      <c r="A161">
        <f>Database!B161</f>
        <v/>
      </c>
      <c r="B161">
        <f>IF(AND(Screener!$D$8&lt;&gt;"",Database!$E161=Screener!$D$8),1,0)</f>
        <v/>
      </c>
      <c r="C161">
        <f>IF(AND(Screener!$D$7&lt;&gt;"",Database!$D161=Screener!$D$7),1,0)</f>
        <v/>
      </c>
      <c r="D161">
        <f>IF(OR(N(Database!$I161)&lt;=0,N(Screener!$D$9)&lt;=0),0,MAX(0,1-ABS(LOG10(N(Database!$I161)/Screener!$D$9))/W_SIZEHW))</f>
        <v/>
      </c>
      <c r="E161">
        <f>IF(OR(Database!$AU161="",Screener!$D$10=""),0,IF(Database!$AU161=Screener!$D$10,1,0))</f>
        <v/>
      </c>
      <c r="F161">
        <f>IF(OR(Database!$AZ161="",Screener!$D$11=""),0,IF(Database!$AZ161=Screener!$D$11,1,0))</f>
        <v/>
      </c>
      <c r="G161">
        <f>IF(OR(Database!$H161="",N(Screener!$D$12)&lt;=0),0,MAX(0,1-(N(Screener!$D$12)-Database!$H161)/W_RECD))</f>
        <v/>
      </c>
      <c r="H161">
        <f>IF($U$1="",0,N(ISNUMBER(SEARCH($U$1,Database!$X161&amp;""))))+IF($V$1="",0,N(ISNUMBER(SEARCH($V$1,Database!$X161&amp;""))))+IF($W$1="",0,N(ISNUMBER(SEARCH($W$1,Database!$X161&amp;""))))+IF($X$1="",0,N(ISNUMBER(SEARCH($X$1,Database!$X161&amp;""))))+IF($Y$1="",0,N(ISNUMBER(SEARCH($Y$1,Database!$X161&amp;""))))+IF(Screener!$B$17="",0,N(ISNUMBER(SEARCH(LOWER(Screener!$B$17),Database!$X161&amp;""))))</f>
        <v/>
      </c>
      <c r="I161">
        <f>IF(OR(N(Database!$AV161)&lt;=0,N(Screener!$D$13)&lt;=0),0,MAX(0,1-ABS(LOG10(N(Database!$AV161)/Screener!$D$13))/W_PEHW))</f>
        <v/>
      </c>
      <c r="J161">
        <f>IF(OR(N(Database!$S161)&lt;=0,N(Screener!$D$14)&lt;=0),0,MAX(0,1-ABS(LOG10(Database!$S161/Screener!$D$14))/0.6))</f>
        <v/>
      </c>
      <c r="K161">
        <f>IF(Database!$B161=Screener!$B$5,-999999,IF(ISNUMBER(SEARCH(","&amp;Database!$A161&amp;",",","&amp;SUBSTITUTE(Screener!$B$19," ","")&amp;",")),2000000,IF(IF(OR(Screener!$B$18="All",AND(Screener!$B$18="With A-share",(Database!$AZ161="Y")),AND(Screener!$B$18="Without A-share",NOT((Database!$AZ161="Y")))),1,0)=0,-999999,IF(Screener!$B$16="cornerstone overlap first",H161*100000,IF(Screener!$B$16="demand-similar first",J161*100000,0))+W_SUB*B161+W_SEC*C161*(1-B161)+W_SIZE*D161+W_PROF*E161+W_AH*F161+W_REC*G161+W_CS*H161+W_PE*I161)))+ROW()/1000000</f>
        <v/>
      </c>
      <c r="AA161">
        <f>Database!B150</f>
        <v/>
      </c>
      <c r="AB161">
        <f>Database!D150</f>
        <v/>
      </c>
      <c r="AC161">
        <f>Database!E150</f>
        <v/>
      </c>
      <c r="AD161">
        <f>Database!I150</f>
        <v/>
      </c>
      <c r="AE161">
        <f>Database!AU150</f>
        <v/>
      </c>
      <c r="AF161">
        <f>Database!AZ150</f>
        <v/>
      </c>
      <c r="AG161">
        <f>Database!H150</f>
        <v/>
      </c>
      <c r="AH161">
        <f>Database!AV150</f>
        <v/>
      </c>
    </row>
    <row r="162">
      <c r="A162">
        <f>Database!B162</f>
        <v/>
      </c>
      <c r="B162">
        <f>IF(AND(Screener!$D$8&lt;&gt;"",Database!$E162=Screener!$D$8),1,0)</f>
        <v/>
      </c>
      <c r="C162">
        <f>IF(AND(Screener!$D$7&lt;&gt;"",Database!$D162=Screener!$D$7),1,0)</f>
        <v/>
      </c>
      <c r="D162">
        <f>IF(OR(N(Database!$I162)&lt;=0,N(Screener!$D$9)&lt;=0),0,MAX(0,1-ABS(LOG10(N(Database!$I162)/Screener!$D$9))/W_SIZEHW))</f>
        <v/>
      </c>
      <c r="E162">
        <f>IF(OR(Database!$AU162="",Screener!$D$10=""),0,IF(Database!$AU162=Screener!$D$10,1,0))</f>
        <v/>
      </c>
      <c r="F162">
        <f>IF(OR(Database!$AZ162="",Screener!$D$11=""),0,IF(Database!$AZ162=Screener!$D$11,1,0))</f>
        <v/>
      </c>
      <c r="G162">
        <f>IF(OR(Database!$H162="",N(Screener!$D$12)&lt;=0),0,MAX(0,1-(N(Screener!$D$12)-Database!$H162)/W_RECD))</f>
        <v/>
      </c>
      <c r="H162">
        <f>IF($U$1="",0,N(ISNUMBER(SEARCH($U$1,Database!$X162&amp;""))))+IF($V$1="",0,N(ISNUMBER(SEARCH($V$1,Database!$X162&amp;""))))+IF($W$1="",0,N(ISNUMBER(SEARCH($W$1,Database!$X162&amp;""))))+IF($X$1="",0,N(ISNUMBER(SEARCH($X$1,Database!$X162&amp;""))))+IF($Y$1="",0,N(ISNUMBER(SEARCH($Y$1,Database!$X162&amp;""))))+IF(Screener!$B$17="",0,N(ISNUMBER(SEARCH(LOWER(Screener!$B$17),Database!$X162&amp;""))))</f>
        <v/>
      </c>
      <c r="I162">
        <f>IF(OR(N(Database!$AV162)&lt;=0,N(Screener!$D$13)&lt;=0),0,MAX(0,1-ABS(LOG10(N(Database!$AV162)/Screener!$D$13))/W_PEHW))</f>
        <v/>
      </c>
      <c r="J162">
        <f>IF(OR(N(Database!$S162)&lt;=0,N(Screener!$D$14)&lt;=0),0,MAX(0,1-ABS(LOG10(Database!$S162/Screener!$D$14))/0.6))</f>
        <v/>
      </c>
      <c r="K162">
        <f>IF(Database!$B162=Screener!$B$5,-999999,IF(ISNUMBER(SEARCH(","&amp;Database!$A162&amp;",",","&amp;SUBSTITUTE(Screener!$B$19," ","")&amp;",")),2000000,IF(IF(OR(Screener!$B$18="All",AND(Screener!$B$18="With A-share",(Database!$AZ162="Y")),AND(Screener!$B$18="Without A-share",NOT((Database!$AZ162="Y")))),1,0)=0,-999999,IF(Screener!$B$16="cornerstone overlap first",H162*100000,IF(Screener!$B$16="demand-similar first",J162*100000,0))+W_SUB*B162+W_SEC*C162*(1-B162)+W_SIZE*D162+W_PROF*E162+W_AH*F162+W_REC*G162+W_CS*H162+W_PE*I162)))+ROW()/1000000</f>
        <v/>
      </c>
      <c r="AA162">
        <f>Database!B151</f>
        <v/>
      </c>
      <c r="AB162">
        <f>Database!D151</f>
        <v/>
      </c>
      <c r="AC162">
        <f>Database!E151</f>
        <v/>
      </c>
      <c r="AD162">
        <f>Database!I151</f>
        <v/>
      </c>
      <c r="AE162">
        <f>Database!AU151</f>
        <v/>
      </c>
      <c r="AF162">
        <f>Database!AZ151</f>
        <v/>
      </c>
      <c r="AG162">
        <f>Database!H151</f>
        <v/>
      </c>
      <c r="AH162">
        <f>Database!AV151</f>
        <v/>
      </c>
    </row>
    <row r="163">
      <c r="A163">
        <f>Database!B163</f>
        <v/>
      </c>
      <c r="B163">
        <f>IF(AND(Screener!$D$8&lt;&gt;"",Database!$E163=Screener!$D$8),1,0)</f>
        <v/>
      </c>
      <c r="C163">
        <f>IF(AND(Screener!$D$7&lt;&gt;"",Database!$D163=Screener!$D$7),1,0)</f>
        <v/>
      </c>
      <c r="D163">
        <f>IF(OR(N(Database!$I163)&lt;=0,N(Screener!$D$9)&lt;=0),0,MAX(0,1-ABS(LOG10(N(Database!$I163)/Screener!$D$9))/W_SIZEHW))</f>
        <v/>
      </c>
      <c r="E163">
        <f>IF(OR(Database!$AU163="",Screener!$D$10=""),0,IF(Database!$AU163=Screener!$D$10,1,0))</f>
        <v/>
      </c>
      <c r="F163">
        <f>IF(OR(Database!$AZ163="",Screener!$D$11=""),0,IF(Database!$AZ163=Screener!$D$11,1,0))</f>
        <v/>
      </c>
      <c r="G163">
        <f>IF(OR(Database!$H163="",N(Screener!$D$12)&lt;=0),0,MAX(0,1-(N(Screener!$D$12)-Database!$H163)/W_RECD))</f>
        <v/>
      </c>
      <c r="H163">
        <f>IF($U$1="",0,N(ISNUMBER(SEARCH($U$1,Database!$X163&amp;""))))+IF($V$1="",0,N(ISNUMBER(SEARCH($V$1,Database!$X163&amp;""))))+IF($W$1="",0,N(ISNUMBER(SEARCH($W$1,Database!$X163&amp;""))))+IF($X$1="",0,N(ISNUMBER(SEARCH($X$1,Database!$X163&amp;""))))+IF($Y$1="",0,N(ISNUMBER(SEARCH($Y$1,Database!$X163&amp;""))))+IF(Screener!$B$17="",0,N(ISNUMBER(SEARCH(LOWER(Screener!$B$17),Database!$X163&amp;""))))</f>
        <v/>
      </c>
      <c r="I163">
        <f>IF(OR(N(Database!$AV163)&lt;=0,N(Screener!$D$13)&lt;=0),0,MAX(0,1-ABS(LOG10(N(Database!$AV163)/Screener!$D$13))/W_PEHW))</f>
        <v/>
      </c>
      <c r="J163">
        <f>IF(OR(N(Database!$S163)&lt;=0,N(Screener!$D$14)&lt;=0),0,MAX(0,1-ABS(LOG10(Database!$S163/Screener!$D$14))/0.6))</f>
        <v/>
      </c>
      <c r="K163">
        <f>IF(Database!$B163=Screener!$B$5,-999999,IF(ISNUMBER(SEARCH(","&amp;Database!$A163&amp;",",","&amp;SUBSTITUTE(Screener!$B$19," ","")&amp;",")),2000000,IF(IF(OR(Screener!$B$18="All",AND(Screener!$B$18="With A-share",(Database!$AZ163="Y")),AND(Screener!$B$18="Without A-share",NOT((Database!$AZ163="Y")))),1,0)=0,-999999,IF(Screener!$B$16="cornerstone overlap first",H163*100000,IF(Screener!$B$16="demand-similar first",J163*100000,0))+W_SUB*B163+W_SEC*C163*(1-B163)+W_SIZE*D163+W_PROF*E163+W_AH*F163+W_REC*G163+W_CS*H163+W_PE*I163)))+ROW()/1000000</f>
        <v/>
      </c>
      <c r="AA163">
        <f>Database!B152</f>
        <v/>
      </c>
      <c r="AB163">
        <f>Database!D152</f>
        <v/>
      </c>
      <c r="AC163">
        <f>Database!E152</f>
        <v/>
      </c>
      <c r="AD163">
        <f>Database!I152</f>
        <v/>
      </c>
      <c r="AE163">
        <f>Database!AU152</f>
        <v/>
      </c>
      <c r="AF163">
        <f>Database!AZ152</f>
        <v/>
      </c>
      <c r="AG163">
        <f>Database!H152</f>
        <v/>
      </c>
      <c r="AH163">
        <f>Database!AV152</f>
        <v/>
      </c>
    </row>
    <row r="164">
      <c r="A164">
        <f>Database!B164</f>
        <v/>
      </c>
      <c r="B164">
        <f>IF(AND(Screener!$D$8&lt;&gt;"",Database!$E164=Screener!$D$8),1,0)</f>
        <v/>
      </c>
      <c r="C164">
        <f>IF(AND(Screener!$D$7&lt;&gt;"",Database!$D164=Screener!$D$7),1,0)</f>
        <v/>
      </c>
      <c r="D164">
        <f>IF(OR(N(Database!$I164)&lt;=0,N(Screener!$D$9)&lt;=0),0,MAX(0,1-ABS(LOG10(N(Database!$I164)/Screener!$D$9))/W_SIZEHW))</f>
        <v/>
      </c>
      <c r="E164">
        <f>IF(OR(Database!$AU164="",Screener!$D$10=""),0,IF(Database!$AU164=Screener!$D$10,1,0))</f>
        <v/>
      </c>
      <c r="F164">
        <f>IF(OR(Database!$AZ164="",Screener!$D$11=""),0,IF(Database!$AZ164=Screener!$D$11,1,0))</f>
        <v/>
      </c>
      <c r="G164">
        <f>IF(OR(Database!$H164="",N(Screener!$D$12)&lt;=0),0,MAX(0,1-(N(Screener!$D$12)-Database!$H164)/W_RECD))</f>
        <v/>
      </c>
      <c r="H164">
        <f>IF($U$1="",0,N(ISNUMBER(SEARCH($U$1,Database!$X164&amp;""))))+IF($V$1="",0,N(ISNUMBER(SEARCH($V$1,Database!$X164&amp;""))))+IF($W$1="",0,N(ISNUMBER(SEARCH($W$1,Database!$X164&amp;""))))+IF($X$1="",0,N(ISNUMBER(SEARCH($X$1,Database!$X164&amp;""))))+IF($Y$1="",0,N(ISNUMBER(SEARCH($Y$1,Database!$X164&amp;""))))+IF(Screener!$B$17="",0,N(ISNUMBER(SEARCH(LOWER(Screener!$B$17),Database!$X164&amp;""))))</f>
        <v/>
      </c>
      <c r="I164">
        <f>IF(OR(N(Database!$AV164)&lt;=0,N(Screener!$D$13)&lt;=0),0,MAX(0,1-ABS(LOG10(N(Database!$AV164)/Screener!$D$13))/W_PEHW))</f>
        <v/>
      </c>
      <c r="J164">
        <f>IF(OR(N(Database!$S164)&lt;=0,N(Screener!$D$14)&lt;=0),0,MAX(0,1-ABS(LOG10(Database!$S164/Screener!$D$14))/0.6))</f>
        <v/>
      </c>
      <c r="K164">
        <f>IF(Database!$B164=Screener!$B$5,-999999,IF(ISNUMBER(SEARCH(","&amp;Database!$A164&amp;",",","&amp;SUBSTITUTE(Screener!$B$19," ","")&amp;",")),2000000,IF(IF(OR(Screener!$B$18="All",AND(Screener!$B$18="With A-share",(Database!$AZ164="Y")),AND(Screener!$B$18="Without A-share",NOT((Database!$AZ164="Y")))),1,0)=0,-999999,IF(Screener!$B$16="cornerstone overlap first",H164*100000,IF(Screener!$B$16="demand-similar first",J164*100000,0))+W_SUB*B164+W_SEC*C164*(1-B164)+W_SIZE*D164+W_PROF*E164+W_AH*F164+W_REC*G164+W_CS*H164+W_PE*I164)))+ROW()/1000000</f>
        <v/>
      </c>
      <c r="AA164">
        <f>Database!B153</f>
        <v/>
      </c>
      <c r="AB164">
        <f>Database!D153</f>
        <v/>
      </c>
      <c r="AC164">
        <f>Database!E153</f>
        <v/>
      </c>
      <c r="AD164">
        <f>Database!I153</f>
        <v/>
      </c>
      <c r="AE164">
        <f>Database!AU153</f>
        <v/>
      </c>
      <c r="AF164">
        <f>Database!AZ153</f>
        <v/>
      </c>
      <c r="AG164">
        <f>Database!H153</f>
        <v/>
      </c>
      <c r="AH164">
        <f>Database!AV153</f>
        <v/>
      </c>
    </row>
    <row r="165">
      <c r="A165">
        <f>Database!B165</f>
        <v/>
      </c>
      <c r="B165">
        <f>IF(AND(Screener!$D$8&lt;&gt;"",Database!$E165=Screener!$D$8),1,0)</f>
        <v/>
      </c>
      <c r="C165">
        <f>IF(AND(Screener!$D$7&lt;&gt;"",Database!$D165=Screener!$D$7),1,0)</f>
        <v/>
      </c>
      <c r="D165">
        <f>IF(OR(N(Database!$I165)&lt;=0,N(Screener!$D$9)&lt;=0),0,MAX(0,1-ABS(LOG10(N(Database!$I165)/Screener!$D$9))/W_SIZEHW))</f>
        <v/>
      </c>
      <c r="E165">
        <f>IF(OR(Database!$AU165="",Screener!$D$10=""),0,IF(Database!$AU165=Screener!$D$10,1,0))</f>
        <v/>
      </c>
      <c r="F165">
        <f>IF(OR(Database!$AZ165="",Screener!$D$11=""),0,IF(Database!$AZ165=Screener!$D$11,1,0))</f>
        <v/>
      </c>
      <c r="G165">
        <f>IF(OR(Database!$H165="",N(Screener!$D$12)&lt;=0),0,MAX(0,1-(N(Screener!$D$12)-Database!$H165)/W_RECD))</f>
        <v/>
      </c>
      <c r="H165">
        <f>IF($U$1="",0,N(ISNUMBER(SEARCH($U$1,Database!$X165&amp;""))))+IF($V$1="",0,N(ISNUMBER(SEARCH($V$1,Database!$X165&amp;""))))+IF($W$1="",0,N(ISNUMBER(SEARCH($W$1,Database!$X165&amp;""))))+IF($X$1="",0,N(ISNUMBER(SEARCH($X$1,Database!$X165&amp;""))))+IF($Y$1="",0,N(ISNUMBER(SEARCH($Y$1,Database!$X165&amp;""))))+IF(Screener!$B$17="",0,N(ISNUMBER(SEARCH(LOWER(Screener!$B$17),Database!$X165&amp;""))))</f>
        <v/>
      </c>
      <c r="I165">
        <f>IF(OR(N(Database!$AV165)&lt;=0,N(Screener!$D$13)&lt;=0),0,MAX(0,1-ABS(LOG10(N(Database!$AV165)/Screener!$D$13))/W_PEHW))</f>
        <v/>
      </c>
      <c r="J165">
        <f>IF(OR(N(Database!$S165)&lt;=0,N(Screener!$D$14)&lt;=0),0,MAX(0,1-ABS(LOG10(Database!$S165/Screener!$D$14))/0.6))</f>
        <v/>
      </c>
      <c r="K165">
        <f>IF(Database!$B165=Screener!$B$5,-999999,IF(ISNUMBER(SEARCH(","&amp;Database!$A165&amp;",",","&amp;SUBSTITUTE(Screener!$B$19," ","")&amp;",")),2000000,IF(IF(OR(Screener!$B$18="All",AND(Screener!$B$18="With A-share",(Database!$AZ165="Y")),AND(Screener!$B$18="Without A-share",NOT((Database!$AZ165="Y")))),1,0)=0,-999999,IF(Screener!$B$16="cornerstone overlap first",H165*100000,IF(Screener!$B$16="demand-similar first",J165*100000,0))+W_SUB*B165+W_SEC*C165*(1-B165)+W_SIZE*D165+W_PROF*E165+W_AH*F165+W_REC*G165+W_CS*H165+W_PE*I165)))+ROW()/1000000</f>
        <v/>
      </c>
      <c r="AA165">
        <f>Database!B154</f>
        <v/>
      </c>
      <c r="AB165">
        <f>Database!D154</f>
        <v/>
      </c>
      <c r="AC165">
        <f>Database!E154</f>
        <v/>
      </c>
      <c r="AD165">
        <f>Database!I154</f>
        <v/>
      </c>
      <c r="AE165">
        <f>Database!AU154</f>
        <v/>
      </c>
      <c r="AF165">
        <f>Database!AZ154</f>
        <v/>
      </c>
      <c r="AG165">
        <f>Database!H154</f>
        <v/>
      </c>
      <c r="AH165">
        <f>Database!AV154</f>
        <v/>
      </c>
    </row>
    <row r="166">
      <c r="A166">
        <f>Database!B166</f>
        <v/>
      </c>
      <c r="B166">
        <f>IF(AND(Screener!$D$8&lt;&gt;"",Database!$E166=Screener!$D$8),1,0)</f>
        <v/>
      </c>
      <c r="C166">
        <f>IF(AND(Screener!$D$7&lt;&gt;"",Database!$D166=Screener!$D$7),1,0)</f>
        <v/>
      </c>
      <c r="D166">
        <f>IF(OR(N(Database!$I166)&lt;=0,N(Screener!$D$9)&lt;=0),0,MAX(0,1-ABS(LOG10(N(Database!$I166)/Screener!$D$9))/W_SIZEHW))</f>
        <v/>
      </c>
      <c r="E166">
        <f>IF(OR(Database!$AU166="",Screener!$D$10=""),0,IF(Database!$AU166=Screener!$D$10,1,0))</f>
        <v/>
      </c>
      <c r="F166">
        <f>IF(OR(Database!$AZ166="",Screener!$D$11=""),0,IF(Database!$AZ166=Screener!$D$11,1,0))</f>
        <v/>
      </c>
      <c r="G166">
        <f>IF(OR(Database!$H166="",N(Screener!$D$12)&lt;=0),0,MAX(0,1-(N(Screener!$D$12)-Database!$H166)/W_RECD))</f>
        <v/>
      </c>
      <c r="H166">
        <f>IF($U$1="",0,N(ISNUMBER(SEARCH($U$1,Database!$X166&amp;""))))+IF($V$1="",0,N(ISNUMBER(SEARCH($V$1,Database!$X166&amp;""))))+IF($W$1="",0,N(ISNUMBER(SEARCH($W$1,Database!$X166&amp;""))))+IF($X$1="",0,N(ISNUMBER(SEARCH($X$1,Database!$X166&amp;""))))+IF($Y$1="",0,N(ISNUMBER(SEARCH($Y$1,Database!$X166&amp;""))))+IF(Screener!$B$17="",0,N(ISNUMBER(SEARCH(LOWER(Screener!$B$17),Database!$X166&amp;""))))</f>
        <v/>
      </c>
      <c r="I166">
        <f>IF(OR(N(Database!$AV166)&lt;=0,N(Screener!$D$13)&lt;=0),0,MAX(0,1-ABS(LOG10(N(Database!$AV166)/Screener!$D$13))/W_PEHW))</f>
        <v/>
      </c>
      <c r="J166">
        <f>IF(OR(N(Database!$S166)&lt;=0,N(Screener!$D$14)&lt;=0),0,MAX(0,1-ABS(LOG10(Database!$S166/Screener!$D$14))/0.6))</f>
        <v/>
      </c>
      <c r="K166">
        <f>IF(Database!$B166=Screener!$B$5,-999999,IF(ISNUMBER(SEARCH(","&amp;Database!$A166&amp;",",","&amp;SUBSTITUTE(Screener!$B$19," ","")&amp;",")),2000000,IF(IF(OR(Screener!$B$18="All",AND(Screener!$B$18="With A-share",(Database!$AZ166="Y")),AND(Screener!$B$18="Without A-share",NOT((Database!$AZ166="Y")))),1,0)=0,-999999,IF(Screener!$B$16="cornerstone overlap first",H166*100000,IF(Screener!$B$16="demand-similar first",J166*100000,0))+W_SUB*B166+W_SEC*C166*(1-B166)+W_SIZE*D166+W_PROF*E166+W_AH*F166+W_REC*G166+W_CS*H166+W_PE*I166)))+ROW()/1000000</f>
        <v/>
      </c>
      <c r="AA166">
        <f>Database!B155</f>
        <v/>
      </c>
      <c r="AB166">
        <f>Database!D155</f>
        <v/>
      </c>
      <c r="AC166">
        <f>Database!E155</f>
        <v/>
      </c>
      <c r="AD166">
        <f>Database!I155</f>
        <v/>
      </c>
      <c r="AE166">
        <f>Database!AU155</f>
        <v/>
      </c>
      <c r="AF166">
        <f>Database!AZ155</f>
        <v/>
      </c>
      <c r="AG166">
        <f>Database!H155</f>
        <v/>
      </c>
      <c r="AH166">
        <f>Database!AV155</f>
        <v/>
      </c>
    </row>
    <row r="167">
      <c r="A167">
        <f>Database!B167</f>
        <v/>
      </c>
      <c r="B167">
        <f>IF(AND(Screener!$D$8&lt;&gt;"",Database!$E167=Screener!$D$8),1,0)</f>
        <v/>
      </c>
      <c r="C167">
        <f>IF(AND(Screener!$D$7&lt;&gt;"",Database!$D167=Screener!$D$7),1,0)</f>
        <v/>
      </c>
      <c r="D167">
        <f>IF(OR(N(Database!$I167)&lt;=0,N(Screener!$D$9)&lt;=0),0,MAX(0,1-ABS(LOG10(N(Database!$I167)/Screener!$D$9))/W_SIZEHW))</f>
        <v/>
      </c>
      <c r="E167">
        <f>IF(OR(Database!$AU167="",Screener!$D$10=""),0,IF(Database!$AU167=Screener!$D$10,1,0))</f>
        <v/>
      </c>
      <c r="F167">
        <f>IF(OR(Database!$AZ167="",Screener!$D$11=""),0,IF(Database!$AZ167=Screener!$D$11,1,0))</f>
        <v/>
      </c>
      <c r="G167">
        <f>IF(OR(Database!$H167="",N(Screener!$D$12)&lt;=0),0,MAX(0,1-(N(Screener!$D$12)-Database!$H167)/W_RECD))</f>
        <v/>
      </c>
      <c r="H167">
        <f>IF($U$1="",0,N(ISNUMBER(SEARCH($U$1,Database!$X167&amp;""))))+IF($V$1="",0,N(ISNUMBER(SEARCH($V$1,Database!$X167&amp;""))))+IF($W$1="",0,N(ISNUMBER(SEARCH($W$1,Database!$X167&amp;""))))+IF($X$1="",0,N(ISNUMBER(SEARCH($X$1,Database!$X167&amp;""))))+IF($Y$1="",0,N(ISNUMBER(SEARCH($Y$1,Database!$X167&amp;""))))+IF(Screener!$B$17="",0,N(ISNUMBER(SEARCH(LOWER(Screener!$B$17),Database!$X167&amp;""))))</f>
        <v/>
      </c>
      <c r="I167">
        <f>IF(OR(N(Database!$AV167)&lt;=0,N(Screener!$D$13)&lt;=0),0,MAX(0,1-ABS(LOG10(N(Database!$AV167)/Screener!$D$13))/W_PEHW))</f>
        <v/>
      </c>
      <c r="J167">
        <f>IF(OR(N(Database!$S167)&lt;=0,N(Screener!$D$14)&lt;=0),0,MAX(0,1-ABS(LOG10(Database!$S167/Screener!$D$14))/0.6))</f>
        <v/>
      </c>
      <c r="K167">
        <f>IF(Database!$B167=Screener!$B$5,-999999,IF(ISNUMBER(SEARCH(","&amp;Database!$A167&amp;",",","&amp;SUBSTITUTE(Screener!$B$19," ","")&amp;",")),2000000,IF(IF(OR(Screener!$B$18="All",AND(Screener!$B$18="With A-share",(Database!$AZ167="Y")),AND(Screener!$B$18="Without A-share",NOT((Database!$AZ167="Y")))),1,0)=0,-999999,IF(Screener!$B$16="cornerstone overlap first",H167*100000,IF(Screener!$B$16="demand-similar first",J167*100000,0))+W_SUB*B167+W_SEC*C167*(1-B167)+W_SIZE*D167+W_PROF*E167+W_AH*F167+W_REC*G167+W_CS*H167+W_PE*I167)))+ROW()/1000000</f>
        <v/>
      </c>
      <c r="AA167">
        <f>Database!B156</f>
        <v/>
      </c>
      <c r="AB167">
        <f>Database!D156</f>
        <v/>
      </c>
      <c r="AC167">
        <f>Database!E156</f>
        <v/>
      </c>
      <c r="AD167">
        <f>Database!I156</f>
        <v/>
      </c>
      <c r="AE167">
        <f>Database!AU156</f>
        <v/>
      </c>
      <c r="AF167">
        <f>Database!AZ156</f>
        <v/>
      </c>
      <c r="AG167">
        <f>Database!H156</f>
        <v/>
      </c>
      <c r="AH167">
        <f>Database!AV156</f>
        <v/>
      </c>
    </row>
    <row r="168">
      <c r="A168">
        <f>Database!B168</f>
        <v/>
      </c>
      <c r="B168">
        <f>IF(AND(Screener!$D$8&lt;&gt;"",Database!$E168=Screener!$D$8),1,0)</f>
        <v/>
      </c>
      <c r="C168">
        <f>IF(AND(Screener!$D$7&lt;&gt;"",Database!$D168=Screener!$D$7),1,0)</f>
        <v/>
      </c>
      <c r="D168">
        <f>IF(OR(N(Database!$I168)&lt;=0,N(Screener!$D$9)&lt;=0),0,MAX(0,1-ABS(LOG10(N(Database!$I168)/Screener!$D$9))/W_SIZEHW))</f>
        <v/>
      </c>
      <c r="E168">
        <f>IF(OR(Database!$AU168="",Screener!$D$10=""),0,IF(Database!$AU168=Screener!$D$10,1,0))</f>
        <v/>
      </c>
      <c r="F168">
        <f>IF(OR(Database!$AZ168="",Screener!$D$11=""),0,IF(Database!$AZ168=Screener!$D$11,1,0))</f>
        <v/>
      </c>
      <c r="G168">
        <f>IF(OR(Database!$H168="",N(Screener!$D$12)&lt;=0),0,MAX(0,1-(N(Screener!$D$12)-Database!$H168)/W_RECD))</f>
        <v/>
      </c>
      <c r="H168">
        <f>IF($U$1="",0,N(ISNUMBER(SEARCH($U$1,Database!$X168&amp;""))))+IF($V$1="",0,N(ISNUMBER(SEARCH($V$1,Database!$X168&amp;""))))+IF($W$1="",0,N(ISNUMBER(SEARCH($W$1,Database!$X168&amp;""))))+IF($X$1="",0,N(ISNUMBER(SEARCH($X$1,Database!$X168&amp;""))))+IF($Y$1="",0,N(ISNUMBER(SEARCH($Y$1,Database!$X168&amp;""))))+IF(Screener!$B$17="",0,N(ISNUMBER(SEARCH(LOWER(Screener!$B$17),Database!$X168&amp;""))))</f>
        <v/>
      </c>
      <c r="I168">
        <f>IF(OR(N(Database!$AV168)&lt;=0,N(Screener!$D$13)&lt;=0),0,MAX(0,1-ABS(LOG10(N(Database!$AV168)/Screener!$D$13))/W_PEHW))</f>
        <v/>
      </c>
      <c r="J168">
        <f>IF(OR(N(Database!$S168)&lt;=0,N(Screener!$D$14)&lt;=0),0,MAX(0,1-ABS(LOG10(Database!$S168/Screener!$D$14))/0.6))</f>
        <v/>
      </c>
      <c r="K168">
        <f>IF(Database!$B168=Screener!$B$5,-999999,IF(ISNUMBER(SEARCH(","&amp;Database!$A168&amp;",",","&amp;SUBSTITUTE(Screener!$B$19," ","")&amp;",")),2000000,IF(IF(OR(Screener!$B$18="All",AND(Screener!$B$18="With A-share",(Database!$AZ168="Y")),AND(Screener!$B$18="Without A-share",NOT((Database!$AZ168="Y")))),1,0)=0,-999999,IF(Screener!$B$16="cornerstone overlap first",H168*100000,IF(Screener!$B$16="demand-similar first",J168*100000,0))+W_SUB*B168+W_SEC*C168*(1-B168)+W_SIZE*D168+W_PROF*E168+W_AH*F168+W_REC*G168+W_CS*H168+W_PE*I168)))+ROW()/1000000</f>
        <v/>
      </c>
      <c r="AA168">
        <f>Database!B157</f>
        <v/>
      </c>
      <c r="AB168">
        <f>Database!D157</f>
        <v/>
      </c>
      <c r="AC168">
        <f>Database!E157</f>
        <v/>
      </c>
      <c r="AD168">
        <f>Database!I157</f>
        <v/>
      </c>
      <c r="AE168">
        <f>Database!AU157</f>
        <v/>
      </c>
      <c r="AF168">
        <f>Database!AZ157</f>
        <v/>
      </c>
      <c r="AG168">
        <f>Database!H157</f>
        <v/>
      </c>
      <c r="AH168">
        <f>Database!AV157</f>
        <v/>
      </c>
    </row>
    <row r="169">
      <c r="A169">
        <f>Database!B169</f>
        <v/>
      </c>
      <c r="B169">
        <f>IF(AND(Screener!$D$8&lt;&gt;"",Database!$E169=Screener!$D$8),1,0)</f>
        <v/>
      </c>
      <c r="C169">
        <f>IF(AND(Screener!$D$7&lt;&gt;"",Database!$D169=Screener!$D$7),1,0)</f>
        <v/>
      </c>
      <c r="D169">
        <f>IF(OR(N(Database!$I169)&lt;=0,N(Screener!$D$9)&lt;=0),0,MAX(0,1-ABS(LOG10(N(Database!$I169)/Screener!$D$9))/W_SIZEHW))</f>
        <v/>
      </c>
      <c r="E169">
        <f>IF(OR(Database!$AU169="",Screener!$D$10=""),0,IF(Database!$AU169=Screener!$D$10,1,0))</f>
        <v/>
      </c>
      <c r="F169">
        <f>IF(OR(Database!$AZ169="",Screener!$D$11=""),0,IF(Database!$AZ169=Screener!$D$11,1,0))</f>
        <v/>
      </c>
      <c r="G169">
        <f>IF(OR(Database!$H169="",N(Screener!$D$12)&lt;=0),0,MAX(0,1-(N(Screener!$D$12)-Database!$H169)/W_RECD))</f>
        <v/>
      </c>
      <c r="H169">
        <f>IF($U$1="",0,N(ISNUMBER(SEARCH($U$1,Database!$X169&amp;""))))+IF($V$1="",0,N(ISNUMBER(SEARCH($V$1,Database!$X169&amp;""))))+IF($W$1="",0,N(ISNUMBER(SEARCH($W$1,Database!$X169&amp;""))))+IF($X$1="",0,N(ISNUMBER(SEARCH($X$1,Database!$X169&amp;""))))+IF($Y$1="",0,N(ISNUMBER(SEARCH($Y$1,Database!$X169&amp;""))))+IF(Screener!$B$17="",0,N(ISNUMBER(SEARCH(LOWER(Screener!$B$17),Database!$X169&amp;""))))</f>
        <v/>
      </c>
      <c r="I169">
        <f>IF(OR(N(Database!$AV169)&lt;=0,N(Screener!$D$13)&lt;=0),0,MAX(0,1-ABS(LOG10(N(Database!$AV169)/Screener!$D$13))/W_PEHW))</f>
        <v/>
      </c>
      <c r="J169">
        <f>IF(OR(N(Database!$S169)&lt;=0,N(Screener!$D$14)&lt;=0),0,MAX(0,1-ABS(LOG10(Database!$S169/Screener!$D$14))/0.6))</f>
        <v/>
      </c>
      <c r="K169">
        <f>IF(Database!$B169=Screener!$B$5,-999999,IF(ISNUMBER(SEARCH(","&amp;Database!$A169&amp;",",","&amp;SUBSTITUTE(Screener!$B$19," ","")&amp;",")),2000000,IF(IF(OR(Screener!$B$18="All",AND(Screener!$B$18="With A-share",(Database!$AZ169="Y")),AND(Screener!$B$18="Without A-share",NOT((Database!$AZ169="Y")))),1,0)=0,-999999,IF(Screener!$B$16="cornerstone overlap first",H169*100000,IF(Screener!$B$16="demand-similar first",J169*100000,0))+W_SUB*B169+W_SEC*C169*(1-B169)+W_SIZE*D169+W_PROF*E169+W_AH*F169+W_REC*G169+W_CS*H169+W_PE*I169)))+ROW()/1000000</f>
        <v/>
      </c>
      <c r="AA169">
        <f>Database!B158</f>
        <v/>
      </c>
      <c r="AB169">
        <f>Database!D158</f>
        <v/>
      </c>
      <c r="AC169">
        <f>Database!E158</f>
        <v/>
      </c>
      <c r="AD169">
        <f>Database!I158</f>
        <v/>
      </c>
      <c r="AE169">
        <f>Database!AU158</f>
        <v/>
      </c>
      <c r="AF169">
        <f>Database!AZ158</f>
        <v/>
      </c>
      <c r="AG169">
        <f>Database!H158</f>
        <v/>
      </c>
      <c r="AH169">
        <f>Database!AV158</f>
        <v/>
      </c>
    </row>
    <row r="170">
      <c r="A170">
        <f>Database!B170</f>
        <v/>
      </c>
      <c r="B170">
        <f>IF(AND(Screener!$D$8&lt;&gt;"",Database!$E170=Screener!$D$8),1,0)</f>
        <v/>
      </c>
      <c r="C170">
        <f>IF(AND(Screener!$D$7&lt;&gt;"",Database!$D170=Screener!$D$7),1,0)</f>
        <v/>
      </c>
      <c r="D170">
        <f>IF(OR(N(Database!$I170)&lt;=0,N(Screener!$D$9)&lt;=0),0,MAX(0,1-ABS(LOG10(N(Database!$I170)/Screener!$D$9))/W_SIZEHW))</f>
        <v/>
      </c>
      <c r="E170">
        <f>IF(OR(Database!$AU170="",Screener!$D$10=""),0,IF(Database!$AU170=Screener!$D$10,1,0))</f>
        <v/>
      </c>
      <c r="F170">
        <f>IF(OR(Database!$AZ170="",Screener!$D$11=""),0,IF(Database!$AZ170=Screener!$D$11,1,0))</f>
        <v/>
      </c>
      <c r="G170">
        <f>IF(OR(Database!$H170="",N(Screener!$D$12)&lt;=0),0,MAX(0,1-(N(Screener!$D$12)-Database!$H170)/W_RECD))</f>
        <v/>
      </c>
      <c r="H170">
        <f>IF($U$1="",0,N(ISNUMBER(SEARCH($U$1,Database!$X170&amp;""))))+IF($V$1="",0,N(ISNUMBER(SEARCH($V$1,Database!$X170&amp;""))))+IF($W$1="",0,N(ISNUMBER(SEARCH($W$1,Database!$X170&amp;""))))+IF($X$1="",0,N(ISNUMBER(SEARCH($X$1,Database!$X170&amp;""))))+IF($Y$1="",0,N(ISNUMBER(SEARCH($Y$1,Database!$X170&amp;""))))+IF(Screener!$B$17="",0,N(ISNUMBER(SEARCH(LOWER(Screener!$B$17),Database!$X170&amp;""))))</f>
        <v/>
      </c>
      <c r="I170">
        <f>IF(OR(N(Database!$AV170)&lt;=0,N(Screener!$D$13)&lt;=0),0,MAX(0,1-ABS(LOG10(N(Database!$AV170)/Screener!$D$13))/W_PEHW))</f>
        <v/>
      </c>
      <c r="J170">
        <f>IF(OR(N(Database!$S170)&lt;=0,N(Screener!$D$14)&lt;=0),0,MAX(0,1-ABS(LOG10(Database!$S170/Screener!$D$14))/0.6))</f>
        <v/>
      </c>
      <c r="K170">
        <f>IF(Database!$B170=Screener!$B$5,-999999,IF(ISNUMBER(SEARCH(","&amp;Database!$A170&amp;",",","&amp;SUBSTITUTE(Screener!$B$19," ","")&amp;",")),2000000,IF(IF(OR(Screener!$B$18="All",AND(Screener!$B$18="With A-share",(Database!$AZ170="Y")),AND(Screener!$B$18="Without A-share",NOT((Database!$AZ170="Y")))),1,0)=0,-999999,IF(Screener!$B$16="cornerstone overlap first",H170*100000,IF(Screener!$B$16="demand-similar first",J170*100000,0))+W_SUB*B170+W_SEC*C170*(1-B170)+W_SIZE*D170+W_PROF*E170+W_AH*F170+W_REC*G170+W_CS*H170+W_PE*I170)))+ROW()/1000000</f>
        <v/>
      </c>
      <c r="AA170">
        <f>Database!B159</f>
        <v/>
      </c>
      <c r="AB170">
        <f>Database!D159</f>
        <v/>
      </c>
      <c r="AC170">
        <f>Database!E159</f>
        <v/>
      </c>
      <c r="AD170">
        <f>Database!I159</f>
        <v/>
      </c>
      <c r="AE170">
        <f>Database!AU159</f>
        <v/>
      </c>
      <c r="AF170">
        <f>Database!AZ159</f>
        <v/>
      </c>
      <c r="AG170">
        <f>Database!H159</f>
        <v/>
      </c>
      <c r="AH170">
        <f>Database!AV159</f>
        <v/>
      </c>
    </row>
    <row r="171">
      <c r="A171">
        <f>Database!B171</f>
        <v/>
      </c>
      <c r="B171">
        <f>IF(AND(Screener!$D$8&lt;&gt;"",Database!$E171=Screener!$D$8),1,0)</f>
        <v/>
      </c>
      <c r="C171">
        <f>IF(AND(Screener!$D$7&lt;&gt;"",Database!$D171=Screener!$D$7),1,0)</f>
        <v/>
      </c>
      <c r="D171">
        <f>IF(OR(N(Database!$I171)&lt;=0,N(Screener!$D$9)&lt;=0),0,MAX(0,1-ABS(LOG10(N(Database!$I171)/Screener!$D$9))/W_SIZEHW))</f>
        <v/>
      </c>
      <c r="E171">
        <f>IF(OR(Database!$AU171="",Screener!$D$10=""),0,IF(Database!$AU171=Screener!$D$10,1,0))</f>
        <v/>
      </c>
      <c r="F171">
        <f>IF(OR(Database!$AZ171="",Screener!$D$11=""),0,IF(Database!$AZ171=Screener!$D$11,1,0))</f>
        <v/>
      </c>
      <c r="G171">
        <f>IF(OR(Database!$H171="",N(Screener!$D$12)&lt;=0),0,MAX(0,1-(N(Screener!$D$12)-Database!$H171)/W_RECD))</f>
        <v/>
      </c>
      <c r="H171">
        <f>IF($U$1="",0,N(ISNUMBER(SEARCH($U$1,Database!$X171&amp;""))))+IF($V$1="",0,N(ISNUMBER(SEARCH($V$1,Database!$X171&amp;""))))+IF($W$1="",0,N(ISNUMBER(SEARCH($W$1,Database!$X171&amp;""))))+IF($X$1="",0,N(ISNUMBER(SEARCH($X$1,Database!$X171&amp;""))))+IF($Y$1="",0,N(ISNUMBER(SEARCH($Y$1,Database!$X171&amp;""))))+IF(Screener!$B$17="",0,N(ISNUMBER(SEARCH(LOWER(Screener!$B$17),Database!$X171&amp;""))))</f>
        <v/>
      </c>
      <c r="I171">
        <f>IF(OR(N(Database!$AV171)&lt;=0,N(Screener!$D$13)&lt;=0),0,MAX(0,1-ABS(LOG10(N(Database!$AV171)/Screener!$D$13))/W_PEHW))</f>
        <v/>
      </c>
      <c r="J171">
        <f>IF(OR(N(Database!$S171)&lt;=0,N(Screener!$D$14)&lt;=0),0,MAX(0,1-ABS(LOG10(Database!$S171/Screener!$D$14))/0.6))</f>
        <v/>
      </c>
      <c r="K171">
        <f>IF(Database!$B171=Screener!$B$5,-999999,IF(ISNUMBER(SEARCH(","&amp;Database!$A171&amp;",",","&amp;SUBSTITUTE(Screener!$B$19," ","")&amp;",")),2000000,IF(IF(OR(Screener!$B$18="All",AND(Screener!$B$18="With A-share",(Database!$AZ171="Y")),AND(Screener!$B$18="Without A-share",NOT((Database!$AZ171="Y")))),1,0)=0,-999999,IF(Screener!$B$16="cornerstone overlap first",H171*100000,IF(Screener!$B$16="demand-similar first",J171*100000,0))+W_SUB*B171+W_SEC*C171*(1-B171)+W_SIZE*D171+W_PROF*E171+W_AH*F171+W_REC*G171+W_CS*H171+W_PE*I171)))+ROW()/1000000</f>
        <v/>
      </c>
      <c r="AA171">
        <f>Database!B160</f>
        <v/>
      </c>
      <c r="AB171">
        <f>Database!D160</f>
        <v/>
      </c>
      <c r="AC171">
        <f>Database!E160</f>
        <v/>
      </c>
      <c r="AD171">
        <f>Database!I160</f>
        <v/>
      </c>
      <c r="AE171">
        <f>Database!AU160</f>
        <v/>
      </c>
      <c r="AF171">
        <f>Database!AZ160</f>
        <v/>
      </c>
      <c r="AG171">
        <f>Database!H160</f>
        <v/>
      </c>
      <c r="AH171">
        <f>Database!AV160</f>
        <v/>
      </c>
    </row>
    <row r="172">
      <c r="A172">
        <f>Database!B172</f>
        <v/>
      </c>
      <c r="B172">
        <f>IF(AND(Screener!$D$8&lt;&gt;"",Database!$E172=Screener!$D$8),1,0)</f>
        <v/>
      </c>
      <c r="C172">
        <f>IF(AND(Screener!$D$7&lt;&gt;"",Database!$D172=Screener!$D$7),1,0)</f>
        <v/>
      </c>
      <c r="D172">
        <f>IF(OR(N(Database!$I172)&lt;=0,N(Screener!$D$9)&lt;=0),0,MAX(0,1-ABS(LOG10(N(Database!$I172)/Screener!$D$9))/W_SIZEHW))</f>
        <v/>
      </c>
      <c r="E172">
        <f>IF(OR(Database!$AU172="",Screener!$D$10=""),0,IF(Database!$AU172=Screener!$D$10,1,0))</f>
        <v/>
      </c>
      <c r="F172">
        <f>IF(OR(Database!$AZ172="",Screener!$D$11=""),0,IF(Database!$AZ172=Screener!$D$11,1,0))</f>
        <v/>
      </c>
      <c r="G172">
        <f>IF(OR(Database!$H172="",N(Screener!$D$12)&lt;=0),0,MAX(0,1-(N(Screener!$D$12)-Database!$H172)/W_RECD))</f>
        <v/>
      </c>
      <c r="H172">
        <f>IF($U$1="",0,N(ISNUMBER(SEARCH($U$1,Database!$X172&amp;""))))+IF($V$1="",0,N(ISNUMBER(SEARCH($V$1,Database!$X172&amp;""))))+IF($W$1="",0,N(ISNUMBER(SEARCH($W$1,Database!$X172&amp;""))))+IF($X$1="",0,N(ISNUMBER(SEARCH($X$1,Database!$X172&amp;""))))+IF($Y$1="",0,N(ISNUMBER(SEARCH($Y$1,Database!$X172&amp;""))))+IF(Screener!$B$17="",0,N(ISNUMBER(SEARCH(LOWER(Screener!$B$17),Database!$X172&amp;""))))</f>
        <v/>
      </c>
      <c r="I172">
        <f>IF(OR(N(Database!$AV172)&lt;=0,N(Screener!$D$13)&lt;=0),0,MAX(0,1-ABS(LOG10(N(Database!$AV172)/Screener!$D$13))/W_PEHW))</f>
        <v/>
      </c>
      <c r="J172">
        <f>IF(OR(N(Database!$S172)&lt;=0,N(Screener!$D$14)&lt;=0),0,MAX(0,1-ABS(LOG10(Database!$S172/Screener!$D$14))/0.6))</f>
        <v/>
      </c>
      <c r="K172">
        <f>IF(Database!$B172=Screener!$B$5,-999999,IF(ISNUMBER(SEARCH(","&amp;Database!$A172&amp;",",","&amp;SUBSTITUTE(Screener!$B$19," ","")&amp;",")),2000000,IF(IF(OR(Screener!$B$18="All",AND(Screener!$B$18="With A-share",(Database!$AZ172="Y")),AND(Screener!$B$18="Without A-share",NOT((Database!$AZ172="Y")))),1,0)=0,-999999,IF(Screener!$B$16="cornerstone overlap first",H172*100000,IF(Screener!$B$16="demand-similar first",J172*100000,0))+W_SUB*B172+W_SEC*C172*(1-B172)+W_SIZE*D172+W_PROF*E172+W_AH*F172+W_REC*G172+W_CS*H172+W_PE*I172)))+ROW()/1000000</f>
        <v/>
      </c>
      <c r="AA172">
        <f>Database!B161</f>
        <v/>
      </c>
      <c r="AB172">
        <f>Database!D161</f>
        <v/>
      </c>
      <c r="AC172">
        <f>Database!E161</f>
        <v/>
      </c>
      <c r="AD172">
        <f>Database!I161</f>
        <v/>
      </c>
      <c r="AE172">
        <f>Database!AU161</f>
        <v/>
      </c>
      <c r="AF172">
        <f>Database!AZ161</f>
        <v/>
      </c>
      <c r="AG172">
        <f>Database!H161</f>
        <v/>
      </c>
      <c r="AH172">
        <f>Database!AV161</f>
        <v/>
      </c>
    </row>
    <row r="173">
      <c r="A173">
        <f>Database!B173</f>
        <v/>
      </c>
      <c r="B173">
        <f>IF(AND(Screener!$D$8&lt;&gt;"",Database!$E173=Screener!$D$8),1,0)</f>
        <v/>
      </c>
      <c r="C173">
        <f>IF(AND(Screener!$D$7&lt;&gt;"",Database!$D173=Screener!$D$7),1,0)</f>
        <v/>
      </c>
      <c r="D173">
        <f>IF(OR(N(Database!$I173)&lt;=0,N(Screener!$D$9)&lt;=0),0,MAX(0,1-ABS(LOG10(N(Database!$I173)/Screener!$D$9))/W_SIZEHW))</f>
        <v/>
      </c>
      <c r="E173">
        <f>IF(OR(Database!$AU173="",Screener!$D$10=""),0,IF(Database!$AU173=Screener!$D$10,1,0))</f>
        <v/>
      </c>
      <c r="F173">
        <f>IF(OR(Database!$AZ173="",Screener!$D$11=""),0,IF(Database!$AZ173=Screener!$D$11,1,0))</f>
        <v/>
      </c>
      <c r="G173">
        <f>IF(OR(Database!$H173="",N(Screener!$D$12)&lt;=0),0,MAX(0,1-(N(Screener!$D$12)-Database!$H173)/W_RECD))</f>
        <v/>
      </c>
      <c r="H173">
        <f>IF($U$1="",0,N(ISNUMBER(SEARCH($U$1,Database!$X173&amp;""))))+IF($V$1="",0,N(ISNUMBER(SEARCH($V$1,Database!$X173&amp;""))))+IF($W$1="",0,N(ISNUMBER(SEARCH($W$1,Database!$X173&amp;""))))+IF($X$1="",0,N(ISNUMBER(SEARCH($X$1,Database!$X173&amp;""))))+IF($Y$1="",0,N(ISNUMBER(SEARCH($Y$1,Database!$X173&amp;""))))+IF(Screener!$B$17="",0,N(ISNUMBER(SEARCH(LOWER(Screener!$B$17),Database!$X173&amp;""))))</f>
        <v/>
      </c>
      <c r="I173">
        <f>IF(OR(N(Database!$AV173)&lt;=0,N(Screener!$D$13)&lt;=0),0,MAX(0,1-ABS(LOG10(N(Database!$AV173)/Screener!$D$13))/W_PEHW))</f>
        <v/>
      </c>
      <c r="J173">
        <f>IF(OR(N(Database!$S173)&lt;=0,N(Screener!$D$14)&lt;=0),0,MAX(0,1-ABS(LOG10(Database!$S173/Screener!$D$14))/0.6))</f>
        <v/>
      </c>
      <c r="K173">
        <f>IF(Database!$B173=Screener!$B$5,-999999,IF(ISNUMBER(SEARCH(","&amp;Database!$A173&amp;",",","&amp;SUBSTITUTE(Screener!$B$19," ","")&amp;",")),2000000,IF(IF(OR(Screener!$B$18="All",AND(Screener!$B$18="With A-share",(Database!$AZ173="Y")),AND(Screener!$B$18="Without A-share",NOT((Database!$AZ173="Y")))),1,0)=0,-999999,IF(Screener!$B$16="cornerstone overlap first",H173*100000,IF(Screener!$B$16="demand-similar first",J173*100000,0))+W_SUB*B173+W_SEC*C173*(1-B173)+W_SIZE*D173+W_PROF*E173+W_AH*F173+W_REC*G173+W_CS*H173+W_PE*I173)))+ROW()/1000000</f>
        <v/>
      </c>
      <c r="AA173">
        <f>Database!B162</f>
        <v/>
      </c>
      <c r="AB173">
        <f>Database!D162</f>
        <v/>
      </c>
      <c r="AC173">
        <f>Database!E162</f>
        <v/>
      </c>
      <c r="AD173">
        <f>Database!I162</f>
        <v/>
      </c>
      <c r="AE173">
        <f>Database!AU162</f>
        <v/>
      </c>
      <c r="AF173">
        <f>Database!AZ162</f>
        <v/>
      </c>
      <c r="AG173">
        <f>Database!H162</f>
        <v/>
      </c>
      <c r="AH173">
        <f>Database!AV162</f>
        <v/>
      </c>
    </row>
    <row r="174">
      <c r="A174">
        <f>Database!B174</f>
        <v/>
      </c>
      <c r="B174">
        <f>IF(AND(Screener!$D$8&lt;&gt;"",Database!$E174=Screener!$D$8),1,0)</f>
        <v/>
      </c>
      <c r="C174">
        <f>IF(AND(Screener!$D$7&lt;&gt;"",Database!$D174=Screener!$D$7),1,0)</f>
        <v/>
      </c>
      <c r="D174">
        <f>IF(OR(N(Database!$I174)&lt;=0,N(Screener!$D$9)&lt;=0),0,MAX(0,1-ABS(LOG10(N(Database!$I174)/Screener!$D$9))/W_SIZEHW))</f>
        <v/>
      </c>
      <c r="E174">
        <f>IF(OR(Database!$AU174="",Screener!$D$10=""),0,IF(Database!$AU174=Screener!$D$10,1,0))</f>
        <v/>
      </c>
      <c r="F174">
        <f>IF(OR(Database!$AZ174="",Screener!$D$11=""),0,IF(Database!$AZ174=Screener!$D$11,1,0))</f>
        <v/>
      </c>
      <c r="G174">
        <f>IF(OR(Database!$H174="",N(Screener!$D$12)&lt;=0),0,MAX(0,1-(N(Screener!$D$12)-Database!$H174)/W_RECD))</f>
        <v/>
      </c>
      <c r="H174">
        <f>IF($U$1="",0,N(ISNUMBER(SEARCH($U$1,Database!$X174&amp;""))))+IF($V$1="",0,N(ISNUMBER(SEARCH($V$1,Database!$X174&amp;""))))+IF($W$1="",0,N(ISNUMBER(SEARCH($W$1,Database!$X174&amp;""))))+IF($X$1="",0,N(ISNUMBER(SEARCH($X$1,Database!$X174&amp;""))))+IF($Y$1="",0,N(ISNUMBER(SEARCH($Y$1,Database!$X174&amp;""))))+IF(Screener!$B$17="",0,N(ISNUMBER(SEARCH(LOWER(Screener!$B$17),Database!$X174&amp;""))))</f>
        <v/>
      </c>
      <c r="I174">
        <f>IF(OR(N(Database!$AV174)&lt;=0,N(Screener!$D$13)&lt;=0),0,MAX(0,1-ABS(LOG10(N(Database!$AV174)/Screener!$D$13))/W_PEHW))</f>
        <v/>
      </c>
      <c r="J174">
        <f>IF(OR(N(Database!$S174)&lt;=0,N(Screener!$D$14)&lt;=0),0,MAX(0,1-ABS(LOG10(Database!$S174/Screener!$D$14))/0.6))</f>
        <v/>
      </c>
      <c r="K174">
        <f>IF(Database!$B174=Screener!$B$5,-999999,IF(ISNUMBER(SEARCH(","&amp;Database!$A174&amp;",",","&amp;SUBSTITUTE(Screener!$B$19," ","")&amp;",")),2000000,IF(IF(OR(Screener!$B$18="All",AND(Screener!$B$18="With A-share",(Database!$AZ174="Y")),AND(Screener!$B$18="Without A-share",NOT((Database!$AZ174="Y")))),1,0)=0,-999999,IF(Screener!$B$16="cornerstone overlap first",H174*100000,IF(Screener!$B$16="demand-similar first",J174*100000,0))+W_SUB*B174+W_SEC*C174*(1-B174)+W_SIZE*D174+W_PROF*E174+W_AH*F174+W_REC*G174+W_CS*H174+W_PE*I174)))+ROW()/1000000</f>
        <v/>
      </c>
      <c r="AA174">
        <f>Database!B163</f>
        <v/>
      </c>
      <c r="AB174">
        <f>Database!D163</f>
        <v/>
      </c>
      <c r="AC174">
        <f>Database!E163</f>
        <v/>
      </c>
      <c r="AD174">
        <f>Database!I163</f>
        <v/>
      </c>
      <c r="AE174">
        <f>Database!AU163</f>
        <v/>
      </c>
      <c r="AF174">
        <f>Database!AZ163</f>
        <v/>
      </c>
      <c r="AG174">
        <f>Database!H163</f>
        <v/>
      </c>
      <c r="AH174">
        <f>Database!AV163</f>
        <v/>
      </c>
    </row>
    <row r="175">
      <c r="A175">
        <f>Database!B175</f>
        <v/>
      </c>
      <c r="B175">
        <f>IF(AND(Screener!$D$8&lt;&gt;"",Database!$E175=Screener!$D$8),1,0)</f>
        <v/>
      </c>
      <c r="C175">
        <f>IF(AND(Screener!$D$7&lt;&gt;"",Database!$D175=Screener!$D$7),1,0)</f>
        <v/>
      </c>
      <c r="D175">
        <f>IF(OR(N(Database!$I175)&lt;=0,N(Screener!$D$9)&lt;=0),0,MAX(0,1-ABS(LOG10(N(Database!$I175)/Screener!$D$9))/W_SIZEHW))</f>
        <v/>
      </c>
      <c r="E175">
        <f>IF(OR(Database!$AU175="",Screener!$D$10=""),0,IF(Database!$AU175=Screener!$D$10,1,0))</f>
        <v/>
      </c>
      <c r="F175">
        <f>IF(OR(Database!$AZ175="",Screener!$D$11=""),0,IF(Database!$AZ175=Screener!$D$11,1,0))</f>
        <v/>
      </c>
      <c r="G175">
        <f>IF(OR(Database!$H175="",N(Screener!$D$12)&lt;=0),0,MAX(0,1-(N(Screener!$D$12)-Database!$H175)/W_RECD))</f>
        <v/>
      </c>
      <c r="H175">
        <f>IF($U$1="",0,N(ISNUMBER(SEARCH($U$1,Database!$X175&amp;""))))+IF($V$1="",0,N(ISNUMBER(SEARCH($V$1,Database!$X175&amp;""))))+IF($W$1="",0,N(ISNUMBER(SEARCH($W$1,Database!$X175&amp;""))))+IF($X$1="",0,N(ISNUMBER(SEARCH($X$1,Database!$X175&amp;""))))+IF($Y$1="",0,N(ISNUMBER(SEARCH($Y$1,Database!$X175&amp;""))))+IF(Screener!$B$17="",0,N(ISNUMBER(SEARCH(LOWER(Screener!$B$17),Database!$X175&amp;""))))</f>
        <v/>
      </c>
      <c r="I175">
        <f>IF(OR(N(Database!$AV175)&lt;=0,N(Screener!$D$13)&lt;=0),0,MAX(0,1-ABS(LOG10(N(Database!$AV175)/Screener!$D$13))/W_PEHW))</f>
        <v/>
      </c>
      <c r="J175">
        <f>IF(OR(N(Database!$S175)&lt;=0,N(Screener!$D$14)&lt;=0),0,MAX(0,1-ABS(LOG10(Database!$S175/Screener!$D$14))/0.6))</f>
        <v/>
      </c>
      <c r="K175">
        <f>IF(Database!$B175=Screener!$B$5,-999999,IF(ISNUMBER(SEARCH(","&amp;Database!$A175&amp;",",","&amp;SUBSTITUTE(Screener!$B$19," ","")&amp;",")),2000000,IF(IF(OR(Screener!$B$18="All",AND(Screener!$B$18="With A-share",(Database!$AZ175="Y")),AND(Screener!$B$18="Without A-share",NOT((Database!$AZ175="Y")))),1,0)=0,-999999,IF(Screener!$B$16="cornerstone overlap first",H175*100000,IF(Screener!$B$16="demand-similar first",J175*100000,0))+W_SUB*B175+W_SEC*C175*(1-B175)+W_SIZE*D175+W_PROF*E175+W_AH*F175+W_REC*G175+W_CS*H175+W_PE*I175)))+ROW()/1000000</f>
        <v/>
      </c>
      <c r="AA175">
        <f>Database!B164</f>
        <v/>
      </c>
      <c r="AB175">
        <f>Database!D164</f>
        <v/>
      </c>
      <c r="AC175">
        <f>Database!E164</f>
        <v/>
      </c>
      <c r="AD175">
        <f>Database!I164</f>
        <v/>
      </c>
      <c r="AE175">
        <f>Database!AU164</f>
        <v/>
      </c>
      <c r="AF175">
        <f>Database!AZ164</f>
        <v/>
      </c>
      <c r="AG175">
        <f>Database!H164</f>
        <v/>
      </c>
      <c r="AH175">
        <f>Database!AV164</f>
        <v/>
      </c>
    </row>
    <row r="176">
      <c r="A176">
        <f>Database!B176</f>
        <v/>
      </c>
      <c r="B176">
        <f>IF(AND(Screener!$D$8&lt;&gt;"",Database!$E176=Screener!$D$8),1,0)</f>
        <v/>
      </c>
      <c r="C176">
        <f>IF(AND(Screener!$D$7&lt;&gt;"",Database!$D176=Screener!$D$7),1,0)</f>
        <v/>
      </c>
      <c r="D176">
        <f>IF(OR(N(Database!$I176)&lt;=0,N(Screener!$D$9)&lt;=0),0,MAX(0,1-ABS(LOG10(N(Database!$I176)/Screener!$D$9))/W_SIZEHW))</f>
        <v/>
      </c>
      <c r="E176">
        <f>IF(OR(Database!$AU176="",Screener!$D$10=""),0,IF(Database!$AU176=Screener!$D$10,1,0))</f>
        <v/>
      </c>
      <c r="F176">
        <f>IF(OR(Database!$AZ176="",Screener!$D$11=""),0,IF(Database!$AZ176=Screener!$D$11,1,0))</f>
        <v/>
      </c>
      <c r="G176">
        <f>IF(OR(Database!$H176="",N(Screener!$D$12)&lt;=0),0,MAX(0,1-(N(Screener!$D$12)-Database!$H176)/W_RECD))</f>
        <v/>
      </c>
      <c r="H176">
        <f>IF($U$1="",0,N(ISNUMBER(SEARCH($U$1,Database!$X176&amp;""))))+IF($V$1="",0,N(ISNUMBER(SEARCH($V$1,Database!$X176&amp;""))))+IF($W$1="",0,N(ISNUMBER(SEARCH($W$1,Database!$X176&amp;""))))+IF($X$1="",0,N(ISNUMBER(SEARCH($X$1,Database!$X176&amp;""))))+IF($Y$1="",0,N(ISNUMBER(SEARCH($Y$1,Database!$X176&amp;""))))+IF(Screener!$B$17="",0,N(ISNUMBER(SEARCH(LOWER(Screener!$B$17),Database!$X176&amp;""))))</f>
        <v/>
      </c>
      <c r="I176">
        <f>IF(OR(N(Database!$AV176)&lt;=0,N(Screener!$D$13)&lt;=0),0,MAX(0,1-ABS(LOG10(N(Database!$AV176)/Screener!$D$13))/W_PEHW))</f>
        <v/>
      </c>
      <c r="J176">
        <f>IF(OR(N(Database!$S176)&lt;=0,N(Screener!$D$14)&lt;=0),0,MAX(0,1-ABS(LOG10(Database!$S176/Screener!$D$14))/0.6))</f>
        <v/>
      </c>
      <c r="K176">
        <f>IF(Database!$B176=Screener!$B$5,-999999,IF(ISNUMBER(SEARCH(","&amp;Database!$A176&amp;",",","&amp;SUBSTITUTE(Screener!$B$19," ","")&amp;",")),2000000,IF(IF(OR(Screener!$B$18="All",AND(Screener!$B$18="With A-share",(Database!$AZ176="Y")),AND(Screener!$B$18="Without A-share",NOT((Database!$AZ176="Y")))),1,0)=0,-999999,IF(Screener!$B$16="cornerstone overlap first",H176*100000,IF(Screener!$B$16="demand-similar first",J176*100000,0))+W_SUB*B176+W_SEC*C176*(1-B176)+W_SIZE*D176+W_PROF*E176+W_AH*F176+W_REC*G176+W_CS*H176+W_PE*I176)))+ROW()/1000000</f>
        <v/>
      </c>
      <c r="AA176">
        <f>Database!B165</f>
        <v/>
      </c>
      <c r="AB176">
        <f>Database!D165</f>
        <v/>
      </c>
      <c r="AC176">
        <f>Database!E165</f>
        <v/>
      </c>
      <c r="AD176">
        <f>Database!I165</f>
        <v/>
      </c>
      <c r="AE176">
        <f>Database!AU165</f>
        <v/>
      </c>
      <c r="AF176">
        <f>Database!AZ165</f>
        <v/>
      </c>
      <c r="AG176">
        <f>Database!H165</f>
        <v/>
      </c>
      <c r="AH176">
        <f>Database!AV165</f>
        <v/>
      </c>
    </row>
    <row r="177">
      <c r="A177">
        <f>Database!B177</f>
        <v/>
      </c>
      <c r="B177">
        <f>IF(AND(Screener!$D$8&lt;&gt;"",Database!$E177=Screener!$D$8),1,0)</f>
        <v/>
      </c>
      <c r="C177">
        <f>IF(AND(Screener!$D$7&lt;&gt;"",Database!$D177=Screener!$D$7),1,0)</f>
        <v/>
      </c>
      <c r="D177">
        <f>IF(OR(N(Database!$I177)&lt;=0,N(Screener!$D$9)&lt;=0),0,MAX(0,1-ABS(LOG10(N(Database!$I177)/Screener!$D$9))/W_SIZEHW))</f>
        <v/>
      </c>
      <c r="E177">
        <f>IF(OR(Database!$AU177="",Screener!$D$10=""),0,IF(Database!$AU177=Screener!$D$10,1,0))</f>
        <v/>
      </c>
      <c r="F177">
        <f>IF(OR(Database!$AZ177="",Screener!$D$11=""),0,IF(Database!$AZ177=Screener!$D$11,1,0))</f>
        <v/>
      </c>
      <c r="G177">
        <f>IF(OR(Database!$H177="",N(Screener!$D$12)&lt;=0),0,MAX(0,1-(N(Screener!$D$12)-Database!$H177)/W_RECD))</f>
        <v/>
      </c>
      <c r="H177">
        <f>IF($U$1="",0,N(ISNUMBER(SEARCH($U$1,Database!$X177&amp;""))))+IF($V$1="",0,N(ISNUMBER(SEARCH($V$1,Database!$X177&amp;""))))+IF($W$1="",0,N(ISNUMBER(SEARCH($W$1,Database!$X177&amp;""))))+IF($X$1="",0,N(ISNUMBER(SEARCH($X$1,Database!$X177&amp;""))))+IF($Y$1="",0,N(ISNUMBER(SEARCH($Y$1,Database!$X177&amp;""))))+IF(Screener!$B$17="",0,N(ISNUMBER(SEARCH(LOWER(Screener!$B$17),Database!$X177&amp;""))))</f>
        <v/>
      </c>
      <c r="I177">
        <f>IF(OR(N(Database!$AV177)&lt;=0,N(Screener!$D$13)&lt;=0),0,MAX(0,1-ABS(LOG10(N(Database!$AV177)/Screener!$D$13))/W_PEHW))</f>
        <v/>
      </c>
      <c r="J177">
        <f>IF(OR(N(Database!$S177)&lt;=0,N(Screener!$D$14)&lt;=0),0,MAX(0,1-ABS(LOG10(Database!$S177/Screener!$D$14))/0.6))</f>
        <v/>
      </c>
      <c r="K177">
        <f>IF(Database!$B177=Screener!$B$5,-999999,IF(ISNUMBER(SEARCH(","&amp;Database!$A177&amp;",",","&amp;SUBSTITUTE(Screener!$B$19," ","")&amp;",")),2000000,IF(IF(OR(Screener!$B$18="All",AND(Screener!$B$18="With A-share",(Database!$AZ177="Y")),AND(Screener!$B$18="Without A-share",NOT((Database!$AZ177="Y")))),1,0)=0,-999999,IF(Screener!$B$16="cornerstone overlap first",H177*100000,IF(Screener!$B$16="demand-similar first",J177*100000,0))+W_SUB*B177+W_SEC*C177*(1-B177)+W_SIZE*D177+W_PROF*E177+W_AH*F177+W_REC*G177+W_CS*H177+W_PE*I177)))+ROW()/1000000</f>
        <v/>
      </c>
      <c r="AA177">
        <f>Database!B166</f>
        <v/>
      </c>
      <c r="AB177">
        <f>Database!D166</f>
        <v/>
      </c>
      <c r="AC177">
        <f>Database!E166</f>
        <v/>
      </c>
      <c r="AD177">
        <f>Database!I166</f>
        <v/>
      </c>
      <c r="AE177">
        <f>Database!AU166</f>
        <v/>
      </c>
      <c r="AF177">
        <f>Database!AZ166</f>
        <v/>
      </c>
      <c r="AG177">
        <f>Database!H166</f>
        <v/>
      </c>
      <c r="AH177">
        <f>Database!AV166</f>
        <v/>
      </c>
    </row>
    <row r="178">
      <c r="A178">
        <f>Database!B178</f>
        <v/>
      </c>
      <c r="B178">
        <f>IF(AND(Screener!$D$8&lt;&gt;"",Database!$E178=Screener!$D$8),1,0)</f>
        <v/>
      </c>
      <c r="C178">
        <f>IF(AND(Screener!$D$7&lt;&gt;"",Database!$D178=Screener!$D$7),1,0)</f>
        <v/>
      </c>
      <c r="D178">
        <f>IF(OR(N(Database!$I178)&lt;=0,N(Screener!$D$9)&lt;=0),0,MAX(0,1-ABS(LOG10(N(Database!$I178)/Screener!$D$9))/W_SIZEHW))</f>
        <v/>
      </c>
      <c r="E178">
        <f>IF(OR(Database!$AU178="",Screener!$D$10=""),0,IF(Database!$AU178=Screener!$D$10,1,0))</f>
        <v/>
      </c>
      <c r="F178">
        <f>IF(OR(Database!$AZ178="",Screener!$D$11=""),0,IF(Database!$AZ178=Screener!$D$11,1,0))</f>
        <v/>
      </c>
      <c r="G178">
        <f>IF(OR(Database!$H178="",N(Screener!$D$12)&lt;=0),0,MAX(0,1-(N(Screener!$D$12)-Database!$H178)/W_RECD))</f>
        <v/>
      </c>
      <c r="H178">
        <f>IF($U$1="",0,N(ISNUMBER(SEARCH($U$1,Database!$X178&amp;""))))+IF($V$1="",0,N(ISNUMBER(SEARCH($V$1,Database!$X178&amp;""))))+IF($W$1="",0,N(ISNUMBER(SEARCH($W$1,Database!$X178&amp;""))))+IF($X$1="",0,N(ISNUMBER(SEARCH($X$1,Database!$X178&amp;""))))+IF($Y$1="",0,N(ISNUMBER(SEARCH($Y$1,Database!$X178&amp;""))))+IF(Screener!$B$17="",0,N(ISNUMBER(SEARCH(LOWER(Screener!$B$17),Database!$X178&amp;""))))</f>
        <v/>
      </c>
      <c r="I178">
        <f>IF(OR(N(Database!$AV178)&lt;=0,N(Screener!$D$13)&lt;=0),0,MAX(0,1-ABS(LOG10(N(Database!$AV178)/Screener!$D$13))/W_PEHW))</f>
        <v/>
      </c>
      <c r="J178">
        <f>IF(OR(N(Database!$S178)&lt;=0,N(Screener!$D$14)&lt;=0),0,MAX(0,1-ABS(LOG10(Database!$S178/Screener!$D$14))/0.6))</f>
        <v/>
      </c>
      <c r="K178">
        <f>IF(Database!$B178=Screener!$B$5,-999999,IF(ISNUMBER(SEARCH(","&amp;Database!$A178&amp;",",","&amp;SUBSTITUTE(Screener!$B$19," ","")&amp;",")),2000000,IF(IF(OR(Screener!$B$18="All",AND(Screener!$B$18="With A-share",(Database!$AZ178="Y")),AND(Screener!$B$18="Without A-share",NOT((Database!$AZ178="Y")))),1,0)=0,-999999,IF(Screener!$B$16="cornerstone overlap first",H178*100000,IF(Screener!$B$16="demand-similar first",J178*100000,0))+W_SUB*B178+W_SEC*C178*(1-B178)+W_SIZE*D178+W_PROF*E178+W_AH*F178+W_REC*G178+W_CS*H178+W_PE*I178)))+ROW()/1000000</f>
        <v/>
      </c>
      <c r="AA178">
        <f>Database!B167</f>
        <v/>
      </c>
      <c r="AB178">
        <f>Database!D167</f>
        <v/>
      </c>
      <c r="AC178">
        <f>Database!E167</f>
        <v/>
      </c>
      <c r="AD178">
        <f>Database!I167</f>
        <v/>
      </c>
      <c r="AE178">
        <f>Database!AU167</f>
        <v/>
      </c>
      <c r="AF178">
        <f>Database!AZ167</f>
        <v/>
      </c>
      <c r="AG178">
        <f>Database!H167</f>
        <v/>
      </c>
      <c r="AH178">
        <f>Database!AV167</f>
        <v/>
      </c>
    </row>
    <row r="179">
      <c r="A179">
        <f>Database!B179</f>
        <v/>
      </c>
      <c r="B179">
        <f>IF(AND(Screener!$D$8&lt;&gt;"",Database!$E179=Screener!$D$8),1,0)</f>
        <v/>
      </c>
      <c r="C179">
        <f>IF(AND(Screener!$D$7&lt;&gt;"",Database!$D179=Screener!$D$7),1,0)</f>
        <v/>
      </c>
      <c r="D179">
        <f>IF(OR(N(Database!$I179)&lt;=0,N(Screener!$D$9)&lt;=0),0,MAX(0,1-ABS(LOG10(N(Database!$I179)/Screener!$D$9))/W_SIZEHW))</f>
        <v/>
      </c>
      <c r="E179">
        <f>IF(OR(Database!$AU179="",Screener!$D$10=""),0,IF(Database!$AU179=Screener!$D$10,1,0))</f>
        <v/>
      </c>
      <c r="F179">
        <f>IF(OR(Database!$AZ179="",Screener!$D$11=""),0,IF(Database!$AZ179=Screener!$D$11,1,0))</f>
        <v/>
      </c>
      <c r="G179">
        <f>IF(OR(Database!$H179="",N(Screener!$D$12)&lt;=0),0,MAX(0,1-(N(Screener!$D$12)-Database!$H179)/W_RECD))</f>
        <v/>
      </c>
      <c r="H179">
        <f>IF($U$1="",0,N(ISNUMBER(SEARCH($U$1,Database!$X179&amp;""))))+IF($V$1="",0,N(ISNUMBER(SEARCH($V$1,Database!$X179&amp;""))))+IF($W$1="",0,N(ISNUMBER(SEARCH($W$1,Database!$X179&amp;""))))+IF($X$1="",0,N(ISNUMBER(SEARCH($X$1,Database!$X179&amp;""))))+IF($Y$1="",0,N(ISNUMBER(SEARCH($Y$1,Database!$X179&amp;""))))+IF(Screener!$B$17="",0,N(ISNUMBER(SEARCH(LOWER(Screener!$B$17),Database!$X179&amp;""))))</f>
        <v/>
      </c>
      <c r="I179">
        <f>IF(OR(N(Database!$AV179)&lt;=0,N(Screener!$D$13)&lt;=0),0,MAX(0,1-ABS(LOG10(N(Database!$AV179)/Screener!$D$13))/W_PEHW))</f>
        <v/>
      </c>
      <c r="J179">
        <f>IF(OR(N(Database!$S179)&lt;=0,N(Screener!$D$14)&lt;=0),0,MAX(0,1-ABS(LOG10(Database!$S179/Screener!$D$14))/0.6))</f>
        <v/>
      </c>
      <c r="K179">
        <f>IF(Database!$B179=Screener!$B$5,-999999,IF(ISNUMBER(SEARCH(","&amp;Database!$A179&amp;",",","&amp;SUBSTITUTE(Screener!$B$19," ","")&amp;",")),2000000,IF(IF(OR(Screener!$B$18="All",AND(Screener!$B$18="With A-share",(Database!$AZ179="Y")),AND(Screener!$B$18="Without A-share",NOT((Database!$AZ179="Y")))),1,0)=0,-999999,IF(Screener!$B$16="cornerstone overlap first",H179*100000,IF(Screener!$B$16="demand-similar first",J179*100000,0))+W_SUB*B179+W_SEC*C179*(1-B179)+W_SIZE*D179+W_PROF*E179+W_AH*F179+W_REC*G179+W_CS*H179+W_PE*I179)))+ROW()/1000000</f>
        <v/>
      </c>
      <c r="AA179">
        <f>Database!B168</f>
        <v/>
      </c>
      <c r="AB179">
        <f>Database!D168</f>
        <v/>
      </c>
      <c r="AC179">
        <f>Database!E168</f>
        <v/>
      </c>
      <c r="AD179">
        <f>Database!I168</f>
        <v/>
      </c>
      <c r="AE179">
        <f>Database!AU168</f>
        <v/>
      </c>
      <c r="AF179">
        <f>Database!AZ168</f>
        <v/>
      </c>
      <c r="AG179">
        <f>Database!H168</f>
        <v/>
      </c>
      <c r="AH179">
        <f>Database!AV168</f>
        <v/>
      </c>
    </row>
    <row r="180">
      <c r="A180">
        <f>Database!B180</f>
        <v/>
      </c>
      <c r="B180">
        <f>IF(AND(Screener!$D$8&lt;&gt;"",Database!$E180=Screener!$D$8),1,0)</f>
        <v/>
      </c>
      <c r="C180">
        <f>IF(AND(Screener!$D$7&lt;&gt;"",Database!$D180=Screener!$D$7),1,0)</f>
        <v/>
      </c>
      <c r="D180">
        <f>IF(OR(N(Database!$I180)&lt;=0,N(Screener!$D$9)&lt;=0),0,MAX(0,1-ABS(LOG10(N(Database!$I180)/Screener!$D$9))/W_SIZEHW))</f>
        <v/>
      </c>
      <c r="E180">
        <f>IF(OR(Database!$AU180="",Screener!$D$10=""),0,IF(Database!$AU180=Screener!$D$10,1,0))</f>
        <v/>
      </c>
      <c r="F180">
        <f>IF(OR(Database!$AZ180="",Screener!$D$11=""),0,IF(Database!$AZ180=Screener!$D$11,1,0))</f>
        <v/>
      </c>
      <c r="G180">
        <f>IF(OR(Database!$H180="",N(Screener!$D$12)&lt;=0),0,MAX(0,1-(N(Screener!$D$12)-Database!$H180)/W_RECD))</f>
        <v/>
      </c>
      <c r="H180">
        <f>IF($U$1="",0,N(ISNUMBER(SEARCH($U$1,Database!$X180&amp;""))))+IF($V$1="",0,N(ISNUMBER(SEARCH($V$1,Database!$X180&amp;""))))+IF($W$1="",0,N(ISNUMBER(SEARCH($W$1,Database!$X180&amp;""))))+IF($X$1="",0,N(ISNUMBER(SEARCH($X$1,Database!$X180&amp;""))))+IF($Y$1="",0,N(ISNUMBER(SEARCH($Y$1,Database!$X180&amp;""))))+IF(Screener!$B$17="",0,N(ISNUMBER(SEARCH(LOWER(Screener!$B$17),Database!$X180&amp;""))))</f>
        <v/>
      </c>
      <c r="I180">
        <f>IF(OR(N(Database!$AV180)&lt;=0,N(Screener!$D$13)&lt;=0),0,MAX(0,1-ABS(LOG10(N(Database!$AV180)/Screener!$D$13))/W_PEHW))</f>
        <v/>
      </c>
      <c r="J180">
        <f>IF(OR(N(Database!$S180)&lt;=0,N(Screener!$D$14)&lt;=0),0,MAX(0,1-ABS(LOG10(Database!$S180/Screener!$D$14))/0.6))</f>
        <v/>
      </c>
      <c r="K180">
        <f>IF(Database!$B180=Screener!$B$5,-999999,IF(ISNUMBER(SEARCH(","&amp;Database!$A180&amp;",",","&amp;SUBSTITUTE(Screener!$B$19," ","")&amp;",")),2000000,IF(IF(OR(Screener!$B$18="All",AND(Screener!$B$18="With A-share",(Database!$AZ180="Y")),AND(Screener!$B$18="Without A-share",NOT((Database!$AZ180="Y")))),1,0)=0,-999999,IF(Screener!$B$16="cornerstone overlap first",H180*100000,IF(Screener!$B$16="demand-similar first",J180*100000,0))+W_SUB*B180+W_SEC*C180*(1-B180)+W_SIZE*D180+W_PROF*E180+W_AH*F180+W_REC*G180+W_CS*H180+W_PE*I180)))+ROW()/1000000</f>
        <v/>
      </c>
      <c r="AA180">
        <f>Database!B169</f>
        <v/>
      </c>
      <c r="AB180">
        <f>Database!D169</f>
        <v/>
      </c>
      <c r="AC180">
        <f>Database!E169</f>
        <v/>
      </c>
      <c r="AD180">
        <f>Database!I169</f>
        <v/>
      </c>
      <c r="AE180">
        <f>Database!AU169</f>
        <v/>
      </c>
      <c r="AF180">
        <f>Database!AZ169</f>
        <v/>
      </c>
      <c r="AG180">
        <f>Database!H169</f>
        <v/>
      </c>
      <c r="AH180">
        <f>Database!AV169</f>
        <v/>
      </c>
    </row>
    <row r="181">
      <c r="A181">
        <f>Database!B181</f>
        <v/>
      </c>
      <c r="B181">
        <f>IF(AND(Screener!$D$8&lt;&gt;"",Database!$E181=Screener!$D$8),1,0)</f>
        <v/>
      </c>
      <c r="C181">
        <f>IF(AND(Screener!$D$7&lt;&gt;"",Database!$D181=Screener!$D$7),1,0)</f>
        <v/>
      </c>
      <c r="D181">
        <f>IF(OR(N(Database!$I181)&lt;=0,N(Screener!$D$9)&lt;=0),0,MAX(0,1-ABS(LOG10(N(Database!$I181)/Screener!$D$9))/W_SIZEHW))</f>
        <v/>
      </c>
      <c r="E181">
        <f>IF(OR(Database!$AU181="",Screener!$D$10=""),0,IF(Database!$AU181=Screener!$D$10,1,0))</f>
        <v/>
      </c>
      <c r="F181">
        <f>IF(OR(Database!$AZ181="",Screener!$D$11=""),0,IF(Database!$AZ181=Screener!$D$11,1,0))</f>
        <v/>
      </c>
      <c r="G181">
        <f>IF(OR(Database!$H181="",N(Screener!$D$12)&lt;=0),0,MAX(0,1-(N(Screener!$D$12)-Database!$H181)/W_RECD))</f>
        <v/>
      </c>
      <c r="H181">
        <f>IF($U$1="",0,N(ISNUMBER(SEARCH($U$1,Database!$X181&amp;""))))+IF($V$1="",0,N(ISNUMBER(SEARCH($V$1,Database!$X181&amp;""))))+IF($W$1="",0,N(ISNUMBER(SEARCH($W$1,Database!$X181&amp;""))))+IF($X$1="",0,N(ISNUMBER(SEARCH($X$1,Database!$X181&amp;""))))+IF($Y$1="",0,N(ISNUMBER(SEARCH($Y$1,Database!$X181&amp;""))))+IF(Screener!$B$17="",0,N(ISNUMBER(SEARCH(LOWER(Screener!$B$17),Database!$X181&amp;""))))</f>
        <v/>
      </c>
      <c r="I181">
        <f>IF(OR(N(Database!$AV181)&lt;=0,N(Screener!$D$13)&lt;=0),0,MAX(0,1-ABS(LOG10(N(Database!$AV181)/Screener!$D$13))/W_PEHW))</f>
        <v/>
      </c>
      <c r="J181">
        <f>IF(OR(N(Database!$S181)&lt;=0,N(Screener!$D$14)&lt;=0),0,MAX(0,1-ABS(LOG10(Database!$S181/Screener!$D$14))/0.6))</f>
        <v/>
      </c>
      <c r="K181">
        <f>IF(Database!$B181=Screener!$B$5,-999999,IF(ISNUMBER(SEARCH(","&amp;Database!$A181&amp;",",","&amp;SUBSTITUTE(Screener!$B$19," ","")&amp;",")),2000000,IF(IF(OR(Screener!$B$18="All",AND(Screener!$B$18="With A-share",(Database!$AZ181="Y")),AND(Screener!$B$18="Without A-share",NOT((Database!$AZ181="Y")))),1,0)=0,-999999,IF(Screener!$B$16="cornerstone overlap first",H181*100000,IF(Screener!$B$16="demand-similar first",J181*100000,0))+W_SUB*B181+W_SEC*C181*(1-B181)+W_SIZE*D181+W_PROF*E181+W_AH*F181+W_REC*G181+W_CS*H181+W_PE*I181)))+ROW()/1000000</f>
        <v/>
      </c>
      <c r="AA181">
        <f>Database!B170</f>
        <v/>
      </c>
      <c r="AB181">
        <f>Database!D170</f>
        <v/>
      </c>
      <c r="AC181">
        <f>Database!E170</f>
        <v/>
      </c>
      <c r="AD181">
        <f>Database!I170</f>
        <v/>
      </c>
      <c r="AE181">
        <f>Database!AU170</f>
        <v/>
      </c>
      <c r="AF181">
        <f>Database!AZ170</f>
        <v/>
      </c>
      <c r="AG181">
        <f>Database!H170</f>
        <v/>
      </c>
      <c r="AH181">
        <f>Database!AV170</f>
        <v/>
      </c>
    </row>
    <row r="182">
      <c r="A182">
        <f>Database!B182</f>
        <v/>
      </c>
      <c r="B182">
        <f>IF(AND(Screener!$D$8&lt;&gt;"",Database!$E182=Screener!$D$8),1,0)</f>
        <v/>
      </c>
      <c r="C182">
        <f>IF(AND(Screener!$D$7&lt;&gt;"",Database!$D182=Screener!$D$7),1,0)</f>
        <v/>
      </c>
      <c r="D182">
        <f>IF(OR(N(Database!$I182)&lt;=0,N(Screener!$D$9)&lt;=0),0,MAX(0,1-ABS(LOG10(N(Database!$I182)/Screener!$D$9))/W_SIZEHW))</f>
        <v/>
      </c>
      <c r="E182">
        <f>IF(OR(Database!$AU182="",Screener!$D$10=""),0,IF(Database!$AU182=Screener!$D$10,1,0))</f>
        <v/>
      </c>
      <c r="F182">
        <f>IF(OR(Database!$AZ182="",Screener!$D$11=""),0,IF(Database!$AZ182=Screener!$D$11,1,0))</f>
        <v/>
      </c>
      <c r="G182">
        <f>IF(OR(Database!$H182="",N(Screener!$D$12)&lt;=0),0,MAX(0,1-(N(Screener!$D$12)-Database!$H182)/W_RECD))</f>
        <v/>
      </c>
      <c r="H182">
        <f>IF($U$1="",0,N(ISNUMBER(SEARCH($U$1,Database!$X182&amp;""))))+IF($V$1="",0,N(ISNUMBER(SEARCH($V$1,Database!$X182&amp;""))))+IF($W$1="",0,N(ISNUMBER(SEARCH($W$1,Database!$X182&amp;""))))+IF($X$1="",0,N(ISNUMBER(SEARCH($X$1,Database!$X182&amp;""))))+IF($Y$1="",0,N(ISNUMBER(SEARCH($Y$1,Database!$X182&amp;""))))+IF(Screener!$B$17="",0,N(ISNUMBER(SEARCH(LOWER(Screener!$B$17),Database!$X182&amp;""))))</f>
        <v/>
      </c>
      <c r="I182">
        <f>IF(OR(N(Database!$AV182)&lt;=0,N(Screener!$D$13)&lt;=0),0,MAX(0,1-ABS(LOG10(N(Database!$AV182)/Screener!$D$13))/W_PEHW))</f>
        <v/>
      </c>
      <c r="J182">
        <f>IF(OR(N(Database!$S182)&lt;=0,N(Screener!$D$14)&lt;=0),0,MAX(0,1-ABS(LOG10(Database!$S182/Screener!$D$14))/0.6))</f>
        <v/>
      </c>
      <c r="K182">
        <f>IF(Database!$B182=Screener!$B$5,-999999,IF(ISNUMBER(SEARCH(","&amp;Database!$A182&amp;",",","&amp;SUBSTITUTE(Screener!$B$19," ","")&amp;",")),2000000,IF(IF(OR(Screener!$B$18="All",AND(Screener!$B$18="With A-share",(Database!$AZ182="Y")),AND(Screener!$B$18="Without A-share",NOT((Database!$AZ182="Y")))),1,0)=0,-999999,IF(Screener!$B$16="cornerstone overlap first",H182*100000,IF(Screener!$B$16="demand-similar first",J182*100000,0))+W_SUB*B182+W_SEC*C182*(1-B182)+W_SIZE*D182+W_PROF*E182+W_AH*F182+W_REC*G182+W_CS*H182+W_PE*I182)))+ROW()/1000000</f>
        <v/>
      </c>
      <c r="AA182">
        <f>Database!B171</f>
        <v/>
      </c>
      <c r="AB182">
        <f>Database!D171</f>
        <v/>
      </c>
      <c r="AC182">
        <f>Database!E171</f>
        <v/>
      </c>
      <c r="AD182">
        <f>Database!I171</f>
        <v/>
      </c>
      <c r="AE182">
        <f>Database!AU171</f>
        <v/>
      </c>
      <c r="AF182">
        <f>Database!AZ171</f>
        <v/>
      </c>
      <c r="AG182">
        <f>Database!H171</f>
        <v/>
      </c>
      <c r="AH182">
        <f>Database!AV171</f>
        <v/>
      </c>
    </row>
    <row r="183">
      <c r="A183">
        <f>Database!B183</f>
        <v/>
      </c>
      <c r="B183">
        <f>IF(AND(Screener!$D$8&lt;&gt;"",Database!$E183=Screener!$D$8),1,0)</f>
        <v/>
      </c>
      <c r="C183">
        <f>IF(AND(Screener!$D$7&lt;&gt;"",Database!$D183=Screener!$D$7),1,0)</f>
        <v/>
      </c>
      <c r="D183">
        <f>IF(OR(N(Database!$I183)&lt;=0,N(Screener!$D$9)&lt;=0),0,MAX(0,1-ABS(LOG10(N(Database!$I183)/Screener!$D$9))/W_SIZEHW))</f>
        <v/>
      </c>
      <c r="E183">
        <f>IF(OR(Database!$AU183="",Screener!$D$10=""),0,IF(Database!$AU183=Screener!$D$10,1,0))</f>
        <v/>
      </c>
      <c r="F183">
        <f>IF(OR(Database!$AZ183="",Screener!$D$11=""),0,IF(Database!$AZ183=Screener!$D$11,1,0))</f>
        <v/>
      </c>
      <c r="G183">
        <f>IF(OR(Database!$H183="",N(Screener!$D$12)&lt;=0),0,MAX(0,1-(N(Screener!$D$12)-Database!$H183)/W_RECD))</f>
        <v/>
      </c>
      <c r="H183">
        <f>IF($U$1="",0,N(ISNUMBER(SEARCH($U$1,Database!$X183&amp;""))))+IF($V$1="",0,N(ISNUMBER(SEARCH($V$1,Database!$X183&amp;""))))+IF($W$1="",0,N(ISNUMBER(SEARCH($W$1,Database!$X183&amp;""))))+IF($X$1="",0,N(ISNUMBER(SEARCH($X$1,Database!$X183&amp;""))))+IF($Y$1="",0,N(ISNUMBER(SEARCH($Y$1,Database!$X183&amp;""))))+IF(Screener!$B$17="",0,N(ISNUMBER(SEARCH(LOWER(Screener!$B$17),Database!$X183&amp;""))))</f>
        <v/>
      </c>
      <c r="I183">
        <f>IF(OR(N(Database!$AV183)&lt;=0,N(Screener!$D$13)&lt;=0),0,MAX(0,1-ABS(LOG10(N(Database!$AV183)/Screener!$D$13))/W_PEHW))</f>
        <v/>
      </c>
      <c r="J183">
        <f>IF(OR(N(Database!$S183)&lt;=0,N(Screener!$D$14)&lt;=0),0,MAX(0,1-ABS(LOG10(Database!$S183/Screener!$D$14))/0.6))</f>
        <v/>
      </c>
      <c r="K183">
        <f>IF(Database!$B183=Screener!$B$5,-999999,IF(ISNUMBER(SEARCH(","&amp;Database!$A183&amp;",",","&amp;SUBSTITUTE(Screener!$B$19," ","")&amp;",")),2000000,IF(IF(OR(Screener!$B$18="All",AND(Screener!$B$18="With A-share",(Database!$AZ183="Y")),AND(Screener!$B$18="Without A-share",NOT((Database!$AZ183="Y")))),1,0)=0,-999999,IF(Screener!$B$16="cornerstone overlap first",H183*100000,IF(Screener!$B$16="demand-similar first",J183*100000,0))+W_SUB*B183+W_SEC*C183*(1-B183)+W_SIZE*D183+W_PROF*E183+W_AH*F183+W_REC*G183+W_CS*H183+W_PE*I183)))+ROW()/1000000</f>
        <v/>
      </c>
      <c r="AA183">
        <f>Database!B172</f>
        <v/>
      </c>
      <c r="AB183">
        <f>Database!D172</f>
        <v/>
      </c>
      <c r="AC183">
        <f>Database!E172</f>
        <v/>
      </c>
      <c r="AD183">
        <f>Database!I172</f>
        <v/>
      </c>
      <c r="AE183">
        <f>Database!AU172</f>
        <v/>
      </c>
      <c r="AF183">
        <f>Database!AZ172</f>
        <v/>
      </c>
      <c r="AG183">
        <f>Database!H172</f>
        <v/>
      </c>
      <c r="AH183">
        <f>Database!AV172</f>
        <v/>
      </c>
    </row>
    <row r="184">
      <c r="A184">
        <f>Database!B184</f>
        <v/>
      </c>
      <c r="B184">
        <f>IF(AND(Screener!$D$8&lt;&gt;"",Database!$E184=Screener!$D$8),1,0)</f>
        <v/>
      </c>
      <c r="C184">
        <f>IF(AND(Screener!$D$7&lt;&gt;"",Database!$D184=Screener!$D$7),1,0)</f>
        <v/>
      </c>
      <c r="D184">
        <f>IF(OR(N(Database!$I184)&lt;=0,N(Screener!$D$9)&lt;=0),0,MAX(0,1-ABS(LOG10(N(Database!$I184)/Screener!$D$9))/W_SIZEHW))</f>
        <v/>
      </c>
      <c r="E184">
        <f>IF(OR(Database!$AU184="",Screener!$D$10=""),0,IF(Database!$AU184=Screener!$D$10,1,0))</f>
        <v/>
      </c>
      <c r="F184">
        <f>IF(OR(Database!$AZ184="",Screener!$D$11=""),0,IF(Database!$AZ184=Screener!$D$11,1,0))</f>
        <v/>
      </c>
      <c r="G184">
        <f>IF(OR(Database!$H184="",N(Screener!$D$12)&lt;=0),0,MAX(0,1-(N(Screener!$D$12)-Database!$H184)/W_RECD))</f>
        <v/>
      </c>
      <c r="H184">
        <f>IF($U$1="",0,N(ISNUMBER(SEARCH($U$1,Database!$X184&amp;""))))+IF($V$1="",0,N(ISNUMBER(SEARCH($V$1,Database!$X184&amp;""))))+IF($W$1="",0,N(ISNUMBER(SEARCH($W$1,Database!$X184&amp;""))))+IF($X$1="",0,N(ISNUMBER(SEARCH($X$1,Database!$X184&amp;""))))+IF($Y$1="",0,N(ISNUMBER(SEARCH($Y$1,Database!$X184&amp;""))))+IF(Screener!$B$17="",0,N(ISNUMBER(SEARCH(LOWER(Screener!$B$17),Database!$X184&amp;""))))</f>
        <v/>
      </c>
      <c r="I184">
        <f>IF(OR(N(Database!$AV184)&lt;=0,N(Screener!$D$13)&lt;=0),0,MAX(0,1-ABS(LOG10(N(Database!$AV184)/Screener!$D$13))/W_PEHW))</f>
        <v/>
      </c>
      <c r="J184">
        <f>IF(OR(N(Database!$S184)&lt;=0,N(Screener!$D$14)&lt;=0),0,MAX(0,1-ABS(LOG10(Database!$S184/Screener!$D$14))/0.6))</f>
        <v/>
      </c>
      <c r="K184">
        <f>IF(Database!$B184=Screener!$B$5,-999999,IF(ISNUMBER(SEARCH(","&amp;Database!$A184&amp;",",","&amp;SUBSTITUTE(Screener!$B$19," ","")&amp;",")),2000000,IF(IF(OR(Screener!$B$18="All",AND(Screener!$B$18="With A-share",(Database!$AZ184="Y")),AND(Screener!$B$18="Without A-share",NOT((Database!$AZ184="Y")))),1,0)=0,-999999,IF(Screener!$B$16="cornerstone overlap first",H184*100000,IF(Screener!$B$16="demand-similar first",J184*100000,0))+W_SUB*B184+W_SEC*C184*(1-B184)+W_SIZE*D184+W_PROF*E184+W_AH*F184+W_REC*G184+W_CS*H184+W_PE*I184)))+ROW()/1000000</f>
        <v/>
      </c>
      <c r="AA184">
        <f>Database!B173</f>
        <v/>
      </c>
      <c r="AB184">
        <f>Database!D173</f>
        <v/>
      </c>
      <c r="AC184">
        <f>Database!E173</f>
        <v/>
      </c>
      <c r="AD184">
        <f>Database!I173</f>
        <v/>
      </c>
      <c r="AE184">
        <f>Database!AU173</f>
        <v/>
      </c>
      <c r="AF184">
        <f>Database!AZ173</f>
        <v/>
      </c>
      <c r="AG184">
        <f>Database!H173</f>
        <v/>
      </c>
      <c r="AH184">
        <f>Database!AV173</f>
        <v/>
      </c>
    </row>
    <row r="185">
      <c r="A185">
        <f>Database!B185</f>
        <v/>
      </c>
      <c r="B185">
        <f>IF(AND(Screener!$D$8&lt;&gt;"",Database!$E185=Screener!$D$8),1,0)</f>
        <v/>
      </c>
      <c r="C185">
        <f>IF(AND(Screener!$D$7&lt;&gt;"",Database!$D185=Screener!$D$7),1,0)</f>
        <v/>
      </c>
      <c r="D185">
        <f>IF(OR(N(Database!$I185)&lt;=0,N(Screener!$D$9)&lt;=0),0,MAX(0,1-ABS(LOG10(N(Database!$I185)/Screener!$D$9))/W_SIZEHW))</f>
        <v/>
      </c>
      <c r="E185">
        <f>IF(OR(Database!$AU185="",Screener!$D$10=""),0,IF(Database!$AU185=Screener!$D$10,1,0))</f>
        <v/>
      </c>
      <c r="F185">
        <f>IF(OR(Database!$AZ185="",Screener!$D$11=""),0,IF(Database!$AZ185=Screener!$D$11,1,0))</f>
        <v/>
      </c>
      <c r="G185">
        <f>IF(OR(Database!$H185="",N(Screener!$D$12)&lt;=0),0,MAX(0,1-(N(Screener!$D$12)-Database!$H185)/W_RECD))</f>
        <v/>
      </c>
      <c r="H185">
        <f>IF($U$1="",0,N(ISNUMBER(SEARCH($U$1,Database!$X185&amp;""))))+IF($V$1="",0,N(ISNUMBER(SEARCH($V$1,Database!$X185&amp;""))))+IF($W$1="",0,N(ISNUMBER(SEARCH($W$1,Database!$X185&amp;""))))+IF($X$1="",0,N(ISNUMBER(SEARCH($X$1,Database!$X185&amp;""))))+IF($Y$1="",0,N(ISNUMBER(SEARCH($Y$1,Database!$X185&amp;""))))+IF(Screener!$B$17="",0,N(ISNUMBER(SEARCH(LOWER(Screener!$B$17),Database!$X185&amp;""))))</f>
        <v/>
      </c>
      <c r="I185">
        <f>IF(OR(N(Database!$AV185)&lt;=0,N(Screener!$D$13)&lt;=0),0,MAX(0,1-ABS(LOG10(N(Database!$AV185)/Screener!$D$13))/W_PEHW))</f>
        <v/>
      </c>
      <c r="J185">
        <f>IF(OR(N(Database!$S185)&lt;=0,N(Screener!$D$14)&lt;=0),0,MAX(0,1-ABS(LOG10(Database!$S185/Screener!$D$14))/0.6))</f>
        <v/>
      </c>
      <c r="K185">
        <f>IF(Database!$B185=Screener!$B$5,-999999,IF(ISNUMBER(SEARCH(","&amp;Database!$A185&amp;",",","&amp;SUBSTITUTE(Screener!$B$19," ","")&amp;",")),2000000,IF(IF(OR(Screener!$B$18="All",AND(Screener!$B$18="With A-share",(Database!$AZ185="Y")),AND(Screener!$B$18="Without A-share",NOT((Database!$AZ185="Y")))),1,0)=0,-999999,IF(Screener!$B$16="cornerstone overlap first",H185*100000,IF(Screener!$B$16="demand-similar first",J185*100000,0))+W_SUB*B185+W_SEC*C185*(1-B185)+W_SIZE*D185+W_PROF*E185+W_AH*F185+W_REC*G185+W_CS*H185+W_PE*I185)))+ROW()/1000000</f>
        <v/>
      </c>
      <c r="AA185">
        <f>Database!B174</f>
        <v/>
      </c>
      <c r="AB185">
        <f>Database!D174</f>
        <v/>
      </c>
      <c r="AC185">
        <f>Database!E174</f>
        <v/>
      </c>
      <c r="AD185">
        <f>Database!I174</f>
        <v/>
      </c>
      <c r="AE185">
        <f>Database!AU174</f>
        <v/>
      </c>
      <c r="AF185">
        <f>Database!AZ174</f>
        <v/>
      </c>
      <c r="AG185">
        <f>Database!H174</f>
        <v/>
      </c>
      <c r="AH185">
        <f>Database!AV174</f>
        <v/>
      </c>
    </row>
    <row r="186">
      <c r="A186">
        <f>Database!B186</f>
        <v/>
      </c>
      <c r="B186">
        <f>IF(AND(Screener!$D$8&lt;&gt;"",Database!$E186=Screener!$D$8),1,0)</f>
        <v/>
      </c>
      <c r="C186">
        <f>IF(AND(Screener!$D$7&lt;&gt;"",Database!$D186=Screener!$D$7),1,0)</f>
        <v/>
      </c>
      <c r="D186">
        <f>IF(OR(N(Database!$I186)&lt;=0,N(Screener!$D$9)&lt;=0),0,MAX(0,1-ABS(LOG10(N(Database!$I186)/Screener!$D$9))/W_SIZEHW))</f>
        <v/>
      </c>
      <c r="E186">
        <f>IF(OR(Database!$AU186="",Screener!$D$10=""),0,IF(Database!$AU186=Screener!$D$10,1,0))</f>
        <v/>
      </c>
      <c r="F186">
        <f>IF(OR(Database!$AZ186="",Screener!$D$11=""),0,IF(Database!$AZ186=Screener!$D$11,1,0))</f>
        <v/>
      </c>
      <c r="G186">
        <f>IF(OR(Database!$H186="",N(Screener!$D$12)&lt;=0),0,MAX(0,1-(N(Screener!$D$12)-Database!$H186)/W_RECD))</f>
        <v/>
      </c>
      <c r="H186">
        <f>IF($U$1="",0,N(ISNUMBER(SEARCH($U$1,Database!$X186&amp;""))))+IF($V$1="",0,N(ISNUMBER(SEARCH($V$1,Database!$X186&amp;""))))+IF($W$1="",0,N(ISNUMBER(SEARCH($W$1,Database!$X186&amp;""))))+IF($X$1="",0,N(ISNUMBER(SEARCH($X$1,Database!$X186&amp;""))))+IF($Y$1="",0,N(ISNUMBER(SEARCH($Y$1,Database!$X186&amp;""))))+IF(Screener!$B$17="",0,N(ISNUMBER(SEARCH(LOWER(Screener!$B$17),Database!$X186&amp;""))))</f>
        <v/>
      </c>
      <c r="I186">
        <f>IF(OR(N(Database!$AV186)&lt;=0,N(Screener!$D$13)&lt;=0),0,MAX(0,1-ABS(LOG10(N(Database!$AV186)/Screener!$D$13))/W_PEHW))</f>
        <v/>
      </c>
      <c r="J186">
        <f>IF(OR(N(Database!$S186)&lt;=0,N(Screener!$D$14)&lt;=0),0,MAX(0,1-ABS(LOG10(Database!$S186/Screener!$D$14))/0.6))</f>
        <v/>
      </c>
      <c r="K186">
        <f>IF(Database!$B186=Screener!$B$5,-999999,IF(ISNUMBER(SEARCH(","&amp;Database!$A186&amp;",",","&amp;SUBSTITUTE(Screener!$B$19," ","")&amp;",")),2000000,IF(IF(OR(Screener!$B$18="All",AND(Screener!$B$18="With A-share",(Database!$AZ186="Y")),AND(Screener!$B$18="Without A-share",NOT((Database!$AZ186="Y")))),1,0)=0,-999999,IF(Screener!$B$16="cornerstone overlap first",H186*100000,IF(Screener!$B$16="demand-similar first",J186*100000,0))+W_SUB*B186+W_SEC*C186*(1-B186)+W_SIZE*D186+W_PROF*E186+W_AH*F186+W_REC*G186+W_CS*H186+W_PE*I186)))+ROW()/1000000</f>
        <v/>
      </c>
      <c r="AA186">
        <f>Database!B175</f>
        <v/>
      </c>
      <c r="AB186">
        <f>Database!D175</f>
        <v/>
      </c>
      <c r="AC186">
        <f>Database!E175</f>
        <v/>
      </c>
      <c r="AD186">
        <f>Database!I175</f>
        <v/>
      </c>
      <c r="AE186">
        <f>Database!AU175</f>
        <v/>
      </c>
      <c r="AF186">
        <f>Database!AZ175</f>
        <v/>
      </c>
      <c r="AG186">
        <f>Database!H175</f>
        <v/>
      </c>
      <c r="AH186">
        <f>Database!AV175</f>
        <v/>
      </c>
    </row>
    <row r="187">
      <c r="A187">
        <f>Database!B187</f>
        <v/>
      </c>
      <c r="B187">
        <f>IF(AND(Screener!$D$8&lt;&gt;"",Database!$E187=Screener!$D$8),1,0)</f>
        <v/>
      </c>
      <c r="C187">
        <f>IF(AND(Screener!$D$7&lt;&gt;"",Database!$D187=Screener!$D$7),1,0)</f>
        <v/>
      </c>
      <c r="D187">
        <f>IF(OR(N(Database!$I187)&lt;=0,N(Screener!$D$9)&lt;=0),0,MAX(0,1-ABS(LOG10(N(Database!$I187)/Screener!$D$9))/W_SIZEHW))</f>
        <v/>
      </c>
      <c r="E187">
        <f>IF(OR(Database!$AU187="",Screener!$D$10=""),0,IF(Database!$AU187=Screener!$D$10,1,0))</f>
        <v/>
      </c>
      <c r="F187">
        <f>IF(OR(Database!$AZ187="",Screener!$D$11=""),0,IF(Database!$AZ187=Screener!$D$11,1,0))</f>
        <v/>
      </c>
      <c r="G187">
        <f>IF(OR(Database!$H187="",N(Screener!$D$12)&lt;=0),0,MAX(0,1-(N(Screener!$D$12)-Database!$H187)/W_RECD))</f>
        <v/>
      </c>
      <c r="H187">
        <f>IF($U$1="",0,N(ISNUMBER(SEARCH($U$1,Database!$X187&amp;""))))+IF($V$1="",0,N(ISNUMBER(SEARCH($V$1,Database!$X187&amp;""))))+IF($W$1="",0,N(ISNUMBER(SEARCH($W$1,Database!$X187&amp;""))))+IF($X$1="",0,N(ISNUMBER(SEARCH($X$1,Database!$X187&amp;""))))+IF($Y$1="",0,N(ISNUMBER(SEARCH($Y$1,Database!$X187&amp;""))))+IF(Screener!$B$17="",0,N(ISNUMBER(SEARCH(LOWER(Screener!$B$17),Database!$X187&amp;""))))</f>
        <v/>
      </c>
      <c r="I187">
        <f>IF(OR(N(Database!$AV187)&lt;=0,N(Screener!$D$13)&lt;=0),0,MAX(0,1-ABS(LOG10(N(Database!$AV187)/Screener!$D$13))/W_PEHW))</f>
        <v/>
      </c>
      <c r="J187">
        <f>IF(OR(N(Database!$S187)&lt;=0,N(Screener!$D$14)&lt;=0),0,MAX(0,1-ABS(LOG10(Database!$S187/Screener!$D$14))/0.6))</f>
        <v/>
      </c>
      <c r="K187">
        <f>IF(Database!$B187=Screener!$B$5,-999999,IF(ISNUMBER(SEARCH(","&amp;Database!$A187&amp;",",","&amp;SUBSTITUTE(Screener!$B$19," ","")&amp;",")),2000000,IF(IF(OR(Screener!$B$18="All",AND(Screener!$B$18="With A-share",(Database!$AZ187="Y")),AND(Screener!$B$18="Without A-share",NOT((Database!$AZ187="Y")))),1,0)=0,-999999,IF(Screener!$B$16="cornerstone overlap first",H187*100000,IF(Screener!$B$16="demand-similar first",J187*100000,0))+W_SUB*B187+W_SEC*C187*(1-B187)+W_SIZE*D187+W_PROF*E187+W_AH*F187+W_REC*G187+W_CS*H187+W_PE*I187)))+ROW()/1000000</f>
        <v/>
      </c>
      <c r="AA187">
        <f>Database!B176</f>
        <v/>
      </c>
      <c r="AB187">
        <f>Database!D176</f>
        <v/>
      </c>
      <c r="AC187">
        <f>Database!E176</f>
        <v/>
      </c>
      <c r="AD187">
        <f>Database!I176</f>
        <v/>
      </c>
      <c r="AE187">
        <f>Database!AU176</f>
        <v/>
      </c>
      <c r="AF187">
        <f>Database!AZ176</f>
        <v/>
      </c>
      <c r="AG187">
        <f>Database!H176</f>
        <v/>
      </c>
      <c r="AH187">
        <f>Database!AV176</f>
        <v/>
      </c>
    </row>
    <row r="188">
      <c r="A188">
        <f>Database!B188</f>
        <v/>
      </c>
      <c r="B188">
        <f>IF(AND(Screener!$D$8&lt;&gt;"",Database!$E188=Screener!$D$8),1,0)</f>
        <v/>
      </c>
      <c r="C188">
        <f>IF(AND(Screener!$D$7&lt;&gt;"",Database!$D188=Screener!$D$7),1,0)</f>
        <v/>
      </c>
      <c r="D188">
        <f>IF(OR(N(Database!$I188)&lt;=0,N(Screener!$D$9)&lt;=0),0,MAX(0,1-ABS(LOG10(N(Database!$I188)/Screener!$D$9))/W_SIZEHW))</f>
        <v/>
      </c>
      <c r="E188">
        <f>IF(OR(Database!$AU188="",Screener!$D$10=""),0,IF(Database!$AU188=Screener!$D$10,1,0))</f>
        <v/>
      </c>
      <c r="F188">
        <f>IF(OR(Database!$AZ188="",Screener!$D$11=""),0,IF(Database!$AZ188=Screener!$D$11,1,0))</f>
        <v/>
      </c>
      <c r="G188">
        <f>IF(OR(Database!$H188="",N(Screener!$D$12)&lt;=0),0,MAX(0,1-(N(Screener!$D$12)-Database!$H188)/W_RECD))</f>
        <v/>
      </c>
      <c r="H188">
        <f>IF($U$1="",0,N(ISNUMBER(SEARCH($U$1,Database!$X188&amp;""))))+IF($V$1="",0,N(ISNUMBER(SEARCH($V$1,Database!$X188&amp;""))))+IF($W$1="",0,N(ISNUMBER(SEARCH($W$1,Database!$X188&amp;""))))+IF($X$1="",0,N(ISNUMBER(SEARCH($X$1,Database!$X188&amp;""))))+IF($Y$1="",0,N(ISNUMBER(SEARCH($Y$1,Database!$X188&amp;""))))+IF(Screener!$B$17="",0,N(ISNUMBER(SEARCH(LOWER(Screener!$B$17),Database!$X188&amp;""))))</f>
        <v/>
      </c>
      <c r="I188">
        <f>IF(OR(N(Database!$AV188)&lt;=0,N(Screener!$D$13)&lt;=0),0,MAX(0,1-ABS(LOG10(N(Database!$AV188)/Screener!$D$13))/W_PEHW))</f>
        <v/>
      </c>
      <c r="J188">
        <f>IF(OR(N(Database!$S188)&lt;=0,N(Screener!$D$14)&lt;=0),0,MAX(0,1-ABS(LOG10(Database!$S188/Screener!$D$14))/0.6))</f>
        <v/>
      </c>
      <c r="K188">
        <f>IF(Database!$B188=Screener!$B$5,-999999,IF(ISNUMBER(SEARCH(","&amp;Database!$A188&amp;",",","&amp;SUBSTITUTE(Screener!$B$19," ","")&amp;",")),2000000,IF(IF(OR(Screener!$B$18="All",AND(Screener!$B$18="With A-share",(Database!$AZ188="Y")),AND(Screener!$B$18="Without A-share",NOT((Database!$AZ188="Y")))),1,0)=0,-999999,IF(Screener!$B$16="cornerstone overlap first",H188*100000,IF(Screener!$B$16="demand-similar first",J188*100000,0))+W_SUB*B188+W_SEC*C188*(1-B188)+W_SIZE*D188+W_PROF*E188+W_AH*F188+W_REC*G188+W_CS*H188+W_PE*I188)))+ROW()/1000000</f>
        <v/>
      </c>
      <c r="AA188">
        <f>Database!B177</f>
        <v/>
      </c>
      <c r="AB188">
        <f>Database!D177</f>
        <v/>
      </c>
      <c r="AC188">
        <f>Database!E177</f>
        <v/>
      </c>
      <c r="AD188">
        <f>Database!I177</f>
        <v/>
      </c>
      <c r="AE188">
        <f>Database!AU177</f>
        <v/>
      </c>
      <c r="AF188">
        <f>Database!AZ177</f>
        <v/>
      </c>
      <c r="AG188">
        <f>Database!H177</f>
        <v/>
      </c>
      <c r="AH188">
        <f>Database!AV177</f>
        <v/>
      </c>
    </row>
    <row r="189">
      <c r="A189">
        <f>Database!B189</f>
        <v/>
      </c>
      <c r="B189">
        <f>IF(AND(Screener!$D$8&lt;&gt;"",Database!$E189=Screener!$D$8),1,0)</f>
        <v/>
      </c>
      <c r="C189">
        <f>IF(AND(Screener!$D$7&lt;&gt;"",Database!$D189=Screener!$D$7),1,0)</f>
        <v/>
      </c>
      <c r="D189">
        <f>IF(OR(N(Database!$I189)&lt;=0,N(Screener!$D$9)&lt;=0),0,MAX(0,1-ABS(LOG10(N(Database!$I189)/Screener!$D$9))/W_SIZEHW))</f>
        <v/>
      </c>
      <c r="E189">
        <f>IF(OR(Database!$AU189="",Screener!$D$10=""),0,IF(Database!$AU189=Screener!$D$10,1,0))</f>
        <v/>
      </c>
      <c r="F189">
        <f>IF(OR(Database!$AZ189="",Screener!$D$11=""),0,IF(Database!$AZ189=Screener!$D$11,1,0))</f>
        <v/>
      </c>
      <c r="G189">
        <f>IF(OR(Database!$H189="",N(Screener!$D$12)&lt;=0),0,MAX(0,1-(N(Screener!$D$12)-Database!$H189)/W_RECD))</f>
        <v/>
      </c>
      <c r="H189">
        <f>IF($U$1="",0,N(ISNUMBER(SEARCH($U$1,Database!$X189&amp;""))))+IF($V$1="",0,N(ISNUMBER(SEARCH($V$1,Database!$X189&amp;""))))+IF($W$1="",0,N(ISNUMBER(SEARCH($W$1,Database!$X189&amp;""))))+IF($X$1="",0,N(ISNUMBER(SEARCH($X$1,Database!$X189&amp;""))))+IF($Y$1="",0,N(ISNUMBER(SEARCH($Y$1,Database!$X189&amp;""))))+IF(Screener!$B$17="",0,N(ISNUMBER(SEARCH(LOWER(Screener!$B$17),Database!$X189&amp;""))))</f>
        <v/>
      </c>
      <c r="I189">
        <f>IF(OR(N(Database!$AV189)&lt;=0,N(Screener!$D$13)&lt;=0),0,MAX(0,1-ABS(LOG10(N(Database!$AV189)/Screener!$D$13))/W_PEHW))</f>
        <v/>
      </c>
      <c r="J189">
        <f>IF(OR(N(Database!$S189)&lt;=0,N(Screener!$D$14)&lt;=0),0,MAX(0,1-ABS(LOG10(Database!$S189/Screener!$D$14))/0.6))</f>
        <v/>
      </c>
      <c r="K189">
        <f>IF(Database!$B189=Screener!$B$5,-999999,IF(ISNUMBER(SEARCH(","&amp;Database!$A189&amp;",",","&amp;SUBSTITUTE(Screener!$B$19," ","")&amp;",")),2000000,IF(IF(OR(Screener!$B$18="All",AND(Screener!$B$18="With A-share",(Database!$AZ189="Y")),AND(Screener!$B$18="Without A-share",NOT((Database!$AZ189="Y")))),1,0)=0,-999999,IF(Screener!$B$16="cornerstone overlap first",H189*100000,IF(Screener!$B$16="demand-similar first",J189*100000,0))+W_SUB*B189+W_SEC*C189*(1-B189)+W_SIZE*D189+W_PROF*E189+W_AH*F189+W_REC*G189+W_CS*H189+W_PE*I189)))+ROW()/1000000</f>
        <v/>
      </c>
      <c r="AA189">
        <f>Database!B178</f>
        <v/>
      </c>
      <c r="AB189">
        <f>Database!D178</f>
        <v/>
      </c>
      <c r="AC189">
        <f>Database!E178</f>
        <v/>
      </c>
      <c r="AD189">
        <f>Database!I178</f>
        <v/>
      </c>
      <c r="AE189">
        <f>Database!AU178</f>
        <v/>
      </c>
      <c r="AF189">
        <f>Database!AZ178</f>
        <v/>
      </c>
      <c r="AG189">
        <f>Database!H178</f>
        <v/>
      </c>
      <c r="AH189">
        <f>Database!AV178</f>
        <v/>
      </c>
    </row>
    <row r="190">
      <c r="A190">
        <f>Database!B190</f>
        <v/>
      </c>
      <c r="B190">
        <f>IF(AND(Screener!$D$8&lt;&gt;"",Database!$E190=Screener!$D$8),1,0)</f>
        <v/>
      </c>
      <c r="C190">
        <f>IF(AND(Screener!$D$7&lt;&gt;"",Database!$D190=Screener!$D$7),1,0)</f>
        <v/>
      </c>
      <c r="D190">
        <f>IF(OR(N(Database!$I190)&lt;=0,N(Screener!$D$9)&lt;=0),0,MAX(0,1-ABS(LOG10(N(Database!$I190)/Screener!$D$9))/W_SIZEHW))</f>
        <v/>
      </c>
      <c r="E190">
        <f>IF(OR(Database!$AU190="",Screener!$D$10=""),0,IF(Database!$AU190=Screener!$D$10,1,0))</f>
        <v/>
      </c>
      <c r="F190">
        <f>IF(OR(Database!$AZ190="",Screener!$D$11=""),0,IF(Database!$AZ190=Screener!$D$11,1,0))</f>
        <v/>
      </c>
      <c r="G190">
        <f>IF(OR(Database!$H190="",N(Screener!$D$12)&lt;=0),0,MAX(0,1-(N(Screener!$D$12)-Database!$H190)/W_RECD))</f>
        <v/>
      </c>
      <c r="H190">
        <f>IF($U$1="",0,N(ISNUMBER(SEARCH($U$1,Database!$X190&amp;""))))+IF($V$1="",0,N(ISNUMBER(SEARCH($V$1,Database!$X190&amp;""))))+IF($W$1="",0,N(ISNUMBER(SEARCH($W$1,Database!$X190&amp;""))))+IF($X$1="",0,N(ISNUMBER(SEARCH($X$1,Database!$X190&amp;""))))+IF($Y$1="",0,N(ISNUMBER(SEARCH($Y$1,Database!$X190&amp;""))))+IF(Screener!$B$17="",0,N(ISNUMBER(SEARCH(LOWER(Screener!$B$17),Database!$X190&amp;""))))</f>
        <v/>
      </c>
      <c r="I190">
        <f>IF(OR(N(Database!$AV190)&lt;=0,N(Screener!$D$13)&lt;=0),0,MAX(0,1-ABS(LOG10(N(Database!$AV190)/Screener!$D$13))/W_PEHW))</f>
        <v/>
      </c>
      <c r="J190">
        <f>IF(OR(N(Database!$S190)&lt;=0,N(Screener!$D$14)&lt;=0),0,MAX(0,1-ABS(LOG10(Database!$S190/Screener!$D$14))/0.6))</f>
        <v/>
      </c>
      <c r="K190">
        <f>IF(Database!$B190=Screener!$B$5,-999999,IF(ISNUMBER(SEARCH(","&amp;Database!$A190&amp;",",","&amp;SUBSTITUTE(Screener!$B$19," ","")&amp;",")),2000000,IF(IF(OR(Screener!$B$18="All",AND(Screener!$B$18="With A-share",(Database!$AZ190="Y")),AND(Screener!$B$18="Without A-share",NOT((Database!$AZ190="Y")))),1,0)=0,-999999,IF(Screener!$B$16="cornerstone overlap first",H190*100000,IF(Screener!$B$16="demand-similar first",J190*100000,0))+W_SUB*B190+W_SEC*C190*(1-B190)+W_SIZE*D190+W_PROF*E190+W_AH*F190+W_REC*G190+W_CS*H190+W_PE*I190)))+ROW()/1000000</f>
        <v/>
      </c>
      <c r="AA190">
        <f>Database!B179</f>
        <v/>
      </c>
      <c r="AB190">
        <f>Database!D179</f>
        <v/>
      </c>
      <c r="AC190">
        <f>Database!E179</f>
        <v/>
      </c>
      <c r="AD190">
        <f>Database!I179</f>
        <v/>
      </c>
      <c r="AE190">
        <f>Database!AU179</f>
        <v/>
      </c>
      <c r="AF190">
        <f>Database!AZ179</f>
        <v/>
      </c>
      <c r="AG190">
        <f>Database!H179</f>
        <v/>
      </c>
      <c r="AH190">
        <f>Database!AV179</f>
        <v/>
      </c>
    </row>
    <row r="191">
      <c r="A191">
        <f>Database!B191</f>
        <v/>
      </c>
      <c r="B191">
        <f>IF(AND(Screener!$D$8&lt;&gt;"",Database!$E191=Screener!$D$8),1,0)</f>
        <v/>
      </c>
      <c r="C191">
        <f>IF(AND(Screener!$D$7&lt;&gt;"",Database!$D191=Screener!$D$7),1,0)</f>
        <v/>
      </c>
      <c r="D191">
        <f>IF(OR(N(Database!$I191)&lt;=0,N(Screener!$D$9)&lt;=0),0,MAX(0,1-ABS(LOG10(N(Database!$I191)/Screener!$D$9))/W_SIZEHW))</f>
        <v/>
      </c>
      <c r="E191">
        <f>IF(OR(Database!$AU191="",Screener!$D$10=""),0,IF(Database!$AU191=Screener!$D$10,1,0))</f>
        <v/>
      </c>
      <c r="F191">
        <f>IF(OR(Database!$AZ191="",Screener!$D$11=""),0,IF(Database!$AZ191=Screener!$D$11,1,0))</f>
        <v/>
      </c>
      <c r="G191">
        <f>IF(OR(Database!$H191="",N(Screener!$D$12)&lt;=0),0,MAX(0,1-(N(Screener!$D$12)-Database!$H191)/W_RECD))</f>
        <v/>
      </c>
      <c r="H191">
        <f>IF($U$1="",0,N(ISNUMBER(SEARCH($U$1,Database!$X191&amp;""))))+IF($V$1="",0,N(ISNUMBER(SEARCH($V$1,Database!$X191&amp;""))))+IF($W$1="",0,N(ISNUMBER(SEARCH($W$1,Database!$X191&amp;""))))+IF($X$1="",0,N(ISNUMBER(SEARCH($X$1,Database!$X191&amp;""))))+IF($Y$1="",0,N(ISNUMBER(SEARCH($Y$1,Database!$X191&amp;""))))+IF(Screener!$B$17="",0,N(ISNUMBER(SEARCH(LOWER(Screener!$B$17),Database!$X191&amp;""))))</f>
        <v/>
      </c>
      <c r="I191">
        <f>IF(OR(N(Database!$AV191)&lt;=0,N(Screener!$D$13)&lt;=0),0,MAX(0,1-ABS(LOG10(N(Database!$AV191)/Screener!$D$13))/W_PEHW))</f>
        <v/>
      </c>
      <c r="J191">
        <f>IF(OR(N(Database!$S191)&lt;=0,N(Screener!$D$14)&lt;=0),0,MAX(0,1-ABS(LOG10(Database!$S191/Screener!$D$14))/0.6))</f>
        <v/>
      </c>
      <c r="K191">
        <f>IF(Database!$B191=Screener!$B$5,-999999,IF(ISNUMBER(SEARCH(","&amp;Database!$A191&amp;",",","&amp;SUBSTITUTE(Screener!$B$19," ","")&amp;",")),2000000,IF(IF(OR(Screener!$B$18="All",AND(Screener!$B$18="With A-share",(Database!$AZ191="Y")),AND(Screener!$B$18="Without A-share",NOT((Database!$AZ191="Y")))),1,0)=0,-999999,IF(Screener!$B$16="cornerstone overlap first",H191*100000,IF(Screener!$B$16="demand-similar first",J191*100000,0))+W_SUB*B191+W_SEC*C191*(1-B191)+W_SIZE*D191+W_PROF*E191+W_AH*F191+W_REC*G191+W_CS*H191+W_PE*I191)))+ROW()/1000000</f>
        <v/>
      </c>
      <c r="AA191">
        <f>Database!B180</f>
        <v/>
      </c>
      <c r="AB191">
        <f>Database!D180</f>
        <v/>
      </c>
      <c r="AC191">
        <f>Database!E180</f>
        <v/>
      </c>
      <c r="AD191">
        <f>Database!I180</f>
        <v/>
      </c>
      <c r="AE191">
        <f>Database!AU180</f>
        <v/>
      </c>
      <c r="AF191">
        <f>Database!AZ180</f>
        <v/>
      </c>
      <c r="AG191">
        <f>Database!H180</f>
        <v/>
      </c>
      <c r="AH191">
        <f>Database!AV180</f>
        <v/>
      </c>
    </row>
    <row r="192">
      <c r="A192">
        <f>Database!B192</f>
        <v/>
      </c>
      <c r="B192">
        <f>IF(AND(Screener!$D$8&lt;&gt;"",Database!$E192=Screener!$D$8),1,0)</f>
        <v/>
      </c>
      <c r="C192">
        <f>IF(AND(Screener!$D$7&lt;&gt;"",Database!$D192=Screener!$D$7),1,0)</f>
        <v/>
      </c>
      <c r="D192">
        <f>IF(OR(N(Database!$I192)&lt;=0,N(Screener!$D$9)&lt;=0),0,MAX(0,1-ABS(LOG10(N(Database!$I192)/Screener!$D$9))/W_SIZEHW))</f>
        <v/>
      </c>
      <c r="E192">
        <f>IF(OR(Database!$AU192="",Screener!$D$10=""),0,IF(Database!$AU192=Screener!$D$10,1,0))</f>
        <v/>
      </c>
      <c r="F192">
        <f>IF(OR(Database!$AZ192="",Screener!$D$11=""),0,IF(Database!$AZ192=Screener!$D$11,1,0))</f>
        <v/>
      </c>
      <c r="G192">
        <f>IF(OR(Database!$H192="",N(Screener!$D$12)&lt;=0),0,MAX(0,1-(N(Screener!$D$12)-Database!$H192)/W_RECD))</f>
        <v/>
      </c>
      <c r="H192">
        <f>IF($U$1="",0,N(ISNUMBER(SEARCH($U$1,Database!$X192&amp;""))))+IF($V$1="",0,N(ISNUMBER(SEARCH($V$1,Database!$X192&amp;""))))+IF($W$1="",0,N(ISNUMBER(SEARCH($W$1,Database!$X192&amp;""))))+IF($X$1="",0,N(ISNUMBER(SEARCH($X$1,Database!$X192&amp;""))))+IF($Y$1="",0,N(ISNUMBER(SEARCH($Y$1,Database!$X192&amp;""))))+IF(Screener!$B$17="",0,N(ISNUMBER(SEARCH(LOWER(Screener!$B$17),Database!$X192&amp;""))))</f>
        <v/>
      </c>
      <c r="I192">
        <f>IF(OR(N(Database!$AV192)&lt;=0,N(Screener!$D$13)&lt;=0),0,MAX(0,1-ABS(LOG10(N(Database!$AV192)/Screener!$D$13))/W_PEHW))</f>
        <v/>
      </c>
      <c r="J192">
        <f>IF(OR(N(Database!$S192)&lt;=0,N(Screener!$D$14)&lt;=0),0,MAX(0,1-ABS(LOG10(Database!$S192/Screener!$D$14))/0.6))</f>
        <v/>
      </c>
      <c r="K192">
        <f>IF(Database!$B192=Screener!$B$5,-999999,IF(ISNUMBER(SEARCH(","&amp;Database!$A192&amp;",",","&amp;SUBSTITUTE(Screener!$B$19," ","")&amp;",")),2000000,IF(IF(OR(Screener!$B$18="All",AND(Screener!$B$18="With A-share",(Database!$AZ192="Y")),AND(Screener!$B$18="Without A-share",NOT((Database!$AZ192="Y")))),1,0)=0,-999999,IF(Screener!$B$16="cornerstone overlap first",H192*100000,IF(Screener!$B$16="demand-similar first",J192*100000,0))+W_SUB*B192+W_SEC*C192*(1-B192)+W_SIZE*D192+W_PROF*E192+W_AH*F192+W_REC*G192+W_CS*H192+W_PE*I192)))+ROW()/1000000</f>
        <v/>
      </c>
      <c r="AA192">
        <f>Database!B181</f>
        <v/>
      </c>
      <c r="AB192">
        <f>Database!D181</f>
        <v/>
      </c>
      <c r="AC192">
        <f>Database!E181</f>
        <v/>
      </c>
      <c r="AD192">
        <f>Database!I181</f>
        <v/>
      </c>
      <c r="AE192">
        <f>Database!AU181</f>
        <v/>
      </c>
      <c r="AF192">
        <f>Database!AZ181</f>
        <v/>
      </c>
      <c r="AG192">
        <f>Database!H181</f>
        <v/>
      </c>
      <c r="AH192">
        <f>Database!AV181</f>
        <v/>
      </c>
    </row>
    <row r="193">
      <c r="A193">
        <f>Database!B193</f>
        <v/>
      </c>
      <c r="B193">
        <f>IF(AND(Screener!$D$8&lt;&gt;"",Database!$E193=Screener!$D$8),1,0)</f>
        <v/>
      </c>
      <c r="C193">
        <f>IF(AND(Screener!$D$7&lt;&gt;"",Database!$D193=Screener!$D$7),1,0)</f>
        <v/>
      </c>
      <c r="D193">
        <f>IF(OR(N(Database!$I193)&lt;=0,N(Screener!$D$9)&lt;=0),0,MAX(0,1-ABS(LOG10(N(Database!$I193)/Screener!$D$9))/W_SIZEHW))</f>
        <v/>
      </c>
      <c r="E193">
        <f>IF(OR(Database!$AU193="",Screener!$D$10=""),0,IF(Database!$AU193=Screener!$D$10,1,0))</f>
        <v/>
      </c>
      <c r="F193">
        <f>IF(OR(Database!$AZ193="",Screener!$D$11=""),0,IF(Database!$AZ193=Screener!$D$11,1,0))</f>
        <v/>
      </c>
      <c r="G193">
        <f>IF(OR(Database!$H193="",N(Screener!$D$12)&lt;=0),0,MAX(0,1-(N(Screener!$D$12)-Database!$H193)/W_RECD))</f>
        <v/>
      </c>
      <c r="H193">
        <f>IF($U$1="",0,N(ISNUMBER(SEARCH($U$1,Database!$X193&amp;""))))+IF($V$1="",0,N(ISNUMBER(SEARCH($V$1,Database!$X193&amp;""))))+IF($W$1="",0,N(ISNUMBER(SEARCH($W$1,Database!$X193&amp;""))))+IF($X$1="",0,N(ISNUMBER(SEARCH($X$1,Database!$X193&amp;""))))+IF($Y$1="",0,N(ISNUMBER(SEARCH($Y$1,Database!$X193&amp;""))))+IF(Screener!$B$17="",0,N(ISNUMBER(SEARCH(LOWER(Screener!$B$17),Database!$X193&amp;""))))</f>
        <v/>
      </c>
      <c r="I193">
        <f>IF(OR(N(Database!$AV193)&lt;=0,N(Screener!$D$13)&lt;=0),0,MAX(0,1-ABS(LOG10(N(Database!$AV193)/Screener!$D$13))/W_PEHW))</f>
        <v/>
      </c>
      <c r="J193">
        <f>IF(OR(N(Database!$S193)&lt;=0,N(Screener!$D$14)&lt;=0),0,MAX(0,1-ABS(LOG10(Database!$S193/Screener!$D$14))/0.6))</f>
        <v/>
      </c>
      <c r="K193">
        <f>IF(Database!$B193=Screener!$B$5,-999999,IF(ISNUMBER(SEARCH(","&amp;Database!$A193&amp;",",","&amp;SUBSTITUTE(Screener!$B$19," ","")&amp;",")),2000000,IF(IF(OR(Screener!$B$18="All",AND(Screener!$B$18="With A-share",(Database!$AZ193="Y")),AND(Screener!$B$18="Without A-share",NOT((Database!$AZ193="Y")))),1,0)=0,-999999,IF(Screener!$B$16="cornerstone overlap first",H193*100000,IF(Screener!$B$16="demand-similar first",J193*100000,0))+W_SUB*B193+W_SEC*C193*(1-B193)+W_SIZE*D193+W_PROF*E193+W_AH*F193+W_REC*G193+W_CS*H193+W_PE*I193)))+ROW()/1000000</f>
        <v/>
      </c>
      <c r="AA193">
        <f>Database!B182</f>
        <v/>
      </c>
      <c r="AB193">
        <f>Database!D182</f>
        <v/>
      </c>
      <c r="AC193">
        <f>Database!E182</f>
        <v/>
      </c>
      <c r="AD193">
        <f>Database!I182</f>
        <v/>
      </c>
      <c r="AE193">
        <f>Database!AU182</f>
        <v/>
      </c>
      <c r="AF193">
        <f>Database!AZ182</f>
        <v/>
      </c>
      <c r="AG193">
        <f>Database!H182</f>
        <v/>
      </c>
      <c r="AH193">
        <f>Database!AV182</f>
        <v/>
      </c>
    </row>
    <row r="194">
      <c r="A194">
        <f>Database!B194</f>
        <v/>
      </c>
      <c r="B194">
        <f>IF(AND(Screener!$D$8&lt;&gt;"",Database!$E194=Screener!$D$8),1,0)</f>
        <v/>
      </c>
      <c r="C194">
        <f>IF(AND(Screener!$D$7&lt;&gt;"",Database!$D194=Screener!$D$7),1,0)</f>
        <v/>
      </c>
      <c r="D194">
        <f>IF(OR(N(Database!$I194)&lt;=0,N(Screener!$D$9)&lt;=0),0,MAX(0,1-ABS(LOG10(N(Database!$I194)/Screener!$D$9))/W_SIZEHW))</f>
        <v/>
      </c>
      <c r="E194">
        <f>IF(OR(Database!$AU194="",Screener!$D$10=""),0,IF(Database!$AU194=Screener!$D$10,1,0))</f>
        <v/>
      </c>
      <c r="F194">
        <f>IF(OR(Database!$AZ194="",Screener!$D$11=""),0,IF(Database!$AZ194=Screener!$D$11,1,0))</f>
        <v/>
      </c>
      <c r="G194">
        <f>IF(OR(Database!$H194="",N(Screener!$D$12)&lt;=0),0,MAX(0,1-(N(Screener!$D$12)-Database!$H194)/W_RECD))</f>
        <v/>
      </c>
      <c r="H194">
        <f>IF($U$1="",0,N(ISNUMBER(SEARCH($U$1,Database!$X194&amp;""))))+IF($V$1="",0,N(ISNUMBER(SEARCH($V$1,Database!$X194&amp;""))))+IF($W$1="",0,N(ISNUMBER(SEARCH($W$1,Database!$X194&amp;""))))+IF($X$1="",0,N(ISNUMBER(SEARCH($X$1,Database!$X194&amp;""))))+IF($Y$1="",0,N(ISNUMBER(SEARCH($Y$1,Database!$X194&amp;""))))+IF(Screener!$B$17="",0,N(ISNUMBER(SEARCH(LOWER(Screener!$B$17),Database!$X194&amp;""))))</f>
        <v/>
      </c>
      <c r="I194">
        <f>IF(OR(N(Database!$AV194)&lt;=0,N(Screener!$D$13)&lt;=0),0,MAX(0,1-ABS(LOG10(N(Database!$AV194)/Screener!$D$13))/W_PEHW))</f>
        <v/>
      </c>
      <c r="J194">
        <f>IF(OR(N(Database!$S194)&lt;=0,N(Screener!$D$14)&lt;=0),0,MAX(0,1-ABS(LOG10(Database!$S194/Screener!$D$14))/0.6))</f>
        <v/>
      </c>
      <c r="K194">
        <f>IF(Database!$B194=Screener!$B$5,-999999,IF(ISNUMBER(SEARCH(","&amp;Database!$A194&amp;",",","&amp;SUBSTITUTE(Screener!$B$19," ","")&amp;",")),2000000,IF(IF(OR(Screener!$B$18="All",AND(Screener!$B$18="With A-share",(Database!$AZ194="Y")),AND(Screener!$B$18="Without A-share",NOT((Database!$AZ194="Y")))),1,0)=0,-999999,IF(Screener!$B$16="cornerstone overlap first",H194*100000,IF(Screener!$B$16="demand-similar first",J194*100000,0))+W_SUB*B194+W_SEC*C194*(1-B194)+W_SIZE*D194+W_PROF*E194+W_AH*F194+W_REC*G194+W_CS*H194+W_PE*I194)))+ROW()/1000000</f>
        <v/>
      </c>
      <c r="AA194">
        <f>Database!B183</f>
        <v/>
      </c>
      <c r="AB194">
        <f>Database!D183</f>
        <v/>
      </c>
      <c r="AC194">
        <f>Database!E183</f>
        <v/>
      </c>
      <c r="AD194">
        <f>Database!I183</f>
        <v/>
      </c>
      <c r="AE194">
        <f>Database!AU183</f>
        <v/>
      </c>
      <c r="AF194">
        <f>Database!AZ183</f>
        <v/>
      </c>
      <c r="AG194">
        <f>Database!H183</f>
        <v/>
      </c>
      <c r="AH194">
        <f>Database!AV183</f>
        <v/>
      </c>
    </row>
    <row r="195">
      <c r="A195">
        <f>Database!B195</f>
        <v/>
      </c>
      <c r="B195">
        <f>IF(AND(Screener!$D$8&lt;&gt;"",Database!$E195=Screener!$D$8),1,0)</f>
        <v/>
      </c>
      <c r="C195">
        <f>IF(AND(Screener!$D$7&lt;&gt;"",Database!$D195=Screener!$D$7),1,0)</f>
        <v/>
      </c>
      <c r="D195">
        <f>IF(OR(N(Database!$I195)&lt;=0,N(Screener!$D$9)&lt;=0),0,MAX(0,1-ABS(LOG10(N(Database!$I195)/Screener!$D$9))/W_SIZEHW))</f>
        <v/>
      </c>
      <c r="E195">
        <f>IF(OR(Database!$AU195="",Screener!$D$10=""),0,IF(Database!$AU195=Screener!$D$10,1,0))</f>
        <v/>
      </c>
      <c r="F195">
        <f>IF(OR(Database!$AZ195="",Screener!$D$11=""),0,IF(Database!$AZ195=Screener!$D$11,1,0))</f>
        <v/>
      </c>
      <c r="G195">
        <f>IF(OR(Database!$H195="",N(Screener!$D$12)&lt;=0),0,MAX(0,1-(N(Screener!$D$12)-Database!$H195)/W_RECD))</f>
        <v/>
      </c>
      <c r="H195">
        <f>IF($U$1="",0,N(ISNUMBER(SEARCH($U$1,Database!$X195&amp;""))))+IF($V$1="",0,N(ISNUMBER(SEARCH($V$1,Database!$X195&amp;""))))+IF($W$1="",0,N(ISNUMBER(SEARCH($W$1,Database!$X195&amp;""))))+IF($X$1="",0,N(ISNUMBER(SEARCH($X$1,Database!$X195&amp;""))))+IF($Y$1="",0,N(ISNUMBER(SEARCH($Y$1,Database!$X195&amp;""))))+IF(Screener!$B$17="",0,N(ISNUMBER(SEARCH(LOWER(Screener!$B$17),Database!$X195&amp;""))))</f>
        <v/>
      </c>
      <c r="I195">
        <f>IF(OR(N(Database!$AV195)&lt;=0,N(Screener!$D$13)&lt;=0),0,MAX(0,1-ABS(LOG10(N(Database!$AV195)/Screener!$D$13))/W_PEHW))</f>
        <v/>
      </c>
      <c r="J195">
        <f>IF(OR(N(Database!$S195)&lt;=0,N(Screener!$D$14)&lt;=0),0,MAX(0,1-ABS(LOG10(Database!$S195/Screener!$D$14))/0.6))</f>
        <v/>
      </c>
      <c r="K195">
        <f>IF(Database!$B195=Screener!$B$5,-999999,IF(ISNUMBER(SEARCH(","&amp;Database!$A195&amp;",",","&amp;SUBSTITUTE(Screener!$B$19," ","")&amp;",")),2000000,IF(IF(OR(Screener!$B$18="All",AND(Screener!$B$18="With A-share",(Database!$AZ195="Y")),AND(Screener!$B$18="Without A-share",NOT((Database!$AZ195="Y")))),1,0)=0,-999999,IF(Screener!$B$16="cornerstone overlap first",H195*100000,IF(Screener!$B$16="demand-similar first",J195*100000,0))+W_SUB*B195+W_SEC*C195*(1-B195)+W_SIZE*D195+W_PROF*E195+W_AH*F195+W_REC*G195+W_CS*H195+W_PE*I195)))+ROW()/1000000</f>
        <v/>
      </c>
      <c r="AA195">
        <f>Database!B184</f>
        <v/>
      </c>
      <c r="AB195">
        <f>Database!D184</f>
        <v/>
      </c>
      <c r="AC195">
        <f>Database!E184</f>
        <v/>
      </c>
      <c r="AD195">
        <f>Database!I184</f>
        <v/>
      </c>
      <c r="AE195">
        <f>Database!AU184</f>
        <v/>
      </c>
      <c r="AF195">
        <f>Database!AZ184</f>
        <v/>
      </c>
      <c r="AG195">
        <f>Database!H184</f>
        <v/>
      </c>
      <c r="AH195">
        <f>Database!AV184</f>
        <v/>
      </c>
    </row>
    <row r="196">
      <c r="A196">
        <f>Database!B196</f>
        <v/>
      </c>
      <c r="B196">
        <f>IF(AND(Screener!$D$8&lt;&gt;"",Database!$E196=Screener!$D$8),1,0)</f>
        <v/>
      </c>
      <c r="C196">
        <f>IF(AND(Screener!$D$7&lt;&gt;"",Database!$D196=Screener!$D$7),1,0)</f>
        <v/>
      </c>
      <c r="D196">
        <f>IF(OR(N(Database!$I196)&lt;=0,N(Screener!$D$9)&lt;=0),0,MAX(0,1-ABS(LOG10(N(Database!$I196)/Screener!$D$9))/W_SIZEHW))</f>
        <v/>
      </c>
      <c r="E196">
        <f>IF(OR(Database!$AU196="",Screener!$D$10=""),0,IF(Database!$AU196=Screener!$D$10,1,0))</f>
        <v/>
      </c>
      <c r="F196">
        <f>IF(OR(Database!$AZ196="",Screener!$D$11=""),0,IF(Database!$AZ196=Screener!$D$11,1,0))</f>
        <v/>
      </c>
      <c r="G196">
        <f>IF(OR(Database!$H196="",N(Screener!$D$12)&lt;=0),0,MAX(0,1-(N(Screener!$D$12)-Database!$H196)/W_RECD))</f>
        <v/>
      </c>
      <c r="H196">
        <f>IF($U$1="",0,N(ISNUMBER(SEARCH($U$1,Database!$X196&amp;""))))+IF($V$1="",0,N(ISNUMBER(SEARCH($V$1,Database!$X196&amp;""))))+IF($W$1="",0,N(ISNUMBER(SEARCH($W$1,Database!$X196&amp;""))))+IF($X$1="",0,N(ISNUMBER(SEARCH($X$1,Database!$X196&amp;""))))+IF($Y$1="",0,N(ISNUMBER(SEARCH($Y$1,Database!$X196&amp;""))))+IF(Screener!$B$17="",0,N(ISNUMBER(SEARCH(LOWER(Screener!$B$17),Database!$X196&amp;""))))</f>
        <v/>
      </c>
      <c r="I196">
        <f>IF(OR(N(Database!$AV196)&lt;=0,N(Screener!$D$13)&lt;=0),0,MAX(0,1-ABS(LOG10(N(Database!$AV196)/Screener!$D$13))/W_PEHW))</f>
        <v/>
      </c>
      <c r="J196">
        <f>IF(OR(N(Database!$S196)&lt;=0,N(Screener!$D$14)&lt;=0),0,MAX(0,1-ABS(LOG10(Database!$S196/Screener!$D$14))/0.6))</f>
        <v/>
      </c>
      <c r="K196">
        <f>IF(Database!$B196=Screener!$B$5,-999999,IF(ISNUMBER(SEARCH(","&amp;Database!$A196&amp;",",","&amp;SUBSTITUTE(Screener!$B$19," ","")&amp;",")),2000000,IF(IF(OR(Screener!$B$18="All",AND(Screener!$B$18="With A-share",(Database!$AZ196="Y")),AND(Screener!$B$18="Without A-share",NOT((Database!$AZ196="Y")))),1,0)=0,-999999,IF(Screener!$B$16="cornerstone overlap first",H196*100000,IF(Screener!$B$16="demand-similar first",J196*100000,0))+W_SUB*B196+W_SEC*C196*(1-B196)+W_SIZE*D196+W_PROF*E196+W_AH*F196+W_REC*G196+W_CS*H196+W_PE*I196)))+ROW()/1000000</f>
        <v/>
      </c>
      <c r="AA196">
        <f>Database!B185</f>
        <v/>
      </c>
      <c r="AB196">
        <f>Database!D185</f>
        <v/>
      </c>
      <c r="AC196">
        <f>Database!E185</f>
        <v/>
      </c>
      <c r="AD196">
        <f>Database!I185</f>
        <v/>
      </c>
      <c r="AE196">
        <f>Database!AU185</f>
        <v/>
      </c>
      <c r="AF196">
        <f>Database!AZ185</f>
        <v/>
      </c>
      <c r="AG196">
        <f>Database!H185</f>
        <v/>
      </c>
      <c r="AH196">
        <f>Database!AV185</f>
        <v/>
      </c>
    </row>
    <row r="197">
      <c r="A197">
        <f>Database!B197</f>
        <v/>
      </c>
      <c r="B197">
        <f>IF(AND(Screener!$D$8&lt;&gt;"",Database!$E197=Screener!$D$8),1,0)</f>
        <v/>
      </c>
      <c r="C197">
        <f>IF(AND(Screener!$D$7&lt;&gt;"",Database!$D197=Screener!$D$7),1,0)</f>
        <v/>
      </c>
      <c r="D197">
        <f>IF(OR(N(Database!$I197)&lt;=0,N(Screener!$D$9)&lt;=0),0,MAX(0,1-ABS(LOG10(N(Database!$I197)/Screener!$D$9))/W_SIZEHW))</f>
        <v/>
      </c>
      <c r="E197">
        <f>IF(OR(Database!$AU197="",Screener!$D$10=""),0,IF(Database!$AU197=Screener!$D$10,1,0))</f>
        <v/>
      </c>
      <c r="F197">
        <f>IF(OR(Database!$AZ197="",Screener!$D$11=""),0,IF(Database!$AZ197=Screener!$D$11,1,0))</f>
        <v/>
      </c>
      <c r="G197">
        <f>IF(OR(Database!$H197="",N(Screener!$D$12)&lt;=0),0,MAX(0,1-(N(Screener!$D$12)-Database!$H197)/W_RECD))</f>
        <v/>
      </c>
      <c r="H197">
        <f>IF($U$1="",0,N(ISNUMBER(SEARCH($U$1,Database!$X197&amp;""))))+IF($V$1="",0,N(ISNUMBER(SEARCH($V$1,Database!$X197&amp;""))))+IF($W$1="",0,N(ISNUMBER(SEARCH($W$1,Database!$X197&amp;""))))+IF($X$1="",0,N(ISNUMBER(SEARCH($X$1,Database!$X197&amp;""))))+IF($Y$1="",0,N(ISNUMBER(SEARCH($Y$1,Database!$X197&amp;""))))+IF(Screener!$B$17="",0,N(ISNUMBER(SEARCH(LOWER(Screener!$B$17),Database!$X197&amp;""))))</f>
        <v/>
      </c>
      <c r="I197">
        <f>IF(OR(N(Database!$AV197)&lt;=0,N(Screener!$D$13)&lt;=0),0,MAX(0,1-ABS(LOG10(N(Database!$AV197)/Screener!$D$13))/W_PEHW))</f>
        <v/>
      </c>
      <c r="J197">
        <f>IF(OR(N(Database!$S197)&lt;=0,N(Screener!$D$14)&lt;=0),0,MAX(0,1-ABS(LOG10(Database!$S197/Screener!$D$14))/0.6))</f>
        <v/>
      </c>
      <c r="K197">
        <f>IF(Database!$B197=Screener!$B$5,-999999,IF(ISNUMBER(SEARCH(","&amp;Database!$A197&amp;",",","&amp;SUBSTITUTE(Screener!$B$19," ","")&amp;",")),2000000,IF(IF(OR(Screener!$B$18="All",AND(Screener!$B$18="With A-share",(Database!$AZ197="Y")),AND(Screener!$B$18="Without A-share",NOT((Database!$AZ197="Y")))),1,0)=0,-999999,IF(Screener!$B$16="cornerstone overlap first",H197*100000,IF(Screener!$B$16="demand-similar first",J197*100000,0))+W_SUB*B197+W_SEC*C197*(1-B197)+W_SIZE*D197+W_PROF*E197+W_AH*F197+W_REC*G197+W_CS*H197+W_PE*I197)))+ROW()/1000000</f>
        <v/>
      </c>
      <c r="AA197">
        <f>Database!B186</f>
        <v/>
      </c>
      <c r="AB197">
        <f>Database!D186</f>
        <v/>
      </c>
      <c r="AC197">
        <f>Database!E186</f>
        <v/>
      </c>
      <c r="AD197">
        <f>Database!I186</f>
        <v/>
      </c>
      <c r="AE197">
        <f>Database!AU186</f>
        <v/>
      </c>
      <c r="AF197">
        <f>Database!AZ186</f>
        <v/>
      </c>
      <c r="AG197">
        <f>Database!H186</f>
        <v/>
      </c>
      <c r="AH197">
        <f>Database!AV186</f>
        <v/>
      </c>
    </row>
    <row r="198">
      <c r="A198">
        <f>Database!B198</f>
        <v/>
      </c>
      <c r="B198">
        <f>IF(AND(Screener!$D$8&lt;&gt;"",Database!$E198=Screener!$D$8),1,0)</f>
        <v/>
      </c>
      <c r="C198">
        <f>IF(AND(Screener!$D$7&lt;&gt;"",Database!$D198=Screener!$D$7),1,0)</f>
        <v/>
      </c>
      <c r="D198">
        <f>IF(OR(N(Database!$I198)&lt;=0,N(Screener!$D$9)&lt;=0),0,MAX(0,1-ABS(LOG10(N(Database!$I198)/Screener!$D$9))/W_SIZEHW))</f>
        <v/>
      </c>
      <c r="E198">
        <f>IF(OR(Database!$AU198="",Screener!$D$10=""),0,IF(Database!$AU198=Screener!$D$10,1,0))</f>
        <v/>
      </c>
      <c r="F198">
        <f>IF(OR(Database!$AZ198="",Screener!$D$11=""),0,IF(Database!$AZ198=Screener!$D$11,1,0))</f>
        <v/>
      </c>
      <c r="G198">
        <f>IF(OR(Database!$H198="",N(Screener!$D$12)&lt;=0),0,MAX(0,1-(N(Screener!$D$12)-Database!$H198)/W_RECD))</f>
        <v/>
      </c>
      <c r="H198">
        <f>IF($U$1="",0,N(ISNUMBER(SEARCH($U$1,Database!$X198&amp;""))))+IF($V$1="",0,N(ISNUMBER(SEARCH($V$1,Database!$X198&amp;""))))+IF($W$1="",0,N(ISNUMBER(SEARCH($W$1,Database!$X198&amp;""))))+IF($X$1="",0,N(ISNUMBER(SEARCH($X$1,Database!$X198&amp;""))))+IF($Y$1="",0,N(ISNUMBER(SEARCH($Y$1,Database!$X198&amp;""))))+IF(Screener!$B$17="",0,N(ISNUMBER(SEARCH(LOWER(Screener!$B$17),Database!$X198&amp;""))))</f>
        <v/>
      </c>
      <c r="I198">
        <f>IF(OR(N(Database!$AV198)&lt;=0,N(Screener!$D$13)&lt;=0),0,MAX(0,1-ABS(LOG10(N(Database!$AV198)/Screener!$D$13))/W_PEHW))</f>
        <v/>
      </c>
      <c r="J198">
        <f>IF(OR(N(Database!$S198)&lt;=0,N(Screener!$D$14)&lt;=0),0,MAX(0,1-ABS(LOG10(Database!$S198/Screener!$D$14))/0.6))</f>
        <v/>
      </c>
      <c r="K198">
        <f>IF(Database!$B198=Screener!$B$5,-999999,IF(ISNUMBER(SEARCH(","&amp;Database!$A198&amp;",",","&amp;SUBSTITUTE(Screener!$B$19," ","")&amp;",")),2000000,IF(IF(OR(Screener!$B$18="All",AND(Screener!$B$18="With A-share",(Database!$AZ198="Y")),AND(Screener!$B$18="Without A-share",NOT((Database!$AZ198="Y")))),1,0)=0,-999999,IF(Screener!$B$16="cornerstone overlap first",H198*100000,IF(Screener!$B$16="demand-similar first",J198*100000,0))+W_SUB*B198+W_SEC*C198*(1-B198)+W_SIZE*D198+W_PROF*E198+W_AH*F198+W_REC*G198+W_CS*H198+W_PE*I198)))+ROW()/1000000</f>
        <v/>
      </c>
      <c r="AA198">
        <f>Database!B187</f>
        <v/>
      </c>
      <c r="AB198">
        <f>Database!D187</f>
        <v/>
      </c>
      <c r="AC198">
        <f>Database!E187</f>
        <v/>
      </c>
      <c r="AD198">
        <f>Database!I187</f>
        <v/>
      </c>
      <c r="AE198">
        <f>Database!AU187</f>
        <v/>
      </c>
      <c r="AF198">
        <f>Database!AZ187</f>
        <v/>
      </c>
      <c r="AG198">
        <f>Database!H187</f>
        <v/>
      </c>
      <c r="AH198">
        <f>Database!AV187</f>
        <v/>
      </c>
    </row>
    <row r="199">
      <c r="A199">
        <f>Database!B199</f>
        <v/>
      </c>
      <c r="B199">
        <f>IF(AND(Screener!$D$8&lt;&gt;"",Database!$E199=Screener!$D$8),1,0)</f>
        <v/>
      </c>
      <c r="C199">
        <f>IF(AND(Screener!$D$7&lt;&gt;"",Database!$D199=Screener!$D$7),1,0)</f>
        <v/>
      </c>
      <c r="D199">
        <f>IF(OR(N(Database!$I199)&lt;=0,N(Screener!$D$9)&lt;=0),0,MAX(0,1-ABS(LOG10(N(Database!$I199)/Screener!$D$9))/W_SIZEHW))</f>
        <v/>
      </c>
      <c r="E199">
        <f>IF(OR(Database!$AU199="",Screener!$D$10=""),0,IF(Database!$AU199=Screener!$D$10,1,0))</f>
        <v/>
      </c>
      <c r="F199">
        <f>IF(OR(Database!$AZ199="",Screener!$D$11=""),0,IF(Database!$AZ199=Screener!$D$11,1,0))</f>
        <v/>
      </c>
      <c r="G199">
        <f>IF(OR(Database!$H199="",N(Screener!$D$12)&lt;=0),0,MAX(0,1-(N(Screener!$D$12)-Database!$H199)/W_RECD))</f>
        <v/>
      </c>
      <c r="H199">
        <f>IF($U$1="",0,N(ISNUMBER(SEARCH($U$1,Database!$X199&amp;""))))+IF($V$1="",0,N(ISNUMBER(SEARCH($V$1,Database!$X199&amp;""))))+IF($W$1="",0,N(ISNUMBER(SEARCH($W$1,Database!$X199&amp;""))))+IF($X$1="",0,N(ISNUMBER(SEARCH($X$1,Database!$X199&amp;""))))+IF($Y$1="",0,N(ISNUMBER(SEARCH($Y$1,Database!$X199&amp;""))))+IF(Screener!$B$17="",0,N(ISNUMBER(SEARCH(LOWER(Screener!$B$17),Database!$X199&amp;""))))</f>
        <v/>
      </c>
      <c r="I199">
        <f>IF(OR(N(Database!$AV199)&lt;=0,N(Screener!$D$13)&lt;=0),0,MAX(0,1-ABS(LOG10(N(Database!$AV199)/Screener!$D$13))/W_PEHW))</f>
        <v/>
      </c>
      <c r="J199">
        <f>IF(OR(N(Database!$S199)&lt;=0,N(Screener!$D$14)&lt;=0),0,MAX(0,1-ABS(LOG10(Database!$S199/Screener!$D$14))/0.6))</f>
        <v/>
      </c>
      <c r="K199">
        <f>IF(Database!$B199=Screener!$B$5,-999999,IF(ISNUMBER(SEARCH(","&amp;Database!$A199&amp;",",","&amp;SUBSTITUTE(Screener!$B$19," ","")&amp;",")),2000000,IF(IF(OR(Screener!$B$18="All",AND(Screener!$B$18="With A-share",(Database!$AZ199="Y")),AND(Screener!$B$18="Without A-share",NOT((Database!$AZ199="Y")))),1,0)=0,-999999,IF(Screener!$B$16="cornerstone overlap first",H199*100000,IF(Screener!$B$16="demand-similar first",J199*100000,0))+W_SUB*B199+W_SEC*C199*(1-B199)+W_SIZE*D199+W_PROF*E199+W_AH*F199+W_REC*G199+W_CS*H199+W_PE*I199)))+ROW()/1000000</f>
        <v/>
      </c>
      <c r="AA199">
        <f>Database!B188</f>
        <v/>
      </c>
      <c r="AB199">
        <f>Database!D188</f>
        <v/>
      </c>
      <c r="AC199">
        <f>Database!E188</f>
        <v/>
      </c>
      <c r="AD199">
        <f>Database!I188</f>
        <v/>
      </c>
      <c r="AE199">
        <f>Database!AU188</f>
        <v/>
      </c>
      <c r="AF199">
        <f>Database!AZ188</f>
        <v/>
      </c>
      <c r="AG199">
        <f>Database!H188</f>
        <v/>
      </c>
      <c r="AH199">
        <f>Database!AV188</f>
        <v/>
      </c>
    </row>
    <row r="200">
      <c r="A200">
        <f>Database!B200</f>
        <v/>
      </c>
      <c r="B200">
        <f>IF(AND(Screener!$D$8&lt;&gt;"",Database!$E200=Screener!$D$8),1,0)</f>
        <v/>
      </c>
      <c r="C200">
        <f>IF(AND(Screener!$D$7&lt;&gt;"",Database!$D200=Screener!$D$7),1,0)</f>
        <v/>
      </c>
      <c r="D200">
        <f>IF(OR(N(Database!$I200)&lt;=0,N(Screener!$D$9)&lt;=0),0,MAX(0,1-ABS(LOG10(N(Database!$I200)/Screener!$D$9))/W_SIZEHW))</f>
        <v/>
      </c>
      <c r="E200">
        <f>IF(OR(Database!$AU200="",Screener!$D$10=""),0,IF(Database!$AU200=Screener!$D$10,1,0))</f>
        <v/>
      </c>
      <c r="F200">
        <f>IF(OR(Database!$AZ200="",Screener!$D$11=""),0,IF(Database!$AZ200=Screener!$D$11,1,0))</f>
        <v/>
      </c>
      <c r="G200">
        <f>IF(OR(Database!$H200="",N(Screener!$D$12)&lt;=0),0,MAX(0,1-(N(Screener!$D$12)-Database!$H200)/W_RECD))</f>
        <v/>
      </c>
      <c r="H200">
        <f>IF($U$1="",0,N(ISNUMBER(SEARCH($U$1,Database!$X200&amp;""))))+IF($V$1="",0,N(ISNUMBER(SEARCH($V$1,Database!$X200&amp;""))))+IF($W$1="",0,N(ISNUMBER(SEARCH($W$1,Database!$X200&amp;""))))+IF($X$1="",0,N(ISNUMBER(SEARCH($X$1,Database!$X200&amp;""))))+IF($Y$1="",0,N(ISNUMBER(SEARCH($Y$1,Database!$X200&amp;""))))+IF(Screener!$B$17="",0,N(ISNUMBER(SEARCH(LOWER(Screener!$B$17),Database!$X200&amp;""))))</f>
        <v/>
      </c>
      <c r="I200">
        <f>IF(OR(N(Database!$AV200)&lt;=0,N(Screener!$D$13)&lt;=0),0,MAX(0,1-ABS(LOG10(N(Database!$AV200)/Screener!$D$13))/W_PEHW))</f>
        <v/>
      </c>
      <c r="J200">
        <f>IF(OR(N(Database!$S200)&lt;=0,N(Screener!$D$14)&lt;=0),0,MAX(0,1-ABS(LOG10(Database!$S200/Screener!$D$14))/0.6))</f>
        <v/>
      </c>
      <c r="K200">
        <f>IF(Database!$B200=Screener!$B$5,-999999,IF(ISNUMBER(SEARCH(","&amp;Database!$A200&amp;",",","&amp;SUBSTITUTE(Screener!$B$19," ","")&amp;",")),2000000,IF(IF(OR(Screener!$B$18="All",AND(Screener!$B$18="With A-share",(Database!$AZ200="Y")),AND(Screener!$B$18="Without A-share",NOT((Database!$AZ200="Y")))),1,0)=0,-999999,IF(Screener!$B$16="cornerstone overlap first",H200*100000,IF(Screener!$B$16="demand-similar first",J200*100000,0))+W_SUB*B200+W_SEC*C200*(1-B200)+W_SIZE*D200+W_PROF*E200+W_AH*F200+W_REC*G200+W_CS*H200+W_PE*I200)))+ROW()/1000000</f>
        <v/>
      </c>
      <c r="AA200">
        <f>Database!B189</f>
        <v/>
      </c>
      <c r="AB200">
        <f>Database!D189</f>
        <v/>
      </c>
      <c r="AC200">
        <f>Database!E189</f>
        <v/>
      </c>
      <c r="AD200">
        <f>Database!I189</f>
        <v/>
      </c>
      <c r="AE200">
        <f>Database!AU189</f>
        <v/>
      </c>
      <c r="AF200">
        <f>Database!AZ189</f>
        <v/>
      </c>
      <c r="AG200">
        <f>Database!H189</f>
        <v/>
      </c>
      <c r="AH200">
        <f>Database!AV189</f>
        <v/>
      </c>
    </row>
    <row r="201">
      <c r="A201">
        <f>Database!B201</f>
        <v/>
      </c>
      <c r="B201">
        <f>IF(AND(Screener!$D$8&lt;&gt;"",Database!$E201=Screener!$D$8),1,0)</f>
        <v/>
      </c>
      <c r="C201">
        <f>IF(AND(Screener!$D$7&lt;&gt;"",Database!$D201=Screener!$D$7),1,0)</f>
        <v/>
      </c>
      <c r="D201">
        <f>IF(OR(N(Database!$I201)&lt;=0,N(Screener!$D$9)&lt;=0),0,MAX(0,1-ABS(LOG10(N(Database!$I201)/Screener!$D$9))/W_SIZEHW))</f>
        <v/>
      </c>
      <c r="E201">
        <f>IF(OR(Database!$AU201="",Screener!$D$10=""),0,IF(Database!$AU201=Screener!$D$10,1,0))</f>
        <v/>
      </c>
      <c r="F201">
        <f>IF(OR(Database!$AZ201="",Screener!$D$11=""),0,IF(Database!$AZ201=Screener!$D$11,1,0))</f>
        <v/>
      </c>
      <c r="G201">
        <f>IF(OR(Database!$H201="",N(Screener!$D$12)&lt;=0),0,MAX(0,1-(N(Screener!$D$12)-Database!$H201)/W_RECD))</f>
        <v/>
      </c>
      <c r="H201">
        <f>IF($U$1="",0,N(ISNUMBER(SEARCH($U$1,Database!$X201&amp;""))))+IF($V$1="",0,N(ISNUMBER(SEARCH($V$1,Database!$X201&amp;""))))+IF($W$1="",0,N(ISNUMBER(SEARCH($W$1,Database!$X201&amp;""))))+IF($X$1="",0,N(ISNUMBER(SEARCH($X$1,Database!$X201&amp;""))))+IF($Y$1="",0,N(ISNUMBER(SEARCH($Y$1,Database!$X201&amp;""))))+IF(Screener!$B$17="",0,N(ISNUMBER(SEARCH(LOWER(Screener!$B$17),Database!$X201&amp;""))))</f>
        <v/>
      </c>
      <c r="I201">
        <f>IF(OR(N(Database!$AV201)&lt;=0,N(Screener!$D$13)&lt;=0),0,MAX(0,1-ABS(LOG10(N(Database!$AV201)/Screener!$D$13))/W_PEHW))</f>
        <v/>
      </c>
      <c r="J201">
        <f>IF(OR(N(Database!$S201)&lt;=0,N(Screener!$D$14)&lt;=0),0,MAX(0,1-ABS(LOG10(Database!$S201/Screener!$D$14))/0.6))</f>
        <v/>
      </c>
      <c r="K201">
        <f>IF(Database!$B201=Screener!$B$5,-999999,IF(ISNUMBER(SEARCH(","&amp;Database!$A201&amp;",",","&amp;SUBSTITUTE(Screener!$B$19," ","")&amp;",")),2000000,IF(IF(OR(Screener!$B$18="All",AND(Screener!$B$18="With A-share",(Database!$AZ201="Y")),AND(Screener!$B$18="Without A-share",NOT((Database!$AZ201="Y")))),1,0)=0,-999999,IF(Screener!$B$16="cornerstone overlap first",H201*100000,IF(Screener!$B$16="demand-similar first",J201*100000,0))+W_SUB*B201+W_SEC*C201*(1-B201)+W_SIZE*D201+W_PROF*E201+W_AH*F201+W_REC*G201+W_CS*H201+W_PE*I201)))+ROW()/1000000</f>
        <v/>
      </c>
      <c r="AA201">
        <f>Database!B190</f>
        <v/>
      </c>
      <c r="AB201">
        <f>Database!D190</f>
        <v/>
      </c>
      <c r="AC201">
        <f>Database!E190</f>
        <v/>
      </c>
      <c r="AD201">
        <f>Database!I190</f>
        <v/>
      </c>
      <c r="AE201">
        <f>Database!AU190</f>
        <v/>
      </c>
      <c r="AF201">
        <f>Database!AZ190</f>
        <v/>
      </c>
      <c r="AG201">
        <f>Database!H190</f>
        <v/>
      </c>
      <c r="AH201">
        <f>Database!AV190</f>
        <v/>
      </c>
    </row>
    <row r="202">
      <c r="A202">
        <f>Database!B202</f>
        <v/>
      </c>
      <c r="B202">
        <f>IF(AND(Screener!$D$8&lt;&gt;"",Database!$E202=Screener!$D$8),1,0)</f>
        <v/>
      </c>
      <c r="C202">
        <f>IF(AND(Screener!$D$7&lt;&gt;"",Database!$D202=Screener!$D$7),1,0)</f>
        <v/>
      </c>
      <c r="D202">
        <f>IF(OR(N(Database!$I202)&lt;=0,N(Screener!$D$9)&lt;=0),0,MAX(0,1-ABS(LOG10(N(Database!$I202)/Screener!$D$9))/W_SIZEHW))</f>
        <v/>
      </c>
      <c r="E202">
        <f>IF(OR(Database!$AU202="",Screener!$D$10=""),0,IF(Database!$AU202=Screener!$D$10,1,0))</f>
        <v/>
      </c>
      <c r="F202">
        <f>IF(OR(Database!$AZ202="",Screener!$D$11=""),0,IF(Database!$AZ202=Screener!$D$11,1,0))</f>
        <v/>
      </c>
      <c r="G202">
        <f>IF(OR(Database!$H202="",N(Screener!$D$12)&lt;=0),0,MAX(0,1-(N(Screener!$D$12)-Database!$H202)/W_RECD))</f>
        <v/>
      </c>
      <c r="H202">
        <f>IF($U$1="",0,N(ISNUMBER(SEARCH($U$1,Database!$X202&amp;""))))+IF($V$1="",0,N(ISNUMBER(SEARCH($V$1,Database!$X202&amp;""))))+IF($W$1="",0,N(ISNUMBER(SEARCH($W$1,Database!$X202&amp;""))))+IF($X$1="",0,N(ISNUMBER(SEARCH($X$1,Database!$X202&amp;""))))+IF($Y$1="",0,N(ISNUMBER(SEARCH($Y$1,Database!$X202&amp;""))))+IF(Screener!$B$17="",0,N(ISNUMBER(SEARCH(LOWER(Screener!$B$17),Database!$X202&amp;""))))</f>
        <v/>
      </c>
      <c r="I202">
        <f>IF(OR(N(Database!$AV202)&lt;=0,N(Screener!$D$13)&lt;=0),0,MAX(0,1-ABS(LOG10(N(Database!$AV202)/Screener!$D$13))/W_PEHW))</f>
        <v/>
      </c>
      <c r="J202">
        <f>IF(OR(N(Database!$S202)&lt;=0,N(Screener!$D$14)&lt;=0),0,MAX(0,1-ABS(LOG10(Database!$S202/Screener!$D$14))/0.6))</f>
        <v/>
      </c>
      <c r="K202">
        <f>IF(Database!$B202=Screener!$B$5,-999999,IF(ISNUMBER(SEARCH(","&amp;Database!$A202&amp;",",","&amp;SUBSTITUTE(Screener!$B$19," ","")&amp;",")),2000000,IF(IF(OR(Screener!$B$18="All",AND(Screener!$B$18="With A-share",(Database!$AZ202="Y")),AND(Screener!$B$18="Without A-share",NOT((Database!$AZ202="Y")))),1,0)=0,-999999,IF(Screener!$B$16="cornerstone overlap first",H202*100000,IF(Screener!$B$16="demand-similar first",J202*100000,0))+W_SUB*B202+W_SEC*C202*(1-B202)+W_SIZE*D202+W_PROF*E202+W_AH*F202+W_REC*G202+W_CS*H202+W_PE*I202)))+ROW()/1000000</f>
        <v/>
      </c>
      <c r="AA202">
        <f>Database!B191</f>
        <v/>
      </c>
      <c r="AB202">
        <f>Database!D191</f>
        <v/>
      </c>
      <c r="AC202">
        <f>Database!E191</f>
        <v/>
      </c>
      <c r="AD202">
        <f>Database!I191</f>
        <v/>
      </c>
      <c r="AE202">
        <f>Database!AU191</f>
        <v/>
      </c>
      <c r="AF202">
        <f>Database!AZ191</f>
        <v/>
      </c>
      <c r="AG202">
        <f>Database!H191</f>
        <v/>
      </c>
      <c r="AH202">
        <f>Database!AV191</f>
        <v/>
      </c>
    </row>
    <row r="203">
      <c r="A203">
        <f>Database!B203</f>
        <v/>
      </c>
      <c r="B203">
        <f>IF(AND(Screener!$D$8&lt;&gt;"",Database!$E203=Screener!$D$8),1,0)</f>
        <v/>
      </c>
      <c r="C203">
        <f>IF(AND(Screener!$D$7&lt;&gt;"",Database!$D203=Screener!$D$7),1,0)</f>
        <v/>
      </c>
      <c r="D203">
        <f>IF(OR(N(Database!$I203)&lt;=0,N(Screener!$D$9)&lt;=0),0,MAX(0,1-ABS(LOG10(N(Database!$I203)/Screener!$D$9))/W_SIZEHW))</f>
        <v/>
      </c>
      <c r="E203">
        <f>IF(OR(Database!$AU203="",Screener!$D$10=""),0,IF(Database!$AU203=Screener!$D$10,1,0))</f>
        <v/>
      </c>
      <c r="F203">
        <f>IF(OR(Database!$AZ203="",Screener!$D$11=""),0,IF(Database!$AZ203=Screener!$D$11,1,0))</f>
        <v/>
      </c>
      <c r="G203">
        <f>IF(OR(Database!$H203="",N(Screener!$D$12)&lt;=0),0,MAX(0,1-(N(Screener!$D$12)-Database!$H203)/W_RECD))</f>
        <v/>
      </c>
      <c r="H203">
        <f>IF($U$1="",0,N(ISNUMBER(SEARCH($U$1,Database!$X203&amp;""))))+IF($V$1="",0,N(ISNUMBER(SEARCH($V$1,Database!$X203&amp;""))))+IF($W$1="",0,N(ISNUMBER(SEARCH($W$1,Database!$X203&amp;""))))+IF($X$1="",0,N(ISNUMBER(SEARCH($X$1,Database!$X203&amp;""))))+IF($Y$1="",0,N(ISNUMBER(SEARCH($Y$1,Database!$X203&amp;""))))+IF(Screener!$B$17="",0,N(ISNUMBER(SEARCH(LOWER(Screener!$B$17),Database!$X203&amp;""))))</f>
        <v/>
      </c>
      <c r="I203">
        <f>IF(OR(N(Database!$AV203)&lt;=0,N(Screener!$D$13)&lt;=0),0,MAX(0,1-ABS(LOG10(N(Database!$AV203)/Screener!$D$13))/W_PEHW))</f>
        <v/>
      </c>
      <c r="J203">
        <f>IF(OR(N(Database!$S203)&lt;=0,N(Screener!$D$14)&lt;=0),0,MAX(0,1-ABS(LOG10(Database!$S203/Screener!$D$14))/0.6))</f>
        <v/>
      </c>
      <c r="K203">
        <f>IF(Database!$B203=Screener!$B$5,-999999,IF(ISNUMBER(SEARCH(","&amp;Database!$A203&amp;",",","&amp;SUBSTITUTE(Screener!$B$19," ","")&amp;",")),2000000,IF(IF(OR(Screener!$B$18="All",AND(Screener!$B$18="With A-share",(Database!$AZ203="Y")),AND(Screener!$B$18="Without A-share",NOT((Database!$AZ203="Y")))),1,0)=0,-999999,IF(Screener!$B$16="cornerstone overlap first",H203*100000,IF(Screener!$B$16="demand-similar first",J203*100000,0))+W_SUB*B203+W_SEC*C203*(1-B203)+W_SIZE*D203+W_PROF*E203+W_AH*F203+W_REC*G203+W_CS*H203+W_PE*I203)))+ROW()/1000000</f>
        <v/>
      </c>
      <c r="AA203">
        <f>Database!B192</f>
        <v/>
      </c>
      <c r="AB203">
        <f>Database!D192</f>
        <v/>
      </c>
      <c r="AC203">
        <f>Database!E192</f>
        <v/>
      </c>
      <c r="AD203">
        <f>Database!I192</f>
        <v/>
      </c>
      <c r="AE203">
        <f>Database!AU192</f>
        <v/>
      </c>
      <c r="AF203">
        <f>Database!AZ192</f>
        <v/>
      </c>
      <c r="AG203">
        <f>Database!H192</f>
        <v/>
      </c>
      <c r="AH203">
        <f>Database!AV192</f>
        <v/>
      </c>
    </row>
    <row r="204">
      <c r="A204">
        <f>Database!B204</f>
        <v/>
      </c>
      <c r="B204">
        <f>IF(AND(Screener!$D$8&lt;&gt;"",Database!$E204=Screener!$D$8),1,0)</f>
        <v/>
      </c>
      <c r="C204">
        <f>IF(AND(Screener!$D$7&lt;&gt;"",Database!$D204=Screener!$D$7),1,0)</f>
        <v/>
      </c>
      <c r="D204">
        <f>IF(OR(N(Database!$I204)&lt;=0,N(Screener!$D$9)&lt;=0),0,MAX(0,1-ABS(LOG10(N(Database!$I204)/Screener!$D$9))/W_SIZEHW))</f>
        <v/>
      </c>
      <c r="E204">
        <f>IF(OR(Database!$AU204="",Screener!$D$10=""),0,IF(Database!$AU204=Screener!$D$10,1,0))</f>
        <v/>
      </c>
      <c r="F204">
        <f>IF(OR(Database!$AZ204="",Screener!$D$11=""),0,IF(Database!$AZ204=Screener!$D$11,1,0))</f>
        <v/>
      </c>
      <c r="G204">
        <f>IF(OR(Database!$H204="",N(Screener!$D$12)&lt;=0),0,MAX(0,1-(N(Screener!$D$12)-Database!$H204)/W_RECD))</f>
        <v/>
      </c>
      <c r="H204">
        <f>IF($U$1="",0,N(ISNUMBER(SEARCH($U$1,Database!$X204&amp;""))))+IF($V$1="",0,N(ISNUMBER(SEARCH($V$1,Database!$X204&amp;""))))+IF($W$1="",0,N(ISNUMBER(SEARCH($W$1,Database!$X204&amp;""))))+IF($X$1="",0,N(ISNUMBER(SEARCH($X$1,Database!$X204&amp;""))))+IF($Y$1="",0,N(ISNUMBER(SEARCH($Y$1,Database!$X204&amp;""))))+IF(Screener!$B$17="",0,N(ISNUMBER(SEARCH(LOWER(Screener!$B$17),Database!$X204&amp;""))))</f>
        <v/>
      </c>
      <c r="I204">
        <f>IF(OR(N(Database!$AV204)&lt;=0,N(Screener!$D$13)&lt;=0),0,MAX(0,1-ABS(LOG10(N(Database!$AV204)/Screener!$D$13))/W_PEHW))</f>
        <v/>
      </c>
      <c r="J204">
        <f>IF(OR(N(Database!$S204)&lt;=0,N(Screener!$D$14)&lt;=0),0,MAX(0,1-ABS(LOG10(Database!$S204/Screener!$D$14))/0.6))</f>
        <v/>
      </c>
      <c r="K204">
        <f>IF(Database!$B204=Screener!$B$5,-999999,IF(ISNUMBER(SEARCH(","&amp;Database!$A204&amp;",",","&amp;SUBSTITUTE(Screener!$B$19," ","")&amp;",")),2000000,IF(IF(OR(Screener!$B$18="All",AND(Screener!$B$18="With A-share",(Database!$AZ204="Y")),AND(Screener!$B$18="Without A-share",NOT((Database!$AZ204="Y")))),1,0)=0,-999999,IF(Screener!$B$16="cornerstone overlap first",H204*100000,IF(Screener!$B$16="demand-similar first",J204*100000,0))+W_SUB*B204+W_SEC*C204*(1-B204)+W_SIZE*D204+W_PROF*E204+W_AH*F204+W_REC*G204+W_CS*H204+W_PE*I204)))+ROW()/1000000</f>
        <v/>
      </c>
      <c r="AA204">
        <f>Database!B193</f>
        <v/>
      </c>
      <c r="AB204">
        <f>Database!D193</f>
        <v/>
      </c>
      <c r="AC204">
        <f>Database!E193</f>
        <v/>
      </c>
      <c r="AD204">
        <f>Database!I193</f>
        <v/>
      </c>
      <c r="AE204">
        <f>Database!AU193</f>
        <v/>
      </c>
      <c r="AF204">
        <f>Database!AZ193</f>
        <v/>
      </c>
      <c r="AG204">
        <f>Database!H193</f>
        <v/>
      </c>
      <c r="AH204">
        <f>Database!AV193</f>
        <v/>
      </c>
    </row>
    <row r="205">
      <c r="A205">
        <f>Database!B205</f>
        <v/>
      </c>
      <c r="B205">
        <f>IF(AND(Screener!$D$8&lt;&gt;"",Database!$E205=Screener!$D$8),1,0)</f>
        <v/>
      </c>
      <c r="C205">
        <f>IF(AND(Screener!$D$7&lt;&gt;"",Database!$D205=Screener!$D$7),1,0)</f>
        <v/>
      </c>
      <c r="D205">
        <f>IF(OR(N(Database!$I205)&lt;=0,N(Screener!$D$9)&lt;=0),0,MAX(0,1-ABS(LOG10(N(Database!$I205)/Screener!$D$9))/W_SIZEHW))</f>
        <v/>
      </c>
      <c r="E205">
        <f>IF(OR(Database!$AU205="",Screener!$D$10=""),0,IF(Database!$AU205=Screener!$D$10,1,0))</f>
        <v/>
      </c>
      <c r="F205">
        <f>IF(OR(Database!$AZ205="",Screener!$D$11=""),0,IF(Database!$AZ205=Screener!$D$11,1,0))</f>
        <v/>
      </c>
      <c r="G205">
        <f>IF(OR(Database!$H205="",N(Screener!$D$12)&lt;=0),0,MAX(0,1-(N(Screener!$D$12)-Database!$H205)/W_RECD))</f>
        <v/>
      </c>
      <c r="H205">
        <f>IF($U$1="",0,N(ISNUMBER(SEARCH($U$1,Database!$X205&amp;""))))+IF($V$1="",0,N(ISNUMBER(SEARCH($V$1,Database!$X205&amp;""))))+IF($W$1="",0,N(ISNUMBER(SEARCH($W$1,Database!$X205&amp;""))))+IF($X$1="",0,N(ISNUMBER(SEARCH($X$1,Database!$X205&amp;""))))+IF($Y$1="",0,N(ISNUMBER(SEARCH($Y$1,Database!$X205&amp;""))))+IF(Screener!$B$17="",0,N(ISNUMBER(SEARCH(LOWER(Screener!$B$17),Database!$X205&amp;""))))</f>
        <v/>
      </c>
      <c r="I205">
        <f>IF(OR(N(Database!$AV205)&lt;=0,N(Screener!$D$13)&lt;=0),0,MAX(0,1-ABS(LOG10(N(Database!$AV205)/Screener!$D$13))/W_PEHW))</f>
        <v/>
      </c>
      <c r="J205">
        <f>IF(OR(N(Database!$S205)&lt;=0,N(Screener!$D$14)&lt;=0),0,MAX(0,1-ABS(LOG10(Database!$S205/Screener!$D$14))/0.6))</f>
        <v/>
      </c>
      <c r="K205">
        <f>IF(Database!$B205=Screener!$B$5,-999999,IF(ISNUMBER(SEARCH(","&amp;Database!$A205&amp;",",","&amp;SUBSTITUTE(Screener!$B$19," ","")&amp;",")),2000000,IF(IF(OR(Screener!$B$18="All",AND(Screener!$B$18="With A-share",(Database!$AZ205="Y")),AND(Screener!$B$18="Without A-share",NOT((Database!$AZ205="Y")))),1,0)=0,-999999,IF(Screener!$B$16="cornerstone overlap first",H205*100000,IF(Screener!$B$16="demand-similar first",J205*100000,0))+W_SUB*B205+W_SEC*C205*(1-B205)+W_SIZE*D205+W_PROF*E205+W_AH*F205+W_REC*G205+W_CS*H205+W_PE*I205)))+ROW()/1000000</f>
        <v/>
      </c>
      <c r="AA205">
        <f>Database!B194</f>
        <v/>
      </c>
      <c r="AB205">
        <f>Database!D194</f>
        <v/>
      </c>
      <c r="AC205">
        <f>Database!E194</f>
        <v/>
      </c>
      <c r="AD205">
        <f>Database!I194</f>
        <v/>
      </c>
      <c r="AE205">
        <f>Database!AU194</f>
        <v/>
      </c>
      <c r="AF205">
        <f>Database!AZ194</f>
        <v/>
      </c>
      <c r="AG205">
        <f>Database!H194</f>
        <v/>
      </c>
      <c r="AH205">
        <f>Database!AV194</f>
        <v/>
      </c>
    </row>
    <row r="206">
      <c r="A206">
        <f>Database!B206</f>
        <v/>
      </c>
      <c r="B206">
        <f>IF(AND(Screener!$D$8&lt;&gt;"",Database!$E206=Screener!$D$8),1,0)</f>
        <v/>
      </c>
      <c r="C206">
        <f>IF(AND(Screener!$D$7&lt;&gt;"",Database!$D206=Screener!$D$7),1,0)</f>
        <v/>
      </c>
      <c r="D206">
        <f>IF(OR(N(Database!$I206)&lt;=0,N(Screener!$D$9)&lt;=0),0,MAX(0,1-ABS(LOG10(N(Database!$I206)/Screener!$D$9))/W_SIZEHW))</f>
        <v/>
      </c>
      <c r="E206">
        <f>IF(OR(Database!$AU206="",Screener!$D$10=""),0,IF(Database!$AU206=Screener!$D$10,1,0))</f>
        <v/>
      </c>
      <c r="F206">
        <f>IF(OR(Database!$AZ206="",Screener!$D$11=""),0,IF(Database!$AZ206=Screener!$D$11,1,0))</f>
        <v/>
      </c>
      <c r="G206">
        <f>IF(OR(Database!$H206="",N(Screener!$D$12)&lt;=0),0,MAX(0,1-(N(Screener!$D$12)-Database!$H206)/W_RECD))</f>
        <v/>
      </c>
      <c r="H206">
        <f>IF($U$1="",0,N(ISNUMBER(SEARCH($U$1,Database!$X206&amp;""))))+IF($V$1="",0,N(ISNUMBER(SEARCH($V$1,Database!$X206&amp;""))))+IF($W$1="",0,N(ISNUMBER(SEARCH($W$1,Database!$X206&amp;""))))+IF($X$1="",0,N(ISNUMBER(SEARCH($X$1,Database!$X206&amp;""))))+IF($Y$1="",0,N(ISNUMBER(SEARCH($Y$1,Database!$X206&amp;""))))+IF(Screener!$B$17="",0,N(ISNUMBER(SEARCH(LOWER(Screener!$B$17),Database!$X206&amp;""))))</f>
        <v/>
      </c>
      <c r="I206">
        <f>IF(OR(N(Database!$AV206)&lt;=0,N(Screener!$D$13)&lt;=0),0,MAX(0,1-ABS(LOG10(N(Database!$AV206)/Screener!$D$13))/W_PEHW))</f>
        <v/>
      </c>
      <c r="J206">
        <f>IF(OR(N(Database!$S206)&lt;=0,N(Screener!$D$14)&lt;=0),0,MAX(0,1-ABS(LOG10(Database!$S206/Screener!$D$14))/0.6))</f>
        <v/>
      </c>
      <c r="K206">
        <f>IF(Database!$B206=Screener!$B$5,-999999,IF(ISNUMBER(SEARCH(","&amp;Database!$A206&amp;",",","&amp;SUBSTITUTE(Screener!$B$19," ","")&amp;",")),2000000,IF(IF(OR(Screener!$B$18="All",AND(Screener!$B$18="With A-share",(Database!$AZ206="Y")),AND(Screener!$B$18="Without A-share",NOT((Database!$AZ206="Y")))),1,0)=0,-999999,IF(Screener!$B$16="cornerstone overlap first",H206*100000,IF(Screener!$B$16="demand-similar first",J206*100000,0))+W_SUB*B206+W_SEC*C206*(1-B206)+W_SIZE*D206+W_PROF*E206+W_AH*F206+W_REC*G206+W_CS*H206+W_PE*I206)))+ROW()/1000000</f>
        <v/>
      </c>
      <c r="AA206">
        <f>Database!B195</f>
        <v/>
      </c>
      <c r="AB206">
        <f>Database!D195</f>
        <v/>
      </c>
      <c r="AC206">
        <f>Database!E195</f>
        <v/>
      </c>
      <c r="AD206">
        <f>Database!I195</f>
        <v/>
      </c>
      <c r="AE206">
        <f>Database!AU195</f>
        <v/>
      </c>
      <c r="AF206">
        <f>Database!AZ195</f>
        <v/>
      </c>
      <c r="AG206">
        <f>Database!H195</f>
        <v/>
      </c>
      <c r="AH206">
        <f>Database!AV195</f>
        <v/>
      </c>
    </row>
    <row r="207">
      <c r="A207">
        <f>Database!B207</f>
        <v/>
      </c>
      <c r="B207">
        <f>IF(AND(Screener!$D$8&lt;&gt;"",Database!$E207=Screener!$D$8),1,0)</f>
        <v/>
      </c>
      <c r="C207">
        <f>IF(AND(Screener!$D$7&lt;&gt;"",Database!$D207=Screener!$D$7),1,0)</f>
        <v/>
      </c>
      <c r="D207">
        <f>IF(OR(N(Database!$I207)&lt;=0,N(Screener!$D$9)&lt;=0),0,MAX(0,1-ABS(LOG10(N(Database!$I207)/Screener!$D$9))/W_SIZEHW))</f>
        <v/>
      </c>
      <c r="E207">
        <f>IF(OR(Database!$AU207="",Screener!$D$10=""),0,IF(Database!$AU207=Screener!$D$10,1,0))</f>
        <v/>
      </c>
      <c r="F207">
        <f>IF(OR(Database!$AZ207="",Screener!$D$11=""),0,IF(Database!$AZ207=Screener!$D$11,1,0))</f>
        <v/>
      </c>
      <c r="G207">
        <f>IF(OR(Database!$H207="",N(Screener!$D$12)&lt;=0),0,MAX(0,1-(N(Screener!$D$12)-Database!$H207)/W_RECD))</f>
        <v/>
      </c>
      <c r="H207">
        <f>IF($U$1="",0,N(ISNUMBER(SEARCH($U$1,Database!$X207&amp;""))))+IF($V$1="",0,N(ISNUMBER(SEARCH($V$1,Database!$X207&amp;""))))+IF($W$1="",0,N(ISNUMBER(SEARCH($W$1,Database!$X207&amp;""))))+IF($X$1="",0,N(ISNUMBER(SEARCH($X$1,Database!$X207&amp;""))))+IF($Y$1="",0,N(ISNUMBER(SEARCH($Y$1,Database!$X207&amp;""))))+IF(Screener!$B$17="",0,N(ISNUMBER(SEARCH(LOWER(Screener!$B$17),Database!$X207&amp;""))))</f>
        <v/>
      </c>
      <c r="I207">
        <f>IF(OR(N(Database!$AV207)&lt;=0,N(Screener!$D$13)&lt;=0),0,MAX(0,1-ABS(LOG10(N(Database!$AV207)/Screener!$D$13))/W_PEHW))</f>
        <v/>
      </c>
      <c r="J207">
        <f>IF(OR(N(Database!$S207)&lt;=0,N(Screener!$D$14)&lt;=0),0,MAX(0,1-ABS(LOG10(Database!$S207/Screener!$D$14))/0.6))</f>
        <v/>
      </c>
      <c r="K207">
        <f>IF(Database!$B207=Screener!$B$5,-999999,IF(ISNUMBER(SEARCH(","&amp;Database!$A207&amp;",",","&amp;SUBSTITUTE(Screener!$B$19," ","")&amp;",")),2000000,IF(IF(OR(Screener!$B$18="All",AND(Screener!$B$18="With A-share",(Database!$AZ207="Y")),AND(Screener!$B$18="Without A-share",NOT((Database!$AZ207="Y")))),1,0)=0,-999999,IF(Screener!$B$16="cornerstone overlap first",H207*100000,IF(Screener!$B$16="demand-similar first",J207*100000,0))+W_SUB*B207+W_SEC*C207*(1-B207)+W_SIZE*D207+W_PROF*E207+W_AH*F207+W_REC*G207+W_CS*H207+W_PE*I207)))+ROW()/1000000</f>
        <v/>
      </c>
      <c r="AA207">
        <f>Database!B196</f>
        <v/>
      </c>
      <c r="AB207">
        <f>Database!D196</f>
        <v/>
      </c>
      <c r="AC207">
        <f>Database!E196</f>
        <v/>
      </c>
      <c r="AD207">
        <f>Database!I196</f>
        <v/>
      </c>
      <c r="AE207">
        <f>Database!AU196</f>
        <v/>
      </c>
      <c r="AF207">
        <f>Database!AZ196</f>
        <v/>
      </c>
      <c r="AG207">
        <f>Database!H196</f>
        <v/>
      </c>
      <c r="AH207">
        <f>Database!AV196</f>
        <v/>
      </c>
    </row>
    <row r="208">
      <c r="A208">
        <f>Database!B208</f>
        <v/>
      </c>
      <c r="B208">
        <f>IF(AND(Screener!$D$8&lt;&gt;"",Database!$E208=Screener!$D$8),1,0)</f>
        <v/>
      </c>
      <c r="C208">
        <f>IF(AND(Screener!$D$7&lt;&gt;"",Database!$D208=Screener!$D$7),1,0)</f>
        <v/>
      </c>
      <c r="D208">
        <f>IF(OR(N(Database!$I208)&lt;=0,N(Screener!$D$9)&lt;=0),0,MAX(0,1-ABS(LOG10(N(Database!$I208)/Screener!$D$9))/W_SIZEHW))</f>
        <v/>
      </c>
      <c r="E208">
        <f>IF(OR(Database!$AU208="",Screener!$D$10=""),0,IF(Database!$AU208=Screener!$D$10,1,0))</f>
        <v/>
      </c>
      <c r="F208">
        <f>IF(OR(Database!$AZ208="",Screener!$D$11=""),0,IF(Database!$AZ208=Screener!$D$11,1,0))</f>
        <v/>
      </c>
      <c r="G208">
        <f>IF(OR(Database!$H208="",N(Screener!$D$12)&lt;=0),0,MAX(0,1-(N(Screener!$D$12)-Database!$H208)/W_RECD))</f>
        <v/>
      </c>
      <c r="H208">
        <f>IF($U$1="",0,N(ISNUMBER(SEARCH($U$1,Database!$X208&amp;""))))+IF($V$1="",0,N(ISNUMBER(SEARCH($V$1,Database!$X208&amp;""))))+IF($W$1="",0,N(ISNUMBER(SEARCH($W$1,Database!$X208&amp;""))))+IF($X$1="",0,N(ISNUMBER(SEARCH($X$1,Database!$X208&amp;""))))+IF($Y$1="",0,N(ISNUMBER(SEARCH($Y$1,Database!$X208&amp;""))))+IF(Screener!$B$17="",0,N(ISNUMBER(SEARCH(LOWER(Screener!$B$17),Database!$X208&amp;""))))</f>
        <v/>
      </c>
      <c r="I208">
        <f>IF(OR(N(Database!$AV208)&lt;=0,N(Screener!$D$13)&lt;=0),0,MAX(0,1-ABS(LOG10(N(Database!$AV208)/Screener!$D$13))/W_PEHW))</f>
        <v/>
      </c>
      <c r="J208">
        <f>IF(OR(N(Database!$S208)&lt;=0,N(Screener!$D$14)&lt;=0),0,MAX(0,1-ABS(LOG10(Database!$S208/Screener!$D$14))/0.6))</f>
        <v/>
      </c>
      <c r="K208">
        <f>IF(Database!$B208=Screener!$B$5,-999999,IF(ISNUMBER(SEARCH(","&amp;Database!$A208&amp;",",","&amp;SUBSTITUTE(Screener!$B$19," ","")&amp;",")),2000000,IF(IF(OR(Screener!$B$18="All",AND(Screener!$B$18="With A-share",(Database!$AZ208="Y")),AND(Screener!$B$18="Without A-share",NOT((Database!$AZ208="Y")))),1,0)=0,-999999,IF(Screener!$B$16="cornerstone overlap first",H208*100000,IF(Screener!$B$16="demand-similar first",J208*100000,0))+W_SUB*B208+W_SEC*C208*(1-B208)+W_SIZE*D208+W_PROF*E208+W_AH*F208+W_REC*G208+W_CS*H208+W_PE*I208)))+ROW()/1000000</f>
        <v/>
      </c>
      <c r="AA208">
        <f>Database!B197</f>
        <v/>
      </c>
      <c r="AB208">
        <f>Database!D197</f>
        <v/>
      </c>
      <c r="AC208">
        <f>Database!E197</f>
        <v/>
      </c>
      <c r="AD208">
        <f>Database!I197</f>
        <v/>
      </c>
      <c r="AE208">
        <f>Database!AU197</f>
        <v/>
      </c>
      <c r="AF208">
        <f>Database!AZ197</f>
        <v/>
      </c>
      <c r="AG208">
        <f>Database!H197</f>
        <v/>
      </c>
      <c r="AH208">
        <f>Database!AV197</f>
        <v/>
      </c>
    </row>
    <row r="209">
      <c r="A209">
        <f>Database!B209</f>
        <v/>
      </c>
      <c r="B209">
        <f>IF(AND(Screener!$D$8&lt;&gt;"",Database!$E209=Screener!$D$8),1,0)</f>
        <v/>
      </c>
      <c r="C209">
        <f>IF(AND(Screener!$D$7&lt;&gt;"",Database!$D209=Screener!$D$7),1,0)</f>
        <v/>
      </c>
      <c r="D209">
        <f>IF(OR(N(Database!$I209)&lt;=0,N(Screener!$D$9)&lt;=0),0,MAX(0,1-ABS(LOG10(N(Database!$I209)/Screener!$D$9))/W_SIZEHW))</f>
        <v/>
      </c>
      <c r="E209">
        <f>IF(OR(Database!$AU209="",Screener!$D$10=""),0,IF(Database!$AU209=Screener!$D$10,1,0))</f>
        <v/>
      </c>
      <c r="F209">
        <f>IF(OR(Database!$AZ209="",Screener!$D$11=""),0,IF(Database!$AZ209=Screener!$D$11,1,0))</f>
        <v/>
      </c>
      <c r="G209">
        <f>IF(OR(Database!$H209="",N(Screener!$D$12)&lt;=0),0,MAX(0,1-(N(Screener!$D$12)-Database!$H209)/W_RECD))</f>
        <v/>
      </c>
      <c r="H209">
        <f>IF($U$1="",0,N(ISNUMBER(SEARCH($U$1,Database!$X209&amp;""))))+IF($V$1="",0,N(ISNUMBER(SEARCH($V$1,Database!$X209&amp;""))))+IF($W$1="",0,N(ISNUMBER(SEARCH($W$1,Database!$X209&amp;""))))+IF($X$1="",0,N(ISNUMBER(SEARCH($X$1,Database!$X209&amp;""))))+IF($Y$1="",0,N(ISNUMBER(SEARCH($Y$1,Database!$X209&amp;""))))+IF(Screener!$B$17="",0,N(ISNUMBER(SEARCH(LOWER(Screener!$B$17),Database!$X209&amp;""))))</f>
        <v/>
      </c>
      <c r="I209">
        <f>IF(OR(N(Database!$AV209)&lt;=0,N(Screener!$D$13)&lt;=0),0,MAX(0,1-ABS(LOG10(N(Database!$AV209)/Screener!$D$13))/W_PEHW))</f>
        <v/>
      </c>
      <c r="J209">
        <f>IF(OR(N(Database!$S209)&lt;=0,N(Screener!$D$14)&lt;=0),0,MAX(0,1-ABS(LOG10(Database!$S209/Screener!$D$14))/0.6))</f>
        <v/>
      </c>
      <c r="K209">
        <f>IF(Database!$B209=Screener!$B$5,-999999,IF(ISNUMBER(SEARCH(","&amp;Database!$A209&amp;",",","&amp;SUBSTITUTE(Screener!$B$19," ","")&amp;",")),2000000,IF(IF(OR(Screener!$B$18="All",AND(Screener!$B$18="With A-share",(Database!$AZ209="Y")),AND(Screener!$B$18="Without A-share",NOT((Database!$AZ209="Y")))),1,0)=0,-999999,IF(Screener!$B$16="cornerstone overlap first",H209*100000,IF(Screener!$B$16="demand-similar first",J209*100000,0))+W_SUB*B209+W_SEC*C209*(1-B209)+W_SIZE*D209+W_PROF*E209+W_AH*F209+W_REC*G209+W_CS*H209+W_PE*I209)))+ROW()/1000000</f>
        <v/>
      </c>
      <c r="AA209">
        <f>Database!B198</f>
        <v/>
      </c>
      <c r="AB209">
        <f>Database!D198</f>
        <v/>
      </c>
      <c r="AC209">
        <f>Database!E198</f>
        <v/>
      </c>
      <c r="AD209">
        <f>Database!I198</f>
        <v/>
      </c>
      <c r="AE209">
        <f>Database!AU198</f>
        <v/>
      </c>
      <c r="AF209">
        <f>Database!AZ198</f>
        <v/>
      </c>
      <c r="AG209">
        <f>Database!H198</f>
        <v/>
      </c>
      <c r="AH209">
        <f>Database!AV198</f>
        <v/>
      </c>
    </row>
    <row r="210">
      <c r="A210">
        <f>Database!B210</f>
        <v/>
      </c>
      <c r="B210">
        <f>IF(AND(Screener!$D$8&lt;&gt;"",Database!$E210=Screener!$D$8),1,0)</f>
        <v/>
      </c>
      <c r="C210">
        <f>IF(AND(Screener!$D$7&lt;&gt;"",Database!$D210=Screener!$D$7),1,0)</f>
        <v/>
      </c>
      <c r="D210">
        <f>IF(OR(N(Database!$I210)&lt;=0,N(Screener!$D$9)&lt;=0),0,MAX(0,1-ABS(LOG10(N(Database!$I210)/Screener!$D$9))/W_SIZEHW))</f>
        <v/>
      </c>
      <c r="E210">
        <f>IF(OR(Database!$AU210="",Screener!$D$10=""),0,IF(Database!$AU210=Screener!$D$10,1,0))</f>
        <v/>
      </c>
      <c r="F210">
        <f>IF(OR(Database!$AZ210="",Screener!$D$11=""),0,IF(Database!$AZ210=Screener!$D$11,1,0))</f>
        <v/>
      </c>
      <c r="G210">
        <f>IF(OR(Database!$H210="",N(Screener!$D$12)&lt;=0),0,MAX(0,1-(N(Screener!$D$12)-Database!$H210)/W_RECD))</f>
        <v/>
      </c>
      <c r="H210">
        <f>IF($U$1="",0,N(ISNUMBER(SEARCH($U$1,Database!$X210&amp;""))))+IF($V$1="",0,N(ISNUMBER(SEARCH($V$1,Database!$X210&amp;""))))+IF($W$1="",0,N(ISNUMBER(SEARCH($W$1,Database!$X210&amp;""))))+IF($X$1="",0,N(ISNUMBER(SEARCH($X$1,Database!$X210&amp;""))))+IF($Y$1="",0,N(ISNUMBER(SEARCH($Y$1,Database!$X210&amp;""))))+IF(Screener!$B$17="",0,N(ISNUMBER(SEARCH(LOWER(Screener!$B$17),Database!$X210&amp;""))))</f>
        <v/>
      </c>
      <c r="I210">
        <f>IF(OR(N(Database!$AV210)&lt;=0,N(Screener!$D$13)&lt;=0),0,MAX(0,1-ABS(LOG10(N(Database!$AV210)/Screener!$D$13))/W_PEHW))</f>
        <v/>
      </c>
      <c r="J210">
        <f>IF(OR(N(Database!$S210)&lt;=0,N(Screener!$D$14)&lt;=0),0,MAX(0,1-ABS(LOG10(Database!$S210/Screener!$D$14))/0.6))</f>
        <v/>
      </c>
      <c r="K210">
        <f>IF(Database!$B210=Screener!$B$5,-999999,IF(ISNUMBER(SEARCH(","&amp;Database!$A210&amp;",",","&amp;SUBSTITUTE(Screener!$B$19," ","")&amp;",")),2000000,IF(IF(OR(Screener!$B$18="All",AND(Screener!$B$18="With A-share",(Database!$AZ210="Y")),AND(Screener!$B$18="Without A-share",NOT((Database!$AZ210="Y")))),1,0)=0,-999999,IF(Screener!$B$16="cornerstone overlap first",H210*100000,IF(Screener!$B$16="demand-similar first",J210*100000,0))+W_SUB*B210+W_SEC*C210*(1-B210)+W_SIZE*D210+W_PROF*E210+W_AH*F210+W_REC*G210+W_CS*H210+W_PE*I210)))+ROW()/1000000</f>
        <v/>
      </c>
      <c r="AA210">
        <f>Database!B199</f>
        <v/>
      </c>
      <c r="AB210">
        <f>Database!D199</f>
        <v/>
      </c>
      <c r="AC210">
        <f>Database!E199</f>
        <v/>
      </c>
      <c r="AD210">
        <f>Database!I199</f>
        <v/>
      </c>
      <c r="AE210">
        <f>Database!AU199</f>
        <v/>
      </c>
      <c r="AF210">
        <f>Database!AZ199</f>
        <v/>
      </c>
      <c r="AG210">
        <f>Database!H199</f>
        <v/>
      </c>
      <c r="AH210">
        <f>Database!AV199</f>
        <v/>
      </c>
    </row>
    <row r="211">
      <c r="A211">
        <f>Database!B211</f>
        <v/>
      </c>
      <c r="B211">
        <f>IF(AND(Screener!$D$8&lt;&gt;"",Database!$E211=Screener!$D$8),1,0)</f>
        <v/>
      </c>
      <c r="C211">
        <f>IF(AND(Screener!$D$7&lt;&gt;"",Database!$D211=Screener!$D$7),1,0)</f>
        <v/>
      </c>
      <c r="D211">
        <f>IF(OR(N(Database!$I211)&lt;=0,N(Screener!$D$9)&lt;=0),0,MAX(0,1-ABS(LOG10(N(Database!$I211)/Screener!$D$9))/W_SIZEHW))</f>
        <v/>
      </c>
      <c r="E211">
        <f>IF(OR(Database!$AU211="",Screener!$D$10=""),0,IF(Database!$AU211=Screener!$D$10,1,0))</f>
        <v/>
      </c>
      <c r="F211">
        <f>IF(OR(Database!$AZ211="",Screener!$D$11=""),0,IF(Database!$AZ211=Screener!$D$11,1,0))</f>
        <v/>
      </c>
      <c r="G211">
        <f>IF(OR(Database!$H211="",N(Screener!$D$12)&lt;=0),0,MAX(0,1-(N(Screener!$D$12)-Database!$H211)/W_RECD))</f>
        <v/>
      </c>
      <c r="H211">
        <f>IF($U$1="",0,N(ISNUMBER(SEARCH($U$1,Database!$X211&amp;""))))+IF($V$1="",0,N(ISNUMBER(SEARCH($V$1,Database!$X211&amp;""))))+IF($W$1="",0,N(ISNUMBER(SEARCH($W$1,Database!$X211&amp;""))))+IF($X$1="",0,N(ISNUMBER(SEARCH($X$1,Database!$X211&amp;""))))+IF($Y$1="",0,N(ISNUMBER(SEARCH($Y$1,Database!$X211&amp;""))))+IF(Screener!$B$17="",0,N(ISNUMBER(SEARCH(LOWER(Screener!$B$17),Database!$X211&amp;""))))</f>
        <v/>
      </c>
      <c r="I211">
        <f>IF(OR(N(Database!$AV211)&lt;=0,N(Screener!$D$13)&lt;=0),0,MAX(0,1-ABS(LOG10(N(Database!$AV211)/Screener!$D$13))/W_PEHW))</f>
        <v/>
      </c>
      <c r="J211">
        <f>IF(OR(N(Database!$S211)&lt;=0,N(Screener!$D$14)&lt;=0),0,MAX(0,1-ABS(LOG10(Database!$S211/Screener!$D$14))/0.6))</f>
        <v/>
      </c>
      <c r="K211">
        <f>IF(Database!$B211=Screener!$B$5,-999999,IF(ISNUMBER(SEARCH(","&amp;Database!$A211&amp;",",","&amp;SUBSTITUTE(Screener!$B$19," ","")&amp;",")),2000000,IF(IF(OR(Screener!$B$18="All",AND(Screener!$B$18="With A-share",(Database!$AZ211="Y")),AND(Screener!$B$18="Without A-share",NOT((Database!$AZ211="Y")))),1,0)=0,-999999,IF(Screener!$B$16="cornerstone overlap first",H211*100000,IF(Screener!$B$16="demand-similar first",J211*100000,0))+W_SUB*B211+W_SEC*C211*(1-B211)+W_SIZE*D211+W_PROF*E211+W_AH*F211+W_REC*G211+W_CS*H211+W_PE*I211)))+ROW()/1000000</f>
        <v/>
      </c>
      <c r="AA211">
        <f>Database!B200</f>
        <v/>
      </c>
      <c r="AB211">
        <f>Database!D200</f>
        <v/>
      </c>
      <c r="AC211">
        <f>Database!E200</f>
        <v/>
      </c>
      <c r="AD211">
        <f>Database!I200</f>
        <v/>
      </c>
      <c r="AE211">
        <f>Database!AU200</f>
        <v/>
      </c>
      <c r="AF211">
        <f>Database!AZ200</f>
        <v/>
      </c>
      <c r="AG211">
        <f>Database!H200</f>
        <v/>
      </c>
      <c r="AH211">
        <f>Database!AV200</f>
        <v/>
      </c>
    </row>
    <row r="212">
      <c r="A212">
        <f>Database!B212</f>
        <v/>
      </c>
      <c r="B212">
        <f>IF(AND(Screener!$D$8&lt;&gt;"",Database!$E212=Screener!$D$8),1,0)</f>
        <v/>
      </c>
      <c r="C212">
        <f>IF(AND(Screener!$D$7&lt;&gt;"",Database!$D212=Screener!$D$7),1,0)</f>
        <v/>
      </c>
      <c r="D212">
        <f>IF(OR(N(Database!$I212)&lt;=0,N(Screener!$D$9)&lt;=0),0,MAX(0,1-ABS(LOG10(N(Database!$I212)/Screener!$D$9))/W_SIZEHW))</f>
        <v/>
      </c>
      <c r="E212">
        <f>IF(OR(Database!$AU212="",Screener!$D$10=""),0,IF(Database!$AU212=Screener!$D$10,1,0))</f>
        <v/>
      </c>
      <c r="F212">
        <f>IF(OR(Database!$AZ212="",Screener!$D$11=""),0,IF(Database!$AZ212=Screener!$D$11,1,0))</f>
        <v/>
      </c>
      <c r="G212">
        <f>IF(OR(Database!$H212="",N(Screener!$D$12)&lt;=0),0,MAX(0,1-(N(Screener!$D$12)-Database!$H212)/W_RECD))</f>
        <v/>
      </c>
      <c r="H212">
        <f>IF($U$1="",0,N(ISNUMBER(SEARCH($U$1,Database!$X212&amp;""))))+IF($V$1="",0,N(ISNUMBER(SEARCH($V$1,Database!$X212&amp;""))))+IF($W$1="",0,N(ISNUMBER(SEARCH($W$1,Database!$X212&amp;""))))+IF($X$1="",0,N(ISNUMBER(SEARCH($X$1,Database!$X212&amp;""))))+IF($Y$1="",0,N(ISNUMBER(SEARCH($Y$1,Database!$X212&amp;""))))+IF(Screener!$B$17="",0,N(ISNUMBER(SEARCH(LOWER(Screener!$B$17),Database!$X212&amp;""))))</f>
        <v/>
      </c>
      <c r="I212">
        <f>IF(OR(N(Database!$AV212)&lt;=0,N(Screener!$D$13)&lt;=0),0,MAX(0,1-ABS(LOG10(N(Database!$AV212)/Screener!$D$13))/W_PEHW))</f>
        <v/>
      </c>
      <c r="J212">
        <f>IF(OR(N(Database!$S212)&lt;=0,N(Screener!$D$14)&lt;=0),0,MAX(0,1-ABS(LOG10(Database!$S212/Screener!$D$14))/0.6))</f>
        <v/>
      </c>
      <c r="K212">
        <f>IF(Database!$B212=Screener!$B$5,-999999,IF(ISNUMBER(SEARCH(","&amp;Database!$A212&amp;",",","&amp;SUBSTITUTE(Screener!$B$19," ","")&amp;",")),2000000,IF(IF(OR(Screener!$B$18="All",AND(Screener!$B$18="With A-share",(Database!$AZ212="Y")),AND(Screener!$B$18="Without A-share",NOT((Database!$AZ212="Y")))),1,0)=0,-999999,IF(Screener!$B$16="cornerstone overlap first",H212*100000,IF(Screener!$B$16="demand-similar first",J212*100000,0))+W_SUB*B212+W_SEC*C212*(1-B212)+W_SIZE*D212+W_PROF*E212+W_AH*F212+W_REC*G212+W_CS*H212+W_PE*I212)))+ROW()/1000000</f>
        <v/>
      </c>
      <c r="AA212">
        <f>Database!B201</f>
        <v/>
      </c>
      <c r="AB212">
        <f>Database!D201</f>
        <v/>
      </c>
      <c r="AC212">
        <f>Database!E201</f>
        <v/>
      </c>
      <c r="AD212">
        <f>Database!I201</f>
        <v/>
      </c>
      <c r="AE212">
        <f>Database!AU201</f>
        <v/>
      </c>
      <c r="AF212">
        <f>Database!AZ201</f>
        <v/>
      </c>
      <c r="AG212">
        <f>Database!H201</f>
        <v/>
      </c>
      <c r="AH212">
        <f>Database!AV201</f>
        <v/>
      </c>
    </row>
    <row r="213">
      <c r="A213">
        <f>Database!B213</f>
        <v/>
      </c>
      <c r="B213">
        <f>IF(AND(Screener!$D$8&lt;&gt;"",Database!$E213=Screener!$D$8),1,0)</f>
        <v/>
      </c>
      <c r="C213">
        <f>IF(AND(Screener!$D$7&lt;&gt;"",Database!$D213=Screener!$D$7),1,0)</f>
        <v/>
      </c>
      <c r="D213">
        <f>IF(OR(N(Database!$I213)&lt;=0,N(Screener!$D$9)&lt;=0),0,MAX(0,1-ABS(LOG10(N(Database!$I213)/Screener!$D$9))/W_SIZEHW))</f>
        <v/>
      </c>
      <c r="E213">
        <f>IF(OR(Database!$AU213="",Screener!$D$10=""),0,IF(Database!$AU213=Screener!$D$10,1,0))</f>
        <v/>
      </c>
      <c r="F213">
        <f>IF(OR(Database!$AZ213="",Screener!$D$11=""),0,IF(Database!$AZ213=Screener!$D$11,1,0))</f>
        <v/>
      </c>
      <c r="G213">
        <f>IF(OR(Database!$H213="",N(Screener!$D$12)&lt;=0),0,MAX(0,1-(N(Screener!$D$12)-Database!$H213)/W_RECD))</f>
        <v/>
      </c>
      <c r="H213">
        <f>IF($U$1="",0,N(ISNUMBER(SEARCH($U$1,Database!$X213&amp;""))))+IF($V$1="",0,N(ISNUMBER(SEARCH($V$1,Database!$X213&amp;""))))+IF($W$1="",0,N(ISNUMBER(SEARCH($W$1,Database!$X213&amp;""))))+IF($X$1="",0,N(ISNUMBER(SEARCH($X$1,Database!$X213&amp;""))))+IF($Y$1="",0,N(ISNUMBER(SEARCH($Y$1,Database!$X213&amp;""))))+IF(Screener!$B$17="",0,N(ISNUMBER(SEARCH(LOWER(Screener!$B$17),Database!$X213&amp;""))))</f>
        <v/>
      </c>
      <c r="I213">
        <f>IF(OR(N(Database!$AV213)&lt;=0,N(Screener!$D$13)&lt;=0),0,MAX(0,1-ABS(LOG10(N(Database!$AV213)/Screener!$D$13))/W_PEHW))</f>
        <v/>
      </c>
      <c r="J213">
        <f>IF(OR(N(Database!$S213)&lt;=0,N(Screener!$D$14)&lt;=0),0,MAX(0,1-ABS(LOG10(Database!$S213/Screener!$D$14))/0.6))</f>
        <v/>
      </c>
      <c r="K213">
        <f>IF(Database!$B213=Screener!$B$5,-999999,IF(ISNUMBER(SEARCH(","&amp;Database!$A213&amp;",",","&amp;SUBSTITUTE(Screener!$B$19," ","")&amp;",")),2000000,IF(IF(OR(Screener!$B$18="All",AND(Screener!$B$18="With A-share",(Database!$AZ213="Y")),AND(Screener!$B$18="Without A-share",NOT((Database!$AZ213="Y")))),1,0)=0,-999999,IF(Screener!$B$16="cornerstone overlap first",H213*100000,IF(Screener!$B$16="demand-similar first",J213*100000,0))+W_SUB*B213+W_SEC*C213*(1-B213)+W_SIZE*D213+W_PROF*E213+W_AH*F213+W_REC*G213+W_CS*H213+W_PE*I213)))+ROW()/1000000</f>
        <v/>
      </c>
      <c r="AA213">
        <f>Database!B202</f>
        <v/>
      </c>
      <c r="AB213">
        <f>Database!D202</f>
        <v/>
      </c>
      <c r="AC213">
        <f>Database!E202</f>
        <v/>
      </c>
      <c r="AD213">
        <f>Database!I202</f>
        <v/>
      </c>
      <c r="AE213">
        <f>Database!AU202</f>
        <v/>
      </c>
      <c r="AF213">
        <f>Database!AZ202</f>
        <v/>
      </c>
      <c r="AG213">
        <f>Database!H202</f>
        <v/>
      </c>
      <c r="AH213">
        <f>Database!AV202</f>
        <v/>
      </c>
    </row>
    <row r="214">
      <c r="A214">
        <f>Database!B214</f>
        <v/>
      </c>
      <c r="B214">
        <f>IF(AND(Screener!$D$8&lt;&gt;"",Database!$E214=Screener!$D$8),1,0)</f>
        <v/>
      </c>
      <c r="C214">
        <f>IF(AND(Screener!$D$7&lt;&gt;"",Database!$D214=Screener!$D$7),1,0)</f>
        <v/>
      </c>
      <c r="D214">
        <f>IF(OR(N(Database!$I214)&lt;=0,N(Screener!$D$9)&lt;=0),0,MAX(0,1-ABS(LOG10(N(Database!$I214)/Screener!$D$9))/W_SIZEHW))</f>
        <v/>
      </c>
      <c r="E214">
        <f>IF(OR(Database!$AU214="",Screener!$D$10=""),0,IF(Database!$AU214=Screener!$D$10,1,0))</f>
        <v/>
      </c>
      <c r="F214">
        <f>IF(OR(Database!$AZ214="",Screener!$D$11=""),0,IF(Database!$AZ214=Screener!$D$11,1,0))</f>
        <v/>
      </c>
      <c r="G214">
        <f>IF(OR(Database!$H214="",N(Screener!$D$12)&lt;=0),0,MAX(0,1-(N(Screener!$D$12)-Database!$H214)/W_RECD))</f>
        <v/>
      </c>
      <c r="H214">
        <f>IF($U$1="",0,N(ISNUMBER(SEARCH($U$1,Database!$X214&amp;""))))+IF($V$1="",0,N(ISNUMBER(SEARCH($V$1,Database!$X214&amp;""))))+IF($W$1="",0,N(ISNUMBER(SEARCH($W$1,Database!$X214&amp;""))))+IF($X$1="",0,N(ISNUMBER(SEARCH($X$1,Database!$X214&amp;""))))+IF($Y$1="",0,N(ISNUMBER(SEARCH($Y$1,Database!$X214&amp;""))))+IF(Screener!$B$17="",0,N(ISNUMBER(SEARCH(LOWER(Screener!$B$17),Database!$X214&amp;""))))</f>
        <v/>
      </c>
      <c r="I214">
        <f>IF(OR(N(Database!$AV214)&lt;=0,N(Screener!$D$13)&lt;=0),0,MAX(0,1-ABS(LOG10(N(Database!$AV214)/Screener!$D$13))/W_PEHW))</f>
        <v/>
      </c>
      <c r="J214">
        <f>IF(OR(N(Database!$S214)&lt;=0,N(Screener!$D$14)&lt;=0),0,MAX(0,1-ABS(LOG10(Database!$S214/Screener!$D$14))/0.6))</f>
        <v/>
      </c>
      <c r="K214">
        <f>IF(Database!$B214=Screener!$B$5,-999999,IF(ISNUMBER(SEARCH(","&amp;Database!$A214&amp;",",","&amp;SUBSTITUTE(Screener!$B$19," ","")&amp;",")),2000000,IF(IF(OR(Screener!$B$18="All",AND(Screener!$B$18="With A-share",(Database!$AZ214="Y")),AND(Screener!$B$18="Without A-share",NOT((Database!$AZ214="Y")))),1,0)=0,-999999,IF(Screener!$B$16="cornerstone overlap first",H214*100000,IF(Screener!$B$16="demand-similar first",J214*100000,0))+W_SUB*B214+W_SEC*C214*(1-B214)+W_SIZE*D214+W_PROF*E214+W_AH*F214+W_REC*G214+W_CS*H214+W_PE*I214)))+ROW()/1000000</f>
        <v/>
      </c>
      <c r="AA214">
        <f>Database!B203</f>
        <v/>
      </c>
      <c r="AB214">
        <f>Database!D203</f>
        <v/>
      </c>
      <c r="AC214">
        <f>Database!E203</f>
        <v/>
      </c>
      <c r="AD214">
        <f>Database!I203</f>
        <v/>
      </c>
      <c r="AE214">
        <f>Database!AU203</f>
        <v/>
      </c>
      <c r="AF214">
        <f>Database!AZ203</f>
        <v/>
      </c>
      <c r="AG214">
        <f>Database!H203</f>
        <v/>
      </c>
      <c r="AH214">
        <f>Database!AV203</f>
        <v/>
      </c>
    </row>
    <row r="215">
      <c r="A215">
        <f>Database!B215</f>
        <v/>
      </c>
      <c r="B215">
        <f>IF(AND(Screener!$D$8&lt;&gt;"",Database!$E215=Screener!$D$8),1,0)</f>
        <v/>
      </c>
      <c r="C215">
        <f>IF(AND(Screener!$D$7&lt;&gt;"",Database!$D215=Screener!$D$7),1,0)</f>
        <v/>
      </c>
      <c r="D215">
        <f>IF(OR(N(Database!$I215)&lt;=0,N(Screener!$D$9)&lt;=0),0,MAX(0,1-ABS(LOG10(N(Database!$I215)/Screener!$D$9))/W_SIZEHW))</f>
        <v/>
      </c>
      <c r="E215">
        <f>IF(OR(Database!$AU215="",Screener!$D$10=""),0,IF(Database!$AU215=Screener!$D$10,1,0))</f>
        <v/>
      </c>
      <c r="F215">
        <f>IF(OR(Database!$AZ215="",Screener!$D$11=""),0,IF(Database!$AZ215=Screener!$D$11,1,0))</f>
        <v/>
      </c>
      <c r="G215">
        <f>IF(OR(Database!$H215="",N(Screener!$D$12)&lt;=0),0,MAX(0,1-(N(Screener!$D$12)-Database!$H215)/W_RECD))</f>
        <v/>
      </c>
      <c r="H215">
        <f>IF($U$1="",0,N(ISNUMBER(SEARCH($U$1,Database!$X215&amp;""))))+IF($V$1="",0,N(ISNUMBER(SEARCH($V$1,Database!$X215&amp;""))))+IF($W$1="",0,N(ISNUMBER(SEARCH($W$1,Database!$X215&amp;""))))+IF($X$1="",0,N(ISNUMBER(SEARCH($X$1,Database!$X215&amp;""))))+IF($Y$1="",0,N(ISNUMBER(SEARCH($Y$1,Database!$X215&amp;""))))+IF(Screener!$B$17="",0,N(ISNUMBER(SEARCH(LOWER(Screener!$B$17),Database!$X215&amp;""))))</f>
        <v/>
      </c>
      <c r="I215">
        <f>IF(OR(N(Database!$AV215)&lt;=0,N(Screener!$D$13)&lt;=0),0,MAX(0,1-ABS(LOG10(N(Database!$AV215)/Screener!$D$13))/W_PEHW))</f>
        <v/>
      </c>
      <c r="J215">
        <f>IF(OR(N(Database!$S215)&lt;=0,N(Screener!$D$14)&lt;=0),0,MAX(0,1-ABS(LOG10(Database!$S215/Screener!$D$14))/0.6))</f>
        <v/>
      </c>
      <c r="K215">
        <f>IF(Database!$B215=Screener!$B$5,-999999,IF(ISNUMBER(SEARCH(","&amp;Database!$A215&amp;",",","&amp;SUBSTITUTE(Screener!$B$19," ","")&amp;",")),2000000,IF(IF(OR(Screener!$B$18="All",AND(Screener!$B$18="With A-share",(Database!$AZ215="Y")),AND(Screener!$B$18="Without A-share",NOT((Database!$AZ215="Y")))),1,0)=0,-999999,IF(Screener!$B$16="cornerstone overlap first",H215*100000,IF(Screener!$B$16="demand-similar first",J215*100000,0))+W_SUB*B215+W_SEC*C215*(1-B215)+W_SIZE*D215+W_PROF*E215+W_AH*F215+W_REC*G215+W_CS*H215+W_PE*I215)))+ROW()/1000000</f>
        <v/>
      </c>
      <c r="AA215">
        <f>Database!B204</f>
        <v/>
      </c>
      <c r="AB215">
        <f>Database!D204</f>
        <v/>
      </c>
      <c r="AC215">
        <f>Database!E204</f>
        <v/>
      </c>
      <c r="AD215">
        <f>Database!I204</f>
        <v/>
      </c>
      <c r="AE215">
        <f>Database!AU204</f>
        <v/>
      </c>
      <c r="AF215">
        <f>Database!AZ204</f>
        <v/>
      </c>
      <c r="AG215">
        <f>Database!H204</f>
        <v/>
      </c>
      <c r="AH215">
        <f>Database!AV204</f>
        <v/>
      </c>
    </row>
    <row r="216">
      <c r="A216">
        <f>Database!B216</f>
        <v/>
      </c>
      <c r="B216">
        <f>IF(AND(Screener!$D$8&lt;&gt;"",Database!$E216=Screener!$D$8),1,0)</f>
        <v/>
      </c>
      <c r="C216">
        <f>IF(AND(Screener!$D$7&lt;&gt;"",Database!$D216=Screener!$D$7),1,0)</f>
        <v/>
      </c>
      <c r="D216">
        <f>IF(OR(N(Database!$I216)&lt;=0,N(Screener!$D$9)&lt;=0),0,MAX(0,1-ABS(LOG10(N(Database!$I216)/Screener!$D$9))/W_SIZEHW))</f>
        <v/>
      </c>
      <c r="E216">
        <f>IF(OR(Database!$AU216="",Screener!$D$10=""),0,IF(Database!$AU216=Screener!$D$10,1,0))</f>
        <v/>
      </c>
      <c r="F216">
        <f>IF(OR(Database!$AZ216="",Screener!$D$11=""),0,IF(Database!$AZ216=Screener!$D$11,1,0))</f>
        <v/>
      </c>
      <c r="G216">
        <f>IF(OR(Database!$H216="",N(Screener!$D$12)&lt;=0),0,MAX(0,1-(N(Screener!$D$12)-Database!$H216)/W_RECD))</f>
        <v/>
      </c>
      <c r="H216">
        <f>IF($U$1="",0,N(ISNUMBER(SEARCH($U$1,Database!$X216&amp;""))))+IF($V$1="",0,N(ISNUMBER(SEARCH($V$1,Database!$X216&amp;""))))+IF($W$1="",0,N(ISNUMBER(SEARCH($W$1,Database!$X216&amp;""))))+IF($X$1="",0,N(ISNUMBER(SEARCH($X$1,Database!$X216&amp;""))))+IF($Y$1="",0,N(ISNUMBER(SEARCH($Y$1,Database!$X216&amp;""))))+IF(Screener!$B$17="",0,N(ISNUMBER(SEARCH(LOWER(Screener!$B$17),Database!$X216&amp;""))))</f>
        <v/>
      </c>
      <c r="I216">
        <f>IF(OR(N(Database!$AV216)&lt;=0,N(Screener!$D$13)&lt;=0),0,MAX(0,1-ABS(LOG10(N(Database!$AV216)/Screener!$D$13))/W_PEHW))</f>
        <v/>
      </c>
      <c r="J216">
        <f>IF(OR(N(Database!$S216)&lt;=0,N(Screener!$D$14)&lt;=0),0,MAX(0,1-ABS(LOG10(Database!$S216/Screener!$D$14))/0.6))</f>
        <v/>
      </c>
      <c r="K216">
        <f>IF(Database!$B216=Screener!$B$5,-999999,IF(ISNUMBER(SEARCH(","&amp;Database!$A216&amp;",",","&amp;SUBSTITUTE(Screener!$B$19," ","")&amp;",")),2000000,IF(IF(OR(Screener!$B$18="All",AND(Screener!$B$18="With A-share",(Database!$AZ216="Y")),AND(Screener!$B$18="Without A-share",NOT((Database!$AZ216="Y")))),1,0)=0,-999999,IF(Screener!$B$16="cornerstone overlap first",H216*100000,IF(Screener!$B$16="demand-similar first",J216*100000,0))+W_SUB*B216+W_SEC*C216*(1-B216)+W_SIZE*D216+W_PROF*E216+W_AH*F216+W_REC*G216+W_CS*H216+W_PE*I216)))+ROW()/1000000</f>
        <v/>
      </c>
      <c r="AA216">
        <f>Database!B205</f>
        <v/>
      </c>
      <c r="AB216">
        <f>Database!D205</f>
        <v/>
      </c>
      <c r="AC216">
        <f>Database!E205</f>
        <v/>
      </c>
      <c r="AD216">
        <f>Database!I205</f>
        <v/>
      </c>
      <c r="AE216">
        <f>Database!AU205</f>
        <v/>
      </c>
      <c r="AF216">
        <f>Database!AZ205</f>
        <v/>
      </c>
      <c r="AG216">
        <f>Database!H205</f>
        <v/>
      </c>
      <c r="AH216">
        <f>Database!AV205</f>
        <v/>
      </c>
    </row>
    <row r="217">
      <c r="A217">
        <f>Database!B217</f>
        <v/>
      </c>
      <c r="B217">
        <f>IF(AND(Screener!$D$8&lt;&gt;"",Database!$E217=Screener!$D$8),1,0)</f>
        <v/>
      </c>
      <c r="C217">
        <f>IF(AND(Screener!$D$7&lt;&gt;"",Database!$D217=Screener!$D$7),1,0)</f>
        <v/>
      </c>
      <c r="D217">
        <f>IF(OR(N(Database!$I217)&lt;=0,N(Screener!$D$9)&lt;=0),0,MAX(0,1-ABS(LOG10(N(Database!$I217)/Screener!$D$9))/W_SIZEHW))</f>
        <v/>
      </c>
      <c r="E217">
        <f>IF(OR(Database!$AU217="",Screener!$D$10=""),0,IF(Database!$AU217=Screener!$D$10,1,0))</f>
        <v/>
      </c>
      <c r="F217">
        <f>IF(OR(Database!$AZ217="",Screener!$D$11=""),0,IF(Database!$AZ217=Screener!$D$11,1,0))</f>
        <v/>
      </c>
      <c r="G217">
        <f>IF(OR(Database!$H217="",N(Screener!$D$12)&lt;=0),0,MAX(0,1-(N(Screener!$D$12)-Database!$H217)/W_RECD))</f>
        <v/>
      </c>
      <c r="H217">
        <f>IF($U$1="",0,N(ISNUMBER(SEARCH($U$1,Database!$X217&amp;""))))+IF($V$1="",0,N(ISNUMBER(SEARCH($V$1,Database!$X217&amp;""))))+IF($W$1="",0,N(ISNUMBER(SEARCH($W$1,Database!$X217&amp;""))))+IF($X$1="",0,N(ISNUMBER(SEARCH($X$1,Database!$X217&amp;""))))+IF($Y$1="",0,N(ISNUMBER(SEARCH($Y$1,Database!$X217&amp;""))))+IF(Screener!$B$17="",0,N(ISNUMBER(SEARCH(LOWER(Screener!$B$17),Database!$X217&amp;""))))</f>
        <v/>
      </c>
      <c r="I217">
        <f>IF(OR(N(Database!$AV217)&lt;=0,N(Screener!$D$13)&lt;=0),0,MAX(0,1-ABS(LOG10(N(Database!$AV217)/Screener!$D$13))/W_PEHW))</f>
        <v/>
      </c>
      <c r="J217">
        <f>IF(OR(N(Database!$S217)&lt;=0,N(Screener!$D$14)&lt;=0),0,MAX(0,1-ABS(LOG10(Database!$S217/Screener!$D$14))/0.6))</f>
        <v/>
      </c>
      <c r="K217">
        <f>IF(Database!$B217=Screener!$B$5,-999999,IF(ISNUMBER(SEARCH(","&amp;Database!$A217&amp;",",","&amp;SUBSTITUTE(Screener!$B$19," ","")&amp;",")),2000000,IF(IF(OR(Screener!$B$18="All",AND(Screener!$B$18="With A-share",(Database!$AZ217="Y")),AND(Screener!$B$18="Without A-share",NOT((Database!$AZ217="Y")))),1,0)=0,-999999,IF(Screener!$B$16="cornerstone overlap first",H217*100000,IF(Screener!$B$16="demand-similar first",J217*100000,0))+W_SUB*B217+W_SEC*C217*(1-B217)+W_SIZE*D217+W_PROF*E217+W_AH*F217+W_REC*G217+W_CS*H217+W_PE*I217)))+ROW()/1000000</f>
        <v/>
      </c>
      <c r="AA217">
        <f>Database!B206</f>
        <v/>
      </c>
      <c r="AB217">
        <f>Database!D206</f>
        <v/>
      </c>
      <c r="AC217">
        <f>Database!E206</f>
        <v/>
      </c>
      <c r="AD217">
        <f>Database!I206</f>
        <v/>
      </c>
      <c r="AE217">
        <f>Database!AU206</f>
        <v/>
      </c>
      <c r="AF217">
        <f>Database!AZ206</f>
        <v/>
      </c>
      <c r="AG217">
        <f>Database!H206</f>
        <v/>
      </c>
      <c r="AH217">
        <f>Database!AV206</f>
        <v/>
      </c>
    </row>
    <row r="218">
      <c r="A218">
        <f>Database!B218</f>
        <v/>
      </c>
      <c r="B218">
        <f>IF(AND(Screener!$D$8&lt;&gt;"",Database!$E218=Screener!$D$8),1,0)</f>
        <v/>
      </c>
      <c r="C218">
        <f>IF(AND(Screener!$D$7&lt;&gt;"",Database!$D218=Screener!$D$7),1,0)</f>
        <v/>
      </c>
      <c r="D218">
        <f>IF(OR(N(Database!$I218)&lt;=0,N(Screener!$D$9)&lt;=0),0,MAX(0,1-ABS(LOG10(N(Database!$I218)/Screener!$D$9))/W_SIZEHW))</f>
        <v/>
      </c>
      <c r="E218">
        <f>IF(OR(Database!$AU218="",Screener!$D$10=""),0,IF(Database!$AU218=Screener!$D$10,1,0))</f>
        <v/>
      </c>
      <c r="F218">
        <f>IF(OR(Database!$AZ218="",Screener!$D$11=""),0,IF(Database!$AZ218=Screener!$D$11,1,0))</f>
        <v/>
      </c>
      <c r="G218">
        <f>IF(OR(Database!$H218="",N(Screener!$D$12)&lt;=0),0,MAX(0,1-(N(Screener!$D$12)-Database!$H218)/W_RECD))</f>
        <v/>
      </c>
      <c r="H218">
        <f>IF($U$1="",0,N(ISNUMBER(SEARCH($U$1,Database!$X218&amp;""))))+IF($V$1="",0,N(ISNUMBER(SEARCH($V$1,Database!$X218&amp;""))))+IF($W$1="",0,N(ISNUMBER(SEARCH($W$1,Database!$X218&amp;""))))+IF($X$1="",0,N(ISNUMBER(SEARCH($X$1,Database!$X218&amp;""))))+IF($Y$1="",0,N(ISNUMBER(SEARCH($Y$1,Database!$X218&amp;""))))+IF(Screener!$B$17="",0,N(ISNUMBER(SEARCH(LOWER(Screener!$B$17),Database!$X218&amp;""))))</f>
        <v/>
      </c>
      <c r="I218">
        <f>IF(OR(N(Database!$AV218)&lt;=0,N(Screener!$D$13)&lt;=0),0,MAX(0,1-ABS(LOG10(N(Database!$AV218)/Screener!$D$13))/W_PEHW))</f>
        <v/>
      </c>
      <c r="J218">
        <f>IF(OR(N(Database!$S218)&lt;=0,N(Screener!$D$14)&lt;=0),0,MAX(0,1-ABS(LOG10(Database!$S218/Screener!$D$14))/0.6))</f>
        <v/>
      </c>
      <c r="K218">
        <f>IF(Database!$B218=Screener!$B$5,-999999,IF(ISNUMBER(SEARCH(","&amp;Database!$A218&amp;",",","&amp;SUBSTITUTE(Screener!$B$19," ","")&amp;",")),2000000,IF(IF(OR(Screener!$B$18="All",AND(Screener!$B$18="With A-share",(Database!$AZ218="Y")),AND(Screener!$B$18="Without A-share",NOT((Database!$AZ218="Y")))),1,0)=0,-999999,IF(Screener!$B$16="cornerstone overlap first",H218*100000,IF(Screener!$B$16="demand-similar first",J218*100000,0))+W_SUB*B218+W_SEC*C218*(1-B218)+W_SIZE*D218+W_PROF*E218+W_AH*F218+W_REC*G218+W_CS*H218+W_PE*I218)))+ROW()/1000000</f>
        <v/>
      </c>
      <c r="AA218">
        <f>Database!B207</f>
        <v/>
      </c>
      <c r="AB218">
        <f>Database!D207</f>
        <v/>
      </c>
      <c r="AC218">
        <f>Database!E207</f>
        <v/>
      </c>
      <c r="AD218">
        <f>Database!I207</f>
        <v/>
      </c>
      <c r="AE218">
        <f>Database!AU207</f>
        <v/>
      </c>
      <c r="AF218">
        <f>Database!AZ207</f>
        <v/>
      </c>
      <c r="AG218">
        <f>Database!H207</f>
        <v/>
      </c>
      <c r="AH218">
        <f>Database!AV207</f>
        <v/>
      </c>
    </row>
    <row r="219">
      <c r="A219">
        <f>Database!B219</f>
        <v/>
      </c>
      <c r="B219">
        <f>IF(AND(Screener!$D$8&lt;&gt;"",Database!$E219=Screener!$D$8),1,0)</f>
        <v/>
      </c>
      <c r="C219">
        <f>IF(AND(Screener!$D$7&lt;&gt;"",Database!$D219=Screener!$D$7),1,0)</f>
        <v/>
      </c>
      <c r="D219">
        <f>IF(OR(N(Database!$I219)&lt;=0,N(Screener!$D$9)&lt;=0),0,MAX(0,1-ABS(LOG10(N(Database!$I219)/Screener!$D$9))/W_SIZEHW))</f>
        <v/>
      </c>
      <c r="E219">
        <f>IF(OR(Database!$AU219="",Screener!$D$10=""),0,IF(Database!$AU219=Screener!$D$10,1,0))</f>
        <v/>
      </c>
      <c r="F219">
        <f>IF(OR(Database!$AZ219="",Screener!$D$11=""),0,IF(Database!$AZ219=Screener!$D$11,1,0))</f>
        <v/>
      </c>
      <c r="G219">
        <f>IF(OR(Database!$H219="",N(Screener!$D$12)&lt;=0),0,MAX(0,1-(N(Screener!$D$12)-Database!$H219)/W_RECD))</f>
        <v/>
      </c>
      <c r="H219">
        <f>IF($U$1="",0,N(ISNUMBER(SEARCH($U$1,Database!$X219&amp;""))))+IF($V$1="",0,N(ISNUMBER(SEARCH($V$1,Database!$X219&amp;""))))+IF($W$1="",0,N(ISNUMBER(SEARCH($W$1,Database!$X219&amp;""))))+IF($X$1="",0,N(ISNUMBER(SEARCH($X$1,Database!$X219&amp;""))))+IF($Y$1="",0,N(ISNUMBER(SEARCH($Y$1,Database!$X219&amp;""))))+IF(Screener!$B$17="",0,N(ISNUMBER(SEARCH(LOWER(Screener!$B$17),Database!$X219&amp;""))))</f>
        <v/>
      </c>
      <c r="I219">
        <f>IF(OR(N(Database!$AV219)&lt;=0,N(Screener!$D$13)&lt;=0),0,MAX(0,1-ABS(LOG10(N(Database!$AV219)/Screener!$D$13))/W_PEHW))</f>
        <v/>
      </c>
      <c r="J219">
        <f>IF(OR(N(Database!$S219)&lt;=0,N(Screener!$D$14)&lt;=0),0,MAX(0,1-ABS(LOG10(Database!$S219/Screener!$D$14))/0.6))</f>
        <v/>
      </c>
      <c r="K219">
        <f>IF(Database!$B219=Screener!$B$5,-999999,IF(ISNUMBER(SEARCH(","&amp;Database!$A219&amp;",",","&amp;SUBSTITUTE(Screener!$B$19," ","")&amp;",")),2000000,IF(IF(OR(Screener!$B$18="All",AND(Screener!$B$18="With A-share",(Database!$AZ219="Y")),AND(Screener!$B$18="Without A-share",NOT((Database!$AZ219="Y")))),1,0)=0,-999999,IF(Screener!$B$16="cornerstone overlap first",H219*100000,IF(Screener!$B$16="demand-similar first",J219*100000,0))+W_SUB*B219+W_SEC*C219*(1-B219)+W_SIZE*D219+W_PROF*E219+W_AH*F219+W_REC*G219+W_CS*H219+W_PE*I219)))+ROW()/1000000</f>
        <v/>
      </c>
      <c r="AA219">
        <f>Database!B208</f>
        <v/>
      </c>
      <c r="AB219">
        <f>Database!D208</f>
        <v/>
      </c>
      <c r="AC219">
        <f>Database!E208</f>
        <v/>
      </c>
      <c r="AD219">
        <f>Database!I208</f>
        <v/>
      </c>
      <c r="AE219">
        <f>Database!AU208</f>
        <v/>
      </c>
      <c r="AF219">
        <f>Database!AZ208</f>
        <v/>
      </c>
      <c r="AG219">
        <f>Database!H208</f>
        <v/>
      </c>
      <c r="AH219">
        <f>Database!AV208</f>
        <v/>
      </c>
    </row>
    <row r="220">
      <c r="A220">
        <f>Database!B220</f>
        <v/>
      </c>
      <c r="B220">
        <f>IF(AND(Screener!$D$8&lt;&gt;"",Database!$E220=Screener!$D$8),1,0)</f>
        <v/>
      </c>
      <c r="C220">
        <f>IF(AND(Screener!$D$7&lt;&gt;"",Database!$D220=Screener!$D$7),1,0)</f>
        <v/>
      </c>
      <c r="D220">
        <f>IF(OR(N(Database!$I220)&lt;=0,N(Screener!$D$9)&lt;=0),0,MAX(0,1-ABS(LOG10(N(Database!$I220)/Screener!$D$9))/W_SIZEHW))</f>
        <v/>
      </c>
      <c r="E220">
        <f>IF(OR(Database!$AU220="",Screener!$D$10=""),0,IF(Database!$AU220=Screener!$D$10,1,0))</f>
        <v/>
      </c>
      <c r="F220">
        <f>IF(OR(Database!$AZ220="",Screener!$D$11=""),0,IF(Database!$AZ220=Screener!$D$11,1,0))</f>
        <v/>
      </c>
      <c r="G220">
        <f>IF(OR(Database!$H220="",N(Screener!$D$12)&lt;=0),0,MAX(0,1-(N(Screener!$D$12)-Database!$H220)/W_RECD))</f>
        <v/>
      </c>
      <c r="H220">
        <f>IF($U$1="",0,N(ISNUMBER(SEARCH($U$1,Database!$X220&amp;""))))+IF($V$1="",0,N(ISNUMBER(SEARCH($V$1,Database!$X220&amp;""))))+IF($W$1="",0,N(ISNUMBER(SEARCH($W$1,Database!$X220&amp;""))))+IF($X$1="",0,N(ISNUMBER(SEARCH($X$1,Database!$X220&amp;""))))+IF($Y$1="",0,N(ISNUMBER(SEARCH($Y$1,Database!$X220&amp;""))))+IF(Screener!$B$17="",0,N(ISNUMBER(SEARCH(LOWER(Screener!$B$17),Database!$X220&amp;""))))</f>
        <v/>
      </c>
      <c r="I220">
        <f>IF(OR(N(Database!$AV220)&lt;=0,N(Screener!$D$13)&lt;=0),0,MAX(0,1-ABS(LOG10(N(Database!$AV220)/Screener!$D$13))/W_PEHW))</f>
        <v/>
      </c>
      <c r="J220">
        <f>IF(OR(N(Database!$S220)&lt;=0,N(Screener!$D$14)&lt;=0),0,MAX(0,1-ABS(LOG10(Database!$S220/Screener!$D$14))/0.6))</f>
        <v/>
      </c>
      <c r="K220">
        <f>IF(Database!$B220=Screener!$B$5,-999999,IF(ISNUMBER(SEARCH(","&amp;Database!$A220&amp;",",","&amp;SUBSTITUTE(Screener!$B$19," ","")&amp;",")),2000000,IF(IF(OR(Screener!$B$18="All",AND(Screener!$B$18="With A-share",(Database!$AZ220="Y")),AND(Screener!$B$18="Without A-share",NOT((Database!$AZ220="Y")))),1,0)=0,-999999,IF(Screener!$B$16="cornerstone overlap first",H220*100000,IF(Screener!$B$16="demand-similar first",J220*100000,0))+W_SUB*B220+W_SEC*C220*(1-B220)+W_SIZE*D220+W_PROF*E220+W_AH*F220+W_REC*G220+W_CS*H220+W_PE*I220)))+ROW()/1000000</f>
        <v/>
      </c>
      <c r="AA220">
        <f>Database!B209</f>
        <v/>
      </c>
      <c r="AB220">
        <f>Database!D209</f>
        <v/>
      </c>
      <c r="AC220">
        <f>Database!E209</f>
        <v/>
      </c>
      <c r="AD220">
        <f>Database!I209</f>
        <v/>
      </c>
      <c r="AE220">
        <f>Database!AU209</f>
        <v/>
      </c>
      <c r="AF220">
        <f>Database!AZ209</f>
        <v/>
      </c>
      <c r="AG220">
        <f>Database!H209</f>
        <v/>
      </c>
      <c r="AH220">
        <f>Database!AV209</f>
        <v/>
      </c>
    </row>
    <row r="221">
      <c r="A221">
        <f>Database!B221</f>
        <v/>
      </c>
      <c r="B221">
        <f>IF(AND(Screener!$D$8&lt;&gt;"",Database!$E221=Screener!$D$8),1,0)</f>
        <v/>
      </c>
      <c r="C221">
        <f>IF(AND(Screener!$D$7&lt;&gt;"",Database!$D221=Screener!$D$7),1,0)</f>
        <v/>
      </c>
      <c r="D221">
        <f>IF(OR(N(Database!$I221)&lt;=0,N(Screener!$D$9)&lt;=0),0,MAX(0,1-ABS(LOG10(N(Database!$I221)/Screener!$D$9))/W_SIZEHW))</f>
        <v/>
      </c>
      <c r="E221">
        <f>IF(OR(Database!$AU221="",Screener!$D$10=""),0,IF(Database!$AU221=Screener!$D$10,1,0))</f>
        <v/>
      </c>
      <c r="F221">
        <f>IF(OR(Database!$AZ221="",Screener!$D$11=""),0,IF(Database!$AZ221=Screener!$D$11,1,0))</f>
        <v/>
      </c>
      <c r="G221">
        <f>IF(OR(Database!$H221="",N(Screener!$D$12)&lt;=0),0,MAX(0,1-(N(Screener!$D$12)-Database!$H221)/W_RECD))</f>
        <v/>
      </c>
      <c r="H221">
        <f>IF($U$1="",0,N(ISNUMBER(SEARCH($U$1,Database!$X221&amp;""))))+IF($V$1="",0,N(ISNUMBER(SEARCH($V$1,Database!$X221&amp;""))))+IF($W$1="",0,N(ISNUMBER(SEARCH($W$1,Database!$X221&amp;""))))+IF($X$1="",0,N(ISNUMBER(SEARCH($X$1,Database!$X221&amp;""))))+IF($Y$1="",0,N(ISNUMBER(SEARCH($Y$1,Database!$X221&amp;""))))+IF(Screener!$B$17="",0,N(ISNUMBER(SEARCH(LOWER(Screener!$B$17),Database!$X221&amp;""))))</f>
        <v/>
      </c>
      <c r="I221">
        <f>IF(OR(N(Database!$AV221)&lt;=0,N(Screener!$D$13)&lt;=0),0,MAX(0,1-ABS(LOG10(N(Database!$AV221)/Screener!$D$13))/W_PEHW))</f>
        <v/>
      </c>
      <c r="J221">
        <f>IF(OR(N(Database!$S221)&lt;=0,N(Screener!$D$14)&lt;=0),0,MAX(0,1-ABS(LOG10(Database!$S221/Screener!$D$14))/0.6))</f>
        <v/>
      </c>
      <c r="K221">
        <f>IF(Database!$B221=Screener!$B$5,-999999,IF(ISNUMBER(SEARCH(","&amp;Database!$A221&amp;",",","&amp;SUBSTITUTE(Screener!$B$19," ","")&amp;",")),2000000,IF(IF(OR(Screener!$B$18="All",AND(Screener!$B$18="With A-share",(Database!$AZ221="Y")),AND(Screener!$B$18="Without A-share",NOT((Database!$AZ221="Y")))),1,0)=0,-999999,IF(Screener!$B$16="cornerstone overlap first",H221*100000,IF(Screener!$B$16="demand-similar first",J221*100000,0))+W_SUB*B221+W_SEC*C221*(1-B221)+W_SIZE*D221+W_PROF*E221+W_AH*F221+W_REC*G221+W_CS*H221+W_PE*I221)))+ROW()/1000000</f>
        <v/>
      </c>
      <c r="AA221">
        <f>Database!B210</f>
        <v/>
      </c>
      <c r="AB221">
        <f>Database!D210</f>
        <v/>
      </c>
      <c r="AC221">
        <f>Database!E210</f>
        <v/>
      </c>
      <c r="AD221">
        <f>Database!I210</f>
        <v/>
      </c>
      <c r="AE221">
        <f>Database!AU210</f>
        <v/>
      </c>
      <c r="AF221">
        <f>Database!AZ210</f>
        <v/>
      </c>
      <c r="AG221">
        <f>Database!H210</f>
        <v/>
      </c>
      <c r="AH221">
        <f>Database!AV210</f>
        <v/>
      </c>
    </row>
    <row r="222">
      <c r="A222">
        <f>Database!B222</f>
        <v/>
      </c>
      <c r="B222">
        <f>IF(AND(Screener!$D$8&lt;&gt;"",Database!$E222=Screener!$D$8),1,0)</f>
        <v/>
      </c>
      <c r="C222">
        <f>IF(AND(Screener!$D$7&lt;&gt;"",Database!$D222=Screener!$D$7),1,0)</f>
        <v/>
      </c>
      <c r="D222">
        <f>IF(OR(N(Database!$I222)&lt;=0,N(Screener!$D$9)&lt;=0),0,MAX(0,1-ABS(LOG10(N(Database!$I222)/Screener!$D$9))/W_SIZEHW))</f>
        <v/>
      </c>
      <c r="E222">
        <f>IF(OR(Database!$AU222="",Screener!$D$10=""),0,IF(Database!$AU222=Screener!$D$10,1,0))</f>
        <v/>
      </c>
      <c r="F222">
        <f>IF(OR(Database!$AZ222="",Screener!$D$11=""),0,IF(Database!$AZ222=Screener!$D$11,1,0))</f>
        <v/>
      </c>
      <c r="G222">
        <f>IF(OR(Database!$H222="",N(Screener!$D$12)&lt;=0),0,MAX(0,1-(N(Screener!$D$12)-Database!$H222)/W_RECD))</f>
        <v/>
      </c>
      <c r="H222">
        <f>IF($U$1="",0,N(ISNUMBER(SEARCH($U$1,Database!$X222&amp;""))))+IF($V$1="",0,N(ISNUMBER(SEARCH($V$1,Database!$X222&amp;""))))+IF($W$1="",0,N(ISNUMBER(SEARCH($W$1,Database!$X222&amp;""))))+IF($X$1="",0,N(ISNUMBER(SEARCH($X$1,Database!$X222&amp;""))))+IF($Y$1="",0,N(ISNUMBER(SEARCH($Y$1,Database!$X222&amp;""))))+IF(Screener!$B$17="",0,N(ISNUMBER(SEARCH(LOWER(Screener!$B$17),Database!$X222&amp;""))))</f>
        <v/>
      </c>
      <c r="I222">
        <f>IF(OR(N(Database!$AV222)&lt;=0,N(Screener!$D$13)&lt;=0),0,MAX(0,1-ABS(LOG10(N(Database!$AV222)/Screener!$D$13))/W_PEHW))</f>
        <v/>
      </c>
      <c r="J222">
        <f>IF(OR(N(Database!$S222)&lt;=0,N(Screener!$D$14)&lt;=0),0,MAX(0,1-ABS(LOG10(Database!$S222/Screener!$D$14))/0.6))</f>
        <v/>
      </c>
      <c r="K222">
        <f>IF(Database!$B222=Screener!$B$5,-999999,IF(ISNUMBER(SEARCH(","&amp;Database!$A222&amp;",",","&amp;SUBSTITUTE(Screener!$B$19," ","")&amp;",")),2000000,IF(IF(OR(Screener!$B$18="All",AND(Screener!$B$18="With A-share",(Database!$AZ222="Y")),AND(Screener!$B$18="Without A-share",NOT((Database!$AZ222="Y")))),1,0)=0,-999999,IF(Screener!$B$16="cornerstone overlap first",H222*100000,IF(Screener!$B$16="demand-similar first",J222*100000,0))+W_SUB*B222+W_SEC*C222*(1-B222)+W_SIZE*D222+W_PROF*E222+W_AH*F222+W_REC*G222+W_CS*H222+W_PE*I222)))+ROW()/1000000</f>
        <v/>
      </c>
      <c r="AA222">
        <f>Database!B211</f>
        <v/>
      </c>
      <c r="AB222">
        <f>Database!D211</f>
        <v/>
      </c>
      <c r="AC222">
        <f>Database!E211</f>
        <v/>
      </c>
      <c r="AD222">
        <f>Database!I211</f>
        <v/>
      </c>
      <c r="AE222">
        <f>Database!AU211</f>
        <v/>
      </c>
      <c r="AF222">
        <f>Database!AZ211</f>
        <v/>
      </c>
      <c r="AG222">
        <f>Database!H211</f>
        <v/>
      </c>
      <c r="AH222">
        <f>Database!AV211</f>
        <v/>
      </c>
    </row>
    <row r="223">
      <c r="A223">
        <f>Database!B223</f>
        <v/>
      </c>
      <c r="B223">
        <f>IF(AND(Screener!$D$8&lt;&gt;"",Database!$E223=Screener!$D$8),1,0)</f>
        <v/>
      </c>
      <c r="C223">
        <f>IF(AND(Screener!$D$7&lt;&gt;"",Database!$D223=Screener!$D$7),1,0)</f>
        <v/>
      </c>
      <c r="D223">
        <f>IF(OR(N(Database!$I223)&lt;=0,N(Screener!$D$9)&lt;=0),0,MAX(0,1-ABS(LOG10(N(Database!$I223)/Screener!$D$9))/W_SIZEHW))</f>
        <v/>
      </c>
      <c r="E223">
        <f>IF(OR(Database!$AU223="",Screener!$D$10=""),0,IF(Database!$AU223=Screener!$D$10,1,0))</f>
        <v/>
      </c>
      <c r="F223">
        <f>IF(OR(Database!$AZ223="",Screener!$D$11=""),0,IF(Database!$AZ223=Screener!$D$11,1,0))</f>
        <v/>
      </c>
      <c r="G223">
        <f>IF(OR(Database!$H223="",N(Screener!$D$12)&lt;=0),0,MAX(0,1-(N(Screener!$D$12)-Database!$H223)/W_RECD))</f>
        <v/>
      </c>
      <c r="H223">
        <f>IF($U$1="",0,N(ISNUMBER(SEARCH($U$1,Database!$X223&amp;""))))+IF($V$1="",0,N(ISNUMBER(SEARCH($V$1,Database!$X223&amp;""))))+IF($W$1="",0,N(ISNUMBER(SEARCH($W$1,Database!$X223&amp;""))))+IF($X$1="",0,N(ISNUMBER(SEARCH($X$1,Database!$X223&amp;""))))+IF($Y$1="",0,N(ISNUMBER(SEARCH($Y$1,Database!$X223&amp;""))))+IF(Screener!$B$17="",0,N(ISNUMBER(SEARCH(LOWER(Screener!$B$17),Database!$X223&amp;""))))</f>
        <v/>
      </c>
      <c r="I223">
        <f>IF(OR(N(Database!$AV223)&lt;=0,N(Screener!$D$13)&lt;=0),0,MAX(0,1-ABS(LOG10(N(Database!$AV223)/Screener!$D$13))/W_PEHW))</f>
        <v/>
      </c>
      <c r="J223">
        <f>IF(OR(N(Database!$S223)&lt;=0,N(Screener!$D$14)&lt;=0),0,MAX(0,1-ABS(LOG10(Database!$S223/Screener!$D$14))/0.6))</f>
        <v/>
      </c>
      <c r="K223">
        <f>IF(Database!$B223=Screener!$B$5,-999999,IF(ISNUMBER(SEARCH(","&amp;Database!$A223&amp;",",","&amp;SUBSTITUTE(Screener!$B$19," ","")&amp;",")),2000000,IF(IF(OR(Screener!$B$18="All",AND(Screener!$B$18="With A-share",(Database!$AZ223="Y")),AND(Screener!$B$18="Without A-share",NOT((Database!$AZ223="Y")))),1,0)=0,-999999,IF(Screener!$B$16="cornerstone overlap first",H223*100000,IF(Screener!$B$16="demand-similar first",J223*100000,0))+W_SUB*B223+W_SEC*C223*(1-B223)+W_SIZE*D223+W_PROF*E223+W_AH*F223+W_REC*G223+W_CS*H223+W_PE*I223)))+ROW()/1000000</f>
        <v/>
      </c>
      <c r="AA223">
        <f>Database!B212</f>
        <v/>
      </c>
      <c r="AB223">
        <f>Database!D212</f>
        <v/>
      </c>
      <c r="AC223">
        <f>Database!E212</f>
        <v/>
      </c>
      <c r="AD223">
        <f>Database!I212</f>
        <v/>
      </c>
      <c r="AE223">
        <f>Database!AU212</f>
        <v/>
      </c>
      <c r="AF223">
        <f>Database!AZ212</f>
        <v/>
      </c>
      <c r="AG223">
        <f>Database!H212</f>
        <v/>
      </c>
      <c r="AH223">
        <f>Database!AV212</f>
        <v/>
      </c>
    </row>
    <row r="224">
      <c r="A224">
        <f>Database!B224</f>
        <v/>
      </c>
      <c r="B224">
        <f>IF(AND(Screener!$D$8&lt;&gt;"",Database!$E224=Screener!$D$8),1,0)</f>
        <v/>
      </c>
      <c r="C224">
        <f>IF(AND(Screener!$D$7&lt;&gt;"",Database!$D224=Screener!$D$7),1,0)</f>
        <v/>
      </c>
      <c r="D224">
        <f>IF(OR(N(Database!$I224)&lt;=0,N(Screener!$D$9)&lt;=0),0,MAX(0,1-ABS(LOG10(N(Database!$I224)/Screener!$D$9))/W_SIZEHW))</f>
        <v/>
      </c>
      <c r="E224">
        <f>IF(OR(Database!$AU224="",Screener!$D$10=""),0,IF(Database!$AU224=Screener!$D$10,1,0))</f>
        <v/>
      </c>
      <c r="F224">
        <f>IF(OR(Database!$AZ224="",Screener!$D$11=""),0,IF(Database!$AZ224=Screener!$D$11,1,0))</f>
        <v/>
      </c>
      <c r="G224">
        <f>IF(OR(Database!$H224="",N(Screener!$D$12)&lt;=0),0,MAX(0,1-(N(Screener!$D$12)-Database!$H224)/W_RECD))</f>
        <v/>
      </c>
      <c r="H224">
        <f>IF($U$1="",0,N(ISNUMBER(SEARCH($U$1,Database!$X224&amp;""))))+IF($V$1="",0,N(ISNUMBER(SEARCH($V$1,Database!$X224&amp;""))))+IF($W$1="",0,N(ISNUMBER(SEARCH($W$1,Database!$X224&amp;""))))+IF($X$1="",0,N(ISNUMBER(SEARCH($X$1,Database!$X224&amp;""))))+IF($Y$1="",0,N(ISNUMBER(SEARCH($Y$1,Database!$X224&amp;""))))+IF(Screener!$B$17="",0,N(ISNUMBER(SEARCH(LOWER(Screener!$B$17),Database!$X224&amp;""))))</f>
        <v/>
      </c>
      <c r="I224">
        <f>IF(OR(N(Database!$AV224)&lt;=0,N(Screener!$D$13)&lt;=0),0,MAX(0,1-ABS(LOG10(N(Database!$AV224)/Screener!$D$13))/W_PEHW))</f>
        <v/>
      </c>
      <c r="J224">
        <f>IF(OR(N(Database!$S224)&lt;=0,N(Screener!$D$14)&lt;=0),0,MAX(0,1-ABS(LOG10(Database!$S224/Screener!$D$14))/0.6))</f>
        <v/>
      </c>
      <c r="K224">
        <f>IF(Database!$B224=Screener!$B$5,-999999,IF(ISNUMBER(SEARCH(","&amp;Database!$A224&amp;",",","&amp;SUBSTITUTE(Screener!$B$19," ","")&amp;",")),2000000,IF(IF(OR(Screener!$B$18="All",AND(Screener!$B$18="With A-share",(Database!$AZ224="Y")),AND(Screener!$B$18="Without A-share",NOT((Database!$AZ224="Y")))),1,0)=0,-999999,IF(Screener!$B$16="cornerstone overlap first",H224*100000,IF(Screener!$B$16="demand-similar first",J224*100000,0))+W_SUB*B224+W_SEC*C224*(1-B224)+W_SIZE*D224+W_PROF*E224+W_AH*F224+W_REC*G224+W_CS*H224+W_PE*I224)))+ROW()/1000000</f>
        <v/>
      </c>
      <c r="AA224">
        <f>Database!B213</f>
        <v/>
      </c>
      <c r="AB224">
        <f>Database!D213</f>
        <v/>
      </c>
      <c r="AC224">
        <f>Database!E213</f>
        <v/>
      </c>
      <c r="AD224">
        <f>Database!I213</f>
        <v/>
      </c>
      <c r="AE224">
        <f>Database!AU213</f>
        <v/>
      </c>
      <c r="AF224">
        <f>Database!AZ213</f>
        <v/>
      </c>
      <c r="AG224">
        <f>Database!H213</f>
        <v/>
      </c>
      <c r="AH224">
        <f>Database!AV213</f>
        <v/>
      </c>
    </row>
    <row r="225">
      <c r="A225">
        <f>Database!B225</f>
        <v/>
      </c>
      <c r="B225">
        <f>IF(AND(Screener!$D$8&lt;&gt;"",Database!$E225=Screener!$D$8),1,0)</f>
        <v/>
      </c>
      <c r="C225">
        <f>IF(AND(Screener!$D$7&lt;&gt;"",Database!$D225=Screener!$D$7),1,0)</f>
        <v/>
      </c>
      <c r="D225">
        <f>IF(OR(N(Database!$I225)&lt;=0,N(Screener!$D$9)&lt;=0),0,MAX(0,1-ABS(LOG10(N(Database!$I225)/Screener!$D$9))/W_SIZEHW))</f>
        <v/>
      </c>
      <c r="E225">
        <f>IF(OR(Database!$AU225="",Screener!$D$10=""),0,IF(Database!$AU225=Screener!$D$10,1,0))</f>
        <v/>
      </c>
      <c r="F225">
        <f>IF(OR(Database!$AZ225="",Screener!$D$11=""),0,IF(Database!$AZ225=Screener!$D$11,1,0))</f>
        <v/>
      </c>
      <c r="G225">
        <f>IF(OR(Database!$H225="",N(Screener!$D$12)&lt;=0),0,MAX(0,1-(N(Screener!$D$12)-Database!$H225)/W_RECD))</f>
        <v/>
      </c>
      <c r="H225">
        <f>IF($U$1="",0,N(ISNUMBER(SEARCH($U$1,Database!$X225&amp;""))))+IF($V$1="",0,N(ISNUMBER(SEARCH($V$1,Database!$X225&amp;""))))+IF($W$1="",0,N(ISNUMBER(SEARCH($W$1,Database!$X225&amp;""))))+IF($X$1="",0,N(ISNUMBER(SEARCH($X$1,Database!$X225&amp;""))))+IF($Y$1="",0,N(ISNUMBER(SEARCH($Y$1,Database!$X225&amp;""))))+IF(Screener!$B$17="",0,N(ISNUMBER(SEARCH(LOWER(Screener!$B$17),Database!$X225&amp;""))))</f>
        <v/>
      </c>
      <c r="I225">
        <f>IF(OR(N(Database!$AV225)&lt;=0,N(Screener!$D$13)&lt;=0),0,MAX(0,1-ABS(LOG10(N(Database!$AV225)/Screener!$D$13))/W_PEHW))</f>
        <v/>
      </c>
      <c r="J225">
        <f>IF(OR(N(Database!$S225)&lt;=0,N(Screener!$D$14)&lt;=0),0,MAX(0,1-ABS(LOG10(Database!$S225/Screener!$D$14))/0.6))</f>
        <v/>
      </c>
      <c r="K225">
        <f>IF(Database!$B225=Screener!$B$5,-999999,IF(ISNUMBER(SEARCH(","&amp;Database!$A225&amp;",",","&amp;SUBSTITUTE(Screener!$B$19," ","")&amp;",")),2000000,IF(IF(OR(Screener!$B$18="All",AND(Screener!$B$18="With A-share",(Database!$AZ225="Y")),AND(Screener!$B$18="Without A-share",NOT((Database!$AZ225="Y")))),1,0)=0,-999999,IF(Screener!$B$16="cornerstone overlap first",H225*100000,IF(Screener!$B$16="demand-similar first",J225*100000,0))+W_SUB*B225+W_SEC*C225*(1-B225)+W_SIZE*D225+W_PROF*E225+W_AH*F225+W_REC*G225+W_CS*H225+W_PE*I225)))+ROW()/1000000</f>
        <v/>
      </c>
      <c r="AA225">
        <f>Database!B214</f>
        <v/>
      </c>
      <c r="AB225">
        <f>Database!D214</f>
        <v/>
      </c>
      <c r="AC225">
        <f>Database!E214</f>
        <v/>
      </c>
      <c r="AD225">
        <f>Database!I214</f>
        <v/>
      </c>
      <c r="AE225">
        <f>Database!AU214</f>
        <v/>
      </c>
      <c r="AF225">
        <f>Database!AZ214</f>
        <v/>
      </c>
      <c r="AG225">
        <f>Database!H214</f>
        <v/>
      </c>
      <c r="AH225">
        <f>Database!AV214</f>
        <v/>
      </c>
    </row>
    <row r="226">
      <c r="A226">
        <f>Database!B226</f>
        <v/>
      </c>
      <c r="B226">
        <f>IF(AND(Screener!$D$8&lt;&gt;"",Database!$E226=Screener!$D$8),1,0)</f>
        <v/>
      </c>
      <c r="C226">
        <f>IF(AND(Screener!$D$7&lt;&gt;"",Database!$D226=Screener!$D$7),1,0)</f>
        <v/>
      </c>
      <c r="D226">
        <f>IF(OR(N(Database!$I226)&lt;=0,N(Screener!$D$9)&lt;=0),0,MAX(0,1-ABS(LOG10(N(Database!$I226)/Screener!$D$9))/W_SIZEHW))</f>
        <v/>
      </c>
      <c r="E226">
        <f>IF(OR(Database!$AU226="",Screener!$D$10=""),0,IF(Database!$AU226=Screener!$D$10,1,0))</f>
        <v/>
      </c>
      <c r="F226">
        <f>IF(OR(Database!$AZ226="",Screener!$D$11=""),0,IF(Database!$AZ226=Screener!$D$11,1,0))</f>
        <v/>
      </c>
      <c r="G226">
        <f>IF(OR(Database!$H226="",N(Screener!$D$12)&lt;=0),0,MAX(0,1-(N(Screener!$D$12)-Database!$H226)/W_RECD))</f>
        <v/>
      </c>
      <c r="H226">
        <f>IF($U$1="",0,N(ISNUMBER(SEARCH($U$1,Database!$X226&amp;""))))+IF($V$1="",0,N(ISNUMBER(SEARCH($V$1,Database!$X226&amp;""))))+IF($W$1="",0,N(ISNUMBER(SEARCH($W$1,Database!$X226&amp;""))))+IF($X$1="",0,N(ISNUMBER(SEARCH($X$1,Database!$X226&amp;""))))+IF($Y$1="",0,N(ISNUMBER(SEARCH($Y$1,Database!$X226&amp;""))))+IF(Screener!$B$17="",0,N(ISNUMBER(SEARCH(LOWER(Screener!$B$17),Database!$X226&amp;""))))</f>
        <v/>
      </c>
      <c r="I226">
        <f>IF(OR(N(Database!$AV226)&lt;=0,N(Screener!$D$13)&lt;=0),0,MAX(0,1-ABS(LOG10(N(Database!$AV226)/Screener!$D$13))/W_PEHW))</f>
        <v/>
      </c>
      <c r="J226">
        <f>IF(OR(N(Database!$S226)&lt;=0,N(Screener!$D$14)&lt;=0),0,MAX(0,1-ABS(LOG10(Database!$S226/Screener!$D$14))/0.6))</f>
        <v/>
      </c>
      <c r="K226">
        <f>IF(Database!$B226=Screener!$B$5,-999999,IF(ISNUMBER(SEARCH(","&amp;Database!$A226&amp;",",","&amp;SUBSTITUTE(Screener!$B$19," ","")&amp;",")),2000000,IF(IF(OR(Screener!$B$18="All",AND(Screener!$B$18="With A-share",(Database!$AZ226="Y")),AND(Screener!$B$18="Without A-share",NOT((Database!$AZ226="Y")))),1,0)=0,-999999,IF(Screener!$B$16="cornerstone overlap first",H226*100000,IF(Screener!$B$16="demand-similar first",J226*100000,0))+W_SUB*B226+W_SEC*C226*(1-B226)+W_SIZE*D226+W_PROF*E226+W_AH*F226+W_REC*G226+W_CS*H226+W_PE*I226)))+ROW()/1000000</f>
        <v/>
      </c>
      <c r="AA226">
        <f>Database!B215</f>
        <v/>
      </c>
      <c r="AB226">
        <f>Database!D215</f>
        <v/>
      </c>
      <c r="AC226">
        <f>Database!E215</f>
        <v/>
      </c>
      <c r="AD226">
        <f>Database!I215</f>
        <v/>
      </c>
      <c r="AE226">
        <f>Database!AU215</f>
        <v/>
      </c>
      <c r="AF226">
        <f>Database!AZ215</f>
        <v/>
      </c>
      <c r="AG226">
        <f>Database!H215</f>
        <v/>
      </c>
      <c r="AH226">
        <f>Database!AV215</f>
        <v/>
      </c>
    </row>
    <row r="227">
      <c r="A227">
        <f>Database!B227</f>
        <v/>
      </c>
      <c r="B227">
        <f>IF(AND(Screener!$D$8&lt;&gt;"",Database!$E227=Screener!$D$8),1,0)</f>
        <v/>
      </c>
      <c r="C227">
        <f>IF(AND(Screener!$D$7&lt;&gt;"",Database!$D227=Screener!$D$7),1,0)</f>
        <v/>
      </c>
      <c r="D227">
        <f>IF(OR(N(Database!$I227)&lt;=0,N(Screener!$D$9)&lt;=0),0,MAX(0,1-ABS(LOG10(N(Database!$I227)/Screener!$D$9))/W_SIZEHW))</f>
        <v/>
      </c>
      <c r="E227">
        <f>IF(OR(Database!$AU227="",Screener!$D$10=""),0,IF(Database!$AU227=Screener!$D$10,1,0))</f>
        <v/>
      </c>
      <c r="F227">
        <f>IF(OR(Database!$AZ227="",Screener!$D$11=""),0,IF(Database!$AZ227=Screener!$D$11,1,0))</f>
        <v/>
      </c>
      <c r="G227">
        <f>IF(OR(Database!$H227="",N(Screener!$D$12)&lt;=0),0,MAX(0,1-(N(Screener!$D$12)-Database!$H227)/W_RECD))</f>
        <v/>
      </c>
      <c r="H227">
        <f>IF($U$1="",0,N(ISNUMBER(SEARCH($U$1,Database!$X227&amp;""))))+IF($V$1="",0,N(ISNUMBER(SEARCH($V$1,Database!$X227&amp;""))))+IF($W$1="",0,N(ISNUMBER(SEARCH($W$1,Database!$X227&amp;""))))+IF($X$1="",0,N(ISNUMBER(SEARCH($X$1,Database!$X227&amp;""))))+IF($Y$1="",0,N(ISNUMBER(SEARCH($Y$1,Database!$X227&amp;""))))+IF(Screener!$B$17="",0,N(ISNUMBER(SEARCH(LOWER(Screener!$B$17),Database!$X227&amp;""))))</f>
        <v/>
      </c>
      <c r="I227">
        <f>IF(OR(N(Database!$AV227)&lt;=0,N(Screener!$D$13)&lt;=0),0,MAX(0,1-ABS(LOG10(N(Database!$AV227)/Screener!$D$13))/W_PEHW))</f>
        <v/>
      </c>
      <c r="J227">
        <f>IF(OR(N(Database!$S227)&lt;=0,N(Screener!$D$14)&lt;=0),0,MAX(0,1-ABS(LOG10(Database!$S227/Screener!$D$14))/0.6))</f>
        <v/>
      </c>
      <c r="K227">
        <f>IF(Database!$B227=Screener!$B$5,-999999,IF(ISNUMBER(SEARCH(","&amp;Database!$A227&amp;",",","&amp;SUBSTITUTE(Screener!$B$19," ","")&amp;",")),2000000,IF(IF(OR(Screener!$B$18="All",AND(Screener!$B$18="With A-share",(Database!$AZ227="Y")),AND(Screener!$B$18="Without A-share",NOT((Database!$AZ227="Y")))),1,0)=0,-999999,IF(Screener!$B$16="cornerstone overlap first",H227*100000,IF(Screener!$B$16="demand-similar first",J227*100000,0))+W_SUB*B227+W_SEC*C227*(1-B227)+W_SIZE*D227+W_PROF*E227+W_AH*F227+W_REC*G227+W_CS*H227+W_PE*I227)))+ROW()/1000000</f>
        <v/>
      </c>
      <c r="AA227">
        <f>Database!B216</f>
        <v/>
      </c>
      <c r="AB227">
        <f>Database!D216</f>
        <v/>
      </c>
      <c r="AC227">
        <f>Database!E216</f>
        <v/>
      </c>
      <c r="AD227">
        <f>Database!I216</f>
        <v/>
      </c>
      <c r="AE227">
        <f>Database!AU216</f>
        <v/>
      </c>
      <c r="AF227">
        <f>Database!AZ216</f>
        <v/>
      </c>
      <c r="AG227">
        <f>Database!H216</f>
        <v/>
      </c>
      <c r="AH227">
        <f>Database!AV216</f>
        <v/>
      </c>
    </row>
    <row r="228">
      <c r="A228">
        <f>Database!B228</f>
        <v/>
      </c>
      <c r="B228">
        <f>IF(AND(Screener!$D$8&lt;&gt;"",Database!$E228=Screener!$D$8),1,0)</f>
        <v/>
      </c>
      <c r="C228">
        <f>IF(AND(Screener!$D$7&lt;&gt;"",Database!$D228=Screener!$D$7),1,0)</f>
        <v/>
      </c>
      <c r="D228">
        <f>IF(OR(N(Database!$I228)&lt;=0,N(Screener!$D$9)&lt;=0),0,MAX(0,1-ABS(LOG10(N(Database!$I228)/Screener!$D$9))/W_SIZEHW))</f>
        <v/>
      </c>
      <c r="E228">
        <f>IF(OR(Database!$AU228="",Screener!$D$10=""),0,IF(Database!$AU228=Screener!$D$10,1,0))</f>
        <v/>
      </c>
      <c r="F228">
        <f>IF(OR(Database!$AZ228="",Screener!$D$11=""),0,IF(Database!$AZ228=Screener!$D$11,1,0))</f>
        <v/>
      </c>
      <c r="G228">
        <f>IF(OR(Database!$H228="",N(Screener!$D$12)&lt;=0),0,MAX(0,1-(N(Screener!$D$12)-Database!$H228)/W_RECD))</f>
        <v/>
      </c>
      <c r="H228">
        <f>IF($U$1="",0,N(ISNUMBER(SEARCH($U$1,Database!$X228&amp;""))))+IF($V$1="",0,N(ISNUMBER(SEARCH($V$1,Database!$X228&amp;""))))+IF($W$1="",0,N(ISNUMBER(SEARCH($W$1,Database!$X228&amp;""))))+IF($X$1="",0,N(ISNUMBER(SEARCH($X$1,Database!$X228&amp;""))))+IF($Y$1="",0,N(ISNUMBER(SEARCH($Y$1,Database!$X228&amp;""))))+IF(Screener!$B$17="",0,N(ISNUMBER(SEARCH(LOWER(Screener!$B$17),Database!$X228&amp;""))))</f>
        <v/>
      </c>
      <c r="I228">
        <f>IF(OR(N(Database!$AV228)&lt;=0,N(Screener!$D$13)&lt;=0),0,MAX(0,1-ABS(LOG10(N(Database!$AV228)/Screener!$D$13))/W_PEHW))</f>
        <v/>
      </c>
      <c r="J228">
        <f>IF(OR(N(Database!$S228)&lt;=0,N(Screener!$D$14)&lt;=0),0,MAX(0,1-ABS(LOG10(Database!$S228/Screener!$D$14))/0.6))</f>
        <v/>
      </c>
      <c r="K228">
        <f>IF(Database!$B228=Screener!$B$5,-999999,IF(ISNUMBER(SEARCH(","&amp;Database!$A228&amp;",",","&amp;SUBSTITUTE(Screener!$B$19," ","")&amp;",")),2000000,IF(IF(OR(Screener!$B$18="All",AND(Screener!$B$18="With A-share",(Database!$AZ228="Y")),AND(Screener!$B$18="Without A-share",NOT((Database!$AZ228="Y")))),1,0)=0,-999999,IF(Screener!$B$16="cornerstone overlap first",H228*100000,IF(Screener!$B$16="demand-similar first",J228*100000,0))+W_SUB*B228+W_SEC*C228*(1-B228)+W_SIZE*D228+W_PROF*E228+W_AH*F228+W_REC*G228+W_CS*H228+W_PE*I228)))+ROW()/1000000</f>
        <v/>
      </c>
      <c r="AA228">
        <f>Database!B217</f>
        <v/>
      </c>
      <c r="AB228">
        <f>Database!D217</f>
        <v/>
      </c>
      <c r="AC228">
        <f>Database!E217</f>
        <v/>
      </c>
      <c r="AD228">
        <f>Database!I217</f>
        <v/>
      </c>
      <c r="AE228">
        <f>Database!AU217</f>
        <v/>
      </c>
      <c r="AF228">
        <f>Database!AZ217</f>
        <v/>
      </c>
      <c r="AG228">
        <f>Database!H217</f>
        <v/>
      </c>
      <c r="AH228">
        <f>Database!AV217</f>
        <v/>
      </c>
    </row>
    <row r="229">
      <c r="A229">
        <f>Database!B229</f>
        <v/>
      </c>
      <c r="B229">
        <f>IF(AND(Screener!$D$8&lt;&gt;"",Database!$E229=Screener!$D$8),1,0)</f>
        <v/>
      </c>
      <c r="C229">
        <f>IF(AND(Screener!$D$7&lt;&gt;"",Database!$D229=Screener!$D$7),1,0)</f>
        <v/>
      </c>
      <c r="D229">
        <f>IF(OR(N(Database!$I229)&lt;=0,N(Screener!$D$9)&lt;=0),0,MAX(0,1-ABS(LOG10(N(Database!$I229)/Screener!$D$9))/W_SIZEHW))</f>
        <v/>
      </c>
      <c r="E229">
        <f>IF(OR(Database!$AU229="",Screener!$D$10=""),0,IF(Database!$AU229=Screener!$D$10,1,0))</f>
        <v/>
      </c>
      <c r="F229">
        <f>IF(OR(Database!$AZ229="",Screener!$D$11=""),0,IF(Database!$AZ229=Screener!$D$11,1,0))</f>
        <v/>
      </c>
      <c r="G229">
        <f>IF(OR(Database!$H229="",N(Screener!$D$12)&lt;=0),0,MAX(0,1-(N(Screener!$D$12)-Database!$H229)/W_RECD))</f>
        <v/>
      </c>
      <c r="H229">
        <f>IF($U$1="",0,N(ISNUMBER(SEARCH($U$1,Database!$X229&amp;""))))+IF($V$1="",0,N(ISNUMBER(SEARCH($V$1,Database!$X229&amp;""))))+IF($W$1="",0,N(ISNUMBER(SEARCH($W$1,Database!$X229&amp;""))))+IF($X$1="",0,N(ISNUMBER(SEARCH($X$1,Database!$X229&amp;""))))+IF($Y$1="",0,N(ISNUMBER(SEARCH($Y$1,Database!$X229&amp;""))))+IF(Screener!$B$17="",0,N(ISNUMBER(SEARCH(LOWER(Screener!$B$17),Database!$X229&amp;""))))</f>
        <v/>
      </c>
      <c r="I229">
        <f>IF(OR(N(Database!$AV229)&lt;=0,N(Screener!$D$13)&lt;=0),0,MAX(0,1-ABS(LOG10(N(Database!$AV229)/Screener!$D$13))/W_PEHW))</f>
        <v/>
      </c>
      <c r="J229">
        <f>IF(OR(N(Database!$S229)&lt;=0,N(Screener!$D$14)&lt;=0),0,MAX(0,1-ABS(LOG10(Database!$S229/Screener!$D$14))/0.6))</f>
        <v/>
      </c>
      <c r="K229">
        <f>IF(Database!$B229=Screener!$B$5,-999999,IF(ISNUMBER(SEARCH(","&amp;Database!$A229&amp;",",","&amp;SUBSTITUTE(Screener!$B$19," ","")&amp;",")),2000000,IF(IF(OR(Screener!$B$18="All",AND(Screener!$B$18="With A-share",(Database!$AZ229="Y")),AND(Screener!$B$18="Without A-share",NOT((Database!$AZ229="Y")))),1,0)=0,-999999,IF(Screener!$B$16="cornerstone overlap first",H229*100000,IF(Screener!$B$16="demand-similar first",J229*100000,0))+W_SUB*B229+W_SEC*C229*(1-B229)+W_SIZE*D229+W_PROF*E229+W_AH*F229+W_REC*G229+W_CS*H229+W_PE*I229)))+ROW()/1000000</f>
        <v/>
      </c>
      <c r="AA229">
        <f>Database!B218</f>
        <v/>
      </c>
      <c r="AB229">
        <f>Database!D218</f>
        <v/>
      </c>
      <c r="AC229">
        <f>Database!E218</f>
        <v/>
      </c>
      <c r="AD229">
        <f>Database!I218</f>
        <v/>
      </c>
      <c r="AE229">
        <f>Database!AU218</f>
        <v/>
      </c>
      <c r="AF229">
        <f>Database!AZ218</f>
        <v/>
      </c>
      <c r="AG229">
        <f>Database!H218</f>
        <v/>
      </c>
      <c r="AH229">
        <f>Database!AV218</f>
        <v/>
      </c>
    </row>
    <row r="230">
      <c r="A230">
        <f>Database!B230</f>
        <v/>
      </c>
      <c r="B230">
        <f>IF(AND(Screener!$D$8&lt;&gt;"",Database!$E230=Screener!$D$8),1,0)</f>
        <v/>
      </c>
      <c r="C230">
        <f>IF(AND(Screener!$D$7&lt;&gt;"",Database!$D230=Screener!$D$7),1,0)</f>
        <v/>
      </c>
      <c r="D230">
        <f>IF(OR(N(Database!$I230)&lt;=0,N(Screener!$D$9)&lt;=0),0,MAX(0,1-ABS(LOG10(N(Database!$I230)/Screener!$D$9))/W_SIZEHW))</f>
        <v/>
      </c>
      <c r="E230">
        <f>IF(OR(Database!$AU230="",Screener!$D$10=""),0,IF(Database!$AU230=Screener!$D$10,1,0))</f>
        <v/>
      </c>
      <c r="F230">
        <f>IF(OR(Database!$AZ230="",Screener!$D$11=""),0,IF(Database!$AZ230=Screener!$D$11,1,0))</f>
        <v/>
      </c>
      <c r="G230">
        <f>IF(OR(Database!$H230="",N(Screener!$D$12)&lt;=0),0,MAX(0,1-(N(Screener!$D$12)-Database!$H230)/W_RECD))</f>
        <v/>
      </c>
      <c r="H230">
        <f>IF($U$1="",0,N(ISNUMBER(SEARCH($U$1,Database!$X230&amp;""))))+IF($V$1="",0,N(ISNUMBER(SEARCH($V$1,Database!$X230&amp;""))))+IF($W$1="",0,N(ISNUMBER(SEARCH($W$1,Database!$X230&amp;""))))+IF($X$1="",0,N(ISNUMBER(SEARCH($X$1,Database!$X230&amp;""))))+IF($Y$1="",0,N(ISNUMBER(SEARCH($Y$1,Database!$X230&amp;""))))+IF(Screener!$B$17="",0,N(ISNUMBER(SEARCH(LOWER(Screener!$B$17),Database!$X230&amp;""))))</f>
        <v/>
      </c>
      <c r="I230">
        <f>IF(OR(N(Database!$AV230)&lt;=0,N(Screener!$D$13)&lt;=0),0,MAX(0,1-ABS(LOG10(N(Database!$AV230)/Screener!$D$13))/W_PEHW))</f>
        <v/>
      </c>
      <c r="J230">
        <f>IF(OR(N(Database!$S230)&lt;=0,N(Screener!$D$14)&lt;=0),0,MAX(0,1-ABS(LOG10(Database!$S230/Screener!$D$14))/0.6))</f>
        <v/>
      </c>
      <c r="K230">
        <f>IF(Database!$B230=Screener!$B$5,-999999,IF(ISNUMBER(SEARCH(","&amp;Database!$A230&amp;",",","&amp;SUBSTITUTE(Screener!$B$19," ","")&amp;",")),2000000,IF(IF(OR(Screener!$B$18="All",AND(Screener!$B$18="With A-share",(Database!$AZ230="Y")),AND(Screener!$B$18="Without A-share",NOT((Database!$AZ230="Y")))),1,0)=0,-999999,IF(Screener!$B$16="cornerstone overlap first",H230*100000,IF(Screener!$B$16="demand-similar first",J230*100000,0))+W_SUB*B230+W_SEC*C230*(1-B230)+W_SIZE*D230+W_PROF*E230+W_AH*F230+W_REC*G230+W_CS*H230+W_PE*I230)))+ROW()/1000000</f>
        <v/>
      </c>
      <c r="AA230">
        <f>Database!B219</f>
        <v/>
      </c>
      <c r="AB230">
        <f>Database!D219</f>
        <v/>
      </c>
      <c r="AC230">
        <f>Database!E219</f>
        <v/>
      </c>
      <c r="AD230">
        <f>Database!I219</f>
        <v/>
      </c>
      <c r="AE230">
        <f>Database!AU219</f>
        <v/>
      </c>
      <c r="AF230">
        <f>Database!AZ219</f>
        <v/>
      </c>
      <c r="AG230">
        <f>Database!H219</f>
        <v/>
      </c>
      <c r="AH230">
        <f>Database!AV219</f>
        <v/>
      </c>
    </row>
    <row r="231">
      <c r="A231">
        <f>Database!B231</f>
        <v/>
      </c>
      <c r="B231">
        <f>IF(AND(Screener!$D$8&lt;&gt;"",Database!$E231=Screener!$D$8),1,0)</f>
        <v/>
      </c>
      <c r="C231">
        <f>IF(AND(Screener!$D$7&lt;&gt;"",Database!$D231=Screener!$D$7),1,0)</f>
        <v/>
      </c>
      <c r="D231">
        <f>IF(OR(N(Database!$I231)&lt;=0,N(Screener!$D$9)&lt;=0),0,MAX(0,1-ABS(LOG10(N(Database!$I231)/Screener!$D$9))/W_SIZEHW))</f>
        <v/>
      </c>
      <c r="E231">
        <f>IF(OR(Database!$AU231="",Screener!$D$10=""),0,IF(Database!$AU231=Screener!$D$10,1,0))</f>
        <v/>
      </c>
      <c r="F231">
        <f>IF(OR(Database!$AZ231="",Screener!$D$11=""),0,IF(Database!$AZ231=Screener!$D$11,1,0))</f>
        <v/>
      </c>
      <c r="G231">
        <f>IF(OR(Database!$H231="",N(Screener!$D$12)&lt;=0),0,MAX(0,1-(N(Screener!$D$12)-Database!$H231)/W_RECD))</f>
        <v/>
      </c>
      <c r="H231">
        <f>IF($U$1="",0,N(ISNUMBER(SEARCH($U$1,Database!$X231&amp;""))))+IF($V$1="",0,N(ISNUMBER(SEARCH($V$1,Database!$X231&amp;""))))+IF($W$1="",0,N(ISNUMBER(SEARCH($W$1,Database!$X231&amp;""))))+IF($X$1="",0,N(ISNUMBER(SEARCH($X$1,Database!$X231&amp;""))))+IF($Y$1="",0,N(ISNUMBER(SEARCH($Y$1,Database!$X231&amp;""))))+IF(Screener!$B$17="",0,N(ISNUMBER(SEARCH(LOWER(Screener!$B$17),Database!$X231&amp;""))))</f>
        <v/>
      </c>
      <c r="I231">
        <f>IF(OR(N(Database!$AV231)&lt;=0,N(Screener!$D$13)&lt;=0),0,MAX(0,1-ABS(LOG10(N(Database!$AV231)/Screener!$D$13))/W_PEHW))</f>
        <v/>
      </c>
      <c r="J231">
        <f>IF(OR(N(Database!$S231)&lt;=0,N(Screener!$D$14)&lt;=0),0,MAX(0,1-ABS(LOG10(Database!$S231/Screener!$D$14))/0.6))</f>
        <v/>
      </c>
      <c r="K231">
        <f>IF(Database!$B231=Screener!$B$5,-999999,IF(ISNUMBER(SEARCH(","&amp;Database!$A231&amp;",",","&amp;SUBSTITUTE(Screener!$B$19," ","")&amp;",")),2000000,IF(IF(OR(Screener!$B$18="All",AND(Screener!$B$18="With A-share",(Database!$AZ231="Y")),AND(Screener!$B$18="Without A-share",NOT((Database!$AZ231="Y")))),1,0)=0,-999999,IF(Screener!$B$16="cornerstone overlap first",H231*100000,IF(Screener!$B$16="demand-similar first",J231*100000,0))+W_SUB*B231+W_SEC*C231*(1-B231)+W_SIZE*D231+W_PROF*E231+W_AH*F231+W_REC*G231+W_CS*H231+W_PE*I231)))+ROW()/1000000</f>
        <v/>
      </c>
      <c r="AA231">
        <f>Database!B220</f>
        <v/>
      </c>
      <c r="AB231">
        <f>Database!D220</f>
        <v/>
      </c>
      <c r="AC231">
        <f>Database!E220</f>
        <v/>
      </c>
      <c r="AD231">
        <f>Database!I220</f>
        <v/>
      </c>
      <c r="AE231">
        <f>Database!AU220</f>
        <v/>
      </c>
      <c r="AF231">
        <f>Database!AZ220</f>
        <v/>
      </c>
      <c r="AG231">
        <f>Database!H220</f>
        <v/>
      </c>
      <c r="AH231">
        <f>Database!AV220</f>
        <v/>
      </c>
    </row>
    <row r="232">
      <c r="A232">
        <f>Database!B232</f>
        <v/>
      </c>
      <c r="B232">
        <f>IF(AND(Screener!$D$8&lt;&gt;"",Database!$E232=Screener!$D$8),1,0)</f>
        <v/>
      </c>
      <c r="C232">
        <f>IF(AND(Screener!$D$7&lt;&gt;"",Database!$D232=Screener!$D$7),1,0)</f>
        <v/>
      </c>
      <c r="D232">
        <f>IF(OR(N(Database!$I232)&lt;=0,N(Screener!$D$9)&lt;=0),0,MAX(0,1-ABS(LOG10(N(Database!$I232)/Screener!$D$9))/W_SIZEHW))</f>
        <v/>
      </c>
      <c r="E232">
        <f>IF(OR(Database!$AU232="",Screener!$D$10=""),0,IF(Database!$AU232=Screener!$D$10,1,0))</f>
        <v/>
      </c>
      <c r="F232">
        <f>IF(OR(Database!$AZ232="",Screener!$D$11=""),0,IF(Database!$AZ232=Screener!$D$11,1,0))</f>
        <v/>
      </c>
      <c r="G232">
        <f>IF(OR(Database!$H232="",N(Screener!$D$12)&lt;=0),0,MAX(0,1-(N(Screener!$D$12)-Database!$H232)/W_RECD))</f>
        <v/>
      </c>
      <c r="H232">
        <f>IF($U$1="",0,N(ISNUMBER(SEARCH($U$1,Database!$X232&amp;""))))+IF($V$1="",0,N(ISNUMBER(SEARCH($V$1,Database!$X232&amp;""))))+IF($W$1="",0,N(ISNUMBER(SEARCH($W$1,Database!$X232&amp;""))))+IF($X$1="",0,N(ISNUMBER(SEARCH($X$1,Database!$X232&amp;""))))+IF($Y$1="",0,N(ISNUMBER(SEARCH($Y$1,Database!$X232&amp;""))))+IF(Screener!$B$17="",0,N(ISNUMBER(SEARCH(LOWER(Screener!$B$17),Database!$X232&amp;""))))</f>
        <v/>
      </c>
      <c r="I232">
        <f>IF(OR(N(Database!$AV232)&lt;=0,N(Screener!$D$13)&lt;=0),0,MAX(0,1-ABS(LOG10(N(Database!$AV232)/Screener!$D$13))/W_PEHW))</f>
        <v/>
      </c>
      <c r="J232">
        <f>IF(OR(N(Database!$S232)&lt;=0,N(Screener!$D$14)&lt;=0),0,MAX(0,1-ABS(LOG10(Database!$S232/Screener!$D$14))/0.6))</f>
        <v/>
      </c>
      <c r="K232">
        <f>IF(Database!$B232=Screener!$B$5,-999999,IF(ISNUMBER(SEARCH(","&amp;Database!$A232&amp;",",","&amp;SUBSTITUTE(Screener!$B$19," ","")&amp;",")),2000000,IF(IF(OR(Screener!$B$18="All",AND(Screener!$B$18="With A-share",(Database!$AZ232="Y")),AND(Screener!$B$18="Without A-share",NOT((Database!$AZ232="Y")))),1,0)=0,-999999,IF(Screener!$B$16="cornerstone overlap first",H232*100000,IF(Screener!$B$16="demand-similar first",J232*100000,0))+W_SUB*B232+W_SEC*C232*(1-B232)+W_SIZE*D232+W_PROF*E232+W_AH*F232+W_REC*G232+W_CS*H232+W_PE*I232)))+ROW()/1000000</f>
        <v/>
      </c>
      <c r="AA232">
        <f>Database!B221</f>
        <v/>
      </c>
      <c r="AB232">
        <f>Database!D221</f>
        <v/>
      </c>
      <c r="AC232">
        <f>Database!E221</f>
        <v/>
      </c>
      <c r="AD232">
        <f>Database!I221</f>
        <v/>
      </c>
      <c r="AE232">
        <f>Database!AU221</f>
        <v/>
      </c>
      <c r="AF232">
        <f>Database!AZ221</f>
        <v/>
      </c>
      <c r="AG232">
        <f>Database!H221</f>
        <v/>
      </c>
      <c r="AH232">
        <f>Database!AV221</f>
        <v/>
      </c>
    </row>
    <row r="233">
      <c r="A233">
        <f>Database!B233</f>
        <v/>
      </c>
      <c r="B233">
        <f>IF(AND(Screener!$D$8&lt;&gt;"",Database!$E233=Screener!$D$8),1,0)</f>
        <v/>
      </c>
      <c r="C233">
        <f>IF(AND(Screener!$D$7&lt;&gt;"",Database!$D233=Screener!$D$7),1,0)</f>
        <v/>
      </c>
      <c r="D233">
        <f>IF(OR(N(Database!$I233)&lt;=0,N(Screener!$D$9)&lt;=0),0,MAX(0,1-ABS(LOG10(N(Database!$I233)/Screener!$D$9))/W_SIZEHW))</f>
        <v/>
      </c>
      <c r="E233">
        <f>IF(OR(Database!$AU233="",Screener!$D$10=""),0,IF(Database!$AU233=Screener!$D$10,1,0))</f>
        <v/>
      </c>
      <c r="F233">
        <f>IF(OR(Database!$AZ233="",Screener!$D$11=""),0,IF(Database!$AZ233=Screener!$D$11,1,0))</f>
        <v/>
      </c>
      <c r="G233">
        <f>IF(OR(Database!$H233="",N(Screener!$D$12)&lt;=0),0,MAX(0,1-(N(Screener!$D$12)-Database!$H233)/W_RECD))</f>
        <v/>
      </c>
      <c r="H233">
        <f>IF($U$1="",0,N(ISNUMBER(SEARCH($U$1,Database!$X233&amp;""))))+IF($V$1="",0,N(ISNUMBER(SEARCH($V$1,Database!$X233&amp;""))))+IF($W$1="",0,N(ISNUMBER(SEARCH($W$1,Database!$X233&amp;""))))+IF($X$1="",0,N(ISNUMBER(SEARCH($X$1,Database!$X233&amp;""))))+IF($Y$1="",0,N(ISNUMBER(SEARCH($Y$1,Database!$X233&amp;""))))+IF(Screener!$B$17="",0,N(ISNUMBER(SEARCH(LOWER(Screener!$B$17),Database!$X233&amp;""))))</f>
        <v/>
      </c>
      <c r="I233">
        <f>IF(OR(N(Database!$AV233)&lt;=0,N(Screener!$D$13)&lt;=0),0,MAX(0,1-ABS(LOG10(N(Database!$AV233)/Screener!$D$13))/W_PEHW))</f>
        <v/>
      </c>
      <c r="J233">
        <f>IF(OR(N(Database!$S233)&lt;=0,N(Screener!$D$14)&lt;=0),0,MAX(0,1-ABS(LOG10(Database!$S233/Screener!$D$14))/0.6))</f>
        <v/>
      </c>
      <c r="K233">
        <f>IF(Database!$B233=Screener!$B$5,-999999,IF(ISNUMBER(SEARCH(","&amp;Database!$A233&amp;",",","&amp;SUBSTITUTE(Screener!$B$19," ","")&amp;",")),2000000,IF(IF(OR(Screener!$B$18="All",AND(Screener!$B$18="With A-share",(Database!$AZ233="Y")),AND(Screener!$B$18="Without A-share",NOT((Database!$AZ233="Y")))),1,0)=0,-999999,IF(Screener!$B$16="cornerstone overlap first",H233*100000,IF(Screener!$B$16="demand-similar first",J233*100000,0))+W_SUB*B233+W_SEC*C233*(1-B233)+W_SIZE*D233+W_PROF*E233+W_AH*F233+W_REC*G233+W_CS*H233+W_PE*I233)))+ROW()/1000000</f>
        <v/>
      </c>
      <c r="AA233">
        <f>Database!B222</f>
        <v/>
      </c>
      <c r="AB233">
        <f>Database!D222</f>
        <v/>
      </c>
      <c r="AC233">
        <f>Database!E222</f>
        <v/>
      </c>
      <c r="AD233">
        <f>Database!I222</f>
        <v/>
      </c>
      <c r="AE233">
        <f>Database!AU222</f>
        <v/>
      </c>
      <c r="AF233">
        <f>Database!AZ222</f>
        <v/>
      </c>
      <c r="AG233">
        <f>Database!H222</f>
        <v/>
      </c>
      <c r="AH233">
        <f>Database!AV222</f>
        <v/>
      </c>
    </row>
    <row r="234">
      <c r="A234">
        <f>Database!B234</f>
        <v/>
      </c>
      <c r="B234">
        <f>IF(AND(Screener!$D$8&lt;&gt;"",Database!$E234=Screener!$D$8),1,0)</f>
        <v/>
      </c>
      <c r="C234">
        <f>IF(AND(Screener!$D$7&lt;&gt;"",Database!$D234=Screener!$D$7),1,0)</f>
        <v/>
      </c>
      <c r="D234">
        <f>IF(OR(N(Database!$I234)&lt;=0,N(Screener!$D$9)&lt;=0),0,MAX(0,1-ABS(LOG10(N(Database!$I234)/Screener!$D$9))/W_SIZEHW))</f>
        <v/>
      </c>
      <c r="E234">
        <f>IF(OR(Database!$AU234="",Screener!$D$10=""),0,IF(Database!$AU234=Screener!$D$10,1,0))</f>
        <v/>
      </c>
      <c r="F234">
        <f>IF(OR(Database!$AZ234="",Screener!$D$11=""),0,IF(Database!$AZ234=Screener!$D$11,1,0))</f>
        <v/>
      </c>
      <c r="G234">
        <f>IF(OR(Database!$H234="",N(Screener!$D$12)&lt;=0),0,MAX(0,1-(N(Screener!$D$12)-Database!$H234)/W_RECD))</f>
        <v/>
      </c>
      <c r="H234">
        <f>IF($U$1="",0,N(ISNUMBER(SEARCH($U$1,Database!$X234&amp;""))))+IF($V$1="",0,N(ISNUMBER(SEARCH($V$1,Database!$X234&amp;""))))+IF($W$1="",0,N(ISNUMBER(SEARCH($W$1,Database!$X234&amp;""))))+IF($X$1="",0,N(ISNUMBER(SEARCH($X$1,Database!$X234&amp;""))))+IF($Y$1="",0,N(ISNUMBER(SEARCH($Y$1,Database!$X234&amp;""))))+IF(Screener!$B$17="",0,N(ISNUMBER(SEARCH(LOWER(Screener!$B$17),Database!$X234&amp;""))))</f>
        <v/>
      </c>
      <c r="I234">
        <f>IF(OR(N(Database!$AV234)&lt;=0,N(Screener!$D$13)&lt;=0),0,MAX(0,1-ABS(LOG10(N(Database!$AV234)/Screener!$D$13))/W_PEHW))</f>
        <v/>
      </c>
      <c r="J234">
        <f>IF(OR(N(Database!$S234)&lt;=0,N(Screener!$D$14)&lt;=0),0,MAX(0,1-ABS(LOG10(Database!$S234/Screener!$D$14))/0.6))</f>
        <v/>
      </c>
      <c r="K234">
        <f>IF(Database!$B234=Screener!$B$5,-999999,IF(ISNUMBER(SEARCH(","&amp;Database!$A234&amp;",",","&amp;SUBSTITUTE(Screener!$B$19," ","")&amp;",")),2000000,IF(IF(OR(Screener!$B$18="All",AND(Screener!$B$18="With A-share",(Database!$AZ234="Y")),AND(Screener!$B$18="Without A-share",NOT((Database!$AZ234="Y")))),1,0)=0,-999999,IF(Screener!$B$16="cornerstone overlap first",H234*100000,IF(Screener!$B$16="demand-similar first",J234*100000,0))+W_SUB*B234+W_SEC*C234*(1-B234)+W_SIZE*D234+W_PROF*E234+W_AH*F234+W_REC*G234+W_CS*H234+W_PE*I234)))+ROW()/1000000</f>
        <v/>
      </c>
      <c r="AA234">
        <f>Database!B223</f>
        <v/>
      </c>
      <c r="AB234">
        <f>Database!D223</f>
        <v/>
      </c>
      <c r="AC234">
        <f>Database!E223</f>
        <v/>
      </c>
      <c r="AD234">
        <f>Database!I223</f>
        <v/>
      </c>
      <c r="AE234">
        <f>Database!AU223</f>
        <v/>
      </c>
      <c r="AF234">
        <f>Database!AZ223</f>
        <v/>
      </c>
      <c r="AG234">
        <f>Database!H223</f>
        <v/>
      </c>
      <c r="AH234">
        <f>Database!AV223</f>
        <v/>
      </c>
    </row>
    <row r="235">
      <c r="A235">
        <f>Database!B235</f>
        <v/>
      </c>
      <c r="B235">
        <f>IF(AND(Screener!$D$8&lt;&gt;"",Database!$E235=Screener!$D$8),1,0)</f>
        <v/>
      </c>
      <c r="C235">
        <f>IF(AND(Screener!$D$7&lt;&gt;"",Database!$D235=Screener!$D$7),1,0)</f>
        <v/>
      </c>
      <c r="D235">
        <f>IF(OR(N(Database!$I235)&lt;=0,N(Screener!$D$9)&lt;=0),0,MAX(0,1-ABS(LOG10(N(Database!$I235)/Screener!$D$9))/W_SIZEHW))</f>
        <v/>
      </c>
      <c r="E235">
        <f>IF(OR(Database!$AU235="",Screener!$D$10=""),0,IF(Database!$AU235=Screener!$D$10,1,0))</f>
        <v/>
      </c>
      <c r="F235">
        <f>IF(OR(Database!$AZ235="",Screener!$D$11=""),0,IF(Database!$AZ235=Screener!$D$11,1,0))</f>
        <v/>
      </c>
      <c r="G235">
        <f>IF(OR(Database!$H235="",N(Screener!$D$12)&lt;=0),0,MAX(0,1-(N(Screener!$D$12)-Database!$H235)/W_RECD))</f>
        <v/>
      </c>
      <c r="H235">
        <f>IF($U$1="",0,N(ISNUMBER(SEARCH($U$1,Database!$X235&amp;""))))+IF($V$1="",0,N(ISNUMBER(SEARCH($V$1,Database!$X235&amp;""))))+IF($W$1="",0,N(ISNUMBER(SEARCH($W$1,Database!$X235&amp;""))))+IF($X$1="",0,N(ISNUMBER(SEARCH($X$1,Database!$X235&amp;""))))+IF($Y$1="",0,N(ISNUMBER(SEARCH($Y$1,Database!$X235&amp;""))))+IF(Screener!$B$17="",0,N(ISNUMBER(SEARCH(LOWER(Screener!$B$17),Database!$X235&amp;""))))</f>
        <v/>
      </c>
      <c r="I235">
        <f>IF(OR(N(Database!$AV235)&lt;=0,N(Screener!$D$13)&lt;=0),0,MAX(0,1-ABS(LOG10(N(Database!$AV235)/Screener!$D$13))/W_PEHW))</f>
        <v/>
      </c>
      <c r="J235">
        <f>IF(OR(N(Database!$S235)&lt;=0,N(Screener!$D$14)&lt;=0),0,MAX(0,1-ABS(LOG10(Database!$S235/Screener!$D$14))/0.6))</f>
        <v/>
      </c>
      <c r="K235">
        <f>IF(Database!$B235=Screener!$B$5,-999999,IF(ISNUMBER(SEARCH(","&amp;Database!$A235&amp;",",","&amp;SUBSTITUTE(Screener!$B$19," ","")&amp;",")),2000000,IF(IF(OR(Screener!$B$18="All",AND(Screener!$B$18="With A-share",(Database!$AZ235="Y")),AND(Screener!$B$18="Without A-share",NOT((Database!$AZ235="Y")))),1,0)=0,-999999,IF(Screener!$B$16="cornerstone overlap first",H235*100000,IF(Screener!$B$16="demand-similar first",J235*100000,0))+W_SUB*B235+W_SEC*C235*(1-B235)+W_SIZE*D235+W_PROF*E235+W_AH*F235+W_REC*G235+W_CS*H235+W_PE*I235)))+ROW()/1000000</f>
        <v/>
      </c>
      <c r="AA235">
        <f>Database!B224</f>
        <v/>
      </c>
      <c r="AB235">
        <f>Database!D224</f>
        <v/>
      </c>
      <c r="AC235">
        <f>Database!E224</f>
        <v/>
      </c>
      <c r="AD235">
        <f>Database!I224</f>
        <v/>
      </c>
      <c r="AE235">
        <f>Database!AU224</f>
        <v/>
      </c>
      <c r="AF235">
        <f>Database!AZ224</f>
        <v/>
      </c>
      <c r="AG235">
        <f>Database!H224</f>
        <v/>
      </c>
      <c r="AH235">
        <f>Database!AV224</f>
        <v/>
      </c>
    </row>
    <row r="236">
      <c r="A236">
        <f>Database!B236</f>
        <v/>
      </c>
      <c r="B236">
        <f>IF(AND(Screener!$D$8&lt;&gt;"",Database!$E236=Screener!$D$8),1,0)</f>
        <v/>
      </c>
      <c r="C236">
        <f>IF(AND(Screener!$D$7&lt;&gt;"",Database!$D236=Screener!$D$7),1,0)</f>
        <v/>
      </c>
      <c r="D236">
        <f>IF(OR(N(Database!$I236)&lt;=0,N(Screener!$D$9)&lt;=0),0,MAX(0,1-ABS(LOG10(N(Database!$I236)/Screener!$D$9))/W_SIZEHW))</f>
        <v/>
      </c>
      <c r="E236">
        <f>IF(OR(Database!$AU236="",Screener!$D$10=""),0,IF(Database!$AU236=Screener!$D$10,1,0))</f>
        <v/>
      </c>
      <c r="F236">
        <f>IF(OR(Database!$AZ236="",Screener!$D$11=""),0,IF(Database!$AZ236=Screener!$D$11,1,0))</f>
        <v/>
      </c>
      <c r="G236">
        <f>IF(OR(Database!$H236="",N(Screener!$D$12)&lt;=0),0,MAX(0,1-(N(Screener!$D$12)-Database!$H236)/W_RECD))</f>
        <v/>
      </c>
      <c r="H236">
        <f>IF($U$1="",0,N(ISNUMBER(SEARCH($U$1,Database!$X236&amp;""))))+IF($V$1="",0,N(ISNUMBER(SEARCH($V$1,Database!$X236&amp;""))))+IF($W$1="",0,N(ISNUMBER(SEARCH($W$1,Database!$X236&amp;""))))+IF($X$1="",0,N(ISNUMBER(SEARCH($X$1,Database!$X236&amp;""))))+IF($Y$1="",0,N(ISNUMBER(SEARCH($Y$1,Database!$X236&amp;""))))+IF(Screener!$B$17="",0,N(ISNUMBER(SEARCH(LOWER(Screener!$B$17),Database!$X236&amp;""))))</f>
        <v/>
      </c>
      <c r="I236">
        <f>IF(OR(N(Database!$AV236)&lt;=0,N(Screener!$D$13)&lt;=0),0,MAX(0,1-ABS(LOG10(N(Database!$AV236)/Screener!$D$13))/W_PEHW))</f>
        <v/>
      </c>
      <c r="J236">
        <f>IF(OR(N(Database!$S236)&lt;=0,N(Screener!$D$14)&lt;=0),0,MAX(0,1-ABS(LOG10(Database!$S236/Screener!$D$14))/0.6))</f>
        <v/>
      </c>
      <c r="K236">
        <f>IF(Database!$B236=Screener!$B$5,-999999,IF(ISNUMBER(SEARCH(","&amp;Database!$A236&amp;",",","&amp;SUBSTITUTE(Screener!$B$19," ","")&amp;",")),2000000,IF(IF(OR(Screener!$B$18="All",AND(Screener!$B$18="With A-share",(Database!$AZ236="Y")),AND(Screener!$B$18="Without A-share",NOT((Database!$AZ236="Y")))),1,0)=0,-999999,IF(Screener!$B$16="cornerstone overlap first",H236*100000,IF(Screener!$B$16="demand-similar first",J236*100000,0))+W_SUB*B236+W_SEC*C236*(1-B236)+W_SIZE*D236+W_PROF*E236+W_AH*F236+W_REC*G236+W_CS*H236+W_PE*I236)))+ROW()/1000000</f>
        <v/>
      </c>
      <c r="AA236">
        <f>Database!B225</f>
        <v/>
      </c>
      <c r="AB236">
        <f>Database!D225</f>
        <v/>
      </c>
      <c r="AC236">
        <f>Database!E225</f>
        <v/>
      </c>
      <c r="AD236">
        <f>Database!I225</f>
        <v/>
      </c>
      <c r="AE236">
        <f>Database!AU225</f>
        <v/>
      </c>
      <c r="AF236">
        <f>Database!AZ225</f>
        <v/>
      </c>
      <c r="AG236">
        <f>Database!H225</f>
        <v/>
      </c>
      <c r="AH236">
        <f>Database!AV225</f>
        <v/>
      </c>
    </row>
    <row r="237">
      <c r="A237">
        <f>Database!B237</f>
        <v/>
      </c>
      <c r="B237">
        <f>IF(AND(Screener!$D$8&lt;&gt;"",Database!$E237=Screener!$D$8),1,0)</f>
        <v/>
      </c>
      <c r="C237">
        <f>IF(AND(Screener!$D$7&lt;&gt;"",Database!$D237=Screener!$D$7),1,0)</f>
        <v/>
      </c>
      <c r="D237">
        <f>IF(OR(N(Database!$I237)&lt;=0,N(Screener!$D$9)&lt;=0),0,MAX(0,1-ABS(LOG10(N(Database!$I237)/Screener!$D$9))/W_SIZEHW))</f>
        <v/>
      </c>
      <c r="E237">
        <f>IF(OR(Database!$AU237="",Screener!$D$10=""),0,IF(Database!$AU237=Screener!$D$10,1,0))</f>
        <v/>
      </c>
      <c r="F237">
        <f>IF(OR(Database!$AZ237="",Screener!$D$11=""),0,IF(Database!$AZ237=Screener!$D$11,1,0))</f>
        <v/>
      </c>
      <c r="G237">
        <f>IF(OR(Database!$H237="",N(Screener!$D$12)&lt;=0),0,MAX(0,1-(N(Screener!$D$12)-Database!$H237)/W_RECD))</f>
        <v/>
      </c>
      <c r="H237">
        <f>IF($U$1="",0,N(ISNUMBER(SEARCH($U$1,Database!$X237&amp;""))))+IF($V$1="",0,N(ISNUMBER(SEARCH($V$1,Database!$X237&amp;""))))+IF($W$1="",0,N(ISNUMBER(SEARCH($W$1,Database!$X237&amp;""))))+IF($X$1="",0,N(ISNUMBER(SEARCH($X$1,Database!$X237&amp;""))))+IF($Y$1="",0,N(ISNUMBER(SEARCH($Y$1,Database!$X237&amp;""))))+IF(Screener!$B$17="",0,N(ISNUMBER(SEARCH(LOWER(Screener!$B$17),Database!$X237&amp;""))))</f>
        <v/>
      </c>
      <c r="I237">
        <f>IF(OR(N(Database!$AV237)&lt;=0,N(Screener!$D$13)&lt;=0),0,MAX(0,1-ABS(LOG10(N(Database!$AV237)/Screener!$D$13))/W_PEHW))</f>
        <v/>
      </c>
      <c r="J237">
        <f>IF(OR(N(Database!$S237)&lt;=0,N(Screener!$D$14)&lt;=0),0,MAX(0,1-ABS(LOG10(Database!$S237/Screener!$D$14))/0.6))</f>
        <v/>
      </c>
      <c r="K237">
        <f>IF(Database!$B237=Screener!$B$5,-999999,IF(ISNUMBER(SEARCH(","&amp;Database!$A237&amp;",",","&amp;SUBSTITUTE(Screener!$B$19," ","")&amp;",")),2000000,IF(IF(OR(Screener!$B$18="All",AND(Screener!$B$18="With A-share",(Database!$AZ237="Y")),AND(Screener!$B$18="Without A-share",NOT((Database!$AZ237="Y")))),1,0)=0,-999999,IF(Screener!$B$16="cornerstone overlap first",H237*100000,IF(Screener!$B$16="demand-similar first",J237*100000,0))+W_SUB*B237+W_SEC*C237*(1-B237)+W_SIZE*D237+W_PROF*E237+W_AH*F237+W_REC*G237+W_CS*H237+W_PE*I237)))+ROW()/1000000</f>
        <v/>
      </c>
      <c r="AA237">
        <f>Database!B226</f>
        <v/>
      </c>
      <c r="AB237">
        <f>Database!D226</f>
        <v/>
      </c>
      <c r="AC237">
        <f>Database!E226</f>
        <v/>
      </c>
      <c r="AD237">
        <f>Database!I226</f>
        <v/>
      </c>
      <c r="AE237">
        <f>Database!AU226</f>
        <v/>
      </c>
      <c r="AF237">
        <f>Database!AZ226</f>
        <v/>
      </c>
      <c r="AG237">
        <f>Database!H226</f>
        <v/>
      </c>
      <c r="AH237">
        <f>Database!AV226</f>
        <v/>
      </c>
    </row>
    <row r="238">
      <c r="A238">
        <f>Database!B238</f>
        <v/>
      </c>
      <c r="B238">
        <f>IF(AND(Screener!$D$8&lt;&gt;"",Database!$E238=Screener!$D$8),1,0)</f>
        <v/>
      </c>
      <c r="C238">
        <f>IF(AND(Screener!$D$7&lt;&gt;"",Database!$D238=Screener!$D$7),1,0)</f>
        <v/>
      </c>
      <c r="D238">
        <f>IF(OR(N(Database!$I238)&lt;=0,N(Screener!$D$9)&lt;=0),0,MAX(0,1-ABS(LOG10(N(Database!$I238)/Screener!$D$9))/W_SIZEHW))</f>
        <v/>
      </c>
      <c r="E238">
        <f>IF(OR(Database!$AU238="",Screener!$D$10=""),0,IF(Database!$AU238=Screener!$D$10,1,0))</f>
        <v/>
      </c>
      <c r="F238">
        <f>IF(OR(Database!$AZ238="",Screener!$D$11=""),0,IF(Database!$AZ238=Screener!$D$11,1,0))</f>
        <v/>
      </c>
      <c r="G238">
        <f>IF(OR(Database!$H238="",N(Screener!$D$12)&lt;=0),0,MAX(0,1-(N(Screener!$D$12)-Database!$H238)/W_RECD))</f>
        <v/>
      </c>
      <c r="H238">
        <f>IF($U$1="",0,N(ISNUMBER(SEARCH($U$1,Database!$X238&amp;""))))+IF($V$1="",0,N(ISNUMBER(SEARCH($V$1,Database!$X238&amp;""))))+IF($W$1="",0,N(ISNUMBER(SEARCH($W$1,Database!$X238&amp;""))))+IF($X$1="",0,N(ISNUMBER(SEARCH($X$1,Database!$X238&amp;""))))+IF($Y$1="",0,N(ISNUMBER(SEARCH($Y$1,Database!$X238&amp;""))))+IF(Screener!$B$17="",0,N(ISNUMBER(SEARCH(LOWER(Screener!$B$17),Database!$X238&amp;""))))</f>
        <v/>
      </c>
      <c r="I238">
        <f>IF(OR(N(Database!$AV238)&lt;=0,N(Screener!$D$13)&lt;=0),0,MAX(0,1-ABS(LOG10(N(Database!$AV238)/Screener!$D$13))/W_PEHW))</f>
        <v/>
      </c>
      <c r="J238">
        <f>IF(OR(N(Database!$S238)&lt;=0,N(Screener!$D$14)&lt;=0),0,MAX(0,1-ABS(LOG10(Database!$S238/Screener!$D$14))/0.6))</f>
        <v/>
      </c>
      <c r="K238">
        <f>IF(Database!$B238=Screener!$B$5,-999999,IF(ISNUMBER(SEARCH(","&amp;Database!$A238&amp;",",","&amp;SUBSTITUTE(Screener!$B$19," ","")&amp;",")),2000000,IF(IF(OR(Screener!$B$18="All",AND(Screener!$B$18="With A-share",(Database!$AZ238="Y")),AND(Screener!$B$18="Without A-share",NOT((Database!$AZ238="Y")))),1,0)=0,-999999,IF(Screener!$B$16="cornerstone overlap first",H238*100000,IF(Screener!$B$16="demand-similar first",J238*100000,0))+W_SUB*B238+W_SEC*C238*(1-B238)+W_SIZE*D238+W_PROF*E238+W_AH*F238+W_REC*G238+W_CS*H238+W_PE*I238)))+ROW()/1000000</f>
        <v/>
      </c>
      <c r="AA238">
        <f>Database!B227</f>
        <v/>
      </c>
      <c r="AB238">
        <f>Database!D227</f>
        <v/>
      </c>
      <c r="AC238">
        <f>Database!E227</f>
        <v/>
      </c>
      <c r="AD238">
        <f>Database!I227</f>
        <v/>
      </c>
      <c r="AE238">
        <f>Database!AU227</f>
        <v/>
      </c>
      <c r="AF238">
        <f>Database!AZ227</f>
        <v/>
      </c>
      <c r="AG238">
        <f>Database!H227</f>
        <v/>
      </c>
      <c r="AH238">
        <f>Database!AV227</f>
        <v/>
      </c>
    </row>
    <row r="239">
      <c r="A239">
        <f>Database!B239</f>
        <v/>
      </c>
      <c r="B239">
        <f>IF(AND(Screener!$D$8&lt;&gt;"",Database!$E239=Screener!$D$8),1,0)</f>
        <v/>
      </c>
      <c r="C239">
        <f>IF(AND(Screener!$D$7&lt;&gt;"",Database!$D239=Screener!$D$7),1,0)</f>
        <v/>
      </c>
      <c r="D239">
        <f>IF(OR(N(Database!$I239)&lt;=0,N(Screener!$D$9)&lt;=0),0,MAX(0,1-ABS(LOG10(N(Database!$I239)/Screener!$D$9))/W_SIZEHW))</f>
        <v/>
      </c>
      <c r="E239">
        <f>IF(OR(Database!$AU239="",Screener!$D$10=""),0,IF(Database!$AU239=Screener!$D$10,1,0))</f>
        <v/>
      </c>
      <c r="F239">
        <f>IF(OR(Database!$AZ239="",Screener!$D$11=""),0,IF(Database!$AZ239=Screener!$D$11,1,0))</f>
        <v/>
      </c>
      <c r="G239">
        <f>IF(OR(Database!$H239="",N(Screener!$D$12)&lt;=0),0,MAX(0,1-(N(Screener!$D$12)-Database!$H239)/W_RECD))</f>
        <v/>
      </c>
      <c r="H239">
        <f>IF($U$1="",0,N(ISNUMBER(SEARCH($U$1,Database!$X239&amp;""))))+IF($V$1="",0,N(ISNUMBER(SEARCH($V$1,Database!$X239&amp;""))))+IF($W$1="",0,N(ISNUMBER(SEARCH($W$1,Database!$X239&amp;""))))+IF($X$1="",0,N(ISNUMBER(SEARCH($X$1,Database!$X239&amp;""))))+IF($Y$1="",0,N(ISNUMBER(SEARCH($Y$1,Database!$X239&amp;""))))+IF(Screener!$B$17="",0,N(ISNUMBER(SEARCH(LOWER(Screener!$B$17),Database!$X239&amp;""))))</f>
        <v/>
      </c>
      <c r="I239">
        <f>IF(OR(N(Database!$AV239)&lt;=0,N(Screener!$D$13)&lt;=0),0,MAX(0,1-ABS(LOG10(N(Database!$AV239)/Screener!$D$13))/W_PEHW))</f>
        <v/>
      </c>
      <c r="J239">
        <f>IF(OR(N(Database!$S239)&lt;=0,N(Screener!$D$14)&lt;=0),0,MAX(0,1-ABS(LOG10(Database!$S239/Screener!$D$14))/0.6))</f>
        <v/>
      </c>
      <c r="K239">
        <f>IF(Database!$B239=Screener!$B$5,-999999,IF(ISNUMBER(SEARCH(","&amp;Database!$A239&amp;",",","&amp;SUBSTITUTE(Screener!$B$19," ","")&amp;",")),2000000,IF(IF(OR(Screener!$B$18="All",AND(Screener!$B$18="With A-share",(Database!$AZ239="Y")),AND(Screener!$B$18="Without A-share",NOT((Database!$AZ239="Y")))),1,0)=0,-999999,IF(Screener!$B$16="cornerstone overlap first",H239*100000,IF(Screener!$B$16="demand-similar first",J239*100000,0))+W_SUB*B239+W_SEC*C239*(1-B239)+W_SIZE*D239+W_PROF*E239+W_AH*F239+W_REC*G239+W_CS*H239+W_PE*I239)))+ROW()/1000000</f>
        <v/>
      </c>
      <c r="AA239">
        <f>Database!B228</f>
        <v/>
      </c>
      <c r="AB239">
        <f>Database!D228</f>
        <v/>
      </c>
      <c r="AC239">
        <f>Database!E228</f>
        <v/>
      </c>
      <c r="AD239">
        <f>Database!I228</f>
        <v/>
      </c>
      <c r="AE239">
        <f>Database!AU228</f>
        <v/>
      </c>
      <c r="AF239">
        <f>Database!AZ228</f>
        <v/>
      </c>
      <c r="AG239">
        <f>Database!H228</f>
        <v/>
      </c>
      <c r="AH239">
        <f>Database!AV228</f>
        <v/>
      </c>
    </row>
    <row r="240">
      <c r="A240">
        <f>Database!B240</f>
        <v/>
      </c>
      <c r="B240">
        <f>IF(AND(Screener!$D$8&lt;&gt;"",Database!$E240=Screener!$D$8),1,0)</f>
        <v/>
      </c>
      <c r="C240">
        <f>IF(AND(Screener!$D$7&lt;&gt;"",Database!$D240=Screener!$D$7),1,0)</f>
        <v/>
      </c>
      <c r="D240">
        <f>IF(OR(N(Database!$I240)&lt;=0,N(Screener!$D$9)&lt;=0),0,MAX(0,1-ABS(LOG10(N(Database!$I240)/Screener!$D$9))/W_SIZEHW))</f>
        <v/>
      </c>
      <c r="E240">
        <f>IF(OR(Database!$AU240="",Screener!$D$10=""),0,IF(Database!$AU240=Screener!$D$10,1,0))</f>
        <v/>
      </c>
      <c r="F240">
        <f>IF(OR(Database!$AZ240="",Screener!$D$11=""),0,IF(Database!$AZ240=Screener!$D$11,1,0))</f>
        <v/>
      </c>
      <c r="G240">
        <f>IF(OR(Database!$H240="",N(Screener!$D$12)&lt;=0),0,MAX(0,1-(N(Screener!$D$12)-Database!$H240)/W_RECD))</f>
        <v/>
      </c>
      <c r="H240">
        <f>IF($U$1="",0,N(ISNUMBER(SEARCH($U$1,Database!$X240&amp;""))))+IF($V$1="",0,N(ISNUMBER(SEARCH($V$1,Database!$X240&amp;""))))+IF($W$1="",0,N(ISNUMBER(SEARCH($W$1,Database!$X240&amp;""))))+IF($X$1="",0,N(ISNUMBER(SEARCH($X$1,Database!$X240&amp;""))))+IF($Y$1="",0,N(ISNUMBER(SEARCH($Y$1,Database!$X240&amp;""))))+IF(Screener!$B$17="",0,N(ISNUMBER(SEARCH(LOWER(Screener!$B$17),Database!$X240&amp;""))))</f>
        <v/>
      </c>
      <c r="I240">
        <f>IF(OR(N(Database!$AV240)&lt;=0,N(Screener!$D$13)&lt;=0),0,MAX(0,1-ABS(LOG10(N(Database!$AV240)/Screener!$D$13))/W_PEHW))</f>
        <v/>
      </c>
      <c r="J240">
        <f>IF(OR(N(Database!$S240)&lt;=0,N(Screener!$D$14)&lt;=0),0,MAX(0,1-ABS(LOG10(Database!$S240/Screener!$D$14))/0.6))</f>
        <v/>
      </c>
      <c r="K240">
        <f>IF(Database!$B240=Screener!$B$5,-999999,IF(ISNUMBER(SEARCH(","&amp;Database!$A240&amp;",",","&amp;SUBSTITUTE(Screener!$B$19," ","")&amp;",")),2000000,IF(IF(OR(Screener!$B$18="All",AND(Screener!$B$18="With A-share",(Database!$AZ240="Y")),AND(Screener!$B$18="Without A-share",NOT((Database!$AZ240="Y")))),1,0)=0,-999999,IF(Screener!$B$16="cornerstone overlap first",H240*100000,IF(Screener!$B$16="demand-similar first",J240*100000,0))+W_SUB*B240+W_SEC*C240*(1-B240)+W_SIZE*D240+W_PROF*E240+W_AH*F240+W_REC*G240+W_CS*H240+W_PE*I240)))+ROW()/1000000</f>
        <v/>
      </c>
      <c r="AA240">
        <f>Database!B229</f>
        <v/>
      </c>
      <c r="AB240">
        <f>Database!D229</f>
        <v/>
      </c>
      <c r="AC240">
        <f>Database!E229</f>
        <v/>
      </c>
      <c r="AD240">
        <f>Database!I229</f>
        <v/>
      </c>
      <c r="AE240">
        <f>Database!AU229</f>
        <v/>
      </c>
      <c r="AF240">
        <f>Database!AZ229</f>
        <v/>
      </c>
      <c r="AG240">
        <f>Database!H229</f>
        <v/>
      </c>
      <c r="AH240">
        <f>Database!AV229</f>
        <v/>
      </c>
    </row>
    <row r="241">
      <c r="A241">
        <f>Database!B241</f>
        <v/>
      </c>
      <c r="B241">
        <f>IF(AND(Screener!$D$8&lt;&gt;"",Database!$E241=Screener!$D$8),1,0)</f>
        <v/>
      </c>
      <c r="C241">
        <f>IF(AND(Screener!$D$7&lt;&gt;"",Database!$D241=Screener!$D$7),1,0)</f>
        <v/>
      </c>
      <c r="D241">
        <f>IF(OR(N(Database!$I241)&lt;=0,N(Screener!$D$9)&lt;=0),0,MAX(0,1-ABS(LOG10(N(Database!$I241)/Screener!$D$9))/W_SIZEHW))</f>
        <v/>
      </c>
      <c r="E241">
        <f>IF(OR(Database!$AU241="",Screener!$D$10=""),0,IF(Database!$AU241=Screener!$D$10,1,0))</f>
        <v/>
      </c>
      <c r="F241">
        <f>IF(OR(Database!$AZ241="",Screener!$D$11=""),0,IF(Database!$AZ241=Screener!$D$11,1,0))</f>
        <v/>
      </c>
      <c r="G241">
        <f>IF(OR(Database!$H241="",N(Screener!$D$12)&lt;=0),0,MAX(0,1-(N(Screener!$D$12)-Database!$H241)/W_RECD))</f>
        <v/>
      </c>
      <c r="H241">
        <f>IF($U$1="",0,N(ISNUMBER(SEARCH($U$1,Database!$X241&amp;""))))+IF($V$1="",0,N(ISNUMBER(SEARCH($V$1,Database!$X241&amp;""))))+IF($W$1="",0,N(ISNUMBER(SEARCH($W$1,Database!$X241&amp;""))))+IF($X$1="",0,N(ISNUMBER(SEARCH($X$1,Database!$X241&amp;""))))+IF($Y$1="",0,N(ISNUMBER(SEARCH($Y$1,Database!$X241&amp;""))))+IF(Screener!$B$17="",0,N(ISNUMBER(SEARCH(LOWER(Screener!$B$17),Database!$X241&amp;""))))</f>
        <v/>
      </c>
      <c r="I241">
        <f>IF(OR(N(Database!$AV241)&lt;=0,N(Screener!$D$13)&lt;=0),0,MAX(0,1-ABS(LOG10(N(Database!$AV241)/Screener!$D$13))/W_PEHW))</f>
        <v/>
      </c>
      <c r="J241">
        <f>IF(OR(N(Database!$S241)&lt;=0,N(Screener!$D$14)&lt;=0),0,MAX(0,1-ABS(LOG10(Database!$S241/Screener!$D$14))/0.6))</f>
        <v/>
      </c>
      <c r="K241">
        <f>IF(Database!$B241=Screener!$B$5,-999999,IF(ISNUMBER(SEARCH(","&amp;Database!$A241&amp;",",","&amp;SUBSTITUTE(Screener!$B$19," ","")&amp;",")),2000000,IF(IF(OR(Screener!$B$18="All",AND(Screener!$B$18="With A-share",(Database!$AZ241="Y")),AND(Screener!$B$18="Without A-share",NOT((Database!$AZ241="Y")))),1,0)=0,-999999,IF(Screener!$B$16="cornerstone overlap first",H241*100000,IF(Screener!$B$16="demand-similar first",J241*100000,0))+W_SUB*B241+W_SEC*C241*(1-B241)+W_SIZE*D241+W_PROF*E241+W_AH*F241+W_REC*G241+W_CS*H241+W_PE*I241)))+ROW()/1000000</f>
        <v/>
      </c>
      <c r="AA241">
        <f>Database!B230</f>
        <v/>
      </c>
      <c r="AB241">
        <f>Database!D230</f>
        <v/>
      </c>
      <c r="AC241">
        <f>Database!E230</f>
        <v/>
      </c>
      <c r="AD241">
        <f>Database!I230</f>
        <v/>
      </c>
      <c r="AE241">
        <f>Database!AU230</f>
        <v/>
      </c>
      <c r="AF241">
        <f>Database!AZ230</f>
        <v/>
      </c>
      <c r="AG241">
        <f>Database!H230</f>
        <v/>
      </c>
      <c r="AH241">
        <f>Database!AV230</f>
        <v/>
      </c>
    </row>
    <row r="242">
      <c r="A242">
        <f>Database!B242</f>
        <v/>
      </c>
      <c r="B242">
        <f>IF(AND(Screener!$D$8&lt;&gt;"",Database!$E242=Screener!$D$8),1,0)</f>
        <v/>
      </c>
      <c r="C242">
        <f>IF(AND(Screener!$D$7&lt;&gt;"",Database!$D242=Screener!$D$7),1,0)</f>
        <v/>
      </c>
      <c r="D242">
        <f>IF(OR(N(Database!$I242)&lt;=0,N(Screener!$D$9)&lt;=0),0,MAX(0,1-ABS(LOG10(N(Database!$I242)/Screener!$D$9))/W_SIZEHW))</f>
        <v/>
      </c>
      <c r="E242">
        <f>IF(OR(Database!$AU242="",Screener!$D$10=""),0,IF(Database!$AU242=Screener!$D$10,1,0))</f>
        <v/>
      </c>
      <c r="F242">
        <f>IF(OR(Database!$AZ242="",Screener!$D$11=""),0,IF(Database!$AZ242=Screener!$D$11,1,0))</f>
        <v/>
      </c>
      <c r="G242">
        <f>IF(OR(Database!$H242="",N(Screener!$D$12)&lt;=0),0,MAX(0,1-(N(Screener!$D$12)-Database!$H242)/W_RECD))</f>
        <v/>
      </c>
      <c r="H242">
        <f>IF($U$1="",0,N(ISNUMBER(SEARCH($U$1,Database!$X242&amp;""))))+IF($V$1="",0,N(ISNUMBER(SEARCH($V$1,Database!$X242&amp;""))))+IF($W$1="",0,N(ISNUMBER(SEARCH($W$1,Database!$X242&amp;""))))+IF($X$1="",0,N(ISNUMBER(SEARCH($X$1,Database!$X242&amp;""))))+IF($Y$1="",0,N(ISNUMBER(SEARCH($Y$1,Database!$X242&amp;""))))+IF(Screener!$B$17="",0,N(ISNUMBER(SEARCH(LOWER(Screener!$B$17),Database!$X242&amp;""))))</f>
        <v/>
      </c>
      <c r="I242">
        <f>IF(OR(N(Database!$AV242)&lt;=0,N(Screener!$D$13)&lt;=0),0,MAX(0,1-ABS(LOG10(N(Database!$AV242)/Screener!$D$13))/W_PEHW))</f>
        <v/>
      </c>
      <c r="J242">
        <f>IF(OR(N(Database!$S242)&lt;=0,N(Screener!$D$14)&lt;=0),0,MAX(0,1-ABS(LOG10(Database!$S242/Screener!$D$14))/0.6))</f>
        <v/>
      </c>
      <c r="K242">
        <f>IF(Database!$B242=Screener!$B$5,-999999,IF(ISNUMBER(SEARCH(","&amp;Database!$A242&amp;",",","&amp;SUBSTITUTE(Screener!$B$19," ","")&amp;",")),2000000,IF(IF(OR(Screener!$B$18="All",AND(Screener!$B$18="With A-share",(Database!$AZ242="Y")),AND(Screener!$B$18="Without A-share",NOT((Database!$AZ242="Y")))),1,0)=0,-999999,IF(Screener!$B$16="cornerstone overlap first",H242*100000,IF(Screener!$B$16="demand-similar first",J242*100000,0))+W_SUB*B242+W_SEC*C242*(1-B242)+W_SIZE*D242+W_PROF*E242+W_AH*F242+W_REC*G242+W_CS*H242+W_PE*I242)))+ROW()/1000000</f>
        <v/>
      </c>
      <c r="AA242">
        <f>Database!B231</f>
        <v/>
      </c>
      <c r="AB242">
        <f>Database!D231</f>
        <v/>
      </c>
      <c r="AC242">
        <f>Database!E231</f>
        <v/>
      </c>
      <c r="AD242">
        <f>Database!I231</f>
        <v/>
      </c>
      <c r="AE242">
        <f>Database!AU231</f>
        <v/>
      </c>
      <c r="AF242">
        <f>Database!AZ231</f>
        <v/>
      </c>
      <c r="AG242">
        <f>Database!H231</f>
        <v/>
      </c>
      <c r="AH242">
        <f>Database!AV231</f>
        <v/>
      </c>
    </row>
    <row r="243">
      <c r="A243">
        <f>Database!B243</f>
        <v/>
      </c>
      <c r="B243">
        <f>IF(AND(Screener!$D$8&lt;&gt;"",Database!$E243=Screener!$D$8),1,0)</f>
        <v/>
      </c>
      <c r="C243">
        <f>IF(AND(Screener!$D$7&lt;&gt;"",Database!$D243=Screener!$D$7),1,0)</f>
        <v/>
      </c>
      <c r="D243">
        <f>IF(OR(N(Database!$I243)&lt;=0,N(Screener!$D$9)&lt;=0),0,MAX(0,1-ABS(LOG10(N(Database!$I243)/Screener!$D$9))/W_SIZEHW))</f>
        <v/>
      </c>
      <c r="E243">
        <f>IF(OR(Database!$AU243="",Screener!$D$10=""),0,IF(Database!$AU243=Screener!$D$10,1,0))</f>
        <v/>
      </c>
      <c r="F243">
        <f>IF(OR(Database!$AZ243="",Screener!$D$11=""),0,IF(Database!$AZ243=Screener!$D$11,1,0))</f>
        <v/>
      </c>
      <c r="G243">
        <f>IF(OR(Database!$H243="",N(Screener!$D$12)&lt;=0),0,MAX(0,1-(N(Screener!$D$12)-Database!$H243)/W_RECD))</f>
        <v/>
      </c>
      <c r="H243">
        <f>IF($U$1="",0,N(ISNUMBER(SEARCH($U$1,Database!$X243&amp;""))))+IF($V$1="",0,N(ISNUMBER(SEARCH($V$1,Database!$X243&amp;""))))+IF($W$1="",0,N(ISNUMBER(SEARCH($W$1,Database!$X243&amp;""))))+IF($X$1="",0,N(ISNUMBER(SEARCH($X$1,Database!$X243&amp;""))))+IF($Y$1="",0,N(ISNUMBER(SEARCH($Y$1,Database!$X243&amp;""))))+IF(Screener!$B$17="",0,N(ISNUMBER(SEARCH(LOWER(Screener!$B$17),Database!$X243&amp;""))))</f>
        <v/>
      </c>
      <c r="I243">
        <f>IF(OR(N(Database!$AV243)&lt;=0,N(Screener!$D$13)&lt;=0),0,MAX(0,1-ABS(LOG10(N(Database!$AV243)/Screener!$D$13))/W_PEHW))</f>
        <v/>
      </c>
      <c r="J243">
        <f>IF(OR(N(Database!$S243)&lt;=0,N(Screener!$D$14)&lt;=0),0,MAX(0,1-ABS(LOG10(Database!$S243/Screener!$D$14))/0.6))</f>
        <v/>
      </c>
      <c r="K243">
        <f>IF(Database!$B243=Screener!$B$5,-999999,IF(ISNUMBER(SEARCH(","&amp;Database!$A243&amp;",",","&amp;SUBSTITUTE(Screener!$B$19," ","")&amp;",")),2000000,IF(IF(OR(Screener!$B$18="All",AND(Screener!$B$18="With A-share",(Database!$AZ243="Y")),AND(Screener!$B$18="Without A-share",NOT((Database!$AZ243="Y")))),1,0)=0,-999999,IF(Screener!$B$16="cornerstone overlap first",H243*100000,IF(Screener!$B$16="demand-similar first",J243*100000,0))+W_SUB*B243+W_SEC*C243*(1-B243)+W_SIZE*D243+W_PROF*E243+W_AH*F243+W_REC*G243+W_CS*H243+W_PE*I243)))+ROW()/1000000</f>
        <v/>
      </c>
      <c r="AA243">
        <f>Database!B232</f>
        <v/>
      </c>
      <c r="AB243">
        <f>Database!D232</f>
        <v/>
      </c>
      <c r="AC243">
        <f>Database!E232</f>
        <v/>
      </c>
      <c r="AD243">
        <f>Database!I232</f>
        <v/>
      </c>
      <c r="AE243">
        <f>Database!AU232</f>
        <v/>
      </c>
      <c r="AF243">
        <f>Database!AZ232</f>
        <v/>
      </c>
      <c r="AG243">
        <f>Database!H232</f>
        <v/>
      </c>
      <c r="AH243">
        <f>Database!AV232</f>
        <v/>
      </c>
    </row>
    <row r="244">
      <c r="A244">
        <f>Database!B244</f>
        <v/>
      </c>
      <c r="B244">
        <f>IF(AND(Screener!$D$8&lt;&gt;"",Database!$E244=Screener!$D$8),1,0)</f>
        <v/>
      </c>
      <c r="C244">
        <f>IF(AND(Screener!$D$7&lt;&gt;"",Database!$D244=Screener!$D$7),1,0)</f>
        <v/>
      </c>
      <c r="D244">
        <f>IF(OR(N(Database!$I244)&lt;=0,N(Screener!$D$9)&lt;=0),0,MAX(0,1-ABS(LOG10(N(Database!$I244)/Screener!$D$9))/W_SIZEHW))</f>
        <v/>
      </c>
      <c r="E244">
        <f>IF(OR(Database!$AU244="",Screener!$D$10=""),0,IF(Database!$AU244=Screener!$D$10,1,0))</f>
        <v/>
      </c>
      <c r="F244">
        <f>IF(OR(Database!$AZ244="",Screener!$D$11=""),0,IF(Database!$AZ244=Screener!$D$11,1,0))</f>
        <v/>
      </c>
      <c r="G244">
        <f>IF(OR(Database!$H244="",N(Screener!$D$12)&lt;=0),0,MAX(0,1-(N(Screener!$D$12)-Database!$H244)/W_RECD))</f>
        <v/>
      </c>
      <c r="H244">
        <f>IF($U$1="",0,N(ISNUMBER(SEARCH($U$1,Database!$X244&amp;""))))+IF($V$1="",0,N(ISNUMBER(SEARCH($V$1,Database!$X244&amp;""))))+IF($W$1="",0,N(ISNUMBER(SEARCH($W$1,Database!$X244&amp;""))))+IF($X$1="",0,N(ISNUMBER(SEARCH($X$1,Database!$X244&amp;""))))+IF($Y$1="",0,N(ISNUMBER(SEARCH($Y$1,Database!$X244&amp;""))))+IF(Screener!$B$17="",0,N(ISNUMBER(SEARCH(LOWER(Screener!$B$17),Database!$X244&amp;""))))</f>
        <v/>
      </c>
      <c r="I244">
        <f>IF(OR(N(Database!$AV244)&lt;=0,N(Screener!$D$13)&lt;=0),0,MAX(0,1-ABS(LOG10(N(Database!$AV244)/Screener!$D$13))/W_PEHW))</f>
        <v/>
      </c>
      <c r="J244">
        <f>IF(OR(N(Database!$S244)&lt;=0,N(Screener!$D$14)&lt;=0),0,MAX(0,1-ABS(LOG10(Database!$S244/Screener!$D$14))/0.6))</f>
        <v/>
      </c>
      <c r="K244">
        <f>IF(Database!$B244=Screener!$B$5,-999999,IF(ISNUMBER(SEARCH(","&amp;Database!$A244&amp;",",","&amp;SUBSTITUTE(Screener!$B$19," ","")&amp;",")),2000000,IF(IF(OR(Screener!$B$18="All",AND(Screener!$B$18="With A-share",(Database!$AZ244="Y")),AND(Screener!$B$18="Without A-share",NOT((Database!$AZ244="Y")))),1,0)=0,-999999,IF(Screener!$B$16="cornerstone overlap first",H244*100000,IF(Screener!$B$16="demand-similar first",J244*100000,0))+W_SUB*B244+W_SEC*C244*(1-B244)+W_SIZE*D244+W_PROF*E244+W_AH*F244+W_REC*G244+W_CS*H244+W_PE*I244)))+ROW()/1000000</f>
        <v/>
      </c>
      <c r="AA244">
        <f>Database!B233</f>
        <v/>
      </c>
      <c r="AB244">
        <f>Database!D233</f>
        <v/>
      </c>
      <c r="AC244">
        <f>Database!E233</f>
        <v/>
      </c>
      <c r="AD244">
        <f>Database!I233</f>
        <v/>
      </c>
      <c r="AE244">
        <f>Database!AU233</f>
        <v/>
      </c>
      <c r="AF244">
        <f>Database!AZ233</f>
        <v/>
      </c>
      <c r="AG244">
        <f>Database!H233</f>
        <v/>
      </c>
      <c r="AH244">
        <f>Database!AV233</f>
        <v/>
      </c>
    </row>
    <row r="245">
      <c r="A245">
        <f>Database!B245</f>
        <v/>
      </c>
      <c r="B245">
        <f>IF(AND(Screener!$D$8&lt;&gt;"",Database!$E245=Screener!$D$8),1,0)</f>
        <v/>
      </c>
      <c r="C245">
        <f>IF(AND(Screener!$D$7&lt;&gt;"",Database!$D245=Screener!$D$7),1,0)</f>
        <v/>
      </c>
      <c r="D245">
        <f>IF(OR(N(Database!$I245)&lt;=0,N(Screener!$D$9)&lt;=0),0,MAX(0,1-ABS(LOG10(N(Database!$I245)/Screener!$D$9))/W_SIZEHW))</f>
        <v/>
      </c>
      <c r="E245">
        <f>IF(OR(Database!$AU245="",Screener!$D$10=""),0,IF(Database!$AU245=Screener!$D$10,1,0))</f>
        <v/>
      </c>
      <c r="F245">
        <f>IF(OR(Database!$AZ245="",Screener!$D$11=""),0,IF(Database!$AZ245=Screener!$D$11,1,0))</f>
        <v/>
      </c>
      <c r="G245">
        <f>IF(OR(Database!$H245="",N(Screener!$D$12)&lt;=0),0,MAX(0,1-(N(Screener!$D$12)-Database!$H245)/W_RECD))</f>
        <v/>
      </c>
      <c r="H245">
        <f>IF($U$1="",0,N(ISNUMBER(SEARCH($U$1,Database!$X245&amp;""))))+IF($V$1="",0,N(ISNUMBER(SEARCH($V$1,Database!$X245&amp;""))))+IF($W$1="",0,N(ISNUMBER(SEARCH($W$1,Database!$X245&amp;""))))+IF($X$1="",0,N(ISNUMBER(SEARCH($X$1,Database!$X245&amp;""))))+IF($Y$1="",0,N(ISNUMBER(SEARCH($Y$1,Database!$X245&amp;""))))+IF(Screener!$B$17="",0,N(ISNUMBER(SEARCH(LOWER(Screener!$B$17),Database!$X245&amp;""))))</f>
        <v/>
      </c>
      <c r="I245">
        <f>IF(OR(N(Database!$AV245)&lt;=0,N(Screener!$D$13)&lt;=0),0,MAX(0,1-ABS(LOG10(N(Database!$AV245)/Screener!$D$13))/W_PEHW))</f>
        <v/>
      </c>
      <c r="J245">
        <f>IF(OR(N(Database!$S245)&lt;=0,N(Screener!$D$14)&lt;=0),0,MAX(0,1-ABS(LOG10(Database!$S245/Screener!$D$14))/0.6))</f>
        <v/>
      </c>
      <c r="K245">
        <f>IF(Database!$B245=Screener!$B$5,-999999,IF(ISNUMBER(SEARCH(","&amp;Database!$A245&amp;",",","&amp;SUBSTITUTE(Screener!$B$19," ","")&amp;",")),2000000,IF(IF(OR(Screener!$B$18="All",AND(Screener!$B$18="With A-share",(Database!$AZ245="Y")),AND(Screener!$B$18="Without A-share",NOT((Database!$AZ245="Y")))),1,0)=0,-999999,IF(Screener!$B$16="cornerstone overlap first",H245*100000,IF(Screener!$B$16="demand-similar first",J245*100000,0))+W_SUB*B245+W_SEC*C245*(1-B245)+W_SIZE*D245+W_PROF*E245+W_AH*F245+W_REC*G245+W_CS*H245+W_PE*I245)))+ROW()/1000000</f>
        <v/>
      </c>
      <c r="AA245">
        <f>Database!B234</f>
        <v/>
      </c>
      <c r="AB245">
        <f>Database!D234</f>
        <v/>
      </c>
      <c r="AC245">
        <f>Database!E234</f>
        <v/>
      </c>
      <c r="AD245">
        <f>Database!I234</f>
        <v/>
      </c>
      <c r="AE245">
        <f>Database!AU234</f>
        <v/>
      </c>
      <c r="AF245">
        <f>Database!AZ234</f>
        <v/>
      </c>
      <c r="AG245">
        <f>Database!H234</f>
        <v/>
      </c>
      <c r="AH245">
        <f>Database!AV234</f>
        <v/>
      </c>
    </row>
    <row r="246">
      <c r="A246">
        <f>Database!B246</f>
        <v/>
      </c>
      <c r="B246">
        <f>IF(AND(Screener!$D$8&lt;&gt;"",Database!$E246=Screener!$D$8),1,0)</f>
        <v/>
      </c>
      <c r="C246">
        <f>IF(AND(Screener!$D$7&lt;&gt;"",Database!$D246=Screener!$D$7),1,0)</f>
        <v/>
      </c>
      <c r="D246">
        <f>IF(OR(N(Database!$I246)&lt;=0,N(Screener!$D$9)&lt;=0),0,MAX(0,1-ABS(LOG10(N(Database!$I246)/Screener!$D$9))/W_SIZEHW))</f>
        <v/>
      </c>
      <c r="E246">
        <f>IF(OR(Database!$AU246="",Screener!$D$10=""),0,IF(Database!$AU246=Screener!$D$10,1,0))</f>
        <v/>
      </c>
      <c r="F246">
        <f>IF(OR(Database!$AZ246="",Screener!$D$11=""),0,IF(Database!$AZ246=Screener!$D$11,1,0))</f>
        <v/>
      </c>
      <c r="G246">
        <f>IF(OR(Database!$H246="",N(Screener!$D$12)&lt;=0),0,MAX(0,1-(N(Screener!$D$12)-Database!$H246)/W_RECD))</f>
        <v/>
      </c>
      <c r="H246">
        <f>IF($U$1="",0,N(ISNUMBER(SEARCH($U$1,Database!$X246&amp;""))))+IF($V$1="",0,N(ISNUMBER(SEARCH($V$1,Database!$X246&amp;""))))+IF($W$1="",0,N(ISNUMBER(SEARCH($W$1,Database!$X246&amp;""))))+IF($X$1="",0,N(ISNUMBER(SEARCH($X$1,Database!$X246&amp;""))))+IF($Y$1="",0,N(ISNUMBER(SEARCH($Y$1,Database!$X246&amp;""))))+IF(Screener!$B$17="",0,N(ISNUMBER(SEARCH(LOWER(Screener!$B$17),Database!$X246&amp;""))))</f>
        <v/>
      </c>
      <c r="I246">
        <f>IF(OR(N(Database!$AV246)&lt;=0,N(Screener!$D$13)&lt;=0),0,MAX(0,1-ABS(LOG10(N(Database!$AV246)/Screener!$D$13))/W_PEHW))</f>
        <v/>
      </c>
      <c r="J246">
        <f>IF(OR(N(Database!$S246)&lt;=0,N(Screener!$D$14)&lt;=0),0,MAX(0,1-ABS(LOG10(Database!$S246/Screener!$D$14))/0.6))</f>
        <v/>
      </c>
      <c r="K246">
        <f>IF(Database!$B246=Screener!$B$5,-999999,IF(ISNUMBER(SEARCH(","&amp;Database!$A246&amp;",",","&amp;SUBSTITUTE(Screener!$B$19," ","")&amp;",")),2000000,IF(IF(OR(Screener!$B$18="All",AND(Screener!$B$18="With A-share",(Database!$AZ246="Y")),AND(Screener!$B$18="Without A-share",NOT((Database!$AZ246="Y")))),1,0)=0,-999999,IF(Screener!$B$16="cornerstone overlap first",H246*100000,IF(Screener!$B$16="demand-similar first",J246*100000,0))+W_SUB*B246+W_SEC*C246*(1-B246)+W_SIZE*D246+W_PROF*E246+W_AH*F246+W_REC*G246+W_CS*H246+W_PE*I246)))+ROW()/1000000</f>
        <v/>
      </c>
      <c r="AA246">
        <f>Database!B235</f>
        <v/>
      </c>
      <c r="AB246">
        <f>Database!D235</f>
        <v/>
      </c>
      <c r="AC246">
        <f>Database!E235</f>
        <v/>
      </c>
      <c r="AD246">
        <f>Database!I235</f>
        <v/>
      </c>
      <c r="AE246">
        <f>Database!AU235</f>
        <v/>
      </c>
      <c r="AF246">
        <f>Database!AZ235</f>
        <v/>
      </c>
      <c r="AG246">
        <f>Database!H235</f>
        <v/>
      </c>
      <c r="AH246">
        <f>Database!AV235</f>
        <v/>
      </c>
    </row>
    <row r="247">
      <c r="A247">
        <f>Database!B247</f>
        <v/>
      </c>
      <c r="B247">
        <f>IF(AND(Screener!$D$8&lt;&gt;"",Database!$E247=Screener!$D$8),1,0)</f>
        <v/>
      </c>
      <c r="C247">
        <f>IF(AND(Screener!$D$7&lt;&gt;"",Database!$D247=Screener!$D$7),1,0)</f>
        <v/>
      </c>
      <c r="D247">
        <f>IF(OR(N(Database!$I247)&lt;=0,N(Screener!$D$9)&lt;=0),0,MAX(0,1-ABS(LOG10(N(Database!$I247)/Screener!$D$9))/W_SIZEHW))</f>
        <v/>
      </c>
      <c r="E247">
        <f>IF(OR(Database!$AU247="",Screener!$D$10=""),0,IF(Database!$AU247=Screener!$D$10,1,0))</f>
        <v/>
      </c>
      <c r="F247">
        <f>IF(OR(Database!$AZ247="",Screener!$D$11=""),0,IF(Database!$AZ247=Screener!$D$11,1,0))</f>
        <v/>
      </c>
      <c r="G247">
        <f>IF(OR(Database!$H247="",N(Screener!$D$12)&lt;=0),0,MAX(0,1-(N(Screener!$D$12)-Database!$H247)/W_RECD))</f>
        <v/>
      </c>
      <c r="H247">
        <f>IF($U$1="",0,N(ISNUMBER(SEARCH($U$1,Database!$X247&amp;""))))+IF($V$1="",0,N(ISNUMBER(SEARCH($V$1,Database!$X247&amp;""))))+IF($W$1="",0,N(ISNUMBER(SEARCH($W$1,Database!$X247&amp;""))))+IF($X$1="",0,N(ISNUMBER(SEARCH($X$1,Database!$X247&amp;""))))+IF($Y$1="",0,N(ISNUMBER(SEARCH($Y$1,Database!$X247&amp;""))))+IF(Screener!$B$17="",0,N(ISNUMBER(SEARCH(LOWER(Screener!$B$17),Database!$X247&amp;""))))</f>
        <v/>
      </c>
      <c r="I247">
        <f>IF(OR(N(Database!$AV247)&lt;=0,N(Screener!$D$13)&lt;=0),0,MAX(0,1-ABS(LOG10(N(Database!$AV247)/Screener!$D$13))/W_PEHW))</f>
        <v/>
      </c>
      <c r="J247">
        <f>IF(OR(N(Database!$S247)&lt;=0,N(Screener!$D$14)&lt;=0),0,MAX(0,1-ABS(LOG10(Database!$S247/Screener!$D$14))/0.6))</f>
        <v/>
      </c>
      <c r="K247">
        <f>IF(Database!$B247=Screener!$B$5,-999999,IF(ISNUMBER(SEARCH(","&amp;Database!$A247&amp;",",","&amp;SUBSTITUTE(Screener!$B$19," ","")&amp;",")),2000000,IF(IF(OR(Screener!$B$18="All",AND(Screener!$B$18="With A-share",(Database!$AZ247="Y")),AND(Screener!$B$18="Without A-share",NOT((Database!$AZ247="Y")))),1,0)=0,-999999,IF(Screener!$B$16="cornerstone overlap first",H247*100000,IF(Screener!$B$16="demand-similar first",J247*100000,0))+W_SUB*B247+W_SEC*C247*(1-B247)+W_SIZE*D247+W_PROF*E247+W_AH*F247+W_REC*G247+W_CS*H247+W_PE*I247)))+ROW()/1000000</f>
        <v/>
      </c>
      <c r="AA247">
        <f>Database!B236</f>
        <v/>
      </c>
      <c r="AB247">
        <f>Database!D236</f>
        <v/>
      </c>
      <c r="AC247">
        <f>Database!E236</f>
        <v/>
      </c>
      <c r="AD247">
        <f>Database!I236</f>
        <v/>
      </c>
      <c r="AE247">
        <f>Database!AU236</f>
        <v/>
      </c>
      <c r="AF247">
        <f>Database!AZ236</f>
        <v/>
      </c>
      <c r="AG247">
        <f>Database!H236</f>
        <v/>
      </c>
      <c r="AH247">
        <f>Database!AV236</f>
        <v/>
      </c>
    </row>
    <row r="248">
      <c r="A248">
        <f>Database!B248</f>
        <v/>
      </c>
      <c r="B248">
        <f>IF(AND(Screener!$D$8&lt;&gt;"",Database!$E248=Screener!$D$8),1,0)</f>
        <v/>
      </c>
      <c r="C248">
        <f>IF(AND(Screener!$D$7&lt;&gt;"",Database!$D248=Screener!$D$7),1,0)</f>
        <v/>
      </c>
      <c r="D248">
        <f>IF(OR(N(Database!$I248)&lt;=0,N(Screener!$D$9)&lt;=0),0,MAX(0,1-ABS(LOG10(N(Database!$I248)/Screener!$D$9))/W_SIZEHW))</f>
        <v/>
      </c>
      <c r="E248">
        <f>IF(OR(Database!$AU248="",Screener!$D$10=""),0,IF(Database!$AU248=Screener!$D$10,1,0))</f>
        <v/>
      </c>
      <c r="F248">
        <f>IF(OR(Database!$AZ248="",Screener!$D$11=""),0,IF(Database!$AZ248=Screener!$D$11,1,0))</f>
        <v/>
      </c>
      <c r="G248">
        <f>IF(OR(Database!$H248="",N(Screener!$D$12)&lt;=0),0,MAX(0,1-(N(Screener!$D$12)-Database!$H248)/W_RECD))</f>
        <v/>
      </c>
      <c r="H248">
        <f>IF($U$1="",0,N(ISNUMBER(SEARCH($U$1,Database!$X248&amp;""))))+IF($V$1="",0,N(ISNUMBER(SEARCH($V$1,Database!$X248&amp;""))))+IF($W$1="",0,N(ISNUMBER(SEARCH($W$1,Database!$X248&amp;""))))+IF($X$1="",0,N(ISNUMBER(SEARCH($X$1,Database!$X248&amp;""))))+IF($Y$1="",0,N(ISNUMBER(SEARCH($Y$1,Database!$X248&amp;""))))+IF(Screener!$B$17="",0,N(ISNUMBER(SEARCH(LOWER(Screener!$B$17),Database!$X248&amp;""))))</f>
        <v/>
      </c>
      <c r="I248">
        <f>IF(OR(N(Database!$AV248)&lt;=0,N(Screener!$D$13)&lt;=0),0,MAX(0,1-ABS(LOG10(N(Database!$AV248)/Screener!$D$13))/W_PEHW))</f>
        <v/>
      </c>
      <c r="J248">
        <f>IF(OR(N(Database!$S248)&lt;=0,N(Screener!$D$14)&lt;=0),0,MAX(0,1-ABS(LOG10(Database!$S248/Screener!$D$14))/0.6))</f>
        <v/>
      </c>
      <c r="K248">
        <f>IF(Database!$B248=Screener!$B$5,-999999,IF(ISNUMBER(SEARCH(","&amp;Database!$A248&amp;",",","&amp;SUBSTITUTE(Screener!$B$19," ","")&amp;",")),2000000,IF(IF(OR(Screener!$B$18="All",AND(Screener!$B$18="With A-share",(Database!$AZ248="Y")),AND(Screener!$B$18="Without A-share",NOT((Database!$AZ248="Y")))),1,0)=0,-999999,IF(Screener!$B$16="cornerstone overlap first",H248*100000,IF(Screener!$B$16="demand-similar first",J248*100000,0))+W_SUB*B248+W_SEC*C248*(1-B248)+W_SIZE*D248+W_PROF*E248+W_AH*F248+W_REC*G248+W_CS*H248+W_PE*I248)))+ROW()/1000000</f>
        <v/>
      </c>
      <c r="AA248">
        <f>Database!B237</f>
        <v/>
      </c>
      <c r="AB248">
        <f>Database!D237</f>
        <v/>
      </c>
      <c r="AC248">
        <f>Database!E237</f>
        <v/>
      </c>
      <c r="AD248">
        <f>Database!I237</f>
        <v/>
      </c>
      <c r="AE248">
        <f>Database!AU237</f>
        <v/>
      </c>
      <c r="AF248">
        <f>Database!AZ237</f>
        <v/>
      </c>
      <c r="AG248">
        <f>Database!H237</f>
        <v/>
      </c>
      <c r="AH248">
        <f>Database!AV237</f>
        <v/>
      </c>
    </row>
    <row r="249">
      <c r="A249">
        <f>Database!B249</f>
        <v/>
      </c>
      <c r="B249">
        <f>IF(AND(Screener!$D$8&lt;&gt;"",Database!$E249=Screener!$D$8),1,0)</f>
        <v/>
      </c>
      <c r="C249">
        <f>IF(AND(Screener!$D$7&lt;&gt;"",Database!$D249=Screener!$D$7),1,0)</f>
        <v/>
      </c>
      <c r="D249">
        <f>IF(OR(N(Database!$I249)&lt;=0,N(Screener!$D$9)&lt;=0),0,MAX(0,1-ABS(LOG10(N(Database!$I249)/Screener!$D$9))/W_SIZEHW))</f>
        <v/>
      </c>
      <c r="E249">
        <f>IF(OR(Database!$AU249="",Screener!$D$10=""),0,IF(Database!$AU249=Screener!$D$10,1,0))</f>
        <v/>
      </c>
      <c r="F249">
        <f>IF(OR(Database!$AZ249="",Screener!$D$11=""),0,IF(Database!$AZ249=Screener!$D$11,1,0))</f>
        <v/>
      </c>
      <c r="G249">
        <f>IF(OR(Database!$H249="",N(Screener!$D$12)&lt;=0),0,MAX(0,1-(N(Screener!$D$12)-Database!$H249)/W_RECD))</f>
        <v/>
      </c>
      <c r="H249">
        <f>IF($U$1="",0,N(ISNUMBER(SEARCH($U$1,Database!$X249&amp;""))))+IF($V$1="",0,N(ISNUMBER(SEARCH($V$1,Database!$X249&amp;""))))+IF($W$1="",0,N(ISNUMBER(SEARCH($W$1,Database!$X249&amp;""))))+IF($X$1="",0,N(ISNUMBER(SEARCH($X$1,Database!$X249&amp;""))))+IF($Y$1="",0,N(ISNUMBER(SEARCH($Y$1,Database!$X249&amp;""))))+IF(Screener!$B$17="",0,N(ISNUMBER(SEARCH(LOWER(Screener!$B$17),Database!$X249&amp;""))))</f>
        <v/>
      </c>
      <c r="I249">
        <f>IF(OR(N(Database!$AV249)&lt;=0,N(Screener!$D$13)&lt;=0),0,MAX(0,1-ABS(LOG10(N(Database!$AV249)/Screener!$D$13))/W_PEHW))</f>
        <v/>
      </c>
      <c r="J249">
        <f>IF(OR(N(Database!$S249)&lt;=0,N(Screener!$D$14)&lt;=0),0,MAX(0,1-ABS(LOG10(Database!$S249/Screener!$D$14))/0.6))</f>
        <v/>
      </c>
      <c r="K249">
        <f>IF(Database!$B249=Screener!$B$5,-999999,IF(ISNUMBER(SEARCH(","&amp;Database!$A249&amp;",",","&amp;SUBSTITUTE(Screener!$B$19," ","")&amp;",")),2000000,IF(IF(OR(Screener!$B$18="All",AND(Screener!$B$18="With A-share",(Database!$AZ249="Y")),AND(Screener!$B$18="Without A-share",NOT((Database!$AZ249="Y")))),1,0)=0,-999999,IF(Screener!$B$16="cornerstone overlap first",H249*100000,IF(Screener!$B$16="demand-similar first",J249*100000,0))+W_SUB*B249+W_SEC*C249*(1-B249)+W_SIZE*D249+W_PROF*E249+W_AH*F249+W_REC*G249+W_CS*H249+W_PE*I249)))+ROW()/1000000</f>
        <v/>
      </c>
      <c r="AA249">
        <f>Database!B238</f>
        <v/>
      </c>
      <c r="AB249">
        <f>Database!D238</f>
        <v/>
      </c>
      <c r="AC249">
        <f>Database!E238</f>
        <v/>
      </c>
      <c r="AD249">
        <f>Database!I238</f>
        <v/>
      </c>
      <c r="AE249">
        <f>Database!AU238</f>
        <v/>
      </c>
      <c r="AF249">
        <f>Database!AZ238</f>
        <v/>
      </c>
      <c r="AG249">
        <f>Database!H238</f>
        <v/>
      </c>
      <c r="AH249">
        <f>Database!AV238</f>
        <v/>
      </c>
    </row>
    <row r="250">
      <c r="A250">
        <f>Database!B250</f>
        <v/>
      </c>
      <c r="B250">
        <f>IF(AND(Screener!$D$8&lt;&gt;"",Database!$E250=Screener!$D$8),1,0)</f>
        <v/>
      </c>
      <c r="C250">
        <f>IF(AND(Screener!$D$7&lt;&gt;"",Database!$D250=Screener!$D$7),1,0)</f>
        <v/>
      </c>
      <c r="D250">
        <f>IF(OR(N(Database!$I250)&lt;=0,N(Screener!$D$9)&lt;=0),0,MAX(0,1-ABS(LOG10(N(Database!$I250)/Screener!$D$9))/W_SIZEHW))</f>
        <v/>
      </c>
      <c r="E250">
        <f>IF(OR(Database!$AU250="",Screener!$D$10=""),0,IF(Database!$AU250=Screener!$D$10,1,0))</f>
        <v/>
      </c>
      <c r="F250">
        <f>IF(OR(Database!$AZ250="",Screener!$D$11=""),0,IF(Database!$AZ250=Screener!$D$11,1,0))</f>
        <v/>
      </c>
      <c r="G250">
        <f>IF(OR(Database!$H250="",N(Screener!$D$12)&lt;=0),0,MAX(0,1-(N(Screener!$D$12)-Database!$H250)/W_RECD))</f>
        <v/>
      </c>
      <c r="H250">
        <f>IF($U$1="",0,N(ISNUMBER(SEARCH($U$1,Database!$X250&amp;""))))+IF($V$1="",0,N(ISNUMBER(SEARCH($V$1,Database!$X250&amp;""))))+IF($W$1="",0,N(ISNUMBER(SEARCH($W$1,Database!$X250&amp;""))))+IF($X$1="",0,N(ISNUMBER(SEARCH($X$1,Database!$X250&amp;""))))+IF($Y$1="",0,N(ISNUMBER(SEARCH($Y$1,Database!$X250&amp;""))))+IF(Screener!$B$17="",0,N(ISNUMBER(SEARCH(LOWER(Screener!$B$17),Database!$X250&amp;""))))</f>
        <v/>
      </c>
      <c r="I250">
        <f>IF(OR(N(Database!$AV250)&lt;=0,N(Screener!$D$13)&lt;=0),0,MAX(0,1-ABS(LOG10(N(Database!$AV250)/Screener!$D$13))/W_PEHW))</f>
        <v/>
      </c>
      <c r="J250">
        <f>IF(OR(N(Database!$S250)&lt;=0,N(Screener!$D$14)&lt;=0),0,MAX(0,1-ABS(LOG10(Database!$S250/Screener!$D$14))/0.6))</f>
        <v/>
      </c>
      <c r="K250">
        <f>IF(Database!$B250=Screener!$B$5,-999999,IF(ISNUMBER(SEARCH(","&amp;Database!$A250&amp;",",","&amp;SUBSTITUTE(Screener!$B$19," ","")&amp;",")),2000000,IF(IF(OR(Screener!$B$18="All",AND(Screener!$B$18="With A-share",(Database!$AZ250="Y")),AND(Screener!$B$18="Without A-share",NOT((Database!$AZ250="Y")))),1,0)=0,-999999,IF(Screener!$B$16="cornerstone overlap first",H250*100000,IF(Screener!$B$16="demand-similar first",J250*100000,0))+W_SUB*B250+W_SEC*C250*(1-B250)+W_SIZE*D250+W_PROF*E250+W_AH*F250+W_REC*G250+W_CS*H250+W_PE*I250)))+ROW()/1000000</f>
        <v/>
      </c>
      <c r="AA250">
        <f>Database!B239</f>
        <v/>
      </c>
      <c r="AB250">
        <f>Database!D239</f>
        <v/>
      </c>
      <c r="AC250">
        <f>Database!E239</f>
        <v/>
      </c>
      <c r="AD250">
        <f>Database!I239</f>
        <v/>
      </c>
      <c r="AE250">
        <f>Database!AU239</f>
        <v/>
      </c>
      <c r="AF250">
        <f>Database!AZ239</f>
        <v/>
      </c>
      <c r="AG250">
        <f>Database!H239</f>
        <v/>
      </c>
      <c r="AH250">
        <f>Database!AV239</f>
        <v/>
      </c>
    </row>
    <row r="251">
      <c r="A251">
        <f>Database!B251</f>
        <v/>
      </c>
      <c r="B251">
        <f>IF(AND(Screener!$D$8&lt;&gt;"",Database!$E251=Screener!$D$8),1,0)</f>
        <v/>
      </c>
      <c r="C251">
        <f>IF(AND(Screener!$D$7&lt;&gt;"",Database!$D251=Screener!$D$7),1,0)</f>
        <v/>
      </c>
      <c r="D251">
        <f>IF(OR(N(Database!$I251)&lt;=0,N(Screener!$D$9)&lt;=0),0,MAX(0,1-ABS(LOG10(N(Database!$I251)/Screener!$D$9))/W_SIZEHW))</f>
        <v/>
      </c>
      <c r="E251">
        <f>IF(OR(Database!$AU251="",Screener!$D$10=""),0,IF(Database!$AU251=Screener!$D$10,1,0))</f>
        <v/>
      </c>
      <c r="F251">
        <f>IF(OR(Database!$AZ251="",Screener!$D$11=""),0,IF(Database!$AZ251=Screener!$D$11,1,0))</f>
        <v/>
      </c>
      <c r="G251">
        <f>IF(OR(Database!$H251="",N(Screener!$D$12)&lt;=0),0,MAX(0,1-(N(Screener!$D$12)-Database!$H251)/W_RECD))</f>
        <v/>
      </c>
      <c r="H251">
        <f>IF($U$1="",0,N(ISNUMBER(SEARCH($U$1,Database!$X251&amp;""))))+IF($V$1="",0,N(ISNUMBER(SEARCH($V$1,Database!$X251&amp;""))))+IF($W$1="",0,N(ISNUMBER(SEARCH($W$1,Database!$X251&amp;""))))+IF($X$1="",0,N(ISNUMBER(SEARCH($X$1,Database!$X251&amp;""))))+IF($Y$1="",0,N(ISNUMBER(SEARCH($Y$1,Database!$X251&amp;""))))+IF(Screener!$B$17="",0,N(ISNUMBER(SEARCH(LOWER(Screener!$B$17),Database!$X251&amp;""))))</f>
        <v/>
      </c>
      <c r="I251">
        <f>IF(OR(N(Database!$AV251)&lt;=0,N(Screener!$D$13)&lt;=0),0,MAX(0,1-ABS(LOG10(N(Database!$AV251)/Screener!$D$13))/W_PEHW))</f>
        <v/>
      </c>
      <c r="J251">
        <f>IF(OR(N(Database!$S251)&lt;=0,N(Screener!$D$14)&lt;=0),0,MAX(0,1-ABS(LOG10(Database!$S251/Screener!$D$14))/0.6))</f>
        <v/>
      </c>
      <c r="K251">
        <f>IF(Database!$B251=Screener!$B$5,-999999,IF(ISNUMBER(SEARCH(","&amp;Database!$A251&amp;",",","&amp;SUBSTITUTE(Screener!$B$19," ","")&amp;",")),2000000,IF(IF(OR(Screener!$B$18="All",AND(Screener!$B$18="With A-share",(Database!$AZ251="Y")),AND(Screener!$B$18="Without A-share",NOT((Database!$AZ251="Y")))),1,0)=0,-999999,IF(Screener!$B$16="cornerstone overlap first",H251*100000,IF(Screener!$B$16="demand-similar first",J251*100000,0))+W_SUB*B251+W_SEC*C251*(1-B251)+W_SIZE*D251+W_PROF*E251+W_AH*F251+W_REC*G251+W_CS*H251+W_PE*I251)))+ROW()/1000000</f>
        <v/>
      </c>
      <c r="AA251">
        <f>Database!B240</f>
        <v/>
      </c>
      <c r="AB251">
        <f>Database!D240</f>
        <v/>
      </c>
      <c r="AC251">
        <f>Database!E240</f>
        <v/>
      </c>
      <c r="AD251">
        <f>Database!I240</f>
        <v/>
      </c>
      <c r="AE251">
        <f>Database!AU240</f>
        <v/>
      </c>
      <c r="AF251">
        <f>Database!AZ240</f>
        <v/>
      </c>
      <c r="AG251">
        <f>Database!H240</f>
        <v/>
      </c>
      <c r="AH251">
        <f>Database!AV240</f>
        <v/>
      </c>
    </row>
    <row r="252">
      <c r="A252">
        <f>Database!B252</f>
        <v/>
      </c>
      <c r="B252">
        <f>IF(AND(Screener!$D$8&lt;&gt;"",Database!$E252=Screener!$D$8),1,0)</f>
        <v/>
      </c>
      <c r="C252">
        <f>IF(AND(Screener!$D$7&lt;&gt;"",Database!$D252=Screener!$D$7),1,0)</f>
        <v/>
      </c>
      <c r="D252">
        <f>IF(OR(N(Database!$I252)&lt;=0,N(Screener!$D$9)&lt;=0),0,MAX(0,1-ABS(LOG10(N(Database!$I252)/Screener!$D$9))/W_SIZEHW))</f>
        <v/>
      </c>
      <c r="E252">
        <f>IF(OR(Database!$AU252="",Screener!$D$10=""),0,IF(Database!$AU252=Screener!$D$10,1,0))</f>
        <v/>
      </c>
      <c r="F252">
        <f>IF(OR(Database!$AZ252="",Screener!$D$11=""),0,IF(Database!$AZ252=Screener!$D$11,1,0))</f>
        <v/>
      </c>
      <c r="G252">
        <f>IF(OR(Database!$H252="",N(Screener!$D$12)&lt;=0),0,MAX(0,1-(N(Screener!$D$12)-Database!$H252)/W_RECD))</f>
        <v/>
      </c>
      <c r="H252">
        <f>IF($U$1="",0,N(ISNUMBER(SEARCH($U$1,Database!$X252&amp;""))))+IF($V$1="",0,N(ISNUMBER(SEARCH($V$1,Database!$X252&amp;""))))+IF($W$1="",0,N(ISNUMBER(SEARCH($W$1,Database!$X252&amp;""))))+IF($X$1="",0,N(ISNUMBER(SEARCH($X$1,Database!$X252&amp;""))))+IF($Y$1="",0,N(ISNUMBER(SEARCH($Y$1,Database!$X252&amp;""))))+IF(Screener!$B$17="",0,N(ISNUMBER(SEARCH(LOWER(Screener!$B$17),Database!$X252&amp;""))))</f>
        <v/>
      </c>
      <c r="I252">
        <f>IF(OR(N(Database!$AV252)&lt;=0,N(Screener!$D$13)&lt;=0),0,MAX(0,1-ABS(LOG10(N(Database!$AV252)/Screener!$D$13))/W_PEHW))</f>
        <v/>
      </c>
      <c r="J252">
        <f>IF(OR(N(Database!$S252)&lt;=0,N(Screener!$D$14)&lt;=0),0,MAX(0,1-ABS(LOG10(Database!$S252/Screener!$D$14))/0.6))</f>
        <v/>
      </c>
      <c r="K252">
        <f>IF(Database!$B252=Screener!$B$5,-999999,IF(ISNUMBER(SEARCH(","&amp;Database!$A252&amp;",",","&amp;SUBSTITUTE(Screener!$B$19," ","")&amp;",")),2000000,IF(IF(OR(Screener!$B$18="All",AND(Screener!$B$18="With A-share",(Database!$AZ252="Y")),AND(Screener!$B$18="Without A-share",NOT((Database!$AZ252="Y")))),1,0)=0,-999999,IF(Screener!$B$16="cornerstone overlap first",H252*100000,IF(Screener!$B$16="demand-similar first",J252*100000,0))+W_SUB*B252+W_SEC*C252*(1-B252)+W_SIZE*D252+W_PROF*E252+W_AH*F252+W_REC*G252+W_CS*H252+W_PE*I252)))+ROW()/1000000</f>
        <v/>
      </c>
      <c r="AA252">
        <f>Database!B241</f>
        <v/>
      </c>
      <c r="AB252">
        <f>Database!D241</f>
        <v/>
      </c>
      <c r="AC252">
        <f>Database!E241</f>
        <v/>
      </c>
      <c r="AD252">
        <f>Database!I241</f>
        <v/>
      </c>
      <c r="AE252">
        <f>Database!AU241</f>
        <v/>
      </c>
      <c r="AF252">
        <f>Database!AZ241</f>
        <v/>
      </c>
      <c r="AG252">
        <f>Database!H241</f>
        <v/>
      </c>
      <c r="AH252">
        <f>Database!AV241</f>
        <v/>
      </c>
    </row>
    <row r="253">
      <c r="A253">
        <f>Database!B253</f>
        <v/>
      </c>
      <c r="B253">
        <f>IF(AND(Screener!$D$8&lt;&gt;"",Database!$E253=Screener!$D$8),1,0)</f>
        <v/>
      </c>
      <c r="C253">
        <f>IF(AND(Screener!$D$7&lt;&gt;"",Database!$D253=Screener!$D$7),1,0)</f>
        <v/>
      </c>
      <c r="D253">
        <f>IF(OR(N(Database!$I253)&lt;=0,N(Screener!$D$9)&lt;=0),0,MAX(0,1-ABS(LOG10(N(Database!$I253)/Screener!$D$9))/W_SIZEHW))</f>
        <v/>
      </c>
      <c r="E253">
        <f>IF(OR(Database!$AU253="",Screener!$D$10=""),0,IF(Database!$AU253=Screener!$D$10,1,0))</f>
        <v/>
      </c>
      <c r="F253">
        <f>IF(OR(Database!$AZ253="",Screener!$D$11=""),0,IF(Database!$AZ253=Screener!$D$11,1,0))</f>
        <v/>
      </c>
      <c r="G253">
        <f>IF(OR(Database!$H253="",N(Screener!$D$12)&lt;=0),0,MAX(0,1-(N(Screener!$D$12)-Database!$H253)/W_RECD))</f>
        <v/>
      </c>
      <c r="H253">
        <f>IF($U$1="",0,N(ISNUMBER(SEARCH($U$1,Database!$X253&amp;""))))+IF($V$1="",0,N(ISNUMBER(SEARCH($V$1,Database!$X253&amp;""))))+IF($W$1="",0,N(ISNUMBER(SEARCH($W$1,Database!$X253&amp;""))))+IF($X$1="",0,N(ISNUMBER(SEARCH($X$1,Database!$X253&amp;""))))+IF($Y$1="",0,N(ISNUMBER(SEARCH($Y$1,Database!$X253&amp;""))))+IF(Screener!$B$17="",0,N(ISNUMBER(SEARCH(LOWER(Screener!$B$17),Database!$X253&amp;""))))</f>
        <v/>
      </c>
      <c r="I253">
        <f>IF(OR(N(Database!$AV253)&lt;=0,N(Screener!$D$13)&lt;=0),0,MAX(0,1-ABS(LOG10(N(Database!$AV253)/Screener!$D$13))/W_PEHW))</f>
        <v/>
      </c>
      <c r="J253">
        <f>IF(OR(N(Database!$S253)&lt;=0,N(Screener!$D$14)&lt;=0),0,MAX(0,1-ABS(LOG10(Database!$S253/Screener!$D$14))/0.6))</f>
        <v/>
      </c>
      <c r="K253">
        <f>IF(Database!$B253=Screener!$B$5,-999999,IF(ISNUMBER(SEARCH(","&amp;Database!$A253&amp;",",","&amp;SUBSTITUTE(Screener!$B$19," ","")&amp;",")),2000000,IF(IF(OR(Screener!$B$18="All",AND(Screener!$B$18="With A-share",(Database!$AZ253="Y")),AND(Screener!$B$18="Without A-share",NOT((Database!$AZ253="Y")))),1,0)=0,-999999,IF(Screener!$B$16="cornerstone overlap first",H253*100000,IF(Screener!$B$16="demand-similar first",J253*100000,0))+W_SUB*B253+W_SEC*C253*(1-B253)+W_SIZE*D253+W_PROF*E253+W_AH*F253+W_REC*G253+W_CS*H253+W_PE*I253)))+ROW()/1000000</f>
        <v/>
      </c>
      <c r="AA253">
        <f>Database!B242</f>
        <v/>
      </c>
      <c r="AB253">
        <f>Database!D242</f>
        <v/>
      </c>
      <c r="AC253">
        <f>Database!E242</f>
        <v/>
      </c>
      <c r="AD253">
        <f>Database!I242</f>
        <v/>
      </c>
      <c r="AE253">
        <f>Database!AU242</f>
        <v/>
      </c>
      <c r="AF253">
        <f>Database!AZ242</f>
        <v/>
      </c>
      <c r="AG253">
        <f>Database!H242</f>
        <v/>
      </c>
      <c r="AH253">
        <f>Database!AV242</f>
        <v/>
      </c>
    </row>
    <row r="254">
      <c r="A254">
        <f>Database!B254</f>
        <v/>
      </c>
      <c r="B254">
        <f>IF(AND(Screener!$D$8&lt;&gt;"",Database!$E254=Screener!$D$8),1,0)</f>
        <v/>
      </c>
      <c r="C254">
        <f>IF(AND(Screener!$D$7&lt;&gt;"",Database!$D254=Screener!$D$7),1,0)</f>
        <v/>
      </c>
      <c r="D254">
        <f>IF(OR(N(Database!$I254)&lt;=0,N(Screener!$D$9)&lt;=0),0,MAX(0,1-ABS(LOG10(N(Database!$I254)/Screener!$D$9))/W_SIZEHW))</f>
        <v/>
      </c>
      <c r="E254">
        <f>IF(OR(Database!$AU254="",Screener!$D$10=""),0,IF(Database!$AU254=Screener!$D$10,1,0))</f>
        <v/>
      </c>
      <c r="F254">
        <f>IF(OR(Database!$AZ254="",Screener!$D$11=""),0,IF(Database!$AZ254=Screener!$D$11,1,0))</f>
        <v/>
      </c>
      <c r="G254">
        <f>IF(OR(Database!$H254="",N(Screener!$D$12)&lt;=0),0,MAX(0,1-(N(Screener!$D$12)-Database!$H254)/W_RECD))</f>
        <v/>
      </c>
      <c r="H254">
        <f>IF($U$1="",0,N(ISNUMBER(SEARCH($U$1,Database!$X254&amp;""))))+IF($V$1="",0,N(ISNUMBER(SEARCH($V$1,Database!$X254&amp;""))))+IF($W$1="",0,N(ISNUMBER(SEARCH($W$1,Database!$X254&amp;""))))+IF($X$1="",0,N(ISNUMBER(SEARCH($X$1,Database!$X254&amp;""))))+IF($Y$1="",0,N(ISNUMBER(SEARCH($Y$1,Database!$X254&amp;""))))+IF(Screener!$B$17="",0,N(ISNUMBER(SEARCH(LOWER(Screener!$B$17),Database!$X254&amp;""))))</f>
        <v/>
      </c>
      <c r="I254">
        <f>IF(OR(N(Database!$AV254)&lt;=0,N(Screener!$D$13)&lt;=0),0,MAX(0,1-ABS(LOG10(N(Database!$AV254)/Screener!$D$13))/W_PEHW))</f>
        <v/>
      </c>
      <c r="J254">
        <f>IF(OR(N(Database!$S254)&lt;=0,N(Screener!$D$14)&lt;=0),0,MAX(0,1-ABS(LOG10(Database!$S254/Screener!$D$14))/0.6))</f>
        <v/>
      </c>
      <c r="K254">
        <f>IF(Database!$B254=Screener!$B$5,-999999,IF(ISNUMBER(SEARCH(","&amp;Database!$A254&amp;",",","&amp;SUBSTITUTE(Screener!$B$19," ","")&amp;",")),2000000,IF(IF(OR(Screener!$B$18="All",AND(Screener!$B$18="With A-share",(Database!$AZ254="Y")),AND(Screener!$B$18="Without A-share",NOT((Database!$AZ254="Y")))),1,0)=0,-999999,IF(Screener!$B$16="cornerstone overlap first",H254*100000,IF(Screener!$B$16="demand-similar first",J254*100000,0))+W_SUB*B254+W_SEC*C254*(1-B254)+W_SIZE*D254+W_PROF*E254+W_AH*F254+W_REC*G254+W_CS*H254+W_PE*I254)))+ROW()/1000000</f>
        <v/>
      </c>
      <c r="AA254">
        <f>Database!B243</f>
        <v/>
      </c>
      <c r="AB254">
        <f>Database!D243</f>
        <v/>
      </c>
      <c r="AC254">
        <f>Database!E243</f>
        <v/>
      </c>
      <c r="AD254">
        <f>Database!I243</f>
        <v/>
      </c>
      <c r="AE254">
        <f>Database!AU243</f>
        <v/>
      </c>
      <c r="AF254">
        <f>Database!AZ243</f>
        <v/>
      </c>
      <c r="AG254">
        <f>Database!H243</f>
        <v/>
      </c>
      <c r="AH254">
        <f>Database!AV243</f>
        <v/>
      </c>
    </row>
    <row r="255">
      <c r="A255">
        <f>Database!B255</f>
        <v/>
      </c>
      <c r="B255">
        <f>IF(AND(Screener!$D$8&lt;&gt;"",Database!$E255=Screener!$D$8),1,0)</f>
        <v/>
      </c>
      <c r="C255">
        <f>IF(AND(Screener!$D$7&lt;&gt;"",Database!$D255=Screener!$D$7),1,0)</f>
        <v/>
      </c>
      <c r="D255">
        <f>IF(OR(N(Database!$I255)&lt;=0,N(Screener!$D$9)&lt;=0),0,MAX(0,1-ABS(LOG10(N(Database!$I255)/Screener!$D$9))/W_SIZEHW))</f>
        <v/>
      </c>
      <c r="E255">
        <f>IF(OR(Database!$AU255="",Screener!$D$10=""),0,IF(Database!$AU255=Screener!$D$10,1,0))</f>
        <v/>
      </c>
      <c r="F255">
        <f>IF(OR(Database!$AZ255="",Screener!$D$11=""),0,IF(Database!$AZ255=Screener!$D$11,1,0))</f>
        <v/>
      </c>
      <c r="G255">
        <f>IF(OR(Database!$H255="",N(Screener!$D$12)&lt;=0),0,MAX(0,1-(N(Screener!$D$12)-Database!$H255)/W_RECD))</f>
        <v/>
      </c>
      <c r="H255">
        <f>IF($U$1="",0,N(ISNUMBER(SEARCH($U$1,Database!$X255&amp;""))))+IF($V$1="",0,N(ISNUMBER(SEARCH($V$1,Database!$X255&amp;""))))+IF($W$1="",0,N(ISNUMBER(SEARCH($W$1,Database!$X255&amp;""))))+IF($X$1="",0,N(ISNUMBER(SEARCH($X$1,Database!$X255&amp;""))))+IF($Y$1="",0,N(ISNUMBER(SEARCH($Y$1,Database!$X255&amp;""))))+IF(Screener!$B$17="",0,N(ISNUMBER(SEARCH(LOWER(Screener!$B$17),Database!$X255&amp;""))))</f>
        <v/>
      </c>
      <c r="I255">
        <f>IF(OR(N(Database!$AV255)&lt;=0,N(Screener!$D$13)&lt;=0),0,MAX(0,1-ABS(LOG10(N(Database!$AV255)/Screener!$D$13))/W_PEHW))</f>
        <v/>
      </c>
      <c r="J255">
        <f>IF(OR(N(Database!$S255)&lt;=0,N(Screener!$D$14)&lt;=0),0,MAX(0,1-ABS(LOG10(Database!$S255/Screener!$D$14))/0.6))</f>
        <v/>
      </c>
      <c r="K255">
        <f>IF(Database!$B255=Screener!$B$5,-999999,IF(ISNUMBER(SEARCH(","&amp;Database!$A255&amp;",",","&amp;SUBSTITUTE(Screener!$B$19," ","")&amp;",")),2000000,IF(IF(OR(Screener!$B$18="All",AND(Screener!$B$18="With A-share",(Database!$AZ255="Y")),AND(Screener!$B$18="Without A-share",NOT((Database!$AZ255="Y")))),1,0)=0,-999999,IF(Screener!$B$16="cornerstone overlap first",H255*100000,IF(Screener!$B$16="demand-similar first",J255*100000,0))+W_SUB*B255+W_SEC*C255*(1-B255)+W_SIZE*D255+W_PROF*E255+W_AH*F255+W_REC*G255+W_CS*H255+W_PE*I255)))+ROW()/1000000</f>
        <v/>
      </c>
      <c r="AA255">
        <f>Database!B244</f>
        <v/>
      </c>
      <c r="AB255">
        <f>Database!D244</f>
        <v/>
      </c>
      <c r="AC255">
        <f>Database!E244</f>
        <v/>
      </c>
      <c r="AD255">
        <f>Database!I244</f>
        <v/>
      </c>
      <c r="AE255">
        <f>Database!AU244</f>
        <v/>
      </c>
      <c r="AF255">
        <f>Database!AZ244</f>
        <v/>
      </c>
      <c r="AG255">
        <f>Database!H244</f>
        <v/>
      </c>
      <c r="AH255">
        <f>Database!AV244</f>
        <v/>
      </c>
    </row>
    <row r="256">
      <c r="A256">
        <f>Database!B256</f>
        <v/>
      </c>
      <c r="B256">
        <f>IF(AND(Screener!$D$8&lt;&gt;"",Database!$E256=Screener!$D$8),1,0)</f>
        <v/>
      </c>
      <c r="C256">
        <f>IF(AND(Screener!$D$7&lt;&gt;"",Database!$D256=Screener!$D$7),1,0)</f>
        <v/>
      </c>
      <c r="D256">
        <f>IF(OR(N(Database!$I256)&lt;=0,N(Screener!$D$9)&lt;=0),0,MAX(0,1-ABS(LOG10(N(Database!$I256)/Screener!$D$9))/W_SIZEHW))</f>
        <v/>
      </c>
      <c r="E256">
        <f>IF(OR(Database!$AU256="",Screener!$D$10=""),0,IF(Database!$AU256=Screener!$D$10,1,0))</f>
        <v/>
      </c>
      <c r="F256">
        <f>IF(OR(Database!$AZ256="",Screener!$D$11=""),0,IF(Database!$AZ256=Screener!$D$11,1,0))</f>
        <v/>
      </c>
      <c r="G256">
        <f>IF(OR(Database!$H256="",N(Screener!$D$12)&lt;=0),0,MAX(0,1-(N(Screener!$D$12)-Database!$H256)/W_RECD))</f>
        <v/>
      </c>
      <c r="H256">
        <f>IF($U$1="",0,N(ISNUMBER(SEARCH($U$1,Database!$X256&amp;""))))+IF($V$1="",0,N(ISNUMBER(SEARCH($V$1,Database!$X256&amp;""))))+IF($W$1="",0,N(ISNUMBER(SEARCH($W$1,Database!$X256&amp;""))))+IF($X$1="",0,N(ISNUMBER(SEARCH($X$1,Database!$X256&amp;""))))+IF($Y$1="",0,N(ISNUMBER(SEARCH($Y$1,Database!$X256&amp;""))))+IF(Screener!$B$17="",0,N(ISNUMBER(SEARCH(LOWER(Screener!$B$17),Database!$X256&amp;""))))</f>
        <v/>
      </c>
      <c r="I256">
        <f>IF(OR(N(Database!$AV256)&lt;=0,N(Screener!$D$13)&lt;=0),0,MAX(0,1-ABS(LOG10(N(Database!$AV256)/Screener!$D$13))/W_PEHW))</f>
        <v/>
      </c>
      <c r="J256">
        <f>IF(OR(N(Database!$S256)&lt;=0,N(Screener!$D$14)&lt;=0),0,MAX(0,1-ABS(LOG10(Database!$S256/Screener!$D$14))/0.6))</f>
        <v/>
      </c>
      <c r="K256">
        <f>IF(Database!$B256=Screener!$B$5,-999999,IF(ISNUMBER(SEARCH(","&amp;Database!$A256&amp;",",","&amp;SUBSTITUTE(Screener!$B$19," ","")&amp;",")),2000000,IF(IF(OR(Screener!$B$18="All",AND(Screener!$B$18="With A-share",(Database!$AZ256="Y")),AND(Screener!$B$18="Without A-share",NOT((Database!$AZ256="Y")))),1,0)=0,-999999,IF(Screener!$B$16="cornerstone overlap first",H256*100000,IF(Screener!$B$16="demand-similar first",J256*100000,0))+W_SUB*B256+W_SEC*C256*(1-B256)+W_SIZE*D256+W_PROF*E256+W_AH*F256+W_REC*G256+W_CS*H256+W_PE*I256)))+ROW()/1000000</f>
        <v/>
      </c>
      <c r="AA256">
        <f>Database!B245</f>
        <v/>
      </c>
      <c r="AB256">
        <f>Database!D245</f>
        <v/>
      </c>
      <c r="AC256">
        <f>Database!E245</f>
        <v/>
      </c>
      <c r="AD256">
        <f>Database!I245</f>
        <v/>
      </c>
      <c r="AE256">
        <f>Database!AU245</f>
        <v/>
      </c>
      <c r="AF256">
        <f>Database!AZ245</f>
        <v/>
      </c>
      <c r="AG256">
        <f>Database!H245</f>
        <v/>
      </c>
      <c r="AH256">
        <f>Database!AV245</f>
        <v/>
      </c>
    </row>
    <row r="257">
      <c r="A257">
        <f>Database!B257</f>
        <v/>
      </c>
      <c r="B257">
        <f>IF(AND(Screener!$D$8&lt;&gt;"",Database!$E257=Screener!$D$8),1,0)</f>
        <v/>
      </c>
      <c r="C257">
        <f>IF(AND(Screener!$D$7&lt;&gt;"",Database!$D257=Screener!$D$7),1,0)</f>
        <v/>
      </c>
      <c r="D257">
        <f>IF(OR(N(Database!$I257)&lt;=0,N(Screener!$D$9)&lt;=0),0,MAX(0,1-ABS(LOG10(N(Database!$I257)/Screener!$D$9))/W_SIZEHW))</f>
        <v/>
      </c>
      <c r="E257">
        <f>IF(OR(Database!$AU257="",Screener!$D$10=""),0,IF(Database!$AU257=Screener!$D$10,1,0))</f>
        <v/>
      </c>
      <c r="F257">
        <f>IF(OR(Database!$AZ257="",Screener!$D$11=""),0,IF(Database!$AZ257=Screener!$D$11,1,0))</f>
        <v/>
      </c>
      <c r="G257">
        <f>IF(OR(Database!$H257="",N(Screener!$D$12)&lt;=0),0,MAX(0,1-(N(Screener!$D$12)-Database!$H257)/W_RECD))</f>
        <v/>
      </c>
      <c r="H257">
        <f>IF($U$1="",0,N(ISNUMBER(SEARCH($U$1,Database!$X257&amp;""))))+IF($V$1="",0,N(ISNUMBER(SEARCH($V$1,Database!$X257&amp;""))))+IF($W$1="",0,N(ISNUMBER(SEARCH($W$1,Database!$X257&amp;""))))+IF($X$1="",0,N(ISNUMBER(SEARCH($X$1,Database!$X257&amp;""))))+IF($Y$1="",0,N(ISNUMBER(SEARCH($Y$1,Database!$X257&amp;""))))+IF(Screener!$B$17="",0,N(ISNUMBER(SEARCH(LOWER(Screener!$B$17),Database!$X257&amp;""))))</f>
        <v/>
      </c>
      <c r="I257">
        <f>IF(OR(N(Database!$AV257)&lt;=0,N(Screener!$D$13)&lt;=0),0,MAX(0,1-ABS(LOG10(N(Database!$AV257)/Screener!$D$13))/W_PEHW))</f>
        <v/>
      </c>
      <c r="J257">
        <f>IF(OR(N(Database!$S257)&lt;=0,N(Screener!$D$14)&lt;=0),0,MAX(0,1-ABS(LOG10(Database!$S257/Screener!$D$14))/0.6))</f>
        <v/>
      </c>
      <c r="K257">
        <f>IF(Database!$B257=Screener!$B$5,-999999,IF(ISNUMBER(SEARCH(","&amp;Database!$A257&amp;",",","&amp;SUBSTITUTE(Screener!$B$19," ","")&amp;",")),2000000,IF(IF(OR(Screener!$B$18="All",AND(Screener!$B$18="With A-share",(Database!$AZ257="Y")),AND(Screener!$B$18="Without A-share",NOT((Database!$AZ257="Y")))),1,0)=0,-999999,IF(Screener!$B$16="cornerstone overlap first",H257*100000,IF(Screener!$B$16="demand-similar first",J257*100000,0))+W_SUB*B257+W_SEC*C257*(1-B257)+W_SIZE*D257+W_PROF*E257+W_AH*F257+W_REC*G257+W_CS*H257+W_PE*I257)))+ROW()/1000000</f>
        <v/>
      </c>
      <c r="AA257">
        <f>Database!B246</f>
        <v/>
      </c>
      <c r="AB257">
        <f>Database!D246</f>
        <v/>
      </c>
      <c r="AC257">
        <f>Database!E246</f>
        <v/>
      </c>
      <c r="AD257">
        <f>Database!I246</f>
        <v/>
      </c>
      <c r="AE257">
        <f>Database!AU246</f>
        <v/>
      </c>
      <c r="AF257">
        <f>Database!AZ246</f>
        <v/>
      </c>
      <c r="AG257">
        <f>Database!H246</f>
        <v/>
      </c>
      <c r="AH257">
        <f>Database!AV246</f>
        <v/>
      </c>
    </row>
    <row r="258">
      <c r="A258">
        <f>Database!B258</f>
        <v/>
      </c>
      <c r="B258">
        <f>IF(AND(Screener!$D$8&lt;&gt;"",Database!$E258=Screener!$D$8),1,0)</f>
        <v/>
      </c>
      <c r="C258">
        <f>IF(AND(Screener!$D$7&lt;&gt;"",Database!$D258=Screener!$D$7),1,0)</f>
        <v/>
      </c>
      <c r="D258">
        <f>IF(OR(N(Database!$I258)&lt;=0,N(Screener!$D$9)&lt;=0),0,MAX(0,1-ABS(LOG10(N(Database!$I258)/Screener!$D$9))/W_SIZEHW))</f>
        <v/>
      </c>
      <c r="E258">
        <f>IF(OR(Database!$AU258="",Screener!$D$10=""),0,IF(Database!$AU258=Screener!$D$10,1,0))</f>
        <v/>
      </c>
      <c r="F258">
        <f>IF(OR(Database!$AZ258="",Screener!$D$11=""),0,IF(Database!$AZ258=Screener!$D$11,1,0))</f>
        <v/>
      </c>
      <c r="G258">
        <f>IF(OR(Database!$H258="",N(Screener!$D$12)&lt;=0),0,MAX(0,1-(N(Screener!$D$12)-Database!$H258)/W_RECD))</f>
        <v/>
      </c>
      <c r="H258">
        <f>IF($U$1="",0,N(ISNUMBER(SEARCH($U$1,Database!$X258&amp;""))))+IF($V$1="",0,N(ISNUMBER(SEARCH($V$1,Database!$X258&amp;""))))+IF($W$1="",0,N(ISNUMBER(SEARCH($W$1,Database!$X258&amp;""))))+IF($X$1="",0,N(ISNUMBER(SEARCH($X$1,Database!$X258&amp;""))))+IF($Y$1="",0,N(ISNUMBER(SEARCH($Y$1,Database!$X258&amp;""))))+IF(Screener!$B$17="",0,N(ISNUMBER(SEARCH(LOWER(Screener!$B$17),Database!$X258&amp;""))))</f>
        <v/>
      </c>
      <c r="I258">
        <f>IF(OR(N(Database!$AV258)&lt;=0,N(Screener!$D$13)&lt;=0),0,MAX(0,1-ABS(LOG10(N(Database!$AV258)/Screener!$D$13))/W_PEHW))</f>
        <v/>
      </c>
      <c r="J258">
        <f>IF(OR(N(Database!$S258)&lt;=0,N(Screener!$D$14)&lt;=0),0,MAX(0,1-ABS(LOG10(Database!$S258/Screener!$D$14))/0.6))</f>
        <v/>
      </c>
      <c r="K258">
        <f>IF(Database!$B258=Screener!$B$5,-999999,IF(ISNUMBER(SEARCH(","&amp;Database!$A258&amp;",",","&amp;SUBSTITUTE(Screener!$B$19," ","")&amp;",")),2000000,IF(IF(OR(Screener!$B$18="All",AND(Screener!$B$18="With A-share",(Database!$AZ258="Y")),AND(Screener!$B$18="Without A-share",NOT((Database!$AZ258="Y")))),1,0)=0,-999999,IF(Screener!$B$16="cornerstone overlap first",H258*100000,IF(Screener!$B$16="demand-similar first",J258*100000,0))+W_SUB*B258+W_SEC*C258*(1-B258)+W_SIZE*D258+W_PROF*E258+W_AH*F258+W_REC*G258+W_CS*H258+W_PE*I258)))+ROW()/1000000</f>
        <v/>
      </c>
      <c r="AA258">
        <f>Database!B247</f>
        <v/>
      </c>
      <c r="AB258">
        <f>Database!D247</f>
        <v/>
      </c>
      <c r="AC258">
        <f>Database!E247</f>
        <v/>
      </c>
      <c r="AD258">
        <f>Database!I247</f>
        <v/>
      </c>
      <c r="AE258">
        <f>Database!AU247</f>
        <v/>
      </c>
      <c r="AF258">
        <f>Database!AZ247</f>
        <v/>
      </c>
      <c r="AG258">
        <f>Database!H247</f>
        <v/>
      </c>
      <c r="AH258">
        <f>Database!AV247</f>
        <v/>
      </c>
    </row>
    <row r="259">
      <c r="A259">
        <f>Database!B259</f>
        <v/>
      </c>
      <c r="B259">
        <f>IF(AND(Screener!$D$8&lt;&gt;"",Database!$E259=Screener!$D$8),1,0)</f>
        <v/>
      </c>
      <c r="C259">
        <f>IF(AND(Screener!$D$7&lt;&gt;"",Database!$D259=Screener!$D$7),1,0)</f>
        <v/>
      </c>
      <c r="D259">
        <f>IF(OR(N(Database!$I259)&lt;=0,N(Screener!$D$9)&lt;=0),0,MAX(0,1-ABS(LOG10(N(Database!$I259)/Screener!$D$9))/W_SIZEHW))</f>
        <v/>
      </c>
      <c r="E259">
        <f>IF(OR(Database!$AU259="",Screener!$D$10=""),0,IF(Database!$AU259=Screener!$D$10,1,0))</f>
        <v/>
      </c>
      <c r="F259">
        <f>IF(OR(Database!$AZ259="",Screener!$D$11=""),0,IF(Database!$AZ259=Screener!$D$11,1,0))</f>
        <v/>
      </c>
      <c r="G259">
        <f>IF(OR(Database!$H259="",N(Screener!$D$12)&lt;=0),0,MAX(0,1-(N(Screener!$D$12)-Database!$H259)/W_RECD))</f>
        <v/>
      </c>
      <c r="H259">
        <f>IF($U$1="",0,N(ISNUMBER(SEARCH($U$1,Database!$X259&amp;""))))+IF($V$1="",0,N(ISNUMBER(SEARCH($V$1,Database!$X259&amp;""))))+IF($W$1="",0,N(ISNUMBER(SEARCH($W$1,Database!$X259&amp;""))))+IF($X$1="",0,N(ISNUMBER(SEARCH($X$1,Database!$X259&amp;""))))+IF($Y$1="",0,N(ISNUMBER(SEARCH($Y$1,Database!$X259&amp;""))))+IF(Screener!$B$17="",0,N(ISNUMBER(SEARCH(LOWER(Screener!$B$17),Database!$X259&amp;""))))</f>
        <v/>
      </c>
      <c r="I259">
        <f>IF(OR(N(Database!$AV259)&lt;=0,N(Screener!$D$13)&lt;=0),0,MAX(0,1-ABS(LOG10(N(Database!$AV259)/Screener!$D$13))/W_PEHW))</f>
        <v/>
      </c>
      <c r="J259">
        <f>IF(OR(N(Database!$S259)&lt;=0,N(Screener!$D$14)&lt;=0),0,MAX(0,1-ABS(LOG10(Database!$S259/Screener!$D$14))/0.6))</f>
        <v/>
      </c>
      <c r="K259">
        <f>IF(Database!$B259=Screener!$B$5,-999999,IF(ISNUMBER(SEARCH(","&amp;Database!$A259&amp;",",","&amp;SUBSTITUTE(Screener!$B$19," ","")&amp;",")),2000000,IF(IF(OR(Screener!$B$18="All",AND(Screener!$B$18="With A-share",(Database!$AZ259="Y")),AND(Screener!$B$18="Without A-share",NOT((Database!$AZ259="Y")))),1,0)=0,-999999,IF(Screener!$B$16="cornerstone overlap first",H259*100000,IF(Screener!$B$16="demand-similar first",J259*100000,0))+W_SUB*B259+W_SEC*C259*(1-B259)+W_SIZE*D259+W_PROF*E259+W_AH*F259+W_REC*G259+W_CS*H259+W_PE*I259)))+ROW()/1000000</f>
        <v/>
      </c>
      <c r="AA259">
        <f>Database!B248</f>
        <v/>
      </c>
      <c r="AB259">
        <f>Database!D248</f>
        <v/>
      </c>
      <c r="AC259">
        <f>Database!E248</f>
        <v/>
      </c>
      <c r="AD259">
        <f>Database!I248</f>
        <v/>
      </c>
      <c r="AE259">
        <f>Database!AU248</f>
        <v/>
      </c>
      <c r="AF259">
        <f>Database!AZ248</f>
        <v/>
      </c>
      <c r="AG259">
        <f>Database!H248</f>
        <v/>
      </c>
      <c r="AH259">
        <f>Database!AV248</f>
        <v/>
      </c>
    </row>
    <row r="260">
      <c r="A260">
        <f>Database!B260</f>
        <v/>
      </c>
      <c r="B260">
        <f>IF(AND(Screener!$D$8&lt;&gt;"",Database!$E260=Screener!$D$8),1,0)</f>
        <v/>
      </c>
      <c r="C260">
        <f>IF(AND(Screener!$D$7&lt;&gt;"",Database!$D260=Screener!$D$7),1,0)</f>
        <v/>
      </c>
      <c r="D260">
        <f>IF(OR(N(Database!$I260)&lt;=0,N(Screener!$D$9)&lt;=0),0,MAX(0,1-ABS(LOG10(N(Database!$I260)/Screener!$D$9))/W_SIZEHW))</f>
        <v/>
      </c>
      <c r="E260">
        <f>IF(OR(Database!$AU260="",Screener!$D$10=""),0,IF(Database!$AU260=Screener!$D$10,1,0))</f>
        <v/>
      </c>
      <c r="F260">
        <f>IF(OR(Database!$AZ260="",Screener!$D$11=""),0,IF(Database!$AZ260=Screener!$D$11,1,0))</f>
        <v/>
      </c>
      <c r="G260">
        <f>IF(OR(Database!$H260="",N(Screener!$D$12)&lt;=0),0,MAX(0,1-(N(Screener!$D$12)-Database!$H260)/W_RECD))</f>
        <v/>
      </c>
      <c r="H260">
        <f>IF($U$1="",0,N(ISNUMBER(SEARCH($U$1,Database!$X260&amp;""))))+IF($V$1="",0,N(ISNUMBER(SEARCH($V$1,Database!$X260&amp;""))))+IF($W$1="",0,N(ISNUMBER(SEARCH($W$1,Database!$X260&amp;""))))+IF($X$1="",0,N(ISNUMBER(SEARCH($X$1,Database!$X260&amp;""))))+IF($Y$1="",0,N(ISNUMBER(SEARCH($Y$1,Database!$X260&amp;""))))+IF(Screener!$B$17="",0,N(ISNUMBER(SEARCH(LOWER(Screener!$B$17),Database!$X260&amp;""))))</f>
        <v/>
      </c>
      <c r="I260">
        <f>IF(OR(N(Database!$AV260)&lt;=0,N(Screener!$D$13)&lt;=0),0,MAX(0,1-ABS(LOG10(N(Database!$AV260)/Screener!$D$13))/W_PEHW))</f>
        <v/>
      </c>
      <c r="J260">
        <f>IF(OR(N(Database!$S260)&lt;=0,N(Screener!$D$14)&lt;=0),0,MAX(0,1-ABS(LOG10(Database!$S260/Screener!$D$14))/0.6))</f>
        <v/>
      </c>
      <c r="K260">
        <f>IF(Database!$B260=Screener!$B$5,-999999,IF(ISNUMBER(SEARCH(","&amp;Database!$A260&amp;",",","&amp;SUBSTITUTE(Screener!$B$19," ","")&amp;",")),2000000,IF(IF(OR(Screener!$B$18="All",AND(Screener!$B$18="With A-share",(Database!$AZ260="Y")),AND(Screener!$B$18="Without A-share",NOT((Database!$AZ260="Y")))),1,0)=0,-999999,IF(Screener!$B$16="cornerstone overlap first",H260*100000,IF(Screener!$B$16="demand-similar first",J260*100000,0))+W_SUB*B260+W_SEC*C260*(1-B260)+W_SIZE*D260+W_PROF*E260+W_AH*F260+W_REC*G260+W_CS*H260+W_PE*I260)))+ROW()/1000000</f>
        <v/>
      </c>
      <c r="AA260">
        <f>Database!B249</f>
        <v/>
      </c>
      <c r="AB260">
        <f>Database!D249</f>
        <v/>
      </c>
      <c r="AC260">
        <f>Database!E249</f>
        <v/>
      </c>
      <c r="AD260">
        <f>Database!I249</f>
        <v/>
      </c>
      <c r="AE260">
        <f>Database!AU249</f>
        <v/>
      </c>
      <c r="AF260">
        <f>Database!AZ249</f>
        <v/>
      </c>
      <c r="AG260">
        <f>Database!H249</f>
        <v/>
      </c>
      <c r="AH260">
        <f>Database!AV249</f>
        <v/>
      </c>
    </row>
    <row r="261">
      <c r="A261">
        <f>Database!B261</f>
        <v/>
      </c>
      <c r="B261">
        <f>IF(AND(Screener!$D$8&lt;&gt;"",Database!$E261=Screener!$D$8),1,0)</f>
        <v/>
      </c>
      <c r="C261">
        <f>IF(AND(Screener!$D$7&lt;&gt;"",Database!$D261=Screener!$D$7),1,0)</f>
        <v/>
      </c>
      <c r="D261">
        <f>IF(OR(N(Database!$I261)&lt;=0,N(Screener!$D$9)&lt;=0),0,MAX(0,1-ABS(LOG10(N(Database!$I261)/Screener!$D$9))/W_SIZEHW))</f>
        <v/>
      </c>
      <c r="E261">
        <f>IF(OR(Database!$AU261="",Screener!$D$10=""),0,IF(Database!$AU261=Screener!$D$10,1,0))</f>
        <v/>
      </c>
      <c r="F261">
        <f>IF(OR(Database!$AZ261="",Screener!$D$11=""),0,IF(Database!$AZ261=Screener!$D$11,1,0))</f>
        <v/>
      </c>
      <c r="G261">
        <f>IF(OR(Database!$H261="",N(Screener!$D$12)&lt;=0),0,MAX(0,1-(N(Screener!$D$12)-Database!$H261)/W_RECD))</f>
        <v/>
      </c>
      <c r="H261">
        <f>IF($U$1="",0,N(ISNUMBER(SEARCH($U$1,Database!$X261&amp;""))))+IF($V$1="",0,N(ISNUMBER(SEARCH($V$1,Database!$X261&amp;""))))+IF($W$1="",0,N(ISNUMBER(SEARCH($W$1,Database!$X261&amp;""))))+IF($X$1="",0,N(ISNUMBER(SEARCH($X$1,Database!$X261&amp;""))))+IF($Y$1="",0,N(ISNUMBER(SEARCH($Y$1,Database!$X261&amp;""))))+IF(Screener!$B$17="",0,N(ISNUMBER(SEARCH(LOWER(Screener!$B$17),Database!$X261&amp;""))))</f>
        <v/>
      </c>
      <c r="I261">
        <f>IF(OR(N(Database!$AV261)&lt;=0,N(Screener!$D$13)&lt;=0),0,MAX(0,1-ABS(LOG10(N(Database!$AV261)/Screener!$D$13))/W_PEHW))</f>
        <v/>
      </c>
      <c r="J261">
        <f>IF(OR(N(Database!$S261)&lt;=0,N(Screener!$D$14)&lt;=0),0,MAX(0,1-ABS(LOG10(Database!$S261/Screener!$D$14))/0.6))</f>
        <v/>
      </c>
      <c r="K261">
        <f>IF(Database!$B261=Screener!$B$5,-999999,IF(ISNUMBER(SEARCH(","&amp;Database!$A261&amp;",",","&amp;SUBSTITUTE(Screener!$B$19," ","")&amp;",")),2000000,IF(IF(OR(Screener!$B$18="All",AND(Screener!$B$18="With A-share",(Database!$AZ261="Y")),AND(Screener!$B$18="Without A-share",NOT((Database!$AZ261="Y")))),1,0)=0,-999999,IF(Screener!$B$16="cornerstone overlap first",H261*100000,IF(Screener!$B$16="demand-similar first",J261*100000,0))+W_SUB*B261+W_SEC*C261*(1-B261)+W_SIZE*D261+W_PROF*E261+W_AH*F261+W_REC*G261+W_CS*H261+W_PE*I261)))+ROW()/1000000</f>
        <v/>
      </c>
      <c r="AA261">
        <f>Database!B250</f>
        <v/>
      </c>
      <c r="AB261">
        <f>Database!D250</f>
        <v/>
      </c>
      <c r="AC261">
        <f>Database!E250</f>
        <v/>
      </c>
      <c r="AD261">
        <f>Database!I250</f>
        <v/>
      </c>
      <c r="AE261">
        <f>Database!AU250</f>
        <v/>
      </c>
      <c r="AF261">
        <f>Database!AZ250</f>
        <v/>
      </c>
      <c r="AG261">
        <f>Database!H250</f>
        <v/>
      </c>
      <c r="AH261">
        <f>Database!AV250</f>
        <v/>
      </c>
    </row>
    <row r="262">
      <c r="A262">
        <f>Database!B262</f>
        <v/>
      </c>
      <c r="B262">
        <f>IF(AND(Screener!$D$8&lt;&gt;"",Database!$E262=Screener!$D$8),1,0)</f>
        <v/>
      </c>
      <c r="C262">
        <f>IF(AND(Screener!$D$7&lt;&gt;"",Database!$D262=Screener!$D$7),1,0)</f>
        <v/>
      </c>
      <c r="D262">
        <f>IF(OR(N(Database!$I262)&lt;=0,N(Screener!$D$9)&lt;=0),0,MAX(0,1-ABS(LOG10(N(Database!$I262)/Screener!$D$9))/W_SIZEHW))</f>
        <v/>
      </c>
      <c r="E262">
        <f>IF(OR(Database!$AU262="",Screener!$D$10=""),0,IF(Database!$AU262=Screener!$D$10,1,0))</f>
        <v/>
      </c>
      <c r="F262">
        <f>IF(OR(Database!$AZ262="",Screener!$D$11=""),0,IF(Database!$AZ262=Screener!$D$11,1,0))</f>
        <v/>
      </c>
      <c r="G262">
        <f>IF(OR(Database!$H262="",N(Screener!$D$12)&lt;=0),0,MAX(0,1-(N(Screener!$D$12)-Database!$H262)/W_RECD))</f>
        <v/>
      </c>
      <c r="H262">
        <f>IF($U$1="",0,N(ISNUMBER(SEARCH($U$1,Database!$X262&amp;""))))+IF($V$1="",0,N(ISNUMBER(SEARCH($V$1,Database!$X262&amp;""))))+IF($W$1="",0,N(ISNUMBER(SEARCH($W$1,Database!$X262&amp;""))))+IF($X$1="",0,N(ISNUMBER(SEARCH($X$1,Database!$X262&amp;""))))+IF($Y$1="",0,N(ISNUMBER(SEARCH($Y$1,Database!$X262&amp;""))))+IF(Screener!$B$17="",0,N(ISNUMBER(SEARCH(LOWER(Screener!$B$17),Database!$X262&amp;""))))</f>
        <v/>
      </c>
      <c r="I262">
        <f>IF(OR(N(Database!$AV262)&lt;=0,N(Screener!$D$13)&lt;=0),0,MAX(0,1-ABS(LOG10(N(Database!$AV262)/Screener!$D$13))/W_PEHW))</f>
        <v/>
      </c>
      <c r="J262">
        <f>IF(OR(N(Database!$S262)&lt;=0,N(Screener!$D$14)&lt;=0),0,MAX(0,1-ABS(LOG10(Database!$S262/Screener!$D$14))/0.6))</f>
        <v/>
      </c>
      <c r="K262">
        <f>IF(Database!$B262=Screener!$B$5,-999999,IF(ISNUMBER(SEARCH(","&amp;Database!$A262&amp;",",","&amp;SUBSTITUTE(Screener!$B$19," ","")&amp;",")),2000000,IF(IF(OR(Screener!$B$18="All",AND(Screener!$B$18="With A-share",(Database!$AZ262="Y")),AND(Screener!$B$18="Without A-share",NOT((Database!$AZ262="Y")))),1,0)=0,-999999,IF(Screener!$B$16="cornerstone overlap first",H262*100000,IF(Screener!$B$16="demand-similar first",J262*100000,0))+W_SUB*B262+W_SEC*C262*(1-B262)+W_SIZE*D262+W_PROF*E262+W_AH*F262+W_REC*G262+W_CS*H262+W_PE*I262)))+ROW()/1000000</f>
        <v/>
      </c>
      <c r="AA262">
        <f>Database!B251</f>
        <v/>
      </c>
      <c r="AB262">
        <f>Database!D251</f>
        <v/>
      </c>
      <c r="AC262">
        <f>Database!E251</f>
        <v/>
      </c>
      <c r="AD262">
        <f>Database!I251</f>
        <v/>
      </c>
      <c r="AE262">
        <f>Database!AU251</f>
        <v/>
      </c>
      <c r="AF262">
        <f>Database!AZ251</f>
        <v/>
      </c>
      <c r="AG262">
        <f>Database!H251</f>
        <v/>
      </c>
      <c r="AH262">
        <f>Database!AV251</f>
        <v/>
      </c>
    </row>
    <row r="263">
      <c r="A263">
        <f>Database!B263</f>
        <v/>
      </c>
      <c r="B263">
        <f>IF(AND(Screener!$D$8&lt;&gt;"",Database!$E263=Screener!$D$8),1,0)</f>
        <v/>
      </c>
      <c r="C263">
        <f>IF(AND(Screener!$D$7&lt;&gt;"",Database!$D263=Screener!$D$7),1,0)</f>
        <v/>
      </c>
      <c r="D263">
        <f>IF(OR(N(Database!$I263)&lt;=0,N(Screener!$D$9)&lt;=0),0,MAX(0,1-ABS(LOG10(N(Database!$I263)/Screener!$D$9))/W_SIZEHW))</f>
        <v/>
      </c>
      <c r="E263">
        <f>IF(OR(Database!$AU263="",Screener!$D$10=""),0,IF(Database!$AU263=Screener!$D$10,1,0))</f>
        <v/>
      </c>
      <c r="F263">
        <f>IF(OR(Database!$AZ263="",Screener!$D$11=""),0,IF(Database!$AZ263=Screener!$D$11,1,0))</f>
        <v/>
      </c>
      <c r="G263">
        <f>IF(OR(Database!$H263="",N(Screener!$D$12)&lt;=0),0,MAX(0,1-(N(Screener!$D$12)-Database!$H263)/W_RECD))</f>
        <v/>
      </c>
      <c r="H263">
        <f>IF($U$1="",0,N(ISNUMBER(SEARCH($U$1,Database!$X263&amp;""))))+IF($V$1="",0,N(ISNUMBER(SEARCH($V$1,Database!$X263&amp;""))))+IF($W$1="",0,N(ISNUMBER(SEARCH($W$1,Database!$X263&amp;""))))+IF($X$1="",0,N(ISNUMBER(SEARCH($X$1,Database!$X263&amp;""))))+IF($Y$1="",0,N(ISNUMBER(SEARCH($Y$1,Database!$X263&amp;""))))+IF(Screener!$B$17="",0,N(ISNUMBER(SEARCH(LOWER(Screener!$B$17),Database!$X263&amp;""))))</f>
        <v/>
      </c>
      <c r="I263">
        <f>IF(OR(N(Database!$AV263)&lt;=0,N(Screener!$D$13)&lt;=0),0,MAX(0,1-ABS(LOG10(N(Database!$AV263)/Screener!$D$13))/W_PEHW))</f>
        <v/>
      </c>
      <c r="J263">
        <f>IF(OR(N(Database!$S263)&lt;=0,N(Screener!$D$14)&lt;=0),0,MAX(0,1-ABS(LOG10(Database!$S263/Screener!$D$14))/0.6))</f>
        <v/>
      </c>
      <c r="K263">
        <f>IF(Database!$B263=Screener!$B$5,-999999,IF(ISNUMBER(SEARCH(","&amp;Database!$A263&amp;",",","&amp;SUBSTITUTE(Screener!$B$19," ","")&amp;",")),2000000,IF(IF(OR(Screener!$B$18="All",AND(Screener!$B$18="With A-share",(Database!$AZ263="Y")),AND(Screener!$B$18="Without A-share",NOT((Database!$AZ263="Y")))),1,0)=0,-999999,IF(Screener!$B$16="cornerstone overlap first",H263*100000,IF(Screener!$B$16="demand-similar first",J263*100000,0))+W_SUB*B263+W_SEC*C263*(1-B263)+W_SIZE*D263+W_PROF*E263+W_AH*F263+W_REC*G263+W_CS*H263+W_PE*I263)))+ROW()/1000000</f>
        <v/>
      </c>
      <c r="AA263">
        <f>Database!B252</f>
        <v/>
      </c>
      <c r="AB263">
        <f>Database!D252</f>
        <v/>
      </c>
      <c r="AC263">
        <f>Database!E252</f>
        <v/>
      </c>
      <c r="AD263">
        <f>Database!I252</f>
        <v/>
      </c>
      <c r="AE263">
        <f>Database!AU252</f>
        <v/>
      </c>
      <c r="AF263">
        <f>Database!AZ252</f>
        <v/>
      </c>
      <c r="AG263">
        <f>Database!H252</f>
        <v/>
      </c>
      <c r="AH263">
        <f>Database!AV252</f>
        <v/>
      </c>
    </row>
    <row r="264">
      <c r="A264">
        <f>Database!B264</f>
        <v/>
      </c>
      <c r="B264">
        <f>IF(AND(Screener!$D$8&lt;&gt;"",Database!$E264=Screener!$D$8),1,0)</f>
        <v/>
      </c>
      <c r="C264">
        <f>IF(AND(Screener!$D$7&lt;&gt;"",Database!$D264=Screener!$D$7),1,0)</f>
        <v/>
      </c>
      <c r="D264">
        <f>IF(OR(N(Database!$I264)&lt;=0,N(Screener!$D$9)&lt;=0),0,MAX(0,1-ABS(LOG10(N(Database!$I264)/Screener!$D$9))/W_SIZEHW))</f>
        <v/>
      </c>
      <c r="E264">
        <f>IF(OR(Database!$AU264="",Screener!$D$10=""),0,IF(Database!$AU264=Screener!$D$10,1,0))</f>
        <v/>
      </c>
      <c r="F264">
        <f>IF(OR(Database!$AZ264="",Screener!$D$11=""),0,IF(Database!$AZ264=Screener!$D$11,1,0))</f>
        <v/>
      </c>
      <c r="G264">
        <f>IF(OR(Database!$H264="",N(Screener!$D$12)&lt;=0),0,MAX(0,1-(N(Screener!$D$12)-Database!$H264)/W_RECD))</f>
        <v/>
      </c>
      <c r="H264">
        <f>IF($U$1="",0,N(ISNUMBER(SEARCH($U$1,Database!$X264&amp;""))))+IF($V$1="",0,N(ISNUMBER(SEARCH($V$1,Database!$X264&amp;""))))+IF($W$1="",0,N(ISNUMBER(SEARCH($W$1,Database!$X264&amp;""))))+IF($X$1="",0,N(ISNUMBER(SEARCH($X$1,Database!$X264&amp;""))))+IF($Y$1="",0,N(ISNUMBER(SEARCH($Y$1,Database!$X264&amp;""))))+IF(Screener!$B$17="",0,N(ISNUMBER(SEARCH(LOWER(Screener!$B$17),Database!$X264&amp;""))))</f>
        <v/>
      </c>
      <c r="I264">
        <f>IF(OR(N(Database!$AV264)&lt;=0,N(Screener!$D$13)&lt;=0),0,MAX(0,1-ABS(LOG10(N(Database!$AV264)/Screener!$D$13))/W_PEHW))</f>
        <v/>
      </c>
      <c r="J264">
        <f>IF(OR(N(Database!$S264)&lt;=0,N(Screener!$D$14)&lt;=0),0,MAX(0,1-ABS(LOG10(Database!$S264/Screener!$D$14))/0.6))</f>
        <v/>
      </c>
      <c r="K264">
        <f>IF(Database!$B264=Screener!$B$5,-999999,IF(ISNUMBER(SEARCH(","&amp;Database!$A264&amp;",",","&amp;SUBSTITUTE(Screener!$B$19," ","")&amp;",")),2000000,IF(IF(OR(Screener!$B$18="All",AND(Screener!$B$18="With A-share",(Database!$AZ264="Y")),AND(Screener!$B$18="Without A-share",NOT((Database!$AZ264="Y")))),1,0)=0,-999999,IF(Screener!$B$16="cornerstone overlap first",H264*100000,IF(Screener!$B$16="demand-similar first",J264*100000,0))+W_SUB*B264+W_SEC*C264*(1-B264)+W_SIZE*D264+W_PROF*E264+W_AH*F264+W_REC*G264+W_CS*H264+W_PE*I264)))+ROW()/1000000</f>
        <v/>
      </c>
      <c r="AA264">
        <f>Database!B253</f>
        <v/>
      </c>
      <c r="AB264">
        <f>Database!D253</f>
        <v/>
      </c>
      <c r="AC264">
        <f>Database!E253</f>
        <v/>
      </c>
      <c r="AD264">
        <f>Database!I253</f>
        <v/>
      </c>
      <c r="AE264">
        <f>Database!AU253</f>
        <v/>
      </c>
      <c r="AF264">
        <f>Database!AZ253</f>
        <v/>
      </c>
      <c r="AG264">
        <f>Database!H253</f>
        <v/>
      </c>
      <c r="AH264">
        <f>Database!AV253</f>
        <v/>
      </c>
    </row>
    <row r="265">
      <c r="A265">
        <f>Database!B265</f>
        <v/>
      </c>
      <c r="B265">
        <f>IF(AND(Screener!$D$8&lt;&gt;"",Database!$E265=Screener!$D$8),1,0)</f>
        <v/>
      </c>
      <c r="C265">
        <f>IF(AND(Screener!$D$7&lt;&gt;"",Database!$D265=Screener!$D$7),1,0)</f>
        <v/>
      </c>
      <c r="D265">
        <f>IF(OR(N(Database!$I265)&lt;=0,N(Screener!$D$9)&lt;=0),0,MAX(0,1-ABS(LOG10(N(Database!$I265)/Screener!$D$9))/W_SIZEHW))</f>
        <v/>
      </c>
      <c r="E265">
        <f>IF(OR(Database!$AU265="",Screener!$D$10=""),0,IF(Database!$AU265=Screener!$D$10,1,0))</f>
        <v/>
      </c>
      <c r="F265">
        <f>IF(OR(Database!$AZ265="",Screener!$D$11=""),0,IF(Database!$AZ265=Screener!$D$11,1,0))</f>
        <v/>
      </c>
      <c r="G265">
        <f>IF(OR(Database!$H265="",N(Screener!$D$12)&lt;=0),0,MAX(0,1-(N(Screener!$D$12)-Database!$H265)/W_RECD))</f>
        <v/>
      </c>
      <c r="H265">
        <f>IF($U$1="",0,N(ISNUMBER(SEARCH($U$1,Database!$X265&amp;""))))+IF($V$1="",0,N(ISNUMBER(SEARCH($V$1,Database!$X265&amp;""))))+IF($W$1="",0,N(ISNUMBER(SEARCH($W$1,Database!$X265&amp;""))))+IF($X$1="",0,N(ISNUMBER(SEARCH($X$1,Database!$X265&amp;""))))+IF($Y$1="",0,N(ISNUMBER(SEARCH($Y$1,Database!$X265&amp;""))))+IF(Screener!$B$17="",0,N(ISNUMBER(SEARCH(LOWER(Screener!$B$17),Database!$X265&amp;""))))</f>
        <v/>
      </c>
      <c r="I265">
        <f>IF(OR(N(Database!$AV265)&lt;=0,N(Screener!$D$13)&lt;=0),0,MAX(0,1-ABS(LOG10(N(Database!$AV265)/Screener!$D$13))/W_PEHW))</f>
        <v/>
      </c>
      <c r="J265">
        <f>IF(OR(N(Database!$S265)&lt;=0,N(Screener!$D$14)&lt;=0),0,MAX(0,1-ABS(LOG10(Database!$S265/Screener!$D$14))/0.6))</f>
        <v/>
      </c>
      <c r="K265">
        <f>IF(Database!$B265=Screener!$B$5,-999999,IF(ISNUMBER(SEARCH(","&amp;Database!$A265&amp;",",","&amp;SUBSTITUTE(Screener!$B$19," ","")&amp;",")),2000000,IF(IF(OR(Screener!$B$18="All",AND(Screener!$B$18="With A-share",(Database!$AZ265="Y")),AND(Screener!$B$18="Without A-share",NOT((Database!$AZ265="Y")))),1,0)=0,-999999,IF(Screener!$B$16="cornerstone overlap first",H265*100000,IF(Screener!$B$16="demand-similar first",J265*100000,0))+W_SUB*B265+W_SEC*C265*(1-B265)+W_SIZE*D265+W_PROF*E265+W_AH*F265+W_REC*G265+W_CS*H265+W_PE*I265)))+ROW()/1000000</f>
        <v/>
      </c>
      <c r="AA265">
        <f>Database!B254</f>
        <v/>
      </c>
      <c r="AB265">
        <f>Database!D254</f>
        <v/>
      </c>
      <c r="AC265">
        <f>Database!E254</f>
        <v/>
      </c>
      <c r="AD265">
        <f>Database!I254</f>
        <v/>
      </c>
      <c r="AE265">
        <f>Database!AU254</f>
        <v/>
      </c>
      <c r="AF265">
        <f>Database!AZ254</f>
        <v/>
      </c>
      <c r="AG265">
        <f>Database!H254</f>
        <v/>
      </c>
      <c r="AH265">
        <f>Database!AV254</f>
        <v/>
      </c>
    </row>
    <row r="266">
      <c r="A266">
        <f>Database!B266</f>
        <v/>
      </c>
      <c r="B266">
        <f>IF(AND(Screener!$D$8&lt;&gt;"",Database!$E266=Screener!$D$8),1,0)</f>
        <v/>
      </c>
      <c r="C266">
        <f>IF(AND(Screener!$D$7&lt;&gt;"",Database!$D266=Screener!$D$7),1,0)</f>
        <v/>
      </c>
      <c r="D266">
        <f>IF(OR(N(Database!$I266)&lt;=0,N(Screener!$D$9)&lt;=0),0,MAX(0,1-ABS(LOG10(N(Database!$I266)/Screener!$D$9))/W_SIZEHW))</f>
        <v/>
      </c>
      <c r="E266">
        <f>IF(OR(Database!$AU266="",Screener!$D$10=""),0,IF(Database!$AU266=Screener!$D$10,1,0))</f>
        <v/>
      </c>
      <c r="F266">
        <f>IF(OR(Database!$AZ266="",Screener!$D$11=""),0,IF(Database!$AZ266=Screener!$D$11,1,0))</f>
        <v/>
      </c>
      <c r="G266">
        <f>IF(OR(Database!$H266="",N(Screener!$D$12)&lt;=0),0,MAX(0,1-(N(Screener!$D$12)-Database!$H266)/W_RECD))</f>
        <v/>
      </c>
      <c r="H266">
        <f>IF($U$1="",0,N(ISNUMBER(SEARCH($U$1,Database!$X266&amp;""))))+IF($V$1="",0,N(ISNUMBER(SEARCH($V$1,Database!$X266&amp;""))))+IF($W$1="",0,N(ISNUMBER(SEARCH($W$1,Database!$X266&amp;""))))+IF($X$1="",0,N(ISNUMBER(SEARCH($X$1,Database!$X266&amp;""))))+IF($Y$1="",0,N(ISNUMBER(SEARCH($Y$1,Database!$X266&amp;""))))+IF(Screener!$B$17="",0,N(ISNUMBER(SEARCH(LOWER(Screener!$B$17),Database!$X266&amp;""))))</f>
        <v/>
      </c>
      <c r="I266">
        <f>IF(OR(N(Database!$AV266)&lt;=0,N(Screener!$D$13)&lt;=0),0,MAX(0,1-ABS(LOG10(N(Database!$AV266)/Screener!$D$13))/W_PEHW))</f>
        <v/>
      </c>
      <c r="J266">
        <f>IF(OR(N(Database!$S266)&lt;=0,N(Screener!$D$14)&lt;=0),0,MAX(0,1-ABS(LOG10(Database!$S266/Screener!$D$14))/0.6))</f>
        <v/>
      </c>
      <c r="K266">
        <f>IF(Database!$B266=Screener!$B$5,-999999,IF(ISNUMBER(SEARCH(","&amp;Database!$A266&amp;",",","&amp;SUBSTITUTE(Screener!$B$19," ","")&amp;",")),2000000,IF(IF(OR(Screener!$B$18="All",AND(Screener!$B$18="With A-share",(Database!$AZ266="Y")),AND(Screener!$B$18="Without A-share",NOT((Database!$AZ266="Y")))),1,0)=0,-999999,IF(Screener!$B$16="cornerstone overlap first",H266*100000,IF(Screener!$B$16="demand-similar first",J266*100000,0))+W_SUB*B266+W_SEC*C266*(1-B266)+W_SIZE*D266+W_PROF*E266+W_AH*F266+W_REC*G266+W_CS*H266+W_PE*I266)))+ROW()/1000000</f>
        <v/>
      </c>
      <c r="AA266">
        <f>Database!B255</f>
        <v/>
      </c>
      <c r="AB266">
        <f>Database!D255</f>
        <v/>
      </c>
      <c r="AC266">
        <f>Database!E255</f>
        <v/>
      </c>
      <c r="AD266">
        <f>Database!I255</f>
        <v/>
      </c>
      <c r="AE266">
        <f>Database!AU255</f>
        <v/>
      </c>
      <c r="AF266">
        <f>Database!AZ255</f>
        <v/>
      </c>
      <c r="AG266">
        <f>Database!H255</f>
        <v/>
      </c>
      <c r="AH266">
        <f>Database!AV255</f>
        <v/>
      </c>
    </row>
    <row r="267">
      <c r="A267">
        <f>Database!B267</f>
        <v/>
      </c>
      <c r="B267">
        <f>IF(AND(Screener!$D$8&lt;&gt;"",Database!$E267=Screener!$D$8),1,0)</f>
        <v/>
      </c>
      <c r="C267">
        <f>IF(AND(Screener!$D$7&lt;&gt;"",Database!$D267=Screener!$D$7),1,0)</f>
        <v/>
      </c>
      <c r="D267">
        <f>IF(OR(N(Database!$I267)&lt;=0,N(Screener!$D$9)&lt;=0),0,MAX(0,1-ABS(LOG10(N(Database!$I267)/Screener!$D$9))/W_SIZEHW))</f>
        <v/>
      </c>
      <c r="E267">
        <f>IF(OR(Database!$AU267="",Screener!$D$10=""),0,IF(Database!$AU267=Screener!$D$10,1,0))</f>
        <v/>
      </c>
      <c r="F267">
        <f>IF(OR(Database!$AZ267="",Screener!$D$11=""),0,IF(Database!$AZ267=Screener!$D$11,1,0))</f>
        <v/>
      </c>
      <c r="G267">
        <f>IF(OR(Database!$H267="",N(Screener!$D$12)&lt;=0),0,MAX(0,1-(N(Screener!$D$12)-Database!$H267)/W_RECD))</f>
        <v/>
      </c>
      <c r="H267">
        <f>IF($U$1="",0,N(ISNUMBER(SEARCH($U$1,Database!$X267&amp;""))))+IF($V$1="",0,N(ISNUMBER(SEARCH($V$1,Database!$X267&amp;""))))+IF($W$1="",0,N(ISNUMBER(SEARCH($W$1,Database!$X267&amp;""))))+IF($X$1="",0,N(ISNUMBER(SEARCH($X$1,Database!$X267&amp;""))))+IF($Y$1="",0,N(ISNUMBER(SEARCH($Y$1,Database!$X267&amp;""))))+IF(Screener!$B$17="",0,N(ISNUMBER(SEARCH(LOWER(Screener!$B$17),Database!$X267&amp;""))))</f>
        <v/>
      </c>
      <c r="I267">
        <f>IF(OR(N(Database!$AV267)&lt;=0,N(Screener!$D$13)&lt;=0),0,MAX(0,1-ABS(LOG10(N(Database!$AV267)/Screener!$D$13))/W_PEHW))</f>
        <v/>
      </c>
      <c r="J267">
        <f>IF(OR(N(Database!$S267)&lt;=0,N(Screener!$D$14)&lt;=0),0,MAX(0,1-ABS(LOG10(Database!$S267/Screener!$D$14))/0.6))</f>
        <v/>
      </c>
      <c r="K267">
        <f>IF(Database!$B267=Screener!$B$5,-999999,IF(ISNUMBER(SEARCH(","&amp;Database!$A267&amp;",",","&amp;SUBSTITUTE(Screener!$B$19," ","")&amp;",")),2000000,IF(IF(OR(Screener!$B$18="All",AND(Screener!$B$18="With A-share",(Database!$AZ267="Y")),AND(Screener!$B$18="Without A-share",NOT((Database!$AZ267="Y")))),1,0)=0,-999999,IF(Screener!$B$16="cornerstone overlap first",H267*100000,IF(Screener!$B$16="demand-similar first",J267*100000,0))+W_SUB*B267+W_SEC*C267*(1-B267)+W_SIZE*D267+W_PROF*E267+W_AH*F267+W_REC*G267+W_CS*H267+W_PE*I267)))+ROW()/1000000</f>
        <v/>
      </c>
      <c r="AA267">
        <f>Database!B256</f>
        <v/>
      </c>
      <c r="AB267">
        <f>Database!D256</f>
        <v/>
      </c>
      <c r="AC267">
        <f>Database!E256</f>
        <v/>
      </c>
      <c r="AD267">
        <f>Database!I256</f>
        <v/>
      </c>
      <c r="AE267">
        <f>Database!AU256</f>
        <v/>
      </c>
      <c r="AF267">
        <f>Database!AZ256</f>
        <v/>
      </c>
      <c r="AG267">
        <f>Database!H256</f>
        <v/>
      </c>
      <c r="AH267">
        <f>Database!AV256</f>
        <v/>
      </c>
    </row>
    <row r="268">
      <c r="A268">
        <f>Database!B268</f>
        <v/>
      </c>
      <c r="B268">
        <f>IF(AND(Screener!$D$8&lt;&gt;"",Database!$E268=Screener!$D$8),1,0)</f>
        <v/>
      </c>
      <c r="C268">
        <f>IF(AND(Screener!$D$7&lt;&gt;"",Database!$D268=Screener!$D$7),1,0)</f>
        <v/>
      </c>
      <c r="D268">
        <f>IF(OR(N(Database!$I268)&lt;=0,N(Screener!$D$9)&lt;=0),0,MAX(0,1-ABS(LOG10(N(Database!$I268)/Screener!$D$9))/W_SIZEHW))</f>
        <v/>
      </c>
      <c r="E268">
        <f>IF(OR(Database!$AU268="",Screener!$D$10=""),0,IF(Database!$AU268=Screener!$D$10,1,0))</f>
        <v/>
      </c>
      <c r="F268">
        <f>IF(OR(Database!$AZ268="",Screener!$D$11=""),0,IF(Database!$AZ268=Screener!$D$11,1,0))</f>
        <v/>
      </c>
      <c r="G268">
        <f>IF(OR(Database!$H268="",N(Screener!$D$12)&lt;=0),0,MAX(0,1-(N(Screener!$D$12)-Database!$H268)/W_RECD))</f>
        <v/>
      </c>
      <c r="H268">
        <f>IF($U$1="",0,N(ISNUMBER(SEARCH($U$1,Database!$X268&amp;""))))+IF($V$1="",0,N(ISNUMBER(SEARCH($V$1,Database!$X268&amp;""))))+IF($W$1="",0,N(ISNUMBER(SEARCH($W$1,Database!$X268&amp;""))))+IF($X$1="",0,N(ISNUMBER(SEARCH($X$1,Database!$X268&amp;""))))+IF($Y$1="",0,N(ISNUMBER(SEARCH($Y$1,Database!$X268&amp;""))))+IF(Screener!$B$17="",0,N(ISNUMBER(SEARCH(LOWER(Screener!$B$17),Database!$X268&amp;""))))</f>
        <v/>
      </c>
      <c r="I268">
        <f>IF(OR(N(Database!$AV268)&lt;=0,N(Screener!$D$13)&lt;=0),0,MAX(0,1-ABS(LOG10(N(Database!$AV268)/Screener!$D$13))/W_PEHW))</f>
        <v/>
      </c>
      <c r="J268">
        <f>IF(OR(N(Database!$S268)&lt;=0,N(Screener!$D$14)&lt;=0),0,MAX(0,1-ABS(LOG10(Database!$S268/Screener!$D$14))/0.6))</f>
        <v/>
      </c>
      <c r="K268">
        <f>IF(Database!$B268=Screener!$B$5,-999999,IF(ISNUMBER(SEARCH(","&amp;Database!$A268&amp;",",","&amp;SUBSTITUTE(Screener!$B$19," ","")&amp;",")),2000000,IF(IF(OR(Screener!$B$18="All",AND(Screener!$B$18="With A-share",(Database!$AZ268="Y")),AND(Screener!$B$18="Without A-share",NOT((Database!$AZ268="Y")))),1,0)=0,-999999,IF(Screener!$B$16="cornerstone overlap first",H268*100000,IF(Screener!$B$16="demand-similar first",J268*100000,0))+W_SUB*B268+W_SEC*C268*(1-B268)+W_SIZE*D268+W_PROF*E268+W_AH*F268+W_REC*G268+W_CS*H268+W_PE*I268)))+ROW()/1000000</f>
        <v/>
      </c>
      <c r="AA268">
        <f>Database!B257</f>
        <v/>
      </c>
      <c r="AB268">
        <f>Database!D257</f>
        <v/>
      </c>
      <c r="AC268">
        <f>Database!E257</f>
        <v/>
      </c>
      <c r="AD268">
        <f>Database!I257</f>
        <v/>
      </c>
      <c r="AE268">
        <f>Database!AU257</f>
        <v/>
      </c>
      <c r="AF268">
        <f>Database!AZ257</f>
        <v/>
      </c>
      <c r="AG268">
        <f>Database!H257</f>
        <v/>
      </c>
      <c r="AH268">
        <f>Database!AV257</f>
        <v/>
      </c>
    </row>
    <row r="269">
      <c r="A269">
        <f>Database!B269</f>
        <v/>
      </c>
      <c r="B269">
        <f>IF(AND(Screener!$D$8&lt;&gt;"",Database!$E269=Screener!$D$8),1,0)</f>
        <v/>
      </c>
      <c r="C269">
        <f>IF(AND(Screener!$D$7&lt;&gt;"",Database!$D269=Screener!$D$7),1,0)</f>
        <v/>
      </c>
      <c r="D269">
        <f>IF(OR(N(Database!$I269)&lt;=0,N(Screener!$D$9)&lt;=0),0,MAX(0,1-ABS(LOG10(N(Database!$I269)/Screener!$D$9))/W_SIZEHW))</f>
        <v/>
      </c>
      <c r="E269">
        <f>IF(OR(Database!$AU269="",Screener!$D$10=""),0,IF(Database!$AU269=Screener!$D$10,1,0))</f>
        <v/>
      </c>
      <c r="F269">
        <f>IF(OR(Database!$AZ269="",Screener!$D$11=""),0,IF(Database!$AZ269=Screener!$D$11,1,0))</f>
        <v/>
      </c>
      <c r="G269">
        <f>IF(OR(Database!$H269="",N(Screener!$D$12)&lt;=0),0,MAX(0,1-(N(Screener!$D$12)-Database!$H269)/W_RECD))</f>
        <v/>
      </c>
      <c r="H269">
        <f>IF($U$1="",0,N(ISNUMBER(SEARCH($U$1,Database!$X269&amp;""))))+IF($V$1="",0,N(ISNUMBER(SEARCH($V$1,Database!$X269&amp;""))))+IF($W$1="",0,N(ISNUMBER(SEARCH($W$1,Database!$X269&amp;""))))+IF($X$1="",0,N(ISNUMBER(SEARCH($X$1,Database!$X269&amp;""))))+IF($Y$1="",0,N(ISNUMBER(SEARCH($Y$1,Database!$X269&amp;""))))+IF(Screener!$B$17="",0,N(ISNUMBER(SEARCH(LOWER(Screener!$B$17),Database!$X269&amp;""))))</f>
        <v/>
      </c>
      <c r="I269">
        <f>IF(OR(N(Database!$AV269)&lt;=0,N(Screener!$D$13)&lt;=0),0,MAX(0,1-ABS(LOG10(N(Database!$AV269)/Screener!$D$13))/W_PEHW))</f>
        <v/>
      </c>
      <c r="J269">
        <f>IF(OR(N(Database!$S269)&lt;=0,N(Screener!$D$14)&lt;=0),0,MAX(0,1-ABS(LOG10(Database!$S269/Screener!$D$14))/0.6))</f>
        <v/>
      </c>
      <c r="K269">
        <f>IF(Database!$B269=Screener!$B$5,-999999,IF(ISNUMBER(SEARCH(","&amp;Database!$A269&amp;",",","&amp;SUBSTITUTE(Screener!$B$19," ","")&amp;",")),2000000,IF(IF(OR(Screener!$B$18="All",AND(Screener!$B$18="With A-share",(Database!$AZ269="Y")),AND(Screener!$B$18="Without A-share",NOT((Database!$AZ269="Y")))),1,0)=0,-999999,IF(Screener!$B$16="cornerstone overlap first",H269*100000,IF(Screener!$B$16="demand-similar first",J269*100000,0))+W_SUB*B269+W_SEC*C269*(1-B269)+W_SIZE*D269+W_PROF*E269+W_AH*F269+W_REC*G269+W_CS*H269+W_PE*I269)))+ROW()/1000000</f>
        <v/>
      </c>
      <c r="AA269">
        <f>Database!B258</f>
        <v/>
      </c>
      <c r="AB269">
        <f>Database!D258</f>
        <v/>
      </c>
      <c r="AC269">
        <f>Database!E258</f>
        <v/>
      </c>
      <c r="AD269">
        <f>Database!I258</f>
        <v/>
      </c>
      <c r="AE269">
        <f>Database!AU258</f>
        <v/>
      </c>
      <c r="AF269">
        <f>Database!AZ258</f>
        <v/>
      </c>
      <c r="AG269">
        <f>Database!H258</f>
        <v/>
      </c>
      <c r="AH269">
        <f>Database!AV258</f>
        <v/>
      </c>
    </row>
    <row r="270">
      <c r="A270">
        <f>Database!B270</f>
        <v/>
      </c>
      <c r="B270">
        <f>IF(AND(Screener!$D$8&lt;&gt;"",Database!$E270=Screener!$D$8),1,0)</f>
        <v/>
      </c>
      <c r="C270">
        <f>IF(AND(Screener!$D$7&lt;&gt;"",Database!$D270=Screener!$D$7),1,0)</f>
        <v/>
      </c>
      <c r="D270">
        <f>IF(OR(N(Database!$I270)&lt;=0,N(Screener!$D$9)&lt;=0),0,MAX(0,1-ABS(LOG10(N(Database!$I270)/Screener!$D$9))/W_SIZEHW))</f>
        <v/>
      </c>
      <c r="E270">
        <f>IF(OR(Database!$AU270="",Screener!$D$10=""),0,IF(Database!$AU270=Screener!$D$10,1,0))</f>
        <v/>
      </c>
      <c r="F270">
        <f>IF(OR(Database!$AZ270="",Screener!$D$11=""),0,IF(Database!$AZ270=Screener!$D$11,1,0))</f>
        <v/>
      </c>
      <c r="G270">
        <f>IF(OR(Database!$H270="",N(Screener!$D$12)&lt;=0),0,MAX(0,1-(N(Screener!$D$12)-Database!$H270)/W_RECD))</f>
        <v/>
      </c>
      <c r="H270">
        <f>IF($U$1="",0,N(ISNUMBER(SEARCH($U$1,Database!$X270&amp;""))))+IF($V$1="",0,N(ISNUMBER(SEARCH($V$1,Database!$X270&amp;""))))+IF($W$1="",0,N(ISNUMBER(SEARCH($W$1,Database!$X270&amp;""))))+IF($X$1="",0,N(ISNUMBER(SEARCH($X$1,Database!$X270&amp;""))))+IF($Y$1="",0,N(ISNUMBER(SEARCH($Y$1,Database!$X270&amp;""))))+IF(Screener!$B$17="",0,N(ISNUMBER(SEARCH(LOWER(Screener!$B$17),Database!$X270&amp;""))))</f>
        <v/>
      </c>
      <c r="I270">
        <f>IF(OR(N(Database!$AV270)&lt;=0,N(Screener!$D$13)&lt;=0),0,MAX(0,1-ABS(LOG10(N(Database!$AV270)/Screener!$D$13))/W_PEHW))</f>
        <v/>
      </c>
      <c r="J270">
        <f>IF(OR(N(Database!$S270)&lt;=0,N(Screener!$D$14)&lt;=0),0,MAX(0,1-ABS(LOG10(Database!$S270/Screener!$D$14))/0.6))</f>
        <v/>
      </c>
      <c r="K270">
        <f>IF(Database!$B270=Screener!$B$5,-999999,IF(ISNUMBER(SEARCH(","&amp;Database!$A270&amp;",",","&amp;SUBSTITUTE(Screener!$B$19," ","")&amp;",")),2000000,IF(IF(OR(Screener!$B$18="All",AND(Screener!$B$18="With A-share",(Database!$AZ270="Y")),AND(Screener!$B$18="Without A-share",NOT((Database!$AZ270="Y")))),1,0)=0,-999999,IF(Screener!$B$16="cornerstone overlap first",H270*100000,IF(Screener!$B$16="demand-similar first",J270*100000,0))+W_SUB*B270+W_SEC*C270*(1-B270)+W_SIZE*D270+W_PROF*E270+W_AH*F270+W_REC*G270+W_CS*H270+W_PE*I270)))+ROW()/1000000</f>
        <v/>
      </c>
      <c r="AA270">
        <f>Database!B259</f>
        <v/>
      </c>
      <c r="AB270">
        <f>Database!D259</f>
        <v/>
      </c>
      <c r="AC270">
        <f>Database!E259</f>
        <v/>
      </c>
      <c r="AD270">
        <f>Database!I259</f>
        <v/>
      </c>
      <c r="AE270">
        <f>Database!AU259</f>
        <v/>
      </c>
      <c r="AF270">
        <f>Database!AZ259</f>
        <v/>
      </c>
      <c r="AG270">
        <f>Database!H259</f>
        <v/>
      </c>
      <c r="AH270">
        <f>Database!AV259</f>
        <v/>
      </c>
    </row>
    <row r="271">
      <c r="A271">
        <f>Database!B271</f>
        <v/>
      </c>
      <c r="B271">
        <f>IF(AND(Screener!$D$8&lt;&gt;"",Database!$E271=Screener!$D$8),1,0)</f>
        <v/>
      </c>
      <c r="C271">
        <f>IF(AND(Screener!$D$7&lt;&gt;"",Database!$D271=Screener!$D$7),1,0)</f>
        <v/>
      </c>
      <c r="D271">
        <f>IF(OR(N(Database!$I271)&lt;=0,N(Screener!$D$9)&lt;=0),0,MAX(0,1-ABS(LOG10(N(Database!$I271)/Screener!$D$9))/W_SIZEHW))</f>
        <v/>
      </c>
      <c r="E271">
        <f>IF(OR(Database!$AU271="",Screener!$D$10=""),0,IF(Database!$AU271=Screener!$D$10,1,0))</f>
        <v/>
      </c>
      <c r="F271">
        <f>IF(OR(Database!$AZ271="",Screener!$D$11=""),0,IF(Database!$AZ271=Screener!$D$11,1,0))</f>
        <v/>
      </c>
      <c r="G271">
        <f>IF(OR(Database!$H271="",N(Screener!$D$12)&lt;=0),0,MAX(0,1-(N(Screener!$D$12)-Database!$H271)/W_RECD))</f>
        <v/>
      </c>
      <c r="H271">
        <f>IF($U$1="",0,N(ISNUMBER(SEARCH($U$1,Database!$X271&amp;""))))+IF($V$1="",0,N(ISNUMBER(SEARCH($V$1,Database!$X271&amp;""))))+IF($W$1="",0,N(ISNUMBER(SEARCH($W$1,Database!$X271&amp;""))))+IF($X$1="",0,N(ISNUMBER(SEARCH($X$1,Database!$X271&amp;""))))+IF($Y$1="",0,N(ISNUMBER(SEARCH($Y$1,Database!$X271&amp;""))))+IF(Screener!$B$17="",0,N(ISNUMBER(SEARCH(LOWER(Screener!$B$17),Database!$X271&amp;""))))</f>
        <v/>
      </c>
      <c r="I271">
        <f>IF(OR(N(Database!$AV271)&lt;=0,N(Screener!$D$13)&lt;=0),0,MAX(0,1-ABS(LOG10(N(Database!$AV271)/Screener!$D$13))/W_PEHW))</f>
        <v/>
      </c>
      <c r="J271">
        <f>IF(OR(N(Database!$S271)&lt;=0,N(Screener!$D$14)&lt;=0),0,MAX(0,1-ABS(LOG10(Database!$S271/Screener!$D$14))/0.6))</f>
        <v/>
      </c>
      <c r="K271">
        <f>IF(Database!$B271=Screener!$B$5,-999999,IF(ISNUMBER(SEARCH(","&amp;Database!$A271&amp;",",","&amp;SUBSTITUTE(Screener!$B$19," ","")&amp;",")),2000000,IF(IF(OR(Screener!$B$18="All",AND(Screener!$B$18="With A-share",(Database!$AZ271="Y")),AND(Screener!$B$18="Without A-share",NOT((Database!$AZ271="Y")))),1,0)=0,-999999,IF(Screener!$B$16="cornerstone overlap first",H271*100000,IF(Screener!$B$16="demand-similar first",J271*100000,0))+W_SUB*B271+W_SEC*C271*(1-B271)+W_SIZE*D271+W_PROF*E271+W_AH*F271+W_REC*G271+W_CS*H271+W_PE*I271)))+ROW()/1000000</f>
        <v/>
      </c>
      <c r="AA271">
        <f>Database!B260</f>
        <v/>
      </c>
      <c r="AB271">
        <f>Database!D260</f>
        <v/>
      </c>
      <c r="AC271">
        <f>Database!E260</f>
        <v/>
      </c>
      <c r="AD271">
        <f>Database!I260</f>
        <v/>
      </c>
      <c r="AE271">
        <f>Database!AU260</f>
        <v/>
      </c>
      <c r="AF271">
        <f>Database!AZ260</f>
        <v/>
      </c>
      <c r="AG271">
        <f>Database!H260</f>
        <v/>
      </c>
      <c r="AH271">
        <f>Database!AV260</f>
        <v/>
      </c>
    </row>
    <row r="272">
      <c r="A272">
        <f>Database!B272</f>
        <v/>
      </c>
      <c r="B272">
        <f>IF(AND(Screener!$D$8&lt;&gt;"",Database!$E272=Screener!$D$8),1,0)</f>
        <v/>
      </c>
      <c r="C272">
        <f>IF(AND(Screener!$D$7&lt;&gt;"",Database!$D272=Screener!$D$7),1,0)</f>
        <v/>
      </c>
      <c r="D272">
        <f>IF(OR(N(Database!$I272)&lt;=0,N(Screener!$D$9)&lt;=0),0,MAX(0,1-ABS(LOG10(N(Database!$I272)/Screener!$D$9))/W_SIZEHW))</f>
        <v/>
      </c>
      <c r="E272">
        <f>IF(OR(Database!$AU272="",Screener!$D$10=""),0,IF(Database!$AU272=Screener!$D$10,1,0))</f>
        <v/>
      </c>
      <c r="F272">
        <f>IF(OR(Database!$AZ272="",Screener!$D$11=""),0,IF(Database!$AZ272=Screener!$D$11,1,0))</f>
        <v/>
      </c>
      <c r="G272">
        <f>IF(OR(Database!$H272="",N(Screener!$D$12)&lt;=0),0,MAX(0,1-(N(Screener!$D$12)-Database!$H272)/W_RECD))</f>
        <v/>
      </c>
      <c r="H272">
        <f>IF($U$1="",0,N(ISNUMBER(SEARCH($U$1,Database!$X272&amp;""))))+IF($V$1="",0,N(ISNUMBER(SEARCH($V$1,Database!$X272&amp;""))))+IF($W$1="",0,N(ISNUMBER(SEARCH($W$1,Database!$X272&amp;""))))+IF($X$1="",0,N(ISNUMBER(SEARCH($X$1,Database!$X272&amp;""))))+IF($Y$1="",0,N(ISNUMBER(SEARCH($Y$1,Database!$X272&amp;""))))+IF(Screener!$B$17="",0,N(ISNUMBER(SEARCH(LOWER(Screener!$B$17),Database!$X272&amp;""))))</f>
        <v/>
      </c>
      <c r="I272">
        <f>IF(OR(N(Database!$AV272)&lt;=0,N(Screener!$D$13)&lt;=0),0,MAX(0,1-ABS(LOG10(N(Database!$AV272)/Screener!$D$13))/W_PEHW))</f>
        <v/>
      </c>
      <c r="J272">
        <f>IF(OR(N(Database!$S272)&lt;=0,N(Screener!$D$14)&lt;=0),0,MAX(0,1-ABS(LOG10(Database!$S272/Screener!$D$14))/0.6))</f>
        <v/>
      </c>
      <c r="K272">
        <f>IF(Database!$B272=Screener!$B$5,-999999,IF(ISNUMBER(SEARCH(","&amp;Database!$A272&amp;",",","&amp;SUBSTITUTE(Screener!$B$19," ","")&amp;",")),2000000,IF(IF(OR(Screener!$B$18="All",AND(Screener!$B$18="With A-share",(Database!$AZ272="Y")),AND(Screener!$B$18="Without A-share",NOT((Database!$AZ272="Y")))),1,0)=0,-999999,IF(Screener!$B$16="cornerstone overlap first",H272*100000,IF(Screener!$B$16="demand-similar first",J272*100000,0))+W_SUB*B272+W_SEC*C272*(1-B272)+W_SIZE*D272+W_PROF*E272+W_AH*F272+W_REC*G272+W_CS*H272+W_PE*I272)))+ROW()/1000000</f>
        <v/>
      </c>
      <c r="AA272">
        <f>Database!B261</f>
        <v/>
      </c>
      <c r="AB272">
        <f>Database!D261</f>
        <v/>
      </c>
      <c r="AC272">
        <f>Database!E261</f>
        <v/>
      </c>
      <c r="AD272">
        <f>Database!I261</f>
        <v/>
      </c>
      <c r="AE272">
        <f>Database!AU261</f>
        <v/>
      </c>
      <c r="AF272">
        <f>Database!AZ261</f>
        <v/>
      </c>
      <c r="AG272">
        <f>Database!H261</f>
        <v/>
      </c>
      <c r="AH272">
        <f>Database!AV261</f>
        <v/>
      </c>
    </row>
    <row r="273">
      <c r="A273">
        <f>Database!B273</f>
        <v/>
      </c>
      <c r="B273">
        <f>IF(AND(Screener!$D$8&lt;&gt;"",Database!$E273=Screener!$D$8),1,0)</f>
        <v/>
      </c>
      <c r="C273">
        <f>IF(AND(Screener!$D$7&lt;&gt;"",Database!$D273=Screener!$D$7),1,0)</f>
        <v/>
      </c>
      <c r="D273">
        <f>IF(OR(N(Database!$I273)&lt;=0,N(Screener!$D$9)&lt;=0),0,MAX(0,1-ABS(LOG10(N(Database!$I273)/Screener!$D$9))/W_SIZEHW))</f>
        <v/>
      </c>
      <c r="E273">
        <f>IF(OR(Database!$AU273="",Screener!$D$10=""),0,IF(Database!$AU273=Screener!$D$10,1,0))</f>
        <v/>
      </c>
      <c r="F273">
        <f>IF(OR(Database!$AZ273="",Screener!$D$11=""),0,IF(Database!$AZ273=Screener!$D$11,1,0))</f>
        <v/>
      </c>
      <c r="G273">
        <f>IF(OR(Database!$H273="",N(Screener!$D$12)&lt;=0),0,MAX(0,1-(N(Screener!$D$12)-Database!$H273)/W_RECD))</f>
        <v/>
      </c>
      <c r="H273">
        <f>IF($U$1="",0,N(ISNUMBER(SEARCH($U$1,Database!$X273&amp;""))))+IF($V$1="",0,N(ISNUMBER(SEARCH($V$1,Database!$X273&amp;""))))+IF($W$1="",0,N(ISNUMBER(SEARCH($W$1,Database!$X273&amp;""))))+IF($X$1="",0,N(ISNUMBER(SEARCH($X$1,Database!$X273&amp;""))))+IF($Y$1="",0,N(ISNUMBER(SEARCH($Y$1,Database!$X273&amp;""))))+IF(Screener!$B$17="",0,N(ISNUMBER(SEARCH(LOWER(Screener!$B$17),Database!$X273&amp;""))))</f>
        <v/>
      </c>
      <c r="I273">
        <f>IF(OR(N(Database!$AV273)&lt;=0,N(Screener!$D$13)&lt;=0),0,MAX(0,1-ABS(LOG10(N(Database!$AV273)/Screener!$D$13))/W_PEHW))</f>
        <v/>
      </c>
      <c r="J273">
        <f>IF(OR(N(Database!$S273)&lt;=0,N(Screener!$D$14)&lt;=0),0,MAX(0,1-ABS(LOG10(Database!$S273/Screener!$D$14))/0.6))</f>
        <v/>
      </c>
      <c r="K273">
        <f>IF(Database!$B273=Screener!$B$5,-999999,IF(ISNUMBER(SEARCH(","&amp;Database!$A273&amp;",",","&amp;SUBSTITUTE(Screener!$B$19," ","")&amp;",")),2000000,IF(IF(OR(Screener!$B$18="All",AND(Screener!$B$18="With A-share",(Database!$AZ273="Y")),AND(Screener!$B$18="Without A-share",NOT((Database!$AZ273="Y")))),1,0)=0,-999999,IF(Screener!$B$16="cornerstone overlap first",H273*100000,IF(Screener!$B$16="demand-similar first",J273*100000,0))+W_SUB*B273+W_SEC*C273*(1-B273)+W_SIZE*D273+W_PROF*E273+W_AH*F273+W_REC*G273+W_CS*H273+W_PE*I273)))+ROW()/1000000</f>
        <v/>
      </c>
      <c r="AA273">
        <f>Database!B262</f>
        <v/>
      </c>
      <c r="AB273">
        <f>Database!D262</f>
        <v/>
      </c>
      <c r="AC273">
        <f>Database!E262</f>
        <v/>
      </c>
      <c r="AD273">
        <f>Database!I262</f>
        <v/>
      </c>
      <c r="AE273">
        <f>Database!AU262</f>
        <v/>
      </c>
      <c r="AF273">
        <f>Database!AZ262</f>
        <v/>
      </c>
      <c r="AG273">
        <f>Database!H262</f>
        <v/>
      </c>
      <c r="AH273">
        <f>Database!AV262</f>
        <v/>
      </c>
    </row>
    <row r="274">
      <c r="A274">
        <f>Database!B274</f>
        <v/>
      </c>
      <c r="B274">
        <f>IF(AND(Screener!$D$8&lt;&gt;"",Database!$E274=Screener!$D$8),1,0)</f>
        <v/>
      </c>
      <c r="C274">
        <f>IF(AND(Screener!$D$7&lt;&gt;"",Database!$D274=Screener!$D$7),1,0)</f>
        <v/>
      </c>
      <c r="D274">
        <f>IF(OR(N(Database!$I274)&lt;=0,N(Screener!$D$9)&lt;=0),0,MAX(0,1-ABS(LOG10(N(Database!$I274)/Screener!$D$9))/W_SIZEHW))</f>
        <v/>
      </c>
      <c r="E274">
        <f>IF(OR(Database!$AU274="",Screener!$D$10=""),0,IF(Database!$AU274=Screener!$D$10,1,0))</f>
        <v/>
      </c>
      <c r="F274">
        <f>IF(OR(Database!$AZ274="",Screener!$D$11=""),0,IF(Database!$AZ274=Screener!$D$11,1,0))</f>
        <v/>
      </c>
      <c r="G274">
        <f>IF(OR(Database!$H274="",N(Screener!$D$12)&lt;=0),0,MAX(0,1-(N(Screener!$D$12)-Database!$H274)/W_RECD))</f>
        <v/>
      </c>
      <c r="H274">
        <f>IF($U$1="",0,N(ISNUMBER(SEARCH($U$1,Database!$X274&amp;""))))+IF($V$1="",0,N(ISNUMBER(SEARCH($V$1,Database!$X274&amp;""))))+IF($W$1="",0,N(ISNUMBER(SEARCH($W$1,Database!$X274&amp;""))))+IF($X$1="",0,N(ISNUMBER(SEARCH($X$1,Database!$X274&amp;""))))+IF($Y$1="",0,N(ISNUMBER(SEARCH($Y$1,Database!$X274&amp;""))))+IF(Screener!$B$17="",0,N(ISNUMBER(SEARCH(LOWER(Screener!$B$17),Database!$X274&amp;""))))</f>
        <v/>
      </c>
      <c r="I274">
        <f>IF(OR(N(Database!$AV274)&lt;=0,N(Screener!$D$13)&lt;=0),0,MAX(0,1-ABS(LOG10(N(Database!$AV274)/Screener!$D$13))/W_PEHW))</f>
        <v/>
      </c>
      <c r="J274">
        <f>IF(OR(N(Database!$S274)&lt;=0,N(Screener!$D$14)&lt;=0),0,MAX(0,1-ABS(LOG10(Database!$S274/Screener!$D$14))/0.6))</f>
        <v/>
      </c>
      <c r="K274">
        <f>IF(Database!$B274=Screener!$B$5,-999999,IF(ISNUMBER(SEARCH(","&amp;Database!$A274&amp;",",","&amp;SUBSTITUTE(Screener!$B$19," ","")&amp;",")),2000000,IF(IF(OR(Screener!$B$18="All",AND(Screener!$B$18="With A-share",(Database!$AZ274="Y")),AND(Screener!$B$18="Without A-share",NOT((Database!$AZ274="Y")))),1,0)=0,-999999,IF(Screener!$B$16="cornerstone overlap first",H274*100000,IF(Screener!$B$16="demand-similar first",J274*100000,0))+W_SUB*B274+W_SEC*C274*(1-B274)+W_SIZE*D274+W_PROF*E274+W_AH*F274+W_REC*G274+W_CS*H274+W_PE*I274)))+ROW()/1000000</f>
        <v/>
      </c>
      <c r="AA274">
        <f>Database!B263</f>
        <v/>
      </c>
      <c r="AB274">
        <f>Database!D263</f>
        <v/>
      </c>
      <c r="AC274">
        <f>Database!E263</f>
        <v/>
      </c>
      <c r="AD274">
        <f>Database!I263</f>
        <v/>
      </c>
      <c r="AE274">
        <f>Database!AU263</f>
        <v/>
      </c>
      <c r="AF274">
        <f>Database!AZ263</f>
        <v/>
      </c>
      <c r="AG274">
        <f>Database!H263</f>
        <v/>
      </c>
      <c r="AH274">
        <f>Database!AV263</f>
        <v/>
      </c>
    </row>
    <row r="275">
      <c r="A275">
        <f>Database!B275</f>
        <v/>
      </c>
      <c r="B275">
        <f>IF(AND(Screener!$D$8&lt;&gt;"",Database!$E275=Screener!$D$8),1,0)</f>
        <v/>
      </c>
      <c r="C275">
        <f>IF(AND(Screener!$D$7&lt;&gt;"",Database!$D275=Screener!$D$7),1,0)</f>
        <v/>
      </c>
      <c r="D275">
        <f>IF(OR(N(Database!$I275)&lt;=0,N(Screener!$D$9)&lt;=0),0,MAX(0,1-ABS(LOG10(N(Database!$I275)/Screener!$D$9))/W_SIZEHW))</f>
        <v/>
      </c>
      <c r="E275">
        <f>IF(OR(Database!$AU275="",Screener!$D$10=""),0,IF(Database!$AU275=Screener!$D$10,1,0))</f>
        <v/>
      </c>
      <c r="F275">
        <f>IF(OR(Database!$AZ275="",Screener!$D$11=""),0,IF(Database!$AZ275=Screener!$D$11,1,0))</f>
        <v/>
      </c>
      <c r="G275">
        <f>IF(OR(Database!$H275="",N(Screener!$D$12)&lt;=0),0,MAX(0,1-(N(Screener!$D$12)-Database!$H275)/W_RECD))</f>
        <v/>
      </c>
      <c r="H275">
        <f>IF($U$1="",0,N(ISNUMBER(SEARCH($U$1,Database!$X275&amp;""))))+IF($V$1="",0,N(ISNUMBER(SEARCH($V$1,Database!$X275&amp;""))))+IF($W$1="",0,N(ISNUMBER(SEARCH($W$1,Database!$X275&amp;""))))+IF($X$1="",0,N(ISNUMBER(SEARCH($X$1,Database!$X275&amp;""))))+IF($Y$1="",0,N(ISNUMBER(SEARCH($Y$1,Database!$X275&amp;""))))+IF(Screener!$B$17="",0,N(ISNUMBER(SEARCH(LOWER(Screener!$B$17),Database!$X275&amp;""))))</f>
        <v/>
      </c>
      <c r="I275">
        <f>IF(OR(N(Database!$AV275)&lt;=0,N(Screener!$D$13)&lt;=0),0,MAX(0,1-ABS(LOG10(N(Database!$AV275)/Screener!$D$13))/W_PEHW))</f>
        <v/>
      </c>
      <c r="J275">
        <f>IF(OR(N(Database!$S275)&lt;=0,N(Screener!$D$14)&lt;=0),0,MAX(0,1-ABS(LOG10(Database!$S275/Screener!$D$14))/0.6))</f>
        <v/>
      </c>
      <c r="K275">
        <f>IF(Database!$B275=Screener!$B$5,-999999,IF(ISNUMBER(SEARCH(","&amp;Database!$A275&amp;",",","&amp;SUBSTITUTE(Screener!$B$19," ","")&amp;",")),2000000,IF(IF(OR(Screener!$B$18="All",AND(Screener!$B$18="With A-share",(Database!$AZ275="Y")),AND(Screener!$B$18="Without A-share",NOT((Database!$AZ275="Y")))),1,0)=0,-999999,IF(Screener!$B$16="cornerstone overlap first",H275*100000,IF(Screener!$B$16="demand-similar first",J275*100000,0))+W_SUB*B275+W_SEC*C275*(1-B275)+W_SIZE*D275+W_PROF*E275+W_AH*F275+W_REC*G275+W_CS*H275+W_PE*I275)))+ROW()/1000000</f>
        <v/>
      </c>
      <c r="AA275">
        <f>Database!B264</f>
        <v/>
      </c>
      <c r="AB275">
        <f>Database!D264</f>
        <v/>
      </c>
      <c r="AC275">
        <f>Database!E264</f>
        <v/>
      </c>
      <c r="AD275">
        <f>Database!I264</f>
        <v/>
      </c>
      <c r="AE275">
        <f>Database!AU264</f>
        <v/>
      </c>
      <c r="AF275">
        <f>Database!AZ264</f>
        <v/>
      </c>
      <c r="AG275">
        <f>Database!H264</f>
        <v/>
      </c>
      <c r="AH275">
        <f>Database!AV264</f>
        <v/>
      </c>
    </row>
    <row r="276">
      <c r="A276">
        <f>Database!B276</f>
        <v/>
      </c>
      <c r="B276">
        <f>IF(AND(Screener!$D$8&lt;&gt;"",Database!$E276=Screener!$D$8),1,0)</f>
        <v/>
      </c>
      <c r="C276">
        <f>IF(AND(Screener!$D$7&lt;&gt;"",Database!$D276=Screener!$D$7),1,0)</f>
        <v/>
      </c>
      <c r="D276">
        <f>IF(OR(N(Database!$I276)&lt;=0,N(Screener!$D$9)&lt;=0),0,MAX(0,1-ABS(LOG10(N(Database!$I276)/Screener!$D$9))/W_SIZEHW))</f>
        <v/>
      </c>
      <c r="E276">
        <f>IF(OR(Database!$AU276="",Screener!$D$10=""),0,IF(Database!$AU276=Screener!$D$10,1,0))</f>
        <v/>
      </c>
      <c r="F276">
        <f>IF(OR(Database!$AZ276="",Screener!$D$11=""),0,IF(Database!$AZ276=Screener!$D$11,1,0))</f>
        <v/>
      </c>
      <c r="G276">
        <f>IF(OR(Database!$H276="",N(Screener!$D$12)&lt;=0),0,MAX(0,1-(N(Screener!$D$12)-Database!$H276)/W_RECD))</f>
        <v/>
      </c>
      <c r="H276">
        <f>IF($U$1="",0,N(ISNUMBER(SEARCH($U$1,Database!$X276&amp;""))))+IF($V$1="",0,N(ISNUMBER(SEARCH($V$1,Database!$X276&amp;""))))+IF($W$1="",0,N(ISNUMBER(SEARCH($W$1,Database!$X276&amp;""))))+IF($X$1="",0,N(ISNUMBER(SEARCH($X$1,Database!$X276&amp;""))))+IF($Y$1="",0,N(ISNUMBER(SEARCH($Y$1,Database!$X276&amp;""))))+IF(Screener!$B$17="",0,N(ISNUMBER(SEARCH(LOWER(Screener!$B$17),Database!$X276&amp;""))))</f>
        <v/>
      </c>
      <c r="I276">
        <f>IF(OR(N(Database!$AV276)&lt;=0,N(Screener!$D$13)&lt;=0),0,MAX(0,1-ABS(LOG10(N(Database!$AV276)/Screener!$D$13))/W_PEHW))</f>
        <v/>
      </c>
      <c r="J276">
        <f>IF(OR(N(Database!$S276)&lt;=0,N(Screener!$D$14)&lt;=0),0,MAX(0,1-ABS(LOG10(Database!$S276/Screener!$D$14))/0.6))</f>
        <v/>
      </c>
      <c r="K276">
        <f>IF(Database!$B276=Screener!$B$5,-999999,IF(ISNUMBER(SEARCH(","&amp;Database!$A276&amp;",",","&amp;SUBSTITUTE(Screener!$B$19," ","")&amp;",")),2000000,IF(IF(OR(Screener!$B$18="All",AND(Screener!$B$18="With A-share",(Database!$AZ276="Y")),AND(Screener!$B$18="Without A-share",NOT((Database!$AZ276="Y")))),1,0)=0,-999999,IF(Screener!$B$16="cornerstone overlap first",H276*100000,IF(Screener!$B$16="demand-similar first",J276*100000,0))+W_SUB*B276+W_SEC*C276*(1-B276)+W_SIZE*D276+W_PROF*E276+W_AH*F276+W_REC*G276+W_CS*H276+W_PE*I276)))+ROW()/1000000</f>
        <v/>
      </c>
      <c r="AA276">
        <f>Database!B265</f>
        <v/>
      </c>
      <c r="AB276">
        <f>Database!D265</f>
        <v/>
      </c>
      <c r="AC276">
        <f>Database!E265</f>
        <v/>
      </c>
      <c r="AD276">
        <f>Database!I265</f>
        <v/>
      </c>
      <c r="AE276">
        <f>Database!AU265</f>
        <v/>
      </c>
      <c r="AF276">
        <f>Database!AZ265</f>
        <v/>
      </c>
      <c r="AG276">
        <f>Database!H265</f>
        <v/>
      </c>
      <c r="AH276">
        <f>Database!AV265</f>
        <v/>
      </c>
    </row>
    <row r="277">
      <c r="A277">
        <f>Database!B277</f>
        <v/>
      </c>
      <c r="B277">
        <f>IF(AND(Screener!$D$8&lt;&gt;"",Database!$E277=Screener!$D$8),1,0)</f>
        <v/>
      </c>
      <c r="C277">
        <f>IF(AND(Screener!$D$7&lt;&gt;"",Database!$D277=Screener!$D$7),1,0)</f>
        <v/>
      </c>
      <c r="D277">
        <f>IF(OR(N(Database!$I277)&lt;=0,N(Screener!$D$9)&lt;=0),0,MAX(0,1-ABS(LOG10(N(Database!$I277)/Screener!$D$9))/W_SIZEHW))</f>
        <v/>
      </c>
      <c r="E277">
        <f>IF(OR(Database!$AU277="",Screener!$D$10=""),0,IF(Database!$AU277=Screener!$D$10,1,0))</f>
        <v/>
      </c>
      <c r="F277">
        <f>IF(OR(Database!$AZ277="",Screener!$D$11=""),0,IF(Database!$AZ277=Screener!$D$11,1,0))</f>
        <v/>
      </c>
      <c r="G277">
        <f>IF(OR(Database!$H277="",N(Screener!$D$12)&lt;=0),0,MAX(0,1-(N(Screener!$D$12)-Database!$H277)/W_RECD))</f>
        <v/>
      </c>
      <c r="H277">
        <f>IF($U$1="",0,N(ISNUMBER(SEARCH($U$1,Database!$X277&amp;""))))+IF($V$1="",0,N(ISNUMBER(SEARCH($V$1,Database!$X277&amp;""))))+IF($W$1="",0,N(ISNUMBER(SEARCH($W$1,Database!$X277&amp;""))))+IF($X$1="",0,N(ISNUMBER(SEARCH($X$1,Database!$X277&amp;""))))+IF($Y$1="",0,N(ISNUMBER(SEARCH($Y$1,Database!$X277&amp;""))))+IF(Screener!$B$17="",0,N(ISNUMBER(SEARCH(LOWER(Screener!$B$17),Database!$X277&amp;""))))</f>
        <v/>
      </c>
      <c r="I277">
        <f>IF(OR(N(Database!$AV277)&lt;=0,N(Screener!$D$13)&lt;=0),0,MAX(0,1-ABS(LOG10(N(Database!$AV277)/Screener!$D$13))/W_PEHW))</f>
        <v/>
      </c>
      <c r="J277">
        <f>IF(OR(N(Database!$S277)&lt;=0,N(Screener!$D$14)&lt;=0),0,MAX(0,1-ABS(LOG10(Database!$S277/Screener!$D$14))/0.6))</f>
        <v/>
      </c>
      <c r="K277">
        <f>IF(Database!$B277=Screener!$B$5,-999999,IF(ISNUMBER(SEARCH(","&amp;Database!$A277&amp;",",","&amp;SUBSTITUTE(Screener!$B$19," ","")&amp;",")),2000000,IF(IF(OR(Screener!$B$18="All",AND(Screener!$B$18="With A-share",(Database!$AZ277="Y")),AND(Screener!$B$18="Without A-share",NOT((Database!$AZ277="Y")))),1,0)=0,-999999,IF(Screener!$B$16="cornerstone overlap first",H277*100000,IF(Screener!$B$16="demand-similar first",J277*100000,0))+W_SUB*B277+W_SEC*C277*(1-B277)+W_SIZE*D277+W_PROF*E277+W_AH*F277+W_REC*G277+W_CS*H277+W_PE*I277)))+ROW()/1000000</f>
        <v/>
      </c>
      <c r="AA277">
        <f>Database!B266</f>
        <v/>
      </c>
      <c r="AB277">
        <f>Database!D266</f>
        <v/>
      </c>
      <c r="AC277">
        <f>Database!E266</f>
        <v/>
      </c>
      <c r="AD277">
        <f>Database!I266</f>
        <v/>
      </c>
      <c r="AE277">
        <f>Database!AU266</f>
        <v/>
      </c>
      <c r="AF277">
        <f>Database!AZ266</f>
        <v/>
      </c>
      <c r="AG277">
        <f>Database!H266</f>
        <v/>
      </c>
      <c r="AH277">
        <f>Database!AV266</f>
        <v/>
      </c>
    </row>
    <row r="278">
      <c r="A278">
        <f>Database!B278</f>
        <v/>
      </c>
      <c r="B278">
        <f>IF(AND(Screener!$D$8&lt;&gt;"",Database!$E278=Screener!$D$8),1,0)</f>
        <v/>
      </c>
      <c r="C278">
        <f>IF(AND(Screener!$D$7&lt;&gt;"",Database!$D278=Screener!$D$7),1,0)</f>
        <v/>
      </c>
      <c r="D278">
        <f>IF(OR(N(Database!$I278)&lt;=0,N(Screener!$D$9)&lt;=0),0,MAX(0,1-ABS(LOG10(N(Database!$I278)/Screener!$D$9))/W_SIZEHW))</f>
        <v/>
      </c>
      <c r="E278">
        <f>IF(OR(Database!$AU278="",Screener!$D$10=""),0,IF(Database!$AU278=Screener!$D$10,1,0))</f>
        <v/>
      </c>
      <c r="F278">
        <f>IF(OR(Database!$AZ278="",Screener!$D$11=""),0,IF(Database!$AZ278=Screener!$D$11,1,0))</f>
        <v/>
      </c>
      <c r="G278">
        <f>IF(OR(Database!$H278="",N(Screener!$D$12)&lt;=0),0,MAX(0,1-(N(Screener!$D$12)-Database!$H278)/W_RECD))</f>
        <v/>
      </c>
      <c r="H278">
        <f>IF($U$1="",0,N(ISNUMBER(SEARCH($U$1,Database!$X278&amp;""))))+IF($V$1="",0,N(ISNUMBER(SEARCH($V$1,Database!$X278&amp;""))))+IF($W$1="",0,N(ISNUMBER(SEARCH($W$1,Database!$X278&amp;""))))+IF($X$1="",0,N(ISNUMBER(SEARCH($X$1,Database!$X278&amp;""))))+IF($Y$1="",0,N(ISNUMBER(SEARCH($Y$1,Database!$X278&amp;""))))+IF(Screener!$B$17="",0,N(ISNUMBER(SEARCH(LOWER(Screener!$B$17),Database!$X278&amp;""))))</f>
        <v/>
      </c>
      <c r="I278">
        <f>IF(OR(N(Database!$AV278)&lt;=0,N(Screener!$D$13)&lt;=0),0,MAX(0,1-ABS(LOG10(N(Database!$AV278)/Screener!$D$13))/W_PEHW))</f>
        <v/>
      </c>
      <c r="J278">
        <f>IF(OR(N(Database!$S278)&lt;=0,N(Screener!$D$14)&lt;=0),0,MAX(0,1-ABS(LOG10(Database!$S278/Screener!$D$14))/0.6))</f>
        <v/>
      </c>
      <c r="K278">
        <f>IF(Database!$B278=Screener!$B$5,-999999,IF(ISNUMBER(SEARCH(","&amp;Database!$A278&amp;",",","&amp;SUBSTITUTE(Screener!$B$19," ","")&amp;",")),2000000,IF(IF(OR(Screener!$B$18="All",AND(Screener!$B$18="With A-share",(Database!$AZ278="Y")),AND(Screener!$B$18="Without A-share",NOT((Database!$AZ278="Y")))),1,0)=0,-999999,IF(Screener!$B$16="cornerstone overlap first",H278*100000,IF(Screener!$B$16="demand-similar first",J278*100000,0))+W_SUB*B278+W_SEC*C278*(1-B278)+W_SIZE*D278+W_PROF*E278+W_AH*F278+W_REC*G278+W_CS*H278+W_PE*I278)))+ROW()/1000000</f>
        <v/>
      </c>
      <c r="AA278">
        <f>Database!B267</f>
        <v/>
      </c>
      <c r="AB278">
        <f>Database!D267</f>
        <v/>
      </c>
      <c r="AC278">
        <f>Database!E267</f>
        <v/>
      </c>
      <c r="AD278">
        <f>Database!I267</f>
        <v/>
      </c>
      <c r="AE278">
        <f>Database!AU267</f>
        <v/>
      </c>
      <c r="AF278">
        <f>Database!AZ267</f>
        <v/>
      </c>
      <c r="AG278">
        <f>Database!H267</f>
        <v/>
      </c>
      <c r="AH278">
        <f>Database!AV267</f>
        <v/>
      </c>
    </row>
    <row r="279">
      <c r="A279">
        <f>Database!B279</f>
        <v/>
      </c>
      <c r="B279">
        <f>IF(AND(Screener!$D$8&lt;&gt;"",Database!$E279=Screener!$D$8),1,0)</f>
        <v/>
      </c>
      <c r="C279">
        <f>IF(AND(Screener!$D$7&lt;&gt;"",Database!$D279=Screener!$D$7),1,0)</f>
        <v/>
      </c>
      <c r="D279">
        <f>IF(OR(N(Database!$I279)&lt;=0,N(Screener!$D$9)&lt;=0),0,MAX(0,1-ABS(LOG10(N(Database!$I279)/Screener!$D$9))/W_SIZEHW))</f>
        <v/>
      </c>
      <c r="E279">
        <f>IF(OR(Database!$AU279="",Screener!$D$10=""),0,IF(Database!$AU279=Screener!$D$10,1,0))</f>
        <v/>
      </c>
      <c r="F279">
        <f>IF(OR(Database!$AZ279="",Screener!$D$11=""),0,IF(Database!$AZ279=Screener!$D$11,1,0))</f>
        <v/>
      </c>
      <c r="G279">
        <f>IF(OR(Database!$H279="",N(Screener!$D$12)&lt;=0),0,MAX(0,1-(N(Screener!$D$12)-Database!$H279)/W_RECD))</f>
        <v/>
      </c>
      <c r="H279">
        <f>IF($U$1="",0,N(ISNUMBER(SEARCH($U$1,Database!$X279&amp;""))))+IF($V$1="",0,N(ISNUMBER(SEARCH($V$1,Database!$X279&amp;""))))+IF($W$1="",0,N(ISNUMBER(SEARCH($W$1,Database!$X279&amp;""))))+IF($X$1="",0,N(ISNUMBER(SEARCH($X$1,Database!$X279&amp;""))))+IF($Y$1="",0,N(ISNUMBER(SEARCH($Y$1,Database!$X279&amp;""))))+IF(Screener!$B$17="",0,N(ISNUMBER(SEARCH(LOWER(Screener!$B$17),Database!$X279&amp;""))))</f>
        <v/>
      </c>
      <c r="I279">
        <f>IF(OR(N(Database!$AV279)&lt;=0,N(Screener!$D$13)&lt;=0),0,MAX(0,1-ABS(LOG10(N(Database!$AV279)/Screener!$D$13))/W_PEHW))</f>
        <v/>
      </c>
      <c r="J279">
        <f>IF(OR(N(Database!$S279)&lt;=0,N(Screener!$D$14)&lt;=0),0,MAX(0,1-ABS(LOG10(Database!$S279/Screener!$D$14))/0.6))</f>
        <v/>
      </c>
      <c r="K279">
        <f>IF(Database!$B279=Screener!$B$5,-999999,IF(ISNUMBER(SEARCH(","&amp;Database!$A279&amp;",",","&amp;SUBSTITUTE(Screener!$B$19," ","")&amp;",")),2000000,IF(IF(OR(Screener!$B$18="All",AND(Screener!$B$18="With A-share",(Database!$AZ279="Y")),AND(Screener!$B$18="Without A-share",NOT((Database!$AZ279="Y")))),1,0)=0,-999999,IF(Screener!$B$16="cornerstone overlap first",H279*100000,IF(Screener!$B$16="demand-similar first",J279*100000,0))+W_SUB*B279+W_SEC*C279*(1-B279)+W_SIZE*D279+W_PROF*E279+W_AH*F279+W_REC*G279+W_CS*H279+W_PE*I279)))+ROW()/1000000</f>
        <v/>
      </c>
      <c r="AA279">
        <f>Database!B268</f>
        <v/>
      </c>
      <c r="AB279">
        <f>Database!D268</f>
        <v/>
      </c>
      <c r="AC279">
        <f>Database!E268</f>
        <v/>
      </c>
      <c r="AD279">
        <f>Database!I268</f>
        <v/>
      </c>
      <c r="AE279">
        <f>Database!AU268</f>
        <v/>
      </c>
      <c r="AF279">
        <f>Database!AZ268</f>
        <v/>
      </c>
      <c r="AG279">
        <f>Database!H268</f>
        <v/>
      </c>
      <c r="AH279">
        <f>Database!AV268</f>
        <v/>
      </c>
    </row>
    <row r="280">
      <c r="A280">
        <f>Database!B280</f>
        <v/>
      </c>
      <c r="B280">
        <f>IF(AND(Screener!$D$8&lt;&gt;"",Database!$E280=Screener!$D$8),1,0)</f>
        <v/>
      </c>
      <c r="C280">
        <f>IF(AND(Screener!$D$7&lt;&gt;"",Database!$D280=Screener!$D$7),1,0)</f>
        <v/>
      </c>
      <c r="D280">
        <f>IF(OR(N(Database!$I280)&lt;=0,N(Screener!$D$9)&lt;=0),0,MAX(0,1-ABS(LOG10(N(Database!$I280)/Screener!$D$9))/W_SIZEHW))</f>
        <v/>
      </c>
      <c r="E280">
        <f>IF(OR(Database!$AU280="",Screener!$D$10=""),0,IF(Database!$AU280=Screener!$D$10,1,0))</f>
        <v/>
      </c>
      <c r="F280">
        <f>IF(OR(Database!$AZ280="",Screener!$D$11=""),0,IF(Database!$AZ280=Screener!$D$11,1,0))</f>
        <v/>
      </c>
      <c r="G280">
        <f>IF(OR(Database!$H280="",N(Screener!$D$12)&lt;=0),0,MAX(0,1-(N(Screener!$D$12)-Database!$H280)/W_RECD))</f>
        <v/>
      </c>
      <c r="H280">
        <f>IF($U$1="",0,N(ISNUMBER(SEARCH($U$1,Database!$X280&amp;""))))+IF($V$1="",0,N(ISNUMBER(SEARCH($V$1,Database!$X280&amp;""))))+IF($W$1="",0,N(ISNUMBER(SEARCH($W$1,Database!$X280&amp;""))))+IF($X$1="",0,N(ISNUMBER(SEARCH($X$1,Database!$X280&amp;""))))+IF($Y$1="",0,N(ISNUMBER(SEARCH($Y$1,Database!$X280&amp;""))))+IF(Screener!$B$17="",0,N(ISNUMBER(SEARCH(LOWER(Screener!$B$17),Database!$X280&amp;""))))</f>
        <v/>
      </c>
      <c r="I280">
        <f>IF(OR(N(Database!$AV280)&lt;=0,N(Screener!$D$13)&lt;=0),0,MAX(0,1-ABS(LOG10(N(Database!$AV280)/Screener!$D$13))/W_PEHW))</f>
        <v/>
      </c>
      <c r="J280">
        <f>IF(OR(N(Database!$S280)&lt;=0,N(Screener!$D$14)&lt;=0),0,MAX(0,1-ABS(LOG10(Database!$S280/Screener!$D$14))/0.6))</f>
        <v/>
      </c>
      <c r="K280">
        <f>IF(Database!$B280=Screener!$B$5,-999999,IF(ISNUMBER(SEARCH(","&amp;Database!$A280&amp;",",","&amp;SUBSTITUTE(Screener!$B$19," ","")&amp;",")),2000000,IF(IF(OR(Screener!$B$18="All",AND(Screener!$B$18="With A-share",(Database!$AZ280="Y")),AND(Screener!$B$18="Without A-share",NOT((Database!$AZ280="Y")))),1,0)=0,-999999,IF(Screener!$B$16="cornerstone overlap first",H280*100000,IF(Screener!$B$16="demand-similar first",J280*100000,0))+W_SUB*B280+W_SEC*C280*(1-B280)+W_SIZE*D280+W_PROF*E280+W_AH*F280+W_REC*G280+W_CS*H280+W_PE*I280)))+ROW()/1000000</f>
        <v/>
      </c>
      <c r="AA280">
        <f>Database!B269</f>
        <v/>
      </c>
      <c r="AB280">
        <f>Database!D269</f>
        <v/>
      </c>
      <c r="AC280">
        <f>Database!E269</f>
        <v/>
      </c>
      <c r="AD280">
        <f>Database!I269</f>
        <v/>
      </c>
      <c r="AE280">
        <f>Database!AU269</f>
        <v/>
      </c>
      <c r="AF280">
        <f>Database!AZ269</f>
        <v/>
      </c>
      <c r="AG280">
        <f>Database!H269</f>
        <v/>
      </c>
      <c r="AH280">
        <f>Database!AV269</f>
        <v/>
      </c>
    </row>
    <row r="281">
      <c r="A281">
        <f>Database!B281</f>
        <v/>
      </c>
      <c r="B281">
        <f>IF(AND(Screener!$D$8&lt;&gt;"",Database!$E281=Screener!$D$8),1,0)</f>
        <v/>
      </c>
      <c r="C281">
        <f>IF(AND(Screener!$D$7&lt;&gt;"",Database!$D281=Screener!$D$7),1,0)</f>
        <v/>
      </c>
      <c r="D281">
        <f>IF(OR(N(Database!$I281)&lt;=0,N(Screener!$D$9)&lt;=0),0,MAX(0,1-ABS(LOG10(N(Database!$I281)/Screener!$D$9))/W_SIZEHW))</f>
        <v/>
      </c>
      <c r="E281">
        <f>IF(OR(Database!$AU281="",Screener!$D$10=""),0,IF(Database!$AU281=Screener!$D$10,1,0))</f>
        <v/>
      </c>
      <c r="F281">
        <f>IF(OR(Database!$AZ281="",Screener!$D$11=""),0,IF(Database!$AZ281=Screener!$D$11,1,0))</f>
        <v/>
      </c>
      <c r="G281">
        <f>IF(OR(Database!$H281="",N(Screener!$D$12)&lt;=0),0,MAX(0,1-(N(Screener!$D$12)-Database!$H281)/W_RECD))</f>
        <v/>
      </c>
      <c r="H281">
        <f>IF($U$1="",0,N(ISNUMBER(SEARCH($U$1,Database!$X281&amp;""))))+IF($V$1="",0,N(ISNUMBER(SEARCH($V$1,Database!$X281&amp;""))))+IF($W$1="",0,N(ISNUMBER(SEARCH($W$1,Database!$X281&amp;""))))+IF($X$1="",0,N(ISNUMBER(SEARCH($X$1,Database!$X281&amp;""))))+IF($Y$1="",0,N(ISNUMBER(SEARCH($Y$1,Database!$X281&amp;""))))+IF(Screener!$B$17="",0,N(ISNUMBER(SEARCH(LOWER(Screener!$B$17),Database!$X281&amp;""))))</f>
        <v/>
      </c>
      <c r="I281">
        <f>IF(OR(N(Database!$AV281)&lt;=0,N(Screener!$D$13)&lt;=0),0,MAX(0,1-ABS(LOG10(N(Database!$AV281)/Screener!$D$13))/W_PEHW))</f>
        <v/>
      </c>
      <c r="J281">
        <f>IF(OR(N(Database!$S281)&lt;=0,N(Screener!$D$14)&lt;=0),0,MAX(0,1-ABS(LOG10(Database!$S281/Screener!$D$14))/0.6))</f>
        <v/>
      </c>
      <c r="K281">
        <f>IF(Database!$B281=Screener!$B$5,-999999,IF(ISNUMBER(SEARCH(","&amp;Database!$A281&amp;",",","&amp;SUBSTITUTE(Screener!$B$19," ","")&amp;",")),2000000,IF(IF(OR(Screener!$B$18="All",AND(Screener!$B$18="With A-share",(Database!$AZ281="Y")),AND(Screener!$B$18="Without A-share",NOT((Database!$AZ281="Y")))),1,0)=0,-999999,IF(Screener!$B$16="cornerstone overlap first",H281*100000,IF(Screener!$B$16="demand-similar first",J281*100000,0))+W_SUB*B281+W_SEC*C281*(1-B281)+W_SIZE*D281+W_PROF*E281+W_AH*F281+W_REC*G281+W_CS*H281+W_PE*I281)))+ROW()/1000000</f>
        <v/>
      </c>
      <c r="AA281">
        <f>Database!B270</f>
        <v/>
      </c>
      <c r="AB281">
        <f>Database!D270</f>
        <v/>
      </c>
      <c r="AC281">
        <f>Database!E270</f>
        <v/>
      </c>
      <c r="AD281">
        <f>Database!I270</f>
        <v/>
      </c>
      <c r="AE281">
        <f>Database!AU270</f>
        <v/>
      </c>
      <c r="AF281">
        <f>Database!AZ270</f>
        <v/>
      </c>
      <c r="AG281">
        <f>Database!H270</f>
        <v/>
      </c>
      <c r="AH281">
        <f>Database!AV270</f>
        <v/>
      </c>
    </row>
    <row r="282">
      <c r="A282">
        <f>Database!B282</f>
        <v/>
      </c>
      <c r="B282">
        <f>IF(AND(Screener!$D$8&lt;&gt;"",Database!$E282=Screener!$D$8),1,0)</f>
        <v/>
      </c>
      <c r="C282">
        <f>IF(AND(Screener!$D$7&lt;&gt;"",Database!$D282=Screener!$D$7),1,0)</f>
        <v/>
      </c>
      <c r="D282">
        <f>IF(OR(N(Database!$I282)&lt;=0,N(Screener!$D$9)&lt;=0),0,MAX(0,1-ABS(LOG10(N(Database!$I282)/Screener!$D$9))/W_SIZEHW))</f>
        <v/>
      </c>
      <c r="E282">
        <f>IF(OR(Database!$AU282="",Screener!$D$10=""),0,IF(Database!$AU282=Screener!$D$10,1,0))</f>
        <v/>
      </c>
      <c r="F282">
        <f>IF(OR(Database!$AZ282="",Screener!$D$11=""),0,IF(Database!$AZ282=Screener!$D$11,1,0))</f>
        <v/>
      </c>
      <c r="G282">
        <f>IF(OR(Database!$H282="",N(Screener!$D$12)&lt;=0),0,MAX(0,1-(N(Screener!$D$12)-Database!$H282)/W_RECD))</f>
        <v/>
      </c>
      <c r="H282">
        <f>IF($U$1="",0,N(ISNUMBER(SEARCH($U$1,Database!$X282&amp;""))))+IF($V$1="",0,N(ISNUMBER(SEARCH($V$1,Database!$X282&amp;""))))+IF($W$1="",0,N(ISNUMBER(SEARCH($W$1,Database!$X282&amp;""))))+IF($X$1="",0,N(ISNUMBER(SEARCH($X$1,Database!$X282&amp;""))))+IF($Y$1="",0,N(ISNUMBER(SEARCH($Y$1,Database!$X282&amp;""))))+IF(Screener!$B$17="",0,N(ISNUMBER(SEARCH(LOWER(Screener!$B$17),Database!$X282&amp;""))))</f>
        <v/>
      </c>
      <c r="I282">
        <f>IF(OR(N(Database!$AV282)&lt;=0,N(Screener!$D$13)&lt;=0),0,MAX(0,1-ABS(LOG10(N(Database!$AV282)/Screener!$D$13))/W_PEHW))</f>
        <v/>
      </c>
      <c r="J282">
        <f>IF(OR(N(Database!$S282)&lt;=0,N(Screener!$D$14)&lt;=0),0,MAX(0,1-ABS(LOG10(Database!$S282/Screener!$D$14))/0.6))</f>
        <v/>
      </c>
      <c r="K282">
        <f>IF(Database!$B282=Screener!$B$5,-999999,IF(ISNUMBER(SEARCH(","&amp;Database!$A282&amp;",",","&amp;SUBSTITUTE(Screener!$B$19," ","")&amp;",")),2000000,IF(IF(OR(Screener!$B$18="All",AND(Screener!$B$18="With A-share",(Database!$AZ282="Y")),AND(Screener!$B$18="Without A-share",NOT((Database!$AZ282="Y")))),1,0)=0,-999999,IF(Screener!$B$16="cornerstone overlap first",H282*100000,IF(Screener!$B$16="demand-similar first",J282*100000,0))+W_SUB*B282+W_SEC*C282*(1-B282)+W_SIZE*D282+W_PROF*E282+W_AH*F282+W_REC*G282+W_CS*H282+W_PE*I282)))+ROW()/1000000</f>
        <v/>
      </c>
      <c r="AA282">
        <f>Database!B271</f>
        <v/>
      </c>
      <c r="AB282">
        <f>Database!D271</f>
        <v/>
      </c>
      <c r="AC282">
        <f>Database!E271</f>
        <v/>
      </c>
      <c r="AD282">
        <f>Database!I271</f>
        <v/>
      </c>
      <c r="AE282">
        <f>Database!AU271</f>
        <v/>
      </c>
      <c r="AF282">
        <f>Database!AZ271</f>
        <v/>
      </c>
      <c r="AG282">
        <f>Database!H271</f>
        <v/>
      </c>
      <c r="AH282">
        <f>Database!AV271</f>
        <v/>
      </c>
    </row>
    <row r="283">
      <c r="A283">
        <f>Database!B283</f>
        <v/>
      </c>
      <c r="B283">
        <f>IF(AND(Screener!$D$8&lt;&gt;"",Database!$E283=Screener!$D$8),1,0)</f>
        <v/>
      </c>
      <c r="C283">
        <f>IF(AND(Screener!$D$7&lt;&gt;"",Database!$D283=Screener!$D$7),1,0)</f>
        <v/>
      </c>
      <c r="D283">
        <f>IF(OR(N(Database!$I283)&lt;=0,N(Screener!$D$9)&lt;=0),0,MAX(0,1-ABS(LOG10(N(Database!$I283)/Screener!$D$9))/W_SIZEHW))</f>
        <v/>
      </c>
      <c r="E283">
        <f>IF(OR(Database!$AU283="",Screener!$D$10=""),0,IF(Database!$AU283=Screener!$D$10,1,0))</f>
        <v/>
      </c>
      <c r="F283">
        <f>IF(OR(Database!$AZ283="",Screener!$D$11=""),0,IF(Database!$AZ283=Screener!$D$11,1,0))</f>
        <v/>
      </c>
      <c r="G283">
        <f>IF(OR(Database!$H283="",N(Screener!$D$12)&lt;=0),0,MAX(0,1-(N(Screener!$D$12)-Database!$H283)/W_RECD))</f>
        <v/>
      </c>
      <c r="H283">
        <f>IF($U$1="",0,N(ISNUMBER(SEARCH($U$1,Database!$X283&amp;""))))+IF($V$1="",0,N(ISNUMBER(SEARCH($V$1,Database!$X283&amp;""))))+IF($W$1="",0,N(ISNUMBER(SEARCH($W$1,Database!$X283&amp;""))))+IF($X$1="",0,N(ISNUMBER(SEARCH($X$1,Database!$X283&amp;""))))+IF($Y$1="",0,N(ISNUMBER(SEARCH($Y$1,Database!$X283&amp;""))))+IF(Screener!$B$17="",0,N(ISNUMBER(SEARCH(LOWER(Screener!$B$17),Database!$X283&amp;""))))</f>
        <v/>
      </c>
      <c r="I283">
        <f>IF(OR(N(Database!$AV283)&lt;=0,N(Screener!$D$13)&lt;=0),0,MAX(0,1-ABS(LOG10(N(Database!$AV283)/Screener!$D$13))/W_PEHW))</f>
        <v/>
      </c>
      <c r="J283">
        <f>IF(OR(N(Database!$S283)&lt;=0,N(Screener!$D$14)&lt;=0),0,MAX(0,1-ABS(LOG10(Database!$S283/Screener!$D$14))/0.6))</f>
        <v/>
      </c>
      <c r="K283">
        <f>IF(Database!$B283=Screener!$B$5,-999999,IF(ISNUMBER(SEARCH(","&amp;Database!$A283&amp;",",","&amp;SUBSTITUTE(Screener!$B$19," ","")&amp;",")),2000000,IF(IF(OR(Screener!$B$18="All",AND(Screener!$B$18="With A-share",(Database!$AZ283="Y")),AND(Screener!$B$18="Without A-share",NOT((Database!$AZ283="Y")))),1,0)=0,-999999,IF(Screener!$B$16="cornerstone overlap first",H283*100000,IF(Screener!$B$16="demand-similar first",J283*100000,0))+W_SUB*B283+W_SEC*C283*(1-B283)+W_SIZE*D283+W_PROF*E283+W_AH*F283+W_REC*G283+W_CS*H283+W_PE*I283)))+ROW()/1000000</f>
        <v/>
      </c>
      <c r="AA283">
        <f>Database!B272</f>
        <v/>
      </c>
      <c r="AB283">
        <f>Database!D272</f>
        <v/>
      </c>
      <c r="AC283">
        <f>Database!E272</f>
        <v/>
      </c>
      <c r="AD283">
        <f>Database!I272</f>
        <v/>
      </c>
      <c r="AE283">
        <f>Database!AU272</f>
        <v/>
      </c>
      <c r="AF283">
        <f>Database!AZ272</f>
        <v/>
      </c>
      <c r="AG283">
        <f>Database!H272</f>
        <v/>
      </c>
      <c r="AH283">
        <f>Database!AV272</f>
        <v/>
      </c>
    </row>
    <row r="284">
      <c r="A284">
        <f>Database!B284</f>
        <v/>
      </c>
      <c r="B284">
        <f>IF(AND(Screener!$D$8&lt;&gt;"",Database!$E284=Screener!$D$8),1,0)</f>
        <v/>
      </c>
      <c r="C284">
        <f>IF(AND(Screener!$D$7&lt;&gt;"",Database!$D284=Screener!$D$7),1,0)</f>
        <v/>
      </c>
      <c r="D284">
        <f>IF(OR(N(Database!$I284)&lt;=0,N(Screener!$D$9)&lt;=0),0,MAX(0,1-ABS(LOG10(N(Database!$I284)/Screener!$D$9))/W_SIZEHW))</f>
        <v/>
      </c>
      <c r="E284">
        <f>IF(OR(Database!$AU284="",Screener!$D$10=""),0,IF(Database!$AU284=Screener!$D$10,1,0))</f>
        <v/>
      </c>
      <c r="F284">
        <f>IF(OR(Database!$AZ284="",Screener!$D$11=""),0,IF(Database!$AZ284=Screener!$D$11,1,0))</f>
        <v/>
      </c>
      <c r="G284">
        <f>IF(OR(Database!$H284="",N(Screener!$D$12)&lt;=0),0,MAX(0,1-(N(Screener!$D$12)-Database!$H284)/W_RECD))</f>
        <v/>
      </c>
      <c r="H284">
        <f>IF($U$1="",0,N(ISNUMBER(SEARCH($U$1,Database!$X284&amp;""))))+IF($V$1="",0,N(ISNUMBER(SEARCH($V$1,Database!$X284&amp;""))))+IF($W$1="",0,N(ISNUMBER(SEARCH($W$1,Database!$X284&amp;""))))+IF($X$1="",0,N(ISNUMBER(SEARCH($X$1,Database!$X284&amp;""))))+IF($Y$1="",0,N(ISNUMBER(SEARCH($Y$1,Database!$X284&amp;""))))+IF(Screener!$B$17="",0,N(ISNUMBER(SEARCH(LOWER(Screener!$B$17),Database!$X284&amp;""))))</f>
        <v/>
      </c>
      <c r="I284">
        <f>IF(OR(N(Database!$AV284)&lt;=0,N(Screener!$D$13)&lt;=0),0,MAX(0,1-ABS(LOG10(N(Database!$AV284)/Screener!$D$13))/W_PEHW))</f>
        <v/>
      </c>
      <c r="J284">
        <f>IF(OR(N(Database!$S284)&lt;=0,N(Screener!$D$14)&lt;=0),0,MAX(0,1-ABS(LOG10(Database!$S284/Screener!$D$14))/0.6))</f>
        <v/>
      </c>
      <c r="K284">
        <f>IF(Database!$B284=Screener!$B$5,-999999,IF(ISNUMBER(SEARCH(","&amp;Database!$A284&amp;",",","&amp;SUBSTITUTE(Screener!$B$19," ","")&amp;",")),2000000,IF(IF(OR(Screener!$B$18="All",AND(Screener!$B$18="With A-share",(Database!$AZ284="Y")),AND(Screener!$B$18="Without A-share",NOT((Database!$AZ284="Y")))),1,0)=0,-999999,IF(Screener!$B$16="cornerstone overlap first",H284*100000,IF(Screener!$B$16="demand-similar first",J284*100000,0))+W_SUB*B284+W_SEC*C284*(1-B284)+W_SIZE*D284+W_PROF*E284+W_AH*F284+W_REC*G284+W_CS*H284+W_PE*I284)))+ROW()/1000000</f>
        <v/>
      </c>
      <c r="AA284">
        <f>Database!B273</f>
        <v/>
      </c>
      <c r="AB284">
        <f>Database!D273</f>
        <v/>
      </c>
      <c r="AC284">
        <f>Database!E273</f>
        <v/>
      </c>
      <c r="AD284">
        <f>Database!I273</f>
        <v/>
      </c>
      <c r="AE284">
        <f>Database!AU273</f>
        <v/>
      </c>
      <c r="AF284">
        <f>Database!AZ273</f>
        <v/>
      </c>
      <c r="AG284">
        <f>Database!H273</f>
        <v/>
      </c>
      <c r="AH284">
        <f>Database!AV273</f>
        <v/>
      </c>
    </row>
    <row r="285">
      <c r="A285">
        <f>Database!B285</f>
        <v/>
      </c>
      <c r="B285">
        <f>IF(AND(Screener!$D$8&lt;&gt;"",Database!$E285=Screener!$D$8),1,0)</f>
        <v/>
      </c>
      <c r="C285">
        <f>IF(AND(Screener!$D$7&lt;&gt;"",Database!$D285=Screener!$D$7),1,0)</f>
        <v/>
      </c>
      <c r="D285">
        <f>IF(OR(N(Database!$I285)&lt;=0,N(Screener!$D$9)&lt;=0),0,MAX(0,1-ABS(LOG10(N(Database!$I285)/Screener!$D$9))/W_SIZEHW))</f>
        <v/>
      </c>
      <c r="E285">
        <f>IF(OR(Database!$AU285="",Screener!$D$10=""),0,IF(Database!$AU285=Screener!$D$10,1,0))</f>
        <v/>
      </c>
      <c r="F285">
        <f>IF(OR(Database!$AZ285="",Screener!$D$11=""),0,IF(Database!$AZ285=Screener!$D$11,1,0))</f>
        <v/>
      </c>
      <c r="G285">
        <f>IF(OR(Database!$H285="",N(Screener!$D$12)&lt;=0),0,MAX(0,1-(N(Screener!$D$12)-Database!$H285)/W_RECD))</f>
        <v/>
      </c>
      <c r="H285">
        <f>IF($U$1="",0,N(ISNUMBER(SEARCH($U$1,Database!$X285&amp;""))))+IF($V$1="",0,N(ISNUMBER(SEARCH($V$1,Database!$X285&amp;""))))+IF($W$1="",0,N(ISNUMBER(SEARCH($W$1,Database!$X285&amp;""))))+IF($X$1="",0,N(ISNUMBER(SEARCH($X$1,Database!$X285&amp;""))))+IF($Y$1="",0,N(ISNUMBER(SEARCH($Y$1,Database!$X285&amp;""))))+IF(Screener!$B$17="",0,N(ISNUMBER(SEARCH(LOWER(Screener!$B$17),Database!$X285&amp;""))))</f>
        <v/>
      </c>
      <c r="I285">
        <f>IF(OR(N(Database!$AV285)&lt;=0,N(Screener!$D$13)&lt;=0),0,MAX(0,1-ABS(LOG10(N(Database!$AV285)/Screener!$D$13))/W_PEHW))</f>
        <v/>
      </c>
      <c r="J285">
        <f>IF(OR(N(Database!$S285)&lt;=0,N(Screener!$D$14)&lt;=0),0,MAX(0,1-ABS(LOG10(Database!$S285/Screener!$D$14))/0.6))</f>
        <v/>
      </c>
      <c r="K285">
        <f>IF(Database!$B285=Screener!$B$5,-999999,IF(ISNUMBER(SEARCH(","&amp;Database!$A285&amp;",",","&amp;SUBSTITUTE(Screener!$B$19," ","")&amp;",")),2000000,IF(IF(OR(Screener!$B$18="All",AND(Screener!$B$18="With A-share",(Database!$AZ285="Y")),AND(Screener!$B$18="Without A-share",NOT((Database!$AZ285="Y")))),1,0)=0,-999999,IF(Screener!$B$16="cornerstone overlap first",H285*100000,IF(Screener!$B$16="demand-similar first",J285*100000,0))+W_SUB*B285+W_SEC*C285*(1-B285)+W_SIZE*D285+W_PROF*E285+W_AH*F285+W_REC*G285+W_CS*H285+W_PE*I285)))+ROW()/1000000</f>
        <v/>
      </c>
      <c r="AA285">
        <f>Database!B274</f>
        <v/>
      </c>
      <c r="AB285">
        <f>Database!D274</f>
        <v/>
      </c>
      <c r="AC285">
        <f>Database!E274</f>
        <v/>
      </c>
      <c r="AD285">
        <f>Database!I274</f>
        <v/>
      </c>
      <c r="AE285">
        <f>Database!AU274</f>
        <v/>
      </c>
      <c r="AF285">
        <f>Database!AZ274</f>
        <v/>
      </c>
      <c r="AG285">
        <f>Database!H274</f>
        <v/>
      </c>
      <c r="AH285">
        <f>Database!AV274</f>
        <v/>
      </c>
    </row>
    <row r="286">
      <c r="A286">
        <f>Database!B286</f>
        <v/>
      </c>
      <c r="B286">
        <f>IF(AND(Screener!$D$8&lt;&gt;"",Database!$E286=Screener!$D$8),1,0)</f>
        <v/>
      </c>
      <c r="C286">
        <f>IF(AND(Screener!$D$7&lt;&gt;"",Database!$D286=Screener!$D$7),1,0)</f>
        <v/>
      </c>
      <c r="D286">
        <f>IF(OR(N(Database!$I286)&lt;=0,N(Screener!$D$9)&lt;=0),0,MAX(0,1-ABS(LOG10(N(Database!$I286)/Screener!$D$9))/W_SIZEHW))</f>
        <v/>
      </c>
      <c r="E286">
        <f>IF(OR(Database!$AU286="",Screener!$D$10=""),0,IF(Database!$AU286=Screener!$D$10,1,0))</f>
        <v/>
      </c>
      <c r="F286">
        <f>IF(OR(Database!$AZ286="",Screener!$D$11=""),0,IF(Database!$AZ286=Screener!$D$11,1,0))</f>
        <v/>
      </c>
      <c r="G286">
        <f>IF(OR(Database!$H286="",N(Screener!$D$12)&lt;=0),0,MAX(0,1-(N(Screener!$D$12)-Database!$H286)/W_RECD))</f>
        <v/>
      </c>
      <c r="H286">
        <f>IF($U$1="",0,N(ISNUMBER(SEARCH($U$1,Database!$X286&amp;""))))+IF($V$1="",0,N(ISNUMBER(SEARCH($V$1,Database!$X286&amp;""))))+IF($W$1="",0,N(ISNUMBER(SEARCH($W$1,Database!$X286&amp;""))))+IF($X$1="",0,N(ISNUMBER(SEARCH($X$1,Database!$X286&amp;""))))+IF($Y$1="",0,N(ISNUMBER(SEARCH($Y$1,Database!$X286&amp;""))))+IF(Screener!$B$17="",0,N(ISNUMBER(SEARCH(LOWER(Screener!$B$17),Database!$X286&amp;""))))</f>
        <v/>
      </c>
      <c r="I286">
        <f>IF(OR(N(Database!$AV286)&lt;=0,N(Screener!$D$13)&lt;=0),0,MAX(0,1-ABS(LOG10(N(Database!$AV286)/Screener!$D$13))/W_PEHW))</f>
        <v/>
      </c>
      <c r="J286">
        <f>IF(OR(N(Database!$S286)&lt;=0,N(Screener!$D$14)&lt;=0),0,MAX(0,1-ABS(LOG10(Database!$S286/Screener!$D$14))/0.6))</f>
        <v/>
      </c>
      <c r="K286">
        <f>IF(Database!$B286=Screener!$B$5,-999999,IF(ISNUMBER(SEARCH(","&amp;Database!$A286&amp;",",","&amp;SUBSTITUTE(Screener!$B$19," ","")&amp;",")),2000000,IF(IF(OR(Screener!$B$18="All",AND(Screener!$B$18="With A-share",(Database!$AZ286="Y")),AND(Screener!$B$18="Without A-share",NOT((Database!$AZ286="Y")))),1,0)=0,-999999,IF(Screener!$B$16="cornerstone overlap first",H286*100000,IF(Screener!$B$16="demand-similar first",J286*100000,0))+W_SUB*B286+W_SEC*C286*(1-B286)+W_SIZE*D286+W_PROF*E286+W_AH*F286+W_REC*G286+W_CS*H286+W_PE*I286)))+ROW()/1000000</f>
        <v/>
      </c>
      <c r="AA286">
        <f>Database!B275</f>
        <v/>
      </c>
      <c r="AB286">
        <f>Database!D275</f>
        <v/>
      </c>
      <c r="AC286">
        <f>Database!E275</f>
        <v/>
      </c>
      <c r="AD286">
        <f>Database!I275</f>
        <v/>
      </c>
      <c r="AE286">
        <f>Database!AU275</f>
        <v/>
      </c>
      <c r="AF286">
        <f>Database!AZ275</f>
        <v/>
      </c>
      <c r="AG286">
        <f>Database!H275</f>
        <v/>
      </c>
      <c r="AH286">
        <f>Database!AV275</f>
        <v/>
      </c>
    </row>
    <row r="287">
      <c r="A287">
        <f>Database!B287</f>
        <v/>
      </c>
      <c r="B287">
        <f>IF(AND(Screener!$D$8&lt;&gt;"",Database!$E287=Screener!$D$8),1,0)</f>
        <v/>
      </c>
      <c r="C287">
        <f>IF(AND(Screener!$D$7&lt;&gt;"",Database!$D287=Screener!$D$7),1,0)</f>
        <v/>
      </c>
      <c r="D287">
        <f>IF(OR(N(Database!$I287)&lt;=0,N(Screener!$D$9)&lt;=0),0,MAX(0,1-ABS(LOG10(N(Database!$I287)/Screener!$D$9))/W_SIZEHW))</f>
        <v/>
      </c>
      <c r="E287">
        <f>IF(OR(Database!$AU287="",Screener!$D$10=""),0,IF(Database!$AU287=Screener!$D$10,1,0))</f>
        <v/>
      </c>
      <c r="F287">
        <f>IF(OR(Database!$AZ287="",Screener!$D$11=""),0,IF(Database!$AZ287=Screener!$D$11,1,0))</f>
        <v/>
      </c>
      <c r="G287">
        <f>IF(OR(Database!$H287="",N(Screener!$D$12)&lt;=0),0,MAX(0,1-(N(Screener!$D$12)-Database!$H287)/W_RECD))</f>
        <v/>
      </c>
      <c r="H287">
        <f>IF($U$1="",0,N(ISNUMBER(SEARCH($U$1,Database!$X287&amp;""))))+IF($V$1="",0,N(ISNUMBER(SEARCH($V$1,Database!$X287&amp;""))))+IF($W$1="",0,N(ISNUMBER(SEARCH($W$1,Database!$X287&amp;""))))+IF($X$1="",0,N(ISNUMBER(SEARCH($X$1,Database!$X287&amp;""))))+IF($Y$1="",0,N(ISNUMBER(SEARCH($Y$1,Database!$X287&amp;""))))+IF(Screener!$B$17="",0,N(ISNUMBER(SEARCH(LOWER(Screener!$B$17),Database!$X287&amp;""))))</f>
        <v/>
      </c>
      <c r="I287">
        <f>IF(OR(N(Database!$AV287)&lt;=0,N(Screener!$D$13)&lt;=0),0,MAX(0,1-ABS(LOG10(N(Database!$AV287)/Screener!$D$13))/W_PEHW))</f>
        <v/>
      </c>
      <c r="J287">
        <f>IF(OR(N(Database!$S287)&lt;=0,N(Screener!$D$14)&lt;=0),0,MAX(0,1-ABS(LOG10(Database!$S287/Screener!$D$14))/0.6))</f>
        <v/>
      </c>
      <c r="K287">
        <f>IF(Database!$B287=Screener!$B$5,-999999,IF(ISNUMBER(SEARCH(","&amp;Database!$A287&amp;",",","&amp;SUBSTITUTE(Screener!$B$19," ","")&amp;",")),2000000,IF(IF(OR(Screener!$B$18="All",AND(Screener!$B$18="With A-share",(Database!$AZ287="Y")),AND(Screener!$B$18="Without A-share",NOT((Database!$AZ287="Y")))),1,0)=0,-999999,IF(Screener!$B$16="cornerstone overlap first",H287*100000,IF(Screener!$B$16="demand-similar first",J287*100000,0))+W_SUB*B287+W_SEC*C287*(1-B287)+W_SIZE*D287+W_PROF*E287+W_AH*F287+W_REC*G287+W_CS*H287+W_PE*I287)))+ROW()/1000000</f>
        <v/>
      </c>
      <c r="AA287">
        <f>Database!B276</f>
        <v/>
      </c>
      <c r="AB287">
        <f>Database!D276</f>
        <v/>
      </c>
      <c r="AC287">
        <f>Database!E276</f>
        <v/>
      </c>
      <c r="AD287">
        <f>Database!I276</f>
        <v/>
      </c>
      <c r="AE287">
        <f>Database!AU276</f>
        <v/>
      </c>
      <c r="AF287">
        <f>Database!AZ276</f>
        <v/>
      </c>
      <c r="AG287">
        <f>Database!H276</f>
        <v/>
      </c>
      <c r="AH287">
        <f>Database!AV276</f>
        <v/>
      </c>
    </row>
    <row r="288">
      <c r="A288">
        <f>Database!B288</f>
        <v/>
      </c>
      <c r="B288">
        <f>IF(AND(Screener!$D$8&lt;&gt;"",Database!$E288=Screener!$D$8),1,0)</f>
        <v/>
      </c>
      <c r="C288">
        <f>IF(AND(Screener!$D$7&lt;&gt;"",Database!$D288=Screener!$D$7),1,0)</f>
        <v/>
      </c>
      <c r="D288">
        <f>IF(OR(N(Database!$I288)&lt;=0,N(Screener!$D$9)&lt;=0),0,MAX(0,1-ABS(LOG10(N(Database!$I288)/Screener!$D$9))/W_SIZEHW))</f>
        <v/>
      </c>
      <c r="E288">
        <f>IF(OR(Database!$AU288="",Screener!$D$10=""),0,IF(Database!$AU288=Screener!$D$10,1,0))</f>
        <v/>
      </c>
      <c r="F288">
        <f>IF(OR(Database!$AZ288="",Screener!$D$11=""),0,IF(Database!$AZ288=Screener!$D$11,1,0))</f>
        <v/>
      </c>
      <c r="G288">
        <f>IF(OR(Database!$H288="",N(Screener!$D$12)&lt;=0),0,MAX(0,1-(N(Screener!$D$12)-Database!$H288)/W_RECD))</f>
        <v/>
      </c>
      <c r="H288">
        <f>IF($U$1="",0,N(ISNUMBER(SEARCH($U$1,Database!$X288&amp;""))))+IF($V$1="",0,N(ISNUMBER(SEARCH($V$1,Database!$X288&amp;""))))+IF($W$1="",0,N(ISNUMBER(SEARCH($W$1,Database!$X288&amp;""))))+IF($X$1="",0,N(ISNUMBER(SEARCH($X$1,Database!$X288&amp;""))))+IF($Y$1="",0,N(ISNUMBER(SEARCH($Y$1,Database!$X288&amp;""))))+IF(Screener!$B$17="",0,N(ISNUMBER(SEARCH(LOWER(Screener!$B$17),Database!$X288&amp;""))))</f>
        <v/>
      </c>
      <c r="I288">
        <f>IF(OR(N(Database!$AV288)&lt;=0,N(Screener!$D$13)&lt;=0),0,MAX(0,1-ABS(LOG10(N(Database!$AV288)/Screener!$D$13))/W_PEHW))</f>
        <v/>
      </c>
      <c r="J288">
        <f>IF(OR(N(Database!$S288)&lt;=0,N(Screener!$D$14)&lt;=0),0,MAX(0,1-ABS(LOG10(Database!$S288/Screener!$D$14))/0.6))</f>
        <v/>
      </c>
      <c r="K288">
        <f>IF(Database!$B288=Screener!$B$5,-999999,IF(ISNUMBER(SEARCH(","&amp;Database!$A288&amp;",",","&amp;SUBSTITUTE(Screener!$B$19," ","")&amp;",")),2000000,IF(IF(OR(Screener!$B$18="All",AND(Screener!$B$18="With A-share",(Database!$AZ288="Y")),AND(Screener!$B$18="Without A-share",NOT((Database!$AZ288="Y")))),1,0)=0,-999999,IF(Screener!$B$16="cornerstone overlap first",H288*100000,IF(Screener!$B$16="demand-similar first",J288*100000,0))+W_SUB*B288+W_SEC*C288*(1-B288)+W_SIZE*D288+W_PROF*E288+W_AH*F288+W_REC*G288+W_CS*H288+W_PE*I288)))+ROW()/1000000</f>
        <v/>
      </c>
      <c r="AA288">
        <f>Database!B277</f>
        <v/>
      </c>
      <c r="AB288">
        <f>Database!D277</f>
        <v/>
      </c>
      <c r="AC288">
        <f>Database!E277</f>
        <v/>
      </c>
      <c r="AD288">
        <f>Database!I277</f>
        <v/>
      </c>
      <c r="AE288">
        <f>Database!AU277</f>
        <v/>
      </c>
      <c r="AF288">
        <f>Database!AZ277</f>
        <v/>
      </c>
      <c r="AG288">
        <f>Database!H277</f>
        <v/>
      </c>
      <c r="AH288">
        <f>Database!AV277</f>
        <v/>
      </c>
    </row>
    <row r="289">
      <c r="A289">
        <f>Database!B289</f>
        <v/>
      </c>
      <c r="B289">
        <f>IF(AND(Screener!$D$8&lt;&gt;"",Database!$E289=Screener!$D$8),1,0)</f>
        <v/>
      </c>
      <c r="C289">
        <f>IF(AND(Screener!$D$7&lt;&gt;"",Database!$D289=Screener!$D$7),1,0)</f>
        <v/>
      </c>
      <c r="D289">
        <f>IF(OR(N(Database!$I289)&lt;=0,N(Screener!$D$9)&lt;=0),0,MAX(0,1-ABS(LOG10(N(Database!$I289)/Screener!$D$9))/W_SIZEHW))</f>
        <v/>
      </c>
      <c r="E289">
        <f>IF(OR(Database!$AU289="",Screener!$D$10=""),0,IF(Database!$AU289=Screener!$D$10,1,0))</f>
        <v/>
      </c>
      <c r="F289">
        <f>IF(OR(Database!$AZ289="",Screener!$D$11=""),0,IF(Database!$AZ289=Screener!$D$11,1,0))</f>
        <v/>
      </c>
      <c r="G289">
        <f>IF(OR(Database!$H289="",N(Screener!$D$12)&lt;=0),0,MAX(0,1-(N(Screener!$D$12)-Database!$H289)/W_RECD))</f>
        <v/>
      </c>
      <c r="H289">
        <f>IF($U$1="",0,N(ISNUMBER(SEARCH($U$1,Database!$X289&amp;""))))+IF($V$1="",0,N(ISNUMBER(SEARCH($V$1,Database!$X289&amp;""))))+IF($W$1="",0,N(ISNUMBER(SEARCH($W$1,Database!$X289&amp;""))))+IF($X$1="",0,N(ISNUMBER(SEARCH($X$1,Database!$X289&amp;""))))+IF($Y$1="",0,N(ISNUMBER(SEARCH($Y$1,Database!$X289&amp;""))))+IF(Screener!$B$17="",0,N(ISNUMBER(SEARCH(LOWER(Screener!$B$17),Database!$X289&amp;""))))</f>
        <v/>
      </c>
      <c r="I289">
        <f>IF(OR(N(Database!$AV289)&lt;=0,N(Screener!$D$13)&lt;=0),0,MAX(0,1-ABS(LOG10(N(Database!$AV289)/Screener!$D$13))/W_PEHW))</f>
        <v/>
      </c>
      <c r="J289">
        <f>IF(OR(N(Database!$S289)&lt;=0,N(Screener!$D$14)&lt;=0),0,MAX(0,1-ABS(LOG10(Database!$S289/Screener!$D$14))/0.6))</f>
        <v/>
      </c>
      <c r="K289">
        <f>IF(Database!$B289=Screener!$B$5,-999999,IF(ISNUMBER(SEARCH(","&amp;Database!$A289&amp;",",","&amp;SUBSTITUTE(Screener!$B$19," ","")&amp;",")),2000000,IF(IF(OR(Screener!$B$18="All",AND(Screener!$B$18="With A-share",(Database!$AZ289="Y")),AND(Screener!$B$18="Without A-share",NOT((Database!$AZ289="Y")))),1,0)=0,-999999,IF(Screener!$B$16="cornerstone overlap first",H289*100000,IF(Screener!$B$16="demand-similar first",J289*100000,0))+W_SUB*B289+W_SEC*C289*(1-B289)+W_SIZE*D289+W_PROF*E289+W_AH*F289+W_REC*G289+W_CS*H289+W_PE*I289)))+ROW()/1000000</f>
        <v/>
      </c>
      <c r="AA289">
        <f>Database!B278</f>
        <v/>
      </c>
      <c r="AB289">
        <f>Database!D278</f>
        <v/>
      </c>
      <c r="AC289">
        <f>Database!E278</f>
        <v/>
      </c>
      <c r="AD289">
        <f>Database!I278</f>
        <v/>
      </c>
      <c r="AE289">
        <f>Database!AU278</f>
        <v/>
      </c>
      <c r="AF289">
        <f>Database!AZ278</f>
        <v/>
      </c>
      <c r="AG289">
        <f>Database!H278</f>
        <v/>
      </c>
      <c r="AH289">
        <f>Database!AV278</f>
        <v/>
      </c>
    </row>
    <row r="290">
      <c r="A290">
        <f>Database!B290</f>
        <v/>
      </c>
      <c r="B290">
        <f>IF(AND(Screener!$D$8&lt;&gt;"",Database!$E290=Screener!$D$8),1,0)</f>
        <v/>
      </c>
      <c r="C290">
        <f>IF(AND(Screener!$D$7&lt;&gt;"",Database!$D290=Screener!$D$7),1,0)</f>
        <v/>
      </c>
      <c r="D290">
        <f>IF(OR(N(Database!$I290)&lt;=0,N(Screener!$D$9)&lt;=0),0,MAX(0,1-ABS(LOG10(N(Database!$I290)/Screener!$D$9))/W_SIZEHW))</f>
        <v/>
      </c>
      <c r="E290">
        <f>IF(OR(Database!$AU290="",Screener!$D$10=""),0,IF(Database!$AU290=Screener!$D$10,1,0))</f>
        <v/>
      </c>
      <c r="F290">
        <f>IF(OR(Database!$AZ290="",Screener!$D$11=""),0,IF(Database!$AZ290=Screener!$D$11,1,0))</f>
        <v/>
      </c>
      <c r="G290">
        <f>IF(OR(Database!$H290="",N(Screener!$D$12)&lt;=0),0,MAX(0,1-(N(Screener!$D$12)-Database!$H290)/W_RECD))</f>
        <v/>
      </c>
      <c r="H290">
        <f>IF($U$1="",0,N(ISNUMBER(SEARCH($U$1,Database!$X290&amp;""))))+IF($V$1="",0,N(ISNUMBER(SEARCH($V$1,Database!$X290&amp;""))))+IF($W$1="",0,N(ISNUMBER(SEARCH($W$1,Database!$X290&amp;""))))+IF($X$1="",0,N(ISNUMBER(SEARCH($X$1,Database!$X290&amp;""))))+IF($Y$1="",0,N(ISNUMBER(SEARCH($Y$1,Database!$X290&amp;""))))+IF(Screener!$B$17="",0,N(ISNUMBER(SEARCH(LOWER(Screener!$B$17),Database!$X290&amp;""))))</f>
        <v/>
      </c>
      <c r="I290">
        <f>IF(OR(N(Database!$AV290)&lt;=0,N(Screener!$D$13)&lt;=0),0,MAX(0,1-ABS(LOG10(N(Database!$AV290)/Screener!$D$13))/W_PEHW))</f>
        <v/>
      </c>
      <c r="J290">
        <f>IF(OR(N(Database!$S290)&lt;=0,N(Screener!$D$14)&lt;=0),0,MAX(0,1-ABS(LOG10(Database!$S290/Screener!$D$14))/0.6))</f>
        <v/>
      </c>
      <c r="K290">
        <f>IF(Database!$B290=Screener!$B$5,-999999,IF(ISNUMBER(SEARCH(","&amp;Database!$A290&amp;",",","&amp;SUBSTITUTE(Screener!$B$19," ","")&amp;",")),2000000,IF(IF(OR(Screener!$B$18="All",AND(Screener!$B$18="With A-share",(Database!$AZ290="Y")),AND(Screener!$B$18="Without A-share",NOT((Database!$AZ290="Y")))),1,0)=0,-999999,IF(Screener!$B$16="cornerstone overlap first",H290*100000,IF(Screener!$B$16="demand-similar first",J290*100000,0))+W_SUB*B290+W_SEC*C290*(1-B290)+W_SIZE*D290+W_PROF*E290+W_AH*F290+W_REC*G290+W_CS*H290+W_PE*I290)))+ROW()/1000000</f>
        <v/>
      </c>
      <c r="AA290">
        <f>Database!B279</f>
        <v/>
      </c>
      <c r="AB290">
        <f>Database!D279</f>
        <v/>
      </c>
      <c r="AC290">
        <f>Database!E279</f>
        <v/>
      </c>
      <c r="AD290">
        <f>Database!I279</f>
        <v/>
      </c>
      <c r="AE290">
        <f>Database!AU279</f>
        <v/>
      </c>
      <c r="AF290">
        <f>Database!AZ279</f>
        <v/>
      </c>
      <c r="AG290">
        <f>Database!H279</f>
        <v/>
      </c>
      <c r="AH290">
        <f>Database!AV279</f>
        <v/>
      </c>
    </row>
    <row r="291">
      <c r="A291">
        <f>Database!B291</f>
        <v/>
      </c>
      <c r="B291">
        <f>IF(AND(Screener!$D$8&lt;&gt;"",Database!$E291=Screener!$D$8),1,0)</f>
        <v/>
      </c>
      <c r="C291">
        <f>IF(AND(Screener!$D$7&lt;&gt;"",Database!$D291=Screener!$D$7),1,0)</f>
        <v/>
      </c>
      <c r="D291">
        <f>IF(OR(N(Database!$I291)&lt;=0,N(Screener!$D$9)&lt;=0),0,MAX(0,1-ABS(LOG10(N(Database!$I291)/Screener!$D$9))/W_SIZEHW))</f>
        <v/>
      </c>
      <c r="E291">
        <f>IF(OR(Database!$AU291="",Screener!$D$10=""),0,IF(Database!$AU291=Screener!$D$10,1,0))</f>
        <v/>
      </c>
      <c r="F291">
        <f>IF(OR(Database!$AZ291="",Screener!$D$11=""),0,IF(Database!$AZ291=Screener!$D$11,1,0))</f>
        <v/>
      </c>
      <c r="G291">
        <f>IF(OR(Database!$H291="",N(Screener!$D$12)&lt;=0),0,MAX(0,1-(N(Screener!$D$12)-Database!$H291)/W_RECD))</f>
        <v/>
      </c>
      <c r="H291">
        <f>IF($U$1="",0,N(ISNUMBER(SEARCH($U$1,Database!$X291&amp;""))))+IF($V$1="",0,N(ISNUMBER(SEARCH($V$1,Database!$X291&amp;""))))+IF($W$1="",0,N(ISNUMBER(SEARCH($W$1,Database!$X291&amp;""))))+IF($X$1="",0,N(ISNUMBER(SEARCH($X$1,Database!$X291&amp;""))))+IF($Y$1="",0,N(ISNUMBER(SEARCH($Y$1,Database!$X291&amp;""))))+IF(Screener!$B$17="",0,N(ISNUMBER(SEARCH(LOWER(Screener!$B$17),Database!$X291&amp;""))))</f>
        <v/>
      </c>
      <c r="I291">
        <f>IF(OR(N(Database!$AV291)&lt;=0,N(Screener!$D$13)&lt;=0),0,MAX(0,1-ABS(LOG10(N(Database!$AV291)/Screener!$D$13))/W_PEHW))</f>
        <v/>
      </c>
      <c r="J291">
        <f>IF(OR(N(Database!$S291)&lt;=0,N(Screener!$D$14)&lt;=0),0,MAX(0,1-ABS(LOG10(Database!$S291/Screener!$D$14))/0.6))</f>
        <v/>
      </c>
      <c r="K291">
        <f>IF(Database!$B291=Screener!$B$5,-999999,IF(ISNUMBER(SEARCH(","&amp;Database!$A291&amp;",",","&amp;SUBSTITUTE(Screener!$B$19," ","")&amp;",")),2000000,IF(IF(OR(Screener!$B$18="All",AND(Screener!$B$18="With A-share",(Database!$AZ291="Y")),AND(Screener!$B$18="Without A-share",NOT((Database!$AZ291="Y")))),1,0)=0,-999999,IF(Screener!$B$16="cornerstone overlap first",H291*100000,IF(Screener!$B$16="demand-similar first",J291*100000,0))+W_SUB*B291+W_SEC*C291*(1-B291)+W_SIZE*D291+W_PROF*E291+W_AH*F291+W_REC*G291+W_CS*H291+W_PE*I291)))+ROW()/1000000</f>
        <v/>
      </c>
      <c r="AA291">
        <f>Database!B280</f>
        <v/>
      </c>
      <c r="AB291">
        <f>Database!D280</f>
        <v/>
      </c>
      <c r="AC291">
        <f>Database!E280</f>
        <v/>
      </c>
      <c r="AD291">
        <f>Database!I280</f>
        <v/>
      </c>
      <c r="AE291">
        <f>Database!AU280</f>
        <v/>
      </c>
      <c r="AF291">
        <f>Database!AZ280</f>
        <v/>
      </c>
      <c r="AG291">
        <f>Database!H280</f>
        <v/>
      </c>
      <c r="AH291">
        <f>Database!AV280</f>
        <v/>
      </c>
    </row>
    <row r="292">
      <c r="A292">
        <f>Database!B292</f>
        <v/>
      </c>
      <c r="B292">
        <f>IF(AND(Screener!$D$8&lt;&gt;"",Database!$E292=Screener!$D$8),1,0)</f>
        <v/>
      </c>
      <c r="C292">
        <f>IF(AND(Screener!$D$7&lt;&gt;"",Database!$D292=Screener!$D$7),1,0)</f>
        <v/>
      </c>
      <c r="D292">
        <f>IF(OR(N(Database!$I292)&lt;=0,N(Screener!$D$9)&lt;=0),0,MAX(0,1-ABS(LOG10(N(Database!$I292)/Screener!$D$9))/W_SIZEHW))</f>
        <v/>
      </c>
      <c r="E292">
        <f>IF(OR(Database!$AU292="",Screener!$D$10=""),0,IF(Database!$AU292=Screener!$D$10,1,0))</f>
        <v/>
      </c>
      <c r="F292">
        <f>IF(OR(Database!$AZ292="",Screener!$D$11=""),0,IF(Database!$AZ292=Screener!$D$11,1,0))</f>
        <v/>
      </c>
      <c r="G292">
        <f>IF(OR(Database!$H292="",N(Screener!$D$12)&lt;=0),0,MAX(0,1-(N(Screener!$D$12)-Database!$H292)/W_RECD))</f>
        <v/>
      </c>
      <c r="H292">
        <f>IF($U$1="",0,N(ISNUMBER(SEARCH($U$1,Database!$X292&amp;""))))+IF($V$1="",0,N(ISNUMBER(SEARCH($V$1,Database!$X292&amp;""))))+IF($W$1="",0,N(ISNUMBER(SEARCH($W$1,Database!$X292&amp;""))))+IF($X$1="",0,N(ISNUMBER(SEARCH($X$1,Database!$X292&amp;""))))+IF($Y$1="",0,N(ISNUMBER(SEARCH($Y$1,Database!$X292&amp;""))))+IF(Screener!$B$17="",0,N(ISNUMBER(SEARCH(LOWER(Screener!$B$17),Database!$X292&amp;""))))</f>
        <v/>
      </c>
      <c r="I292">
        <f>IF(OR(N(Database!$AV292)&lt;=0,N(Screener!$D$13)&lt;=0),0,MAX(0,1-ABS(LOG10(N(Database!$AV292)/Screener!$D$13))/W_PEHW))</f>
        <v/>
      </c>
      <c r="J292">
        <f>IF(OR(N(Database!$S292)&lt;=0,N(Screener!$D$14)&lt;=0),0,MAX(0,1-ABS(LOG10(Database!$S292/Screener!$D$14))/0.6))</f>
        <v/>
      </c>
      <c r="K292">
        <f>IF(Database!$B292=Screener!$B$5,-999999,IF(ISNUMBER(SEARCH(","&amp;Database!$A292&amp;",",","&amp;SUBSTITUTE(Screener!$B$19," ","")&amp;",")),2000000,IF(IF(OR(Screener!$B$18="All",AND(Screener!$B$18="With A-share",(Database!$AZ292="Y")),AND(Screener!$B$18="Without A-share",NOT((Database!$AZ292="Y")))),1,0)=0,-999999,IF(Screener!$B$16="cornerstone overlap first",H292*100000,IF(Screener!$B$16="demand-similar first",J292*100000,0))+W_SUB*B292+W_SEC*C292*(1-B292)+W_SIZE*D292+W_PROF*E292+W_AH*F292+W_REC*G292+W_CS*H292+W_PE*I292)))+ROW()/1000000</f>
        <v/>
      </c>
      <c r="AA292">
        <f>Database!B281</f>
        <v/>
      </c>
      <c r="AB292">
        <f>Database!D281</f>
        <v/>
      </c>
      <c r="AC292">
        <f>Database!E281</f>
        <v/>
      </c>
      <c r="AD292">
        <f>Database!I281</f>
        <v/>
      </c>
      <c r="AE292">
        <f>Database!AU281</f>
        <v/>
      </c>
      <c r="AF292">
        <f>Database!AZ281</f>
        <v/>
      </c>
      <c r="AG292">
        <f>Database!H281</f>
        <v/>
      </c>
      <c r="AH292">
        <f>Database!AV281</f>
        <v/>
      </c>
    </row>
    <row r="293">
      <c r="A293">
        <f>Database!B293</f>
        <v/>
      </c>
      <c r="B293">
        <f>IF(AND(Screener!$D$8&lt;&gt;"",Database!$E293=Screener!$D$8),1,0)</f>
        <v/>
      </c>
      <c r="C293">
        <f>IF(AND(Screener!$D$7&lt;&gt;"",Database!$D293=Screener!$D$7),1,0)</f>
        <v/>
      </c>
      <c r="D293">
        <f>IF(OR(N(Database!$I293)&lt;=0,N(Screener!$D$9)&lt;=0),0,MAX(0,1-ABS(LOG10(N(Database!$I293)/Screener!$D$9))/W_SIZEHW))</f>
        <v/>
      </c>
      <c r="E293">
        <f>IF(OR(Database!$AU293="",Screener!$D$10=""),0,IF(Database!$AU293=Screener!$D$10,1,0))</f>
        <v/>
      </c>
      <c r="F293">
        <f>IF(OR(Database!$AZ293="",Screener!$D$11=""),0,IF(Database!$AZ293=Screener!$D$11,1,0))</f>
        <v/>
      </c>
      <c r="G293">
        <f>IF(OR(Database!$H293="",N(Screener!$D$12)&lt;=0),0,MAX(0,1-(N(Screener!$D$12)-Database!$H293)/W_RECD))</f>
        <v/>
      </c>
      <c r="H293">
        <f>IF($U$1="",0,N(ISNUMBER(SEARCH($U$1,Database!$X293&amp;""))))+IF($V$1="",0,N(ISNUMBER(SEARCH($V$1,Database!$X293&amp;""))))+IF($W$1="",0,N(ISNUMBER(SEARCH($W$1,Database!$X293&amp;""))))+IF($X$1="",0,N(ISNUMBER(SEARCH($X$1,Database!$X293&amp;""))))+IF($Y$1="",0,N(ISNUMBER(SEARCH($Y$1,Database!$X293&amp;""))))+IF(Screener!$B$17="",0,N(ISNUMBER(SEARCH(LOWER(Screener!$B$17),Database!$X293&amp;""))))</f>
        <v/>
      </c>
      <c r="I293">
        <f>IF(OR(N(Database!$AV293)&lt;=0,N(Screener!$D$13)&lt;=0),0,MAX(0,1-ABS(LOG10(N(Database!$AV293)/Screener!$D$13))/W_PEHW))</f>
        <v/>
      </c>
      <c r="J293">
        <f>IF(OR(N(Database!$S293)&lt;=0,N(Screener!$D$14)&lt;=0),0,MAX(0,1-ABS(LOG10(Database!$S293/Screener!$D$14))/0.6))</f>
        <v/>
      </c>
      <c r="K293">
        <f>IF(Database!$B293=Screener!$B$5,-999999,IF(ISNUMBER(SEARCH(","&amp;Database!$A293&amp;",",","&amp;SUBSTITUTE(Screener!$B$19," ","")&amp;",")),2000000,IF(IF(OR(Screener!$B$18="All",AND(Screener!$B$18="With A-share",(Database!$AZ293="Y")),AND(Screener!$B$18="Without A-share",NOT((Database!$AZ293="Y")))),1,0)=0,-999999,IF(Screener!$B$16="cornerstone overlap first",H293*100000,IF(Screener!$B$16="demand-similar first",J293*100000,0))+W_SUB*B293+W_SEC*C293*(1-B293)+W_SIZE*D293+W_PROF*E293+W_AH*F293+W_REC*G293+W_CS*H293+W_PE*I293)))+ROW()/1000000</f>
        <v/>
      </c>
      <c r="AA293">
        <f>Database!B282</f>
        <v/>
      </c>
      <c r="AB293">
        <f>Database!D282</f>
        <v/>
      </c>
      <c r="AC293">
        <f>Database!E282</f>
        <v/>
      </c>
      <c r="AD293">
        <f>Database!I282</f>
        <v/>
      </c>
      <c r="AE293">
        <f>Database!AU282</f>
        <v/>
      </c>
      <c r="AF293">
        <f>Database!AZ282</f>
        <v/>
      </c>
      <c r="AG293">
        <f>Database!H282</f>
        <v/>
      </c>
      <c r="AH293">
        <f>Database!AV282</f>
        <v/>
      </c>
    </row>
    <row r="294">
      <c r="A294">
        <f>Database!B294</f>
        <v/>
      </c>
      <c r="B294">
        <f>IF(AND(Screener!$D$8&lt;&gt;"",Database!$E294=Screener!$D$8),1,0)</f>
        <v/>
      </c>
      <c r="C294">
        <f>IF(AND(Screener!$D$7&lt;&gt;"",Database!$D294=Screener!$D$7),1,0)</f>
        <v/>
      </c>
      <c r="D294">
        <f>IF(OR(N(Database!$I294)&lt;=0,N(Screener!$D$9)&lt;=0),0,MAX(0,1-ABS(LOG10(N(Database!$I294)/Screener!$D$9))/W_SIZEHW))</f>
        <v/>
      </c>
      <c r="E294">
        <f>IF(OR(Database!$AU294="",Screener!$D$10=""),0,IF(Database!$AU294=Screener!$D$10,1,0))</f>
        <v/>
      </c>
      <c r="F294">
        <f>IF(OR(Database!$AZ294="",Screener!$D$11=""),0,IF(Database!$AZ294=Screener!$D$11,1,0))</f>
        <v/>
      </c>
      <c r="G294">
        <f>IF(OR(Database!$H294="",N(Screener!$D$12)&lt;=0),0,MAX(0,1-(N(Screener!$D$12)-Database!$H294)/W_RECD))</f>
        <v/>
      </c>
      <c r="H294">
        <f>IF($U$1="",0,N(ISNUMBER(SEARCH($U$1,Database!$X294&amp;""))))+IF($V$1="",0,N(ISNUMBER(SEARCH($V$1,Database!$X294&amp;""))))+IF($W$1="",0,N(ISNUMBER(SEARCH($W$1,Database!$X294&amp;""))))+IF($X$1="",0,N(ISNUMBER(SEARCH($X$1,Database!$X294&amp;""))))+IF($Y$1="",0,N(ISNUMBER(SEARCH($Y$1,Database!$X294&amp;""))))+IF(Screener!$B$17="",0,N(ISNUMBER(SEARCH(LOWER(Screener!$B$17),Database!$X294&amp;""))))</f>
        <v/>
      </c>
      <c r="I294">
        <f>IF(OR(N(Database!$AV294)&lt;=0,N(Screener!$D$13)&lt;=0),0,MAX(0,1-ABS(LOG10(N(Database!$AV294)/Screener!$D$13))/W_PEHW))</f>
        <v/>
      </c>
      <c r="J294">
        <f>IF(OR(N(Database!$S294)&lt;=0,N(Screener!$D$14)&lt;=0),0,MAX(0,1-ABS(LOG10(Database!$S294/Screener!$D$14))/0.6))</f>
        <v/>
      </c>
      <c r="K294">
        <f>IF(Database!$B294=Screener!$B$5,-999999,IF(ISNUMBER(SEARCH(","&amp;Database!$A294&amp;",",","&amp;SUBSTITUTE(Screener!$B$19," ","")&amp;",")),2000000,IF(IF(OR(Screener!$B$18="All",AND(Screener!$B$18="With A-share",(Database!$AZ294="Y")),AND(Screener!$B$18="Without A-share",NOT((Database!$AZ294="Y")))),1,0)=0,-999999,IF(Screener!$B$16="cornerstone overlap first",H294*100000,IF(Screener!$B$16="demand-similar first",J294*100000,0))+W_SUB*B294+W_SEC*C294*(1-B294)+W_SIZE*D294+W_PROF*E294+W_AH*F294+W_REC*G294+W_CS*H294+W_PE*I294)))+ROW()/1000000</f>
        <v/>
      </c>
      <c r="AA294">
        <f>Database!B283</f>
        <v/>
      </c>
      <c r="AB294">
        <f>Database!D283</f>
        <v/>
      </c>
      <c r="AC294">
        <f>Database!E283</f>
        <v/>
      </c>
      <c r="AD294">
        <f>Database!I283</f>
        <v/>
      </c>
      <c r="AE294">
        <f>Database!AU283</f>
        <v/>
      </c>
      <c r="AF294">
        <f>Database!AZ283</f>
        <v/>
      </c>
      <c r="AG294">
        <f>Database!H283</f>
        <v/>
      </c>
      <c r="AH294">
        <f>Database!AV283</f>
        <v/>
      </c>
    </row>
    <row r="295">
      <c r="A295">
        <f>Database!B295</f>
        <v/>
      </c>
      <c r="B295">
        <f>IF(AND(Screener!$D$8&lt;&gt;"",Database!$E295=Screener!$D$8),1,0)</f>
        <v/>
      </c>
      <c r="C295">
        <f>IF(AND(Screener!$D$7&lt;&gt;"",Database!$D295=Screener!$D$7),1,0)</f>
        <v/>
      </c>
      <c r="D295">
        <f>IF(OR(N(Database!$I295)&lt;=0,N(Screener!$D$9)&lt;=0),0,MAX(0,1-ABS(LOG10(N(Database!$I295)/Screener!$D$9))/W_SIZEHW))</f>
        <v/>
      </c>
      <c r="E295">
        <f>IF(OR(Database!$AU295="",Screener!$D$10=""),0,IF(Database!$AU295=Screener!$D$10,1,0))</f>
        <v/>
      </c>
      <c r="F295">
        <f>IF(OR(Database!$AZ295="",Screener!$D$11=""),0,IF(Database!$AZ295=Screener!$D$11,1,0))</f>
        <v/>
      </c>
      <c r="G295">
        <f>IF(OR(Database!$H295="",N(Screener!$D$12)&lt;=0),0,MAX(0,1-(N(Screener!$D$12)-Database!$H295)/W_RECD))</f>
        <v/>
      </c>
      <c r="H295">
        <f>IF($U$1="",0,N(ISNUMBER(SEARCH($U$1,Database!$X295&amp;""))))+IF($V$1="",0,N(ISNUMBER(SEARCH($V$1,Database!$X295&amp;""))))+IF($W$1="",0,N(ISNUMBER(SEARCH($W$1,Database!$X295&amp;""))))+IF($X$1="",0,N(ISNUMBER(SEARCH($X$1,Database!$X295&amp;""))))+IF($Y$1="",0,N(ISNUMBER(SEARCH($Y$1,Database!$X295&amp;""))))+IF(Screener!$B$17="",0,N(ISNUMBER(SEARCH(LOWER(Screener!$B$17),Database!$X295&amp;""))))</f>
        <v/>
      </c>
      <c r="I295">
        <f>IF(OR(N(Database!$AV295)&lt;=0,N(Screener!$D$13)&lt;=0),0,MAX(0,1-ABS(LOG10(N(Database!$AV295)/Screener!$D$13))/W_PEHW))</f>
        <v/>
      </c>
      <c r="J295">
        <f>IF(OR(N(Database!$S295)&lt;=0,N(Screener!$D$14)&lt;=0),0,MAX(0,1-ABS(LOG10(Database!$S295/Screener!$D$14))/0.6))</f>
        <v/>
      </c>
      <c r="K295">
        <f>IF(Database!$B295=Screener!$B$5,-999999,IF(ISNUMBER(SEARCH(","&amp;Database!$A295&amp;",",","&amp;SUBSTITUTE(Screener!$B$19," ","")&amp;",")),2000000,IF(IF(OR(Screener!$B$18="All",AND(Screener!$B$18="With A-share",(Database!$AZ295="Y")),AND(Screener!$B$18="Without A-share",NOT((Database!$AZ295="Y")))),1,0)=0,-999999,IF(Screener!$B$16="cornerstone overlap first",H295*100000,IF(Screener!$B$16="demand-similar first",J295*100000,0))+W_SUB*B295+W_SEC*C295*(1-B295)+W_SIZE*D295+W_PROF*E295+W_AH*F295+W_REC*G295+W_CS*H295+W_PE*I295)))+ROW()/1000000</f>
        <v/>
      </c>
      <c r="AA295">
        <f>Database!B284</f>
        <v/>
      </c>
      <c r="AB295">
        <f>Database!D284</f>
        <v/>
      </c>
      <c r="AC295">
        <f>Database!E284</f>
        <v/>
      </c>
      <c r="AD295">
        <f>Database!I284</f>
        <v/>
      </c>
      <c r="AE295">
        <f>Database!AU284</f>
        <v/>
      </c>
      <c r="AF295">
        <f>Database!AZ284</f>
        <v/>
      </c>
      <c r="AG295">
        <f>Database!H284</f>
        <v/>
      </c>
      <c r="AH295">
        <f>Database!AV284</f>
        <v/>
      </c>
    </row>
    <row r="296">
      <c r="A296">
        <f>Database!B296</f>
        <v/>
      </c>
      <c r="B296">
        <f>IF(AND(Screener!$D$8&lt;&gt;"",Database!$E296=Screener!$D$8),1,0)</f>
        <v/>
      </c>
      <c r="C296">
        <f>IF(AND(Screener!$D$7&lt;&gt;"",Database!$D296=Screener!$D$7),1,0)</f>
        <v/>
      </c>
      <c r="D296">
        <f>IF(OR(N(Database!$I296)&lt;=0,N(Screener!$D$9)&lt;=0),0,MAX(0,1-ABS(LOG10(N(Database!$I296)/Screener!$D$9))/W_SIZEHW))</f>
        <v/>
      </c>
      <c r="E296">
        <f>IF(OR(Database!$AU296="",Screener!$D$10=""),0,IF(Database!$AU296=Screener!$D$10,1,0))</f>
        <v/>
      </c>
      <c r="F296">
        <f>IF(OR(Database!$AZ296="",Screener!$D$11=""),0,IF(Database!$AZ296=Screener!$D$11,1,0))</f>
        <v/>
      </c>
      <c r="G296">
        <f>IF(OR(Database!$H296="",N(Screener!$D$12)&lt;=0),0,MAX(0,1-(N(Screener!$D$12)-Database!$H296)/W_RECD))</f>
        <v/>
      </c>
      <c r="H296">
        <f>IF($U$1="",0,N(ISNUMBER(SEARCH($U$1,Database!$X296&amp;""))))+IF($V$1="",0,N(ISNUMBER(SEARCH($V$1,Database!$X296&amp;""))))+IF($W$1="",0,N(ISNUMBER(SEARCH($W$1,Database!$X296&amp;""))))+IF($X$1="",0,N(ISNUMBER(SEARCH($X$1,Database!$X296&amp;""))))+IF($Y$1="",0,N(ISNUMBER(SEARCH($Y$1,Database!$X296&amp;""))))+IF(Screener!$B$17="",0,N(ISNUMBER(SEARCH(LOWER(Screener!$B$17),Database!$X296&amp;""))))</f>
        <v/>
      </c>
      <c r="I296">
        <f>IF(OR(N(Database!$AV296)&lt;=0,N(Screener!$D$13)&lt;=0),0,MAX(0,1-ABS(LOG10(N(Database!$AV296)/Screener!$D$13))/W_PEHW))</f>
        <v/>
      </c>
      <c r="J296">
        <f>IF(OR(N(Database!$S296)&lt;=0,N(Screener!$D$14)&lt;=0),0,MAX(0,1-ABS(LOG10(Database!$S296/Screener!$D$14))/0.6))</f>
        <v/>
      </c>
      <c r="K296">
        <f>IF(Database!$B296=Screener!$B$5,-999999,IF(ISNUMBER(SEARCH(","&amp;Database!$A296&amp;",",","&amp;SUBSTITUTE(Screener!$B$19," ","")&amp;",")),2000000,IF(IF(OR(Screener!$B$18="All",AND(Screener!$B$18="With A-share",(Database!$AZ296="Y")),AND(Screener!$B$18="Without A-share",NOT((Database!$AZ296="Y")))),1,0)=0,-999999,IF(Screener!$B$16="cornerstone overlap first",H296*100000,IF(Screener!$B$16="demand-similar first",J296*100000,0))+W_SUB*B296+W_SEC*C296*(1-B296)+W_SIZE*D296+W_PROF*E296+W_AH*F296+W_REC*G296+W_CS*H296+W_PE*I296)))+ROW()/1000000</f>
        <v/>
      </c>
      <c r="AA296">
        <f>Database!B285</f>
        <v/>
      </c>
      <c r="AB296">
        <f>Database!D285</f>
        <v/>
      </c>
      <c r="AC296">
        <f>Database!E285</f>
        <v/>
      </c>
      <c r="AD296">
        <f>Database!I285</f>
        <v/>
      </c>
      <c r="AE296">
        <f>Database!AU285</f>
        <v/>
      </c>
      <c r="AF296">
        <f>Database!AZ285</f>
        <v/>
      </c>
      <c r="AG296">
        <f>Database!H285</f>
        <v/>
      </c>
      <c r="AH296">
        <f>Database!AV285</f>
        <v/>
      </c>
    </row>
    <row r="297">
      <c r="A297">
        <f>Database!B297</f>
        <v/>
      </c>
      <c r="B297">
        <f>IF(AND(Screener!$D$8&lt;&gt;"",Database!$E297=Screener!$D$8),1,0)</f>
        <v/>
      </c>
      <c r="C297">
        <f>IF(AND(Screener!$D$7&lt;&gt;"",Database!$D297=Screener!$D$7),1,0)</f>
        <v/>
      </c>
      <c r="D297">
        <f>IF(OR(N(Database!$I297)&lt;=0,N(Screener!$D$9)&lt;=0),0,MAX(0,1-ABS(LOG10(N(Database!$I297)/Screener!$D$9))/W_SIZEHW))</f>
        <v/>
      </c>
      <c r="E297">
        <f>IF(OR(Database!$AU297="",Screener!$D$10=""),0,IF(Database!$AU297=Screener!$D$10,1,0))</f>
        <v/>
      </c>
      <c r="F297">
        <f>IF(OR(Database!$AZ297="",Screener!$D$11=""),0,IF(Database!$AZ297=Screener!$D$11,1,0))</f>
        <v/>
      </c>
      <c r="G297">
        <f>IF(OR(Database!$H297="",N(Screener!$D$12)&lt;=0),0,MAX(0,1-(N(Screener!$D$12)-Database!$H297)/W_RECD))</f>
        <v/>
      </c>
      <c r="H297">
        <f>IF($U$1="",0,N(ISNUMBER(SEARCH($U$1,Database!$X297&amp;""))))+IF($V$1="",0,N(ISNUMBER(SEARCH($V$1,Database!$X297&amp;""))))+IF($W$1="",0,N(ISNUMBER(SEARCH($W$1,Database!$X297&amp;""))))+IF($X$1="",0,N(ISNUMBER(SEARCH($X$1,Database!$X297&amp;""))))+IF($Y$1="",0,N(ISNUMBER(SEARCH($Y$1,Database!$X297&amp;""))))+IF(Screener!$B$17="",0,N(ISNUMBER(SEARCH(LOWER(Screener!$B$17),Database!$X297&amp;""))))</f>
        <v/>
      </c>
      <c r="I297">
        <f>IF(OR(N(Database!$AV297)&lt;=0,N(Screener!$D$13)&lt;=0),0,MAX(0,1-ABS(LOG10(N(Database!$AV297)/Screener!$D$13))/W_PEHW))</f>
        <v/>
      </c>
      <c r="J297">
        <f>IF(OR(N(Database!$S297)&lt;=0,N(Screener!$D$14)&lt;=0),0,MAX(0,1-ABS(LOG10(Database!$S297/Screener!$D$14))/0.6))</f>
        <v/>
      </c>
      <c r="K297">
        <f>IF(Database!$B297=Screener!$B$5,-999999,IF(ISNUMBER(SEARCH(","&amp;Database!$A297&amp;",",","&amp;SUBSTITUTE(Screener!$B$19," ","")&amp;",")),2000000,IF(IF(OR(Screener!$B$18="All",AND(Screener!$B$18="With A-share",(Database!$AZ297="Y")),AND(Screener!$B$18="Without A-share",NOT((Database!$AZ297="Y")))),1,0)=0,-999999,IF(Screener!$B$16="cornerstone overlap first",H297*100000,IF(Screener!$B$16="demand-similar first",J297*100000,0))+W_SUB*B297+W_SEC*C297*(1-B297)+W_SIZE*D297+W_PROF*E297+W_AH*F297+W_REC*G297+W_CS*H297+W_PE*I297)))+ROW()/1000000</f>
        <v/>
      </c>
      <c r="AA297">
        <f>Database!B286</f>
        <v/>
      </c>
      <c r="AB297">
        <f>Database!D286</f>
        <v/>
      </c>
      <c r="AC297">
        <f>Database!E286</f>
        <v/>
      </c>
      <c r="AD297">
        <f>Database!I286</f>
        <v/>
      </c>
      <c r="AE297">
        <f>Database!AU286</f>
        <v/>
      </c>
      <c r="AF297">
        <f>Database!AZ286</f>
        <v/>
      </c>
      <c r="AG297">
        <f>Database!H286</f>
        <v/>
      </c>
      <c r="AH297">
        <f>Database!AV286</f>
        <v/>
      </c>
    </row>
    <row r="298">
      <c r="A298">
        <f>Database!B298</f>
        <v/>
      </c>
      <c r="B298">
        <f>IF(AND(Screener!$D$8&lt;&gt;"",Database!$E298=Screener!$D$8),1,0)</f>
        <v/>
      </c>
      <c r="C298">
        <f>IF(AND(Screener!$D$7&lt;&gt;"",Database!$D298=Screener!$D$7),1,0)</f>
        <v/>
      </c>
      <c r="D298">
        <f>IF(OR(N(Database!$I298)&lt;=0,N(Screener!$D$9)&lt;=0),0,MAX(0,1-ABS(LOG10(N(Database!$I298)/Screener!$D$9))/W_SIZEHW))</f>
        <v/>
      </c>
      <c r="E298">
        <f>IF(OR(Database!$AU298="",Screener!$D$10=""),0,IF(Database!$AU298=Screener!$D$10,1,0))</f>
        <v/>
      </c>
      <c r="F298">
        <f>IF(OR(Database!$AZ298="",Screener!$D$11=""),0,IF(Database!$AZ298=Screener!$D$11,1,0))</f>
        <v/>
      </c>
      <c r="G298">
        <f>IF(OR(Database!$H298="",N(Screener!$D$12)&lt;=0),0,MAX(0,1-(N(Screener!$D$12)-Database!$H298)/W_RECD))</f>
        <v/>
      </c>
      <c r="H298">
        <f>IF($U$1="",0,N(ISNUMBER(SEARCH($U$1,Database!$X298&amp;""))))+IF($V$1="",0,N(ISNUMBER(SEARCH($V$1,Database!$X298&amp;""))))+IF($W$1="",0,N(ISNUMBER(SEARCH($W$1,Database!$X298&amp;""))))+IF($X$1="",0,N(ISNUMBER(SEARCH($X$1,Database!$X298&amp;""))))+IF($Y$1="",0,N(ISNUMBER(SEARCH($Y$1,Database!$X298&amp;""))))+IF(Screener!$B$17="",0,N(ISNUMBER(SEARCH(LOWER(Screener!$B$17),Database!$X298&amp;""))))</f>
        <v/>
      </c>
      <c r="I298">
        <f>IF(OR(N(Database!$AV298)&lt;=0,N(Screener!$D$13)&lt;=0),0,MAX(0,1-ABS(LOG10(N(Database!$AV298)/Screener!$D$13))/W_PEHW))</f>
        <v/>
      </c>
      <c r="J298">
        <f>IF(OR(N(Database!$S298)&lt;=0,N(Screener!$D$14)&lt;=0),0,MAX(0,1-ABS(LOG10(Database!$S298/Screener!$D$14))/0.6))</f>
        <v/>
      </c>
      <c r="K298">
        <f>IF(Database!$B298=Screener!$B$5,-999999,IF(ISNUMBER(SEARCH(","&amp;Database!$A298&amp;",",","&amp;SUBSTITUTE(Screener!$B$19," ","")&amp;",")),2000000,IF(IF(OR(Screener!$B$18="All",AND(Screener!$B$18="With A-share",(Database!$AZ298="Y")),AND(Screener!$B$18="Without A-share",NOT((Database!$AZ298="Y")))),1,0)=0,-999999,IF(Screener!$B$16="cornerstone overlap first",H298*100000,IF(Screener!$B$16="demand-similar first",J298*100000,0))+W_SUB*B298+W_SEC*C298*(1-B298)+W_SIZE*D298+W_PROF*E298+W_AH*F298+W_REC*G298+W_CS*H298+W_PE*I298)))+ROW()/1000000</f>
        <v/>
      </c>
      <c r="AA298">
        <f>Database!B287</f>
        <v/>
      </c>
      <c r="AB298">
        <f>Database!D287</f>
        <v/>
      </c>
      <c r="AC298">
        <f>Database!E287</f>
        <v/>
      </c>
      <c r="AD298">
        <f>Database!I287</f>
        <v/>
      </c>
      <c r="AE298">
        <f>Database!AU287</f>
        <v/>
      </c>
      <c r="AF298">
        <f>Database!AZ287</f>
        <v/>
      </c>
      <c r="AG298">
        <f>Database!H287</f>
        <v/>
      </c>
      <c r="AH298">
        <f>Database!AV287</f>
        <v/>
      </c>
    </row>
    <row r="299">
      <c r="A299">
        <f>Database!B299</f>
        <v/>
      </c>
      <c r="B299">
        <f>IF(AND(Screener!$D$8&lt;&gt;"",Database!$E299=Screener!$D$8),1,0)</f>
        <v/>
      </c>
      <c r="C299">
        <f>IF(AND(Screener!$D$7&lt;&gt;"",Database!$D299=Screener!$D$7),1,0)</f>
        <v/>
      </c>
      <c r="D299">
        <f>IF(OR(N(Database!$I299)&lt;=0,N(Screener!$D$9)&lt;=0),0,MAX(0,1-ABS(LOG10(N(Database!$I299)/Screener!$D$9))/W_SIZEHW))</f>
        <v/>
      </c>
      <c r="E299">
        <f>IF(OR(Database!$AU299="",Screener!$D$10=""),0,IF(Database!$AU299=Screener!$D$10,1,0))</f>
        <v/>
      </c>
      <c r="F299">
        <f>IF(OR(Database!$AZ299="",Screener!$D$11=""),0,IF(Database!$AZ299=Screener!$D$11,1,0))</f>
        <v/>
      </c>
      <c r="G299">
        <f>IF(OR(Database!$H299="",N(Screener!$D$12)&lt;=0),0,MAX(0,1-(N(Screener!$D$12)-Database!$H299)/W_RECD))</f>
        <v/>
      </c>
      <c r="H299">
        <f>IF($U$1="",0,N(ISNUMBER(SEARCH($U$1,Database!$X299&amp;""))))+IF($V$1="",0,N(ISNUMBER(SEARCH($V$1,Database!$X299&amp;""))))+IF($W$1="",0,N(ISNUMBER(SEARCH($W$1,Database!$X299&amp;""))))+IF($X$1="",0,N(ISNUMBER(SEARCH($X$1,Database!$X299&amp;""))))+IF($Y$1="",0,N(ISNUMBER(SEARCH($Y$1,Database!$X299&amp;""))))+IF(Screener!$B$17="",0,N(ISNUMBER(SEARCH(LOWER(Screener!$B$17),Database!$X299&amp;""))))</f>
        <v/>
      </c>
      <c r="I299">
        <f>IF(OR(N(Database!$AV299)&lt;=0,N(Screener!$D$13)&lt;=0),0,MAX(0,1-ABS(LOG10(N(Database!$AV299)/Screener!$D$13))/W_PEHW))</f>
        <v/>
      </c>
      <c r="J299">
        <f>IF(OR(N(Database!$S299)&lt;=0,N(Screener!$D$14)&lt;=0),0,MAX(0,1-ABS(LOG10(Database!$S299/Screener!$D$14))/0.6))</f>
        <v/>
      </c>
      <c r="K299">
        <f>IF(Database!$B299=Screener!$B$5,-999999,IF(ISNUMBER(SEARCH(","&amp;Database!$A299&amp;",",","&amp;SUBSTITUTE(Screener!$B$19," ","")&amp;",")),2000000,IF(IF(OR(Screener!$B$18="All",AND(Screener!$B$18="With A-share",(Database!$AZ299="Y")),AND(Screener!$B$18="Without A-share",NOT((Database!$AZ299="Y")))),1,0)=0,-999999,IF(Screener!$B$16="cornerstone overlap first",H299*100000,IF(Screener!$B$16="demand-similar first",J299*100000,0))+W_SUB*B299+W_SEC*C299*(1-B299)+W_SIZE*D299+W_PROF*E299+W_AH*F299+W_REC*G299+W_CS*H299+W_PE*I299)))+ROW()/1000000</f>
        <v/>
      </c>
      <c r="AA299">
        <f>Database!B288</f>
        <v/>
      </c>
      <c r="AB299">
        <f>Database!D288</f>
        <v/>
      </c>
      <c r="AC299">
        <f>Database!E288</f>
        <v/>
      </c>
      <c r="AD299">
        <f>Database!I288</f>
        <v/>
      </c>
      <c r="AE299">
        <f>Database!AU288</f>
        <v/>
      </c>
      <c r="AF299">
        <f>Database!AZ288</f>
        <v/>
      </c>
      <c r="AG299">
        <f>Database!H288</f>
        <v/>
      </c>
      <c r="AH299">
        <f>Database!AV288</f>
        <v/>
      </c>
    </row>
    <row r="300">
      <c r="A300">
        <f>Database!B300</f>
        <v/>
      </c>
      <c r="B300">
        <f>IF(AND(Screener!$D$8&lt;&gt;"",Database!$E300=Screener!$D$8),1,0)</f>
        <v/>
      </c>
      <c r="C300">
        <f>IF(AND(Screener!$D$7&lt;&gt;"",Database!$D300=Screener!$D$7),1,0)</f>
        <v/>
      </c>
      <c r="D300">
        <f>IF(OR(N(Database!$I300)&lt;=0,N(Screener!$D$9)&lt;=0),0,MAX(0,1-ABS(LOG10(N(Database!$I300)/Screener!$D$9))/W_SIZEHW))</f>
        <v/>
      </c>
      <c r="E300">
        <f>IF(OR(Database!$AU300="",Screener!$D$10=""),0,IF(Database!$AU300=Screener!$D$10,1,0))</f>
        <v/>
      </c>
      <c r="F300">
        <f>IF(OR(Database!$AZ300="",Screener!$D$11=""),0,IF(Database!$AZ300=Screener!$D$11,1,0))</f>
        <v/>
      </c>
      <c r="G300">
        <f>IF(OR(Database!$H300="",N(Screener!$D$12)&lt;=0),0,MAX(0,1-(N(Screener!$D$12)-Database!$H300)/W_RECD))</f>
        <v/>
      </c>
      <c r="H300">
        <f>IF($U$1="",0,N(ISNUMBER(SEARCH($U$1,Database!$X300&amp;""))))+IF($V$1="",0,N(ISNUMBER(SEARCH($V$1,Database!$X300&amp;""))))+IF($W$1="",0,N(ISNUMBER(SEARCH($W$1,Database!$X300&amp;""))))+IF($X$1="",0,N(ISNUMBER(SEARCH($X$1,Database!$X300&amp;""))))+IF($Y$1="",0,N(ISNUMBER(SEARCH($Y$1,Database!$X300&amp;""))))+IF(Screener!$B$17="",0,N(ISNUMBER(SEARCH(LOWER(Screener!$B$17),Database!$X300&amp;""))))</f>
        <v/>
      </c>
      <c r="I300">
        <f>IF(OR(N(Database!$AV300)&lt;=0,N(Screener!$D$13)&lt;=0),0,MAX(0,1-ABS(LOG10(N(Database!$AV300)/Screener!$D$13))/W_PEHW))</f>
        <v/>
      </c>
      <c r="J300">
        <f>IF(OR(N(Database!$S300)&lt;=0,N(Screener!$D$14)&lt;=0),0,MAX(0,1-ABS(LOG10(Database!$S300/Screener!$D$14))/0.6))</f>
        <v/>
      </c>
      <c r="K300">
        <f>IF(Database!$B300=Screener!$B$5,-999999,IF(ISNUMBER(SEARCH(","&amp;Database!$A300&amp;",",","&amp;SUBSTITUTE(Screener!$B$19," ","")&amp;",")),2000000,IF(IF(OR(Screener!$B$18="All",AND(Screener!$B$18="With A-share",(Database!$AZ300="Y")),AND(Screener!$B$18="Without A-share",NOT((Database!$AZ300="Y")))),1,0)=0,-999999,IF(Screener!$B$16="cornerstone overlap first",H300*100000,IF(Screener!$B$16="demand-similar first",J300*100000,0))+W_SUB*B300+W_SEC*C300*(1-B300)+W_SIZE*D300+W_PROF*E300+W_AH*F300+W_REC*G300+W_CS*H300+W_PE*I300)))+ROW()/1000000</f>
        <v/>
      </c>
      <c r="AA300">
        <f>Database!B289</f>
        <v/>
      </c>
      <c r="AB300">
        <f>Database!D289</f>
        <v/>
      </c>
      <c r="AC300">
        <f>Database!E289</f>
        <v/>
      </c>
      <c r="AD300">
        <f>Database!I289</f>
        <v/>
      </c>
      <c r="AE300">
        <f>Database!AU289</f>
        <v/>
      </c>
      <c r="AF300">
        <f>Database!AZ289</f>
        <v/>
      </c>
      <c r="AG300">
        <f>Database!H289</f>
        <v/>
      </c>
      <c r="AH300">
        <f>Database!AV289</f>
        <v/>
      </c>
    </row>
    <row r="301">
      <c r="A301">
        <f>Database!B301</f>
        <v/>
      </c>
      <c r="B301">
        <f>IF(AND(Screener!$D$8&lt;&gt;"",Database!$E301=Screener!$D$8),1,0)</f>
        <v/>
      </c>
      <c r="C301">
        <f>IF(AND(Screener!$D$7&lt;&gt;"",Database!$D301=Screener!$D$7),1,0)</f>
        <v/>
      </c>
      <c r="D301">
        <f>IF(OR(N(Database!$I301)&lt;=0,N(Screener!$D$9)&lt;=0),0,MAX(0,1-ABS(LOG10(N(Database!$I301)/Screener!$D$9))/W_SIZEHW))</f>
        <v/>
      </c>
      <c r="E301">
        <f>IF(OR(Database!$AU301="",Screener!$D$10=""),0,IF(Database!$AU301=Screener!$D$10,1,0))</f>
        <v/>
      </c>
      <c r="F301">
        <f>IF(OR(Database!$AZ301="",Screener!$D$11=""),0,IF(Database!$AZ301=Screener!$D$11,1,0))</f>
        <v/>
      </c>
      <c r="G301">
        <f>IF(OR(Database!$H301="",N(Screener!$D$12)&lt;=0),0,MAX(0,1-(N(Screener!$D$12)-Database!$H301)/W_RECD))</f>
        <v/>
      </c>
      <c r="H301">
        <f>IF($U$1="",0,N(ISNUMBER(SEARCH($U$1,Database!$X301&amp;""))))+IF($V$1="",0,N(ISNUMBER(SEARCH($V$1,Database!$X301&amp;""))))+IF($W$1="",0,N(ISNUMBER(SEARCH($W$1,Database!$X301&amp;""))))+IF($X$1="",0,N(ISNUMBER(SEARCH($X$1,Database!$X301&amp;""))))+IF($Y$1="",0,N(ISNUMBER(SEARCH($Y$1,Database!$X301&amp;""))))+IF(Screener!$B$17="",0,N(ISNUMBER(SEARCH(LOWER(Screener!$B$17),Database!$X301&amp;""))))</f>
        <v/>
      </c>
      <c r="I301">
        <f>IF(OR(N(Database!$AV301)&lt;=0,N(Screener!$D$13)&lt;=0),0,MAX(0,1-ABS(LOG10(N(Database!$AV301)/Screener!$D$13))/W_PEHW))</f>
        <v/>
      </c>
      <c r="J301">
        <f>IF(OR(N(Database!$S301)&lt;=0,N(Screener!$D$14)&lt;=0),0,MAX(0,1-ABS(LOG10(Database!$S301/Screener!$D$14))/0.6))</f>
        <v/>
      </c>
      <c r="K301">
        <f>IF(Database!$B301=Screener!$B$5,-999999,IF(ISNUMBER(SEARCH(","&amp;Database!$A301&amp;",",","&amp;SUBSTITUTE(Screener!$B$19," ","")&amp;",")),2000000,IF(IF(OR(Screener!$B$18="All",AND(Screener!$B$18="With A-share",(Database!$AZ301="Y")),AND(Screener!$B$18="Without A-share",NOT((Database!$AZ301="Y")))),1,0)=0,-999999,IF(Screener!$B$16="cornerstone overlap first",H301*100000,IF(Screener!$B$16="demand-similar first",J301*100000,0))+W_SUB*B301+W_SEC*C301*(1-B301)+W_SIZE*D301+W_PROF*E301+W_AH*F301+W_REC*G301+W_CS*H301+W_PE*I301)))+ROW()/1000000</f>
        <v/>
      </c>
      <c r="AA301">
        <f>Database!B290</f>
        <v/>
      </c>
      <c r="AB301">
        <f>Database!D290</f>
        <v/>
      </c>
      <c r="AC301">
        <f>Database!E290</f>
        <v/>
      </c>
      <c r="AD301">
        <f>Database!I290</f>
        <v/>
      </c>
      <c r="AE301">
        <f>Database!AU290</f>
        <v/>
      </c>
      <c r="AF301">
        <f>Database!AZ290</f>
        <v/>
      </c>
      <c r="AG301">
        <f>Database!H290</f>
        <v/>
      </c>
      <c r="AH301">
        <f>Database!AV290</f>
        <v/>
      </c>
    </row>
    <row r="302">
      <c r="A302">
        <f>Database!B302</f>
        <v/>
      </c>
      <c r="B302">
        <f>IF(AND(Screener!$D$8&lt;&gt;"",Database!$E302=Screener!$D$8),1,0)</f>
        <v/>
      </c>
      <c r="C302">
        <f>IF(AND(Screener!$D$7&lt;&gt;"",Database!$D302=Screener!$D$7),1,0)</f>
        <v/>
      </c>
      <c r="D302">
        <f>IF(OR(N(Database!$I302)&lt;=0,N(Screener!$D$9)&lt;=0),0,MAX(0,1-ABS(LOG10(N(Database!$I302)/Screener!$D$9))/W_SIZEHW))</f>
        <v/>
      </c>
      <c r="E302">
        <f>IF(OR(Database!$AU302="",Screener!$D$10=""),0,IF(Database!$AU302=Screener!$D$10,1,0))</f>
        <v/>
      </c>
      <c r="F302">
        <f>IF(OR(Database!$AZ302="",Screener!$D$11=""),0,IF(Database!$AZ302=Screener!$D$11,1,0))</f>
        <v/>
      </c>
      <c r="G302">
        <f>IF(OR(Database!$H302="",N(Screener!$D$12)&lt;=0),0,MAX(0,1-(N(Screener!$D$12)-Database!$H302)/W_RECD))</f>
        <v/>
      </c>
      <c r="H302">
        <f>IF($U$1="",0,N(ISNUMBER(SEARCH($U$1,Database!$X302&amp;""))))+IF($V$1="",0,N(ISNUMBER(SEARCH($V$1,Database!$X302&amp;""))))+IF($W$1="",0,N(ISNUMBER(SEARCH($W$1,Database!$X302&amp;""))))+IF($X$1="",0,N(ISNUMBER(SEARCH($X$1,Database!$X302&amp;""))))+IF($Y$1="",0,N(ISNUMBER(SEARCH($Y$1,Database!$X302&amp;""))))+IF(Screener!$B$17="",0,N(ISNUMBER(SEARCH(LOWER(Screener!$B$17),Database!$X302&amp;""))))</f>
        <v/>
      </c>
      <c r="I302">
        <f>IF(OR(N(Database!$AV302)&lt;=0,N(Screener!$D$13)&lt;=0),0,MAX(0,1-ABS(LOG10(N(Database!$AV302)/Screener!$D$13))/W_PEHW))</f>
        <v/>
      </c>
      <c r="J302">
        <f>IF(OR(N(Database!$S302)&lt;=0,N(Screener!$D$14)&lt;=0),0,MAX(0,1-ABS(LOG10(Database!$S302/Screener!$D$14))/0.6))</f>
        <v/>
      </c>
      <c r="K302">
        <f>IF(Database!$B302=Screener!$B$5,-999999,IF(ISNUMBER(SEARCH(","&amp;Database!$A302&amp;",",","&amp;SUBSTITUTE(Screener!$B$19," ","")&amp;",")),2000000,IF(IF(OR(Screener!$B$18="All",AND(Screener!$B$18="With A-share",(Database!$AZ302="Y")),AND(Screener!$B$18="Without A-share",NOT((Database!$AZ302="Y")))),1,0)=0,-999999,IF(Screener!$B$16="cornerstone overlap first",H302*100000,IF(Screener!$B$16="demand-similar first",J302*100000,0))+W_SUB*B302+W_SEC*C302*(1-B302)+W_SIZE*D302+W_PROF*E302+W_AH*F302+W_REC*G302+W_CS*H302+W_PE*I302)))+ROW()/1000000</f>
        <v/>
      </c>
      <c r="AA302">
        <f>Database!B291</f>
        <v/>
      </c>
      <c r="AB302">
        <f>Database!D291</f>
        <v/>
      </c>
      <c r="AC302">
        <f>Database!E291</f>
        <v/>
      </c>
      <c r="AD302">
        <f>Database!I291</f>
        <v/>
      </c>
      <c r="AE302">
        <f>Database!AU291</f>
        <v/>
      </c>
      <c r="AF302">
        <f>Database!AZ291</f>
        <v/>
      </c>
      <c r="AG302">
        <f>Database!H291</f>
        <v/>
      </c>
      <c r="AH302">
        <f>Database!AV291</f>
        <v/>
      </c>
    </row>
    <row r="303">
      <c r="A303">
        <f>Database!B303</f>
        <v/>
      </c>
      <c r="B303">
        <f>IF(AND(Screener!$D$8&lt;&gt;"",Database!$E303=Screener!$D$8),1,0)</f>
        <v/>
      </c>
      <c r="C303">
        <f>IF(AND(Screener!$D$7&lt;&gt;"",Database!$D303=Screener!$D$7),1,0)</f>
        <v/>
      </c>
      <c r="D303">
        <f>IF(OR(N(Database!$I303)&lt;=0,N(Screener!$D$9)&lt;=0),0,MAX(0,1-ABS(LOG10(N(Database!$I303)/Screener!$D$9))/W_SIZEHW))</f>
        <v/>
      </c>
      <c r="E303">
        <f>IF(OR(Database!$AU303="",Screener!$D$10=""),0,IF(Database!$AU303=Screener!$D$10,1,0))</f>
        <v/>
      </c>
      <c r="F303">
        <f>IF(OR(Database!$AZ303="",Screener!$D$11=""),0,IF(Database!$AZ303=Screener!$D$11,1,0))</f>
        <v/>
      </c>
      <c r="G303">
        <f>IF(OR(Database!$H303="",N(Screener!$D$12)&lt;=0),0,MAX(0,1-(N(Screener!$D$12)-Database!$H303)/W_RECD))</f>
        <v/>
      </c>
      <c r="H303">
        <f>IF($U$1="",0,N(ISNUMBER(SEARCH($U$1,Database!$X303&amp;""))))+IF($V$1="",0,N(ISNUMBER(SEARCH($V$1,Database!$X303&amp;""))))+IF($W$1="",0,N(ISNUMBER(SEARCH($W$1,Database!$X303&amp;""))))+IF($X$1="",0,N(ISNUMBER(SEARCH($X$1,Database!$X303&amp;""))))+IF($Y$1="",0,N(ISNUMBER(SEARCH($Y$1,Database!$X303&amp;""))))+IF(Screener!$B$17="",0,N(ISNUMBER(SEARCH(LOWER(Screener!$B$17),Database!$X303&amp;""))))</f>
        <v/>
      </c>
      <c r="I303">
        <f>IF(OR(N(Database!$AV303)&lt;=0,N(Screener!$D$13)&lt;=0),0,MAX(0,1-ABS(LOG10(N(Database!$AV303)/Screener!$D$13))/W_PEHW))</f>
        <v/>
      </c>
      <c r="J303">
        <f>IF(OR(N(Database!$S303)&lt;=0,N(Screener!$D$14)&lt;=0),0,MAX(0,1-ABS(LOG10(Database!$S303/Screener!$D$14))/0.6))</f>
        <v/>
      </c>
      <c r="K303">
        <f>IF(Database!$B303=Screener!$B$5,-999999,IF(ISNUMBER(SEARCH(","&amp;Database!$A303&amp;",",","&amp;SUBSTITUTE(Screener!$B$19," ","")&amp;",")),2000000,IF(IF(OR(Screener!$B$18="All",AND(Screener!$B$18="With A-share",(Database!$AZ303="Y")),AND(Screener!$B$18="Without A-share",NOT((Database!$AZ303="Y")))),1,0)=0,-999999,IF(Screener!$B$16="cornerstone overlap first",H303*100000,IF(Screener!$B$16="demand-similar first",J303*100000,0))+W_SUB*B303+W_SEC*C303*(1-B303)+W_SIZE*D303+W_PROF*E303+W_AH*F303+W_REC*G303+W_CS*H303+W_PE*I303)))+ROW()/1000000</f>
        <v/>
      </c>
      <c r="AA303">
        <f>Database!B292</f>
        <v/>
      </c>
      <c r="AB303">
        <f>Database!D292</f>
        <v/>
      </c>
      <c r="AC303">
        <f>Database!E292</f>
        <v/>
      </c>
      <c r="AD303">
        <f>Database!I292</f>
        <v/>
      </c>
      <c r="AE303">
        <f>Database!AU292</f>
        <v/>
      </c>
      <c r="AF303">
        <f>Database!AZ292</f>
        <v/>
      </c>
      <c r="AG303">
        <f>Database!H292</f>
        <v/>
      </c>
      <c r="AH303">
        <f>Database!AV292</f>
        <v/>
      </c>
    </row>
    <row r="304">
      <c r="A304">
        <f>Database!B304</f>
        <v/>
      </c>
      <c r="B304">
        <f>IF(AND(Screener!$D$8&lt;&gt;"",Database!$E304=Screener!$D$8),1,0)</f>
        <v/>
      </c>
      <c r="C304">
        <f>IF(AND(Screener!$D$7&lt;&gt;"",Database!$D304=Screener!$D$7),1,0)</f>
        <v/>
      </c>
      <c r="D304">
        <f>IF(OR(N(Database!$I304)&lt;=0,N(Screener!$D$9)&lt;=0),0,MAX(0,1-ABS(LOG10(N(Database!$I304)/Screener!$D$9))/W_SIZEHW))</f>
        <v/>
      </c>
      <c r="E304">
        <f>IF(OR(Database!$AU304="",Screener!$D$10=""),0,IF(Database!$AU304=Screener!$D$10,1,0))</f>
        <v/>
      </c>
      <c r="F304">
        <f>IF(OR(Database!$AZ304="",Screener!$D$11=""),0,IF(Database!$AZ304=Screener!$D$11,1,0))</f>
        <v/>
      </c>
      <c r="G304">
        <f>IF(OR(Database!$H304="",N(Screener!$D$12)&lt;=0),0,MAX(0,1-(N(Screener!$D$12)-Database!$H304)/W_RECD))</f>
        <v/>
      </c>
      <c r="H304">
        <f>IF($U$1="",0,N(ISNUMBER(SEARCH($U$1,Database!$X304&amp;""))))+IF($V$1="",0,N(ISNUMBER(SEARCH($V$1,Database!$X304&amp;""))))+IF($W$1="",0,N(ISNUMBER(SEARCH($W$1,Database!$X304&amp;""))))+IF($X$1="",0,N(ISNUMBER(SEARCH($X$1,Database!$X304&amp;""))))+IF($Y$1="",0,N(ISNUMBER(SEARCH($Y$1,Database!$X304&amp;""))))+IF(Screener!$B$17="",0,N(ISNUMBER(SEARCH(LOWER(Screener!$B$17),Database!$X304&amp;""))))</f>
        <v/>
      </c>
      <c r="I304">
        <f>IF(OR(N(Database!$AV304)&lt;=0,N(Screener!$D$13)&lt;=0),0,MAX(0,1-ABS(LOG10(N(Database!$AV304)/Screener!$D$13))/W_PEHW))</f>
        <v/>
      </c>
      <c r="J304">
        <f>IF(OR(N(Database!$S304)&lt;=0,N(Screener!$D$14)&lt;=0),0,MAX(0,1-ABS(LOG10(Database!$S304/Screener!$D$14))/0.6))</f>
        <v/>
      </c>
      <c r="K304">
        <f>IF(Database!$B304=Screener!$B$5,-999999,IF(ISNUMBER(SEARCH(","&amp;Database!$A304&amp;",",","&amp;SUBSTITUTE(Screener!$B$19," ","")&amp;",")),2000000,IF(IF(OR(Screener!$B$18="All",AND(Screener!$B$18="With A-share",(Database!$AZ304="Y")),AND(Screener!$B$18="Without A-share",NOT((Database!$AZ304="Y")))),1,0)=0,-999999,IF(Screener!$B$16="cornerstone overlap first",H304*100000,IF(Screener!$B$16="demand-similar first",J304*100000,0))+W_SUB*B304+W_SEC*C304*(1-B304)+W_SIZE*D304+W_PROF*E304+W_AH*F304+W_REC*G304+W_CS*H304+W_PE*I304)))+ROW()/1000000</f>
        <v/>
      </c>
      <c r="AA304">
        <f>Database!B293</f>
        <v/>
      </c>
      <c r="AB304">
        <f>Database!D293</f>
        <v/>
      </c>
      <c r="AC304">
        <f>Database!E293</f>
        <v/>
      </c>
      <c r="AD304">
        <f>Database!I293</f>
        <v/>
      </c>
      <c r="AE304">
        <f>Database!AU293</f>
        <v/>
      </c>
      <c r="AF304">
        <f>Database!AZ293</f>
        <v/>
      </c>
      <c r="AG304">
        <f>Database!H293</f>
        <v/>
      </c>
      <c r="AH304">
        <f>Database!AV293</f>
        <v/>
      </c>
    </row>
    <row r="305">
      <c r="A305">
        <f>Database!B305</f>
        <v/>
      </c>
      <c r="B305">
        <f>IF(AND(Screener!$D$8&lt;&gt;"",Database!$E305=Screener!$D$8),1,0)</f>
        <v/>
      </c>
      <c r="C305">
        <f>IF(AND(Screener!$D$7&lt;&gt;"",Database!$D305=Screener!$D$7),1,0)</f>
        <v/>
      </c>
      <c r="D305">
        <f>IF(OR(N(Database!$I305)&lt;=0,N(Screener!$D$9)&lt;=0),0,MAX(0,1-ABS(LOG10(N(Database!$I305)/Screener!$D$9))/W_SIZEHW))</f>
        <v/>
      </c>
      <c r="E305">
        <f>IF(OR(Database!$AU305="",Screener!$D$10=""),0,IF(Database!$AU305=Screener!$D$10,1,0))</f>
        <v/>
      </c>
      <c r="F305">
        <f>IF(OR(Database!$AZ305="",Screener!$D$11=""),0,IF(Database!$AZ305=Screener!$D$11,1,0))</f>
        <v/>
      </c>
      <c r="G305">
        <f>IF(OR(Database!$H305="",N(Screener!$D$12)&lt;=0),0,MAX(0,1-(N(Screener!$D$12)-Database!$H305)/W_RECD))</f>
        <v/>
      </c>
      <c r="H305">
        <f>IF($U$1="",0,N(ISNUMBER(SEARCH($U$1,Database!$X305&amp;""))))+IF($V$1="",0,N(ISNUMBER(SEARCH($V$1,Database!$X305&amp;""))))+IF($W$1="",0,N(ISNUMBER(SEARCH($W$1,Database!$X305&amp;""))))+IF($X$1="",0,N(ISNUMBER(SEARCH($X$1,Database!$X305&amp;""))))+IF($Y$1="",0,N(ISNUMBER(SEARCH($Y$1,Database!$X305&amp;""))))+IF(Screener!$B$17="",0,N(ISNUMBER(SEARCH(LOWER(Screener!$B$17),Database!$X305&amp;""))))</f>
        <v/>
      </c>
      <c r="I305">
        <f>IF(OR(N(Database!$AV305)&lt;=0,N(Screener!$D$13)&lt;=0),0,MAX(0,1-ABS(LOG10(N(Database!$AV305)/Screener!$D$13))/W_PEHW))</f>
        <v/>
      </c>
      <c r="J305">
        <f>IF(OR(N(Database!$S305)&lt;=0,N(Screener!$D$14)&lt;=0),0,MAX(0,1-ABS(LOG10(Database!$S305/Screener!$D$14))/0.6))</f>
        <v/>
      </c>
      <c r="K305">
        <f>IF(Database!$B305=Screener!$B$5,-999999,IF(ISNUMBER(SEARCH(","&amp;Database!$A305&amp;",",","&amp;SUBSTITUTE(Screener!$B$19," ","")&amp;",")),2000000,IF(IF(OR(Screener!$B$18="All",AND(Screener!$B$18="With A-share",(Database!$AZ305="Y")),AND(Screener!$B$18="Without A-share",NOT((Database!$AZ305="Y")))),1,0)=0,-999999,IF(Screener!$B$16="cornerstone overlap first",H305*100000,IF(Screener!$B$16="demand-similar first",J305*100000,0))+W_SUB*B305+W_SEC*C305*(1-B305)+W_SIZE*D305+W_PROF*E305+W_AH*F305+W_REC*G305+W_CS*H305+W_PE*I305)))+ROW()/1000000</f>
        <v/>
      </c>
      <c r="AA305">
        <f>Database!B294</f>
        <v/>
      </c>
      <c r="AB305">
        <f>Database!D294</f>
        <v/>
      </c>
      <c r="AC305">
        <f>Database!E294</f>
        <v/>
      </c>
      <c r="AD305">
        <f>Database!I294</f>
        <v/>
      </c>
      <c r="AE305">
        <f>Database!AU294</f>
        <v/>
      </c>
      <c r="AF305">
        <f>Database!AZ294</f>
        <v/>
      </c>
      <c r="AG305">
        <f>Database!H294</f>
        <v/>
      </c>
      <c r="AH305">
        <f>Database!AV294</f>
        <v/>
      </c>
    </row>
    <row r="306">
      <c r="A306">
        <f>Database!B306</f>
        <v/>
      </c>
      <c r="B306">
        <f>IF(AND(Screener!$D$8&lt;&gt;"",Database!$E306=Screener!$D$8),1,0)</f>
        <v/>
      </c>
      <c r="C306">
        <f>IF(AND(Screener!$D$7&lt;&gt;"",Database!$D306=Screener!$D$7),1,0)</f>
        <v/>
      </c>
      <c r="D306">
        <f>IF(OR(N(Database!$I306)&lt;=0,N(Screener!$D$9)&lt;=0),0,MAX(0,1-ABS(LOG10(N(Database!$I306)/Screener!$D$9))/W_SIZEHW))</f>
        <v/>
      </c>
      <c r="E306">
        <f>IF(OR(Database!$AU306="",Screener!$D$10=""),0,IF(Database!$AU306=Screener!$D$10,1,0))</f>
        <v/>
      </c>
      <c r="F306">
        <f>IF(OR(Database!$AZ306="",Screener!$D$11=""),0,IF(Database!$AZ306=Screener!$D$11,1,0))</f>
        <v/>
      </c>
      <c r="G306">
        <f>IF(OR(Database!$H306="",N(Screener!$D$12)&lt;=0),0,MAX(0,1-(N(Screener!$D$12)-Database!$H306)/W_RECD))</f>
        <v/>
      </c>
      <c r="H306">
        <f>IF($U$1="",0,N(ISNUMBER(SEARCH($U$1,Database!$X306&amp;""))))+IF($V$1="",0,N(ISNUMBER(SEARCH($V$1,Database!$X306&amp;""))))+IF($W$1="",0,N(ISNUMBER(SEARCH($W$1,Database!$X306&amp;""))))+IF($X$1="",0,N(ISNUMBER(SEARCH($X$1,Database!$X306&amp;""))))+IF($Y$1="",0,N(ISNUMBER(SEARCH($Y$1,Database!$X306&amp;""))))+IF(Screener!$B$17="",0,N(ISNUMBER(SEARCH(LOWER(Screener!$B$17),Database!$X306&amp;""))))</f>
        <v/>
      </c>
      <c r="I306">
        <f>IF(OR(N(Database!$AV306)&lt;=0,N(Screener!$D$13)&lt;=0),0,MAX(0,1-ABS(LOG10(N(Database!$AV306)/Screener!$D$13))/W_PEHW))</f>
        <v/>
      </c>
      <c r="J306">
        <f>IF(OR(N(Database!$S306)&lt;=0,N(Screener!$D$14)&lt;=0),0,MAX(0,1-ABS(LOG10(Database!$S306/Screener!$D$14))/0.6))</f>
        <v/>
      </c>
      <c r="K306">
        <f>IF(Database!$B306=Screener!$B$5,-999999,IF(ISNUMBER(SEARCH(","&amp;Database!$A306&amp;",",","&amp;SUBSTITUTE(Screener!$B$19," ","")&amp;",")),2000000,IF(IF(OR(Screener!$B$18="All",AND(Screener!$B$18="With A-share",(Database!$AZ306="Y")),AND(Screener!$B$18="Without A-share",NOT((Database!$AZ306="Y")))),1,0)=0,-999999,IF(Screener!$B$16="cornerstone overlap first",H306*100000,IF(Screener!$B$16="demand-similar first",J306*100000,0))+W_SUB*B306+W_SEC*C306*(1-B306)+W_SIZE*D306+W_PROF*E306+W_AH*F306+W_REC*G306+W_CS*H306+W_PE*I306)))+ROW()/1000000</f>
        <v/>
      </c>
      <c r="AA306">
        <f>Database!B295</f>
        <v/>
      </c>
      <c r="AB306">
        <f>Database!D295</f>
        <v/>
      </c>
      <c r="AC306">
        <f>Database!E295</f>
        <v/>
      </c>
      <c r="AD306">
        <f>Database!I295</f>
        <v/>
      </c>
      <c r="AE306">
        <f>Database!AU295</f>
        <v/>
      </c>
      <c r="AF306">
        <f>Database!AZ295</f>
        <v/>
      </c>
      <c r="AG306">
        <f>Database!H295</f>
        <v/>
      </c>
      <c r="AH306">
        <f>Database!AV295</f>
        <v/>
      </c>
    </row>
    <row r="307">
      <c r="A307">
        <f>Database!B307</f>
        <v/>
      </c>
      <c r="B307">
        <f>IF(AND(Screener!$D$8&lt;&gt;"",Database!$E307=Screener!$D$8),1,0)</f>
        <v/>
      </c>
      <c r="C307">
        <f>IF(AND(Screener!$D$7&lt;&gt;"",Database!$D307=Screener!$D$7),1,0)</f>
        <v/>
      </c>
      <c r="D307">
        <f>IF(OR(N(Database!$I307)&lt;=0,N(Screener!$D$9)&lt;=0),0,MAX(0,1-ABS(LOG10(N(Database!$I307)/Screener!$D$9))/W_SIZEHW))</f>
        <v/>
      </c>
      <c r="E307">
        <f>IF(OR(Database!$AU307="",Screener!$D$10=""),0,IF(Database!$AU307=Screener!$D$10,1,0))</f>
        <v/>
      </c>
      <c r="F307">
        <f>IF(OR(Database!$AZ307="",Screener!$D$11=""),0,IF(Database!$AZ307=Screener!$D$11,1,0))</f>
        <v/>
      </c>
      <c r="G307">
        <f>IF(OR(Database!$H307="",N(Screener!$D$12)&lt;=0),0,MAX(0,1-(N(Screener!$D$12)-Database!$H307)/W_RECD))</f>
        <v/>
      </c>
      <c r="H307">
        <f>IF($U$1="",0,N(ISNUMBER(SEARCH($U$1,Database!$X307&amp;""))))+IF($V$1="",0,N(ISNUMBER(SEARCH($V$1,Database!$X307&amp;""))))+IF($W$1="",0,N(ISNUMBER(SEARCH($W$1,Database!$X307&amp;""))))+IF($X$1="",0,N(ISNUMBER(SEARCH($X$1,Database!$X307&amp;""))))+IF($Y$1="",0,N(ISNUMBER(SEARCH($Y$1,Database!$X307&amp;""))))+IF(Screener!$B$17="",0,N(ISNUMBER(SEARCH(LOWER(Screener!$B$17),Database!$X307&amp;""))))</f>
        <v/>
      </c>
      <c r="I307">
        <f>IF(OR(N(Database!$AV307)&lt;=0,N(Screener!$D$13)&lt;=0),0,MAX(0,1-ABS(LOG10(N(Database!$AV307)/Screener!$D$13))/W_PEHW))</f>
        <v/>
      </c>
      <c r="J307">
        <f>IF(OR(N(Database!$S307)&lt;=0,N(Screener!$D$14)&lt;=0),0,MAX(0,1-ABS(LOG10(Database!$S307/Screener!$D$14))/0.6))</f>
        <v/>
      </c>
      <c r="K307">
        <f>IF(Database!$B307=Screener!$B$5,-999999,IF(ISNUMBER(SEARCH(","&amp;Database!$A307&amp;",",","&amp;SUBSTITUTE(Screener!$B$19," ","")&amp;",")),2000000,IF(IF(OR(Screener!$B$18="All",AND(Screener!$B$18="With A-share",(Database!$AZ307="Y")),AND(Screener!$B$18="Without A-share",NOT((Database!$AZ307="Y")))),1,0)=0,-999999,IF(Screener!$B$16="cornerstone overlap first",H307*100000,IF(Screener!$B$16="demand-similar first",J307*100000,0))+W_SUB*B307+W_SEC*C307*(1-B307)+W_SIZE*D307+W_PROF*E307+W_AH*F307+W_REC*G307+W_CS*H307+W_PE*I307)))+ROW()/1000000</f>
        <v/>
      </c>
      <c r="AA307">
        <f>Database!B296</f>
        <v/>
      </c>
      <c r="AB307">
        <f>Database!D296</f>
        <v/>
      </c>
      <c r="AC307">
        <f>Database!E296</f>
        <v/>
      </c>
      <c r="AD307">
        <f>Database!I296</f>
        <v/>
      </c>
      <c r="AE307">
        <f>Database!AU296</f>
        <v/>
      </c>
      <c r="AF307">
        <f>Database!AZ296</f>
        <v/>
      </c>
      <c r="AG307">
        <f>Database!H296</f>
        <v/>
      </c>
      <c r="AH307">
        <f>Database!AV296</f>
        <v/>
      </c>
    </row>
    <row r="308">
      <c r="A308">
        <f>Database!B308</f>
        <v/>
      </c>
      <c r="B308">
        <f>IF(AND(Screener!$D$8&lt;&gt;"",Database!$E308=Screener!$D$8),1,0)</f>
        <v/>
      </c>
      <c r="C308">
        <f>IF(AND(Screener!$D$7&lt;&gt;"",Database!$D308=Screener!$D$7),1,0)</f>
        <v/>
      </c>
      <c r="D308">
        <f>IF(OR(N(Database!$I308)&lt;=0,N(Screener!$D$9)&lt;=0),0,MAX(0,1-ABS(LOG10(N(Database!$I308)/Screener!$D$9))/W_SIZEHW))</f>
        <v/>
      </c>
      <c r="E308">
        <f>IF(OR(Database!$AU308="",Screener!$D$10=""),0,IF(Database!$AU308=Screener!$D$10,1,0))</f>
        <v/>
      </c>
      <c r="F308">
        <f>IF(OR(Database!$AZ308="",Screener!$D$11=""),0,IF(Database!$AZ308=Screener!$D$11,1,0))</f>
        <v/>
      </c>
      <c r="G308">
        <f>IF(OR(Database!$H308="",N(Screener!$D$12)&lt;=0),0,MAX(0,1-(N(Screener!$D$12)-Database!$H308)/W_RECD))</f>
        <v/>
      </c>
      <c r="H308">
        <f>IF($U$1="",0,N(ISNUMBER(SEARCH($U$1,Database!$X308&amp;""))))+IF($V$1="",0,N(ISNUMBER(SEARCH($V$1,Database!$X308&amp;""))))+IF($W$1="",0,N(ISNUMBER(SEARCH($W$1,Database!$X308&amp;""))))+IF($X$1="",0,N(ISNUMBER(SEARCH($X$1,Database!$X308&amp;""))))+IF($Y$1="",0,N(ISNUMBER(SEARCH($Y$1,Database!$X308&amp;""))))+IF(Screener!$B$17="",0,N(ISNUMBER(SEARCH(LOWER(Screener!$B$17),Database!$X308&amp;""))))</f>
        <v/>
      </c>
      <c r="I308">
        <f>IF(OR(N(Database!$AV308)&lt;=0,N(Screener!$D$13)&lt;=0),0,MAX(0,1-ABS(LOG10(N(Database!$AV308)/Screener!$D$13))/W_PEHW))</f>
        <v/>
      </c>
      <c r="J308">
        <f>IF(OR(N(Database!$S308)&lt;=0,N(Screener!$D$14)&lt;=0),0,MAX(0,1-ABS(LOG10(Database!$S308/Screener!$D$14))/0.6))</f>
        <v/>
      </c>
      <c r="K308">
        <f>IF(Database!$B308=Screener!$B$5,-999999,IF(ISNUMBER(SEARCH(","&amp;Database!$A308&amp;",",","&amp;SUBSTITUTE(Screener!$B$19," ","")&amp;",")),2000000,IF(IF(OR(Screener!$B$18="All",AND(Screener!$B$18="With A-share",(Database!$AZ308="Y")),AND(Screener!$B$18="Without A-share",NOT((Database!$AZ308="Y")))),1,0)=0,-999999,IF(Screener!$B$16="cornerstone overlap first",H308*100000,IF(Screener!$B$16="demand-similar first",J308*100000,0))+W_SUB*B308+W_SEC*C308*(1-B308)+W_SIZE*D308+W_PROF*E308+W_AH*F308+W_REC*G308+W_CS*H308+W_PE*I308)))+ROW()/1000000</f>
        <v/>
      </c>
      <c r="AA308">
        <f>Database!B297</f>
        <v/>
      </c>
      <c r="AB308">
        <f>Database!D297</f>
        <v/>
      </c>
      <c r="AC308">
        <f>Database!E297</f>
        <v/>
      </c>
      <c r="AD308">
        <f>Database!I297</f>
        <v/>
      </c>
      <c r="AE308">
        <f>Database!AU297</f>
        <v/>
      </c>
      <c r="AF308">
        <f>Database!AZ297</f>
        <v/>
      </c>
      <c r="AG308">
        <f>Database!H297</f>
        <v/>
      </c>
      <c r="AH308">
        <f>Database!AV297</f>
        <v/>
      </c>
    </row>
    <row r="309">
      <c r="A309">
        <f>Database!B309</f>
        <v/>
      </c>
      <c r="B309">
        <f>IF(AND(Screener!$D$8&lt;&gt;"",Database!$E309=Screener!$D$8),1,0)</f>
        <v/>
      </c>
      <c r="C309">
        <f>IF(AND(Screener!$D$7&lt;&gt;"",Database!$D309=Screener!$D$7),1,0)</f>
        <v/>
      </c>
      <c r="D309">
        <f>IF(OR(N(Database!$I309)&lt;=0,N(Screener!$D$9)&lt;=0),0,MAX(0,1-ABS(LOG10(N(Database!$I309)/Screener!$D$9))/W_SIZEHW))</f>
        <v/>
      </c>
      <c r="E309">
        <f>IF(OR(Database!$AU309="",Screener!$D$10=""),0,IF(Database!$AU309=Screener!$D$10,1,0))</f>
        <v/>
      </c>
      <c r="F309">
        <f>IF(OR(Database!$AZ309="",Screener!$D$11=""),0,IF(Database!$AZ309=Screener!$D$11,1,0))</f>
        <v/>
      </c>
      <c r="G309">
        <f>IF(OR(Database!$H309="",N(Screener!$D$12)&lt;=0),0,MAX(0,1-(N(Screener!$D$12)-Database!$H309)/W_RECD))</f>
        <v/>
      </c>
      <c r="H309">
        <f>IF($U$1="",0,N(ISNUMBER(SEARCH($U$1,Database!$X309&amp;""))))+IF($V$1="",0,N(ISNUMBER(SEARCH($V$1,Database!$X309&amp;""))))+IF($W$1="",0,N(ISNUMBER(SEARCH($W$1,Database!$X309&amp;""))))+IF($X$1="",0,N(ISNUMBER(SEARCH($X$1,Database!$X309&amp;""))))+IF($Y$1="",0,N(ISNUMBER(SEARCH($Y$1,Database!$X309&amp;""))))+IF(Screener!$B$17="",0,N(ISNUMBER(SEARCH(LOWER(Screener!$B$17),Database!$X309&amp;""))))</f>
        <v/>
      </c>
      <c r="I309">
        <f>IF(OR(N(Database!$AV309)&lt;=0,N(Screener!$D$13)&lt;=0),0,MAX(0,1-ABS(LOG10(N(Database!$AV309)/Screener!$D$13))/W_PEHW))</f>
        <v/>
      </c>
      <c r="J309">
        <f>IF(OR(N(Database!$S309)&lt;=0,N(Screener!$D$14)&lt;=0),0,MAX(0,1-ABS(LOG10(Database!$S309/Screener!$D$14))/0.6))</f>
        <v/>
      </c>
      <c r="K309">
        <f>IF(Database!$B309=Screener!$B$5,-999999,IF(ISNUMBER(SEARCH(","&amp;Database!$A309&amp;",",","&amp;SUBSTITUTE(Screener!$B$19," ","")&amp;",")),2000000,IF(IF(OR(Screener!$B$18="All",AND(Screener!$B$18="With A-share",(Database!$AZ309="Y")),AND(Screener!$B$18="Without A-share",NOT((Database!$AZ309="Y")))),1,0)=0,-999999,IF(Screener!$B$16="cornerstone overlap first",H309*100000,IF(Screener!$B$16="demand-similar first",J309*100000,0))+W_SUB*B309+W_SEC*C309*(1-B309)+W_SIZE*D309+W_PROF*E309+W_AH*F309+W_REC*G309+W_CS*H309+W_PE*I309)))+ROW()/1000000</f>
        <v/>
      </c>
      <c r="AA309">
        <f>Database!B298</f>
        <v/>
      </c>
      <c r="AB309">
        <f>Database!D298</f>
        <v/>
      </c>
      <c r="AC309">
        <f>Database!E298</f>
        <v/>
      </c>
      <c r="AD309">
        <f>Database!I298</f>
        <v/>
      </c>
      <c r="AE309">
        <f>Database!AU298</f>
        <v/>
      </c>
      <c r="AF309">
        <f>Database!AZ298</f>
        <v/>
      </c>
      <c r="AG309">
        <f>Database!H298</f>
        <v/>
      </c>
      <c r="AH309">
        <f>Database!AV298</f>
        <v/>
      </c>
    </row>
    <row r="310">
      <c r="A310">
        <f>Database!B310</f>
        <v/>
      </c>
      <c r="B310">
        <f>IF(AND(Screener!$D$8&lt;&gt;"",Database!$E310=Screener!$D$8),1,0)</f>
        <v/>
      </c>
      <c r="C310">
        <f>IF(AND(Screener!$D$7&lt;&gt;"",Database!$D310=Screener!$D$7),1,0)</f>
        <v/>
      </c>
      <c r="D310">
        <f>IF(OR(N(Database!$I310)&lt;=0,N(Screener!$D$9)&lt;=0),0,MAX(0,1-ABS(LOG10(N(Database!$I310)/Screener!$D$9))/W_SIZEHW))</f>
        <v/>
      </c>
      <c r="E310">
        <f>IF(OR(Database!$AU310="",Screener!$D$10=""),0,IF(Database!$AU310=Screener!$D$10,1,0))</f>
        <v/>
      </c>
      <c r="F310">
        <f>IF(OR(Database!$AZ310="",Screener!$D$11=""),0,IF(Database!$AZ310=Screener!$D$11,1,0))</f>
        <v/>
      </c>
      <c r="G310">
        <f>IF(OR(Database!$H310="",N(Screener!$D$12)&lt;=0),0,MAX(0,1-(N(Screener!$D$12)-Database!$H310)/W_RECD))</f>
        <v/>
      </c>
      <c r="H310">
        <f>IF($U$1="",0,N(ISNUMBER(SEARCH($U$1,Database!$X310&amp;""))))+IF($V$1="",0,N(ISNUMBER(SEARCH($V$1,Database!$X310&amp;""))))+IF($W$1="",0,N(ISNUMBER(SEARCH($W$1,Database!$X310&amp;""))))+IF($X$1="",0,N(ISNUMBER(SEARCH($X$1,Database!$X310&amp;""))))+IF($Y$1="",0,N(ISNUMBER(SEARCH($Y$1,Database!$X310&amp;""))))+IF(Screener!$B$17="",0,N(ISNUMBER(SEARCH(LOWER(Screener!$B$17),Database!$X310&amp;""))))</f>
        <v/>
      </c>
      <c r="I310">
        <f>IF(OR(N(Database!$AV310)&lt;=0,N(Screener!$D$13)&lt;=0),0,MAX(0,1-ABS(LOG10(N(Database!$AV310)/Screener!$D$13))/W_PEHW))</f>
        <v/>
      </c>
      <c r="J310">
        <f>IF(OR(N(Database!$S310)&lt;=0,N(Screener!$D$14)&lt;=0),0,MAX(0,1-ABS(LOG10(Database!$S310/Screener!$D$14))/0.6))</f>
        <v/>
      </c>
      <c r="K310">
        <f>IF(Database!$B310=Screener!$B$5,-999999,IF(ISNUMBER(SEARCH(","&amp;Database!$A310&amp;",",","&amp;SUBSTITUTE(Screener!$B$19," ","")&amp;",")),2000000,IF(IF(OR(Screener!$B$18="All",AND(Screener!$B$18="With A-share",(Database!$AZ310="Y")),AND(Screener!$B$18="Without A-share",NOT((Database!$AZ310="Y")))),1,0)=0,-999999,IF(Screener!$B$16="cornerstone overlap first",H310*100000,IF(Screener!$B$16="demand-similar first",J310*100000,0))+W_SUB*B310+W_SEC*C310*(1-B310)+W_SIZE*D310+W_PROF*E310+W_AH*F310+W_REC*G310+W_CS*H310+W_PE*I310)))+ROW()/1000000</f>
        <v/>
      </c>
      <c r="AA310">
        <f>Database!B299</f>
        <v/>
      </c>
      <c r="AB310">
        <f>Database!D299</f>
        <v/>
      </c>
      <c r="AC310">
        <f>Database!E299</f>
        <v/>
      </c>
      <c r="AD310">
        <f>Database!I299</f>
        <v/>
      </c>
      <c r="AE310">
        <f>Database!AU299</f>
        <v/>
      </c>
      <c r="AF310">
        <f>Database!AZ299</f>
        <v/>
      </c>
      <c r="AG310">
        <f>Database!H299</f>
        <v/>
      </c>
      <c r="AH310">
        <f>Database!AV299</f>
        <v/>
      </c>
    </row>
    <row r="311">
      <c r="A311">
        <f>Database!B311</f>
        <v/>
      </c>
      <c r="B311">
        <f>IF(AND(Screener!$D$8&lt;&gt;"",Database!$E311=Screener!$D$8),1,0)</f>
        <v/>
      </c>
      <c r="C311">
        <f>IF(AND(Screener!$D$7&lt;&gt;"",Database!$D311=Screener!$D$7),1,0)</f>
        <v/>
      </c>
      <c r="D311">
        <f>IF(OR(N(Database!$I311)&lt;=0,N(Screener!$D$9)&lt;=0),0,MAX(0,1-ABS(LOG10(N(Database!$I311)/Screener!$D$9))/W_SIZEHW))</f>
        <v/>
      </c>
      <c r="E311">
        <f>IF(OR(Database!$AU311="",Screener!$D$10=""),0,IF(Database!$AU311=Screener!$D$10,1,0))</f>
        <v/>
      </c>
      <c r="F311">
        <f>IF(OR(Database!$AZ311="",Screener!$D$11=""),0,IF(Database!$AZ311=Screener!$D$11,1,0))</f>
        <v/>
      </c>
      <c r="G311">
        <f>IF(OR(Database!$H311="",N(Screener!$D$12)&lt;=0),0,MAX(0,1-(N(Screener!$D$12)-Database!$H311)/W_RECD))</f>
        <v/>
      </c>
      <c r="H311">
        <f>IF($U$1="",0,N(ISNUMBER(SEARCH($U$1,Database!$X311&amp;""))))+IF($V$1="",0,N(ISNUMBER(SEARCH($V$1,Database!$X311&amp;""))))+IF($W$1="",0,N(ISNUMBER(SEARCH($W$1,Database!$X311&amp;""))))+IF($X$1="",0,N(ISNUMBER(SEARCH($X$1,Database!$X311&amp;""))))+IF($Y$1="",0,N(ISNUMBER(SEARCH($Y$1,Database!$X311&amp;""))))+IF(Screener!$B$17="",0,N(ISNUMBER(SEARCH(LOWER(Screener!$B$17),Database!$X311&amp;""))))</f>
        <v/>
      </c>
      <c r="I311">
        <f>IF(OR(N(Database!$AV311)&lt;=0,N(Screener!$D$13)&lt;=0),0,MAX(0,1-ABS(LOG10(N(Database!$AV311)/Screener!$D$13))/W_PEHW))</f>
        <v/>
      </c>
      <c r="J311">
        <f>IF(OR(N(Database!$S311)&lt;=0,N(Screener!$D$14)&lt;=0),0,MAX(0,1-ABS(LOG10(Database!$S311/Screener!$D$14))/0.6))</f>
        <v/>
      </c>
      <c r="K311">
        <f>IF(Database!$B311=Screener!$B$5,-999999,IF(ISNUMBER(SEARCH(","&amp;Database!$A311&amp;",",","&amp;SUBSTITUTE(Screener!$B$19," ","")&amp;",")),2000000,IF(IF(OR(Screener!$B$18="All",AND(Screener!$B$18="With A-share",(Database!$AZ311="Y")),AND(Screener!$B$18="Without A-share",NOT((Database!$AZ311="Y")))),1,0)=0,-999999,IF(Screener!$B$16="cornerstone overlap first",H311*100000,IF(Screener!$B$16="demand-similar first",J311*100000,0))+W_SUB*B311+W_SEC*C311*(1-B311)+W_SIZE*D311+W_PROF*E311+W_AH*F311+W_REC*G311+W_CS*H311+W_PE*I311)))+ROW()/1000000</f>
        <v/>
      </c>
      <c r="AA311">
        <f>Database!B300</f>
        <v/>
      </c>
      <c r="AB311">
        <f>Database!D300</f>
        <v/>
      </c>
      <c r="AC311">
        <f>Database!E300</f>
        <v/>
      </c>
      <c r="AD311">
        <f>Database!I300</f>
        <v/>
      </c>
      <c r="AE311">
        <f>Database!AU300</f>
        <v/>
      </c>
      <c r="AF311">
        <f>Database!AZ300</f>
        <v/>
      </c>
      <c r="AG311">
        <f>Database!H300</f>
        <v/>
      </c>
      <c r="AH311">
        <f>Database!AV300</f>
        <v/>
      </c>
    </row>
    <row r="312">
      <c r="A312">
        <f>Database!B312</f>
        <v/>
      </c>
      <c r="B312">
        <f>IF(AND(Screener!$D$8&lt;&gt;"",Database!$E312=Screener!$D$8),1,0)</f>
        <v/>
      </c>
      <c r="C312">
        <f>IF(AND(Screener!$D$7&lt;&gt;"",Database!$D312=Screener!$D$7),1,0)</f>
        <v/>
      </c>
      <c r="D312">
        <f>IF(OR(N(Database!$I312)&lt;=0,N(Screener!$D$9)&lt;=0),0,MAX(0,1-ABS(LOG10(N(Database!$I312)/Screener!$D$9))/W_SIZEHW))</f>
        <v/>
      </c>
      <c r="E312">
        <f>IF(OR(Database!$AU312="",Screener!$D$10=""),0,IF(Database!$AU312=Screener!$D$10,1,0))</f>
        <v/>
      </c>
      <c r="F312">
        <f>IF(OR(Database!$AZ312="",Screener!$D$11=""),0,IF(Database!$AZ312=Screener!$D$11,1,0))</f>
        <v/>
      </c>
      <c r="G312">
        <f>IF(OR(Database!$H312="",N(Screener!$D$12)&lt;=0),0,MAX(0,1-(N(Screener!$D$12)-Database!$H312)/W_RECD))</f>
        <v/>
      </c>
      <c r="H312">
        <f>IF($U$1="",0,N(ISNUMBER(SEARCH($U$1,Database!$X312&amp;""))))+IF($V$1="",0,N(ISNUMBER(SEARCH($V$1,Database!$X312&amp;""))))+IF($W$1="",0,N(ISNUMBER(SEARCH($W$1,Database!$X312&amp;""))))+IF($X$1="",0,N(ISNUMBER(SEARCH($X$1,Database!$X312&amp;""))))+IF($Y$1="",0,N(ISNUMBER(SEARCH($Y$1,Database!$X312&amp;""))))+IF(Screener!$B$17="",0,N(ISNUMBER(SEARCH(LOWER(Screener!$B$17),Database!$X312&amp;""))))</f>
        <v/>
      </c>
      <c r="I312">
        <f>IF(OR(N(Database!$AV312)&lt;=0,N(Screener!$D$13)&lt;=0),0,MAX(0,1-ABS(LOG10(N(Database!$AV312)/Screener!$D$13))/W_PEHW))</f>
        <v/>
      </c>
      <c r="J312">
        <f>IF(OR(N(Database!$S312)&lt;=0,N(Screener!$D$14)&lt;=0),0,MAX(0,1-ABS(LOG10(Database!$S312/Screener!$D$14))/0.6))</f>
        <v/>
      </c>
      <c r="K312">
        <f>IF(Database!$B312=Screener!$B$5,-999999,IF(ISNUMBER(SEARCH(","&amp;Database!$A312&amp;",",","&amp;SUBSTITUTE(Screener!$B$19," ","")&amp;",")),2000000,IF(IF(OR(Screener!$B$18="All",AND(Screener!$B$18="With A-share",(Database!$AZ312="Y")),AND(Screener!$B$18="Without A-share",NOT((Database!$AZ312="Y")))),1,0)=0,-999999,IF(Screener!$B$16="cornerstone overlap first",H312*100000,IF(Screener!$B$16="demand-similar first",J312*100000,0))+W_SUB*B312+W_SEC*C312*(1-B312)+W_SIZE*D312+W_PROF*E312+W_AH*F312+W_REC*G312+W_CS*H312+W_PE*I312)))+ROW()/1000000</f>
        <v/>
      </c>
      <c r="AA312">
        <f>Database!B301</f>
        <v/>
      </c>
      <c r="AB312">
        <f>Database!D301</f>
        <v/>
      </c>
      <c r="AC312">
        <f>Database!E301</f>
        <v/>
      </c>
      <c r="AD312">
        <f>Database!I301</f>
        <v/>
      </c>
      <c r="AE312">
        <f>Database!AU301</f>
        <v/>
      </c>
      <c r="AF312">
        <f>Database!AZ301</f>
        <v/>
      </c>
      <c r="AG312">
        <f>Database!H301</f>
        <v/>
      </c>
      <c r="AH312">
        <f>Database!AV301</f>
        <v/>
      </c>
    </row>
    <row r="313">
      <c r="A313">
        <f>Database!B313</f>
        <v/>
      </c>
      <c r="B313">
        <f>IF(AND(Screener!$D$8&lt;&gt;"",Database!$E313=Screener!$D$8),1,0)</f>
        <v/>
      </c>
      <c r="C313">
        <f>IF(AND(Screener!$D$7&lt;&gt;"",Database!$D313=Screener!$D$7),1,0)</f>
        <v/>
      </c>
      <c r="D313">
        <f>IF(OR(N(Database!$I313)&lt;=0,N(Screener!$D$9)&lt;=0),0,MAX(0,1-ABS(LOG10(N(Database!$I313)/Screener!$D$9))/W_SIZEHW))</f>
        <v/>
      </c>
      <c r="E313">
        <f>IF(OR(Database!$AU313="",Screener!$D$10=""),0,IF(Database!$AU313=Screener!$D$10,1,0))</f>
        <v/>
      </c>
      <c r="F313">
        <f>IF(OR(Database!$AZ313="",Screener!$D$11=""),0,IF(Database!$AZ313=Screener!$D$11,1,0))</f>
        <v/>
      </c>
      <c r="G313">
        <f>IF(OR(Database!$H313="",N(Screener!$D$12)&lt;=0),0,MAX(0,1-(N(Screener!$D$12)-Database!$H313)/W_RECD))</f>
        <v/>
      </c>
      <c r="H313">
        <f>IF($U$1="",0,N(ISNUMBER(SEARCH($U$1,Database!$X313&amp;""))))+IF($V$1="",0,N(ISNUMBER(SEARCH($V$1,Database!$X313&amp;""))))+IF($W$1="",0,N(ISNUMBER(SEARCH($W$1,Database!$X313&amp;""))))+IF($X$1="",0,N(ISNUMBER(SEARCH($X$1,Database!$X313&amp;""))))+IF($Y$1="",0,N(ISNUMBER(SEARCH($Y$1,Database!$X313&amp;""))))+IF(Screener!$B$17="",0,N(ISNUMBER(SEARCH(LOWER(Screener!$B$17),Database!$X313&amp;""))))</f>
        <v/>
      </c>
      <c r="I313">
        <f>IF(OR(N(Database!$AV313)&lt;=0,N(Screener!$D$13)&lt;=0),0,MAX(0,1-ABS(LOG10(N(Database!$AV313)/Screener!$D$13))/W_PEHW))</f>
        <v/>
      </c>
      <c r="J313">
        <f>IF(OR(N(Database!$S313)&lt;=0,N(Screener!$D$14)&lt;=0),0,MAX(0,1-ABS(LOG10(Database!$S313/Screener!$D$14))/0.6))</f>
        <v/>
      </c>
      <c r="K313">
        <f>IF(Database!$B313=Screener!$B$5,-999999,IF(ISNUMBER(SEARCH(","&amp;Database!$A313&amp;",",","&amp;SUBSTITUTE(Screener!$B$19," ","")&amp;",")),2000000,IF(IF(OR(Screener!$B$18="All",AND(Screener!$B$18="With A-share",(Database!$AZ313="Y")),AND(Screener!$B$18="Without A-share",NOT((Database!$AZ313="Y")))),1,0)=0,-999999,IF(Screener!$B$16="cornerstone overlap first",H313*100000,IF(Screener!$B$16="demand-similar first",J313*100000,0))+W_SUB*B313+W_SEC*C313*(1-B313)+W_SIZE*D313+W_PROF*E313+W_AH*F313+W_REC*G313+W_CS*H313+W_PE*I313)))+ROW()/1000000</f>
        <v/>
      </c>
      <c r="AA313">
        <f>Database!B302</f>
        <v/>
      </c>
      <c r="AB313">
        <f>Database!D302</f>
        <v/>
      </c>
      <c r="AC313">
        <f>Database!E302</f>
        <v/>
      </c>
      <c r="AD313">
        <f>Database!I302</f>
        <v/>
      </c>
      <c r="AE313">
        <f>Database!AU302</f>
        <v/>
      </c>
      <c r="AF313">
        <f>Database!AZ302</f>
        <v/>
      </c>
      <c r="AG313">
        <f>Database!H302</f>
        <v/>
      </c>
      <c r="AH313">
        <f>Database!AV302</f>
        <v/>
      </c>
    </row>
    <row r="314">
      <c r="A314">
        <f>Database!B314</f>
        <v/>
      </c>
      <c r="B314">
        <f>IF(AND(Screener!$D$8&lt;&gt;"",Database!$E314=Screener!$D$8),1,0)</f>
        <v/>
      </c>
      <c r="C314">
        <f>IF(AND(Screener!$D$7&lt;&gt;"",Database!$D314=Screener!$D$7),1,0)</f>
        <v/>
      </c>
      <c r="D314">
        <f>IF(OR(N(Database!$I314)&lt;=0,N(Screener!$D$9)&lt;=0),0,MAX(0,1-ABS(LOG10(N(Database!$I314)/Screener!$D$9))/W_SIZEHW))</f>
        <v/>
      </c>
      <c r="E314">
        <f>IF(OR(Database!$AU314="",Screener!$D$10=""),0,IF(Database!$AU314=Screener!$D$10,1,0))</f>
        <v/>
      </c>
      <c r="F314">
        <f>IF(OR(Database!$AZ314="",Screener!$D$11=""),0,IF(Database!$AZ314=Screener!$D$11,1,0))</f>
        <v/>
      </c>
      <c r="G314">
        <f>IF(OR(Database!$H314="",N(Screener!$D$12)&lt;=0),0,MAX(0,1-(N(Screener!$D$12)-Database!$H314)/W_RECD))</f>
        <v/>
      </c>
      <c r="H314">
        <f>IF($U$1="",0,N(ISNUMBER(SEARCH($U$1,Database!$X314&amp;""))))+IF($V$1="",0,N(ISNUMBER(SEARCH($V$1,Database!$X314&amp;""))))+IF($W$1="",0,N(ISNUMBER(SEARCH($W$1,Database!$X314&amp;""))))+IF($X$1="",0,N(ISNUMBER(SEARCH($X$1,Database!$X314&amp;""))))+IF($Y$1="",0,N(ISNUMBER(SEARCH($Y$1,Database!$X314&amp;""))))+IF(Screener!$B$17="",0,N(ISNUMBER(SEARCH(LOWER(Screener!$B$17),Database!$X314&amp;""))))</f>
        <v/>
      </c>
      <c r="I314">
        <f>IF(OR(N(Database!$AV314)&lt;=0,N(Screener!$D$13)&lt;=0),0,MAX(0,1-ABS(LOG10(N(Database!$AV314)/Screener!$D$13))/W_PEHW))</f>
        <v/>
      </c>
      <c r="J314">
        <f>IF(OR(N(Database!$S314)&lt;=0,N(Screener!$D$14)&lt;=0),0,MAX(0,1-ABS(LOG10(Database!$S314/Screener!$D$14))/0.6))</f>
        <v/>
      </c>
      <c r="K314">
        <f>IF(Database!$B314=Screener!$B$5,-999999,IF(ISNUMBER(SEARCH(","&amp;Database!$A314&amp;",",","&amp;SUBSTITUTE(Screener!$B$19," ","")&amp;",")),2000000,IF(IF(OR(Screener!$B$18="All",AND(Screener!$B$18="With A-share",(Database!$AZ314="Y")),AND(Screener!$B$18="Without A-share",NOT((Database!$AZ314="Y")))),1,0)=0,-999999,IF(Screener!$B$16="cornerstone overlap first",H314*100000,IF(Screener!$B$16="demand-similar first",J314*100000,0))+W_SUB*B314+W_SEC*C314*(1-B314)+W_SIZE*D314+W_PROF*E314+W_AH*F314+W_REC*G314+W_CS*H314+W_PE*I314)))+ROW()/1000000</f>
        <v/>
      </c>
      <c r="AA314">
        <f>Database!B303</f>
        <v/>
      </c>
      <c r="AB314">
        <f>Database!D303</f>
        <v/>
      </c>
      <c r="AC314">
        <f>Database!E303</f>
        <v/>
      </c>
      <c r="AD314">
        <f>Database!I303</f>
        <v/>
      </c>
      <c r="AE314">
        <f>Database!AU303</f>
        <v/>
      </c>
      <c r="AF314">
        <f>Database!AZ303</f>
        <v/>
      </c>
      <c r="AG314">
        <f>Database!H303</f>
        <v/>
      </c>
      <c r="AH314">
        <f>Database!AV303</f>
        <v/>
      </c>
    </row>
    <row r="315">
      <c r="A315">
        <f>Database!B315</f>
        <v/>
      </c>
      <c r="B315">
        <f>IF(AND(Screener!$D$8&lt;&gt;"",Database!$E315=Screener!$D$8),1,0)</f>
        <v/>
      </c>
      <c r="C315">
        <f>IF(AND(Screener!$D$7&lt;&gt;"",Database!$D315=Screener!$D$7),1,0)</f>
        <v/>
      </c>
      <c r="D315">
        <f>IF(OR(N(Database!$I315)&lt;=0,N(Screener!$D$9)&lt;=0),0,MAX(0,1-ABS(LOG10(N(Database!$I315)/Screener!$D$9))/W_SIZEHW))</f>
        <v/>
      </c>
      <c r="E315">
        <f>IF(OR(Database!$AU315="",Screener!$D$10=""),0,IF(Database!$AU315=Screener!$D$10,1,0))</f>
        <v/>
      </c>
      <c r="F315">
        <f>IF(OR(Database!$AZ315="",Screener!$D$11=""),0,IF(Database!$AZ315=Screener!$D$11,1,0))</f>
        <v/>
      </c>
      <c r="G315">
        <f>IF(OR(Database!$H315="",N(Screener!$D$12)&lt;=0),0,MAX(0,1-(N(Screener!$D$12)-Database!$H315)/W_RECD))</f>
        <v/>
      </c>
      <c r="H315">
        <f>IF($U$1="",0,N(ISNUMBER(SEARCH($U$1,Database!$X315&amp;""))))+IF($V$1="",0,N(ISNUMBER(SEARCH($V$1,Database!$X315&amp;""))))+IF($W$1="",0,N(ISNUMBER(SEARCH($W$1,Database!$X315&amp;""))))+IF($X$1="",0,N(ISNUMBER(SEARCH($X$1,Database!$X315&amp;""))))+IF($Y$1="",0,N(ISNUMBER(SEARCH($Y$1,Database!$X315&amp;""))))+IF(Screener!$B$17="",0,N(ISNUMBER(SEARCH(LOWER(Screener!$B$17),Database!$X315&amp;""))))</f>
        <v/>
      </c>
      <c r="I315">
        <f>IF(OR(N(Database!$AV315)&lt;=0,N(Screener!$D$13)&lt;=0),0,MAX(0,1-ABS(LOG10(N(Database!$AV315)/Screener!$D$13))/W_PEHW))</f>
        <v/>
      </c>
      <c r="J315">
        <f>IF(OR(N(Database!$S315)&lt;=0,N(Screener!$D$14)&lt;=0),0,MAX(0,1-ABS(LOG10(Database!$S315/Screener!$D$14))/0.6))</f>
        <v/>
      </c>
      <c r="K315">
        <f>IF(Database!$B315=Screener!$B$5,-999999,IF(ISNUMBER(SEARCH(","&amp;Database!$A315&amp;",",","&amp;SUBSTITUTE(Screener!$B$19," ","")&amp;",")),2000000,IF(IF(OR(Screener!$B$18="All",AND(Screener!$B$18="With A-share",(Database!$AZ315="Y")),AND(Screener!$B$18="Without A-share",NOT((Database!$AZ315="Y")))),1,0)=0,-999999,IF(Screener!$B$16="cornerstone overlap first",H315*100000,IF(Screener!$B$16="demand-similar first",J315*100000,0))+W_SUB*B315+W_SEC*C315*(1-B315)+W_SIZE*D315+W_PROF*E315+W_AH*F315+W_REC*G315+W_CS*H315+W_PE*I315)))+ROW()/1000000</f>
        <v/>
      </c>
      <c r="AA315">
        <f>Database!B304</f>
        <v/>
      </c>
      <c r="AB315">
        <f>Database!D304</f>
        <v/>
      </c>
      <c r="AC315">
        <f>Database!E304</f>
        <v/>
      </c>
      <c r="AD315">
        <f>Database!I304</f>
        <v/>
      </c>
      <c r="AE315">
        <f>Database!AU304</f>
        <v/>
      </c>
      <c r="AF315">
        <f>Database!AZ304</f>
        <v/>
      </c>
      <c r="AG315">
        <f>Database!H304</f>
        <v/>
      </c>
      <c r="AH315">
        <f>Database!AV304</f>
        <v/>
      </c>
    </row>
    <row r="316">
      <c r="A316">
        <f>Database!B316</f>
        <v/>
      </c>
      <c r="B316">
        <f>IF(AND(Screener!$D$8&lt;&gt;"",Database!$E316=Screener!$D$8),1,0)</f>
        <v/>
      </c>
      <c r="C316">
        <f>IF(AND(Screener!$D$7&lt;&gt;"",Database!$D316=Screener!$D$7),1,0)</f>
        <v/>
      </c>
      <c r="D316">
        <f>IF(OR(N(Database!$I316)&lt;=0,N(Screener!$D$9)&lt;=0),0,MAX(0,1-ABS(LOG10(N(Database!$I316)/Screener!$D$9))/W_SIZEHW))</f>
        <v/>
      </c>
      <c r="E316">
        <f>IF(OR(Database!$AU316="",Screener!$D$10=""),0,IF(Database!$AU316=Screener!$D$10,1,0))</f>
        <v/>
      </c>
      <c r="F316">
        <f>IF(OR(Database!$AZ316="",Screener!$D$11=""),0,IF(Database!$AZ316=Screener!$D$11,1,0))</f>
        <v/>
      </c>
      <c r="G316">
        <f>IF(OR(Database!$H316="",N(Screener!$D$12)&lt;=0),0,MAX(0,1-(N(Screener!$D$12)-Database!$H316)/W_RECD))</f>
        <v/>
      </c>
      <c r="H316">
        <f>IF($U$1="",0,N(ISNUMBER(SEARCH($U$1,Database!$X316&amp;""))))+IF($V$1="",0,N(ISNUMBER(SEARCH($V$1,Database!$X316&amp;""))))+IF($W$1="",0,N(ISNUMBER(SEARCH($W$1,Database!$X316&amp;""))))+IF($X$1="",0,N(ISNUMBER(SEARCH($X$1,Database!$X316&amp;""))))+IF($Y$1="",0,N(ISNUMBER(SEARCH($Y$1,Database!$X316&amp;""))))+IF(Screener!$B$17="",0,N(ISNUMBER(SEARCH(LOWER(Screener!$B$17),Database!$X316&amp;""))))</f>
        <v/>
      </c>
      <c r="I316">
        <f>IF(OR(N(Database!$AV316)&lt;=0,N(Screener!$D$13)&lt;=0),0,MAX(0,1-ABS(LOG10(N(Database!$AV316)/Screener!$D$13))/W_PEHW))</f>
        <v/>
      </c>
      <c r="J316">
        <f>IF(OR(N(Database!$S316)&lt;=0,N(Screener!$D$14)&lt;=0),0,MAX(0,1-ABS(LOG10(Database!$S316/Screener!$D$14))/0.6))</f>
        <v/>
      </c>
      <c r="K316">
        <f>IF(Database!$B316=Screener!$B$5,-999999,IF(ISNUMBER(SEARCH(","&amp;Database!$A316&amp;",",","&amp;SUBSTITUTE(Screener!$B$19," ","")&amp;",")),2000000,IF(IF(OR(Screener!$B$18="All",AND(Screener!$B$18="With A-share",(Database!$AZ316="Y")),AND(Screener!$B$18="Without A-share",NOT((Database!$AZ316="Y")))),1,0)=0,-999999,IF(Screener!$B$16="cornerstone overlap first",H316*100000,IF(Screener!$B$16="demand-similar first",J316*100000,0))+W_SUB*B316+W_SEC*C316*(1-B316)+W_SIZE*D316+W_PROF*E316+W_AH*F316+W_REC*G316+W_CS*H316+W_PE*I316)))+ROW()/1000000</f>
        <v/>
      </c>
      <c r="AA316">
        <f>Database!B305</f>
        <v/>
      </c>
      <c r="AB316">
        <f>Database!D305</f>
        <v/>
      </c>
      <c r="AC316">
        <f>Database!E305</f>
        <v/>
      </c>
      <c r="AD316">
        <f>Database!I305</f>
        <v/>
      </c>
      <c r="AE316">
        <f>Database!AU305</f>
        <v/>
      </c>
      <c r="AF316">
        <f>Database!AZ305</f>
        <v/>
      </c>
      <c r="AG316">
        <f>Database!H305</f>
        <v/>
      </c>
      <c r="AH316">
        <f>Database!AV305</f>
        <v/>
      </c>
    </row>
    <row r="317">
      <c r="A317">
        <f>Database!B317</f>
        <v/>
      </c>
      <c r="B317">
        <f>IF(AND(Screener!$D$8&lt;&gt;"",Database!$E317=Screener!$D$8),1,0)</f>
        <v/>
      </c>
      <c r="C317">
        <f>IF(AND(Screener!$D$7&lt;&gt;"",Database!$D317=Screener!$D$7),1,0)</f>
        <v/>
      </c>
      <c r="D317">
        <f>IF(OR(N(Database!$I317)&lt;=0,N(Screener!$D$9)&lt;=0),0,MAX(0,1-ABS(LOG10(N(Database!$I317)/Screener!$D$9))/W_SIZEHW))</f>
        <v/>
      </c>
      <c r="E317">
        <f>IF(OR(Database!$AU317="",Screener!$D$10=""),0,IF(Database!$AU317=Screener!$D$10,1,0))</f>
        <v/>
      </c>
      <c r="F317">
        <f>IF(OR(Database!$AZ317="",Screener!$D$11=""),0,IF(Database!$AZ317=Screener!$D$11,1,0))</f>
        <v/>
      </c>
      <c r="G317">
        <f>IF(OR(Database!$H317="",N(Screener!$D$12)&lt;=0),0,MAX(0,1-(N(Screener!$D$12)-Database!$H317)/W_RECD))</f>
        <v/>
      </c>
      <c r="H317">
        <f>IF($U$1="",0,N(ISNUMBER(SEARCH($U$1,Database!$X317&amp;""))))+IF($V$1="",0,N(ISNUMBER(SEARCH($V$1,Database!$X317&amp;""))))+IF($W$1="",0,N(ISNUMBER(SEARCH($W$1,Database!$X317&amp;""))))+IF($X$1="",0,N(ISNUMBER(SEARCH($X$1,Database!$X317&amp;""))))+IF($Y$1="",0,N(ISNUMBER(SEARCH($Y$1,Database!$X317&amp;""))))+IF(Screener!$B$17="",0,N(ISNUMBER(SEARCH(LOWER(Screener!$B$17),Database!$X317&amp;""))))</f>
        <v/>
      </c>
      <c r="I317">
        <f>IF(OR(N(Database!$AV317)&lt;=0,N(Screener!$D$13)&lt;=0),0,MAX(0,1-ABS(LOG10(N(Database!$AV317)/Screener!$D$13))/W_PEHW))</f>
        <v/>
      </c>
      <c r="J317">
        <f>IF(OR(N(Database!$S317)&lt;=0,N(Screener!$D$14)&lt;=0),0,MAX(0,1-ABS(LOG10(Database!$S317/Screener!$D$14))/0.6))</f>
        <v/>
      </c>
      <c r="K317">
        <f>IF(Database!$B317=Screener!$B$5,-999999,IF(ISNUMBER(SEARCH(","&amp;Database!$A317&amp;",",","&amp;SUBSTITUTE(Screener!$B$19," ","")&amp;",")),2000000,IF(IF(OR(Screener!$B$18="All",AND(Screener!$B$18="With A-share",(Database!$AZ317="Y")),AND(Screener!$B$18="Without A-share",NOT((Database!$AZ317="Y")))),1,0)=0,-999999,IF(Screener!$B$16="cornerstone overlap first",H317*100000,IF(Screener!$B$16="demand-similar first",J317*100000,0))+W_SUB*B317+W_SEC*C317*(1-B317)+W_SIZE*D317+W_PROF*E317+W_AH*F317+W_REC*G317+W_CS*H317+W_PE*I317)))+ROW()/1000000</f>
        <v/>
      </c>
      <c r="AA317">
        <f>Database!B306</f>
        <v/>
      </c>
      <c r="AB317">
        <f>Database!D306</f>
        <v/>
      </c>
      <c r="AC317">
        <f>Database!E306</f>
        <v/>
      </c>
      <c r="AD317">
        <f>Database!I306</f>
        <v/>
      </c>
      <c r="AE317">
        <f>Database!AU306</f>
        <v/>
      </c>
      <c r="AF317">
        <f>Database!AZ306</f>
        <v/>
      </c>
      <c r="AG317">
        <f>Database!H306</f>
        <v/>
      </c>
      <c r="AH317">
        <f>Database!AV306</f>
        <v/>
      </c>
    </row>
    <row r="318">
      <c r="A318">
        <f>Database!B318</f>
        <v/>
      </c>
      <c r="B318">
        <f>IF(AND(Screener!$D$8&lt;&gt;"",Database!$E318=Screener!$D$8),1,0)</f>
        <v/>
      </c>
      <c r="C318">
        <f>IF(AND(Screener!$D$7&lt;&gt;"",Database!$D318=Screener!$D$7),1,0)</f>
        <v/>
      </c>
      <c r="D318">
        <f>IF(OR(N(Database!$I318)&lt;=0,N(Screener!$D$9)&lt;=0),0,MAX(0,1-ABS(LOG10(N(Database!$I318)/Screener!$D$9))/W_SIZEHW))</f>
        <v/>
      </c>
      <c r="E318">
        <f>IF(OR(Database!$AU318="",Screener!$D$10=""),0,IF(Database!$AU318=Screener!$D$10,1,0))</f>
        <v/>
      </c>
      <c r="F318">
        <f>IF(OR(Database!$AZ318="",Screener!$D$11=""),0,IF(Database!$AZ318=Screener!$D$11,1,0))</f>
        <v/>
      </c>
      <c r="G318">
        <f>IF(OR(Database!$H318="",N(Screener!$D$12)&lt;=0),0,MAX(0,1-(N(Screener!$D$12)-Database!$H318)/W_RECD))</f>
        <v/>
      </c>
      <c r="H318">
        <f>IF($U$1="",0,N(ISNUMBER(SEARCH($U$1,Database!$X318&amp;""))))+IF($V$1="",0,N(ISNUMBER(SEARCH($V$1,Database!$X318&amp;""))))+IF($W$1="",0,N(ISNUMBER(SEARCH($W$1,Database!$X318&amp;""))))+IF($X$1="",0,N(ISNUMBER(SEARCH($X$1,Database!$X318&amp;""))))+IF($Y$1="",0,N(ISNUMBER(SEARCH($Y$1,Database!$X318&amp;""))))+IF(Screener!$B$17="",0,N(ISNUMBER(SEARCH(LOWER(Screener!$B$17),Database!$X318&amp;""))))</f>
        <v/>
      </c>
      <c r="I318">
        <f>IF(OR(N(Database!$AV318)&lt;=0,N(Screener!$D$13)&lt;=0),0,MAX(0,1-ABS(LOG10(N(Database!$AV318)/Screener!$D$13))/W_PEHW))</f>
        <v/>
      </c>
      <c r="J318">
        <f>IF(OR(N(Database!$S318)&lt;=0,N(Screener!$D$14)&lt;=0),0,MAX(0,1-ABS(LOG10(Database!$S318/Screener!$D$14))/0.6))</f>
        <v/>
      </c>
      <c r="K318">
        <f>IF(Database!$B318=Screener!$B$5,-999999,IF(ISNUMBER(SEARCH(","&amp;Database!$A318&amp;",",","&amp;SUBSTITUTE(Screener!$B$19," ","")&amp;",")),2000000,IF(IF(OR(Screener!$B$18="All",AND(Screener!$B$18="With A-share",(Database!$AZ318="Y")),AND(Screener!$B$18="Without A-share",NOT((Database!$AZ318="Y")))),1,0)=0,-999999,IF(Screener!$B$16="cornerstone overlap first",H318*100000,IF(Screener!$B$16="demand-similar first",J318*100000,0))+W_SUB*B318+W_SEC*C318*(1-B318)+W_SIZE*D318+W_PROF*E318+W_AH*F318+W_REC*G318+W_CS*H318+W_PE*I318)))+ROW()/1000000</f>
        <v/>
      </c>
      <c r="AA318">
        <f>Database!B307</f>
        <v/>
      </c>
      <c r="AB318">
        <f>Database!D307</f>
        <v/>
      </c>
      <c r="AC318">
        <f>Database!E307</f>
        <v/>
      </c>
      <c r="AD318">
        <f>Database!I307</f>
        <v/>
      </c>
      <c r="AE318">
        <f>Database!AU307</f>
        <v/>
      </c>
      <c r="AF318">
        <f>Database!AZ307</f>
        <v/>
      </c>
      <c r="AG318">
        <f>Database!H307</f>
        <v/>
      </c>
      <c r="AH318">
        <f>Database!AV307</f>
        <v/>
      </c>
    </row>
    <row r="319">
      <c r="A319">
        <f>Database!B319</f>
        <v/>
      </c>
      <c r="B319">
        <f>IF(AND(Screener!$D$8&lt;&gt;"",Database!$E319=Screener!$D$8),1,0)</f>
        <v/>
      </c>
      <c r="C319">
        <f>IF(AND(Screener!$D$7&lt;&gt;"",Database!$D319=Screener!$D$7),1,0)</f>
        <v/>
      </c>
      <c r="D319">
        <f>IF(OR(N(Database!$I319)&lt;=0,N(Screener!$D$9)&lt;=0),0,MAX(0,1-ABS(LOG10(N(Database!$I319)/Screener!$D$9))/W_SIZEHW))</f>
        <v/>
      </c>
      <c r="E319">
        <f>IF(OR(Database!$AU319="",Screener!$D$10=""),0,IF(Database!$AU319=Screener!$D$10,1,0))</f>
        <v/>
      </c>
      <c r="F319">
        <f>IF(OR(Database!$AZ319="",Screener!$D$11=""),0,IF(Database!$AZ319=Screener!$D$11,1,0))</f>
        <v/>
      </c>
      <c r="G319">
        <f>IF(OR(Database!$H319="",N(Screener!$D$12)&lt;=0),0,MAX(0,1-(N(Screener!$D$12)-Database!$H319)/W_RECD))</f>
        <v/>
      </c>
      <c r="H319">
        <f>IF($U$1="",0,N(ISNUMBER(SEARCH($U$1,Database!$X319&amp;""))))+IF($V$1="",0,N(ISNUMBER(SEARCH($V$1,Database!$X319&amp;""))))+IF($W$1="",0,N(ISNUMBER(SEARCH($W$1,Database!$X319&amp;""))))+IF($X$1="",0,N(ISNUMBER(SEARCH($X$1,Database!$X319&amp;""))))+IF($Y$1="",0,N(ISNUMBER(SEARCH($Y$1,Database!$X319&amp;""))))+IF(Screener!$B$17="",0,N(ISNUMBER(SEARCH(LOWER(Screener!$B$17),Database!$X319&amp;""))))</f>
        <v/>
      </c>
      <c r="I319">
        <f>IF(OR(N(Database!$AV319)&lt;=0,N(Screener!$D$13)&lt;=0),0,MAX(0,1-ABS(LOG10(N(Database!$AV319)/Screener!$D$13))/W_PEHW))</f>
        <v/>
      </c>
      <c r="J319">
        <f>IF(OR(N(Database!$S319)&lt;=0,N(Screener!$D$14)&lt;=0),0,MAX(0,1-ABS(LOG10(Database!$S319/Screener!$D$14))/0.6))</f>
        <v/>
      </c>
      <c r="K319">
        <f>IF(Database!$B319=Screener!$B$5,-999999,IF(ISNUMBER(SEARCH(","&amp;Database!$A319&amp;",",","&amp;SUBSTITUTE(Screener!$B$19," ","")&amp;",")),2000000,IF(IF(OR(Screener!$B$18="All",AND(Screener!$B$18="With A-share",(Database!$AZ319="Y")),AND(Screener!$B$18="Without A-share",NOT((Database!$AZ319="Y")))),1,0)=0,-999999,IF(Screener!$B$16="cornerstone overlap first",H319*100000,IF(Screener!$B$16="demand-similar first",J319*100000,0))+W_SUB*B319+W_SEC*C319*(1-B319)+W_SIZE*D319+W_PROF*E319+W_AH*F319+W_REC*G319+W_CS*H319+W_PE*I319)))+ROW()/1000000</f>
        <v/>
      </c>
      <c r="AA319">
        <f>Database!B308</f>
        <v/>
      </c>
      <c r="AB319">
        <f>Database!D308</f>
        <v/>
      </c>
      <c r="AC319">
        <f>Database!E308</f>
        <v/>
      </c>
      <c r="AD319">
        <f>Database!I308</f>
        <v/>
      </c>
      <c r="AE319">
        <f>Database!AU308</f>
        <v/>
      </c>
      <c r="AF319">
        <f>Database!AZ308</f>
        <v/>
      </c>
      <c r="AG319">
        <f>Database!H308</f>
        <v/>
      </c>
      <c r="AH319">
        <f>Database!AV308</f>
        <v/>
      </c>
    </row>
    <row r="320">
      <c r="A320">
        <f>Database!B320</f>
        <v/>
      </c>
      <c r="B320">
        <f>IF(AND(Screener!$D$8&lt;&gt;"",Database!$E320=Screener!$D$8),1,0)</f>
        <v/>
      </c>
      <c r="C320">
        <f>IF(AND(Screener!$D$7&lt;&gt;"",Database!$D320=Screener!$D$7),1,0)</f>
        <v/>
      </c>
      <c r="D320">
        <f>IF(OR(N(Database!$I320)&lt;=0,N(Screener!$D$9)&lt;=0),0,MAX(0,1-ABS(LOG10(N(Database!$I320)/Screener!$D$9))/W_SIZEHW))</f>
        <v/>
      </c>
      <c r="E320">
        <f>IF(OR(Database!$AU320="",Screener!$D$10=""),0,IF(Database!$AU320=Screener!$D$10,1,0))</f>
        <v/>
      </c>
      <c r="F320">
        <f>IF(OR(Database!$AZ320="",Screener!$D$11=""),0,IF(Database!$AZ320=Screener!$D$11,1,0))</f>
        <v/>
      </c>
      <c r="G320">
        <f>IF(OR(Database!$H320="",N(Screener!$D$12)&lt;=0),0,MAX(0,1-(N(Screener!$D$12)-Database!$H320)/W_RECD))</f>
        <v/>
      </c>
      <c r="H320">
        <f>IF($U$1="",0,N(ISNUMBER(SEARCH($U$1,Database!$X320&amp;""))))+IF($V$1="",0,N(ISNUMBER(SEARCH($V$1,Database!$X320&amp;""))))+IF($W$1="",0,N(ISNUMBER(SEARCH($W$1,Database!$X320&amp;""))))+IF($X$1="",0,N(ISNUMBER(SEARCH($X$1,Database!$X320&amp;""))))+IF($Y$1="",0,N(ISNUMBER(SEARCH($Y$1,Database!$X320&amp;""))))+IF(Screener!$B$17="",0,N(ISNUMBER(SEARCH(LOWER(Screener!$B$17),Database!$X320&amp;""))))</f>
        <v/>
      </c>
      <c r="I320">
        <f>IF(OR(N(Database!$AV320)&lt;=0,N(Screener!$D$13)&lt;=0),0,MAX(0,1-ABS(LOG10(N(Database!$AV320)/Screener!$D$13))/W_PEHW))</f>
        <v/>
      </c>
      <c r="J320">
        <f>IF(OR(N(Database!$S320)&lt;=0,N(Screener!$D$14)&lt;=0),0,MAX(0,1-ABS(LOG10(Database!$S320/Screener!$D$14))/0.6))</f>
        <v/>
      </c>
      <c r="K320">
        <f>IF(Database!$B320=Screener!$B$5,-999999,IF(ISNUMBER(SEARCH(","&amp;Database!$A320&amp;",",","&amp;SUBSTITUTE(Screener!$B$19," ","")&amp;",")),2000000,IF(IF(OR(Screener!$B$18="All",AND(Screener!$B$18="With A-share",(Database!$AZ320="Y")),AND(Screener!$B$18="Without A-share",NOT((Database!$AZ320="Y")))),1,0)=0,-999999,IF(Screener!$B$16="cornerstone overlap first",H320*100000,IF(Screener!$B$16="demand-similar first",J320*100000,0))+W_SUB*B320+W_SEC*C320*(1-B320)+W_SIZE*D320+W_PROF*E320+W_AH*F320+W_REC*G320+W_CS*H320+W_PE*I320)))+ROW()/1000000</f>
        <v/>
      </c>
      <c r="AA320">
        <f>Database!B309</f>
        <v/>
      </c>
      <c r="AB320">
        <f>Database!D309</f>
        <v/>
      </c>
      <c r="AC320">
        <f>Database!E309</f>
        <v/>
      </c>
      <c r="AD320">
        <f>Database!I309</f>
        <v/>
      </c>
      <c r="AE320">
        <f>Database!AU309</f>
        <v/>
      </c>
      <c r="AF320">
        <f>Database!AZ309</f>
        <v/>
      </c>
      <c r="AG320">
        <f>Database!H309</f>
        <v/>
      </c>
      <c r="AH320">
        <f>Database!AV309</f>
        <v/>
      </c>
    </row>
    <row r="321">
      <c r="A321">
        <f>Database!B321</f>
        <v/>
      </c>
      <c r="B321">
        <f>IF(AND(Screener!$D$8&lt;&gt;"",Database!$E321=Screener!$D$8),1,0)</f>
        <v/>
      </c>
      <c r="C321">
        <f>IF(AND(Screener!$D$7&lt;&gt;"",Database!$D321=Screener!$D$7),1,0)</f>
        <v/>
      </c>
      <c r="D321">
        <f>IF(OR(N(Database!$I321)&lt;=0,N(Screener!$D$9)&lt;=0),0,MAX(0,1-ABS(LOG10(N(Database!$I321)/Screener!$D$9))/W_SIZEHW))</f>
        <v/>
      </c>
      <c r="E321">
        <f>IF(OR(Database!$AU321="",Screener!$D$10=""),0,IF(Database!$AU321=Screener!$D$10,1,0))</f>
        <v/>
      </c>
      <c r="F321">
        <f>IF(OR(Database!$AZ321="",Screener!$D$11=""),0,IF(Database!$AZ321=Screener!$D$11,1,0))</f>
        <v/>
      </c>
      <c r="G321">
        <f>IF(OR(Database!$H321="",N(Screener!$D$12)&lt;=0),0,MAX(0,1-(N(Screener!$D$12)-Database!$H321)/W_RECD))</f>
        <v/>
      </c>
      <c r="H321">
        <f>IF($U$1="",0,N(ISNUMBER(SEARCH($U$1,Database!$X321&amp;""))))+IF($V$1="",0,N(ISNUMBER(SEARCH($V$1,Database!$X321&amp;""))))+IF($W$1="",0,N(ISNUMBER(SEARCH($W$1,Database!$X321&amp;""))))+IF($X$1="",0,N(ISNUMBER(SEARCH($X$1,Database!$X321&amp;""))))+IF($Y$1="",0,N(ISNUMBER(SEARCH($Y$1,Database!$X321&amp;""))))+IF(Screener!$B$17="",0,N(ISNUMBER(SEARCH(LOWER(Screener!$B$17),Database!$X321&amp;""))))</f>
        <v/>
      </c>
      <c r="I321">
        <f>IF(OR(N(Database!$AV321)&lt;=0,N(Screener!$D$13)&lt;=0),0,MAX(0,1-ABS(LOG10(N(Database!$AV321)/Screener!$D$13))/W_PEHW))</f>
        <v/>
      </c>
      <c r="J321">
        <f>IF(OR(N(Database!$S321)&lt;=0,N(Screener!$D$14)&lt;=0),0,MAX(0,1-ABS(LOG10(Database!$S321/Screener!$D$14))/0.6))</f>
        <v/>
      </c>
      <c r="K321">
        <f>IF(Database!$B321=Screener!$B$5,-999999,IF(ISNUMBER(SEARCH(","&amp;Database!$A321&amp;",",","&amp;SUBSTITUTE(Screener!$B$19," ","")&amp;",")),2000000,IF(IF(OR(Screener!$B$18="All",AND(Screener!$B$18="With A-share",(Database!$AZ321="Y")),AND(Screener!$B$18="Without A-share",NOT((Database!$AZ321="Y")))),1,0)=0,-999999,IF(Screener!$B$16="cornerstone overlap first",H321*100000,IF(Screener!$B$16="demand-similar first",J321*100000,0))+W_SUB*B321+W_SEC*C321*(1-B321)+W_SIZE*D321+W_PROF*E321+W_AH*F321+W_REC*G321+W_CS*H321+W_PE*I321)))+ROW()/1000000</f>
        <v/>
      </c>
      <c r="AA321">
        <f>Database!B310</f>
        <v/>
      </c>
      <c r="AB321">
        <f>Database!D310</f>
        <v/>
      </c>
      <c r="AC321">
        <f>Database!E310</f>
        <v/>
      </c>
      <c r="AD321">
        <f>Database!I310</f>
        <v/>
      </c>
      <c r="AE321">
        <f>Database!AU310</f>
        <v/>
      </c>
      <c r="AF321">
        <f>Database!AZ310</f>
        <v/>
      </c>
      <c r="AG321">
        <f>Database!H310</f>
        <v/>
      </c>
      <c r="AH321">
        <f>Database!AV310</f>
        <v/>
      </c>
    </row>
    <row r="322">
      <c r="A322">
        <f>Database!B322</f>
        <v/>
      </c>
      <c r="B322">
        <f>IF(AND(Screener!$D$8&lt;&gt;"",Database!$E322=Screener!$D$8),1,0)</f>
        <v/>
      </c>
      <c r="C322">
        <f>IF(AND(Screener!$D$7&lt;&gt;"",Database!$D322=Screener!$D$7),1,0)</f>
        <v/>
      </c>
      <c r="D322">
        <f>IF(OR(N(Database!$I322)&lt;=0,N(Screener!$D$9)&lt;=0),0,MAX(0,1-ABS(LOG10(N(Database!$I322)/Screener!$D$9))/W_SIZEHW))</f>
        <v/>
      </c>
      <c r="E322">
        <f>IF(OR(Database!$AU322="",Screener!$D$10=""),0,IF(Database!$AU322=Screener!$D$10,1,0))</f>
        <v/>
      </c>
      <c r="F322">
        <f>IF(OR(Database!$AZ322="",Screener!$D$11=""),0,IF(Database!$AZ322=Screener!$D$11,1,0))</f>
        <v/>
      </c>
      <c r="G322">
        <f>IF(OR(Database!$H322="",N(Screener!$D$12)&lt;=0),0,MAX(0,1-(N(Screener!$D$12)-Database!$H322)/W_RECD))</f>
        <v/>
      </c>
      <c r="H322">
        <f>IF($U$1="",0,N(ISNUMBER(SEARCH($U$1,Database!$X322&amp;""))))+IF($V$1="",0,N(ISNUMBER(SEARCH($V$1,Database!$X322&amp;""))))+IF($W$1="",0,N(ISNUMBER(SEARCH($W$1,Database!$X322&amp;""))))+IF($X$1="",0,N(ISNUMBER(SEARCH($X$1,Database!$X322&amp;""))))+IF($Y$1="",0,N(ISNUMBER(SEARCH($Y$1,Database!$X322&amp;""))))+IF(Screener!$B$17="",0,N(ISNUMBER(SEARCH(LOWER(Screener!$B$17),Database!$X322&amp;""))))</f>
        <v/>
      </c>
      <c r="I322">
        <f>IF(OR(N(Database!$AV322)&lt;=0,N(Screener!$D$13)&lt;=0),0,MAX(0,1-ABS(LOG10(N(Database!$AV322)/Screener!$D$13))/W_PEHW))</f>
        <v/>
      </c>
      <c r="J322">
        <f>IF(OR(N(Database!$S322)&lt;=0,N(Screener!$D$14)&lt;=0),0,MAX(0,1-ABS(LOG10(Database!$S322/Screener!$D$14))/0.6))</f>
        <v/>
      </c>
      <c r="K322">
        <f>IF(Database!$B322=Screener!$B$5,-999999,IF(ISNUMBER(SEARCH(","&amp;Database!$A322&amp;",",","&amp;SUBSTITUTE(Screener!$B$19," ","")&amp;",")),2000000,IF(IF(OR(Screener!$B$18="All",AND(Screener!$B$18="With A-share",(Database!$AZ322="Y")),AND(Screener!$B$18="Without A-share",NOT((Database!$AZ322="Y")))),1,0)=0,-999999,IF(Screener!$B$16="cornerstone overlap first",H322*100000,IF(Screener!$B$16="demand-similar first",J322*100000,0))+W_SUB*B322+W_SEC*C322*(1-B322)+W_SIZE*D322+W_PROF*E322+W_AH*F322+W_REC*G322+W_CS*H322+W_PE*I322)))+ROW()/1000000</f>
        <v/>
      </c>
      <c r="AA322">
        <f>Database!B311</f>
        <v/>
      </c>
      <c r="AB322">
        <f>Database!D311</f>
        <v/>
      </c>
      <c r="AC322">
        <f>Database!E311</f>
        <v/>
      </c>
      <c r="AD322">
        <f>Database!I311</f>
        <v/>
      </c>
      <c r="AE322">
        <f>Database!AU311</f>
        <v/>
      </c>
      <c r="AF322">
        <f>Database!AZ311</f>
        <v/>
      </c>
      <c r="AG322">
        <f>Database!H311</f>
        <v/>
      </c>
      <c r="AH322">
        <f>Database!AV311</f>
        <v/>
      </c>
    </row>
    <row r="323">
      <c r="A323">
        <f>Database!B323</f>
        <v/>
      </c>
      <c r="B323">
        <f>IF(AND(Screener!$D$8&lt;&gt;"",Database!$E323=Screener!$D$8),1,0)</f>
        <v/>
      </c>
      <c r="C323">
        <f>IF(AND(Screener!$D$7&lt;&gt;"",Database!$D323=Screener!$D$7),1,0)</f>
        <v/>
      </c>
      <c r="D323">
        <f>IF(OR(N(Database!$I323)&lt;=0,N(Screener!$D$9)&lt;=0),0,MAX(0,1-ABS(LOG10(N(Database!$I323)/Screener!$D$9))/W_SIZEHW))</f>
        <v/>
      </c>
      <c r="E323">
        <f>IF(OR(Database!$AU323="",Screener!$D$10=""),0,IF(Database!$AU323=Screener!$D$10,1,0))</f>
        <v/>
      </c>
      <c r="F323">
        <f>IF(OR(Database!$AZ323="",Screener!$D$11=""),0,IF(Database!$AZ323=Screener!$D$11,1,0))</f>
        <v/>
      </c>
      <c r="G323">
        <f>IF(OR(Database!$H323="",N(Screener!$D$12)&lt;=0),0,MAX(0,1-(N(Screener!$D$12)-Database!$H323)/W_RECD))</f>
        <v/>
      </c>
      <c r="H323">
        <f>IF($U$1="",0,N(ISNUMBER(SEARCH($U$1,Database!$X323&amp;""))))+IF($V$1="",0,N(ISNUMBER(SEARCH($V$1,Database!$X323&amp;""))))+IF($W$1="",0,N(ISNUMBER(SEARCH($W$1,Database!$X323&amp;""))))+IF($X$1="",0,N(ISNUMBER(SEARCH($X$1,Database!$X323&amp;""))))+IF($Y$1="",0,N(ISNUMBER(SEARCH($Y$1,Database!$X323&amp;""))))+IF(Screener!$B$17="",0,N(ISNUMBER(SEARCH(LOWER(Screener!$B$17),Database!$X323&amp;""))))</f>
        <v/>
      </c>
      <c r="I323">
        <f>IF(OR(N(Database!$AV323)&lt;=0,N(Screener!$D$13)&lt;=0),0,MAX(0,1-ABS(LOG10(N(Database!$AV323)/Screener!$D$13))/W_PEHW))</f>
        <v/>
      </c>
      <c r="J323">
        <f>IF(OR(N(Database!$S323)&lt;=0,N(Screener!$D$14)&lt;=0),0,MAX(0,1-ABS(LOG10(Database!$S323/Screener!$D$14))/0.6))</f>
        <v/>
      </c>
      <c r="K323">
        <f>IF(Database!$B323=Screener!$B$5,-999999,IF(ISNUMBER(SEARCH(","&amp;Database!$A323&amp;",",","&amp;SUBSTITUTE(Screener!$B$19," ","")&amp;",")),2000000,IF(IF(OR(Screener!$B$18="All",AND(Screener!$B$18="With A-share",(Database!$AZ323="Y")),AND(Screener!$B$18="Without A-share",NOT((Database!$AZ323="Y")))),1,0)=0,-999999,IF(Screener!$B$16="cornerstone overlap first",H323*100000,IF(Screener!$B$16="demand-similar first",J323*100000,0))+W_SUB*B323+W_SEC*C323*(1-B323)+W_SIZE*D323+W_PROF*E323+W_AH*F323+W_REC*G323+W_CS*H323+W_PE*I323)))+ROW()/1000000</f>
        <v/>
      </c>
      <c r="AA323">
        <f>Database!B312</f>
        <v/>
      </c>
      <c r="AB323">
        <f>Database!D312</f>
        <v/>
      </c>
      <c r="AC323">
        <f>Database!E312</f>
        <v/>
      </c>
      <c r="AD323">
        <f>Database!I312</f>
        <v/>
      </c>
      <c r="AE323">
        <f>Database!AU312</f>
        <v/>
      </c>
      <c r="AF323">
        <f>Database!AZ312</f>
        <v/>
      </c>
      <c r="AG323">
        <f>Database!H312</f>
        <v/>
      </c>
      <c r="AH323">
        <f>Database!AV312</f>
        <v/>
      </c>
    </row>
    <row r="324">
      <c r="A324">
        <f>Database!B324</f>
        <v/>
      </c>
      <c r="B324">
        <f>IF(AND(Screener!$D$8&lt;&gt;"",Database!$E324=Screener!$D$8),1,0)</f>
        <v/>
      </c>
      <c r="C324">
        <f>IF(AND(Screener!$D$7&lt;&gt;"",Database!$D324=Screener!$D$7),1,0)</f>
        <v/>
      </c>
      <c r="D324">
        <f>IF(OR(N(Database!$I324)&lt;=0,N(Screener!$D$9)&lt;=0),0,MAX(0,1-ABS(LOG10(N(Database!$I324)/Screener!$D$9))/W_SIZEHW))</f>
        <v/>
      </c>
      <c r="E324">
        <f>IF(OR(Database!$AU324="",Screener!$D$10=""),0,IF(Database!$AU324=Screener!$D$10,1,0))</f>
        <v/>
      </c>
      <c r="F324">
        <f>IF(OR(Database!$AZ324="",Screener!$D$11=""),0,IF(Database!$AZ324=Screener!$D$11,1,0))</f>
        <v/>
      </c>
      <c r="G324">
        <f>IF(OR(Database!$H324="",N(Screener!$D$12)&lt;=0),0,MAX(0,1-(N(Screener!$D$12)-Database!$H324)/W_RECD))</f>
        <v/>
      </c>
      <c r="H324">
        <f>IF($U$1="",0,N(ISNUMBER(SEARCH($U$1,Database!$X324&amp;""))))+IF($V$1="",0,N(ISNUMBER(SEARCH($V$1,Database!$X324&amp;""))))+IF($W$1="",0,N(ISNUMBER(SEARCH($W$1,Database!$X324&amp;""))))+IF($X$1="",0,N(ISNUMBER(SEARCH($X$1,Database!$X324&amp;""))))+IF($Y$1="",0,N(ISNUMBER(SEARCH($Y$1,Database!$X324&amp;""))))+IF(Screener!$B$17="",0,N(ISNUMBER(SEARCH(LOWER(Screener!$B$17),Database!$X324&amp;""))))</f>
        <v/>
      </c>
      <c r="I324">
        <f>IF(OR(N(Database!$AV324)&lt;=0,N(Screener!$D$13)&lt;=0),0,MAX(0,1-ABS(LOG10(N(Database!$AV324)/Screener!$D$13))/W_PEHW))</f>
        <v/>
      </c>
      <c r="J324">
        <f>IF(OR(N(Database!$S324)&lt;=0,N(Screener!$D$14)&lt;=0),0,MAX(0,1-ABS(LOG10(Database!$S324/Screener!$D$14))/0.6))</f>
        <v/>
      </c>
      <c r="K324">
        <f>IF(Database!$B324=Screener!$B$5,-999999,IF(ISNUMBER(SEARCH(","&amp;Database!$A324&amp;",",","&amp;SUBSTITUTE(Screener!$B$19," ","")&amp;",")),2000000,IF(IF(OR(Screener!$B$18="All",AND(Screener!$B$18="With A-share",(Database!$AZ324="Y")),AND(Screener!$B$18="Without A-share",NOT((Database!$AZ324="Y")))),1,0)=0,-999999,IF(Screener!$B$16="cornerstone overlap first",H324*100000,IF(Screener!$B$16="demand-similar first",J324*100000,0))+W_SUB*B324+W_SEC*C324*(1-B324)+W_SIZE*D324+W_PROF*E324+W_AH*F324+W_REC*G324+W_CS*H324+W_PE*I324)))+ROW()/1000000</f>
        <v/>
      </c>
      <c r="AA324">
        <f>Database!B313</f>
        <v/>
      </c>
      <c r="AB324">
        <f>Database!D313</f>
        <v/>
      </c>
      <c r="AC324">
        <f>Database!E313</f>
        <v/>
      </c>
      <c r="AD324">
        <f>Database!I313</f>
        <v/>
      </c>
      <c r="AE324">
        <f>Database!AU313</f>
        <v/>
      </c>
      <c r="AF324">
        <f>Database!AZ313</f>
        <v/>
      </c>
      <c r="AG324">
        <f>Database!H313</f>
        <v/>
      </c>
      <c r="AH324">
        <f>Database!AV313</f>
        <v/>
      </c>
    </row>
    <row r="325">
      <c r="A325">
        <f>Database!B325</f>
        <v/>
      </c>
      <c r="B325">
        <f>IF(AND(Screener!$D$8&lt;&gt;"",Database!$E325=Screener!$D$8),1,0)</f>
        <v/>
      </c>
      <c r="C325">
        <f>IF(AND(Screener!$D$7&lt;&gt;"",Database!$D325=Screener!$D$7),1,0)</f>
        <v/>
      </c>
      <c r="D325">
        <f>IF(OR(N(Database!$I325)&lt;=0,N(Screener!$D$9)&lt;=0),0,MAX(0,1-ABS(LOG10(N(Database!$I325)/Screener!$D$9))/W_SIZEHW))</f>
        <v/>
      </c>
      <c r="E325">
        <f>IF(OR(Database!$AU325="",Screener!$D$10=""),0,IF(Database!$AU325=Screener!$D$10,1,0))</f>
        <v/>
      </c>
      <c r="F325">
        <f>IF(OR(Database!$AZ325="",Screener!$D$11=""),0,IF(Database!$AZ325=Screener!$D$11,1,0))</f>
        <v/>
      </c>
      <c r="G325">
        <f>IF(OR(Database!$H325="",N(Screener!$D$12)&lt;=0),0,MAX(0,1-(N(Screener!$D$12)-Database!$H325)/W_RECD))</f>
        <v/>
      </c>
      <c r="H325">
        <f>IF($U$1="",0,N(ISNUMBER(SEARCH($U$1,Database!$X325&amp;""))))+IF($V$1="",0,N(ISNUMBER(SEARCH($V$1,Database!$X325&amp;""))))+IF($W$1="",0,N(ISNUMBER(SEARCH($W$1,Database!$X325&amp;""))))+IF($X$1="",0,N(ISNUMBER(SEARCH($X$1,Database!$X325&amp;""))))+IF($Y$1="",0,N(ISNUMBER(SEARCH($Y$1,Database!$X325&amp;""))))+IF(Screener!$B$17="",0,N(ISNUMBER(SEARCH(LOWER(Screener!$B$17),Database!$X325&amp;""))))</f>
        <v/>
      </c>
      <c r="I325">
        <f>IF(OR(N(Database!$AV325)&lt;=0,N(Screener!$D$13)&lt;=0),0,MAX(0,1-ABS(LOG10(N(Database!$AV325)/Screener!$D$13))/W_PEHW))</f>
        <v/>
      </c>
      <c r="J325">
        <f>IF(OR(N(Database!$S325)&lt;=0,N(Screener!$D$14)&lt;=0),0,MAX(0,1-ABS(LOG10(Database!$S325/Screener!$D$14))/0.6))</f>
        <v/>
      </c>
      <c r="K325">
        <f>IF(Database!$B325=Screener!$B$5,-999999,IF(ISNUMBER(SEARCH(","&amp;Database!$A325&amp;",",","&amp;SUBSTITUTE(Screener!$B$19," ","")&amp;",")),2000000,IF(IF(OR(Screener!$B$18="All",AND(Screener!$B$18="With A-share",(Database!$AZ325="Y")),AND(Screener!$B$18="Without A-share",NOT((Database!$AZ325="Y")))),1,0)=0,-999999,IF(Screener!$B$16="cornerstone overlap first",H325*100000,IF(Screener!$B$16="demand-similar first",J325*100000,0))+W_SUB*B325+W_SEC*C325*(1-B325)+W_SIZE*D325+W_PROF*E325+W_AH*F325+W_REC*G325+W_CS*H325+W_PE*I325)))+ROW()/1000000</f>
        <v/>
      </c>
      <c r="AA325">
        <f>Database!B314</f>
        <v/>
      </c>
      <c r="AB325">
        <f>Database!D314</f>
        <v/>
      </c>
      <c r="AC325">
        <f>Database!E314</f>
        <v/>
      </c>
      <c r="AD325">
        <f>Database!I314</f>
        <v/>
      </c>
      <c r="AE325">
        <f>Database!AU314</f>
        <v/>
      </c>
      <c r="AF325">
        <f>Database!AZ314</f>
        <v/>
      </c>
      <c r="AG325">
        <f>Database!H314</f>
        <v/>
      </c>
      <c r="AH325">
        <f>Database!AV314</f>
        <v/>
      </c>
    </row>
    <row r="326">
      <c r="A326">
        <f>Database!B326</f>
        <v/>
      </c>
      <c r="B326">
        <f>IF(AND(Screener!$D$8&lt;&gt;"",Database!$E326=Screener!$D$8),1,0)</f>
        <v/>
      </c>
      <c r="C326">
        <f>IF(AND(Screener!$D$7&lt;&gt;"",Database!$D326=Screener!$D$7),1,0)</f>
        <v/>
      </c>
      <c r="D326">
        <f>IF(OR(N(Database!$I326)&lt;=0,N(Screener!$D$9)&lt;=0),0,MAX(0,1-ABS(LOG10(N(Database!$I326)/Screener!$D$9))/W_SIZEHW))</f>
        <v/>
      </c>
      <c r="E326">
        <f>IF(OR(Database!$AU326="",Screener!$D$10=""),0,IF(Database!$AU326=Screener!$D$10,1,0))</f>
        <v/>
      </c>
      <c r="F326">
        <f>IF(OR(Database!$AZ326="",Screener!$D$11=""),0,IF(Database!$AZ326=Screener!$D$11,1,0))</f>
        <v/>
      </c>
      <c r="G326">
        <f>IF(OR(Database!$H326="",N(Screener!$D$12)&lt;=0),0,MAX(0,1-(N(Screener!$D$12)-Database!$H326)/W_RECD))</f>
        <v/>
      </c>
      <c r="H326">
        <f>IF($U$1="",0,N(ISNUMBER(SEARCH($U$1,Database!$X326&amp;""))))+IF($V$1="",0,N(ISNUMBER(SEARCH($V$1,Database!$X326&amp;""))))+IF($W$1="",0,N(ISNUMBER(SEARCH($W$1,Database!$X326&amp;""))))+IF($X$1="",0,N(ISNUMBER(SEARCH($X$1,Database!$X326&amp;""))))+IF($Y$1="",0,N(ISNUMBER(SEARCH($Y$1,Database!$X326&amp;""))))+IF(Screener!$B$17="",0,N(ISNUMBER(SEARCH(LOWER(Screener!$B$17),Database!$X326&amp;""))))</f>
        <v/>
      </c>
      <c r="I326">
        <f>IF(OR(N(Database!$AV326)&lt;=0,N(Screener!$D$13)&lt;=0),0,MAX(0,1-ABS(LOG10(N(Database!$AV326)/Screener!$D$13))/W_PEHW))</f>
        <v/>
      </c>
      <c r="J326">
        <f>IF(OR(N(Database!$S326)&lt;=0,N(Screener!$D$14)&lt;=0),0,MAX(0,1-ABS(LOG10(Database!$S326/Screener!$D$14))/0.6))</f>
        <v/>
      </c>
      <c r="K326">
        <f>IF(Database!$B326=Screener!$B$5,-999999,IF(ISNUMBER(SEARCH(","&amp;Database!$A326&amp;",",","&amp;SUBSTITUTE(Screener!$B$19," ","")&amp;",")),2000000,IF(IF(OR(Screener!$B$18="All",AND(Screener!$B$18="With A-share",(Database!$AZ326="Y")),AND(Screener!$B$18="Without A-share",NOT((Database!$AZ326="Y")))),1,0)=0,-999999,IF(Screener!$B$16="cornerstone overlap first",H326*100000,IF(Screener!$B$16="demand-similar first",J326*100000,0))+W_SUB*B326+W_SEC*C326*(1-B326)+W_SIZE*D326+W_PROF*E326+W_AH*F326+W_REC*G326+W_CS*H326+W_PE*I326)))+ROW()/1000000</f>
        <v/>
      </c>
      <c r="AA326">
        <f>Database!B315</f>
        <v/>
      </c>
      <c r="AB326">
        <f>Database!D315</f>
        <v/>
      </c>
      <c r="AC326">
        <f>Database!E315</f>
        <v/>
      </c>
      <c r="AD326">
        <f>Database!I315</f>
        <v/>
      </c>
      <c r="AE326">
        <f>Database!AU315</f>
        <v/>
      </c>
      <c r="AF326">
        <f>Database!AZ315</f>
        <v/>
      </c>
      <c r="AG326">
        <f>Database!H315</f>
        <v/>
      </c>
      <c r="AH326">
        <f>Database!AV315</f>
        <v/>
      </c>
    </row>
    <row r="327">
      <c r="A327">
        <f>Database!B327</f>
        <v/>
      </c>
      <c r="B327">
        <f>IF(AND(Screener!$D$8&lt;&gt;"",Database!$E327=Screener!$D$8),1,0)</f>
        <v/>
      </c>
      <c r="C327">
        <f>IF(AND(Screener!$D$7&lt;&gt;"",Database!$D327=Screener!$D$7),1,0)</f>
        <v/>
      </c>
      <c r="D327">
        <f>IF(OR(N(Database!$I327)&lt;=0,N(Screener!$D$9)&lt;=0),0,MAX(0,1-ABS(LOG10(N(Database!$I327)/Screener!$D$9))/W_SIZEHW))</f>
        <v/>
      </c>
      <c r="E327">
        <f>IF(OR(Database!$AU327="",Screener!$D$10=""),0,IF(Database!$AU327=Screener!$D$10,1,0))</f>
        <v/>
      </c>
      <c r="F327">
        <f>IF(OR(Database!$AZ327="",Screener!$D$11=""),0,IF(Database!$AZ327=Screener!$D$11,1,0))</f>
        <v/>
      </c>
      <c r="G327">
        <f>IF(OR(Database!$H327="",N(Screener!$D$12)&lt;=0),0,MAX(0,1-(N(Screener!$D$12)-Database!$H327)/W_RECD))</f>
        <v/>
      </c>
      <c r="H327">
        <f>IF($U$1="",0,N(ISNUMBER(SEARCH($U$1,Database!$X327&amp;""))))+IF($V$1="",0,N(ISNUMBER(SEARCH($V$1,Database!$X327&amp;""))))+IF($W$1="",0,N(ISNUMBER(SEARCH($W$1,Database!$X327&amp;""))))+IF($X$1="",0,N(ISNUMBER(SEARCH($X$1,Database!$X327&amp;""))))+IF($Y$1="",0,N(ISNUMBER(SEARCH($Y$1,Database!$X327&amp;""))))+IF(Screener!$B$17="",0,N(ISNUMBER(SEARCH(LOWER(Screener!$B$17),Database!$X327&amp;""))))</f>
        <v/>
      </c>
      <c r="I327">
        <f>IF(OR(N(Database!$AV327)&lt;=0,N(Screener!$D$13)&lt;=0),0,MAX(0,1-ABS(LOG10(N(Database!$AV327)/Screener!$D$13))/W_PEHW))</f>
        <v/>
      </c>
      <c r="J327">
        <f>IF(OR(N(Database!$S327)&lt;=0,N(Screener!$D$14)&lt;=0),0,MAX(0,1-ABS(LOG10(Database!$S327/Screener!$D$14))/0.6))</f>
        <v/>
      </c>
      <c r="K327">
        <f>IF(Database!$B327=Screener!$B$5,-999999,IF(ISNUMBER(SEARCH(","&amp;Database!$A327&amp;",",","&amp;SUBSTITUTE(Screener!$B$19," ","")&amp;",")),2000000,IF(IF(OR(Screener!$B$18="All",AND(Screener!$B$18="With A-share",(Database!$AZ327="Y")),AND(Screener!$B$18="Without A-share",NOT((Database!$AZ327="Y")))),1,0)=0,-999999,IF(Screener!$B$16="cornerstone overlap first",H327*100000,IF(Screener!$B$16="demand-similar first",J327*100000,0))+W_SUB*B327+W_SEC*C327*(1-B327)+W_SIZE*D327+W_PROF*E327+W_AH*F327+W_REC*G327+W_CS*H327+W_PE*I327)))+ROW()/1000000</f>
        <v/>
      </c>
      <c r="AA327">
        <f>Database!B316</f>
        <v/>
      </c>
      <c r="AB327">
        <f>Database!D316</f>
        <v/>
      </c>
      <c r="AC327">
        <f>Database!E316</f>
        <v/>
      </c>
      <c r="AD327">
        <f>Database!I316</f>
        <v/>
      </c>
      <c r="AE327">
        <f>Database!AU316</f>
        <v/>
      </c>
      <c r="AF327">
        <f>Database!AZ316</f>
        <v/>
      </c>
      <c r="AG327">
        <f>Database!H316</f>
        <v/>
      </c>
      <c r="AH327">
        <f>Database!AV316</f>
        <v/>
      </c>
    </row>
    <row r="328">
      <c r="A328">
        <f>Database!B328</f>
        <v/>
      </c>
      <c r="B328">
        <f>IF(AND(Screener!$D$8&lt;&gt;"",Database!$E328=Screener!$D$8),1,0)</f>
        <v/>
      </c>
      <c r="C328">
        <f>IF(AND(Screener!$D$7&lt;&gt;"",Database!$D328=Screener!$D$7),1,0)</f>
        <v/>
      </c>
      <c r="D328">
        <f>IF(OR(N(Database!$I328)&lt;=0,N(Screener!$D$9)&lt;=0),0,MAX(0,1-ABS(LOG10(N(Database!$I328)/Screener!$D$9))/W_SIZEHW))</f>
        <v/>
      </c>
      <c r="E328">
        <f>IF(OR(Database!$AU328="",Screener!$D$10=""),0,IF(Database!$AU328=Screener!$D$10,1,0))</f>
        <v/>
      </c>
      <c r="F328">
        <f>IF(OR(Database!$AZ328="",Screener!$D$11=""),0,IF(Database!$AZ328=Screener!$D$11,1,0))</f>
        <v/>
      </c>
      <c r="G328">
        <f>IF(OR(Database!$H328="",N(Screener!$D$12)&lt;=0),0,MAX(0,1-(N(Screener!$D$12)-Database!$H328)/W_RECD))</f>
        <v/>
      </c>
      <c r="H328">
        <f>IF($U$1="",0,N(ISNUMBER(SEARCH($U$1,Database!$X328&amp;""))))+IF($V$1="",0,N(ISNUMBER(SEARCH($V$1,Database!$X328&amp;""))))+IF($W$1="",0,N(ISNUMBER(SEARCH($W$1,Database!$X328&amp;""))))+IF($X$1="",0,N(ISNUMBER(SEARCH($X$1,Database!$X328&amp;""))))+IF($Y$1="",0,N(ISNUMBER(SEARCH($Y$1,Database!$X328&amp;""))))+IF(Screener!$B$17="",0,N(ISNUMBER(SEARCH(LOWER(Screener!$B$17),Database!$X328&amp;""))))</f>
        <v/>
      </c>
      <c r="I328">
        <f>IF(OR(N(Database!$AV328)&lt;=0,N(Screener!$D$13)&lt;=0),0,MAX(0,1-ABS(LOG10(N(Database!$AV328)/Screener!$D$13))/W_PEHW))</f>
        <v/>
      </c>
      <c r="J328">
        <f>IF(OR(N(Database!$S328)&lt;=0,N(Screener!$D$14)&lt;=0),0,MAX(0,1-ABS(LOG10(Database!$S328/Screener!$D$14))/0.6))</f>
        <v/>
      </c>
      <c r="K328">
        <f>IF(Database!$B328=Screener!$B$5,-999999,IF(ISNUMBER(SEARCH(","&amp;Database!$A328&amp;",",","&amp;SUBSTITUTE(Screener!$B$19," ","")&amp;",")),2000000,IF(IF(OR(Screener!$B$18="All",AND(Screener!$B$18="With A-share",(Database!$AZ328="Y")),AND(Screener!$B$18="Without A-share",NOT((Database!$AZ328="Y")))),1,0)=0,-999999,IF(Screener!$B$16="cornerstone overlap first",H328*100000,IF(Screener!$B$16="demand-similar first",J328*100000,0))+W_SUB*B328+W_SEC*C328*(1-B328)+W_SIZE*D328+W_PROF*E328+W_AH*F328+W_REC*G328+W_CS*H328+W_PE*I328)))+ROW()/1000000</f>
        <v/>
      </c>
      <c r="AA328">
        <f>Database!B317</f>
        <v/>
      </c>
      <c r="AB328">
        <f>Database!D317</f>
        <v/>
      </c>
      <c r="AC328">
        <f>Database!E317</f>
        <v/>
      </c>
      <c r="AD328">
        <f>Database!I317</f>
        <v/>
      </c>
      <c r="AE328">
        <f>Database!AU317</f>
        <v/>
      </c>
      <c r="AF328">
        <f>Database!AZ317</f>
        <v/>
      </c>
      <c r="AG328">
        <f>Database!H317</f>
        <v/>
      </c>
      <c r="AH328">
        <f>Database!AV317</f>
        <v/>
      </c>
    </row>
    <row r="329">
      <c r="A329">
        <f>Database!B329</f>
        <v/>
      </c>
      <c r="B329">
        <f>IF(AND(Screener!$D$8&lt;&gt;"",Database!$E329=Screener!$D$8),1,0)</f>
        <v/>
      </c>
      <c r="C329">
        <f>IF(AND(Screener!$D$7&lt;&gt;"",Database!$D329=Screener!$D$7),1,0)</f>
        <v/>
      </c>
      <c r="D329">
        <f>IF(OR(N(Database!$I329)&lt;=0,N(Screener!$D$9)&lt;=0),0,MAX(0,1-ABS(LOG10(N(Database!$I329)/Screener!$D$9))/W_SIZEHW))</f>
        <v/>
      </c>
      <c r="E329">
        <f>IF(OR(Database!$AU329="",Screener!$D$10=""),0,IF(Database!$AU329=Screener!$D$10,1,0))</f>
        <v/>
      </c>
      <c r="F329">
        <f>IF(OR(Database!$AZ329="",Screener!$D$11=""),0,IF(Database!$AZ329=Screener!$D$11,1,0))</f>
        <v/>
      </c>
      <c r="G329">
        <f>IF(OR(Database!$H329="",N(Screener!$D$12)&lt;=0),0,MAX(0,1-(N(Screener!$D$12)-Database!$H329)/W_RECD))</f>
        <v/>
      </c>
      <c r="H329">
        <f>IF($U$1="",0,N(ISNUMBER(SEARCH($U$1,Database!$X329&amp;""))))+IF($V$1="",0,N(ISNUMBER(SEARCH($V$1,Database!$X329&amp;""))))+IF($W$1="",0,N(ISNUMBER(SEARCH($W$1,Database!$X329&amp;""))))+IF($X$1="",0,N(ISNUMBER(SEARCH($X$1,Database!$X329&amp;""))))+IF($Y$1="",0,N(ISNUMBER(SEARCH($Y$1,Database!$X329&amp;""))))+IF(Screener!$B$17="",0,N(ISNUMBER(SEARCH(LOWER(Screener!$B$17),Database!$X329&amp;""))))</f>
        <v/>
      </c>
      <c r="I329">
        <f>IF(OR(N(Database!$AV329)&lt;=0,N(Screener!$D$13)&lt;=0),0,MAX(0,1-ABS(LOG10(N(Database!$AV329)/Screener!$D$13))/W_PEHW))</f>
        <v/>
      </c>
      <c r="J329">
        <f>IF(OR(N(Database!$S329)&lt;=0,N(Screener!$D$14)&lt;=0),0,MAX(0,1-ABS(LOG10(Database!$S329/Screener!$D$14))/0.6))</f>
        <v/>
      </c>
      <c r="K329">
        <f>IF(Database!$B329=Screener!$B$5,-999999,IF(ISNUMBER(SEARCH(","&amp;Database!$A329&amp;",",","&amp;SUBSTITUTE(Screener!$B$19," ","")&amp;",")),2000000,IF(IF(OR(Screener!$B$18="All",AND(Screener!$B$18="With A-share",(Database!$AZ329="Y")),AND(Screener!$B$18="Without A-share",NOT((Database!$AZ329="Y")))),1,0)=0,-999999,IF(Screener!$B$16="cornerstone overlap first",H329*100000,IF(Screener!$B$16="demand-similar first",J329*100000,0))+W_SUB*B329+W_SEC*C329*(1-B329)+W_SIZE*D329+W_PROF*E329+W_AH*F329+W_REC*G329+W_CS*H329+W_PE*I329)))+ROW()/1000000</f>
        <v/>
      </c>
      <c r="AA329">
        <f>Database!B318</f>
        <v/>
      </c>
      <c r="AB329">
        <f>Database!D318</f>
        <v/>
      </c>
      <c r="AC329">
        <f>Database!E318</f>
        <v/>
      </c>
      <c r="AD329">
        <f>Database!I318</f>
        <v/>
      </c>
      <c r="AE329">
        <f>Database!AU318</f>
        <v/>
      </c>
      <c r="AF329">
        <f>Database!AZ318</f>
        <v/>
      </c>
      <c r="AG329">
        <f>Database!H318</f>
        <v/>
      </c>
      <c r="AH329">
        <f>Database!AV318</f>
        <v/>
      </c>
    </row>
    <row r="330">
      <c r="A330">
        <f>Database!B330</f>
        <v/>
      </c>
      <c r="B330">
        <f>IF(AND(Screener!$D$8&lt;&gt;"",Database!$E330=Screener!$D$8),1,0)</f>
        <v/>
      </c>
      <c r="C330">
        <f>IF(AND(Screener!$D$7&lt;&gt;"",Database!$D330=Screener!$D$7),1,0)</f>
        <v/>
      </c>
      <c r="D330">
        <f>IF(OR(N(Database!$I330)&lt;=0,N(Screener!$D$9)&lt;=0),0,MAX(0,1-ABS(LOG10(N(Database!$I330)/Screener!$D$9))/W_SIZEHW))</f>
        <v/>
      </c>
      <c r="E330">
        <f>IF(OR(Database!$AU330="",Screener!$D$10=""),0,IF(Database!$AU330=Screener!$D$10,1,0))</f>
        <v/>
      </c>
      <c r="F330">
        <f>IF(OR(Database!$AZ330="",Screener!$D$11=""),0,IF(Database!$AZ330=Screener!$D$11,1,0))</f>
        <v/>
      </c>
      <c r="G330">
        <f>IF(OR(Database!$H330="",N(Screener!$D$12)&lt;=0),0,MAX(0,1-(N(Screener!$D$12)-Database!$H330)/W_RECD))</f>
        <v/>
      </c>
      <c r="H330">
        <f>IF($U$1="",0,N(ISNUMBER(SEARCH($U$1,Database!$X330&amp;""))))+IF($V$1="",0,N(ISNUMBER(SEARCH($V$1,Database!$X330&amp;""))))+IF($W$1="",0,N(ISNUMBER(SEARCH($W$1,Database!$X330&amp;""))))+IF($X$1="",0,N(ISNUMBER(SEARCH($X$1,Database!$X330&amp;""))))+IF($Y$1="",0,N(ISNUMBER(SEARCH($Y$1,Database!$X330&amp;""))))+IF(Screener!$B$17="",0,N(ISNUMBER(SEARCH(LOWER(Screener!$B$17),Database!$X330&amp;""))))</f>
        <v/>
      </c>
      <c r="I330">
        <f>IF(OR(N(Database!$AV330)&lt;=0,N(Screener!$D$13)&lt;=0),0,MAX(0,1-ABS(LOG10(N(Database!$AV330)/Screener!$D$13))/W_PEHW))</f>
        <v/>
      </c>
      <c r="J330">
        <f>IF(OR(N(Database!$S330)&lt;=0,N(Screener!$D$14)&lt;=0),0,MAX(0,1-ABS(LOG10(Database!$S330/Screener!$D$14))/0.6))</f>
        <v/>
      </c>
      <c r="K330">
        <f>IF(Database!$B330=Screener!$B$5,-999999,IF(ISNUMBER(SEARCH(","&amp;Database!$A330&amp;",",","&amp;SUBSTITUTE(Screener!$B$19," ","")&amp;",")),2000000,IF(IF(OR(Screener!$B$18="All",AND(Screener!$B$18="With A-share",(Database!$AZ330="Y")),AND(Screener!$B$18="Without A-share",NOT((Database!$AZ330="Y")))),1,0)=0,-999999,IF(Screener!$B$16="cornerstone overlap first",H330*100000,IF(Screener!$B$16="demand-similar first",J330*100000,0))+W_SUB*B330+W_SEC*C330*(1-B330)+W_SIZE*D330+W_PROF*E330+W_AH*F330+W_REC*G330+W_CS*H330+W_PE*I330)))+ROW()/1000000</f>
        <v/>
      </c>
      <c r="AA330">
        <f>Database!B319</f>
        <v/>
      </c>
      <c r="AB330">
        <f>Database!D319</f>
        <v/>
      </c>
      <c r="AC330">
        <f>Database!E319</f>
        <v/>
      </c>
      <c r="AD330">
        <f>Database!I319</f>
        <v/>
      </c>
      <c r="AE330">
        <f>Database!AU319</f>
        <v/>
      </c>
      <c r="AF330">
        <f>Database!AZ319</f>
        <v/>
      </c>
      <c r="AG330">
        <f>Database!H319</f>
        <v/>
      </c>
      <c r="AH330">
        <f>Database!AV319</f>
        <v/>
      </c>
    </row>
    <row r="331">
      <c r="A331">
        <f>Database!B331</f>
        <v/>
      </c>
      <c r="B331">
        <f>IF(AND(Screener!$D$8&lt;&gt;"",Database!$E331=Screener!$D$8),1,0)</f>
        <v/>
      </c>
      <c r="C331">
        <f>IF(AND(Screener!$D$7&lt;&gt;"",Database!$D331=Screener!$D$7),1,0)</f>
        <v/>
      </c>
      <c r="D331">
        <f>IF(OR(N(Database!$I331)&lt;=0,N(Screener!$D$9)&lt;=0),0,MAX(0,1-ABS(LOG10(N(Database!$I331)/Screener!$D$9))/W_SIZEHW))</f>
        <v/>
      </c>
      <c r="E331">
        <f>IF(OR(Database!$AU331="",Screener!$D$10=""),0,IF(Database!$AU331=Screener!$D$10,1,0))</f>
        <v/>
      </c>
      <c r="F331">
        <f>IF(OR(Database!$AZ331="",Screener!$D$11=""),0,IF(Database!$AZ331=Screener!$D$11,1,0))</f>
        <v/>
      </c>
      <c r="G331">
        <f>IF(OR(Database!$H331="",N(Screener!$D$12)&lt;=0),0,MAX(0,1-(N(Screener!$D$12)-Database!$H331)/W_RECD))</f>
        <v/>
      </c>
      <c r="H331">
        <f>IF($U$1="",0,N(ISNUMBER(SEARCH($U$1,Database!$X331&amp;""))))+IF($V$1="",0,N(ISNUMBER(SEARCH($V$1,Database!$X331&amp;""))))+IF($W$1="",0,N(ISNUMBER(SEARCH($W$1,Database!$X331&amp;""))))+IF($X$1="",0,N(ISNUMBER(SEARCH($X$1,Database!$X331&amp;""))))+IF($Y$1="",0,N(ISNUMBER(SEARCH($Y$1,Database!$X331&amp;""))))+IF(Screener!$B$17="",0,N(ISNUMBER(SEARCH(LOWER(Screener!$B$17),Database!$X331&amp;""))))</f>
        <v/>
      </c>
      <c r="I331">
        <f>IF(OR(N(Database!$AV331)&lt;=0,N(Screener!$D$13)&lt;=0),0,MAX(0,1-ABS(LOG10(N(Database!$AV331)/Screener!$D$13))/W_PEHW))</f>
        <v/>
      </c>
      <c r="J331">
        <f>IF(OR(N(Database!$S331)&lt;=0,N(Screener!$D$14)&lt;=0),0,MAX(0,1-ABS(LOG10(Database!$S331/Screener!$D$14))/0.6))</f>
        <v/>
      </c>
      <c r="K331">
        <f>IF(Database!$B331=Screener!$B$5,-999999,IF(ISNUMBER(SEARCH(","&amp;Database!$A331&amp;",",","&amp;SUBSTITUTE(Screener!$B$19," ","")&amp;",")),2000000,IF(IF(OR(Screener!$B$18="All",AND(Screener!$B$18="With A-share",(Database!$AZ331="Y")),AND(Screener!$B$18="Without A-share",NOT((Database!$AZ331="Y")))),1,0)=0,-999999,IF(Screener!$B$16="cornerstone overlap first",H331*100000,IF(Screener!$B$16="demand-similar first",J331*100000,0))+W_SUB*B331+W_SEC*C331*(1-B331)+W_SIZE*D331+W_PROF*E331+W_AH*F331+W_REC*G331+W_CS*H331+W_PE*I331)))+ROW()/1000000</f>
        <v/>
      </c>
      <c r="AA331">
        <f>Database!B320</f>
        <v/>
      </c>
      <c r="AB331">
        <f>Database!D320</f>
        <v/>
      </c>
      <c r="AC331">
        <f>Database!E320</f>
        <v/>
      </c>
      <c r="AD331">
        <f>Database!I320</f>
        <v/>
      </c>
      <c r="AE331">
        <f>Database!AU320</f>
        <v/>
      </c>
      <c r="AF331">
        <f>Database!AZ320</f>
        <v/>
      </c>
      <c r="AG331">
        <f>Database!H320</f>
        <v/>
      </c>
      <c r="AH331">
        <f>Database!AV320</f>
        <v/>
      </c>
    </row>
    <row r="332">
      <c r="A332">
        <f>Database!B332</f>
        <v/>
      </c>
      <c r="B332">
        <f>IF(AND(Screener!$D$8&lt;&gt;"",Database!$E332=Screener!$D$8),1,0)</f>
        <v/>
      </c>
      <c r="C332">
        <f>IF(AND(Screener!$D$7&lt;&gt;"",Database!$D332=Screener!$D$7),1,0)</f>
        <v/>
      </c>
      <c r="D332">
        <f>IF(OR(N(Database!$I332)&lt;=0,N(Screener!$D$9)&lt;=0),0,MAX(0,1-ABS(LOG10(N(Database!$I332)/Screener!$D$9))/W_SIZEHW))</f>
        <v/>
      </c>
      <c r="E332">
        <f>IF(OR(Database!$AU332="",Screener!$D$10=""),0,IF(Database!$AU332=Screener!$D$10,1,0))</f>
        <v/>
      </c>
      <c r="F332">
        <f>IF(OR(Database!$AZ332="",Screener!$D$11=""),0,IF(Database!$AZ332=Screener!$D$11,1,0))</f>
        <v/>
      </c>
      <c r="G332">
        <f>IF(OR(Database!$H332="",N(Screener!$D$12)&lt;=0),0,MAX(0,1-(N(Screener!$D$12)-Database!$H332)/W_RECD))</f>
        <v/>
      </c>
      <c r="H332">
        <f>IF($U$1="",0,N(ISNUMBER(SEARCH($U$1,Database!$X332&amp;""))))+IF($V$1="",0,N(ISNUMBER(SEARCH($V$1,Database!$X332&amp;""))))+IF($W$1="",0,N(ISNUMBER(SEARCH($W$1,Database!$X332&amp;""))))+IF($X$1="",0,N(ISNUMBER(SEARCH($X$1,Database!$X332&amp;""))))+IF($Y$1="",0,N(ISNUMBER(SEARCH($Y$1,Database!$X332&amp;""))))+IF(Screener!$B$17="",0,N(ISNUMBER(SEARCH(LOWER(Screener!$B$17),Database!$X332&amp;""))))</f>
        <v/>
      </c>
      <c r="I332">
        <f>IF(OR(N(Database!$AV332)&lt;=0,N(Screener!$D$13)&lt;=0),0,MAX(0,1-ABS(LOG10(N(Database!$AV332)/Screener!$D$13))/W_PEHW))</f>
        <v/>
      </c>
      <c r="J332">
        <f>IF(OR(N(Database!$S332)&lt;=0,N(Screener!$D$14)&lt;=0),0,MAX(0,1-ABS(LOG10(Database!$S332/Screener!$D$14))/0.6))</f>
        <v/>
      </c>
      <c r="K332">
        <f>IF(Database!$B332=Screener!$B$5,-999999,IF(ISNUMBER(SEARCH(","&amp;Database!$A332&amp;",",","&amp;SUBSTITUTE(Screener!$B$19," ","")&amp;",")),2000000,IF(IF(OR(Screener!$B$18="All",AND(Screener!$B$18="With A-share",(Database!$AZ332="Y")),AND(Screener!$B$18="Without A-share",NOT((Database!$AZ332="Y")))),1,0)=0,-999999,IF(Screener!$B$16="cornerstone overlap first",H332*100000,IF(Screener!$B$16="demand-similar first",J332*100000,0))+W_SUB*B332+W_SEC*C332*(1-B332)+W_SIZE*D332+W_PROF*E332+W_AH*F332+W_REC*G332+W_CS*H332+W_PE*I332)))+ROW()/1000000</f>
        <v/>
      </c>
      <c r="AA332">
        <f>Database!B321</f>
        <v/>
      </c>
      <c r="AB332">
        <f>Database!D321</f>
        <v/>
      </c>
      <c r="AC332">
        <f>Database!E321</f>
        <v/>
      </c>
      <c r="AD332">
        <f>Database!I321</f>
        <v/>
      </c>
      <c r="AE332">
        <f>Database!AU321</f>
        <v/>
      </c>
      <c r="AF332">
        <f>Database!AZ321</f>
        <v/>
      </c>
      <c r="AG332">
        <f>Database!H321</f>
        <v/>
      </c>
      <c r="AH332">
        <f>Database!AV321</f>
        <v/>
      </c>
    </row>
    <row r="333">
      <c r="A333">
        <f>Database!B333</f>
        <v/>
      </c>
      <c r="B333">
        <f>IF(AND(Screener!$D$8&lt;&gt;"",Database!$E333=Screener!$D$8),1,0)</f>
        <v/>
      </c>
      <c r="C333">
        <f>IF(AND(Screener!$D$7&lt;&gt;"",Database!$D333=Screener!$D$7),1,0)</f>
        <v/>
      </c>
      <c r="D333">
        <f>IF(OR(N(Database!$I333)&lt;=0,N(Screener!$D$9)&lt;=0),0,MAX(0,1-ABS(LOG10(N(Database!$I333)/Screener!$D$9))/W_SIZEHW))</f>
        <v/>
      </c>
      <c r="E333">
        <f>IF(OR(Database!$AU333="",Screener!$D$10=""),0,IF(Database!$AU333=Screener!$D$10,1,0))</f>
        <v/>
      </c>
      <c r="F333">
        <f>IF(OR(Database!$AZ333="",Screener!$D$11=""),0,IF(Database!$AZ333=Screener!$D$11,1,0))</f>
        <v/>
      </c>
      <c r="G333">
        <f>IF(OR(Database!$H333="",N(Screener!$D$12)&lt;=0),0,MAX(0,1-(N(Screener!$D$12)-Database!$H333)/W_RECD))</f>
        <v/>
      </c>
      <c r="H333">
        <f>IF($U$1="",0,N(ISNUMBER(SEARCH($U$1,Database!$X333&amp;""))))+IF($V$1="",0,N(ISNUMBER(SEARCH($V$1,Database!$X333&amp;""))))+IF($W$1="",0,N(ISNUMBER(SEARCH($W$1,Database!$X333&amp;""))))+IF($X$1="",0,N(ISNUMBER(SEARCH($X$1,Database!$X333&amp;""))))+IF($Y$1="",0,N(ISNUMBER(SEARCH($Y$1,Database!$X333&amp;""))))+IF(Screener!$B$17="",0,N(ISNUMBER(SEARCH(LOWER(Screener!$B$17),Database!$X333&amp;""))))</f>
        <v/>
      </c>
      <c r="I333">
        <f>IF(OR(N(Database!$AV333)&lt;=0,N(Screener!$D$13)&lt;=0),0,MAX(0,1-ABS(LOG10(N(Database!$AV333)/Screener!$D$13))/W_PEHW))</f>
        <v/>
      </c>
      <c r="J333">
        <f>IF(OR(N(Database!$S333)&lt;=0,N(Screener!$D$14)&lt;=0),0,MAX(0,1-ABS(LOG10(Database!$S333/Screener!$D$14))/0.6))</f>
        <v/>
      </c>
      <c r="K333">
        <f>IF(Database!$B333=Screener!$B$5,-999999,IF(ISNUMBER(SEARCH(","&amp;Database!$A333&amp;",",","&amp;SUBSTITUTE(Screener!$B$19," ","")&amp;",")),2000000,IF(IF(OR(Screener!$B$18="All",AND(Screener!$B$18="With A-share",(Database!$AZ333="Y")),AND(Screener!$B$18="Without A-share",NOT((Database!$AZ333="Y")))),1,0)=0,-999999,IF(Screener!$B$16="cornerstone overlap first",H333*100000,IF(Screener!$B$16="demand-similar first",J333*100000,0))+W_SUB*B333+W_SEC*C333*(1-B333)+W_SIZE*D333+W_PROF*E333+W_AH*F333+W_REC*G333+W_CS*H333+W_PE*I333)))+ROW()/1000000</f>
        <v/>
      </c>
      <c r="AA333">
        <f>Database!B322</f>
        <v/>
      </c>
      <c r="AB333">
        <f>Database!D322</f>
        <v/>
      </c>
      <c r="AC333">
        <f>Database!E322</f>
        <v/>
      </c>
      <c r="AD333">
        <f>Database!I322</f>
        <v/>
      </c>
      <c r="AE333">
        <f>Database!AU322</f>
        <v/>
      </c>
      <c r="AF333">
        <f>Database!AZ322</f>
        <v/>
      </c>
      <c r="AG333">
        <f>Database!H322</f>
        <v/>
      </c>
      <c r="AH333">
        <f>Database!AV322</f>
        <v/>
      </c>
    </row>
    <row r="334">
      <c r="A334">
        <f>Database!B334</f>
        <v/>
      </c>
      <c r="B334">
        <f>IF(AND(Screener!$D$8&lt;&gt;"",Database!$E334=Screener!$D$8),1,0)</f>
        <v/>
      </c>
      <c r="C334">
        <f>IF(AND(Screener!$D$7&lt;&gt;"",Database!$D334=Screener!$D$7),1,0)</f>
        <v/>
      </c>
      <c r="D334">
        <f>IF(OR(N(Database!$I334)&lt;=0,N(Screener!$D$9)&lt;=0),0,MAX(0,1-ABS(LOG10(N(Database!$I334)/Screener!$D$9))/W_SIZEHW))</f>
        <v/>
      </c>
      <c r="E334">
        <f>IF(OR(Database!$AU334="",Screener!$D$10=""),0,IF(Database!$AU334=Screener!$D$10,1,0))</f>
        <v/>
      </c>
      <c r="F334">
        <f>IF(OR(Database!$AZ334="",Screener!$D$11=""),0,IF(Database!$AZ334=Screener!$D$11,1,0))</f>
        <v/>
      </c>
      <c r="G334">
        <f>IF(OR(Database!$H334="",N(Screener!$D$12)&lt;=0),0,MAX(0,1-(N(Screener!$D$12)-Database!$H334)/W_RECD))</f>
        <v/>
      </c>
      <c r="H334">
        <f>IF($U$1="",0,N(ISNUMBER(SEARCH($U$1,Database!$X334&amp;""))))+IF($V$1="",0,N(ISNUMBER(SEARCH($V$1,Database!$X334&amp;""))))+IF($W$1="",0,N(ISNUMBER(SEARCH($W$1,Database!$X334&amp;""))))+IF($X$1="",0,N(ISNUMBER(SEARCH($X$1,Database!$X334&amp;""))))+IF($Y$1="",0,N(ISNUMBER(SEARCH($Y$1,Database!$X334&amp;""))))+IF(Screener!$B$17="",0,N(ISNUMBER(SEARCH(LOWER(Screener!$B$17),Database!$X334&amp;""))))</f>
        <v/>
      </c>
      <c r="I334">
        <f>IF(OR(N(Database!$AV334)&lt;=0,N(Screener!$D$13)&lt;=0),0,MAX(0,1-ABS(LOG10(N(Database!$AV334)/Screener!$D$13))/W_PEHW))</f>
        <v/>
      </c>
      <c r="J334">
        <f>IF(OR(N(Database!$S334)&lt;=0,N(Screener!$D$14)&lt;=0),0,MAX(0,1-ABS(LOG10(Database!$S334/Screener!$D$14))/0.6))</f>
        <v/>
      </c>
      <c r="K334">
        <f>IF(Database!$B334=Screener!$B$5,-999999,IF(ISNUMBER(SEARCH(","&amp;Database!$A334&amp;",",","&amp;SUBSTITUTE(Screener!$B$19," ","")&amp;",")),2000000,IF(IF(OR(Screener!$B$18="All",AND(Screener!$B$18="With A-share",(Database!$AZ334="Y")),AND(Screener!$B$18="Without A-share",NOT((Database!$AZ334="Y")))),1,0)=0,-999999,IF(Screener!$B$16="cornerstone overlap first",H334*100000,IF(Screener!$B$16="demand-similar first",J334*100000,0))+W_SUB*B334+W_SEC*C334*(1-B334)+W_SIZE*D334+W_PROF*E334+W_AH*F334+W_REC*G334+W_CS*H334+W_PE*I334)))+ROW()/1000000</f>
        <v/>
      </c>
      <c r="AA334">
        <f>Database!B323</f>
        <v/>
      </c>
      <c r="AB334">
        <f>Database!D323</f>
        <v/>
      </c>
      <c r="AC334">
        <f>Database!E323</f>
        <v/>
      </c>
      <c r="AD334">
        <f>Database!I323</f>
        <v/>
      </c>
      <c r="AE334">
        <f>Database!AU323</f>
        <v/>
      </c>
      <c r="AF334">
        <f>Database!AZ323</f>
        <v/>
      </c>
      <c r="AG334">
        <f>Database!H323</f>
        <v/>
      </c>
      <c r="AH334">
        <f>Database!AV323</f>
        <v/>
      </c>
    </row>
    <row r="335">
      <c r="A335">
        <f>Database!B335</f>
        <v/>
      </c>
      <c r="B335">
        <f>IF(AND(Screener!$D$8&lt;&gt;"",Database!$E335=Screener!$D$8),1,0)</f>
        <v/>
      </c>
      <c r="C335">
        <f>IF(AND(Screener!$D$7&lt;&gt;"",Database!$D335=Screener!$D$7),1,0)</f>
        <v/>
      </c>
      <c r="D335">
        <f>IF(OR(N(Database!$I335)&lt;=0,N(Screener!$D$9)&lt;=0),0,MAX(0,1-ABS(LOG10(N(Database!$I335)/Screener!$D$9))/W_SIZEHW))</f>
        <v/>
      </c>
      <c r="E335">
        <f>IF(OR(Database!$AU335="",Screener!$D$10=""),0,IF(Database!$AU335=Screener!$D$10,1,0))</f>
        <v/>
      </c>
      <c r="F335">
        <f>IF(OR(Database!$AZ335="",Screener!$D$11=""),0,IF(Database!$AZ335=Screener!$D$11,1,0))</f>
        <v/>
      </c>
      <c r="G335">
        <f>IF(OR(Database!$H335="",N(Screener!$D$12)&lt;=0),0,MAX(0,1-(N(Screener!$D$12)-Database!$H335)/W_RECD))</f>
        <v/>
      </c>
      <c r="H335">
        <f>IF($U$1="",0,N(ISNUMBER(SEARCH($U$1,Database!$X335&amp;""))))+IF($V$1="",0,N(ISNUMBER(SEARCH($V$1,Database!$X335&amp;""))))+IF($W$1="",0,N(ISNUMBER(SEARCH($W$1,Database!$X335&amp;""))))+IF($X$1="",0,N(ISNUMBER(SEARCH($X$1,Database!$X335&amp;""))))+IF($Y$1="",0,N(ISNUMBER(SEARCH($Y$1,Database!$X335&amp;""))))+IF(Screener!$B$17="",0,N(ISNUMBER(SEARCH(LOWER(Screener!$B$17),Database!$X335&amp;""))))</f>
        <v/>
      </c>
      <c r="I335">
        <f>IF(OR(N(Database!$AV335)&lt;=0,N(Screener!$D$13)&lt;=0),0,MAX(0,1-ABS(LOG10(N(Database!$AV335)/Screener!$D$13))/W_PEHW))</f>
        <v/>
      </c>
      <c r="J335">
        <f>IF(OR(N(Database!$S335)&lt;=0,N(Screener!$D$14)&lt;=0),0,MAX(0,1-ABS(LOG10(Database!$S335/Screener!$D$14))/0.6))</f>
        <v/>
      </c>
      <c r="K335">
        <f>IF(Database!$B335=Screener!$B$5,-999999,IF(ISNUMBER(SEARCH(","&amp;Database!$A335&amp;",",","&amp;SUBSTITUTE(Screener!$B$19," ","")&amp;",")),2000000,IF(IF(OR(Screener!$B$18="All",AND(Screener!$B$18="With A-share",(Database!$AZ335="Y")),AND(Screener!$B$18="Without A-share",NOT((Database!$AZ335="Y")))),1,0)=0,-999999,IF(Screener!$B$16="cornerstone overlap first",H335*100000,IF(Screener!$B$16="demand-similar first",J335*100000,0))+W_SUB*B335+W_SEC*C335*(1-B335)+W_SIZE*D335+W_PROF*E335+W_AH*F335+W_REC*G335+W_CS*H335+W_PE*I335)))+ROW()/1000000</f>
        <v/>
      </c>
      <c r="AA335">
        <f>Database!B324</f>
        <v/>
      </c>
      <c r="AB335">
        <f>Database!D324</f>
        <v/>
      </c>
      <c r="AC335">
        <f>Database!E324</f>
        <v/>
      </c>
      <c r="AD335">
        <f>Database!I324</f>
        <v/>
      </c>
      <c r="AE335">
        <f>Database!AU324</f>
        <v/>
      </c>
      <c r="AF335">
        <f>Database!AZ324</f>
        <v/>
      </c>
      <c r="AG335">
        <f>Database!H324</f>
        <v/>
      </c>
      <c r="AH335">
        <f>Database!AV324</f>
        <v/>
      </c>
    </row>
    <row r="336">
      <c r="A336">
        <f>Database!B336</f>
        <v/>
      </c>
      <c r="B336">
        <f>IF(AND(Screener!$D$8&lt;&gt;"",Database!$E336=Screener!$D$8),1,0)</f>
        <v/>
      </c>
      <c r="C336">
        <f>IF(AND(Screener!$D$7&lt;&gt;"",Database!$D336=Screener!$D$7),1,0)</f>
        <v/>
      </c>
      <c r="D336">
        <f>IF(OR(N(Database!$I336)&lt;=0,N(Screener!$D$9)&lt;=0),0,MAX(0,1-ABS(LOG10(N(Database!$I336)/Screener!$D$9))/W_SIZEHW))</f>
        <v/>
      </c>
      <c r="E336">
        <f>IF(OR(Database!$AU336="",Screener!$D$10=""),0,IF(Database!$AU336=Screener!$D$10,1,0))</f>
        <v/>
      </c>
      <c r="F336">
        <f>IF(OR(Database!$AZ336="",Screener!$D$11=""),0,IF(Database!$AZ336=Screener!$D$11,1,0))</f>
        <v/>
      </c>
      <c r="G336">
        <f>IF(OR(Database!$H336="",N(Screener!$D$12)&lt;=0),0,MAX(0,1-(N(Screener!$D$12)-Database!$H336)/W_RECD))</f>
        <v/>
      </c>
      <c r="H336">
        <f>IF($U$1="",0,N(ISNUMBER(SEARCH($U$1,Database!$X336&amp;""))))+IF($V$1="",0,N(ISNUMBER(SEARCH($V$1,Database!$X336&amp;""))))+IF($W$1="",0,N(ISNUMBER(SEARCH($W$1,Database!$X336&amp;""))))+IF($X$1="",0,N(ISNUMBER(SEARCH($X$1,Database!$X336&amp;""))))+IF($Y$1="",0,N(ISNUMBER(SEARCH($Y$1,Database!$X336&amp;""))))+IF(Screener!$B$17="",0,N(ISNUMBER(SEARCH(LOWER(Screener!$B$17),Database!$X336&amp;""))))</f>
        <v/>
      </c>
      <c r="I336">
        <f>IF(OR(N(Database!$AV336)&lt;=0,N(Screener!$D$13)&lt;=0),0,MAX(0,1-ABS(LOG10(N(Database!$AV336)/Screener!$D$13))/W_PEHW))</f>
        <v/>
      </c>
      <c r="J336">
        <f>IF(OR(N(Database!$S336)&lt;=0,N(Screener!$D$14)&lt;=0),0,MAX(0,1-ABS(LOG10(Database!$S336/Screener!$D$14))/0.6))</f>
        <v/>
      </c>
      <c r="K336">
        <f>IF(Database!$B336=Screener!$B$5,-999999,IF(ISNUMBER(SEARCH(","&amp;Database!$A336&amp;",",","&amp;SUBSTITUTE(Screener!$B$19," ","")&amp;",")),2000000,IF(IF(OR(Screener!$B$18="All",AND(Screener!$B$18="With A-share",(Database!$AZ336="Y")),AND(Screener!$B$18="Without A-share",NOT((Database!$AZ336="Y")))),1,0)=0,-999999,IF(Screener!$B$16="cornerstone overlap first",H336*100000,IF(Screener!$B$16="demand-similar first",J336*100000,0))+W_SUB*B336+W_SEC*C336*(1-B336)+W_SIZE*D336+W_PROF*E336+W_AH*F336+W_REC*G336+W_CS*H336+W_PE*I336)))+ROW()/1000000</f>
        <v/>
      </c>
      <c r="AA336">
        <f>Database!B325</f>
        <v/>
      </c>
      <c r="AB336">
        <f>Database!D325</f>
        <v/>
      </c>
      <c r="AC336">
        <f>Database!E325</f>
        <v/>
      </c>
      <c r="AD336">
        <f>Database!I325</f>
        <v/>
      </c>
      <c r="AE336">
        <f>Database!AU325</f>
        <v/>
      </c>
      <c r="AF336">
        <f>Database!AZ325</f>
        <v/>
      </c>
      <c r="AG336">
        <f>Database!H325</f>
        <v/>
      </c>
      <c r="AH336">
        <f>Database!AV325</f>
        <v/>
      </c>
    </row>
    <row r="337">
      <c r="A337">
        <f>Database!B337</f>
        <v/>
      </c>
      <c r="B337">
        <f>IF(AND(Screener!$D$8&lt;&gt;"",Database!$E337=Screener!$D$8),1,0)</f>
        <v/>
      </c>
      <c r="C337">
        <f>IF(AND(Screener!$D$7&lt;&gt;"",Database!$D337=Screener!$D$7),1,0)</f>
        <v/>
      </c>
      <c r="D337">
        <f>IF(OR(N(Database!$I337)&lt;=0,N(Screener!$D$9)&lt;=0),0,MAX(0,1-ABS(LOG10(N(Database!$I337)/Screener!$D$9))/W_SIZEHW))</f>
        <v/>
      </c>
      <c r="E337">
        <f>IF(OR(Database!$AU337="",Screener!$D$10=""),0,IF(Database!$AU337=Screener!$D$10,1,0))</f>
        <v/>
      </c>
      <c r="F337">
        <f>IF(OR(Database!$AZ337="",Screener!$D$11=""),0,IF(Database!$AZ337=Screener!$D$11,1,0))</f>
        <v/>
      </c>
      <c r="G337">
        <f>IF(OR(Database!$H337="",N(Screener!$D$12)&lt;=0),0,MAX(0,1-(N(Screener!$D$12)-Database!$H337)/W_RECD))</f>
        <v/>
      </c>
      <c r="H337">
        <f>IF($U$1="",0,N(ISNUMBER(SEARCH($U$1,Database!$X337&amp;""))))+IF($V$1="",0,N(ISNUMBER(SEARCH($V$1,Database!$X337&amp;""))))+IF($W$1="",0,N(ISNUMBER(SEARCH($W$1,Database!$X337&amp;""))))+IF($X$1="",0,N(ISNUMBER(SEARCH($X$1,Database!$X337&amp;""))))+IF($Y$1="",0,N(ISNUMBER(SEARCH($Y$1,Database!$X337&amp;""))))+IF(Screener!$B$17="",0,N(ISNUMBER(SEARCH(LOWER(Screener!$B$17),Database!$X337&amp;""))))</f>
        <v/>
      </c>
      <c r="I337">
        <f>IF(OR(N(Database!$AV337)&lt;=0,N(Screener!$D$13)&lt;=0),0,MAX(0,1-ABS(LOG10(N(Database!$AV337)/Screener!$D$13))/W_PEHW))</f>
        <v/>
      </c>
      <c r="J337">
        <f>IF(OR(N(Database!$S337)&lt;=0,N(Screener!$D$14)&lt;=0),0,MAX(0,1-ABS(LOG10(Database!$S337/Screener!$D$14))/0.6))</f>
        <v/>
      </c>
      <c r="K337">
        <f>IF(Database!$B337=Screener!$B$5,-999999,IF(ISNUMBER(SEARCH(","&amp;Database!$A337&amp;",",","&amp;SUBSTITUTE(Screener!$B$19," ","")&amp;",")),2000000,IF(IF(OR(Screener!$B$18="All",AND(Screener!$B$18="With A-share",(Database!$AZ337="Y")),AND(Screener!$B$18="Without A-share",NOT((Database!$AZ337="Y")))),1,0)=0,-999999,IF(Screener!$B$16="cornerstone overlap first",H337*100000,IF(Screener!$B$16="demand-similar first",J337*100000,0))+W_SUB*B337+W_SEC*C337*(1-B337)+W_SIZE*D337+W_PROF*E337+W_AH*F337+W_REC*G337+W_CS*H337+W_PE*I337)))+ROW()/1000000</f>
        <v/>
      </c>
      <c r="AA337">
        <f>Database!B326</f>
        <v/>
      </c>
      <c r="AB337">
        <f>Database!D326</f>
        <v/>
      </c>
      <c r="AC337">
        <f>Database!E326</f>
        <v/>
      </c>
      <c r="AD337">
        <f>Database!I326</f>
        <v/>
      </c>
      <c r="AE337">
        <f>Database!AU326</f>
        <v/>
      </c>
      <c r="AF337">
        <f>Database!AZ326</f>
        <v/>
      </c>
      <c r="AG337">
        <f>Database!H326</f>
        <v/>
      </c>
      <c r="AH337">
        <f>Database!AV326</f>
        <v/>
      </c>
    </row>
    <row r="338">
      <c r="A338">
        <f>Database!B338</f>
        <v/>
      </c>
      <c r="B338">
        <f>IF(AND(Screener!$D$8&lt;&gt;"",Database!$E338=Screener!$D$8),1,0)</f>
        <v/>
      </c>
      <c r="C338">
        <f>IF(AND(Screener!$D$7&lt;&gt;"",Database!$D338=Screener!$D$7),1,0)</f>
        <v/>
      </c>
      <c r="D338">
        <f>IF(OR(N(Database!$I338)&lt;=0,N(Screener!$D$9)&lt;=0),0,MAX(0,1-ABS(LOG10(N(Database!$I338)/Screener!$D$9))/W_SIZEHW))</f>
        <v/>
      </c>
      <c r="E338">
        <f>IF(OR(Database!$AU338="",Screener!$D$10=""),0,IF(Database!$AU338=Screener!$D$10,1,0))</f>
        <v/>
      </c>
      <c r="F338">
        <f>IF(OR(Database!$AZ338="",Screener!$D$11=""),0,IF(Database!$AZ338=Screener!$D$11,1,0))</f>
        <v/>
      </c>
      <c r="G338">
        <f>IF(OR(Database!$H338="",N(Screener!$D$12)&lt;=0),0,MAX(0,1-(N(Screener!$D$12)-Database!$H338)/W_RECD))</f>
        <v/>
      </c>
      <c r="H338">
        <f>IF($U$1="",0,N(ISNUMBER(SEARCH($U$1,Database!$X338&amp;""))))+IF($V$1="",0,N(ISNUMBER(SEARCH($V$1,Database!$X338&amp;""))))+IF($W$1="",0,N(ISNUMBER(SEARCH($W$1,Database!$X338&amp;""))))+IF($X$1="",0,N(ISNUMBER(SEARCH($X$1,Database!$X338&amp;""))))+IF($Y$1="",0,N(ISNUMBER(SEARCH($Y$1,Database!$X338&amp;""))))+IF(Screener!$B$17="",0,N(ISNUMBER(SEARCH(LOWER(Screener!$B$17),Database!$X338&amp;""))))</f>
        <v/>
      </c>
      <c r="I338">
        <f>IF(OR(N(Database!$AV338)&lt;=0,N(Screener!$D$13)&lt;=0),0,MAX(0,1-ABS(LOG10(N(Database!$AV338)/Screener!$D$13))/W_PEHW))</f>
        <v/>
      </c>
      <c r="J338">
        <f>IF(OR(N(Database!$S338)&lt;=0,N(Screener!$D$14)&lt;=0),0,MAX(0,1-ABS(LOG10(Database!$S338/Screener!$D$14))/0.6))</f>
        <v/>
      </c>
      <c r="K338">
        <f>IF(Database!$B338=Screener!$B$5,-999999,IF(ISNUMBER(SEARCH(","&amp;Database!$A338&amp;",",","&amp;SUBSTITUTE(Screener!$B$19," ","")&amp;",")),2000000,IF(IF(OR(Screener!$B$18="All",AND(Screener!$B$18="With A-share",(Database!$AZ338="Y")),AND(Screener!$B$18="Without A-share",NOT((Database!$AZ338="Y")))),1,0)=0,-999999,IF(Screener!$B$16="cornerstone overlap first",H338*100000,IF(Screener!$B$16="demand-similar first",J338*100000,0))+W_SUB*B338+W_SEC*C338*(1-B338)+W_SIZE*D338+W_PROF*E338+W_AH*F338+W_REC*G338+W_CS*H338+W_PE*I338)))+ROW()/1000000</f>
        <v/>
      </c>
      <c r="AA338">
        <f>Database!B327</f>
        <v/>
      </c>
      <c r="AB338">
        <f>Database!D327</f>
        <v/>
      </c>
      <c r="AC338">
        <f>Database!E327</f>
        <v/>
      </c>
      <c r="AD338">
        <f>Database!I327</f>
        <v/>
      </c>
      <c r="AE338">
        <f>Database!AU327</f>
        <v/>
      </c>
      <c r="AF338">
        <f>Database!AZ327</f>
        <v/>
      </c>
      <c r="AG338">
        <f>Database!H327</f>
        <v/>
      </c>
      <c r="AH338">
        <f>Database!AV327</f>
        <v/>
      </c>
    </row>
    <row r="339">
      <c r="A339">
        <f>Database!B339</f>
        <v/>
      </c>
      <c r="B339">
        <f>IF(AND(Screener!$D$8&lt;&gt;"",Database!$E339=Screener!$D$8),1,0)</f>
        <v/>
      </c>
      <c r="C339">
        <f>IF(AND(Screener!$D$7&lt;&gt;"",Database!$D339=Screener!$D$7),1,0)</f>
        <v/>
      </c>
      <c r="D339">
        <f>IF(OR(N(Database!$I339)&lt;=0,N(Screener!$D$9)&lt;=0),0,MAX(0,1-ABS(LOG10(N(Database!$I339)/Screener!$D$9))/W_SIZEHW))</f>
        <v/>
      </c>
      <c r="E339">
        <f>IF(OR(Database!$AU339="",Screener!$D$10=""),0,IF(Database!$AU339=Screener!$D$10,1,0))</f>
        <v/>
      </c>
      <c r="F339">
        <f>IF(OR(Database!$AZ339="",Screener!$D$11=""),0,IF(Database!$AZ339=Screener!$D$11,1,0))</f>
        <v/>
      </c>
      <c r="G339">
        <f>IF(OR(Database!$H339="",N(Screener!$D$12)&lt;=0),0,MAX(0,1-(N(Screener!$D$12)-Database!$H339)/W_RECD))</f>
        <v/>
      </c>
      <c r="H339">
        <f>IF($U$1="",0,N(ISNUMBER(SEARCH($U$1,Database!$X339&amp;""))))+IF($V$1="",0,N(ISNUMBER(SEARCH($V$1,Database!$X339&amp;""))))+IF($W$1="",0,N(ISNUMBER(SEARCH($W$1,Database!$X339&amp;""))))+IF($X$1="",0,N(ISNUMBER(SEARCH($X$1,Database!$X339&amp;""))))+IF($Y$1="",0,N(ISNUMBER(SEARCH($Y$1,Database!$X339&amp;""))))+IF(Screener!$B$17="",0,N(ISNUMBER(SEARCH(LOWER(Screener!$B$17),Database!$X339&amp;""))))</f>
        <v/>
      </c>
      <c r="I339">
        <f>IF(OR(N(Database!$AV339)&lt;=0,N(Screener!$D$13)&lt;=0),0,MAX(0,1-ABS(LOG10(N(Database!$AV339)/Screener!$D$13))/W_PEHW))</f>
        <v/>
      </c>
      <c r="J339">
        <f>IF(OR(N(Database!$S339)&lt;=0,N(Screener!$D$14)&lt;=0),0,MAX(0,1-ABS(LOG10(Database!$S339/Screener!$D$14))/0.6))</f>
        <v/>
      </c>
      <c r="K339">
        <f>IF(Database!$B339=Screener!$B$5,-999999,IF(ISNUMBER(SEARCH(","&amp;Database!$A339&amp;",",","&amp;SUBSTITUTE(Screener!$B$19," ","")&amp;",")),2000000,IF(IF(OR(Screener!$B$18="All",AND(Screener!$B$18="With A-share",(Database!$AZ339="Y")),AND(Screener!$B$18="Without A-share",NOT((Database!$AZ339="Y")))),1,0)=0,-999999,IF(Screener!$B$16="cornerstone overlap first",H339*100000,IF(Screener!$B$16="demand-similar first",J339*100000,0))+W_SUB*B339+W_SEC*C339*(1-B339)+W_SIZE*D339+W_PROF*E339+W_AH*F339+W_REC*G339+W_CS*H339+W_PE*I339)))+ROW()/1000000</f>
        <v/>
      </c>
      <c r="AA339">
        <f>Database!B328</f>
        <v/>
      </c>
      <c r="AB339">
        <f>Database!D328</f>
        <v/>
      </c>
      <c r="AC339">
        <f>Database!E328</f>
        <v/>
      </c>
      <c r="AD339">
        <f>Database!I328</f>
        <v/>
      </c>
      <c r="AE339">
        <f>Database!AU328</f>
        <v/>
      </c>
      <c r="AF339">
        <f>Database!AZ328</f>
        <v/>
      </c>
      <c r="AG339">
        <f>Database!H328</f>
        <v/>
      </c>
      <c r="AH339">
        <f>Database!AV328</f>
        <v/>
      </c>
    </row>
    <row r="340">
      <c r="A340">
        <f>Database!B340</f>
        <v/>
      </c>
      <c r="B340">
        <f>IF(AND(Screener!$D$8&lt;&gt;"",Database!$E340=Screener!$D$8),1,0)</f>
        <v/>
      </c>
      <c r="C340">
        <f>IF(AND(Screener!$D$7&lt;&gt;"",Database!$D340=Screener!$D$7),1,0)</f>
        <v/>
      </c>
      <c r="D340">
        <f>IF(OR(N(Database!$I340)&lt;=0,N(Screener!$D$9)&lt;=0),0,MAX(0,1-ABS(LOG10(N(Database!$I340)/Screener!$D$9))/W_SIZEHW))</f>
        <v/>
      </c>
      <c r="E340">
        <f>IF(OR(Database!$AU340="",Screener!$D$10=""),0,IF(Database!$AU340=Screener!$D$10,1,0))</f>
        <v/>
      </c>
      <c r="F340">
        <f>IF(OR(Database!$AZ340="",Screener!$D$11=""),0,IF(Database!$AZ340=Screener!$D$11,1,0))</f>
        <v/>
      </c>
      <c r="G340">
        <f>IF(OR(Database!$H340="",N(Screener!$D$12)&lt;=0),0,MAX(0,1-(N(Screener!$D$12)-Database!$H340)/W_RECD))</f>
        <v/>
      </c>
      <c r="H340">
        <f>IF($U$1="",0,N(ISNUMBER(SEARCH($U$1,Database!$X340&amp;""))))+IF($V$1="",0,N(ISNUMBER(SEARCH($V$1,Database!$X340&amp;""))))+IF($W$1="",0,N(ISNUMBER(SEARCH($W$1,Database!$X340&amp;""))))+IF($X$1="",0,N(ISNUMBER(SEARCH($X$1,Database!$X340&amp;""))))+IF($Y$1="",0,N(ISNUMBER(SEARCH($Y$1,Database!$X340&amp;""))))+IF(Screener!$B$17="",0,N(ISNUMBER(SEARCH(LOWER(Screener!$B$17),Database!$X340&amp;""))))</f>
        <v/>
      </c>
      <c r="I340">
        <f>IF(OR(N(Database!$AV340)&lt;=0,N(Screener!$D$13)&lt;=0),0,MAX(0,1-ABS(LOG10(N(Database!$AV340)/Screener!$D$13))/W_PEHW))</f>
        <v/>
      </c>
      <c r="J340">
        <f>IF(OR(N(Database!$S340)&lt;=0,N(Screener!$D$14)&lt;=0),0,MAX(0,1-ABS(LOG10(Database!$S340/Screener!$D$14))/0.6))</f>
        <v/>
      </c>
      <c r="K340">
        <f>IF(Database!$B340=Screener!$B$5,-999999,IF(ISNUMBER(SEARCH(","&amp;Database!$A340&amp;",",","&amp;SUBSTITUTE(Screener!$B$19," ","")&amp;",")),2000000,IF(IF(OR(Screener!$B$18="All",AND(Screener!$B$18="With A-share",(Database!$AZ340="Y")),AND(Screener!$B$18="Without A-share",NOT((Database!$AZ340="Y")))),1,0)=0,-999999,IF(Screener!$B$16="cornerstone overlap first",H340*100000,IF(Screener!$B$16="demand-similar first",J340*100000,0))+W_SUB*B340+W_SEC*C340*(1-B340)+W_SIZE*D340+W_PROF*E340+W_AH*F340+W_REC*G340+W_CS*H340+W_PE*I340)))+ROW()/1000000</f>
        <v/>
      </c>
      <c r="AA340">
        <f>Database!B329</f>
        <v/>
      </c>
      <c r="AB340">
        <f>Database!D329</f>
        <v/>
      </c>
      <c r="AC340">
        <f>Database!E329</f>
        <v/>
      </c>
      <c r="AD340">
        <f>Database!I329</f>
        <v/>
      </c>
      <c r="AE340">
        <f>Database!AU329</f>
        <v/>
      </c>
      <c r="AF340">
        <f>Database!AZ329</f>
        <v/>
      </c>
      <c r="AG340">
        <f>Database!H329</f>
        <v/>
      </c>
      <c r="AH340">
        <f>Database!AV329</f>
        <v/>
      </c>
    </row>
    <row r="341">
      <c r="A341">
        <f>Database!B341</f>
        <v/>
      </c>
      <c r="B341">
        <f>IF(AND(Screener!$D$8&lt;&gt;"",Database!$E341=Screener!$D$8),1,0)</f>
        <v/>
      </c>
      <c r="C341">
        <f>IF(AND(Screener!$D$7&lt;&gt;"",Database!$D341=Screener!$D$7),1,0)</f>
        <v/>
      </c>
      <c r="D341">
        <f>IF(OR(N(Database!$I341)&lt;=0,N(Screener!$D$9)&lt;=0),0,MAX(0,1-ABS(LOG10(N(Database!$I341)/Screener!$D$9))/W_SIZEHW))</f>
        <v/>
      </c>
      <c r="E341">
        <f>IF(OR(Database!$AU341="",Screener!$D$10=""),0,IF(Database!$AU341=Screener!$D$10,1,0))</f>
        <v/>
      </c>
      <c r="F341">
        <f>IF(OR(Database!$AZ341="",Screener!$D$11=""),0,IF(Database!$AZ341=Screener!$D$11,1,0))</f>
        <v/>
      </c>
      <c r="G341">
        <f>IF(OR(Database!$H341="",N(Screener!$D$12)&lt;=0),0,MAX(0,1-(N(Screener!$D$12)-Database!$H341)/W_RECD))</f>
        <v/>
      </c>
      <c r="H341">
        <f>IF($U$1="",0,N(ISNUMBER(SEARCH($U$1,Database!$X341&amp;""))))+IF($V$1="",0,N(ISNUMBER(SEARCH($V$1,Database!$X341&amp;""))))+IF($W$1="",0,N(ISNUMBER(SEARCH($W$1,Database!$X341&amp;""))))+IF($X$1="",0,N(ISNUMBER(SEARCH($X$1,Database!$X341&amp;""))))+IF($Y$1="",0,N(ISNUMBER(SEARCH($Y$1,Database!$X341&amp;""))))+IF(Screener!$B$17="",0,N(ISNUMBER(SEARCH(LOWER(Screener!$B$17),Database!$X341&amp;""))))</f>
        <v/>
      </c>
      <c r="I341">
        <f>IF(OR(N(Database!$AV341)&lt;=0,N(Screener!$D$13)&lt;=0),0,MAX(0,1-ABS(LOG10(N(Database!$AV341)/Screener!$D$13))/W_PEHW))</f>
        <v/>
      </c>
      <c r="J341">
        <f>IF(OR(N(Database!$S341)&lt;=0,N(Screener!$D$14)&lt;=0),0,MAX(0,1-ABS(LOG10(Database!$S341/Screener!$D$14))/0.6))</f>
        <v/>
      </c>
      <c r="K341">
        <f>IF(Database!$B341=Screener!$B$5,-999999,IF(ISNUMBER(SEARCH(","&amp;Database!$A341&amp;",",","&amp;SUBSTITUTE(Screener!$B$19," ","")&amp;",")),2000000,IF(IF(OR(Screener!$B$18="All",AND(Screener!$B$18="With A-share",(Database!$AZ341="Y")),AND(Screener!$B$18="Without A-share",NOT((Database!$AZ341="Y")))),1,0)=0,-999999,IF(Screener!$B$16="cornerstone overlap first",H341*100000,IF(Screener!$B$16="demand-similar first",J341*100000,0))+W_SUB*B341+W_SEC*C341*(1-B341)+W_SIZE*D341+W_PROF*E341+W_AH*F341+W_REC*G341+W_CS*H341+W_PE*I341)))+ROW()/1000000</f>
        <v/>
      </c>
      <c r="AA341">
        <f>Database!B330</f>
        <v/>
      </c>
      <c r="AB341">
        <f>Database!D330</f>
        <v/>
      </c>
      <c r="AC341">
        <f>Database!E330</f>
        <v/>
      </c>
      <c r="AD341">
        <f>Database!I330</f>
        <v/>
      </c>
      <c r="AE341">
        <f>Database!AU330</f>
        <v/>
      </c>
      <c r="AF341">
        <f>Database!AZ330</f>
        <v/>
      </c>
      <c r="AG341">
        <f>Database!H330</f>
        <v/>
      </c>
      <c r="AH341">
        <f>Database!AV330</f>
        <v/>
      </c>
    </row>
    <row r="342">
      <c r="A342">
        <f>Database!B342</f>
        <v/>
      </c>
      <c r="B342">
        <f>IF(AND(Screener!$D$8&lt;&gt;"",Database!$E342=Screener!$D$8),1,0)</f>
        <v/>
      </c>
      <c r="C342">
        <f>IF(AND(Screener!$D$7&lt;&gt;"",Database!$D342=Screener!$D$7),1,0)</f>
        <v/>
      </c>
      <c r="D342">
        <f>IF(OR(N(Database!$I342)&lt;=0,N(Screener!$D$9)&lt;=0),0,MAX(0,1-ABS(LOG10(N(Database!$I342)/Screener!$D$9))/W_SIZEHW))</f>
        <v/>
      </c>
      <c r="E342">
        <f>IF(OR(Database!$AU342="",Screener!$D$10=""),0,IF(Database!$AU342=Screener!$D$10,1,0))</f>
        <v/>
      </c>
      <c r="F342">
        <f>IF(OR(Database!$AZ342="",Screener!$D$11=""),0,IF(Database!$AZ342=Screener!$D$11,1,0))</f>
        <v/>
      </c>
      <c r="G342">
        <f>IF(OR(Database!$H342="",N(Screener!$D$12)&lt;=0),0,MAX(0,1-(N(Screener!$D$12)-Database!$H342)/W_RECD))</f>
        <v/>
      </c>
      <c r="H342">
        <f>IF($U$1="",0,N(ISNUMBER(SEARCH($U$1,Database!$X342&amp;""))))+IF($V$1="",0,N(ISNUMBER(SEARCH($V$1,Database!$X342&amp;""))))+IF($W$1="",0,N(ISNUMBER(SEARCH($W$1,Database!$X342&amp;""))))+IF($X$1="",0,N(ISNUMBER(SEARCH($X$1,Database!$X342&amp;""))))+IF($Y$1="",0,N(ISNUMBER(SEARCH($Y$1,Database!$X342&amp;""))))+IF(Screener!$B$17="",0,N(ISNUMBER(SEARCH(LOWER(Screener!$B$17),Database!$X342&amp;""))))</f>
        <v/>
      </c>
      <c r="I342">
        <f>IF(OR(N(Database!$AV342)&lt;=0,N(Screener!$D$13)&lt;=0),0,MAX(0,1-ABS(LOG10(N(Database!$AV342)/Screener!$D$13))/W_PEHW))</f>
        <v/>
      </c>
      <c r="J342">
        <f>IF(OR(N(Database!$S342)&lt;=0,N(Screener!$D$14)&lt;=0),0,MAX(0,1-ABS(LOG10(Database!$S342/Screener!$D$14))/0.6))</f>
        <v/>
      </c>
      <c r="K342">
        <f>IF(Database!$B342=Screener!$B$5,-999999,IF(ISNUMBER(SEARCH(","&amp;Database!$A342&amp;",",","&amp;SUBSTITUTE(Screener!$B$19," ","")&amp;",")),2000000,IF(IF(OR(Screener!$B$18="All",AND(Screener!$B$18="With A-share",(Database!$AZ342="Y")),AND(Screener!$B$18="Without A-share",NOT((Database!$AZ342="Y")))),1,0)=0,-999999,IF(Screener!$B$16="cornerstone overlap first",H342*100000,IF(Screener!$B$16="demand-similar first",J342*100000,0))+W_SUB*B342+W_SEC*C342*(1-B342)+W_SIZE*D342+W_PROF*E342+W_AH*F342+W_REC*G342+W_CS*H342+W_PE*I342)))+ROW()/1000000</f>
        <v/>
      </c>
      <c r="AA342">
        <f>Database!B331</f>
        <v/>
      </c>
      <c r="AB342">
        <f>Database!D331</f>
        <v/>
      </c>
      <c r="AC342">
        <f>Database!E331</f>
        <v/>
      </c>
      <c r="AD342">
        <f>Database!I331</f>
        <v/>
      </c>
      <c r="AE342">
        <f>Database!AU331</f>
        <v/>
      </c>
      <c r="AF342">
        <f>Database!AZ331</f>
        <v/>
      </c>
      <c r="AG342">
        <f>Database!H331</f>
        <v/>
      </c>
      <c r="AH342">
        <f>Database!AV331</f>
        <v/>
      </c>
    </row>
    <row r="343">
      <c r="A343">
        <f>Database!B343</f>
        <v/>
      </c>
      <c r="B343">
        <f>IF(AND(Screener!$D$8&lt;&gt;"",Database!$E343=Screener!$D$8),1,0)</f>
        <v/>
      </c>
      <c r="C343">
        <f>IF(AND(Screener!$D$7&lt;&gt;"",Database!$D343=Screener!$D$7),1,0)</f>
        <v/>
      </c>
      <c r="D343">
        <f>IF(OR(N(Database!$I343)&lt;=0,N(Screener!$D$9)&lt;=0),0,MAX(0,1-ABS(LOG10(N(Database!$I343)/Screener!$D$9))/W_SIZEHW))</f>
        <v/>
      </c>
      <c r="E343">
        <f>IF(OR(Database!$AU343="",Screener!$D$10=""),0,IF(Database!$AU343=Screener!$D$10,1,0))</f>
        <v/>
      </c>
      <c r="F343">
        <f>IF(OR(Database!$AZ343="",Screener!$D$11=""),0,IF(Database!$AZ343=Screener!$D$11,1,0))</f>
        <v/>
      </c>
      <c r="G343">
        <f>IF(OR(Database!$H343="",N(Screener!$D$12)&lt;=0),0,MAX(0,1-(N(Screener!$D$12)-Database!$H343)/W_RECD))</f>
        <v/>
      </c>
      <c r="H343">
        <f>IF($U$1="",0,N(ISNUMBER(SEARCH($U$1,Database!$X343&amp;""))))+IF($V$1="",0,N(ISNUMBER(SEARCH($V$1,Database!$X343&amp;""))))+IF($W$1="",0,N(ISNUMBER(SEARCH($W$1,Database!$X343&amp;""))))+IF($X$1="",0,N(ISNUMBER(SEARCH($X$1,Database!$X343&amp;""))))+IF($Y$1="",0,N(ISNUMBER(SEARCH($Y$1,Database!$X343&amp;""))))+IF(Screener!$B$17="",0,N(ISNUMBER(SEARCH(LOWER(Screener!$B$17),Database!$X343&amp;""))))</f>
        <v/>
      </c>
      <c r="I343">
        <f>IF(OR(N(Database!$AV343)&lt;=0,N(Screener!$D$13)&lt;=0),0,MAX(0,1-ABS(LOG10(N(Database!$AV343)/Screener!$D$13))/W_PEHW))</f>
        <v/>
      </c>
      <c r="J343">
        <f>IF(OR(N(Database!$S343)&lt;=0,N(Screener!$D$14)&lt;=0),0,MAX(0,1-ABS(LOG10(Database!$S343/Screener!$D$14))/0.6))</f>
        <v/>
      </c>
      <c r="K343">
        <f>IF(Database!$B343=Screener!$B$5,-999999,IF(ISNUMBER(SEARCH(","&amp;Database!$A343&amp;",",","&amp;SUBSTITUTE(Screener!$B$19," ","")&amp;",")),2000000,IF(IF(OR(Screener!$B$18="All",AND(Screener!$B$18="With A-share",(Database!$AZ343="Y")),AND(Screener!$B$18="Without A-share",NOT((Database!$AZ343="Y")))),1,0)=0,-999999,IF(Screener!$B$16="cornerstone overlap first",H343*100000,IF(Screener!$B$16="demand-similar first",J343*100000,0))+W_SUB*B343+W_SEC*C343*(1-B343)+W_SIZE*D343+W_PROF*E343+W_AH*F343+W_REC*G343+W_CS*H343+W_PE*I343)))+ROW()/1000000</f>
        <v/>
      </c>
      <c r="AA343">
        <f>Database!B332</f>
        <v/>
      </c>
      <c r="AB343">
        <f>Database!D332</f>
        <v/>
      </c>
      <c r="AC343">
        <f>Database!E332</f>
        <v/>
      </c>
      <c r="AD343">
        <f>Database!I332</f>
        <v/>
      </c>
      <c r="AE343">
        <f>Database!AU332</f>
        <v/>
      </c>
      <c r="AF343">
        <f>Database!AZ332</f>
        <v/>
      </c>
      <c r="AG343">
        <f>Database!H332</f>
        <v/>
      </c>
      <c r="AH343">
        <f>Database!AV332</f>
        <v/>
      </c>
    </row>
    <row r="344">
      <c r="A344">
        <f>Database!B344</f>
        <v/>
      </c>
      <c r="B344">
        <f>IF(AND(Screener!$D$8&lt;&gt;"",Database!$E344=Screener!$D$8),1,0)</f>
        <v/>
      </c>
      <c r="C344">
        <f>IF(AND(Screener!$D$7&lt;&gt;"",Database!$D344=Screener!$D$7),1,0)</f>
        <v/>
      </c>
      <c r="D344">
        <f>IF(OR(N(Database!$I344)&lt;=0,N(Screener!$D$9)&lt;=0),0,MAX(0,1-ABS(LOG10(N(Database!$I344)/Screener!$D$9))/W_SIZEHW))</f>
        <v/>
      </c>
      <c r="E344">
        <f>IF(OR(Database!$AU344="",Screener!$D$10=""),0,IF(Database!$AU344=Screener!$D$10,1,0))</f>
        <v/>
      </c>
      <c r="F344">
        <f>IF(OR(Database!$AZ344="",Screener!$D$11=""),0,IF(Database!$AZ344=Screener!$D$11,1,0))</f>
        <v/>
      </c>
      <c r="G344">
        <f>IF(OR(Database!$H344="",N(Screener!$D$12)&lt;=0),0,MAX(0,1-(N(Screener!$D$12)-Database!$H344)/W_RECD))</f>
        <v/>
      </c>
      <c r="H344">
        <f>IF($U$1="",0,N(ISNUMBER(SEARCH($U$1,Database!$X344&amp;""))))+IF($V$1="",0,N(ISNUMBER(SEARCH($V$1,Database!$X344&amp;""))))+IF($W$1="",0,N(ISNUMBER(SEARCH($W$1,Database!$X344&amp;""))))+IF($X$1="",0,N(ISNUMBER(SEARCH($X$1,Database!$X344&amp;""))))+IF($Y$1="",0,N(ISNUMBER(SEARCH($Y$1,Database!$X344&amp;""))))+IF(Screener!$B$17="",0,N(ISNUMBER(SEARCH(LOWER(Screener!$B$17),Database!$X344&amp;""))))</f>
        <v/>
      </c>
      <c r="I344">
        <f>IF(OR(N(Database!$AV344)&lt;=0,N(Screener!$D$13)&lt;=0),0,MAX(0,1-ABS(LOG10(N(Database!$AV344)/Screener!$D$13))/W_PEHW))</f>
        <v/>
      </c>
      <c r="J344">
        <f>IF(OR(N(Database!$S344)&lt;=0,N(Screener!$D$14)&lt;=0),0,MAX(0,1-ABS(LOG10(Database!$S344/Screener!$D$14))/0.6))</f>
        <v/>
      </c>
      <c r="K344">
        <f>IF(Database!$B344=Screener!$B$5,-999999,IF(ISNUMBER(SEARCH(","&amp;Database!$A344&amp;",",","&amp;SUBSTITUTE(Screener!$B$19," ","")&amp;",")),2000000,IF(IF(OR(Screener!$B$18="All",AND(Screener!$B$18="With A-share",(Database!$AZ344="Y")),AND(Screener!$B$18="Without A-share",NOT((Database!$AZ344="Y")))),1,0)=0,-999999,IF(Screener!$B$16="cornerstone overlap first",H344*100000,IF(Screener!$B$16="demand-similar first",J344*100000,0))+W_SUB*B344+W_SEC*C344*(1-B344)+W_SIZE*D344+W_PROF*E344+W_AH*F344+W_REC*G344+W_CS*H344+W_PE*I344)))+ROW()/1000000</f>
        <v/>
      </c>
      <c r="AA344">
        <f>Database!B333</f>
        <v/>
      </c>
      <c r="AB344">
        <f>Database!D333</f>
        <v/>
      </c>
      <c r="AC344">
        <f>Database!E333</f>
        <v/>
      </c>
      <c r="AD344">
        <f>Database!I333</f>
        <v/>
      </c>
      <c r="AE344">
        <f>Database!AU333</f>
        <v/>
      </c>
      <c r="AF344">
        <f>Database!AZ333</f>
        <v/>
      </c>
      <c r="AG344">
        <f>Database!H333</f>
        <v/>
      </c>
      <c r="AH344">
        <f>Database!AV333</f>
        <v/>
      </c>
    </row>
    <row r="345">
      <c r="A345">
        <f>Database!B345</f>
        <v/>
      </c>
      <c r="B345">
        <f>IF(AND(Screener!$D$8&lt;&gt;"",Database!$E345=Screener!$D$8),1,0)</f>
        <v/>
      </c>
      <c r="C345">
        <f>IF(AND(Screener!$D$7&lt;&gt;"",Database!$D345=Screener!$D$7),1,0)</f>
        <v/>
      </c>
      <c r="D345">
        <f>IF(OR(N(Database!$I345)&lt;=0,N(Screener!$D$9)&lt;=0),0,MAX(0,1-ABS(LOG10(N(Database!$I345)/Screener!$D$9))/W_SIZEHW))</f>
        <v/>
      </c>
      <c r="E345">
        <f>IF(OR(Database!$AU345="",Screener!$D$10=""),0,IF(Database!$AU345=Screener!$D$10,1,0))</f>
        <v/>
      </c>
      <c r="F345">
        <f>IF(OR(Database!$AZ345="",Screener!$D$11=""),0,IF(Database!$AZ345=Screener!$D$11,1,0))</f>
        <v/>
      </c>
      <c r="G345">
        <f>IF(OR(Database!$H345="",N(Screener!$D$12)&lt;=0),0,MAX(0,1-(N(Screener!$D$12)-Database!$H345)/W_RECD))</f>
        <v/>
      </c>
      <c r="H345">
        <f>IF($U$1="",0,N(ISNUMBER(SEARCH($U$1,Database!$X345&amp;""))))+IF($V$1="",0,N(ISNUMBER(SEARCH($V$1,Database!$X345&amp;""))))+IF($W$1="",0,N(ISNUMBER(SEARCH($W$1,Database!$X345&amp;""))))+IF($X$1="",0,N(ISNUMBER(SEARCH($X$1,Database!$X345&amp;""))))+IF($Y$1="",0,N(ISNUMBER(SEARCH($Y$1,Database!$X345&amp;""))))+IF(Screener!$B$17="",0,N(ISNUMBER(SEARCH(LOWER(Screener!$B$17),Database!$X345&amp;""))))</f>
        <v/>
      </c>
      <c r="I345">
        <f>IF(OR(N(Database!$AV345)&lt;=0,N(Screener!$D$13)&lt;=0),0,MAX(0,1-ABS(LOG10(N(Database!$AV345)/Screener!$D$13))/W_PEHW))</f>
        <v/>
      </c>
      <c r="J345">
        <f>IF(OR(N(Database!$S345)&lt;=0,N(Screener!$D$14)&lt;=0),0,MAX(0,1-ABS(LOG10(Database!$S345/Screener!$D$14))/0.6))</f>
        <v/>
      </c>
      <c r="K345">
        <f>IF(Database!$B345=Screener!$B$5,-999999,IF(ISNUMBER(SEARCH(","&amp;Database!$A345&amp;",",","&amp;SUBSTITUTE(Screener!$B$19," ","")&amp;",")),2000000,IF(IF(OR(Screener!$B$18="All",AND(Screener!$B$18="With A-share",(Database!$AZ345="Y")),AND(Screener!$B$18="Without A-share",NOT((Database!$AZ345="Y")))),1,0)=0,-999999,IF(Screener!$B$16="cornerstone overlap first",H345*100000,IF(Screener!$B$16="demand-similar first",J345*100000,0))+W_SUB*B345+W_SEC*C345*(1-B345)+W_SIZE*D345+W_PROF*E345+W_AH*F345+W_REC*G345+W_CS*H345+W_PE*I345)))+ROW()/1000000</f>
        <v/>
      </c>
      <c r="AA345">
        <f>Database!B334</f>
        <v/>
      </c>
      <c r="AB345">
        <f>Database!D334</f>
        <v/>
      </c>
      <c r="AC345">
        <f>Database!E334</f>
        <v/>
      </c>
      <c r="AD345">
        <f>Database!I334</f>
        <v/>
      </c>
      <c r="AE345">
        <f>Database!AU334</f>
        <v/>
      </c>
      <c r="AF345">
        <f>Database!AZ334</f>
        <v/>
      </c>
      <c r="AG345">
        <f>Database!H334</f>
        <v/>
      </c>
      <c r="AH345">
        <f>Database!AV334</f>
        <v/>
      </c>
    </row>
    <row r="346">
      <c r="A346">
        <f>Database!B346</f>
        <v/>
      </c>
      <c r="B346">
        <f>IF(AND(Screener!$D$8&lt;&gt;"",Database!$E346=Screener!$D$8),1,0)</f>
        <v/>
      </c>
      <c r="C346">
        <f>IF(AND(Screener!$D$7&lt;&gt;"",Database!$D346=Screener!$D$7),1,0)</f>
        <v/>
      </c>
      <c r="D346">
        <f>IF(OR(N(Database!$I346)&lt;=0,N(Screener!$D$9)&lt;=0),0,MAX(0,1-ABS(LOG10(N(Database!$I346)/Screener!$D$9))/W_SIZEHW))</f>
        <v/>
      </c>
      <c r="E346">
        <f>IF(OR(Database!$AU346="",Screener!$D$10=""),0,IF(Database!$AU346=Screener!$D$10,1,0))</f>
        <v/>
      </c>
      <c r="F346">
        <f>IF(OR(Database!$AZ346="",Screener!$D$11=""),0,IF(Database!$AZ346=Screener!$D$11,1,0))</f>
        <v/>
      </c>
      <c r="G346">
        <f>IF(OR(Database!$H346="",N(Screener!$D$12)&lt;=0),0,MAX(0,1-(N(Screener!$D$12)-Database!$H346)/W_RECD))</f>
        <v/>
      </c>
      <c r="H346">
        <f>IF($U$1="",0,N(ISNUMBER(SEARCH($U$1,Database!$X346&amp;""))))+IF($V$1="",0,N(ISNUMBER(SEARCH($V$1,Database!$X346&amp;""))))+IF($W$1="",0,N(ISNUMBER(SEARCH($W$1,Database!$X346&amp;""))))+IF($X$1="",0,N(ISNUMBER(SEARCH($X$1,Database!$X346&amp;""))))+IF($Y$1="",0,N(ISNUMBER(SEARCH($Y$1,Database!$X346&amp;""))))+IF(Screener!$B$17="",0,N(ISNUMBER(SEARCH(LOWER(Screener!$B$17),Database!$X346&amp;""))))</f>
        <v/>
      </c>
      <c r="I346">
        <f>IF(OR(N(Database!$AV346)&lt;=0,N(Screener!$D$13)&lt;=0),0,MAX(0,1-ABS(LOG10(N(Database!$AV346)/Screener!$D$13))/W_PEHW))</f>
        <v/>
      </c>
      <c r="J346">
        <f>IF(OR(N(Database!$S346)&lt;=0,N(Screener!$D$14)&lt;=0),0,MAX(0,1-ABS(LOG10(Database!$S346/Screener!$D$14))/0.6))</f>
        <v/>
      </c>
      <c r="K346">
        <f>IF(Database!$B346=Screener!$B$5,-999999,IF(ISNUMBER(SEARCH(","&amp;Database!$A346&amp;",",","&amp;SUBSTITUTE(Screener!$B$19," ","")&amp;",")),2000000,IF(IF(OR(Screener!$B$18="All",AND(Screener!$B$18="With A-share",(Database!$AZ346="Y")),AND(Screener!$B$18="Without A-share",NOT((Database!$AZ346="Y")))),1,0)=0,-999999,IF(Screener!$B$16="cornerstone overlap first",H346*100000,IF(Screener!$B$16="demand-similar first",J346*100000,0))+W_SUB*B346+W_SEC*C346*(1-B346)+W_SIZE*D346+W_PROF*E346+W_AH*F346+W_REC*G346+W_CS*H346+W_PE*I346)))+ROW()/1000000</f>
        <v/>
      </c>
      <c r="AA346">
        <f>Database!B335</f>
        <v/>
      </c>
      <c r="AB346">
        <f>Database!D335</f>
        <v/>
      </c>
      <c r="AC346">
        <f>Database!E335</f>
        <v/>
      </c>
      <c r="AD346">
        <f>Database!I335</f>
        <v/>
      </c>
      <c r="AE346">
        <f>Database!AU335</f>
        <v/>
      </c>
      <c r="AF346">
        <f>Database!AZ335</f>
        <v/>
      </c>
      <c r="AG346">
        <f>Database!H335</f>
        <v/>
      </c>
      <c r="AH346">
        <f>Database!AV335</f>
        <v/>
      </c>
    </row>
    <row r="347">
      <c r="A347">
        <f>Database!B347</f>
        <v/>
      </c>
      <c r="B347">
        <f>IF(AND(Screener!$D$8&lt;&gt;"",Database!$E347=Screener!$D$8),1,0)</f>
        <v/>
      </c>
      <c r="C347">
        <f>IF(AND(Screener!$D$7&lt;&gt;"",Database!$D347=Screener!$D$7),1,0)</f>
        <v/>
      </c>
      <c r="D347">
        <f>IF(OR(N(Database!$I347)&lt;=0,N(Screener!$D$9)&lt;=0),0,MAX(0,1-ABS(LOG10(N(Database!$I347)/Screener!$D$9))/W_SIZEHW))</f>
        <v/>
      </c>
      <c r="E347">
        <f>IF(OR(Database!$AU347="",Screener!$D$10=""),0,IF(Database!$AU347=Screener!$D$10,1,0))</f>
        <v/>
      </c>
      <c r="F347">
        <f>IF(OR(Database!$AZ347="",Screener!$D$11=""),0,IF(Database!$AZ347=Screener!$D$11,1,0))</f>
        <v/>
      </c>
      <c r="G347">
        <f>IF(OR(Database!$H347="",N(Screener!$D$12)&lt;=0),0,MAX(0,1-(N(Screener!$D$12)-Database!$H347)/W_RECD))</f>
        <v/>
      </c>
      <c r="H347">
        <f>IF($U$1="",0,N(ISNUMBER(SEARCH($U$1,Database!$X347&amp;""))))+IF($V$1="",0,N(ISNUMBER(SEARCH($V$1,Database!$X347&amp;""))))+IF($W$1="",0,N(ISNUMBER(SEARCH($W$1,Database!$X347&amp;""))))+IF($X$1="",0,N(ISNUMBER(SEARCH($X$1,Database!$X347&amp;""))))+IF($Y$1="",0,N(ISNUMBER(SEARCH($Y$1,Database!$X347&amp;""))))+IF(Screener!$B$17="",0,N(ISNUMBER(SEARCH(LOWER(Screener!$B$17),Database!$X347&amp;""))))</f>
        <v/>
      </c>
      <c r="I347">
        <f>IF(OR(N(Database!$AV347)&lt;=0,N(Screener!$D$13)&lt;=0),0,MAX(0,1-ABS(LOG10(N(Database!$AV347)/Screener!$D$13))/W_PEHW))</f>
        <v/>
      </c>
      <c r="J347">
        <f>IF(OR(N(Database!$S347)&lt;=0,N(Screener!$D$14)&lt;=0),0,MAX(0,1-ABS(LOG10(Database!$S347/Screener!$D$14))/0.6))</f>
        <v/>
      </c>
      <c r="K347">
        <f>IF(Database!$B347=Screener!$B$5,-999999,IF(ISNUMBER(SEARCH(","&amp;Database!$A347&amp;",",","&amp;SUBSTITUTE(Screener!$B$19," ","")&amp;",")),2000000,IF(IF(OR(Screener!$B$18="All",AND(Screener!$B$18="With A-share",(Database!$AZ347="Y")),AND(Screener!$B$18="Without A-share",NOT((Database!$AZ347="Y")))),1,0)=0,-999999,IF(Screener!$B$16="cornerstone overlap first",H347*100000,IF(Screener!$B$16="demand-similar first",J347*100000,0))+W_SUB*B347+W_SEC*C347*(1-B347)+W_SIZE*D347+W_PROF*E347+W_AH*F347+W_REC*G347+W_CS*H347+W_PE*I347)))+ROW()/1000000</f>
        <v/>
      </c>
      <c r="AA347">
        <f>Database!B336</f>
        <v/>
      </c>
      <c r="AB347">
        <f>Database!D336</f>
        <v/>
      </c>
      <c r="AC347">
        <f>Database!E336</f>
        <v/>
      </c>
      <c r="AD347">
        <f>Database!I336</f>
        <v/>
      </c>
      <c r="AE347">
        <f>Database!AU336</f>
        <v/>
      </c>
      <c r="AF347">
        <f>Database!AZ336</f>
        <v/>
      </c>
      <c r="AG347">
        <f>Database!H336</f>
        <v/>
      </c>
      <c r="AH347">
        <f>Database!AV336</f>
        <v/>
      </c>
    </row>
    <row r="348">
      <c r="A348">
        <f>Database!B348</f>
        <v/>
      </c>
      <c r="B348">
        <f>IF(AND(Screener!$D$8&lt;&gt;"",Database!$E348=Screener!$D$8),1,0)</f>
        <v/>
      </c>
      <c r="C348">
        <f>IF(AND(Screener!$D$7&lt;&gt;"",Database!$D348=Screener!$D$7),1,0)</f>
        <v/>
      </c>
      <c r="D348">
        <f>IF(OR(N(Database!$I348)&lt;=0,N(Screener!$D$9)&lt;=0),0,MAX(0,1-ABS(LOG10(N(Database!$I348)/Screener!$D$9))/W_SIZEHW))</f>
        <v/>
      </c>
      <c r="E348">
        <f>IF(OR(Database!$AU348="",Screener!$D$10=""),0,IF(Database!$AU348=Screener!$D$10,1,0))</f>
        <v/>
      </c>
      <c r="F348">
        <f>IF(OR(Database!$AZ348="",Screener!$D$11=""),0,IF(Database!$AZ348=Screener!$D$11,1,0))</f>
        <v/>
      </c>
      <c r="G348">
        <f>IF(OR(Database!$H348="",N(Screener!$D$12)&lt;=0),0,MAX(0,1-(N(Screener!$D$12)-Database!$H348)/W_RECD))</f>
        <v/>
      </c>
      <c r="H348">
        <f>IF($U$1="",0,N(ISNUMBER(SEARCH($U$1,Database!$X348&amp;""))))+IF($V$1="",0,N(ISNUMBER(SEARCH($V$1,Database!$X348&amp;""))))+IF($W$1="",0,N(ISNUMBER(SEARCH($W$1,Database!$X348&amp;""))))+IF($X$1="",0,N(ISNUMBER(SEARCH($X$1,Database!$X348&amp;""))))+IF($Y$1="",0,N(ISNUMBER(SEARCH($Y$1,Database!$X348&amp;""))))+IF(Screener!$B$17="",0,N(ISNUMBER(SEARCH(LOWER(Screener!$B$17),Database!$X348&amp;""))))</f>
        <v/>
      </c>
      <c r="I348">
        <f>IF(OR(N(Database!$AV348)&lt;=0,N(Screener!$D$13)&lt;=0),0,MAX(0,1-ABS(LOG10(N(Database!$AV348)/Screener!$D$13))/W_PEHW))</f>
        <v/>
      </c>
      <c r="J348">
        <f>IF(OR(N(Database!$S348)&lt;=0,N(Screener!$D$14)&lt;=0),0,MAX(0,1-ABS(LOG10(Database!$S348/Screener!$D$14))/0.6))</f>
        <v/>
      </c>
      <c r="K348">
        <f>IF(Database!$B348=Screener!$B$5,-999999,IF(ISNUMBER(SEARCH(","&amp;Database!$A348&amp;",",","&amp;SUBSTITUTE(Screener!$B$19," ","")&amp;",")),2000000,IF(IF(OR(Screener!$B$18="All",AND(Screener!$B$18="With A-share",(Database!$AZ348="Y")),AND(Screener!$B$18="Without A-share",NOT((Database!$AZ348="Y")))),1,0)=0,-999999,IF(Screener!$B$16="cornerstone overlap first",H348*100000,IF(Screener!$B$16="demand-similar first",J348*100000,0))+W_SUB*B348+W_SEC*C348*(1-B348)+W_SIZE*D348+W_PROF*E348+W_AH*F348+W_REC*G348+W_CS*H348+W_PE*I348)))+ROW()/1000000</f>
        <v/>
      </c>
      <c r="AA348">
        <f>Database!B337</f>
        <v/>
      </c>
      <c r="AB348">
        <f>Database!D337</f>
        <v/>
      </c>
      <c r="AC348">
        <f>Database!E337</f>
        <v/>
      </c>
      <c r="AD348">
        <f>Database!I337</f>
        <v/>
      </c>
      <c r="AE348">
        <f>Database!AU337</f>
        <v/>
      </c>
      <c r="AF348">
        <f>Database!AZ337</f>
        <v/>
      </c>
      <c r="AG348">
        <f>Database!H337</f>
        <v/>
      </c>
      <c r="AH348">
        <f>Database!AV337</f>
        <v/>
      </c>
    </row>
    <row r="349">
      <c r="A349">
        <f>Database!B349</f>
        <v/>
      </c>
      <c r="B349">
        <f>IF(AND(Screener!$D$8&lt;&gt;"",Database!$E349=Screener!$D$8),1,0)</f>
        <v/>
      </c>
      <c r="C349">
        <f>IF(AND(Screener!$D$7&lt;&gt;"",Database!$D349=Screener!$D$7),1,0)</f>
        <v/>
      </c>
      <c r="D349">
        <f>IF(OR(N(Database!$I349)&lt;=0,N(Screener!$D$9)&lt;=0),0,MAX(0,1-ABS(LOG10(N(Database!$I349)/Screener!$D$9))/W_SIZEHW))</f>
        <v/>
      </c>
      <c r="E349">
        <f>IF(OR(Database!$AU349="",Screener!$D$10=""),0,IF(Database!$AU349=Screener!$D$10,1,0))</f>
        <v/>
      </c>
      <c r="F349">
        <f>IF(OR(Database!$AZ349="",Screener!$D$11=""),0,IF(Database!$AZ349=Screener!$D$11,1,0))</f>
        <v/>
      </c>
      <c r="G349">
        <f>IF(OR(Database!$H349="",N(Screener!$D$12)&lt;=0),0,MAX(0,1-(N(Screener!$D$12)-Database!$H349)/W_RECD))</f>
        <v/>
      </c>
      <c r="H349">
        <f>IF($U$1="",0,N(ISNUMBER(SEARCH($U$1,Database!$X349&amp;""))))+IF($V$1="",0,N(ISNUMBER(SEARCH($V$1,Database!$X349&amp;""))))+IF($W$1="",0,N(ISNUMBER(SEARCH($W$1,Database!$X349&amp;""))))+IF($X$1="",0,N(ISNUMBER(SEARCH($X$1,Database!$X349&amp;""))))+IF($Y$1="",0,N(ISNUMBER(SEARCH($Y$1,Database!$X349&amp;""))))+IF(Screener!$B$17="",0,N(ISNUMBER(SEARCH(LOWER(Screener!$B$17),Database!$X349&amp;""))))</f>
        <v/>
      </c>
      <c r="I349">
        <f>IF(OR(N(Database!$AV349)&lt;=0,N(Screener!$D$13)&lt;=0),0,MAX(0,1-ABS(LOG10(N(Database!$AV349)/Screener!$D$13))/W_PEHW))</f>
        <v/>
      </c>
      <c r="J349">
        <f>IF(OR(N(Database!$S349)&lt;=0,N(Screener!$D$14)&lt;=0),0,MAX(0,1-ABS(LOG10(Database!$S349/Screener!$D$14))/0.6))</f>
        <v/>
      </c>
      <c r="K349">
        <f>IF(Database!$B349=Screener!$B$5,-999999,IF(ISNUMBER(SEARCH(","&amp;Database!$A349&amp;",",","&amp;SUBSTITUTE(Screener!$B$19," ","")&amp;",")),2000000,IF(IF(OR(Screener!$B$18="All",AND(Screener!$B$18="With A-share",(Database!$AZ349="Y")),AND(Screener!$B$18="Without A-share",NOT((Database!$AZ349="Y")))),1,0)=0,-999999,IF(Screener!$B$16="cornerstone overlap first",H349*100000,IF(Screener!$B$16="demand-similar first",J349*100000,0))+W_SUB*B349+W_SEC*C349*(1-B349)+W_SIZE*D349+W_PROF*E349+W_AH*F349+W_REC*G349+W_CS*H349+W_PE*I349)))+ROW()/1000000</f>
        <v/>
      </c>
      <c r="AA349">
        <f>Database!B338</f>
        <v/>
      </c>
      <c r="AB349">
        <f>Database!D338</f>
        <v/>
      </c>
      <c r="AC349">
        <f>Database!E338</f>
        <v/>
      </c>
      <c r="AD349">
        <f>Database!I338</f>
        <v/>
      </c>
      <c r="AE349">
        <f>Database!AU338</f>
        <v/>
      </c>
      <c r="AF349">
        <f>Database!AZ338</f>
        <v/>
      </c>
      <c r="AG349">
        <f>Database!H338</f>
        <v/>
      </c>
      <c r="AH349">
        <f>Database!AV338</f>
        <v/>
      </c>
    </row>
    <row r="350">
      <c r="A350">
        <f>Database!B350</f>
        <v/>
      </c>
      <c r="B350">
        <f>IF(AND(Screener!$D$8&lt;&gt;"",Database!$E350=Screener!$D$8),1,0)</f>
        <v/>
      </c>
      <c r="C350">
        <f>IF(AND(Screener!$D$7&lt;&gt;"",Database!$D350=Screener!$D$7),1,0)</f>
        <v/>
      </c>
      <c r="D350">
        <f>IF(OR(N(Database!$I350)&lt;=0,N(Screener!$D$9)&lt;=0),0,MAX(0,1-ABS(LOG10(N(Database!$I350)/Screener!$D$9))/W_SIZEHW))</f>
        <v/>
      </c>
      <c r="E350">
        <f>IF(OR(Database!$AU350="",Screener!$D$10=""),0,IF(Database!$AU350=Screener!$D$10,1,0))</f>
        <v/>
      </c>
      <c r="F350">
        <f>IF(OR(Database!$AZ350="",Screener!$D$11=""),0,IF(Database!$AZ350=Screener!$D$11,1,0))</f>
        <v/>
      </c>
      <c r="G350">
        <f>IF(OR(Database!$H350="",N(Screener!$D$12)&lt;=0),0,MAX(0,1-(N(Screener!$D$12)-Database!$H350)/W_RECD))</f>
        <v/>
      </c>
      <c r="H350">
        <f>IF($U$1="",0,N(ISNUMBER(SEARCH($U$1,Database!$X350&amp;""))))+IF($V$1="",0,N(ISNUMBER(SEARCH($V$1,Database!$X350&amp;""))))+IF($W$1="",0,N(ISNUMBER(SEARCH($W$1,Database!$X350&amp;""))))+IF($X$1="",0,N(ISNUMBER(SEARCH($X$1,Database!$X350&amp;""))))+IF($Y$1="",0,N(ISNUMBER(SEARCH($Y$1,Database!$X350&amp;""))))+IF(Screener!$B$17="",0,N(ISNUMBER(SEARCH(LOWER(Screener!$B$17),Database!$X350&amp;""))))</f>
        <v/>
      </c>
      <c r="I350">
        <f>IF(OR(N(Database!$AV350)&lt;=0,N(Screener!$D$13)&lt;=0),0,MAX(0,1-ABS(LOG10(N(Database!$AV350)/Screener!$D$13))/W_PEHW))</f>
        <v/>
      </c>
      <c r="J350">
        <f>IF(OR(N(Database!$S350)&lt;=0,N(Screener!$D$14)&lt;=0),0,MAX(0,1-ABS(LOG10(Database!$S350/Screener!$D$14))/0.6))</f>
        <v/>
      </c>
      <c r="K350">
        <f>IF(Database!$B350=Screener!$B$5,-999999,IF(ISNUMBER(SEARCH(","&amp;Database!$A350&amp;",",","&amp;SUBSTITUTE(Screener!$B$19," ","")&amp;",")),2000000,IF(IF(OR(Screener!$B$18="All",AND(Screener!$B$18="With A-share",(Database!$AZ350="Y")),AND(Screener!$B$18="Without A-share",NOT((Database!$AZ350="Y")))),1,0)=0,-999999,IF(Screener!$B$16="cornerstone overlap first",H350*100000,IF(Screener!$B$16="demand-similar first",J350*100000,0))+W_SUB*B350+W_SEC*C350*(1-B350)+W_SIZE*D350+W_PROF*E350+W_AH*F350+W_REC*G350+W_CS*H350+W_PE*I350)))+ROW()/1000000</f>
        <v/>
      </c>
      <c r="AA350">
        <f>Database!B339</f>
        <v/>
      </c>
      <c r="AB350">
        <f>Database!D339</f>
        <v/>
      </c>
      <c r="AC350">
        <f>Database!E339</f>
        <v/>
      </c>
      <c r="AD350">
        <f>Database!I339</f>
        <v/>
      </c>
      <c r="AE350">
        <f>Database!AU339</f>
        <v/>
      </c>
      <c r="AF350">
        <f>Database!AZ339</f>
        <v/>
      </c>
      <c r="AG350">
        <f>Database!H339</f>
        <v/>
      </c>
      <c r="AH350">
        <f>Database!AV339</f>
        <v/>
      </c>
    </row>
    <row r="351">
      <c r="A351">
        <f>Database!B351</f>
        <v/>
      </c>
      <c r="B351">
        <f>IF(AND(Screener!$D$8&lt;&gt;"",Database!$E351=Screener!$D$8),1,0)</f>
        <v/>
      </c>
      <c r="C351">
        <f>IF(AND(Screener!$D$7&lt;&gt;"",Database!$D351=Screener!$D$7),1,0)</f>
        <v/>
      </c>
      <c r="D351">
        <f>IF(OR(N(Database!$I351)&lt;=0,N(Screener!$D$9)&lt;=0),0,MAX(0,1-ABS(LOG10(N(Database!$I351)/Screener!$D$9))/W_SIZEHW))</f>
        <v/>
      </c>
      <c r="E351">
        <f>IF(OR(Database!$AU351="",Screener!$D$10=""),0,IF(Database!$AU351=Screener!$D$10,1,0))</f>
        <v/>
      </c>
      <c r="F351">
        <f>IF(OR(Database!$AZ351="",Screener!$D$11=""),0,IF(Database!$AZ351=Screener!$D$11,1,0))</f>
        <v/>
      </c>
      <c r="G351">
        <f>IF(OR(Database!$H351="",N(Screener!$D$12)&lt;=0),0,MAX(0,1-(N(Screener!$D$12)-Database!$H351)/W_RECD))</f>
        <v/>
      </c>
      <c r="H351">
        <f>IF($U$1="",0,N(ISNUMBER(SEARCH($U$1,Database!$X351&amp;""))))+IF($V$1="",0,N(ISNUMBER(SEARCH($V$1,Database!$X351&amp;""))))+IF($W$1="",0,N(ISNUMBER(SEARCH($W$1,Database!$X351&amp;""))))+IF($X$1="",0,N(ISNUMBER(SEARCH($X$1,Database!$X351&amp;""))))+IF($Y$1="",0,N(ISNUMBER(SEARCH($Y$1,Database!$X351&amp;""))))+IF(Screener!$B$17="",0,N(ISNUMBER(SEARCH(LOWER(Screener!$B$17),Database!$X351&amp;""))))</f>
        <v/>
      </c>
      <c r="I351">
        <f>IF(OR(N(Database!$AV351)&lt;=0,N(Screener!$D$13)&lt;=0),0,MAX(0,1-ABS(LOG10(N(Database!$AV351)/Screener!$D$13))/W_PEHW))</f>
        <v/>
      </c>
      <c r="J351">
        <f>IF(OR(N(Database!$S351)&lt;=0,N(Screener!$D$14)&lt;=0),0,MAX(0,1-ABS(LOG10(Database!$S351/Screener!$D$14))/0.6))</f>
        <v/>
      </c>
      <c r="K351">
        <f>IF(Database!$B351=Screener!$B$5,-999999,IF(ISNUMBER(SEARCH(","&amp;Database!$A351&amp;",",","&amp;SUBSTITUTE(Screener!$B$19," ","")&amp;",")),2000000,IF(IF(OR(Screener!$B$18="All",AND(Screener!$B$18="With A-share",(Database!$AZ351="Y")),AND(Screener!$B$18="Without A-share",NOT((Database!$AZ351="Y")))),1,0)=0,-999999,IF(Screener!$B$16="cornerstone overlap first",H351*100000,IF(Screener!$B$16="demand-similar first",J351*100000,0))+W_SUB*B351+W_SEC*C351*(1-B351)+W_SIZE*D351+W_PROF*E351+W_AH*F351+W_REC*G351+W_CS*H351+W_PE*I351)))+ROW()/1000000</f>
        <v/>
      </c>
      <c r="AA351">
        <f>Database!B340</f>
        <v/>
      </c>
      <c r="AB351">
        <f>Database!D340</f>
        <v/>
      </c>
      <c r="AC351">
        <f>Database!E340</f>
        <v/>
      </c>
      <c r="AD351">
        <f>Database!I340</f>
        <v/>
      </c>
      <c r="AE351">
        <f>Database!AU340</f>
        <v/>
      </c>
      <c r="AF351">
        <f>Database!AZ340</f>
        <v/>
      </c>
      <c r="AG351">
        <f>Database!H340</f>
        <v/>
      </c>
      <c r="AH351">
        <f>Database!AV340</f>
        <v/>
      </c>
    </row>
    <row r="352">
      <c r="A352">
        <f>Database!B352</f>
        <v/>
      </c>
      <c r="B352">
        <f>IF(AND(Screener!$D$8&lt;&gt;"",Database!$E352=Screener!$D$8),1,0)</f>
        <v/>
      </c>
      <c r="C352">
        <f>IF(AND(Screener!$D$7&lt;&gt;"",Database!$D352=Screener!$D$7),1,0)</f>
        <v/>
      </c>
      <c r="D352">
        <f>IF(OR(N(Database!$I352)&lt;=0,N(Screener!$D$9)&lt;=0),0,MAX(0,1-ABS(LOG10(N(Database!$I352)/Screener!$D$9))/W_SIZEHW))</f>
        <v/>
      </c>
      <c r="E352">
        <f>IF(OR(Database!$AU352="",Screener!$D$10=""),0,IF(Database!$AU352=Screener!$D$10,1,0))</f>
        <v/>
      </c>
      <c r="F352">
        <f>IF(OR(Database!$AZ352="",Screener!$D$11=""),0,IF(Database!$AZ352=Screener!$D$11,1,0))</f>
        <v/>
      </c>
      <c r="G352">
        <f>IF(OR(Database!$H352="",N(Screener!$D$12)&lt;=0),0,MAX(0,1-(N(Screener!$D$12)-Database!$H352)/W_RECD))</f>
        <v/>
      </c>
      <c r="H352">
        <f>IF($U$1="",0,N(ISNUMBER(SEARCH($U$1,Database!$X352&amp;""))))+IF($V$1="",0,N(ISNUMBER(SEARCH($V$1,Database!$X352&amp;""))))+IF($W$1="",0,N(ISNUMBER(SEARCH($W$1,Database!$X352&amp;""))))+IF($X$1="",0,N(ISNUMBER(SEARCH($X$1,Database!$X352&amp;""))))+IF($Y$1="",0,N(ISNUMBER(SEARCH($Y$1,Database!$X352&amp;""))))+IF(Screener!$B$17="",0,N(ISNUMBER(SEARCH(LOWER(Screener!$B$17),Database!$X352&amp;""))))</f>
        <v/>
      </c>
      <c r="I352">
        <f>IF(OR(N(Database!$AV352)&lt;=0,N(Screener!$D$13)&lt;=0),0,MAX(0,1-ABS(LOG10(N(Database!$AV352)/Screener!$D$13))/W_PEHW))</f>
        <v/>
      </c>
      <c r="J352">
        <f>IF(OR(N(Database!$S352)&lt;=0,N(Screener!$D$14)&lt;=0),0,MAX(0,1-ABS(LOG10(Database!$S352/Screener!$D$14))/0.6))</f>
        <v/>
      </c>
      <c r="K352">
        <f>IF(Database!$B352=Screener!$B$5,-999999,IF(ISNUMBER(SEARCH(","&amp;Database!$A352&amp;",",","&amp;SUBSTITUTE(Screener!$B$19," ","")&amp;",")),2000000,IF(IF(OR(Screener!$B$18="All",AND(Screener!$B$18="With A-share",(Database!$AZ352="Y")),AND(Screener!$B$18="Without A-share",NOT((Database!$AZ352="Y")))),1,0)=0,-999999,IF(Screener!$B$16="cornerstone overlap first",H352*100000,IF(Screener!$B$16="demand-similar first",J352*100000,0))+W_SUB*B352+W_SEC*C352*(1-B352)+W_SIZE*D352+W_PROF*E352+W_AH*F352+W_REC*G352+W_CS*H352+W_PE*I352)))+ROW()/1000000</f>
        <v/>
      </c>
      <c r="AA352">
        <f>Database!B341</f>
        <v/>
      </c>
      <c r="AB352">
        <f>Database!D341</f>
        <v/>
      </c>
      <c r="AC352">
        <f>Database!E341</f>
        <v/>
      </c>
      <c r="AD352">
        <f>Database!I341</f>
        <v/>
      </c>
      <c r="AE352">
        <f>Database!AU341</f>
        <v/>
      </c>
      <c r="AF352">
        <f>Database!AZ341</f>
        <v/>
      </c>
      <c r="AG352">
        <f>Database!H341</f>
        <v/>
      </c>
      <c r="AH352">
        <f>Database!AV341</f>
        <v/>
      </c>
    </row>
    <row r="353">
      <c r="A353">
        <f>Database!B353</f>
        <v/>
      </c>
      <c r="B353">
        <f>IF(AND(Screener!$D$8&lt;&gt;"",Database!$E353=Screener!$D$8),1,0)</f>
        <v/>
      </c>
      <c r="C353">
        <f>IF(AND(Screener!$D$7&lt;&gt;"",Database!$D353=Screener!$D$7),1,0)</f>
        <v/>
      </c>
      <c r="D353">
        <f>IF(OR(N(Database!$I353)&lt;=0,N(Screener!$D$9)&lt;=0),0,MAX(0,1-ABS(LOG10(N(Database!$I353)/Screener!$D$9))/W_SIZEHW))</f>
        <v/>
      </c>
      <c r="E353">
        <f>IF(OR(Database!$AU353="",Screener!$D$10=""),0,IF(Database!$AU353=Screener!$D$10,1,0))</f>
        <v/>
      </c>
      <c r="F353">
        <f>IF(OR(Database!$AZ353="",Screener!$D$11=""),0,IF(Database!$AZ353=Screener!$D$11,1,0))</f>
        <v/>
      </c>
      <c r="G353">
        <f>IF(OR(Database!$H353="",N(Screener!$D$12)&lt;=0),0,MAX(0,1-(N(Screener!$D$12)-Database!$H353)/W_RECD))</f>
        <v/>
      </c>
      <c r="H353">
        <f>IF($U$1="",0,N(ISNUMBER(SEARCH($U$1,Database!$X353&amp;""))))+IF($V$1="",0,N(ISNUMBER(SEARCH($V$1,Database!$X353&amp;""))))+IF($W$1="",0,N(ISNUMBER(SEARCH($W$1,Database!$X353&amp;""))))+IF($X$1="",0,N(ISNUMBER(SEARCH($X$1,Database!$X353&amp;""))))+IF($Y$1="",0,N(ISNUMBER(SEARCH($Y$1,Database!$X353&amp;""))))+IF(Screener!$B$17="",0,N(ISNUMBER(SEARCH(LOWER(Screener!$B$17),Database!$X353&amp;""))))</f>
        <v/>
      </c>
      <c r="I353">
        <f>IF(OR(N(Database!$AV353)&lt;=0,N(Screener!$D$13)&lt;=0),0,MAX(0,1-ABS(LOG10(N(Database!$AV353)/Screener!$D$13))/W_PEHW))</f>
        <v/>
      </c>
      <c r="J353">
        <f>IF(OR(N(Database!$S353)&lt;=0,N(Screener!$D$14)&lt;=0),0,MAX(0,1-ABS(LOG10(Database!$S353/Screener!$D$14))/0.6))</f>
        <v/>
      </c>
      <c r="K353">
        <f>IF(Database!$B353=Screener!$B$5,-999999,IF(ISNUMBER(SEARCH(","&amp;Database!$A353&amp;",",","&amp;SUBSTITUTE(Screener!$B$19," ","")&amp;",")),2000000,IF(IF(OR(Screener!$B$18="All",AND(Screener!$B$18="With A-share",(Database!$AZ353="Y")),AND(Screener!$B$18="Without A-share",NOT((Database!$AZ353="Y")))),1,0)=0,-999999,IF(Screener!$B$16="cornerstone overlap first",H353*100000,IF(Screener!$B$16="demand-similar first",J353*100000,0))+W_SUB*B353+W_SEC*C353*(1-B353)+W_SIZE*D353+W_PROF*E353+W_AH*F353+W_REC*G353+W_CS*H353+W_PE*I353)))+ROW()/1000000</f>
        <v/>
      </c>
      <c r="AA353">
        <f>Database!B342</f>
        <v/>
      </c>
      <c r="AB353">
        <f>Database!D342</f>
        <v/>
      </c>
      <c r="AC353">
        <f>Database!E342</f>
        <v/>
      </c>
      <c r="AD353">
        <f>Database!I342</f>
        <v/>
      </c>
      <c r="AE353">
        <f>Database!AU342</f>
        <v/>
      </c>
      <c r="AF353">
        <f>Database!AZ342</f>
        <v/>
      </c>
      <c r="AG353">
        <f>Database!H342</f>
        <v/>
      </c>
      <c r="AH353">
        <f>Database!AV342</f>
        <v/>
      </c>
    </row>
    <row r="354">
      <c r="A354">
        <f>Database!B354</f>
        <v/>
      </c>
      <c r="B354">
        <f>IF(AND(Screener!$D$8&lt;&gt;"",Database!$E354=Screener!$D$8),1,0)</f>
        <v/>
      </c>
      <c r="C354">
        <f>IF(AND(Screener!$D$7&lt;&gt;"",Database!$D354=Screener!$D$7),1,0)</f>
        <v/>
      </c>
      <c r="D354">
        <f>IF(OR(N(Database!$I354)&lt;=0,N(Screener!$D$9)&lt;=0),0,MAX(0,1-ABS(LOG10(N(Database!$I354)/Screener!$D$9))/W_SIZEHW))</f>
        <v/>
      </c>
      <c r="E354">
        <f>IF(OR(Database!$AU354="",Screener!$D$10=""),0,IF(Database!$AU354=Screener!$D$10,1,0))</f>
        <v/>
      </c>
      <c r="F354">
        <f>IF(OR(Database!$AZ354="",Screener!$D$11=""),0,IF(Database!$AZ354=Screener!$D$11,1,0))</f>
        <v/>
      </c>
      <c r="G354">
        <f>IF(OR(Database!$H354="",N(Screener!$D$12)&lt;=0),0,MAX(0,1-(N(Screener!$D$12)-Database!$H354)/W_RECD))</f>
        <v/>
      </c>
      <c r="H354">
        <f>IF($U$1="",0,N(ISNUMBER(SEARCH($U$1,Database!$X354&amp;""))))+IF($V$1="",0,N(ISNUMBER(SEARCH($V$1,Database!$X354&amp;""))))+IF($W$1="",0,N(ISNUMBER(SEARCH($W$1,Database!$X354&amp;""))))+IF($X$1="",0,N(ISNUMBER(SEARCH($X$1,Database!$X354&amp;""))))+IF($Y$1="",0,N(ISNUMBER(SEARCH($Y$1,Database!$X354&amp;""))))+IF(Screener!$B$17="",0,N(ISNUMBER(SEARCH(LOWER(Screener!$B$17),Database!$X354&amp;""))))</f>
        <v/>
      </c>
      <c r="I354">
        <f>IF(OR(N(Database!$AV354)&lt;=0,N(Screener!$D$13)&lt;=0),0,MAX(0,1-ABS(LOG10(N(Database!$AV354)/Screener!$D$13))/W_PEHW))</f>
        <v/>
      </c>
      <c r="J354">
        <f>IF(OR(N(Database!$S354)&lt;=0,N(Screener!$D$14)&lt;=0),0,MAX(0,1-ABS(LOG10(Database!$S354/Screener!$D$14))/0.6))</f>
        <v/>
      </c>
      <c r="K354">
        <f>IF(Database!$B354=Screener!$B$5,-999999,IF(ISNUMBER(SEARCH(","&amp;Database!$A354&amp;",",","&amp;SUBSTITUTE(Screener!$B$19," ","")&amp;",")),2000000,IF(IF(OR(Screener!$B$18="All",AND(Screener!$B$18="With A-share",(Database!$AZ354="Y")),AND(Screener!$B$18="Without A-share",NOT((Database!$AZ354="Y")))),1,0)=0,-999999,IF(Screener!$B$16="cornerstone overlap first",H354*100000,IF(Screener!$B$16="demand-similar first",J354*100000,0))+W_SUB*B354+W_SEC*C354*(1-B354)+W_SIZE*D354+W_PROF*E354+W_AH*F354+W_REC*G354+W_CS*H354+W_PE*I354)))+ROW()/1000000</f>
        <v/>
      </c>
      <c r="AA354">
        <f>Database!B343</f>
        <v/>
      </c>
      <c r="AB354">
        <f>Database!D343</f>
        <v/>
      </c>
      <c r="AC354">
        <f>Database!E343</f>
        <v/>
      </c>
      <c r="AD354">
        <f>Database!I343</f>
        <v/>
      </c>
      <c r="AE354">
        <f>Database!AU343</f>
        <v/>
      </c>
      <c r="AF354">
        <f>Database!AZ343</f>
        <v/>
      </c>
      <c r="AG354">
        <f>Database!H343</f>
        <v/>
      </c>
      <c r="AH354">
        <f>Database!AV343</f>
        <v/>
      </c>
    </row>
    <row r="355">
      <c r="A355">
        <f>Database!B355</f>
        <v/>
      </c>
      <c r="B355">
        <f>IF(AND(Screener!$D$8&lt;&gt;"",Database!$E355=Screener!$D$8),1,0)</f>
        <v/>
      </c>
      <c r="C355">
        <f>IF(AND(Screener!$D$7&lt;&gt;"",Database!$D355=Screener!$D$7),1,0)</f>
        <v/>
      </c>
      <c r="D355">
        <f>IF(OR(N(Database!$I355)&lt;=0,N(Screener!$D$9)&lt;=0),0,MAX(0,1-ABS(LOG10(N(Database!$I355)/Screener!$D$9))/W_SIZEHW))</f>
        <v/>
      </c>
      <c r="E355">
        <f>IF(OR(Database!$AU355="",Screener!$D$10=""),0,IF(Database!$AU355=Screener!$D$10,1,0))</f>
        <v/>
      </c>
      <c r="F355">
        <f>IF(OR(Database!$AZ355="",Screener!$D$11=""),0,IF(Database!$AZ355=Screener!$D$11,1,0))</f>
        <v/>
      </c>
      <c r="G355">
        <f>IF(OR(Database!$H355="",N(Screener!$D$12)&lt;=0),0,MAX(0,1-(N(Screener!$D$12)-Database!$H355)/W_RECD))</f>
        <v/>
      </c>
      <c r="H355">
        <f>IF($U$1="",0,N(ISNUMBER(SEARCH($U$1,Database!$X355&amp;""))))+IF($V$1="",0,N(ISNUMBER(SEARCH($V$1,Database!$X355&amp;""))))+IF($W$1="",0,N(ISNUMBER(SEARCH($W$1,Database!$X355&amp;""))))+IF($X$1="",0,N(ISNUMBER(SEARCH($X$1,Database!$X355&amp;""))))+IF($Y$1="",0,N(ISNUMBER(SEARCH($Y$1,Database!$X355&amp;""))))+IF(Screener!$B$17="",0,N(ISNUMBER(SEARCH(LOWER(Screener!$B$17),Database!$X355&amp;""))))</f>
        <v/>
      </c>
      <c r="I355">
        <f>IF(OR(N(Database!$AV355)&lt;=0,N(Screener!$D$13)&lt;=0),0,MAX(0,1-ABS(LOG10(N(Database!$AV355)/Screener!$D$13))/W_PEHW))</f>
        <v/>
      </c>
      <c r="J355">
        <f>IF(OR(N(Database!$S355)&lt;=0,N(Screener!$D$14)&lt;=0),0,MAX(0,1-ABS(LOG10(Database!$S355/Screener!$D$14))/0.6))</f>
        <v/>
      </c>
      <c r="K355">
        <f>IF(Database!$B355=Screener!$B$5,-999999,IF(ISNUMBER(SEARCH(","&amp;Database!$A355&amp;",",","&amp;SUBSTITUTE(Screener!$B$19," ","")&amp;",")),2000000,IF(IF(OR(Screener!$B$18="All",AND(Screener!$B$18="With A-share",(Database!$AZ355="Y")),AND(Screener!$B$18="Without A-share",NOT((Database!$AZ355="Y")))),1,0)=0,-999999,IF(Screener!$B$16="cornerstone overlap first",H355*100000,IF(Screener!$B$16="demand-similar first",J355*100000,0))+W_SUB*B355+W_SEC*C355*(1-B355)+W_SIZE*D355+W_PROF*E355+W_AH*F355+W_REC*G355+W_CS*H355+W_PE*I355)))+ROW()/1000000</f>
        <v/>
      </c>
      <c r="AA355">
        <f>Database!B344</f>
        <v/>
      </c>
      <c r="AB355">
        <f>Database!D344</f>
        <v/>
      </c>
      <c r="AC355">
        <f>Database!E344</f>
        <v/>
      </c>
      <c r="AD355">
        <f>Database!I344</f>
        <v/>
      </c>
      <c r="AE355">
        <f>Database!AU344</f>
        <v/>
      </c>
      <c r="AF355">
        <f>Database!AZ344</f>
        <v/>
      </c>
      <c r="AG355">
        <f>Database!H344</f>
        <v/>
      </c>
      <c r="AH355">
        <f>Database!AV344</f>
        <v/>
      </c>
    </row>
    <row r="356">
      <c r="A356">
        <f>Database!B356</f>
        <v/>
      </c>
      <c r="B356">
        <f>IF(AND(Screener!$D$8&lt;&gt;"",Database!$E356=Screener!$D$8),1,0)</f>
        <v/>
      </c>
      <c r="C356">
        <f>IF(AND(Screener!$D$7&lt;&gt;"",Database!$D356=Screener!$D$7),1,0)</f>
        <v/>
      </c>
      <c r="D356">
        <f>IF(OR(N(Database!$I356)&lt;=0,N(Screener!$D$9)&lt;=0),0,MAX(0,1-ABS(LOG10(N(Database!$I356)/Screener!$D$9))/W_SIZEHW))</f>
        <v/>
      </c>
      <c r="E356">
        <f>IF(OR(Database!$AU356="",Screener!$D$10=""),0,IF(Database!$AU356=Screener!$D$10,1,0))</f>
        <v/>
      </c>
      <c r="F356">
        <f>IF(OR(Database!$AZ356="",Screener!$D$11=""),0,IF(Database!$AZ356=Screener!$D$11,1,0))</f>
        <v/>
      </c>
      <c r="G356">
        <f>IF(OR(Database!$H356="",N(Screener!$D$12)&lt;=0),0,MAX(0,1-(N(Screener!$D$12)-Database!$H356)/W_RECD))</f>
        <v/>
      </c>
      <c r="H356">
        <f>IF($U$1="",0,N(ISNUMBER(SEARCH($U$1,Database!$X356&amp;""))))+IF($V$1="",0,N(ISNUMBER(SEARCH($V$1,Database!$X356&amp;""))))+IF($W$1="",0,N(ISNUMBER(SEARCH($W$1,Database!$X356&amp;""))))+IF($X$1="",0,N(ISNUMBER(SEARCH($X$1,Database!$X356&amp;""))))+IF($Y$1="",0,N(ISNUMBER(SEARCH($Y$1,Database!$X356&amp;""))))+IF(Screener!$B$17="",0,N(ISNUMBER(SEARCH(LOWER(Screener!$B$17),Database!$X356&amp;""))))</f>
        <v/>
      </c>
      <c r="I356">
        <f>IF(OR(N(Database!$AV356)&lt;=0,N(Screener!$D$13)&lt;=0),0,MAX(0,1-ABS(LOG10(N(Database!$AV356)/Screener!$D$13))/W_PEHW))</f>
        <v/>
      </c>
      <c r="J356">
        <f>IF(OR(N(Database!$S356)&lt;=0,N(Screener!$D$14)&lt;=0),0,MAX(0,1-ABS(LOG10(Database!$S356/Screener!$D$14))/0.6))</f>
        <v/>
      </c>
      <c r="K356">
        <f>IF(Database!$B356=Screener!$B$5,-999999,IF(ISNUMBER(SEARCH(","&amp;Database!$A356&amp;",",","&amp;SUBSTITUTE(Screener!$B$19," ","")&amp;",")),2000000,IF(IF(OR(Screener!$B$18="All",AND(Screener!$B$18="With A-share",(Database!$AZ356="Y")),AND(Screener!$B$18="Without A-share",NOT((Database!$AZ356="Y")))),1,0)=0,-999999,IF(Screener!$B$16="cornerstone overlap first",H356*100000,IF(Screener!$B$16="demand-similar first",J356*100000,0))+W_SUB*B356+W_SEC*C356*(1-B356)+W_SIZE*D356+W_PROF*E356+W_AH*F356+W_REC*G356+W_CS*H356+W_PE*I356)))+ROW()/1000000</f>
        <v/>
      </c>
      <c r="AA356">
        <f>Database!B345</f>
        <v/>
      </c>
      <c r="AB356">
        <f>Database!D345</f>
        <v/>
      </c>
      <c r="AC356">
        <f>Database!E345</f>
        <v/>
      </c>
      <c r="AD356">
        <f>Database!I345</f>
        <v/>
      </c>
      <c r="AE356">
        <f>Database!AU345</f>
        <v/>
      </c>
      <c r="AF356">
        <f>Database!AZ345</f>
        <v/>
      </c>
      <c r="AG356">
        <f>Database!H345</f>
        <v/>
      </c>
      <c r="AH356">
        <f>Database!AV345</f>
        <v/>
      </c>
    </row>
    <row r="357">
      <c r="A357">
        <f>Database!B357</f>
        <v/>
      </c>
      <c r="B357">
        <f>IF(AND(Screener!$D$8&lt;&gt;"",Database!$E357=Screener!$D$8),1,0)</f>
        <v/>
      </c>
      <c r="C357">
        <f>IF(AND(Screener!$D$7&lt;&gt;"",Database!$D357=Screener!$D$7),1,0)</f>
        <v/>
      </c>
      <c r="D357">
        <f>IF(OR(N(Database!$I357)&lt;=0,N(Screener!$D$9)&lt;=0),0,MAX(0,1-ABS(LOG10(N(Database!$I357)/Screener!$D$9))/W_SIZEHW))</f>
        <v/>
      </c>
      <c r="E357">
        <f>IF(OR(Database!$AU357="",Screener!$D$10=""),0,IF(Database!$AU357=Screener!$D$10,1,0))</f>
        <v/>
      </c>
      <c r="F357">
        <f>IF(OR(Database!$AZ357="",Screener!$D$11=""),0,IF(Database!$AZ357=Screener!$D$11,1,0))</f>
        <v/>
      </c>
      <c r="G357">
        <f>IF(OR(Database!$H357="",N(Screener!$D$12)&lt;=0),0,MAX(0,1-(N(Screener!$D$12)-Database!$H357)/W_RECD))</f>
        <v/>
      </c>
      <c r="H357">
        <f>IF($U$1="",0,N(ISNUMBER(SEARCH($U$1,Database!$X357&amp;""))))+IF($V$1="",0,N(ISNUMBER(SEARCH($V$1,Database!$X357&amp;""))))+IF($W$1="",0,N(ISNUMBER(SEARCH($W$1,Database!$X357&amp;""))))+IF($X$1="",0,N(ISNUMBER(SEARCH($X$1,Database!$X357&amp;""))))+IF($Y$1="",0,N(ISNUMBER(SEARCH($Y$1,Database!$X357&amp;""))))+IF(Screener!$B$17="",0,N(ISNUMBER(SEARCH(LOWER(Screener!$B$17),Database!$X357&amp;""))))</f>
        <v/>
      </c>
      <c r="I357">
        <f>IF(OR(N(Database!$AV357)&lt;=0,N(Screener!$D$13)&lt;=0),0,MAX(0,1-ABS(LOG10(N(Database!$AV357)/Screener!$D$13))/W_PEHW))</f>
        <v/>
      </c>
      <c r="J357">
        <f>IF(OR(N(Database!$S357)&lt;=0,N(Screener!$D$14)&lt;=0),0,MAX(0,1-ABS(LOG10(Database!$S357/Screener!$D$14))/0.6))</f>
        <v/>
      </c>
      <c r="K357">
        <f>IF(Database!$B357=Screener!$B$5,-999999,IF(ISNUMBER(SEARCH(","&amp;Database!$A357&amp;",",","&amp;SUBSTITUTE(Screener!$B$19," ","")&amp;",")),2000000,IF(IF(OR(Screener!$B$18="All",AND(Screener!$B$18="With A-share",(Database!$AZ357="Y")),AND(Screener!$B$18="Without A-share",NOT((Database!$AZ357="Y")))),1,0)=0,-999999,IF(Screener!$B$16="cornerstone overlap first",H357*100000,IF(Screener!$B$16="demand-similar first",J357*100000,0))+W_SUB*B357+W_SEC*C357*(1-B357)+W_SIZE*D357+W_PROF*E357+W_AH*F357+W_REC*G357+W_CS*H357+W_PE*I357)))+ROW()/1000000</f>
        <v/>
      </c>
      <c r="AA357">
        <f>Database!B346</f>
        <v/>
      </c>
      <c r="AB357">
        <f>Database!D346</f>
        <v/>
      </c>
      <c r="AC357">
        <f>Database!E346</f>
        <v/>
      </c>
      <c r="AD357">
        <f>Database!I346</f>
        <v/>
      </c>
      <c r="AE357">
        <f>Database!AU346</f>
        <v/>
      </c>
      <c r="AF357">
        <f>Database!AZ346</f>
        <v/>
      </c>
      <c r="AG357">
        <f>Database!H346</f>
        <v/>
      </c>
      <c r="AH357">
        <f>Database!AV346</f>
        <v/>
      </c>
    </row>
    <row r="358">
      <c r="A358">
        <f>Database!B358</f>
        <v/>
      </c>
      <c r="B358">
        <f>IF(AND(Screener!$D$8&lt;&gt;"",Database!$E358=Screener!$D$8),1,0)</f>
        <v/>
      </c>
      <c r="C358">
        <f>IF(AND(Screener!$D$7&lt;&gt;"",Database!$D358=Screener!$D$7),1,0)</f>
        <v/>
      </c>
      <c r="D358">
        <f>IF(OR(N(Database!$I358)&lt;=0,N(Screener!$D$9)&lt;=0),0,MAX(0,1-ABS(LOG10(N(Database!$I358)/Screener!$D$9))/W_SIZEHW))</f>
        <v/>
      </c>
      <c r="E358">
        <f>IF(OR(Database!$AU358="",Screener!$D$10=""),0,IF(Database!$AU358=Screener!$D$10,1,0))</f>
        <v/>
      </c>
      <c r="F358">
        <f>IF(OR(Database!$AZ358="",Screener!$D$11=""),0,IF(Database!$AZ358=Screener!$D$11,1,0))</f>
        <v/>
      </c>
      <c r="G358">
        <f>IF(OR(Database!$H358="",N(Screener!$D$12)&lt;=0),0,MAX(0,1-(N(Screener!$D$12)-Database!$H358)/W_RECD))</f>
        <v/>
      </c>
      <c r="H358">
        <f>IF($U$1="",0,N(ISNUMBER(SEARCH($U$1,Database!$X358&amp;""))))+IF($V$1="",0,N(ISNUMBER(SEARCH($V$1,Database!$X358&amp;""))))+IF($W$1="",0,N(ISNUMBER(SEARCH($W$1,Database!$X358&amp;""))))+IF($X$1="",0,N(ISNUMBER(SEARCH($X$1,Database!$X358&amp;""))))+IF($Y$1="",0,N(ISNUMBER(SEARCH($Y$1,Database!$X358&amp;""))))+IF(Screener!$B$17="",0,N(ISNUMBER(SEARCH(LOWER(Screener!$B$17),Database!$X358&amp;""))))</f>
        <v/>
      </c>
      <c r="I358">
        <f>IF(OR(N(Database!$AV358)&lt;=0,N(Screener!$D$13)&lt;=0),0,MAX(0,1-ABS(LOG10(N(Database!$AV358)/Screener!$D$13))/W_PEHW))</f>
        <v/>
      </c>
      <c r="J358">
        <f>IF(OR(N(Database!$S358)&lt;=0,N(Screener!$D$14)&lt;=0),0,MAX(0,1-ABS(LOG10(Database!$S358/Screener!$D$14))/0.6))</f>
        <v/>
      </c>
      <c r="K358">
        <f>IF(Database!$B358=Screener!$B$5,-999999,IF(ISNUMBER(SEARCH(","&amp;Database!$A358&amp;",",","&amp;SUBSTITUTE(Screener!$B$19," ","")&amp;",")),2000000,IF(IF(OR(Screener!$B$18="All",AND(Screener!$B$18="With A-share",(Database!$AZ358="Y")),AND(Screener!$B$18="Without A-share",NOT((Database!$AZ358="Y")))),1,0)=0,-999999,IF(Screener!$B$16="cornerstone overlap first",H358*100000,IF(Screener!$B$16="demand-similar first",J358*100000,0))+W_SUB*B358+W_SEC*C358*(1-B358)+W_SIZE*D358+W_PROF*E358+W_AH*F358+W_REC*G358+W_CS*H358+W_PE*I358)))+ROW()/1000000</f>
        <v/>
      </c>
      <c r="AA358">
        <f>Database!B347</f>
        <v/>
      </c>
      <c r="AB358">
        <f>Database!D347</f>
        <v/>
      </c>
      <c r="AC358">
        <f>Database!E347</f>
        <v/>
      </c>
      <c r="AD358">
        <f>Database!I347</f>
        <v/>
      </c>
      <c r="AE358">
        <f>Database!AU347</f>
        <v/>
      </c>
      <c r="AF358">
        <f>Database!AZ347</f>
        <v/>
      </c>
      <c r="AG358">
        <f>Database!H347</f>
        <v/>
      </c>
      <c r="AH358">
        <f>Database!AV347</f>
        <v/>
      </c>
    </row>
    <row r="359">
      <c r="A359">
        <f>Database!B359</f>
        <v/>
      </c>
      <c r="B359">
        <f>IF(AND(Screener!$D$8&lt;&gt;"",Database!$E359=Screener!$D$8),1,0)</f>
        <v/>
      </c>
      <c r="C359">
        <f>IF(AND(Screener!$D$7&lt;&gt;"",Database!$D359=Screener!$D$7),1,0)</f>
        <v/>
      </c>
      <c r="D359">
        <f>IF(OR(N(Database!$I359)&lt;=0,N(Screener!$D$9)&lt;=0),0,MAX(0,1-ABS(LOG10(N(Database!$I359)/Screener!$D$9))/W_SIZEHW))</f>
        <v/>
      </c>
      <c r="E359">
        <f>IF(OR(Database!$AU359="",Screener!$D$10=""),0,IF(Database!$AU359=Screener!$D$10,1,0))</f>
        <v/>
      </c>
      <c r="F359">
        <f>IF(OR(Database!$AZ359="",Screener!$D$11=""),0,IF(Database!$AZ359=Screener!$D$11,1,0))</f>
        <v/>
      </c>
      <c r="G359">
        <f>IF(OR(Database!$H359="",N(Screener!$D$12)&lt;=0),0,MAX(0,1-(N(Screener!$D$12)-Database!$H359)/W_RECD))</f>
        <v/>
      </c>
      <c r="H359">
        <f>IF($U$1="",0,N(ISNUMBER(SEARCH($U$1,Database!$X359&amp;""))))+IF($V$1="",0,N(ISNUMBER(SEARCH($V$1,Database!$X359&amp;""))))+IF($W$1="",0,N(ISNUMBER(SEARCH($W$1,Database!$X359&amp;""))))+IF($X$1="",0,N(ISNUMBER(SEARCH($X$1,Database!$X359&amp;""))))+IF($Y$1="",0,N(ISNUMBER(SEARCH($Y$1,Database!$X359&amp;""))))+IF(Screener!$B$17="",0,N(ISNUMBER(SEARCH(LOWER(Screener!$B$17),Database!$X359&amp;""))))</f>
        <v/>
      </c>
      <c r="I359">
        <f>IF(OR(N(Database!$AV359)&lt;=0,N(Screener!$D$13)&lt;=0),0,MAX(0,1-ABS(LOG10(N(Database!$AV359)/Screener!$D$13))/W_PEHW))</f>
        <v/>
      </c>
      <c r="J359">
        <f>IF(OR(N(Database!$S359)&lt;=0,N(Screener!$D$14)&lt;=0),0,MAX(0,1-ABS(LOG10(Database!$S359/Screener!$D$14))/0.6))</f>
        <v/>
      </c>
      <c r="K359">
        <f>IF(Database!$B359=Screener!$B$5,-999999,IF(ISNUMBER(SEARCH(","&amp;Database!$A359&amp;",",","&amp;SUBSTITUTE(Screener!$B$19," ","")&amp;",")),2000000,IF(IF(OR(Screener!$B$18="All",AND(Screener!$B$18="With A-share",(Database!$AZ359="Y")),AND(Screener!$B$18="Without A-share",NOT((Database!$AZ359="Y")))),1,0)=0,-999999,IF(Screener!$B$16="cornerstone overlap first",H359*100000,IF(Screener!$B$16="demand-similar first",J359*100000,0))+W_SUB*B359+W_SEC*C359*(1-B359)+W_SIZE*D359+W_PROF*E359+W_AH*F359+W_REC*G359+W_CS*H359+W_PE*I359)))+ROW()/1000000</f>
        <v/>
      </c>
      <c r="AA359">
        <f>Database!B348</f>
        <v/>
      </c>
      <c r="AB359">
        <f>Database!D348</f>
        <v/>
      </c>
      <c r="AC359">
        <f>Database!E348</f>
        <v/>
      </c>
      <c r="AD359">
        <f>Database!I348</f>
        <v/>
      </c>
      <c r="AE359">
        <f>Database!AU348</f>
        <v/>
      </c>
      <c r="AF359">
        <f>Database!AZ348</f>
        <v/>
      </c>
      <c r="AG359">
        <f>Database!H348</f>
        <v/>
      </c>
      <c r="AH359">
        <f>Database!AV348</f>
        <v/>
      </c>
    </row>
    <row r="360">
      <c r="A360">
        <f>Database!B360</f>
        <v/>
      </c>
      <c r="B360">
        <f>IF(AND(Screener!$D$8&lt;&gt;"",Database!$E360=Screener!$D$8),1,0)</f>
        <v/>
      </c>
      <c r="C360">
        <f>IF(AND(Screener!$D$7&lt;&gt;"",Database!$D360=Screener!$D$7),1,0)</f>
        <v/>
      </c>
      <c r="D360">
        <f>IF(OR(N(Database!$I360)&lt;=0,N(Screener!$D$9)&lt;=0),0,MAX(0,1-ABS(LOG10(N(Database!$I360)/Screener!$D$9))/W_SIZEHW))</f>
        <v/>
      </c>
      <c r="E360">
        <f>IF(OR(Database!$AU360="",Screener!$D$10=""),0,IF(Database!$AU360=Screener!$D$10,1,0))</f>
        <v/>
      </c>
      <c r="F360">
        <f>IF(OR(Database!$AZ360="",Screener!$D$11=""),0,IF(Database!$AZ360=Screener!$D$11,1,0))</f>
        <v/>
      </c>
      <c r="G360">
        <f>IF(OR(Database!$H360="",N(Screener!$D$12)&lt;=0),0,MAX(0,1-(N(Screener!$D$12)-Database!$H360)/W_RECD))</f>
        <v/>
      </c>
      <c r="H360">
        <f>IF($U$1="",0,N(ISNUMBER(SEARCH($U$1,Database!$X360&amp;""))))+IF($V$1="",0,N(ISNUMBER(SEARCH($V$1,Database!$X360&amp;""))))+IF($W$1="",0,N(ISNUMBER(SEARCH($W$1,Database!$X360&amp;""))))+IF($X$1="",0,N(ISNUMBER(SEARCH($X$1,Database!$X360&amp;""))))+IF($Y$1="",0,N(ISNUMBER(SEARCH($Y$1,Database!$X360&amp;""))))+IF(Screener!$B$17="",0,N(ISNUMBER(SEARCH(LOWER(Screener!$B$17),Database!$X360&amp;""))))</f>
        <v/>
      </c>
      <c r="I360">
        <f>IF(OR(N(Database!$AV360)&lt;=0,N(Screener!$D$13)&lt;=0),0,MAX(0,1-ABS(LOG10(N(Database!$AV360)/Screener!$D$13))/W_PEHW))</f>
        <v/>
      </c>
      <c r="J360">
        <f>IF(OR(N(Database!$S360)&lt;=0,N(Screener!$D$14)&lt;=0),0,MAX(0,1-ABS(LOG10(Database!$S360/Screener!$D$14))/0.6))</f>
        <v/>
      </c>
      <c r="K360">
        <f>IF(Database!$B360=Screener!$B$5,-999999,IF(ISNUMBER(SEARCH(","&amp;Database!$A360&amp;",",","&amp;SUBSTITUTE(Screener!$B$19," ","")&amp;",")),2000000,IF(IF(OR(Screener!$B$18="All",AND(Screener!$B$18="With A-share",(Database!$AZ360="Y")),AND(Screener!$B$18="Without A-share",NOT((Database!$AZ360="Y")))),1,0)=0,-999999,IF(Screener!$B$16="cornerstone overlap first",H360*100000,IF(Screener!$B$16="demand-similar first",J360*100000,0))+W_SUB*B360+W_SEC*C360*(1-B360)+W_SIZE*D360+W_PROF*E360+W_AH*F360+W_REC*G360+W_CS*H360+W_PE*I360)))+ROW()/1000000</f>
        <v/>
      </c>
      <c r="AA360">
        <f>Database!B349</f>
        <v/>
      </c>
      <c r="AB360">
        <f>Database!D349</f>
        <v/>
      </c>
      <c r="AC360">
        <f>Database!E349</f>
        <v/>
      </c>
      <c r="AD360">
        <f>Database!I349</f>
        <v/>
      </c>
      <c r="AE360">
        <f>Database!AU349</f>
        <v/>
      </c>
      <c r="AF360">
        <f>Database!AZ349</f>
        <v/>
      </c>
      <c r="AG360">
        <f>Database!H349</f>
        <v/>
      </c>
      <c r="AH360">
        <f>Database!AV349</f>
        <v/>
      </c>
    </row>
    <row r="361">
      <c r="A361">
        <f>Database!B361</f>
        <v/>
      </c>
      <c r="B361">
        <f>IF(AND(Screener!$D$8&lt;&gt;"",Database!$E361=Screener!$D$8),1,0)</f>
        <v/>
      </c>
      <c r="C361">
        <f>IF(AND(Screener!$D$7&lt;&gt;"",Database!$D361=Screener!$D$7),1,0)</f>
        <v/>
      </c>
      <c r="D361">
        <f>IF(OR(N(Database!$I361)&lt;=0,N(Screener!$D$9)&lt;=0),0,MAX(0,1-ABS(LOG10(N(Database!$I361)/Screener!$D$9))/W_SIZEHW))</f>
        <v/>
      </c>
      <c r="E361">
        <f>IF(OR(Database!$AU361="",Screener!$D$10=""),0,IF(Database!$AU361=Screener!$D$10,1,0))</f>
        <v/>
      </c>
      <c r="F361">
        <f>IF(OR(Database!$AZ361="",Screener!$D$11=""),0,IF(Database!$AZ361=Screener!$D$11,1,0))</f>
        <v/>
      </c>
      <c r="G361">
        <f>IF(OR(Database!$H361="",N(Screener!$D$12)&lt;=0),0,MAX(0,1-(N(Screener!$D$12)-Database!$H361)/W_RECD))</f>
        <v/>
      </c>
      <c r="H361">
        <f>IF($U$1="",0,N(ISNUMBER(SEARCH($U$1,Database!$X361&amp;""))))+IF($V$1="",0,N(ISNUMBER(SEARCH($V$1,Database!$X361&amp;""))))+IF($W$1="",0,N(ISNUMBER(SEARCH($W$1,Database!$X361&amp;""))))+IF($X$1="",0,N(ISNUMBER(SEARCH($X$1,Database!$X361&amp;""))))+IF($Y$1="",0,N(ISNUMBER(SEARCH($Y$1,Database!$X361&amp;""))))+IF(Screener!$B$17="",0,N(ISNUMBER(SEARCH(LOWER(Screener!$B$17),Database!$X361&amp;""))))</f>
        <v/>
      </c>
      <c r="I361">
        <f>IF(OR(N(Database!$AV361)&lt;=0,N(Screener!$D$13)&lt;=0),0,MAX(0,1-ABS(LOG10(N(Database!$AV361)/Screener!$D$13))/W_PEHW))</f>
        <v/>
      </c>
      <c r="J361">
        <f>IF(OR(N(Database!$S361)&lt;=0,N(Screener!$D$14)&lt;=0),0,MAX(0,1-ABS(LOG10(Database!$S361/Screener!$D$14))/0.6))</f>
        <v/>
      </c>
      <c r="K361">
        <f>IF(Database!$B361=Screener!$B$5,-999999,IF(ISNUMBER(SEARCH(","&amp;Database!$A361&amp;",",","&amp;SUBSTITUTE(Screener!$B$19," ","")&amp;",")),2000000,IF(IF(OR(Screener!$B$18="All",AND(Screener!$B$18="With A-share",(Database!$AZ361="Y")),AND(Screener!$B$18="Without A-share",NOT((Database!$AZ361="Y")))),1,0)=0,-999999,IF(Screener!$B$16="cornerstone overlap first",H361*100000,IF(Screener!$B$16="demand-similar first",J361*100000,0))+W_SUB*B361+W_SEC*C361*(1-B361)+W_SIZE*D361+W_PROF*E361+W_AH*F361+W_REC*G361+W_CS*H361+W_PE*I361)))+ROW()/1000000</f>
        <v/>
      </c>
      <c r="AA361">
        <f>Database!B350</f>
        <v/>
      </c>
      <c r="AB361">
        <f>Database!D350</f>
        <v/>
      </c>
      <c r="AC361">
        <f>Database!E350</f>
        <v/>
      </c>
      <c r="AD361">
        <f>Database!I350</f>
        <v/>
      </c>
      <c r="AE361">
        <f>Database!AU350</f>
        <v/>
      </c>
      <c r="AF361">
        <f>Database!AZ350</f>
        <v/>
      </c>
      <c r="AG361">
        <f>Database!H350</f>
        <v/>
      </c>
      <c r="AH361">
        <f>Database!AV350</f>
        <v/>
      </c>
    </row>
    <row r="362">
      <c r="A362">
        <f>Database!B362</f>
        <v/>
      </c>
      <c r="B362">
        <f>IF(AND(Screener!$D$8&lt;&gt;"",Database!$E362=Screener!$D$8),1,0)</f>
        <v/>
      </c>
      <c r="C362">
        <f>IF(AND(Screener!$D$7&lt;&gt;"",Database!$D362=Screener!$D$7),1,0)</f>
        <v/>
      </c>
      <c r="D362">
        <f>IF(OR(N(Database!$I362)&lt;=0,N(Screener!$D$9)&lt;=0),0,MAX(0,1-ABS(LOG10(N(Database!$I362)/Screener!$D$9))/W_SIZEHW))</f>
        <v/>
      </c>
      <c r="E362">
        <f>IF(OR(Database!$AU362="",Screener!$D$10=""),0,IF(Database!$AU362=Screener!$D$10,1,0))</f>
        <v/>
      </c>
      <c r="F362">
        <f>IF(OR(Database!$AZ362="",Screener!$D$11=""),0,IF(Database!$AZ362=Screener!$D$11,1,0))</f>
        <v/>
      </c>
      <c r="G362">
        <f>IF(OR(Database!$H362="",N(Screener!$D$12)&lt;=0),0,MAX(0,1-(N(Screener!$D$12)-Database!$H362)/W_RECD))</f>
        <v/>
      </c>
      <c r="H362">
        <f>IF($U$1="",0,N(ISNUMBER(SEARCH($U$1,Database!$X362&amp;""))))+IF($V$1="",0,N(ISNUMBER(SEARCH($V$1,Database!$X362&amp;""))))+IF($W$1="",0,N(ISNUMBER(SEARCH($W$1,Database!$X362&amp;""))))+IF($X$1="",0,N(ISNUMBER(SEARCH($X$1,Database!$X362&amp;""))))+IF($Y$1="",0,N(ISNUMBER(SEARCH($Y$1,Database!$X362&amp;""))))+IF(Screener!$B$17="",0,N(ISNUMBER(SEARCH(LOWER(Screener!$B$17),Database!$X362&amp;""))))</f>
        <v/>
      </c>
      <c r="I362">
        <f>IF(OR(N(Database!$AV362)&lt;=0,N(Screener!$D$13)&lt;=0),0,MAX(0,1-ABS(LOG10(N(Database!$AV362)/Screener!$D$13))/W_PEHW))</f>
        <v/>
      </c>
      <c r="J362">
        <f>IF(OR(N(Database!$S362)&lt;=0,N(Screener!$D$14)&lt;=0),0,MAX(0,1-ABS(LOG10(Database!$S362/Screener!$D$14))/0.6))</f>
        <v/>
      </c>
      <c r="K362">
        <f>IF(Database!$B362=Screener!$B$5,-999999,IF(ISNUMBER(SEARCH(","&amp;Database!$A362&amp;",",","&amp;SUBSTITUTE(Screener!$B$19," ","")&amp;",")),2000000,IF(IF(OR(Screener!$B$18="All",AND(Screener!$B$18="With A-share",(Database!$AZ362="Y")),AND(Screener!$B$18="Without A-share",NOT((Database!$AZ362="Y")))),1,0)=0,-999999,IF(Screener!$B$16="cornerstone overlap first",H362*100000,IF(Screener!$B$16="demand-similar first",J362*100000,0))+W_SUB*B362+W_SEC*C362*(1-B362)+W_SIZE*D362+W_PROF*E362+W_AH*F362+W_REC*G362+W_CS*H362+W_PE*I362)))+ROW()/1000000</f>
        <v/>
      </c>
      <c r="AA362">
        <f>Database!B351</f>
        <v/>
      </c>
      <c r="AB362">
        <f>Database!D351</f>
        <v/>
      </c>
      <c r="AC362">
        <f>Database!E351</f>
        <v/>
      </c>
      <c r="AD362">
        <f>Database!I351</f>
        <v/>
      </c>
      <c r="AE362">
        <f>Database!AU351</f>
        <v/>
      </c>
      <c r="AF362">
        <f>Database!AZ351</f>
        <v/>
      </c>
      <c r="AG362">
        <f>Database!H351</f>
        <v/>
      </c>
      <c r="AH362">
        <f>Database!AV351</f>
        <v/>
      </c>
    </row>
    <row r="363">
      <c r="A363">
        <f>Database!B363</f>
        <v/>
      </c>
      <c r="B363">
        <f>IF(AND(Screener!$D$8&lt;&gt;"",Database!$E363=Screener!$D$8),1,0)</f>
        <v/>
      </c>
      <c r="C363">
        <f>IF(AND(Screener!$D$7&lt;&gt;"",Database!$D363=Screener!$D$7),1,0)</f>
        <v/>
      </c>
      <c r="D363">
        <f>IF(OR(N(Database!$I363)&lt;=0,N(Screener!$D$9)&lt;=0),0,MAX(0,1-ABS(LOG10(N(Database!$I363)/Screener!$D$9))/W_SIZEHW))</f>
        <v/>
      </c>
      <c r="E363">
        <f>IF(OR(Database!$AU363="",Screener!$D$10=""),0,IF(Database!$AU363=Screener!$D$10,1,0))</f>
        <v/>
      </c>
      <c r="F363">
        <f>IF(OR(Database!$AZ363="",Screener!$D$11=""),0,IF(Database!$AZ363=Screener!$D$11,1,0))</f>
        <v/>
      </c>
      <c r="G363">
        <f>IF(OR(Database!$H363="",N(Screener!$D$12)&lt;=0),0,MAX(0,1-(N(Screener!$D$12)-Database!$H363)/W_RECD))</f>
        <v/>
      </c>
      <c r="H363">
        <f>IF($U$1="",0,N(ISNUMBER(SEARCH($U$1,Database!$X363&amp;""))))+IF($V$1="",0,N(ISNUMBER(SEARCH($V$1,Database!$X363&amp;""))))+IF($W$1="",0,N(ISNUMBER(SEARCH($W$1,Database!$X363&amp;""))))+IF($X$1="",0,N(ISNUMBER(SEARCH($X$1,Database!$X363&amp;""))))+IF($Y$1="",0,N(ISNUMBER(SEARCH($Y$1,Database!$X363&amp;""))))+IF(Screener!$B$17="",0,N(ISNUMBER(SEARCH(LOWER(Screener!$B$17),Database!$X363&amp;""))))</f>
        <v/>
      </c>
      <c r="I363">
        <f>IF(OR(N(Database!$AV363)&lt;=0,N(Screener!$D$13)&lt;=0),0,MAX(0,1-ABS(LOG10(N(Database!$AV363)/Screener!$D$13))/W_PEHW))</f>
        <v/>
      </c>
      <c r="J363">
        <f>IF(OR(N(Database!$S363)&lt;=0,N(Screener!$D$14)&lt;=0),0,MAX(0,1-ABS(LOG10(Database!$S363/Screener!$D$14))/0.6))</f>
        <v/>
      </c>
      <c r="K363">
        <f>IF(Database!$B363=Screener!$B$5,-999999,IF(ISNUMBER(SEARCH(","&amp;Database!$A363&amp;",",","&amp;SUBSTITUTE(Screener!$B$19," ","")&amp;",")),2000000,IF(IF(OR(Screener!$B$18="All",AND(Screener!$B$18="With A-share",(Database!$AZ363="Y")),AND(Screener!$B$18="Without A-share",NOT((Database!$AZ363="Y")))),1,0)=0,-999999,IF(Screener!$B$16="cornerstone overlap first",H363*100000,IF(Screener!$B$16="demand-similar first",J363*100000,0))+W_SUB*B363+W_SEC*C363*(1-B363)+W_SIZE*D363+W_PROF*E363+W_AH*F363+W_REC*G363+W_CS*H363+W_PE*I363)))+ROW()/1000000</f>
        <v/>
      </c>
      <c r="AA363">
        <f>Database!B352</f>
        <v/>
      </c>
      <c r="AB363">
        <f>Database!D352</f>
        <v/>
      </c>
      <c r="AC363">
        <f>Database!E352</f>
        <v/>
      </c>
      <c r="AD363">
        <f>Database!I352</f>
        <v/>
      </c>
      <c r="AE363">
        <f>Database!AU352</f>
        <v/>
      </c>
      <c r="AF363">
        <f>Database!AZ352</f>
        <v/>
      </c>
      <c r="AG363">
        <f>Database!H352</f>
        <v/>
      </c>
      <c r="AH363">
        <f>Database!AV352</f>
        <v/>
      </c>
    </row>
    <row r="364">
      <c r="A364">
        <f>Database!B364</f>
        <v/>
      </c>
      <c r="B364">
        <f>IF(AND(Screener!$D$8&lt;&gt;"",Database!$E364=Screener!$D$8),1,0)</f>
        <v/>
      </c>
      <c r="C364">
        <f>IF(AND(Screener!$D$7&lt;&gt;"",Database!$D364=Screener!$D$7),1,0)</f>
        <v/>
      </c>
      <c r="D364">
        <f>IF(OR(N(Database!$I364)&lt;=0,N(Screener!$D$9)&lt;=0),0,MAX(0,1-ABS(LOG10(N(Database!$I364)/Screener!$D$9))/W_SIZEHW))</f>
        <v/>
      </c>
      <c r="E364">
        <f>IF(OR(Database!$AU364="",Screener!$D$10=""),0,IF(Database!$AU364=Screener!$D$10,1,0))</f>
        <v/>
      </c>
      <c r="F364">
        <f>IF(OR(Database!$AZ364="",Screener!$D$11=""),0,IF(Database!$AZ364=Screener!$D$11,1,0))</f>
        <v/>
      </c>
      <c r="G364">
        <f>IF(OR(Database!$H364="",N(Screener!$D$12)&lt;=0),0,MAX(0,1-(N(Screener!$D$12)-Database!$H364)/W_RECD))</f>
        <v/>
      </c>
      <c r="H364">
        <f>IF($U$1="",0,N(ISNUMBER(SEARCH($U$1,Database!$X364&amp;""))))+IF($V$1="",0,N(ISNUMBER(SEARCH($V$1,Database!$X364&amp;""))))+IF($W$1="",0,N(ISNUMBER(SEARCH($W$1,Database!$X364&amp;""))))+IF($X$1="",0,N(ISNUMBER(SEARCH($X$1,Database!$X364&amp;""))))+IF($Y$1="",0,N(ISNUMBER(SEARCH($Y$1,Database!$X364&amp;""))))+IF(Screener!$B$17="",0,N(ISNUMBER(SEARCH(LOWER(Screener!$B$17),Database!$X364&amp;""))))</f>
        <v/>
      </c>
      <c r="I364">
        <f>IF(OR(N(Database!$AV364)&lt;=0,N(Screener!$D$13)&lt;=0),0,MAX(0,1-ABS(LOG10(N(Database!$AV364)/Screener!$D$13))/W_PEHW))</f>
        <v/>
      </c>
      <c r="J364">
        <f>IF(OR(N(Database!$S364)&lt;=0,N(Screener!$D$14)&lt;=0),0,MAX(0,1-ABS(LOG10(Database!$S364/Screener!$D$14))/0.6))</f>
        <v/>
      </c>
      <c r="K364">
        <f>IF(Database!$B364=Screener!$B$5,-999999,IF(ISNUMBER(SEARCH(","&amp;Database!$A364&amp;",",","&amp;SUBSTITUTE(Screener!$B$19," ","")&amp;",")),2000000,IF(IF(OR(Screener!$B$18="All",AND(Screener!$B$18="With A-share",(Database!$AZ364="Y")),AND(Screener!$B$18="Without A-share",NOT((Database!$AZ364="Y")))),1,0)=0,-999999,IF(Screener!$B$16="cornerstone overlap first",H364*100000,IF(Screener!$B$16="demand-similar first",J364*100000,0))+W_SUB*B364+W_SEC*C364*(1-B364)+W_SIZE*D364+W_PROF*E364+W_AH*F364+W_REC*G364+W_CS*H364+W_PE*I364)))+ROW()/1000000</f>
        <v/>
      </c>
      <c r="AA364">
        <f>Database!B353</f>
        <v/>
      </c>
      <c r="AB364">
        <f>Database!D353</f>
        <v/>
      </c>
      <c r="AC364">
        <f>Database!E353</f>
        <v/>
      </c>
      <c r="AD364">
        <f>Database!I353</f>
        <v/>
      </c>
      <c r="AE364">
        <f>Database!AU353</f>
        <v/>
      </c>
      <c r="AF364">
        <f>Database!AZ353</f>
        <v/>
      </c>
      <c r="AG364">
        <f>Database!H353</f>
        <v/>
      </c>
      <c r="AH364">
        <f>Database!AV353</f>
        <v/>
      </c>
    </row>
    <row r="365">
      <c r="A365">
        <f>Database!B365</f>
        <v/>
      </c>
      <c r="B365">
        <f>IF(AND(Screener!$D$8&lt;&gt;"",Database!$E365=Screener!$D$8),1,0)</f>
        <v/>
      </c>
      <c r="C365">
        <f>IF(AND(Screener!$D$7&lt;&gt;"",Database!$D365=Screener!$D$7),1,0)</f>
        <v/>
      </c>
      <c r="D365">
        <f>IF(OR(N(Database!$I365)&lt;=0,N(Screener!$D$9)&lt;=0),0,MAX(0,1-ABS(LOG10(N(Database!$I365)/Screener!$D$9))/W_SIZEHW))</f>
        <v/>
      </c>
      <c r="E365">
        <f>IF(OR(Database!$AU365="",Screener!$D$10=""),0,IF(Database!$AU365=Screener!$D$10,1,0))</f>
        <v/>
      </c>
      <c r="F365">
        <f>IF(OR(Database!$AZ365="",Screener!$D$11=""),0,IF(Database!$AZ365=Screener!$D$11,1,0))</f>
        <v/>
      </c>
      <c r="G365">
        <f>IF(OR(Database!$H365="",N(Screener!$D$12)&lt;=0),0,MAX(0,1-(N(Screener!$D$12)-Database!$H365)/W_RECD))</f>
        <v/>
      </c>
      <c r="H365">
        <f>IF($U$1="",0,N(ISNUMBER(SEARCH($U$1,Database!$X365&amp;""))))+IF($V$1="",0,N(ISNUMBER(SEARCH($V$1,Database!$X365&amp;""))))+IF($W$1="",0,N(ISNUMBER(SEARCH($W$1,Database!$X365&amp;""))))+IF($X$1="",0,N(ISNUMBER(SEARCH($X$1,Database!$X365&amp;""))))+IF($Y$1="",0,N(ISNUMBER(SEARCH($Y$1,Database!$X365&amp;""))))+IF(Screener!$B$17="",0,N(ISNUMBER(SEARCH(LOWER(Screener!$B$17),Database!$X365&amp;""))))</f>
        <v/>
      </c>
      <c r="I365">
        <f>IF(OR(N(Database!$AV365)&lt;=0,N(Screener!$D$13)&lt;=0),0,MAX(0,1-ABS(LOG10(N(Database!$AV365)/Screener!$D$13))/W_PEHW))</f>
        <v/>
      </c>
      <c r="J365">
        <f>IF(OR(N(Database!$S365)&lt;=0,N(Screener!$D$14)&lt;=0),0,MAX(0,1-ABS(LOG10(Database!$S365/Screener!$D$14))/0.6))</f>
        <v/>
      </c>
      <c r="K365">
        <f>IF(Database!$B365=Screener!$B$5,-999999,IF(ISNUMBER(SEARCH(","&amp;Database!$A365&amp;",",","&amp;SUBSTITUTE(Screener!$B$19," ","")&amp;",")),2000000,IF(IF(OR(Screener!$B$18="All",AND(Screener!$B$18="With A-share",(Database!$AZ365="Y")),AND(Screener!$B$18="Without A-share",NOT((Database!$AZ365="Y")))),1,0)=0,-999999,IF(Screener!$B$16="cornerstone overlap first",H365*100000,IF(Screener!$B$16="demand-similar first",J365*100000,0))+W_SUB*B365+W_SEC*C365*(1-B365)+W_SIZE*D365+W_PROF*E365+W_AH*F365+W_REC*G365+W_CS*H365+W_PE*I365)))+ROW()/1000000</f>
        <v/>
      </c>
      <c r="AA365">
        <f>Database!B354</f>
        <v/>
      </c>
      <c r="AB365">
        <f>Database!D354</f>
        <v/>
      </c>
      <c r="AC365">
        <f>Database!E354</f>
        <v/>
      </c>
      <c r="AD365">
        <f>Database!I354</f>
        <v/>
      </c>
      <c r="AE365">
        <f>Database!AU354</f>
        <v/>
      </c>
      <c r="AF365">
        <f>Database!AZ354</f>
        <v/>
      </c>
      <c r="AG365">
        <f>Database!H354</f>
        <v/>
      </c>
      <c r="AH365">
        <f>Database!AV354</f>
        <v/>
      </c>
    </row>
    <row r="366">
      <c r="A366">
        <f>Database!B366</f>
        <v/>
      </c>
      <c r="B366">
        <f>IF(AND(Screener!$D$8&lt;&gt;"",Database!$E366=Screener!$D$8),1,0)</f>
        <v/>
      </c>
      <c r="C366">
        <f>IF(AND(Screener!$D$7&lt;&gt;"",Database!$D366=Screener!$D$7),1,0)</f>
        <v/>
      </c>
      <c r="D366">
        <f>IF(OR(N(Database!$I366)&lt;=0,N(Screener!$D$9)&lt;=0),0,MAX(0,1-ABS(LOG10(N(Database!$I366)/Screener!$D$9))/W_SIZEHW))</f>
        <v/>
      </c>
      <c r="E366">
        <f>IF(OR(Database!$AU366="",Screener!$D$10=""),0,IF(Database!$AU366=Screener!$D$10,1,0))</f>
        <v/>
      </c>
      <c r="F366">
        <f>IF(OR(Database!$AZ366="",Screener!$D$11=""),0,IF(Database!$AZ366=Screener!$D$11,1,0))</f>
        <v/>
      </c>
      <c r="G366">
        <f>IF(OR(Database!$H366="",N(Screener!$D$12)&lt;=0),0,MAX(0,1-(N(Screener!$D$12)-Database!$H366)/W_RECD))</f>
        <v/>
      </c>
      <c r="H366">
        <f>IF($U$1="",0,N(ISNUMBER(SEARCH($U$1,Database!$X366&amp;""))))+IF($V$1="",0,N(ISNUMBER(SEARCH($V$1,Database!$X366&amp;""))))+IF($W$1="",0,N(ISNUMBER(SEARCH($W$1,Database!$X366&amp;""))))+IF($X$1="",0,N(ISNUMBER(SEARCH($X$1,Database!$X366&amp;""))))+IF($Y$1="",0,N(ISNUMBER(SEARCH($Y$1,Database!$X366&amp;""))))+IF(Screener!$B$17="",0,N(ISNUMBER(SEARCH(LOWER(Screener!$B$17),Database!$X366&amp;""))))</f>
        <v/>
      </c>
      <c r="I366">
        <f>IF(OR(N(Database!$AV366)&lt;=0,N(Screener!$D$13)&lt;=0),0,MAX(0,1-ABS(LOG10(N(Database!$AV366)/Screener!$D$13))/W_PEHW))</f>
        <v/>
      </c>
      <c r="J366">
        <f>IF(OR(N(Database!$S366)&lt;=0,N(Screener!$D$14)&lt;=0),0,MAX(0,1-ABS(LOG10(Database!$S366/Screener!$D$14))/0.6))</f>
        <v/>
      </c>
      <c r="K366">
        <f>IF(Database!$B366=Screener!$B$5,-999999,IF(ISNUMBER(SEARCH(","&amp;Database!$A366&amp;",",","&amp;SUBSTITUTE(Screener!$B$19," ","")&amp;",")),2000000,IF(IF(OR(Screener!$B$18="All",AND(Screener!$B$18="With A-share",(Database!$AZ366="Y")),AND(Screener!$B$18="Without A-share",NOT((Database!$AZ366="Y")))),1,0)=0,-999999,IF(Screener!$B$16="cornerstone overlap first",H366*100000,IF(Screener!$B$16="demand-similar first",J366*100000,0))+W_SUB*B366+W_SEC*C366*(1-B366)+W_SIZE*D366+W_PROF*E366+W_AH*F366+W_REC*G366+W_CS*H366+W_PE*I366)))+ROW()/1000000</f>
        <v/>
      </c>
      <c r="AA366">
        <f>Database!B355</f>
        <v/>
      </c>
      <c r="AB366">
        <f>Database!D355</f>
        <v/>
      </c>
      <c r="AC366">
        <f>Database!E355</f>
        <v/>
      </c>
      <c r="AD366">
        <f>Database!I355</f>
        <v/>
      </c>
      <c r="AE366">
        <f>Database!AU355</f>
        <v/>
      </c>
      <c r="AF366">
        <f>Database!AZ355</f>
        <v/>
      </c>
      <c r="AG366">
        <f>Database!H355</f>
        <v/>
      </c>
      <c r="AH366">
        <f>Database!AV355</f>
        <v/>
      </c>
    </row>
    <row r="367">
      <c r="A367">
        <f>Database!B367</f>
        <v/>
      </c>
      <c r="B367">
        <f>IF(AND(Screener!$D$8&lt;&gt;"",Database!$E367=Screener!$D$8),1,0)</f>
        <v/>
      </c>
      <c r="C367">
        <f>IF(AND(Screener!$D$7&lt;&gt;"",Database!$D367=Screener!$D$7),1,0)</f>
        <v/>
      </c>
      <c r="D367">
        <f>IF(OR(N(Database!$I367)&lt;=0,N(Screener!$D$9)&lt;=0),0,MAX(0,1-ABS(LOG10(N(Database!$I367)/Screener!$D$9))/W_SIZEHW))</f>
        <v/>
      </c>
      <c r="E367">
        <f>IF(OR(Database!$AU367="",Screener!$D$10=""),0,IF(Database!$AU367=Screener!$D$10,1,0))</f>
        <v/>
      </c>
      <c r="F367">
        <f>IF(OR(Database!$AZ367="",Screener!$D$11=""),0,IF(Database!$AZ367=Screener!$D$11,1,0))</f>
        <v/>
      </c>
      <c r="G367">
        <f>IF(OR(Database!$H367="",N(Screener!$D$12)&lt;=0),0,MAX(0,1-(N(Screener!$D$12)-Database!$H367)/W_RECD))</f>
        <v/>
      </c>
      <c r="H367">
        <f>IF($U$1="",0,N(ISNUMBER(SEARCH($U$1,Database!$X367&amp;""))))+IF($V$1="",0,N(ISNUMBER(SEARCH($V$1,Database!$X367&amp;""))))+IF($W$1="",0,N(ISNUMBER(SEARCH($W$1,Database!$X367&amp;""))))+IF($X$1="",0,N(ISNUMBER(SEARCH($X$1,Database!$X367&amp;""))))+IF($Y$1="",0,N(ISNUMBER(SEARCH($Y$1,Database!$X367&amp;""))))+IF(Screener!$B$17="",0,N(ISNUMBER(SEARCH(LOWER(Screener!$B$17),Database!$X367&amp;""))))</f>
        <v/>
      </c>
      <c r="I367">
        <f>IF(OR(N(Database!$AV367)&lt;=0,N(Screener!$D$13)&lt;=0),0,MAX(0,1-ABS(LOG10(N(Database!$AV367)/Screener!$D$13))/W_PEHW))</f>
        <v/>
      </c>
      <c r="J367">
        <f>IF(OR(N(Database!$S367)&lt;=0,N(Screener!$D$14)&lt;=0),0,MAX(0,1-ABS(LOG10(Database!$S367/Screener!$D$14))/0.6))</f>
        <v/>
      </c>
      <c r="K367">
        <f>IF(Database!$B367=Screener!$B$5,-999999,IF(ISNUMBER(SEARCH(","&amp;Database!$A367&amp;",",","&amp;SUBSTITUTE(Screener!$B$19," ","")&amp;",")),2000000,IF(IF(OR(Screener!$B$18="All",AND(Screener!$B$18="With A-share",(Database!$AZ367="Y")),AND(Screener!$B$18="Without A-share",NOT((Database!$AZ367="Y")))),1,0)=0,-999999,IF(Screener!$B$16="cornerstone overlap first",H367*100000,IF(Screener!$B$16="demand-similar first",J367*100000,0))+W_SUB*B367+W_SEC*C367*(1-B367)+W_SIZE*D367+W_PROF*E367+W_AH*F367+W_REC*G367+W_CS*H367+W_PE*I367)))+ROW()/1000000</f>
        <v/>
      </c>
      <c r="AA367">
        <f>Database!B356</f>
        <v/>
      </c>
      <c r="AB367">
        <f>Database!D356</f>
        <v/>
      </c>
      <c r="AC367">
        <f>Database!E356</f>
        <v/>
      </c>
      <c r="AD367">
        <f>Database!I356</f>
        <v/>
      </c>
      <c r="AE367">
        <f>Database!AU356</f>
        <v/>
      </c>
      <c r="AF367">
        <f>Database!AZ356</f>
        <v/>
      </c>
      <c r="AG367">
        <f>Database!H356</f>
        <v/>
      </c>
      <c r="AH367">
        <f>Database!AV356</f>
        <v/>
      </c>
    </row>
    <row r="368">
      <c r="A368">
        <f>Database!B368</f>
        <v/>
      </c>
      <c r="B368">
        <f>IF(AND(Screener!$D$8&lt;&gt;"",Database!$E368=Screener!$D$8),1,0)</f>
        <v/>
      </c>
      <c r="C368">
        <f>IF(AND(Screener!$D$7&lt;&gt;"",Database!$D368=Screener!$D$7),1,0)</f>
        <v/>
      </c>
      <c r="D368">
        <f>IF(OR(N(Database!$I368)&lt;=0,N(Screener!$D$9)&lt;=0),0,MAX(0,1-ABS(LOG10(N(Database!$I368)/Screener!$D$9))/W_SIZEHW))</f>
        <v/>
      </c>
      <c r="E368">
        <f>IF(OR(Database!$AU368="",Screener!$D$10=""),0,IF(Database!$AU368=Screener!$D$10,1,0))</f>
        <v/>
      </c>
      <c r="F368">
        <f>IF(OR(Database!$AZ368="",Screener!$D$11=""),0,IF(Database!$AZ368=Screener!$D$11,1,0))</f>
        <v/>
      </c>
      <c r="G368">
        <f>IF(OR(Database!$H368="",N(Screener!$D$12)&lt;=0),0,MAX(0,1-(N(Screener!$D$12)-Database!$H368)/W_RECD))</f>
        <v/>
      </c>
      <c r="H368">
        <f>IF($U$1="",0,N(ISNUMBER(SEARCH($U$1,Database!$X368&amp;""))))+IF($V$1="",0,N(ISNUMBER(SEARCH($V$1,Database!$X368&amp;""))))+IF($W$1="",0,N(ISNUMBER(SEARCH($W$1,Database!$X368&amp;""))))+IF($X$1="",0,N(ISNUMBER(SEARCH($X$1,Database!$X368&amp;""))))+IF($Y$1="",0,N(ISNUMBER(SEARCH($Y$1,Database!$X368&amp;""))))+IF(Screener!$B$17="",0,N(ISNUMBER(SEARCH(LOWER(Screener!$B$17),Database!$X368&amp;""))))</f>
        <v/>
      </c>
      <c r="I368">
        <f>IF(OR(N(Database!$AV368)&lt;=0,N(Screener!$D$13)&lt;=0),0,MAX(0,1-ABS(LOG10(N(Database!$AV368)/Screener!$D$13))/W_PEHW))</f>
        <v/>
      </c>
      <c r="J368">
        <f>IF(OR(N(Database!$S368)&lt;=0,N(Screener!$D$14)&lt;=0),0,MAX(0,1-ABS(LOG10(Database!$S368/Screener!$D$14))/0.6))</f>
        <v/>
      </c>
      <c r="K368">
        <f>IF(Database!$B368=Screener!$B$5,-999999,IF(ISNUMBER(SEARCH(","&amp;Database!$A368&amp;",",","&amp;SUBSTITUTE(Screener!$B$19," ","")&amp;",")),2000000,IF(IF(OR(Screener!$B$18="All",AND(Screener!$B$18="With A-share",(Database!$AZ368="Y")),AND(Screener!$B$18="Without A-share",NOT((Database!$AZ368="Y")))),1,0)=0,-999999,IF(Screener!$B$16="cornerstone overlap first",H368*100000,IF(Screener!$B$16="demand-similar first",J368*100000,0))+W_SUB*B368+W_SEC*C368*(1-B368)+W_SIZE*D368+W_PROF*E368+W_AH*F368+W_REC*G368+W_CS*H368+W_PE*I368)))+ROW()/1000000</f>
        <v/>
      </c>
      <c r="AA368">
        <f>Database!B357</f>
        <v/>
      </c>
      <c r="AB368">
        <f>Database!D357</f>
        <v/>
      </c>
      <c r="AC368">
        <f>Database!E357</f>
        <v/>
      </c>
      <c r="AD368">
        <f>Database!I357</f>
        <v/>
      </c>
      <c r="AE368">
        <f>Database!AU357</f>
        <v/>
      </c>
      <c r="AF368">
        <f>Database!AZ357</f>
        <v/>
      </c>
      <c r="AG368">
        <f>Database!H357</f>
        <v/>
      </c>
      <c r="AH368">
        <f>Database!AV357</f>
        <v/>
      </c>
    </row>
    <row r="369">
      <c r="A369">
        <f>Database!B369</f>
        <v/>
      </c>
      <c r="B369">
        <f>IF(AND(Screener!$D$8&lt;&gt;"",Database!$E369=Screener!$D$8),1,0)</f>
        <v/>
      </c>
      <c r="C369">
        <f>IF(AND(Screener!$D$7&lt;&gt;"",Database!$D369=Screener!$D$7),1,0)</f>
        <v/>
      </c>
      <c r="D369">
        <f>IF(OR(N(Database!$I369)&lt;=0,N(Screener!$D$9)&lt;=0),0,MAX(0,1-ABS(LOG10(N(Database!$I369)/Screener!$D$9))/W_SIZEHW))</f>
        <v/>
      </c>
      <c r="E369">
        <f>IF(OR(Database!$AU369="",Screener!$D$10=""),0,IF(Database!$AU369=Screener!$D$10,1,0))</f>
        <v/>
      </c>
      <c r="F369">
        <f>IF(OR(Database!$AZ369="",Screener!$D$11=""),0,IF(Database!$AZ369=Screener!$D$11,1,0))</f>
        <v/>
      </c>
      <c r="G369">
        <f>IF(OR(Database!$H369="",N(Screener!$D$12)&lt;=0),0,MAX(0,1-(N(Screener!$D$12)-Database!$H369)/W_RECD))</f>
        <v/>
      </c>
      <c r="H369">
        <f>IF($U$1="",0,N(ISNUMBER(SEARCH($U$1,Database!$X369&amp;""))))+IF($V$1="",0,N(ISNUMBER(SEARCH($V$1,Database!$X369&amp;""))))+IF($W$1="",0,N(ISNUMBER(SEARCH($W$1,Database!$X369&amp;""))))+IF($X$1="",0,N(ISNUMBER(SEARCH($X$1,Database!$X369&amp;""))))+IF($Y$1="",0,N(ISNUMBER(SEARCH($Y$1,Database!$X369&amp;""))))+IF(Screener!$B$17="",0,N(ISNUMBER(SEARCH(LOWER(Screener!$B$17),Database!$X369&amp;""))))</f>
        <v/>
      </c>
      <c r="I369">
        <f>IF(OR(N(Database!$AV369)&lt;=0,N(Screener!$D$13)&lt;=0),0,MAX(0,1-ABS(LOG10(N(Database!$AV369)/Screener!$D$13))/W_PEHW))</f>
        <v/>
      </c>
      <c r="J369">
        <f>IF(OR(N(Database!$S369)&lt;=0,N(Screener!$D$14)&lt;=0),0,MAX(0,1-ABS(LOG10(Database!$S369/Screener!$D$14))/0.6))</f>
        <v/>
      </c>
      <c r="K369">
        <f>IF(Database!$B369=Screener!$B$5,-999999,IF(ISNUMBER(SEARCH(","&amp;Database!$A369&amp;",",","&amp;SUBSTITUTE(Screener!$B$19," ","")&amp;",")),2000000,IF(IF(OR(Screener!$B$18="All",AND(Screener!$B$18="With A-share",(Database!$AZ369="Y")),AND(Screener!$B$18="Without A-share",NOT((Database!$AZ369="Y")))),1,0)=0,-999999,IF(Screener!$B$16="cornerstone overlap first",H369*100000,IF(Screener!$B$16="demand-similar first",J369*100000,0))+W_SUB*B369+W_SEC*C369*(1-B369)+W_SIZE*D369+W_PROF*E369+W_AH*F369+W_REC*G369+W_CS*H369+W_PE*I369)))+ROW()/1000000</f>
        <v/>
      </c>
      <c r="AA369">
        <f>Database!B358</f>
        <v/>
      </c>
      <c r="AB369">
        <f>Database!D358</f>
        <v/>
      </c>
      <c r="AC369">
        <f>Database!E358</f>
        <v/>
      </c>
      <c r="AD369">
        <f>Database!I358</f>
        <v/>
      </c>
      <c r="AE369">
        <f>Database!AU358</f>
        <v/>
      </c>
      <c r="AF369">
        <f>Database!AZ358</f>
        <v/>
      </c>
      <c r="AG369">
        <f>Database!H358</f>
        <v/>
      </c>
      <c r="AH369">
        <f>Database!AV358</f>
        <v/>
      </c>
    </row>
    <row r="370">
      <c r="A370">
        <f>Database!B370</f>
        <v/>
      </c>
      <c r="B370">
        <f>IF(AND(Screener!$D$8&lt;&gt;"",Database!$E370=Screener!$D$8),1,0)</f>
        <v/>
      </c>
      <c r="C370">
        <f>IF(AND(Screener!$D$7&lt;&gt;"",Database!$D370=Screener!$D$7),1,0)</f>
        <v/>
      </c>
      <c r="D370">
        <f>IF(OR(N(Database!$I370)&lt;=0,N(Screener!$D$9)&lt;=0),0,MAX(0,1-ABS(LOG10(N(Database!$I370)/Screener!$D$9))/W_SIZEHW))</f>
        <v/>
      </c>
      <c r="E370">
        <f>IF(OR(Database!$AU370="",Screener!$D$10=""),0,IF(Database!$AU370=Screener!$D$10,1,0))</f>
        <v/>
      </c>
      <c r="F370">
        <f>IF(OR(Database!$AZ370="",Screener!$D$11=""),0,IF(Database!$AZ370=Screener!$D$11,1,0))</f>
        <v/>
      </c>
      <c r="G370">
        <f>IF(OR(Database!$H370="",N(Screener!$D$12)&lt;=0),0,MAX(0,1-(N(Screener!$D$12)-Database!$H370)/W_RECD))</f>
        <v/>
      </c>
      <c r="H370">
        <f>IF($U$1="",0,N(ISNUMBER(SEARCH($U$1,Database!$X370&amp;""))))+IF($V$1="",0,N(ISNUMBER(SEARCH($V$1,Database!$X370&amp;""))))+IF($W$1="",0,N(ISNUMBER(SEARCH($W$1,Database!$X370&amp;""))))+IF($X$1="",0,N(ISNUMBER(SEARCH($X$1,Database!$X370&amp;""))))+IF($Y$1="",0,N(ISNUMBER(SEARCH($Y$1,Database!$X370&amp;""))))+IF(Screener!$B$17="",0,N(ISNUMBER(SEARCH(LOWER(Screener!$B$17),Database!$X370&amp;""))))</f>
        <v/>
      </c>
      <c r="I370">
        <f>IF(OR(N(Database!$AV370)&lt;=0,N(Screener!$D$13)&lt;=0),0,MAX(0,1-ABS(LOG10(N(Database!$AV370)/Screener!$D$13))/W_PEHW))</f>
        <v/>
      </c>
      <c r="J370">
        <f>IF(OR(N(Database!$S370)&lt;=0,N(Screener!$D$14)&lt;=0),0,MAX(0,1-ABS(LOG10(Database!$S370/Screener!$D$14))/0.6))</f>
        <v/>
      </c>
      <c r="K370">
        <f>IF(Database!$B370=Screener!$B$5,-999999,IF(ISNUMBER(SEARCH(","&amp;Database!$A370&amp;",",","&amp;SUBSTITUTE(Screener!$B$19," ","")&amp;",")),2000000,IF(IF(OR(Screener!$B$18="All",AND(Screener!$B$18="With A-share",(Database!$AZ370="Y")),AND(Screener!$B$18="Without A-share",NOT((Database!$AZ370="Y")))),1,0)=0,-999999,IF(Screener!$B$16="cornerstone overlap first",H370*100000,IF(Screener!$B$16="demand-similar first",J370*100000,0))+W_SUB*B370+W_SEC*C370*(1-B370)+W_SIZE*D370+W_PROF*E370+W_AH*F370+W_REC*G370+W_CS*H370+W_PE*I370)))+ROW()/1000000</f>
        <v/>
      </c>
      <c r="AA370">
        <f>Database!B359</f>
        <v/>
      </c>
      <c r="AB370">
        <f>Database!D359</f>
        <v/>
      </c>
      <c r="AC370">
        <f>Database!E359</f>
        <v/>
      </c>
      <c r="AD370">
        <f>Database!I359</f>
        <v/>
      </c>
      <c r="AE370">
        <f>Database!AU359</f>
        <v/>
      </c>
      <c r="AF370">
        <f>Database!AZ359</f>
        <v/>
      </c>
      <c r="AG370">
        <f>Database!H359</f>
        <v/>
      </c>
      <c r="AH370">
        <f>Database!AV359</f>
        <v/>
      </c>
    </row>
    <row r="371">
      <c r="A371">
        <f>Database!B371</f>
        <v/>
      </c>
      <c r="B371">
        <f>IF(AND(Screener!$D$8&lt;&gt;"",Database!$E371=Screener!$D$8),1,0)</f>
        <v/>
      </c>
      <c r="C371">
        <f>IF(AND(Screener!$D$7&lt;&gt;"",Database!$D371=Screener!$D$7),1,0)</f>
        <v/>
      </c>
      <c r="D371">
        <f>IF(OR(N(Database!$I371)&lt;=0,N(Screener!$D$9)&lt;=0),0,MAX(0,1-ABS(LOG10(N(Database!$I371)/Screener!$D$9))/W_SIZEHW))</f>
        <v/>
      </c>
      <c r="E371">
        <f>IF(OR(Database!$AU371="",Screener!$D$10=""),0,IF(Database!$AU371=Screener!$D$10,1,0))</f>
        <v/>
      </c>
      <c r="F371">
        <f>IF(OR(Database!$AZ371="",Screener!$D$11=""),0,IF(Database!$AZ371=Screener!$D$11,1,0))</f>
        <v/>
      </c>
      <c r="G371">
        <f>IF(OR(Database!$H371="",N(Screener!$D$12)&lt;=0),0,MAX(0,1-(N(Screener!$D$12)-Database!$H371)/W_RECD))</f>
        <v/>
      </c>
      <c r="H371">
        <f>IF($U$1="",0,N(ISNUMBER(SEARCH($U$1,Database!$X371&amp;""))))+IF($V$1="",0,N(ISNUMBER(SEARCH($V$1,Database!$X371&amp;""))))+IF($W$1="",0,N(ISNUMBER(SEARCH($W$1,Database!$X371&amp;""))))+IF($X$1="",0,N(ISNUMBER(SEARCH($X$1,Database!$X371&amp;""))))+IF($Y$1="",0,N(ISNUMBER(SEARCH($Y$1,Database!$X371&amp;""))))+IF(Screener!$B$17="",0,N(ISNUMBER(SEARCH(LOWER(Screener!$B$17),Database!$X371&amp;""))))</f>
        <v/>
      </c>
      <c r="I371">
        <f>IF(OR(N(Database!$AV371)&lt;=0,N(Screener!$D$13)&lt;=0),0,MAX(0,1-ABS(LOG10(N(Database!$AV371)/Screener!$D$13))/W_PEHW))</f>
        <v/>
      </c>
      <c r="J371">
        <f>IF(OR(N(Database!$S371)&lt;=0,N(Screener!$D$14)&lt;=0),0,MAX(0,1-ABS(LOG10(Database!$S371/Screener!$D$14))/0.6))</f>
        <v/>
      </c>
      <c r="K371">
        <f>IF(Database!$B371=Screener!$B$5,-999999,IF(ISNUMBER(SEARCH(","&amp;Database!$A371&amp;",",","&amp;SUBSTITUTE(Screener!$B$19," ","")&amp;",")),2000000,IF(IF(OR(Screener!$B$18="All",AND(Screener!$B$18="With A-share",(Database!$AZ371="Y")),AND(Screener!$B$18="Without A-share",NOT((Database!$AZ371="Y")))),1,0)=0,-999999,IF(Screener!$B$16="cornerstone overlap first",H371*100000,IF(Screener!$B$16="demand-similar first",J371*100000,0))+W_SUB*B371+W_SEC*C371*(1-B371)+W_SIZE*D371+W_PROF*E371+W_AH*F371+W_REC*G371+W_CS*H371+W_PE*I371)))+ROW()/1000000</f>
        <v/>
      </c>
      <c r="AA371">
        <f>Database!B360</f>
        <v/>
      </c>
      <c r="AB371">
        <f>Database!D360</f>
        <v/>
      </c>
      <c r="AC371">
        <f>Database!E360</f>
        <v/>
      </c>
      <c r="AD371">
        <f>Database!I360</f>
        <v/>
      </c>
      <c r="AE371">
        <f>Database!AU360</f>
        <v/>
      </c>
      <c r="AF371">
        <f>Database!AZ360</f>
        <v/>
      </c>
      <c r="AG371">
        <f>Database!H360</f>
        <v/>
      </c>
      <c r="AH371">
        <f>Database!AV360</f>
        <v/>
      </c>
    </row>
    <row r="372">
      <c r="A372">
        <f>Database!B372</f>
        <v/>
      </c>
      <c r="B372">
        <f>IF(AND(Screener!$D$8&lt;&gt;"",Database!$E372=Screener!$D$8),1,0)</f>
        <v/>
      </c>
      <c r="C372">
        <f>IF(AND(Screener!$D$7&lt;&gt;"",Database!$D372=Screener!$D$7),1,0)</f>
        <v/>
      </c>
      <c r="D372">
        <f>IF(OR(N(Database!$I372)&lt;=0,N(Screener!$D$9)&lt;=0),0,MAX(0,1-ABS(LOG10(N(Database!$I372)/Screener!$D$9))/W_SIZEHW))</f>
        <v/>
      </c>
      <c r="E372">
        <f>IF(OR(Database!$AU372="",Screener!$D$10=""),0,IF(Database!$AU372=Screener!$D$10,1,0))</f>
        <v/>
      </c>
      <c r="F372">
        <f>IF(OR(Database!$AZ372="",Screener!$D$11=""),0,IF(Database!$AZ372=Screener!$D$11,1,0))</f>
        <v/>
      </c>
      <c r="G372">
        <f>IF(OR(Database!$H372="",N(Screener!$D$12)&lt;=0),0,MAX(0,1-(N(Screener!$D$12)-Database!$H372)/W_RECD))</f>
        <v/>
      </c>
      <c r="H372">
        <f>IF($U$1="",0,N(ISNUMBER(SEARCH($U$1,Database!$X372&amp;""))))+IF($V$1="",0,N(ISNUMBER(SEARCH($V$1,Database!$X372&amp;""))))+IF($W$1="",0,N(ISNUMBER(SEARCH($W$1,Database!$X372&amp;""))))+IF($X$1="",0,N(ISNUMBER(SEARCH($X$1,Database!$X372&amp;""))))+IF($Y$1="",0,N(ISNUMBER(SEARCH($Y$1,Database!$X372&amp;""))))+IF(Screener!$B$17="",0,N(ISNUMBER(SEARCH(LOWER(Screener!$B$17),Database!$X372&amp;""))))</f>
        <v/>
      </c>
      <c r="I372">
        <f>IF(OR(N(Database!$AV372)&lt;=0,N(Screener!$D$13)&lt;=0),0,MAX(0,1-ABS(LOG10(N(Database!$AV372)/Screener!$D$13))/W_PEHW))</f>
        <v/>
      </c>
      <c r="J372">
        <f>IF(OR(N(Database!$S372)&lt;=0,N(Screener!$D$14)&lt;=0),0,MAX(0,1-ABS(LOG10(Database!$S372/Screener!$D$14))/0.6))</f>
        <v/>
      </c>
      <c r="K372">
        <f>IF(Database!$B372=Screener!$B$5,-999999,IF(ISNUMBER(SEARCH(","&amp;Database!$A372&amp;",",","&amp;SUBSTITUTE(Screener!$B$19," ","")&amp;",")),2000000,IF(IF(OR(Screener!$B$18="All",AND(Screener!$B$18="With A-share",(Database!$AZ372="Y")),AND(Screener!$B$18="Without A-share",NOT((Database!$AZ372="Y")))),1,0)=0,-999999,IF(Screener!$B$16="cornerstone overlap first",H372*100000,IF(Screener!$B$16="demand-similar first",J372*100000,0))+W_SUB*B372+W_SEC*C372*(1-B372)+W_SIZE*D372+W_PROF*E372+W_AH*F372+W_REC*G372+W_CS*H372+W_PE*I372)))+ROW()/1000000</f>
        <v/>
      </c>
      <c r="AA372">
        <f>Database!B361</f>
        <v/>
      </c>
      <c r="AB372">
        <f>Database!D361</f>
        <v/>
      </c>
      <c r="AC372">
        <f>Database!E361</f>
        <v/>
      </c>
      <c r="AD372">
        <f>Database!I361</f>
        <v/>
      </c>
      <c r="AE372">
        <f>Database!AU361</f>
        <v/>
      </c>
      <c r="AF372">
        <f>Database!AZ361</f>
        <v/>
      </c>
      <c r="AG372">
        <f>Database!H361</f>
        <v/>
      </c>
      <c r="AH372">
        <f>Database!AV361</f>
        <v/>
      </c>
    </row>
    <row r="373">
      <c r="A373">
        <f>Database!B373</f>
        <v/>
      </c>
      <c r="B373">
        <f>IF(AND(Screener!$D$8&lt;&gt;"",Database!$E373=Screener!$D$8),1,0)</f>
        <v/>
      </c>
      <c r="C373">
        <f>IF(AND(Screener!$D$7&lt;&gt;"",Database!$D373=Screener!$D$7),1,0)</f>
        <v/>
      </c>
      <c r="D373">
        <f>IF(OR(N(Database!$I373)&lt;=0,N(Screener!$D$9)&lt;=0),0,MAX(0,1-ABS(LOG10(N(Database!$I373)/Screener!$D$9))/W_SIZEHW))</f>
        <v/>
      </c>
      <c r="E373">
        <f>IF(OR(Database!$AU373="",Screener!$D$10=""),0,IF(Database!$AU373=Screener!$D$10,1,0))</f>
        <v/>
      </c>
      <c r="F373">
        <f>IF(OR(Database!$AZ373="",Screener!$D$11=""),0,IF(Database!$AZ373=Screener!$D$11,1,0))</f>
        <v/>
      </c>
      <c r="G373">
        <f>IF(OR(Database!$H373="",N(Screener!$D$12)&lt;=0),0,MAX(0,1-(N(Screener!$D$12)-Database!$H373)/W_RECD))</f>
        <v/>
      </c>
      <c r="H373">
        <f>IF($U$1="",0,N(ISNUMBER(SEARCH($U$1,Database!$X373&amp;""))))+IF($V$1="",0,N(ISNUMBER(SEARCH($V$1,Database!$X373&amp;""))))+IF($W$1="",0,N(ISNUMBER(SEARCH($W$1,Database!$X373&amp;""))))+IF($X$1="",0,N(ISNUMBER(SEARCH($X$1,Database!$X373&amp;""))))+IF($Y$1="",0,N(ISNUMBER(SEARCH($Y$1,Database!$X373&amp;""))))+IF(Screener!$B$17="",0,N(ISNUMBER(SEARCH(LOWER(Screener!$B$17),Database!$X373&amp;""))))</f>
        <v/>
      </c>
      <c r="I373">
        <f>IF(OR(N(Database!$AV373)&lt;=0,N(Screener!$D$13)&lt;=0),0,MAX(0,1-ABS(LOG10(N(Database!$AV373)/Screener!$D$13))/W_PEHW))</f>
        <v/>
      </c>
      <c r="J373">
        <f>IF(OR(N(Database!$S373)&lt;=0,N(Screener!$D$14)&lt;=0),0,MAX(0,1-ABS(LOG10(Database!$S373/Screener!$D$14))/0.6))</f>
        <v/>
      </c>
      <c r="K373">
        <f>IF(Database!$B373=Screener!$B$5,-999999,IF(ISNUMBER(SEARCH(","&amp;Database!$A373&amp;",",","&amp;SUBSTITUTE(Screener!$B$19," ","")&amp;",")),2000000,IF(IF(OR(Screener!$B$18="All",AND(Screener!$B$18="With A-share",(Database!$AZ373="Y")),AND(Screener!$B$18="Without A-share",NOT((Database!$AZ373="Y")))),1,0)=0,-999999,IF(Screener!$B$16="cornerstone overlap first",H373*100000,IF(Screener!$B$16="demand-similar first",J373*100000,0))+W_SUB*B373+W_SEC*C373*(1-B373)+W_SIZE*D373+W_PROF*E373+W_AH*F373+W_REC*G373+W_CS*H373+W_PE*I373)))+ROW()/1000000</f>
        <v/>
      </c>
      <c r="AA373">
        <f>Database!B362</f>
        <v/>
      </c>
      <c r="AB373">
        <f>Database!D362</f>
        <v/>
      </c>
      <c r="AC373">
        <f>Database!E362</f>
        <v/>
      </c>
      <c r="AD373">
        <f>Database!I362</f>
        <v/>
      </c>
      <c r="AE373">
        <f>Database!AU362</f>
        <v/>
      </c>
      <c r="AF373">
        <f>Database!AZ362</f>
        <v/>
      </c>
      <c r="AG373">
        <f>Database!H362</f>
        <v/>
      </c>
      <c r="AH373">
        <f>Database!AV362</f>
        <v/>
      </c>
    </row>
    <row r="374">
      <c r="A374">
        <f>Database!B374</f>
        <v/>
      </c>
      <c r="B374">
        <f>IF(AND(Screener!$D$8&lt;&gt;"",Database!$E374=Screener!$D$8),1,0)</f>
        <v/>
      </c>
      <c r="C374">
        <f>IF(AND(Screener!$D$7&lt;&gt;"",Database!$D374=Screener!$D$7),1,0)</f>
        <v/>
      </c>
      <c r="D374">
        <f>IF(OR(N(Database!$I374)&lt;=0,N(Screener!$D$9)&lt;=0),0,MAX(0,1-ABS(LOG10(N(Database!$I374)/Screener!$D$9))/W_SIZEHW))</f>
        <v/>
      </c>
      <c r="E374">
        <f>IF(OR(Database!$AU374="",Screener!$D$10=""),0,IF(Database!$AU374=Screener!$D$10,1,0))</f>
        <v/>
      </c>
      <c r="F374">
        <f>IF(OR(Database!$AZ374="",Screener!$D$11=""),0,IF(Database!$AZ374=Screener!$D$11,1,0))</f>
        <v/>
      </c>
      <c r="G374">
        <f>IF(OR(Database!$H374="",N(Screener!$D$12)&lt;=0),0,MAX(0,1-(N(Screener!$D$12)-Database!$H374)/W_RECD))</f>
        <v/>
      </c>
      <c r="H374">
        <f>IF($U$1="",0,N(ISNUMBER(SEARCH($U$1,Database!$X374&amp;""))))+IF($V$1="",0,N(ISNUMBER(SEARCH($V$1,Database!$X374&amp;""))))+IF($W$1="",0,N(ISNUMBER(SEARCH($W$1,Database!$X374&amp;""))))+IF($X$1="",0,N(ISNUMBER(SEARCH($X$1,Database!$X374&amp;""))))+IF($Y$1="",0,N(ISNUMBER(SEARCH($Y$1,Database!$X374&amp;""))))+IF(Screener!$B$17="",0,N(ISNUMBER(SEARCH(LOWER(Screener!$B$17),Database!$X374&amp;""))))</f>
        <v/>
      </c>
      <c r="I374">
        <f>IF(OR(N(Database!$AV374)&lt;=0,N(Screener!$D$13)&lt;=0),0,MAX(0,1-ABS(LOG10(N(Database!$AV374)/Screener!$D$13))/W_PEHW))</f>
        <v/>
      </c>
      <c r="J374">
        <f>IF(OR(N(Database!$S374)&lt;=0,N(Screener!$D$14)&lt;=0),0,MAX(0,1-ABS(LOG10(Database!$S374/Screener!$D$14))/0.6))</f>
        <v/>
      </c>
      <c r="K374">
        <f>IF(Database!$B374=Screener!$B$5,-999999,IF(ISNUMBER(SEARCH(","&amp;Database!$A374&amp;",",","&amp;SUBSTITUTE(Screener!$B$19," ","")&amp;",")),2000000,IF(IF(OR(Screener!$B$18="All",AND(Screener!$B$18="With A-share",(Database!$AZ374="Y")),AND(Screener!$B$18="Without A-share",NOT((Database!$AZ374="Y")))),1,0)=0,-999999,IF(Screener!$B$16="cornerstone overlap first",H374*100000,IF(Screener!$B$16="demand-similar first",J374*100000,0))+W_SUB*B374+W_SEC*C374*(1-B374)+W_SIZE*D374+W_PROF*E374+W_AH*F374+W_REC*G374+W_CS*H374+W_PE*I374)))+ROW()/1000000</f>
        <v/>
      </c>
      <c r="AA374">
        <f>Database!B363</f>
        <v/>
      </c>
      <c r="AB374">
        <f>Database!D363</f>
        <v/>
      </c>
      <c r="AC374">
        <f>Database!E363</f>
        <v/>
      </c>
      <c r="AD374">
        <f>Database!I363</f>
        <v/>
      </c>
      <c r="AE374">
        <f>Database!AU363</f>
        <v/>
      </c>
      <c r="AF374">
        <f>Database!AZ363</f>
        <v/>
      </c>
      <c r="AG374">
        <f>Database!H363</f>
        <v/>
      </c>
      <c r="AH374">
        <f>Database!AV363</f>
        <v/>
      </c>
    </row>
    <row r="375">
      <c r="A375">
        <f>Database!B375</f>
        <v/>
      </c>
      <c r="B375">
        <f>IF(AND(Screener!$D$8&lt;&gt;"",Database!$E375=Screener!$D$8),1,0)</f>
        <v/>
      </c>
      <c r="C375">
        <f>IF(AND(Screener!$D$7&lt;&gt;"",Database!$D375=Screener!$D$7),1,0)</f>
        <v/>
      </c>
      <c r="D375">
        <f>IF(OR(N(Database!$I375)&lt;=0,N(Screener!$D$9)&lt;=0),0,MAX(0,1-ABS(LOG10(N(Database!$I375)/Screener!$D$9))/W_SIZEHW))</f>
        <v/>
      </c>
      <c r="E375">
        <f>IF(OR(Database!$AU375="",Screener!$D$10=""),0,IF(Database!$AU375=Screener!$D$10,1,0))</f>
        <v/>
      </c>
      <c r="F375">
        <f>IF(OR(Database!$AZ375="",Screener!$D$11=""),0,IF(Database!$AZ375=Screener!$D$11,1,0))</f>
        <v/>
      </c>
      <c r="G375">
        <f>IF(OR(Database!$H375="",N(Screener!$D$12)&lt;=0),0,MAX(0,1-(N(Screener!$D$12)-Database!$H375)/W_RECD))</f>
        <v/>
      </c>
      <c r="H375">
        <f>IF($U$1="",0,N(ISNUMBER(SEARCH($U$1,Database!$X375&amp;""))))+IF($V$1="",0,N(ISNUMBER(SEARCH($V$1,Database!$X375&amp;""))))+IF($W$1="",0,N(ISNUMBER(SEARCH($W$1,Database!$X375&amp;""))))+IF($X$1="",0,N(ISNUMBER(SEARCH($X$1,Database!$X375&amp;""))))+IF($Y$1="",0,N(ISNUMBER(SEARCH($Y$1,Database!$X375&amp;""))))+IF(Screener!$B$17="",0,N(ISNUMBER(SEARCH(LOWER(Screener!$B$17),Database!$X375&amp;""))))</f>
        <v/>
      </c>
      <c r="I375">
        <f>IF(OR(N(Database!$AV375)&lt;=0,N(Screener!$D$13)&lt;=0),0,MAX(0,1-ABS(LOG10(N(Database!$AV375)/Screener!$D$13))/W_PEHW))</f>
        <v/>
      </c>
      <c r="J375">
        <f>IF(OR(N(Database!$S375)&lt;=0,N(Screener!$D$14)&lt;=0),0,MAX(0,1-ABS(LOG10(Database!$S375/Screener!$D$14))/0.6))</f>
        <v/>
      </c>
      <c r="K375">
        <f>IF(Database!$B375=Screener!$B$5,-999999,IF(ISNUMBER(SEARCH(","&amp;Database!$A375&amp;",",","&amp;SUBSTITUTE(Screener!$B$19," ","")&amp;",")),2000000,IF(IF(OR(Screener!$B$18="All",AND(Screener!$B$18="With A-share",(Database!$AZ375="Y")),AND(Screener!$B$18="Without A-share",NOT((Database!$AZ375="Y")))),1,0)=0,-999999,IF(Screener!$B$16="cornerstone overlap first",H375*100000,IF(Screener!$B$16="demand-similar first",J375*100000,0))+W_SUB*B375+W_SEC*C375*(1-B375)+W_SIZE*D375+W_PROF*E375+W_AH*F375+W_REC*G375+W_CS*H375+W_PE*I375)))+ROW()/1000000</f>
        <v/>
      </c>
      <c r="AA375">
        <f>Database!B364</f>
        <v/>
      </c>
      <c r="AB375">
        <f>Database!D364</f>
        <v/>
      </c>
      <c r="AC375">
        <f>Database!E364</f>
        <v/>
      </c>
      <c r="AD375">
        <f>Database!I364</f>
        <v/>
      </c>
      <c r="AE375">
        <f>Database!AU364</f>
        <v/>
      </c>
      <c r="AF375">
        <f>Database!AZ364</f>
        <v/>
      </c>
      <c r="AG375">
        <f>Database!H364</f>
        <v/>
      </c>
      <c r="AH375">
        <f>Database!AV364</f>
        <v/>
      </c>
    </row>
    <row r="376">
      <c r="A376">
        <f>Database!B376</f>
        <v/>
      </c>
      <c r="B376">
        <f>IF(AND(Screener!$D$8&lt;&gt;"",Database!$E376=Screener!$D$8),1,0)</f>
        <v/>
      </c>
      <c r="C376">
        <f>IF(AND(Screener!$D$7&lt;&gt;"",Database!$D376=Screener!$D$7),1,0)</f>
        <v/>
      </c>
      <c r="D376">
        <f>IF(OR(N(Database!$I376)&lt;=0,N(Screener!$D$9)&lt;=0),0,MAX(0,1-ABS(LOG10(N(Database!$I376)/Screener!$D$9))/W_SIZEHW))</f>
        <v/>
      </c>
      <c r="E376">
        <f>IF(OR(Database!$AU376="",Screener!$D$10=""),0,IF(Database!$AU376=Screener!$D$10,1,0))</f>
        <v/>
      </c>
      <c r="F376">
        <f>IF(OR(Database!$AZ376="",Screener!$D$11=""),0,IF(Database!$AZ376=Screener!$D$11,1,0))</f>
        <v/>
      </c>
      <c r="G376">
        <f>IF(OR(Database!$H376="",N(Screener!$D$12)&lt;=0),0,MAX(0,1-(N(Screener!$D$12)-Database!$H376)/W_RECD))</f>
        <v/>
      </c>
      <c r="H376">
        <f>IF($U$1="",0,N(ISNUMBER(SEARCH($U$1,Database!$X376&amp;""))))+IF($V$1="",0,N(ISNUMBER(SEARCH($V$1,Database!$X376&amp;""))))+IF($W$1="",0,N(ISNUMBER(SEARCH($W$1,Database!$X376&amp;""))))+IF($X$1="",0,N(ISNUMBER(SEARCH($X$1,Database!$X376&amp;""))))+IF($Y$1="",0,N(ISNUMBER(SEARCH($Y$1,Database!$X376&amp;""))))+IF(Screener!$B$17="",0,N(ISNUMBER(SEARCH(LOWER(Screener!$B$17),Database!$X376&amp;""))))</f>
        <v/>
      </c>
      <c r="I376">
        <f>IF(OR(N(Database!$AV376)&lt;=0,N(Screener!$D$13)&lt;=0),0,MAX(0,1-ABS(LOG10(N(Database!$AV376)/Screener!$D$13))/W_PEHW))</f>
        <v/>
      </c>
      <c r="J376">
        <f>IF(OR(N(Database!$S376)&lt;=0,N(Screener!$D$14)&lt;=0),0,MAX(0,1-ABS(LOG10(Database!$S376/Screener!$D$14))/0.6))</f>
        <v/>
      </c>
      <c r="K376">
        <f>IF(Database!$B376=Screener!$B$5,-999999,IF(ISNUMBER(SEARCH(","&amp;Database!$A376&amp;",",","&amp;SUBSTITUTE(Screener!$B$19," ","")&amp;",")),2000000,IF(IF(OR(Screener!$B$18="All",AND(Screener!$B$18="With A-share",(Database!$AZ376="Y")),AND(Screener!$B$18="Without A-share",NOT((Database!$AZ376="Y")))),1,0)=0,-999999,IF(Screener!$B$16="cornerstone overlap first",H376*100000,IF(Screener!$B$16="demand-similar first",J376*100000,0))+W_SUB*B376+W_SEC*C376*(1-B376)+W_SIZE*D376+W_PROF*E376+W_AH*F376+W_REC*G376+W_CS*H376+W_PE*I376)))+ROW()/1000000</f>
        <v/>
      </c>
      <c r="AA376">
        <f>Database!B365</f>
        <v/>
      </c>
      <c r="AB376">
        <f>Database!D365</f>
        <v/>
      </c>
      <c r="AC376">
        <f>Database!E365</f>
        <v/>
      </c>
      <c r="AD376">
        <f>Database!I365</f>
        <v/>
      </c>
      <c r="AE376">
        <f>Database!AU365</f>
        <v/>
      </c>
      <c r="AF376">
        <f>Database!AZ365</f>
        <v/>
      </c>
      <c r="AG376">
        <f>Database!H365</f>
        <v/>
      </c>
      <c r="AH376">
        <f>Database!AV365</f>
        <v/>
      </c>
    </row>
    <row r="377">
      <c r="A377">
        <f>Database!B377</f>
        <v/>
      </c>
      <c r="B377">
        <f>IF(AND(Screener!$D$8&lt;&gt;"",Database!$E377=Screener!$D$8),1,0)</f>
        <v/>
      </c>
      <c r="C377">
        <f>IF(AND(Screener!$D$7&lt;&gt;"",Database!$D377=Screener!$D$7),1,0)</f>
        <v/>
      </c>
      <c r="D377">
        <f>IF(OR(N(Database!$I377)&lt;=0,N(Screener!$D$9)&lt;=0),0,MAX(0,1-ABS(LOG10(N(Database!$I377)/Screener!$D$9))/W_SIZEHW))</f>
        <v/>
      </c>
      <c r="E377">
        <f>IF(OR(Database!$AU377="",Screener!$D$10=""),0,IF(Database!$AU377=Screener!$D$10,1,0))</f>
        <v/>
      </c>
      <c r="F377">
        <f>IF(OR(Database!$AZ377="",Screener!$D$11=""),0,IF(Database!$AZ377=Screener!$D$11,1,0))</f>
        <v/>
      </c>
      <c r="G377">
        <f>IF(OR(Database!$H377="",N(Screener!$D$12)&lt;=0),0,MAX(0,1-(N(Screener!$D$12)-Database!$H377)/W_RECD))</f>
        <v/>
      </c>
      <c r="H377">
        <f>IF($U$1="",0,N(ISNUMBER(SEARCH($U$1,Database!$X377&amp;""))))+IF($V$1="",0,N(ISNUMBER(SEARCH($V$1,Database!$X377&amp;""))))+IF($W$1="",0,N(ISNUMBER(SEARCH($W$1,Database!$X377&amp;""))))+IF($X$1="",0,N(ISNUMBER(SEARCH($X$1,Database!$X377&amp;""))))+IF($Y$1="",0,N(ISNUMBER(SEARCH($Y$1,Database!$X377&amp;""))))+IF(Screener!$B$17="",0,N(ISNUMBER(SEARCH(LOWER(Screener!$B$17),Database!$X377&amp;""))))</f>
        <v/>
      </c>
      <c r="I377">
        <f>IF(OR(N(Database!$AV377)&lt;=0,N(Screener!$D$13)&lt;=0),0,MAX(0,1-ABS(LOG10(N(Database!$AV377)/Screener!$D$13))/W_PEHW))</f>
        <v/>
      </c>
      <c r="J377">
        <f>IF(OR(N(Database!$S377)&lt;=0,N(Screener!$D$14)&lt;=0),0,MAX(0,1-ABS(LOG10(Database!$S377/Screener!$D$14))/0.6))</f>
        <v/>
      </c>
      <c r="K377">
        <f>IF(Database!$B377=Screener!$B$5,-999999,IF(ISNUMBER(SEARCH(","&amp;Database!$A377&amp;",",","&amp;SUBSTITUTE(Screener!$B$19," ","")&amp;",")),2000000,IF(IF(OR(Screener!$B$18="All",AND(Screener!$B$18="With A-share",(Database!$AZ377="Y")),AND(Screener!$B$18="Without A-share",NOT((Database!$AZ377="Y")))),1,0)=0,-999999,IF(Screener!$B$16="cornerstone overlap first",H377*100000,IF(Screener!$B$16="demand-similar first",J377*100000,0))+W_SUB*B377+W_SEC*C377*(1-B377)+W_SIZE*D377+W_PROF*E377+W_AH*F377+W_REC*G377+W_CS*H377+W_PE*I377)))+ROW()/1000000</f>
        <v/>
      </c>
      <c r="AA377">
        <f>Database!B366</f>
        <v/>
      </c>
      <c r="AB377">
        <f>Database!D366</f>
        <v/>
      </c>
      <c r="AC377">
        <f>Database!E366</f>
        <v/>
      </c>
      <c r="AD377">
        <f>Database!I366</f>
        <v/>
      </c>
      <c r="AE377">
        <f>Database!AU366</f>
        <v/>
      </c>
      <c r="AF377">
        <f>Database!AZ366</f>
        <v/>
      </c>
      <c r="AG377">
        <f>Database!H366</f>
        <v/>
      </c>
      <c r="AH377">
        <f>Database!AV366</f>
        <v/>
      </c>
    </row>
    <row r="378">
      <c r="A378">
        <f>Database!B378</f>
        <v/>
      </c>
      <c r="B378">
        <f>IF(AND(Screener!$D$8&lt;&gt;"",Database!$E378=Screener!$D$8),1,0)</f>
        <v/>
      </c>
      <c r="C378">
        <f>IF(AND(Screener!$D$7&lt;&gt;"",Database!$D378=Screener!$D$7),1,0)</f>
        <v/>
      </c>
      <c r="D378">
        <f>IF(OR(N(Database!$I378)&lt;=0,N(Screener!$D$9)&lt;=0),0,MAX(0,1-ABS(LOG10(N(Database!$I378)/Screener!$D$9))/W_SIZEHW))</f>
        <v/>
      </c>
      <c r="E378">
        <f>IF(OR(Database!$AU378="",Screener!$D$10=""),0,IF(Database!$AU378=Screener!$D$10,1,0))</f>
        <v/>
      </c>
      <c r="F378">
        <f>IF(OR(Database!$AZ378="",Screener!$D$11=""),0,IF(Database!$AZ378=Screener!$D$11,1,0))</f>
        <v/>
      </c>
      <c r="G378">
        <f>IF(OR(Database!$H378="",N(Screener!$D$12)&lt;=0),0,MAX(0,1-(N(Screener!$D$12)-Database!$H378)/W_RECD))</f>
        <v/>
      </c>
      <c r="H378">
        <f>IF($U$1="",0,N(ISNUMBER(SEARCH($U$1,Database!$X378&amp;""))))+IF($V$1="",0,N(ISNUMBER(SEARCH($V$1,Database!$X378&amp;""))))+IF($W$1="",0,N(ISNUMBER(SEARCH($W$1,Database!$X378&amp;""))))+IF($X$1="",0,N(ISNUMBER(SEARCH($X$1,Database!$X378&amp;""))))+IF($Y$1="",0,N(ISNUMBER(SEARCH($Y$1,Database!$X378&amp;""))))+IF(Screener!$B$17="",0,N(ISNUMBER(SEARCH(LOWER(Screener!$B$17),Database!$X378&amp;""))))</f>
        <v/>
      </c>
      <c r="I378">
        <f>IF(OR(N(Database!$AV378)&lt;=0,N(Screener!$D$13)&lt;=0),0,MAX(0,1-ABS(LOG10(N(Database!$AV378)/Screener!$D$13))/W_PEHW))</f>
        <v/>
      </c>
      <c r="J378">
        <f>IF(OR(N(Database!$S378)&lt;=0,N(Screener!$D$14)&lt;=0),0,MAX(0,1-ABS(LOG10(Database!$S378/Screener!$D$14))/0.6))</f>
        <v/>
      </c>
      <c r="K378">
        <f>IF(Database!$B378=Screener!$B$5,-999999,IF(ISNUMBER(SEARCH(","&amp;Database!$A378&amp;",",","&amp;SUBSTITUTE(Screener!$B$19," ","")&amp;",")),2000000,IF(IF(OR(Screener!$B$18="All",AND(Screener!$B$18="With A-share",(Database!$AZ378="Y")),AND(Screener!$B$18="Without A-share",NOT((Database!$AZ378="Y")))),1,0)=0,-999999,IF(Screener!$B$16="cornerstone overlap first",H378*100000,IF(Screener!$B$16="demand-similar first",J378*100000,0))+W_SUB*B378+W_SEC*C378*(1-B378)+W_SIZE*D378+W_PROF*E378+W_AH*F378+W_REC*G378+W_CS*H378+W_PE*I378)))+ROW()/1000000</f>
        <v/>
      </c>
      <c r="AA378">
        <f>Database!B367</f>
        <v/>
      </c>
      <c r="AB378">
        <f>Database!D367</f>
        <v/>
      </c>
      <c r="AC378">
        <f>Database!E367</f>
        <v/>
      </c>
      <c r="AD378">
        <f>Database!I367</f>
        <v/>
      </c>
      <c r="AE378">
        <f>Database!AU367</f>
        <v/>
      </c>
      <c r="AF378">
        <f>Database!AZ367</f>
        <v/>
      </c>
      <c r="AG378">
        <f>Database!H367</f>
        <v/>
      </c>
      <c r="AH378">
        <f>Database!AV367</f>
        <v/>
      </c>
    </row>
    <row r="379">
      <c r="A379">
        <f>Database!B379</f>
        <v/>
      </c>
      <c r="B379">
        <f>IF(AND(Screener!$D$8&lt;&gt;"",Database!$E379=Screener!$D$8),1,0)</f>
        <v/>
      </c>
      <c r="C379">
        <f>IF(AND(Screener!$D$7&lt;&gt;"",Database!$D379=Screener!$D$7),1,0)</f>
        <v/>
      </c>
      <c r="D379">
        <f>IF(OR(N(Database!$I379)&lt;=0,N(Screener!$D$9)&lt;=0),0,MAX(0,1-ABS(LOG10(N(Database!$I379)/Screener!$D$9))/W_SIZEHW))</f>
        <v/>
      </c>
      <c r="E379">
        <f>IF(OR(Database!$AU379="",Screener!$D$10=""),0,IF(Database!$AU379=Screener!$D$10,1,0))</f>
        <v/>
      </c>
      <c r="F379">
        <f>IF(OR(Database!$AZ379="",Screener!$D$11=""),0,IF(Database!$AZ379=Screener!$D$11,1,0))</f>
        <v/>
      </c>
      <c r="G379">
        <f>IF(OR(Database!$H379="",N(Screener!$D$12)&lt;=0),0,MAX(0,1-(N(Screener!$D$12)-Database!$H379)/W_RECD))</f>
        <v/>
      </c>
      <c r="H379">
        <f>IF($U$1="",0,N(ISNUMBER(SEARCH($U$1,Database!$X379&amp;""))))+IF($V$1="",0,N(ISNUMBER(SEARCH($V$1,Database!$X379&amp;""))))+IF($W$1="",0,N(ISNUMBER(SEARCH($W$1,Database!$X379&amp;""))))+IF($X$1="",0,N(ISNUMBER(SEARCH($X$1,Database!$X379&amp;""))))+IF($Y$1="",0,N(ISNUMBER(SEARCH($Y$1,Database!$X379&amp;""))))+IF(Screener!$B$17="",0,N(ISNUMBER(SEARCH(LOWER(Screener!$B$17),Database!$X379&amp;""))))</f>
        <v/>
      </c>
      <c r="I379">
        <f>IF(OR(N(Database!$AV379)&lt;=0,N(Screener!$D$13)&lt;=0),0,MAX(0,1-ABS(LOG10(N(Database!$AV379)/Screener!$D$13))/W_PEHW))</f>
        <v/>
      </c>
      <c r="J379">
        <f>IF(OR(N(Database!$S379)&lt;=0,N(Screener!$D$14)&lt;=0),0,MAX(0,1-ABS(LOG10(Database!$S379/Screener!$D$14))/0.6))</f>
        <v/>
      </c>
      <c r="K379">
        <f>IF(Database!$B379=Screener!$B$5,-999999,IF(ISNUMBER(SEARCH(","&amp;Database!$A379&amp;",",","&amp;SUBSTITUTE(Screener!$B$19," ","")&amp;",")),2000000,IF(IF(OR(Screener!$B$18="All",AND(Screener!$B$18="With A-share",(Database!$AZ379="Y")),AND(Screener!$B$18="Without A-share",NOT((Database!$AZ379="Y")))),1,0)=0,-999999,IF(Screener!$B$16="cornerstone overlap first",H379*100000,IF(Screener!$B$16="demand-similar first",J379*100000,0))+W_SUB*B379+W_SEC*C379*(1-B379)+W_SIZE*D379+W_PROF*E379+W_AH*F379+W_REC*G379+W_CS*H379+W_PE*I379)))+ROW()/1000000</f>
        <v/>
      </c>
      <c r="AA379">
        <f>Database!B368</f>
        <v/>
      </c>
      <c r="AB379">
        <f>Database!D368</f>
        <v/>
      </c>
      <c r="AC379">
        <f>Database!E368</f>
        <v/>
      </c>
      <c r="AD379">
        <f>Database!I368</f>
        <v/>
      </c>
      <c r="AE379">
        <f>Database!AU368</f>
        <v/>
      </c>
      <c r="AF379">
        <f>Database!AZ368</f>
        <v/>
      </c>
      <c r="AG379">
        <f>Database!H368</f>
        <v/>
      </c>
      <c r="AH379">
        <f>Database!AV368</f>
        <v/>
      </c>
    </row>
    <row r="380">
      <c r="A380">
        <f>Database!B380</f>
        <v/>
      </c>
      <c r="B380">
        <f>IF(AND(Screener!$D$8&lt;&gt;"",Database!$E380=Screener!$D$8),1,0)</f>
        <v/>
      </c>
      <c r="C380">
        <f>IF(AND(Screener!$D$7&lt;&gt;"",Database!$D380=Screener!$D$7),1,0)</f>
        <v/>
      </c>
      <c r="D380">
        <f>IF(OR(N(Database!$I380)&lt;=0,N(Screener!$D$9)&lt;=0),0,MAX(0,1-ABS(LOG10(N(Database!$I380)/Screener!$D$9))/W_SIZEHW))</f>
        <v/>
      </c>
      <c r="E380">
        <f>IF(OR(Database!$AU380="",Screener!$D$10=""),0,IF(Database!$AU380=Screener!$D$10,1,0))</f>
        <v/>
      </c>
      <c r="F380">
        <f>IF(OR(Database!$AZ380="",Screener!$D$11=""),0,IF(Database!$AZ380=Screener!$D$11,1,0))</f>
        <v/>
      </c>
      <c r="G380">
        <f>IF(OR(Database!$H380="",N(Screener!$D$12)&lt;=0),0,MAX(0,1-(N(Screener!$D$12)-Database!$H380)/W_RECD))</f>
        <v/>
      </c>
      <c r="H380">
        <f>IF($U$1="",0,N(ISNUMBER(SEARCH($U$1,Database!$X380&amp;""))))+IF($V$1="",0,N(ISNUMBER(SEARCH($V$1,Database!$X380&amp;""))))+IF($W$1="",0,N(ISNUMBER(SEARCH($W$1,Database!$X380&amp;""))))+IF($X$1="",0,N(ISNUMBER(SEARCH($X$1,Database!$X380&amp;""))))+IF($Y$1="",0,N(ISNUMBER(SEARCH($Y$1,Database!$X380&amp;""))))+IF(Screener!$B$17="",0,N(ISNUMBER(SEARCH(LOWER(Screener!$B$17),Database!$X380&amp;""))))</f>
        <v/>
      </c>
      <c r="I380">
        <f>IF(OR(N(Database!$AV380)&lt;=0,N(Screener!$D$13)&lt;=0),0,MAX(0,1-ABS(LOG10(N(Database!$AV380)/Screener!$D$13))/W_PEHW))</f>
        <v/>
      </c>
      <c r="J380">
        <f>IF(OR(N(Database!$S380)&lt;=0,N(Screener!$D$14)&lt;=0),0,MAX(0,1-ABS(LOG10(Database!$S380/Screener!$D$14))/0.6))</f>
        <v/>
      </c>
      <c r="K380">
        <f>IF(Database!$B380=Screener!$B$5,-999999,IF(ISNUMBER(SEARCH(","&amp;Database!$A380&amp;",",","&amp;SUBSTITUTE(Screener!$B$19," ","")&amp;",")),2000000,IF(IF(OR(Screener!$B$18="All",AND(Screener!$B$18="With A-share",(Database!$AZ380="Y")),AND(Screener!$B$18="Without A-share",NOT((Database!$AZ380="Y")))),1,0)=0,-999999,IF(Screener!$B$16="cornerstone overlap first",H380*100000,IF(Screener!$B$16="demand-similar first",J380*100000,0))+W_SUB*B380+W_SEC*C380*(1-B380)+W_SIZE*D380+W_PROF*E380+W_AH*F380+W_REC*G380+W_CS*H380+W_PE*I380)))+ROW()/1000000</f>
        <v/>
      </c>
      <c r="AA380">
        <f>Database!B369</f>
        <v/>
      </c>
      <c r="AB380">
        <f>Database!D369</f>
        <v/>
      </c>
      <c r="AC380">
        <f>Database!E369</f>
        <v/>
      </c>
      <c r="AD380">
        <f>Database!I369</f>
        <v/>
      </c>
      <c r="AE380">
        <f>Database!AU369</f>
        <v/>
      </c>
      <c r="AF380">
        <f>Database!AZ369</f>
        <v/>
      </c>
      <c r="AG380">
        <f>Database!H369</f>
        <v/>
      </c>
      <c r="AH380">
        <f>Database!AV369</f>
        <v/>
      </c>
    </row>
    <row r="381">
      <c r="A381">
        <f>Database!B381</f>
        <v/>
      </c>
      <c r="B381">
        <f>IF(AND(Screener!$D$8&lt;&gt;"",Database!$E381=Screener!$D$8),1,0)</f>
        <v/>
      </c>
      <c r="C381">
        <f>IF(AND(Screener!$D$7&lt;&gt;"",Database!$D381=Screener!$D$7),1,0)</f>
        <v/>
      </c>
      <c r="D381">
        <f>IF(OR(N(Database!$I381)&lt;=0,N(Screener!$D$9)&lt;=0),0,MAX(0,1-ABS(LOG10(N(Database!$I381)/Screener!$D$9))/W_SIZEHW))</f>
        <v/>
      </c>
      <c r="E381">
        <f>IF(OR(Database!$AU381="",Screener!$D$10=""),0,IF(Database!$AU381=Screener!$D$10,1,0))</f>
        <v/>
      </c>
      <c r="F381">
        <f>IF(OR(Database!$AZ381="",Screener!$D$11=""),0,IF(Database!$AZ381=Screener!$D$11,1,0))</f>
        <v/>
      </c>
      <c r="G381">
        <f>IF(OR(Database!$H381="",N(Screener!$D$12)&lt;=0),0,MAX(0,1-(N(Screener!$D$12)-Database!$H381)/W_RECD))</f>
        <v/>
      </c>
      <c r="H381">
        <f>IF($U$1="",0,N(ISNUMBER(SEARCH($U$1,Database!$X381&amp;""))))+IF($V$1="",0,N(ISNUMBER(SEARCH($V$1,Database!$X381&amp;""))))+IF($W$1="",0,N(ISNUMBER(SEARCH($W$1,Database!$X381&amp;""))))+IF($X$1="",0,N(ISNUMBER(SEARCH($X$1,Database!$X381&amp;""))))+IF($Y$1="",0,N(ISNUMBER(SEARCH($Y$1,Database!$X381&amp;""))))+IF(Screener!$B$17="",0,N(ISNUMBER(SEARCH(LOWER(Screener!$B$17),Database!$X381&amp;""))))</f>
        <v/>
      </c>
      <c r="I381">
        <f>IF(OR(N(Database!$AV381)&lt;=0,N(Screener!$D$13)&lt;=0),0,MAX(0,1-ABS(LOG10(N(Database!$AV381)/Screener!$D$13))/W_PEHW))</f>
        <v/>
      </c>
      <c r="J381">
        <f>IF(OR(N(Database!$S381)&lt;=0,N(Screener!$D$14)&lt;=0),0,MAX(0,1-ABS(LOG10(Database!$S381/Screener!$D$14))/0.6))</f>
        <v/>
      </c>
      <c r="K381">
        <f>IF(Database!$B381=Screener!$B$5,-999999,IF(ISNUMBER(SEARCH(","&amp;Database!$A381&amp;",",","&amp;SUBSTITUTE(Screener!$B$19," ","")&amp;",")),2000000,IF(IF(OR(Screener!$B$18="All",AND(Screener!$B$18="With A-share",(Database!$AZ381="Y")),AND(Screener!$B$18="Without A-share",NOT((Database!$AZ381="Y")))),1,0)=0,-999999,IF(Screener!$B$16="cornerstone overlap first",H381*100000,IF(Screener!$B$16="demand-similar first",J381*100000,0))+W_SUB*B381+W_SEC*C381*(1-B381)+W_SIZE*D381+W_PROF*E381+W_AH*F381+W_REC*G381+W_CS*H381+W_PE*I381)))+ROW()/1000000</f>
        <v/>
      </c>
      <c r="AA381">
        <f>Database!B370</f>
        <v/>
      </c>
      <c r="AB381">
        <f>Database!D370</f>
        <v/>
      </c>
      <c r="AC381">
        <f>Database!E370</f>
        <v/>
      </c>
      <c r="AD381">
        <f>Database!I370</f>
        <v/>
      </c>
      <c r="AE381">
        <f>Database!AU370</f>
        <v/>
      </c>
      <c r="AF381">
        <f>Database!AZ370</f>
        <v/>
      </c>
      <c r="AG381">
        <f>Database!H370</f>
        <v/>
      </c>
      <c r="AH381">
        <f>Database!AV370</f>
        <v/>
      </c>
    </row>
    <row r="382">
      <c r="A382">
        <f>Database!B382</f>
        <v/>
      </c>
      <c r="B382">
        <f>IF(AND(Screener!$D$8&lt;&gt;"",Database!$E382=Screener!$D$8),1,0)</f>
        <v/>
      </c>
      <c r="C382">
        <f>IF(AND(Screener!$D$7&lt;&gt;"",Database!$D382=Screener!$D$7),1,0)</f>
        <v/>
      </c>
      <c r="D382">
        <f>IF(OR(N(Database!$I382)&lt;=0,N(Screener!$D$9)&lt;=0),0,MAX(0,1-ABS(LOG10(N(Database!$I382)/Screener!$D$9))/W_SIZEHW))</f>
        <v/>
      </c>
      <c r="E382">
        <f>IF(OR(Database!$AU382="",Screener!$D$10=""),0,IF(Database!$AU382=Screener!$D$10,1,0))</f>
        <v/>
      </c>
      <c r="F382">
        <f>IF(OR(Database!$AZ382="",Screener!$D$11=""),0,IF(Database!$AZ382=Screener!$D$11,1,0))</f>
        <v/>
      </c>
      <c r="G382">
        <f>IF(OR(Database!$H382="",N(Screener!$D$12)&lt;=0),0,MAX(0,1-(N(Screener!$D$12)-Database!$H382)/W_RECD))</f>
        <v/>
      </c>
      <c r="H382">
        <f>IF($U$1="",0,N(ISNUMBER(SEARCH($U$1,Database!$X382&amp;""))))+IF($V$1="",0,N(ISNUMBER(SEARCH($V$1,Database!$X382&amp;""))))+IF($W$1="",0,N(ISNUMBER(SEARCH($W$1,Database!$X382&amp;""))))+IF($X$1="",0,N(ISNUMBER(SEARCH($X$1,Database!$X382&amp;""))))+IF($Y$1="",0,N(ISNUMBER(SEARCH($Y$1,Database!$X382&amp;""))))+IF(Screener!$B$17="",0,N(ISNUMBER(SEARCH(LOWER(Screener!$B$17),Database!$X382&amp;""))))</f>
        <v/>
      </c>
      <c r="I382">
        <f>IF(OR(N(Database!$AV382)&lt;=0,N(Screener!$D$13)&lt;=0),0,MAX(0,1-ABS(LOG10(N(Database!$AV382)/Screener!$D$13))/W_PEHW))</f>
        <v/>
      </c>
      <c r="J382">
        <f>IF(OR(N(Database!$S382)&lt;=0,N(Screener!$D$14)&lt;=0),0,MAX(0,1-ABS(LOG10(Database!$S382/Screener!$D$14))/0.6))</f>
        <v/>
      </c>
      <c r="K382">
        <f>IF(Database!$B382=Screener!$B$5,-999999,IF(ISNUMBER(SEARCH(","&amp;Database!$A382&amp;",",","&amp;SUBSTITUTE(Screener!$B$19," ","")&amp;",")),2000000,IF(IF(OR(Screener!$B$18="All",AND(Screener!$B$18="With A-share",(Database!$AZ382="Y")),AND(Screener!$B$18="Without A-share",NOT((Database!$AZ382="Y")))),1,0)=0,-999999,IF(Screener!$B$16="cornerstone overlap first",H382*100000,IF(Screener!$B$16="demand-similar first",J382*100000,0))+W_SUB*B382+W_SEC*C382*(1-B382)+W_SIZE*D382+W_PROF*E382+W_AH*F382+W_REC*G382+W_CS*H382+W_PE*I382)))+ROW()/1000000</f>
        <v/>
      </c>
      <c r="AA382">
        <f>Database!B371</f>
        <v/>
      </c>
      <c r="AB382">
        <f>Database!D371</f>
        <v/>
      </c>
      <c r="AC382">
        <f>Database!E371</f>
        <v/>
      </c>
      <c r="AD382">
        <f>Database!I371</f>
        <v/>
      </c>
      <c r="AE382">
        <f>Database!AU371</f>
        <v/>
      </c>
      <c r="AF382">
        <f>Database!AZ371</f>
        <v/>
      </c>
      <c r="AG382">
        <f>Database!H371</f>
        <v/>
      </c>
      <c r="AH382">
        <f>Database!AV371</f>
        <v/>
      </c>
    </row>
    <row r="383">
      <c r="A383">
        <f>Database!B383</f>
        <v/>
      </c>
      <c r="B383">
        <f>IF(AND(Screener!$D$8&lt;&gt;"",Database!$E383=Screener!$D$8),1,0)</f>
        <v/>
      </c>
      <c r="C383">
        <f>IF(AND(Screener!$D$7&lt;&gt;"",Database!$D383=Screener!$D$7),1,0)</f>
        <v/>
      </c>
      <c r="D383">
        <f>IF(OR(N(Database!$I383)&lt;=0,N(Screener!$D$9)&lt;=0),0,MAX(0,1-ABS(LOG10(N(Database!$I383)/Screener!$D$9))/W_SIZEHW))</f>
        <v/>
      </c>
      <c r="E383">
        <f>IF(OR(Database!$AU383="",Screener!$D$10=""),0,IF(Database!$AU383=Screener!$D$10,1,0))</f>
        <v/>
      </c>
      <c r="F383">
        <f>IF(OR(Database!$AZ383="",Screener!$D$11=""),0,IF(Database!$AZ383=Screener!$D$11,1,0))</f>
        <v/>
      </c>
      <c r="G383">
        <f>IF(OR(Database!$H383="",N(Screener!$D$12)&lt;=0),0,MAX(0,1-(N(Screener!$D$12)-Database!$H383)/W_RECD))</f>
        <v/>
      </c>
      <c r="H383">
        <f>IF($U$1="",0,N(ISNUMBER(SEARCH($U$1,Database!$X383&amp;""))))+IF($V$1="",0,N(ISNUMBER(SEARCH($V$1,Database!$X383&amp;""))))+IF($W$1="",0,N(ISNUMBER(SEARCH($W$1,Database!$X383&amp;""))))+IF($X$1="",0,N(ISNUMBER(SEARCH($X$1,Database!$X383&amp;""))))+IF($Y$1="",0,N(ISNUMBER(SEARCH($Y$1,Database!$X383&amp;""))))+IF(Screener!$B$17="",0,N(ISNUMBER(SEARCH(LOWER(Screener!$B$17),Database!$X383&amp;""))))</f>
        <v/>
      </c>
      <c r="I383">
        <f>IF(OR(N(Database!$AV383)&lt;=0,N(Screener!$D$13)&lt;=0),0,MAX(0,1-ABS(LOG10(N(Database!$AV383)/Screener!$D$13))/W_PEHW))</f>
        <v/>
      </c>
      <c r="J383">
        <f>IF(OR(N(Database!$S383)&lt;=0,N(Screener!$D$14)&lt;=0),0,MAX(0,1-ABS(LOG10(Database!$S383/Screener!$D$14))/0.6))</f>
        <v/>
      </c>
      <c r="K383">
        <f>IF(Database!$B383=Screener!$B$5,-999999,IF(ISNUMBER(SEARCH(","&amp;Database!$A383&amp;",",","&amp;SUBSTITUTE(Screener!$B$19," ","")&amp;",")),2000000,IF(IF(OR(Screener!$B$18="All",AND(Screener!$B$18="With A-share",(Database!$AZ383="Y")),AND(Screener!$B$18="Without A-share",NOT((Database!$AZ383="Y")))),1,0)=0,-999999,IF(Screener!$B$16="cornerstone overlap first",H383*100000,IF(Screener!$B$16="demand-similar first",J383*100000,0))+W_SUB*B383+W_SEC*C383*(1-B383)+W_SIZE*D383+W_PROF*E383+W_AH*F383+W_REC*G383+W_CS*H383+W_PE*I383)))+ROW()/1000000</f>
        <v/>
      </c>
      <c r="AA383">
        <f>Database!B372</f>
        <v/>
      </c>
      <c r="AB383">
        <f>Database!D372</f>
        <v/>
      </c>
      <c r="AC383">
        <f>Database!E372</f>
        <v/>
      </c>
      <c r="AD383">
        <f>Database!I372</f>
        <v/>
      </c>
      <c r="AE383">
        <f>Database!AU372</f>
        <v/>
      </c>
      <c r="AF383">
        <f>Database!AZ372</f>
        <v/>
      </c>
      <c r="AG383">
        <f>Database!H372</f>
        <v/>
      </c>
      <c r="AH383">
        <f>Database!AV372</f>
        <v/>
      </c>
    </row>
    <row r="384">
      <c r="A384">
        <f>Database!B384</f>
        <v/>
      </c>
      <c r="B384">
        <f>IF(AND(Screener!$D$8&lt;&gt;"",Database!$E384=Screener!$D$8),1,0)</f>
        <v/>
      </c>
      <c r="C384">
        <f>IF(AND(Screener!$D$7&lt;&gt;"",Database!$D384=Screener!$D$7),1,0)</f>
        <v/>
      </c>
      <c r="D384">
        <f>IF(OR(N(Database!$I384)&lt;=0,N(Screener!$D$9)&lt;=0),0,MAX(0,1-ABS(LOG10(N(Database!$I384)/Screener!$D$9))/W_SIZEHW))</f>
        <v/>
      </c>
      <c r="E384">
        <f>IF(OR(Database!$AU384="",Screener!$D$10=""),0,IF(Database!$AU384=Screener!$D$10,1,0))</f>
        <v/>
      </c>
      <c r="F384">
        <f>IF(OR(Database!$AZ384="",Screener!$D$11=""),0,IF(Database!$AZ384=Screener!$D$11,1,0))</f>
        <v/>
      </c>
      <c r="G384">
        <f>IF(OR(Database!$H384="",N(Screener!$D$12)&lt;=0),0,MAX(0,1-(N(Screener!$D$12)-Database!$H384)/W_RECD))</f>
        <v/>
      </c>
      <c r="H384">
        <f>IF($U$1="",0,N(ISNUMBER(SEARCH($U$1,Database!$X384&amp;""))))+IF($V$1="",0,N(ISNUMBER(SEARCH($V$1,Database!$X384&amp;""))))+IF($W$1="",0,N(ISNUMBER(SEARCH($W$1,Database!$X384&amp;""))))+IF($X$1="",0,N(ISNUMBER(SEARCH($X$1,Database!$X384&amp;""))))+IF($Y$1="",0,N(ISNUMBER(SEARCH($Y$1,Database!$X384&amp;""))))+IF(Screener!$B$17="",0,N(ISNUMBER(SEARCH(LOWER(Screener!$B$17),Database!$X384&amp;""))))</f>
        <v/>
      </c>
      <c r="I384">
        <f>IF(OR(N(Database!$AV384)&lt;=0,N(Screener!$D$13)&lt;=0),0,MAX(0,1-ABS(LOG10(N(Database!$AV384)/Screener!$D$13))/W_PEHW))</f>
        <v/>
      </c>
      <c r="J384">
        <f>IF(OR(N(Database!$S384)&lt;=0,N(Screener!$D$14)&lt;=0),0,MAX(0,1-ABS(LOG10(Database!$S384/Screener!$D$14))/0.6))</f>
        <v/>
      </c>
      <c r="K384">
        <f>IF(Database!$B384=Screener!$B$5,-999999,IF(ISNUMBER(SEARCH(","&amp;Database!$A384&amp;",",","&amp;SUBSTITUTE(Screener!$B$19," ","")&amp;",")),2000000,IF(IF(OR(Screener!$B$18="All",AND(Screener!$B$18="With A-share",(Database!$AZ384="Y")),AND(Screener!$B$18="Without A-share",NOT((Database!$AZ384="Y")))),1,0)=0,-999999,IF(Screener!$B$16="cornerstone overlap first",H384*100000,IF(Screener!$B$16="demand-similar first",J384*100000,0))+W_SUB*B384+W_SEC*C384*(1-B384)+W_SIZE*D384+W_PROF*E384+W_AH*F384+W_REC*G384+W_CS*H384+W_PE*I384)))+ROW()/1000000</f>
        <v/>
      </c>
      <c r="AA384">
        <f>Database!B373</f>
        <v/>
      </c>
      <c r="AB384">
        <f>Database!D373</f>
        <v/>
      </c>
      <c r="AC384">
        <f>Database!E373</f>
        <v/>
      </c>
      <c r="AD384">
        <f>Database!I373</f>
        <v/>
      </c>
      <c r="AE384">
        <f>Database!AU373</f>
        <v/>
      </c>
      <c r="AF384">
        <f>Database!AZ373</f>
        <v/>
      </c>
      <c r="AG384">
        <f>Database!H373</f>
        <v/>
      </c>
      <c r="AH384">
        <f>Database!AV373</f>
        <v/>
      </c>
    </row>
    <row r="385">
      <c r="A385">
        <f>Database!B385</f>
        <v/>
      </c>
      <c r="B385">
        <f>IF(AND(Screener!$D$8&lt;&gt;"",Database!$E385=Screener!$D$8),1,0)</f>
        <v/>
      </c>
      <c r="C385">
        <f>IF(AND(Screener!$D$7&lt;&gt;"",Database!$D385=Screener!$D$7),1,0)</f>
        <v/>
      </c>
      <c r="D385">
        <f>IF(OR(N(Database!$I385)&lt;=0,N(Screener!$D$9)&lt;=0),0,MAX(0,1-ABS(LOG10(N(Database!$I385)/Screener!$D$9))/W_SIZEHW))</f>
        <v/>
      </c>
      <c r="E385">
        <f>IF(OR(Database!$AU385="",Screener!$D$10=""),0,IF(Database!$AU385=Screener!$D$10,1,0))</f>
        <v/>
      </c>
      <c r="F385">
        <f>IF(OR(Database!$AZ385="",Screener!$D$11=""),0,IF(Database!$AZ385=Screener!$D$11,1,0))</f>
        <v/>
      </c>
      <c r="G385">
        <f>IF(OR(Database!$H385="",N(Screener!$D$12)&lt;=0),0,MAX(0,1-(N(Screener!$D$12)-Database!$H385)/W_RECD))</f>
        <v/>
      </c>
      <c r="H385">
        <f>IF($U$1="",0,N(ISNUMBER(SEARCH($U$1,Database!$X385&amp;""))))+IF($V$1="",0,N(ISNUMBER(SEARCH($V$1,Database!$X385&amp;""))))+IF($W$1="",0,N(ISNUMBER(SEARCH($W$1,Database!$X385&amp;""))))+IF($X$1="",0,N(ISNUMBER(SEARCH($X$1,Database!$X385&amp;""))))+IF($Y$1="",0,N(ISNUMBER(SEARCH($Y$1,Database!$X385&amp;""))))+IF(Screener!$B$17="",0,N(ISNUMBER(SEARCH(LOWER(Screener!$B$17),Database!$X385&amp;""))))</f>
        <v/>
      </c>
      <c r="I385">
        <f>IF(OR(N(Database!$AV385)&lt;=0,N(Screener!$D$13)&lt;=0),0,MAX(0,1-ABS(LOG10(N(Database!$AV385)/Screener!$D$13))/W_PEHW))</f>
        <v/>
      </c>
      <c r="J385">
        <f>IF(OR(N(Database!$S385)&lt;=0,N(Screener!$D$14)&lt;=0),0,MAX(0,1-ABS(LOG10(Database!$S385/Screener!$D$14))/0.6))</f>
        <v/>
      </c>
      <c r="K385">
        <f>IF(Database!$B385=Screener!$B$5,-999999,IF(ISNUMBER(SEARCH(","&amp;Database!$A385&amp;",",","&amp;SUBSTITUTE(Screener!$B$19," ","")&amp;",")),2000000,IF(IF(OR(Screener!$B$18="All",AND(Screener!$B$18="With A-share",(Database!$AZ385="Y")),AND(Screener!$B$18="Without A-share",NOT((Database!$AZ385="Y")))),1,0)=0,-999999,IF(Screener!$B$16="cornerstone overlap first",H385*100000,IF(Screener!$B$16="demand-similar first",J385*100000,0))+W_SUB*B385+W_SEC*C385*(1-B385)+W_SIZE*D385+W_PROF*E385+W_AH*F385+W_REC*G385+W_CS*H385+W_PE*I385)))+ROW()/1000000</f>
        <v/>
      </c>
      <c r="AA385">
        <f>Database!B374</f>
        <v/>
      </c>
      <c r="AB385">
        <f>Database!D374</f>
        <v/>
      </c>
      <c r="AC385">
        <f>Database!E374</f>
        <v/>
      </c>
      <c r="AD385">
        <f>Database!I374</f>
        <v/>
      </c>
      <c r="AE385">
        <f>Database!AU374</f>
        <v/>
      </c>
      <c r="AF385">
        <f>Database!AZ374</f>
        <v/>
      </c>
      <c r="AG385">
        <f>Database!H374</f>
        <v/>
      </c>
      <c r="AH385">
        <f>Database!AV374</f>
        <v/>
      </c>
    </row>
    <row r="386">
      <c r="A386">
        <f>Database!B386</f>
        <v/>
      </c>
      <c r="B386">
        <f>IF(AND(Screener!$D$8&lt;&gt;"",Database!$E386=Screener!$D$8),1,0)</f>
        <v/>
      </c>
      <c r="C386">
        <f>IF(AND(Screener!$D$7&lt;&gt;"",Database!$D386=Screener!$D$7),1,0)</f>
        <v/>
      </c>
      <c r="D386">
        <f>IF(OR(N(Database!$I386)&lt;=0,N(Screener!$D$9)&lt;=0),0,MAX(0,1-ABS(LOG10(N(Database!$I386)/Screener!$D$9))/W_SIZEHW))</f>
        <v/>
      </c>
      <c r="E386">
        <f>IF(OR(Database!$AU386="",Screener!$D$10=""),0,IF(Database!$AU386=Screener!$D$10,1,0))</f>
        <v/>
      </c>
      <c r="F386">
        <f>IF(OR(Database!$AZ386="",Screener!$D$11=""),0,IF(Database!$AZ386=Screener!$D$11,1,0))</f>
        <v/>
      </c>
      <c r="G386">
        <f>IF(OR(Database!$H386="",N(Screener!$D$12)&lt;=0),0,MAX(0,1-(N(Screener!$D$12)-Database!$H386)/W_RECD))</f>
        <v/>
      </c>
      <c r="H386">
        <f>IF($U$1="",0,N(ISNUMBER(SEARCH($U$1,Database!$X386&amp;""))))+IF($V$1="",0,N(ISNUMBER(SEARCH($V$1,Database!$X386&amp;""))))+IF($W$1="",0,N(ISNUMBER(SEARCH($W$1,Database!$X386&amp;""))))+IF($X$1="",0,N(ISNUMBER(SEARCH($X$1,Database!$X386&amp;""))))+IF($Y$1="",0,N(ISNUMBER(SEARCH($Y$1,Database!$X386&amp;""))))+IF(Screener!$B$17="",0,N(ISNUMBER(SEARCH(LOWER(Screener!$B$17),Database!$X386&amp;""))))</f>
        <v/>
      </c>
      <c r="I386">
        <f>IF(OR(N(Database!$AV386)&lt;=0,N(Screener!$D$13)&lt;=0),0,MAX(0,1-ABS(LOG10(N(Database!$AV386)/Screener!$D$13))/W_PEHW))</f>
        <v/>
      </c>
      <c r="J386">
        <f>IF(OR(N(Database!$S386)&lt;=0,N(Screener!$D$14)&lt;=0),0,MAX(0,1-ABS(LOG10(Database!$S386/Screener!$D$14))/0.6))</f>
        <v/>
      </c>
      <c r="K386">
        <f>IF(Database!$B386=Screener!$B$5,-999999,IF(ISNUMBER(SEARCH(","&amp;Database!$A386&amp;",",","&amp;SUBSTITUTE(Screener!$B$19," ","")&amp;",")),2000000,IF(IF(OR(Screener!$B$18="All",AND(Screener!$B$18="With A-share",(Database!$AZ386="Y")),AND(Screener!$B$18="Without A-share",NOT((Database!$AZ386="Y")))),1,0)=0,-999999,IF(Screener!$B$16="cornerstone overlap first",H386*100000,IF(Screener!$B$16="demand-similar first",J386*100000,0))+W_SUB*B386+W_SEC*C386*(1-B386)+W_SIZE*D386+W_PROF*E386+W_AH*F386+W_REC*G386+W_CS*H386+W_PE*I386)))+ROW()/1000000</f>
        <v/>
      </c>
      <c r="AA386">
        <f>Database!B375</f>
        <v/>
      </c>
      <c r="AB386">
        <f>Database!D375</f>
        <v/>
      </c>
      <c r="AC386">
        <f>Database!E375</f>
        <v/>
      </c>
      <c r="AD386">
        <f>Database!I375</f>
        <v/>
      </c>
      <c r="AE386">
        <f>Database!AU375</f>
        <v/>
      </c>
      <c r="AF386">
        <f>Database!AZ375</f>
        <v/>
      </c>
      <c r="AG386">
        <f>Database!H375</f>
        <v/>
      </c>
      <c r="AH386">
        <f>Database!AV375</f>
        <v/>
      </c>
    </row>
    <row r="387">
      <c r="A387">
        <f>Database!B387</f>
        <v/>
      </c>
      <c r="B387">
        <f>IF(AND(Screener!$D$8&lt;&gt;"",Database!$E387=Screener!$D$8),1,0)</f>
        <v/>
      </c>
      <c r="C387">
        <f>IF(AND(Screener!$D$7&lt;&gt;"",Database!$D387=Screener!$D$7),1,0)</f>
        <v/>
      </c>
      <c r="D387">
        <f>IF(OR(N(Database!$I387)&lt;=0,N(Screener!$D$9)&lt;=0),0,MAX(0,1-ABS(LOG10(N(Database!$I387)/Screener!$D$9))/W_SIZEHW))</f>
        <v/>
      </c>
      <c r="E387">
        <f>IF(OR(Database!$AU387="",Screener!$D$10=""),0,IF(Database!$AU387=Screener!$D$10,1,0))</f>
        <v/>
      </c>
      <c r="F387">
        <f>IF(OR(Database!$AZ387="",Screener!$D$11=""),0,IF(Database!$AZ387=Screener!$D$11,1,0))</f>
        <v/>
      </c>
      <c r="G387">
        <f>IF(OR(Database!$H387="",N(Screener!$D$12)&lt;=0),0,MAX(0,1-(N(Screener!$D$12)-Database!$H387)/W_RECD))</f>
        <v/>
      </c>
      <c r="H387">
        <f>IF($U$1="",0,N(ISNUMBER(SEARCH($U$1,Database!$X387&amp;""))))+IF($V$1="",0,N(ISNUMBER(SEARCH($V$1,Database!$X387&amp;""))))+IF($W$1="",0,N(ISNUMBER(SEARCH($W$1,Database!$X387&amp;""))))+IF($X$1="",0,N(ISNUMBER(SEARCH($X$1,Database!$X387&amp;""))))+IF($Y$1="",0,N(ISNUMBER(SEARCH($Y$1,Database!$X387&amp;""))))+IF(Screener!$B$17="",0,N(ISNUMBER(SEARCH(LOWER(Screener!$B$17),Database!$X387&amp;""))))</f>
        <v/>
      </c>
      <c r="I387">
        <f>IF(OR(N(Database!$AV387)&lt;=0,N(Screener!$D$13)&lt;=0),0,MAX(0,1-ABS(LOG10(N(Database!$AV387)/Screener!$D$13))/W_PEHW))</f>
        <v/>
      </c>
      <c r="J387">
        <f>IF(OR(N(Database!$S387)&lt;=0,N(Screener!$D$14)&lt;=0),0,MAX(0,1-ABS(LOG10(Database!$S387/Screener!$D$14))/0.6))</f>
        <v/>
      </c>
      <c r="K387">
        <f>IF(Database!$B387=Screener!$B$5,-999999,IF(ISNUMBER(SEARCH(","&amp;Database!$A387&amp;",",","&amp;SUBSTITUTE(Screener!$B$19," ","")&amp;",")),2000000,IF(IF(OR(Screener!$B$18="All",AND(Screener!$B$18="With A-share",(Database!$AZ387="Y")),AND(Screener!$B$18="Without A-share",NOT((Database!$AZ387="Y")))),1,0)=0,-999999,IF(Screener!$B$16="cornerstone overlap first",H387*100000,IF(Screener!$B$16="demand-similar first",J387*100000,0))+W_SUB*B387+W_SEC*C387*(1-B387)+W_SIZE*D387+W_PROF*E387+W_AH*F387+W_REC*G387+W_CS*H387+W_PE*I387)))+ROW()/1000000</f>
        <v/>
      </c>
      <c r="AA387">
        <f>Database!B376</f>
        <v/>
      </c>
      <c r="AB387">
        <f>Database!D376</f>
        <v/>
      </c>
      <c r="AC387">
        <f>Database!E376</f>
        <v/>
      </c>
      <c r="AD387">
        <f>Database!I376</f>
        <v/>
      </c>
      <c r="AE387">
        <f>Database!AU376</f>
        <v/>
      </c>
      <c r="AF387">
        <f>Database!AZ376</f>
        <v/>
      </c>
      <c r="AG387">
        <f>Database!H376</f>
        <v/>
      </c>
      <c r="AH387">
        <f>Database!AV376</f>
        <v/>
      </c>
    </row>
    <row r="388">
      <c r="A388">
        <f>Database!B388</f>
        <v/>
      </c>
      <c r="B388">
        <f>IF(AND(Screener!$D$8&lt;&gt;"",Database!$E388=Screener!$D$8),1,0)</f>
        <v/>
      </c>
      <c r="C388">
        <f>IF(AND(Screener!$D$7&lt;&gt;"",Database!$D388=Screener!$D$7),1,0)</f>
        <v/>
      </c>
      <c r="D388">
        <f>IF(OR(N(Database!$I388)&lt;=0,N(Screener!$D$9)&lt;=0),0,MAX(0,1-ABS(LOG10(N(Database!$I388)/Screener!$D$9))/W_SIZEHW))</f>
        <v/>
      </c>
      <c r="E388">
        <f>IF(OR(Database!$AU388="",Screener!$D$10=""),0,IF(Database!$AU388=Screener!$D$10,1,0))</f>
        <v/>
      </c>
      <c r="F388">
        <f>IF(OR(Database!$AZ388="",Screener!$D$11=""),0,IF(Database!$AZ388=Screener!$D$11,1,0))</f>
        <v/>
      </c>
      <c r="G388">
        <f>IF(OR(Database!$H388="",N(Screener!$D$12)&lt;=0),0,MAX(0,1-(N(Screener!$D$12)-Database!$H388)/W_RECD))</f>
        <v/>
      </c>
      <c r="H388">
        <f>IF($U$1="",0,N(ISNUMBER(SEARCH($U$1,Database!$X388&amp;""))))+IF($V$1="",0,N(ISNUMBER(SEARCH($V$1,Database!$X388&amp;""))))+IF($W$1="",0,N(ISNUMBER(SEARCH($W$1,Database!$X388&amp;""))))+IF($X$1="",0,N(ISNUMBER(SEARCH($X$1,Database!$X388&amp;""))))+IF($Y$1="",0,N(ISNUMBER(SEARCH($Y$1,Database!$X388&amp;""))))+IF(Screener!$B$17="",0,N(ISNUMBER(SEARCH(LOWER(Screener!$B$17),Database!$X388&amp;""))))</f>
        <v/>
      </c>
      <c r="I388">
        <f>IF(OR(N(Database!$AV388)&lt;=0,N(Screener!$D$13)&lt;=0),0,MAX(0,1-ABS(LOG10(N(Database!$AV388)/Screener!$D$13))/W_PEHW))</f>
        <v/>
      </c>
      <c r="J388">
        <f>IF(OR(N(Database!$S388)&lt;=0,N(Screener!$D$14)&lt;=0),0,MAX(0,1-ABS(LOG10(Database!$S388/Screener!$D$14))/0.6))</f>
        <v/>
      </c>
      <c r="K388">
        <f>IF(Database!$B388=Screener!$B$5,-999999,IF(ISNUMBER(SEARCH(","&amp;Database!$A388&amp;",",","&amp;SUBSTITUTE(Screener!$B$19," ","")&amp;",")),2000000,IF(IF(OR(Screener!$B$18="All",AND(Screener!$B$18="With A-share",(Database!$AZ388="Y")),AND(Screener!$B$18="Without A-share",NOT((Database!$AZ388="Y")))),1,0)=0,-999999,IF(Screener!$B$16="cornerstone overlap first",H388*100000,IF(Screener!$B$16="demand-similar first",J388*100000,0))+W_SUB*B388+W_SEC*C388*(1-B388)+W_SIZE*D388+W_PROF*E388+W_AH*F388+W_REC*G388+W_CS*H388+W_PE*I388)))+ROW()/1000000</f>
        <v/>
      </c>
      <c r="AA388">
        <f>Database!B377</f>
        <v/>
      </c>
      <c r="AB388">
        <f>Database!D377</f>
        <v/>
      </c>
      <c r="AC388">
        <f>Database!E377</f>
        <v/>
      </c>
      <c r="AD388">
        <f>Database!I377</f>
        <v/>
      </c>
      <c r="AE388">
        <f>Database!AU377</f>
        <v/>
      </c>
      <c r="AF388">
        <f>Database!AZ377</f>
        <v/>
      </c>
      <c r="AG388">
        <f>Database!H377</f>
        <v/>
      </c>
      <c r="AH388">
        <f>Database!AV377</f>
        <v/>
      </c>
    </row>
    <row r="389">
      <c r="A389">
        <f>Database!B389</f>
        <v/>
      </c>
      <c r="B389">
        <f>IF(AND(Screener!$D$8&lt;&gt;"",Database!$E389=Screener!$D$8),1,0)</f>
        <v/>
      </c>
      <c r="C389">
        <f>IF(AND(Screener!$D$7&lt;&gt;"",Database!$D389=Screener!$D$7),1,0)</f>
        <v/>
      </c>
      <c r="D389">
        <f>IF(OR(N(Database!$I389)&lt;=0,N(Screener!$D$9)&lt;=0),0,MAX(0,1-ABS(LOG10(N(Database!$I389)/Screener!$D$9))/W_SIZEHW))</f>
        <v/>
      </c>
      <c r="E389">
        <f>IF(OR(Database!$AU389="",Screener!$D$10=""),0,IF(Database!$AU389=Screener!$D$10,1,0))</f>
        <v/>
      </c>
      <c r="F389">
        <f>IF(OR(Database!$AZ389="",Screener!$D$11=""),0,IF(Database!$AZ389=Screener!$D$11,1,0))</f>
        <v/>
      </c>
      <c r="G389">
        <f>IF(OR(Database!$H389="",N(Screener!$D$12)&lt;=0),0,MAX(0,1-(N(Screener!$D$12)-Database!$H389)/W_RECD))</f>
        <v/>
      </c>
      <c r="H389">
        <f>IF($U$1="",0,N(ISNUMBER(SEARCH($U$1,Database!$X389&amp;""))))+IF($V$1="",0,N(ISNUMBER(SEARCH($V$1,Database!$X389&amp;""))))+IF($W$1="",0,N(ISNUMBER(SEARCH($W$1,Database!$X389&amp;""))))+IF($X$1="",0,N(ISNUMBER(SEARCH($X$1,Database!$X389&amp;""))))+IF($Y$1="",0,N(ISNUMBER(SEARCH($Y$1,Database!$X389&amp;""))))+IF(Screener!$B$17="",0,N(ISNUMBER(SEARCH(LOWER(Screener!$B$17),Database!$X389&amp;""))))</f>
        <v/>
      </c>
      <c r="I389">
        <f>IF(OR(N(Database!$AV389)&lt;=0,N(Screener!$D$13)&lt;=0),0,MAX(0,1-ABS(LOG10(N(Database!$AV389)/Screener!$D$13))/W_PEHW))</f>
        <v/>
      </c>
      <c r="J389">
        <f>IF(OR(N(Database!$S389)&lt;=0,N(Screener!$D$14)&lt;=0),0,MAX(0,1-ABS(LOG10(Database!$S389/Screener!$D$14))/0.6))</f>
        <v/>
      </c>
      <c r="K389">
        <f>IF(Database!$B389=Screener!$B$5,-999999,IF(ISNUMBER(SEARCH(","&amp;Database!$A389&amp;",",","&amp;SUBSTITUTE(Screener!$B$19," ","")&amp;",")),2000000,IF(IF(OR(Screener!$B$18="All",AND(Screener!$B$18="With A-share",(Database!$AZ389="Y")),AND(Screener!$B$18="Without A-share",NOT((Database!$AZ389="Y")))),1,0)=0,-999999,IF(Screener!$B$16="cornerstone overlap first",H389*100000,IF(Screener!$B$16="demand-similar first",J389*100000,0))+W_SUB*B389+W_SEC*C389*(1-B389)+W_SIZE*D389+W_PROF*E389+W_AH*F389+W_REC*G389+W_CS*H389+W_PE*I389)))+ROW()/1000000</f>
        <v/>
      </c>
      <c r="AA389">
        <f>Database!B378</f>
        <v/>
      </c>
      <c r="AB389">
        <f>Database!D378</f>
        <v/>
      </c>
      <c r="AC389">
        <f>Database!E378</f>
        <v/>
      </c>
      <c r="AD389">
        <f>Database!I378</f>
        <v/>
      </c>
      <c r="AE389">
        <f>Database!AU378</f>
        <v/>
      </c>
      <c r="AF389">
        <f>Database!AZ378</f>
        <v/>
      </c>
      <c r="AG389">
        <f>Database!H378</f>
        <v/>
      </c>
      <c r="AH389">
        <f>Database!AV378</f>
        <v/>
      </c>
    </row>
    <row r="390">
      <c r="A390">
        <f>Database!B390</f>
        <v/>
      </c>
      <c r="B390">
        <f>IF(AND(Screener!$D$8&lt;&gt;"",Database!$E390=Screener!$D$8),1,0)</f>
        <v/>
      </c>
      <c r="C390">
        <f>IF(AND(Screener!$D$7&lt;&gt;"",Database!$D390=Screener!$D$7),1,0)</f>
        <v/>
      </c>
      <c r="D390">
        <f>IF(OR(N(Database!$I390)&lt;=0,N(Screener!$D$9)&lt;=0),0,MAX(0,1-ABS(LOG10(N(Database!$I390)/Screener!$D$9))/W_SIZEHW))</f>
        <v/>
      </c>
      <c r="E390">
        <f>IF(OR(Database!$AU390="",Screener!$D$10=""),0,IF(Database!$AU390=Screener!$D$10,1,0))</f>
        <v/>
      </c>
      <c r="F390">
        <f>IF(OR(Database!$AZ390="",Screener!$D$11=""),0,IF(Database!$AZ390=Screener!$D$11,1,0))</f>
        <v/>
      </c>
      <c r="G390">
        <f>IF(OR(Database!$H390="",N(Screener!$D$12)&lt;=0),0,MAX(0,1-(N(Screener!$D$12)-Database!$H390)/W_RECD))</f>
        <v/>
      </c>
      <c r="H390">
        <f>IF($U$1="",0,N(ISNUMBER(SEARCH($U$1,Database!$X390&amp;""))))+IF($V$1="",0,N(ISNUMBER(SEARCH($V$1,Database!$X390&amp;""))))+IF($W$1="",0,N(ISNUMBER(SEARCH($W$1,Database!$X390&amp;""))))+IF($X$1="",0,N(ISNUMBER(SEARCH($X$1,Database!$X390&amp;""))))+IF($Y$1="",0,N(ISNUMBER(SEARCH($Y$1,Database!$X390&amp;""))))+IF(Screener!$B$17="",0,N(ISNUMBER(SEARCH(LOWER(Screener!$B$17),Database!$X390&amp;""))))</f>
        <v/>
      </c>
      <c r="I390">
        <f>IF(OR(N(Database!$AV390)&lt;=0,N(Screener!$D$13)&lt;=0),0,MAX(0,1-ABS(LOG10(N(Database!$AV390)/Screener!$D$13))/W_PEHW))</f>
        <v/>
      </c>
      <c r="J390">
        <f>IF(OR(N(Database!$S390)&lt;=0,N(Screener!$D$14)&lt;=0),0,MAX(0,1-ABS(LOG10(Database!$S390/Screener!$D$14))/0.6))</f>
        <v/>
      </c>
      <c r="K390">
        <f>IF(Database!$B390=Screener!$B$5,-999999,IF(ISNUMBER(SEARCH(","&amp;Database!$A390&amp;",",","&amp;SUBSTITUTE(Screener!$B$19," ","")&amp;",")),2000000,IF(IF(OR(Screener!$B$18="All",AND(Screener!$B$18="With A-share",(Database!$AZ390="Y")),AND(Screener!$B$18="Without A-share",NOT((Database!$AZ390="Y")))),1,0)=0,-999999,IF(Screener!$B$16="cornerstone overlap first",H390*100000,IF(Screener!$B$16="demand-similar first",J390*100000,0))+W_SUB*B390+W_SEC*C390*(1-B390)+W_SIZE*D390+W_PROF*E390+W_AH*F390+W_REC*G390+W_CS*H390+W_PE*I390)))+ROW()/1000000</f>
        <v/>
      </c>
      <c r="AA390">
        <f>Database!B379</f>
        <v/>
      </c>
      <c r="AB390">
        <f>Database!D379</f>
        <v/>
      </c>
      <c r="AC390">
        <f>Database!E379</f>
        <v/>
      </c>
      <c r="AD390">
        <f>Database!I379</f>
        <v/>
      </c>
      <c r="AE390">
        <f>Database!AU379</f>
        <v/>
      </c>
      <c r="AF390">
        <f>Database!AZ379</f>
        <v/>
      </c>
      <c r="AG390">
        <f>Database!H379</f>
        <v/>
      </c>
      <c r="AH390">
        <f>Database!AV379</f>
        <v/>
      </c>
    </row>
    <row r="391">
      <c r="A391">
        <f>Database!B391</f>
        <v/>
      </c>
      <c r="B391">
        <f>IF(AND(Screener!$D$8&lt;&gt;"",Database!$E391=Screener!$D$8),1,0)</f>
        <v/>
      </c>
      <c r="C391">
        <f>IF(AND(Screener!$D$7&lt;&gt;"",Database!$D391=Screener!$D$7),1,0)</f>
        <v/>
      </c>
      <c r="D391">
        <f>IF(OR(N(Database!$I391)&lt;=0,N(Screener!$D$9)&lt;=0),0,MAX(0,1-ABS(LOG10(N(Database!$I391)/Screener!$D$9))/W_SIZEHW))</f>
        <v/>
      </c>
      <c r="E391">
        <f>IF(OR(Database!$AU391="",Screener!$D$10=""),0,IF(Database!$AU391=Screener!$D$10,1,0))</f>
        <v/>
      </c>
      <c r="F391">
        <f>IF(OR(Database!$AZ391="",Screener!$D$11=""),0,IF(Database!$AZ391=Screener!$D$11,1,0))</f>
        <v/>
      </c>
      <c r="G391">
        <f>IF(OR(Database!$H391="",N(Screener!$D$12)&lt;=0),0,MAX(0,1-(N(Screener!$D$12)-Database!$H391)/W_RECD))</f>
        <v/>
      </c>
      <c r="H391">
        <f>IF($U$1="",0,N(ISNUMBER(SEARCH($U$1,Database!$X391&amp;""))))+IF($V$1="",0,N(ISNUMBER(SEARCH($V$1,Database!$X391&amp;""))))+IF($W$1="",0,N(ISNUMBER(SEARCH($W$1,Database!$X391&amp;""))))+IF($X$1="",0,N(ISNUMBER(SEARCH($X$1,Database!$X391&amp;""))))+IF($Y$1="",0,N(ISNUMBER(SEARCH($Y$1,Database!$X391&amp;""))))+IF(Screener!$B$17="",0,N(ISNUMBER(SEARCH(LOWER(Screener!$B$17),Database!$X391&amp;""))))</f>
        <v/>
      </c>
      <c r="I391">
        <f>IF(OR(N(Database!$AV391)&lt;=0,N(Screener!$D$13)&lt;=0),0,MAX(0,1-ABS(LOG10(N(Database!$AV391)/Screener!$D$13))/W_PEHW))</f>
        <v/>
      </c>
      <c r="J391">
        <f>IF(OR(N(Database!$S391)&lt;=0,N(Screener!$D$14)&lt;=0),0,MAX(0,1-ABS(LOG10(Database!$S391/Screener!$D$14))/0.6))</f>
        <v/>
      </c>
      <c r="K391">
        <f>IF(Database!$B391=Screener!$B$5,-999999,IF(ISNUMBER(SEARCH(","&amp;Database!$A391&amp;",",","&amp;SUBSTITUTE(Screener!$B$19," ","")&amp;",")),2000000,IF(IF(OR(Screener!$B$18="All",AND(Screener!$B$18="With A-share",(Database!$AZ391="Y")),AND(Screener!$B$18="Without A-share",NOT((Database!$AZ391="Y")))),1,0)=0,-999999,IF(Screener!$B$16="cornerstone overlap first",H391*100000,IF(Screener!$B$16="demand-similar first",J391*100000,0))+W_SUB*B391+W_SEC*C391*(1-B391)+W_SIZE*D391+W_PROF*E391+W_AH*F391+W_REC*G391+W_CS*H391+W_PE*I391)))+ROW()/1000000</f>
        <v/>
      </c>
      <c r="AA391">
        <f>Database!B380</f>
        <v/>
      </c>
      <c r="AB391">
        <f>Database!D380</f>
        <v/>
      </c>
      <c r="AC391">
        <f>Database!E380</f>
        <v/>
      </c>
      <c r="AD391">
        <f>Database!I380</f>
        <v/>
      </c>
      <c r="AE391">
        <f>Database!AU380</f>
        <v/>
      </c>
      <c r="AF391">
        <f>Database!AZ380</f>
        <v/>
      </c>
      <c r="AG391">
        <f>Database!H380</f>
        <v/>
      </c>
      <c r="AH391">
        <f>Database!AV380</f>
        <v/>
      </c>
    </row>
    <row r="392">
      <c r="A392">
        <f>Database!B392</f>
        <v/>
      </c>
      <c r="B392">
        <f>IF(AND(Screener!$D$8&lt;&gt;"",Database!$E392=Screener!$D$8),1,0)</f>
        <v/>
      </c>
      <c r="C392">
        <f>IF(AND(Screener!$D$7&lt;&gt;"",Database!$D392=Screener!$D$7),1,0)</f>
        <v/>
      </c>
      <c r="D392">
        <f>IF(OR(N(Database!$I392)&lt;=0,N(Screener!$D$9)&lt;=0),0,MAX(0,1-ABS(LOG10(N(Database!$I392)/Screener!$D$9))/W_SIZEHW))</f>
        <v/>
      </c>
      <c r="E392">
        <f>IF(OR(Database!$AU392="",Screener!$D$10=""),0,IF(Database!$AU392=Screener!$D$10,1,0))</f>
        <v/>
      </c>
      <c r="F392">
        <f>IF(OR(Database!$AZ392="",Screener!$D$11=""),0,IF(Database!$AZ392=Screener!$D$11,1,0))</f>
        <v/>
      </c>
      <c r="G392">
        <f>IF(OR(Database!$H392="",N(Screener!$D$12)&lt;=0),0,MAX(0,1-(N(Screener!$D$12)-Database!$H392)/W_RECD))</f>
        <v/>
      </c>
      <c r="H392">
        <f>IF($U$1="",0,N(ISNUMBER(SEARCH($U$1,Database!$X392&amp;""))))+IF($V$1="",0,N(ISNUMBER(SEARCH($V$1,Database!$X392&amp;""))))+IF($W$1="",0,N(ISNUMBER(SEARCH($W$1,Database!$X392&amp;""))))+IF($X$1="",0,N(ISNUMBER(SEARCH($X$1,Database!$X392&amp;""))))+IF($Y$1="",0,N(ISNUMBER(SEARCH($Y$1,Database!$X392&amp;""))))+IF(Screener!$B$17="",0,N(ISNUMBER(SEARCH(LOWER(Screener!$B$17),Database!$X392&amp;""))))</f>
        <v/>
      </c>
      <c r="I392">
        <f>IF(OR(N(Database!$AV392)&lt;=0,N(Screener!$D$13)&lt;=0),0,MAX(0,1-ABS(LOG10(N(Database!$AV392)/Screener!$D$13))/W_PEHW))</f>
        <v/>
      </c>
      <c r="J392">
        <f>IF(OR(N(Database!$S392)&lt;=0,N(Screener!$D$14)&lt;=0),0,MAX(0,1-ABS(LOG10(Database!$S392/Screener!$D$14))/0.6))</f>
        <v/>
      </c>
      <c r="K392">
        <f>IF(Database!$B392=Screener!$B$5,-999999,IF(ISNUMBER(SEARCH(","&amp;Database!$A392&amp;",",","&amp;SUBSTITUTE(Screener!$B$19," ","")&amp;",")),2000000,IF(IF(OR(Screener!$B$18="All",AND(Screener!$B$18="With A-share",(Database!$AZ392="Y")),AND(Screener!$B$18="Without A-share",NOT((Database!$AZ392="Y")))),1,0)=0,-999999,IF(Screener!$B$16="cornerstone overlap first",H392*100000,IF(Screener!$B$16="demand-similar first",J392*100000,0))+W_SUB*B392+W_SEC*C392*(1-B392)+W_SIZE*D392+W_PROF*E392+W_AH*F392+W_REC*G392+W_CS*H392+W_PE*I392)))+ROW()/1000000</f>
        <v/>
      </c>
      <c r="AA392">
        <f>Database!B381</f>
        <v/>
      </c>
      <c r="AB392">
        <f>Database!D381</f>
        <v/>
      </c>
      <c r="AC392">
        <f>Database!E381</f>
        <v/>
      </c>
      <c r="AD392">
        <f>Database!I381</f>
        <v/>
      </c>
      <c r="AE392">
        <f>Database!AU381</f>
        <v/>
      </c>
      <c r="AF392">
        <f>Database!AZ381</f>
        <v/>
      </c>
      <c r="AG392">
        <f>Database!H381</f>
        <v/>
      </c>
      <c r="AH392">
        <f>Database!AV381</f>
        <v/>
      </c>
    </row>
    <row r="393">
      <c r="A393">
        <f>Database!B393</f>
        <v/>
      </c>
      <c r="B393">
        <f>IF(AND(Screener!$D$8&lt;&gt;"",Database!$E393=Screener!$D$8),1,0)</f>
        <v/>
      </c>
      <c r="C393">
        <f>IF(AND(Screener!$D$7&lt;&gt;"",Database!$D393=Screener!$D$7),1,0)</f>
        <v/>
      </c>
      <c r="D393">
        <f>IF(OR(N(Database!$I393)&lt;=0,N(Screener!$D$9)&lt;=0),0,MAX(0,1-ABS(LOG10(N(Database!$I393)/Screener!$D$9))/W_SIZEHW))</f>
        <v/>
      </c>
      <c r="E393">
        <f>IF(OR(Database!$AU393="",Screener!$D$10=""),0,IF(Database!$AU393=Screener!$D$10,1,0))</f>
        <v/>
      </c>
      <c r="F393">
        <f>IF(OR(Database!$AZ393="",Screener!$D$11=""),0,IF(Database!$AZ393=Screener!$D$11,1,0))</f>
        <v/>
      </c>
      <c r="G393">
        <f>IF(OR(Database!$H393="",N(Screener!$D$12)&lt;=0),0,MAX(0,1-(N(Screener!$D$12)-Database!$H393)/W_RECD))</f>
        <v/>
      </c>
      <c r="H393">
        <f>IF($U$1="",0,N(ISNUMBER(SEARCH($U$1,Database!$X393&amp;""))))+IF($V$1="",0,N(ISNUMBER(SEARCH($V$1,Database!$X393&amp;""))))+IF($W$1="",0,N(ISNUMBER(SEARCH($W$1,Database!$X393&amp;""))))+IF($X$1="",0,N(ISNUMBER(SEARCH($X$1,Database!$X393&amp;""))))+IF($Y$1="",0,N(ISNUMBER(SEARCH($Y$1,Database!$X393&amp;""))))+IF(Screener!$B$17="",0,N(ISNUMBER(SEARCH(LOWER(Screener!$B$17),Database!$X393&amp;""))))</f>
        <v/>
      </c>
      <c r="I393">
        <f>IF(OR(N(Database!$AV393)&lt;=0,N(Screener!$D$13)&lt;=0),0,MAX(0,1-ABS(LOG10(N(Database!$AV393)/Screener!$D$13))/W_PEHW))</f>
        <v/>
      </c>
      <c r="J393">
        <f>IF(OR(N(Database!$S393)&lt;=0,N(Screener!$D$14)&lt;=0),0,MAX(0,1-ABS(LOG10(Database!$S393/Screener!$D$14))/0.6))</f>
        <v/>
      </c>
      <c r="K393">
        <f>IF(Database!$B393=Screener!$B$5,-999999,IF(ISNUMBER(SEARCH(","&amp;Database!$A393&amp;",",","&amp;SUBSTITUTE(Screener!$B$19," ","")&amp;",")),2000000,IF(IF(OR(Screener!$B$18="All",AND(Screener!$B$18="With A-share",(Database!$AZ393="Y")),AND(Screener!$B$18="Without A-share",NOT((Database!$AZ393="Y")))),1,0)=0,-999999,IF(Screener!$B$16="cornerstone overlap first",H393*100000,IF(Screener!$B$16="demand-similar first",J393*100000,0))+W_SUB*B393+W_SEC*C393*(1-B393)+W_SIZE*D393+W_PROF*E393+W_AH*F393+W_REC*G393+W_CS*H393+W_PE*I393)))+ROW()/1000000</f>
        <v/>
      </c>
      <c r="AA393">
        <f>Database!B382</f>
        <v/>
      </c>
      <c r="AB393">
        <f>Database!D382</f>
        <v/>
      </c>
      <c r="AC393">
        <f>Database!E382</f>
        <v/>
      </c>
      <c r="AD393">
        <f>Database!I382</f>
        <v/>
      </c>
      <c r="AE393">
        <f>Database!AU382</f>
        <v/>
      </c>
      <c r="AF393">
        <f>Database!AZ382</f>
        <v/>
      </c>
      <c r="AG393">
        <f>Database!H382</f>
        <v/>
      </c>
      <c r="AH393">
        <f>Database!AV382</f>
        <v/>
      </c>
    </row>
    <row r="394">
      <c r="A394">
        <f>Database!B394</f>
        <v/>
      </c>
      <c r="B394">
        <f>IF(AND(Screener!$D$8&lt;&gt;"",Database!$E394=Screener!$D$8),1,0)</f>
        <v/>
      </c>
      <c r="C394">
        <f>IF(AND(Screener!$D$7&lt;&gt;"",Database!$D394=Screener!$D$7),1,0)</f>
        <v/>
      </c>
      <c r="D394">
        <f>IF(OR(N(Database!$I394)&lt;=0,N(Screener!$D$9)&lt;=0),0,MAX(0,1-ABS(LOG10(N(Database!$I394)/Screener!$D$9))/W_SIZEHW))</f>
        <v/>
      </c>
      <c r="E394">
        <f>IF(OR(Database!$AU394="",Screener!$D$10=""),0,IF(Database!$AU394=Screener!$D$10,1,0))</f>
        <v/>
      </c>
      <c r="F394">
        <f>IF(OR(Database!$AZ394="",Screener!$D$11=""),0,IF(Database!$AZ394=Screener!$D$11,1,0))</f>
        <v/>
      </c>
      <c r="G394">
        <f>IF(OR(Database!$H394="",N(Screener!$D$12)&lt;=0),0,MAX(0,1-(N(Screener!$D$12)-Database!$H394)/W_RECD))</f>
        <v/>
      </c>
      <c r="H394">
        <f>IF($U$1="",0,N(ISNUMBER(SEARCH($U$1,Database!$X394&amp;""))))+IF($V$1="",0,N(ISNUMBER(SEARCH($V$1,Database!$X394&amp;""))))+IF($W$1="",0,N(ISNUMBER(SEARCH($W$1,Database!$X394&amp;""))))+IF($X$1="",0,N(ISNUMBER(SEARCH($X$1,Database!$X394&amp;""))))+IF($Y$1="",0,N(ISNUMBER(SEARCH($Y$1,Database!$X394&amp;""))))+IF(Screener!$B$17="",0,N(ISNUMBER(SEARCH(LOWER(Screener!$B$17),Database!$X394&amp;""))))</f>
        <v/>
      </c>
      <c r="I394">
        <f>IF(OR(N(Database!$AV394)&lt;=0,N(Screener!$D$13)&lt;=0),0,MAX(0,1-ABS(LOG10(N(Database!$AV394)/Screener!$D$13))/W_PEHW))</f>
        <v/>
      </c>
      <c r="J394">
        <f>IF(OR(N(Database!$S394)&lt;=0,N(Screener!$D$14)&lt;=0),0,MAX(0,1-ABS(LOG10(Database!$S394/Screener!$D$14))/0.6))</f>
        <v/>
      </c>
      <c r="K394">
        <f>IF(Database!$B394=Screener!$B$5,-999999,IF(ISNUMBER(SEARCH(","&amp;Database!$A394&amp;",",","&amp;SUBSTITUTE(Screener!$B$19," ","")&amp;",")),2000000,IF(IF(OR(Screener!$B$18="All",AND(Screener!$B$18="With A-share",(Database!$AZ394="Y")),AND(Screener!$B$18="Without A-share",NOT((Database!$AZ394="Y")))),1,0)=0,-999999,IF(Screener!$B$16="cornerstone overlap first",H394*100000,IF(Screener!$B$16="demand-similar first",J394*100000,0))+W_SUB*B394+W_SEC*C394*(1-B394)+W_SIZE*D394+W_PROF*E394+W_AH*F394+W_REC*G394+W_CS*H394+W_PE*I394)))+ROW()/1000000</f>
        <v/>
      </c>
      <c r="AA394">
        <f>Database!B383</f>
        <v/>
      </c>
      <c r="AB394">
        <f>Database!D383</f>
        <v/>
      </c>
      <c r="AC394">
        <f>Database!E383</f>
        <v/>
      </c>
      <c r="AD394">
        <f>Database!I383</f>
        <v/>
      </c>
      <c r="AE394">
        <f>Database!AU383</f>
        <v/>
      </c>
      <c r="AF394">
        <f>Database!AZ383</f>
        <v/>
      </c>
      <c r="AG394">
        <f>Database!H383</f>
        <v/>
      </c>
      <c r="AH394">
        <f>Database!AV383</f>
        <v/>
      </c>
    </row>
    <row r="395">
      <c r="A395">
        <f>Database!B395</f>
        <v/>
      </c>
      <c r="B395">
        <f>IF(AND(Screener!$D$8&lt;&gt;"",Database!$E395=Screener!$D$8),1,0)</f>
        <v/>
      </c>
      <c r="C395">
        <f>IF(AND(Screener!$D$7&lt;&gt;"",Database!$D395=Screener!$D$7),1,0)</f>
        <v/>
      </c>
      <c r="D395">
        <f>IF(OR(N(Database!$I395)&lt;=0,N(Screener!$D$9)&lt;=0),0,MAX(0,1-ABS(LOG10(N(Database!$I395)/Screener!$D$9))/W_SIZEHW))</f>
        <v/>
      </c>
      <c r="E395">
        <f>IF(OR(Database!$AU395="",Screener!$D$10=""),0,IF(Database!$AU395=Screener!$D$10,1,0))</f>
        <v/>
      </c>
      <c r="F395">
        <f>IF(OR(Database!$AZ395="",Screener!$D$11=""),0,IF(Database!$AZ395=Screener!$D$11,1,0))</f>
        <v/>
      </c>
      <c r="G395">
        <f>IF(OR(Database!$H395="",N(Screener!$D$12)&lt;=0),0,MAX(0,1-(N(Screener!$D$12)-Database!$H395)/W_RECD))</f>
        <v/>
      </c>
      <c r="H395">
        <f>IF($U$1="",0,N(ISNUMBER(SEARCH($U$1,Database!$X395&amp;""))))+IF($V$1="",0,N(ISNUMBER(SEARCH($V$1,Database!$X395&amp;""))))+IF($W$1="",0,N(ISNUMBER(SEARCH($W$1,Database!$X395&amp;""))))+IF($X$1="",0,N(ISNUMBER(SEARCH($X$1,Database!$X395&amp;""))))+IF($Y$1="",0,N(ISNUMBER(SEARCH($Y$1,Database!$X395&amp;""))))+IF(Screener!$B$17="",0,N(ISNUMBER(SEARCH(LOWER(Screener!$B$17),Database!$X395&amp;""))))</f>
        <v/>
      </c>
      <c r="I395">
        <f>IF(OR(N(Database!$AV395)&lt;=0,N(Screener!$D$13)&lt;=0),0,MAX(0,1-ABS(LOG10(N(Database!$AV395)/Screener!$D$13))/W_PEHW))</f>
        <v/>
      </c>
      <c r="J395">
        <f>IF(OR(N(Database!$S395)&lt;=0,N(Screener!$D$14)&lt;=0),0,MAX(0,1-ABS(LOG10(Database!$S395/Screener!$D$14))/0.6))</f>
        <v/>
      </c>
      <c r="K395">
        <f>IF(Database!$B395=Screener!$B$5,-999999,IF(ISNUMBER(SEARCH(","&amp;Database!$A395&amp;",",","&amp;SUBSTITUTE(Screener!$B$19," ","")&amp;",")),2000000,IF(IF(OR(Screener!$B$18="All",AND(Screener!$B$18="With A-share",(Database!$AZ395="Y")),AND(Screener!$B$18="Without A-share",NOT((Database!$AZ395="Y")))),1,0)=0,-999999,IF(Screener!$B$16="cornerstone overlap first",H395*100000,IF(Screener!$B$16="demand-similar first",J395*100000,0))+W_SUB*B395+W_SEC*C395*(1-B395)+W_SIZE*D395+W_PROF*E395+W_AH*F395+W_REC*G395+W_CS*H395+W_PE*I395)))+ROW()/1000000</f>
        <v/>
      </c>
      <c r="AA395">
        <f>Database!B384</f>
        <v/>
      </c>
      <c r="AB395">
        <f>Database!D384</f>
        <v/>
      </c>
      <c r="AC395">
        <f>Database!E384</f>
        <v/>
      </c>
      <c r="AD395">
        <f>Database!I384</f>
        <v/>
      </c>
      <c r="AE395">
        <f>Database!AU384</f>
        <v/>
      </c>
      <c r="AF395">
        <f>Database!AZ384</f>
        <v/>
      </c>
      <c r="AG395">
        <f>Database!H384</f>
        <v/>
      </c>
      <c r="AH395">
        <f>Database!AV384</f>
        <v/>
      </c>
    </row>
    <row r="396">
      <c r="A396">
        <f>Database!B396</f>
        <v/>
      </c>
      <c r="B396">
        <f>IF(AND(Screener!$D$8&lt;&gt;"",Database!$E396=Screener!$D$8),1,0)</f>
        <v/>
      </c>
      <c r="C396">
        <f>IF(AND(Screener!$D$7&lt;&gt;"",Database!$D396=Screener!$D$7),1,0)</f>
        <v/>
      </c>
      <c r="D396">
        <f>IF(OR(N(Database!$I396)&lt;=0,N(Screener!$D$9)&lt;=0),0,MAX(0,1-ABS(LOG10(N(Database!$I396)/Screener!$D$9))/W_SIZEHW))</f>
        <v/>
      </c>
      <c r="E396">
        <f>IF(OR(Database!$AU396="",Screener!$D$10=""),0,IF(Database!$AU396=Screener!$D$10,1,0))</f>
        <v/>
      </c>
      <c r="F396">
        <f>IF(OR(Database!$AZ396="",Screener!$D$11=""),0,IF(Database!$AZ396=Screener!$D$11,1,0))</f>
        <v/>
      </c>
      <c r="G396">
        <f>IF(OR(Database!$H396="",N(Screener!$D$12)&lt;=0),0,MAX(0,1-(N(Screener!$D$12)-Database!$H396)/W_RECD))</f>
        <v/>
      </c>
      <c r="H396">
        <f>IF($U$1="",0,N(ISNUMBER(SEARCH($U$1,Database!$X396&amp;""))))+IF($V$1="",0,N(ISNUMBER(SEARCH($V$1,Database!$X396&amp;""))))+IF($W$1="",0,N(ISNUMBER(SEARCH($W$1,Database!$X396&amp;""))))+IF($X$1="",0,N(ISNUMBER(SEARCH($X$1,Database!$X396&amp;""))))+IF($Y$1="",0,N(ISNUMBER(SEARCH($Y$1,Database!$X396&amp;""))))+IF(Screener!$B$17="",0,N(ISNUMBER(SEARCH(LOWER(Screener!$B$17),Database!$X396&amp;""))))</f>
        <v/>
      </c>
      <c r="I396">
        <f>IF(OR(N(Database!$AV396)&lt;=0,N(Screener!$D$13)&lt;=0),0,MAX(0,1-ABS(LOG10(N(Database!$AV396)/Screener!$D$13))/W_PEHW))</f>
        <v/>
      </c>
      <c r="J396">
        <f>IF(OR(N(Database!$S396)&lt;=0,N(Screener!$D$14)&lt;=0),0,MAX(0,1-ABS(LOG10(Database!$S396/Screener!$D$14))/0.6))</f>
        <v/>
      </c>
      <c r="K396">
        <f>IF(Database!$B396=Screener!$B$5,-999999,IF(ISNUMBER(SEARCH(","&amp;Database!$A396&amp;",",","&amp;SUBSTITUTE(Screener!$B$19," ","")&amp;",")),2000000,IF(IF(OR(Screener!$B$18="All",AND(Screener!$B$18="With A-share",(Database!$AZ396="Y")),AND(Screener!$B$18="Without A-share",NOT((Database!$AZ396="Y")))),1,0)=0,-999999,IF(Screener!$B$16="cornerstone overlap first",H396*100000,IF(Screener!$B$16="demand-similar first",J396*100000,0))+W_SUB*B396+W_SEC*C396*(1-B396)+W_SIZE*D396+W_PROF*E396+W_AH*F396+W_REC*G396+W_CS*H396+W_PE*I396)))+ROW()/1000000</f>
        <v/>
      </c>
      <c r="AA396">
        <f>Database!B385</f>
        <v/>
      </c>
      <c r="AB396">
        <f>Database!D385</f>
        <v/>
      </c>
      <c r="AC396">
        <f>Database!E385</f>
        <v/>
      </c>
      <c r="AD396">
        <f>Database!I385</f>
        <v/>
      </c>
      <c r="AE396">
        <f>Database!AU385</f>
        <v/>
      </c>
      <c r="AF396">
        <f>Database!AZ385</f>
        <v/>
      </c>
      <c r="AG396">
        <f>Database!H385</f>
        <v/>
      </c>
      <c r="AH396">
        <f>Database!AV385</f>
        <v/>
      </c>
    </row>
    <row r="397">
      <c r="A397">
        <f>Database!B397</f>
        <v/>
      </c>
      <c r="B397">
        <f>IF(AND(Screener!$D$8&lt;&gt;"",Database!$E397=Screener!$D$8),1,0)</f>
        <v/>
      </c>
      <c r="C397">
        <f>IF(AND(Screener!$D$7&lt;&gt;"",Database!$D397=Screener!$D$7),1,0)</f>
        <v/>
      </c>
      <c r="D397">
        <f>IF(OR(N(Database!$I397)&lt;=0,N(Screener!$D$9)&lt;=0),0,MAX(0,1-ABS(LOG10(N(Database!$I397)/Screener!$D$9))/W_SIZEHW))</f>
        <v/>
      </c>
      <c r="E397">
        <f>IF(OR(Database!$AU397="",Screener!$D$10=""),0,IF(Database!$AU397=Screener!$D$10,1,0))</f>
        <v/>
      </c>
      <c r="F397">
        <f>IF(OR(Database!$AZ397="",Screener!$D$11=""),0,IF(Database!$AZ397=Screener!$D$11,1,0))</f>
        <v/>
      </c>
      <c r="G397">
        <f>IF(OR(Database!$H397="",N(Screener!$D$12)&lt;=0),0,MAX(0,1-(N(Screener!$D$12)-Database!$H397)/W_RECD))</f>
        <v/>
      </c>
      <c r="H397">
        <f>IF($U$1="",0,N(ISNUMBER(SEARCH($U$1,Database!$X397&amp;""))))+IF($V$1="",0,N(ISNUMBER(SEARCH($V$1,Database!$X397&amp;""))))+IF($W$1="",0,N(ISNUMBER(SEARCH($W$1,Database!$X397&amp;""))))+IF($X$1="",0,N(ISNUMBER(SEARCH($X$1,Database!$X397&amp;""))))+IF($Y$1="",0,N(ISNUMBER(SEARCH($Y$1,Database!$X397&amp;""))))+IF(Screener!$B$17="",0,N(ISNUMBER(SEARCH(LOWER(Screener!$B$17),Database!$X397&amp;""))))</f>
        <v/>
      </c>
      <c r="I397">
        <f>IF(OR(N(Database!$AV397)&lt;=0,N(Screener!$D$13)&lt;=0),0,MAX(0,1-ABS(LOG10(N(Database!$AV397)/Screener!$D$13))/W_PEHW))</f>
        <v/>
      </c>
      <c r="J397">
        <f>IF(OR(N(Database!$S397)&lt;=0,N(Screener!$D$14)&lt;=0),0,MAX(0,1-ABS(LOG10(Database!$S397/Screener!$D$14))/0.6))</f>
        <v/>
      </c>
      <c r="K397">
        <f>IF(Database!$B397=Screener!$B$5,-999999,IF(ISNUMBER(SEARCH(","&amp;Database!$A397&amp;",",","&amp;SUBSTITUTE(Screener!$B$19," ","")&amp;",")),2000000,IF(IF(OR(Screener!$B$18="All",AND(Screener!$B$18="With A-share",(Database!$AZ397="Y")),AND(Screener!$B$18="Without A-share",NOT((Database!$AZ397="Y")))),1,0)=0,-999999,IF(Screener!$B$16="cornerstone overlap first",H397*100000,IF(Screener!$B$16="demand-similar first",J397*100000,0))+W_SUB*B397+W_SEC*C397*(1-B397)+W_SIZE*D397+W_PROF*E397+W_AH*F397+W_REC*G397+W_CS*H397+W_PE*I397)))+ROW()/1000000</f>
        <v/>
      </c>
      <c r="AA397">
        <f>Database!B386</f>
        <v/>
      </c>
      <c r="AB397">
        <f>Database!D386</f>
        <v/>
      </c>
      <c r="AC397">
        <f>Database!E386</f>
        <v/>
      </c>
      <c r="AD397">
        <f>Database!I386</f>
        <v/>
      </c>
      <c r="AE397">
        <f>Database!AU386</f>
        <v/>
      </c>
      <c r="AF397">
        <f>Database!AZ386</f>
        <v/>
      </c>
      <c r="AG397">
        <f>Database!H386</f>
        <v/>
      </c>
      <c r="AH397">
        <f>Database!AV386</f>
        <v/>
      </c>
    </row>
    <row r="398">
      <c r="A398">
        <f>Database!B398</f>
        <v/>
      </c>
      <c r="B398">
        <f>IF(AND(Screener!$D$8&lt;&gt;"",Database!$E398=Screener!$D$8),1,0)</f>
        <v/>
      </c>
      <c r="C398">
        <f>IF(AND(Screener!$D$7&lt;&gt;"",Database!$D398=Screener!$D$7),1,0)</f>
        <v/>
      </c>
      <c r="D398">
        <f>IF(OR(N(Database!$I398)&lt;=0,N(Screener!$D$9)&lt;=0),0,MAX(0,1-ABS(LOG10(N(Database!$I398)/Screener!$D$9))/W_SIZEHW))</f>
        <v/>
      </c>
      <c r="E398">
        <f>IF(OR(Database!$AU398="",Screener!$D$10=""),0,IF(Database!$AU398=Screener!$D$10,1,0))</f>
        <v/>
      </c>
      <c r="F398">
        <f>IF(OR(Database!$AZ398="",Screener!$D$11=""),0,IF(Database!$AZ398=Screener!$D$11,1,0))</f>
        <v/>
      </c>
      <c r="G398">
        <f>IF(OR(Database!$H398="",N(Screener!$D$12)&lt;=0),0,MAX(0,1-(N(Screener!$D$12)-Database!$H398)/W_RECD))</f>
        <v/>
      </c>
      <c r="H398">
        <f>IF($U$1="",0,N(ISNUMBER(SEARCH($U$1,Database!$X398&amp;""))))+IF($V$1="",0,N(ISNUMBER(SEARCH($V$1,Database!$X398&amp;""))))+IF($W$1="",0,N(ISNUMBER(SEARCH($W$1,Database!$X398&amp;""))))+IF($X$1="",0,N(ISNUMBER(SEARCH($X$1,Database!$X398&amp;""))))+IF($Y$1="",0,N(ISNUMBER(SEARCH($Y$1,Database!$X398&amp;""))))+IF(Screener!$B$17="",0,N(ISNUMBER(SEARCH(LOWER(Screener!$B$17),Database!$X398&amp;""))))</f>
        <v/>
      </c>
      <c r="I398">
        <f>IF(OR(N(Database!$AV398)&lt;=0,N(Screener!$D$13)&lt;=0),0,MAX(0,1-ABS(LOG10(N(Database!$AV398)/Screener!$D$13))/W_PEHW))</f>
        <v/>
      </c>
      <c r="J398">
        <f>IF(OR(N(Database!$S398)&lt;=0,N(Screener!$D$14)&lt;=0),0,MAX(0,1-ABS(LOG10(Database!$S398/Screener!$D$14))/0.6))</f>
        <v/>
      </c>
      <c r="K398">
        <f>IF(Database!$B398=Screener!$B$5,-999999,IF(ISNUMBER(SEARCH(","&amp;Database!$A398&amp;",",","&amp;SUBSTITUTE(Screener!$B$19," ","")&amp;",")),2000000,IF(IF(OR(Screener!$B$18="All",AND(Screener!$B$18="With A-share",(Database!$AZ398="Y")),AND(Screener!$B$18="Without A-share",NOT((Database!$AZ398="Y")))),1,0)=0,-999999,IF(Screener!$B$16="cornerstone overlap first",H398*100000,IF(Screener!$B$16="demand-similar first",J398*100000,0))+W_SUB*B398+W_SEC*C398*(1-B398)+W_SIZE*D398+W_PROF*E398+W_AH*F398+W_REC*G398+W_CS*H398+W_PE*I398)))+ROW()/1000000</f>
        <v/>
      </c>
      <c r="AA398">
        <f>Database!B387</f>
        <v/>
      </c>
      <c r="AB398">
        <f>Database!D387</f>
        <v/>
      </c>
      <c r="AC398">
        <f>Database!E387</f>
        <v/>
      </c>
      <c r="AD398">
        <f>Database!I387</f>
        <v/>
      </c>
      <c r="AE398">
        <f>Database!AU387</f>
        <v/>
      </c>
      <c r="AF398">
        <f>Database!AZ387</f>
        <v/>
      </c>
      <c r="AG398">
        <f>Database!H387</f>
        <v/>
      </c>
      <c r="AH398">
        <f>Database!AV387</f>
        <v/>
      </c>
    </row>
    <row r="399">
      <c r="A399">
        <f>Database!B399</f>
        <v/>
      </c>
      <c r="B399">
        <f>IF(AND(Screener!$D$8&lt;&gt;"",Database!$E399=Screener!$D$8),1,0)</f>
        <v/>
      </c>
      <c r="C399">
        <f>IF(AND(Screener!$D$7&lt;&gt;"",Database!$D399=Screener!$D$7),1,0)</f>
        <v/>
      </c>
      <c r="D399">
        <f>IF(OR(N(Database!$I399)&lt;=0,N(Screener!$D$9)&lt;=0),0,MAX(0,1-ABS(LOG10(N(Database!$I399)/Screener!$D$9))/W_SIZEHW))</f>
        <v/>
      </c>
      <c r="E399">
        <f>IF(OR(Database!$AU399="",Screener!$D$10=""),0,IF(Database!$AU399=Screener!$D$10,1,0))</f>
        <v/>
      </c>
      <c r="F399">
        <f>IF(OR(Database!$AZ399="",Screener!$D$11=""),0,IF(Database!$AZ399=Screener!$D$11,1,0))</f>
        <v/>
      </c>
      <c r="G399">
        <f>IF(OR(Database!$H399="",N(Screener!$D$12)&lt;=0),0,MAX(0,1-(N(Screener!$D$12)-Database!$H399)/W_RECD))</f>
        <v/>
      </c>
      <c r="H399">
        <f>IF($U$1="",0,N(ISNUMBER(SEARCH($U$1,Database!$X399&amp;""))))+IF($V$1="",0,N(ISNUMBER(SEARCH($V$1,Database!$X399&amp;""))))+IF($W$1="",0,N(ISNUMBER(SEARCH($W$1,Database!$X399&amp;""))))+IF($X$1="",0,N(ISNUMBER(SEARCH($X$1,Database!$X399&amp;""))))+IF($Y$1="",0,N(ISNUMBER(SEARCH($Y$1,Database!$X399&amp;""))))+IF(Screener!$B$17="",0,N(ISNUMBER(SEARCH(LOWER(Screener!$B$17),Database!$X399&amp;""))))</f>
        <v/>
      </c>
      <c r="I399">
        <f>IF(OR(N(Database!$AV399)&lt;=0,N(Screener!$D$13)&lt;=0),0,MAX(0,1-ABS(LOG10(N(Database!$AV399)/Screener!$D$13))/W_PEHW))</f>
        <v/>
      </c>
      <c r="J399">
        <f>IF(OR(N(Database!$S399)&lt;=0,N(Screener!$D$14)&lt;=0),0,MAX(0,1-ABS(LOG10(Database!$S399/Screener!$D$14))/0.6))</f>
        <v/>
      </c>
      <c r="K399">
        <f>IF(Database!$B399=Screener!$B$5,-999999,IF(ISNUMBER(SEARCH(","&amp;Database!$A399&amp;",",","&amp;SUBSTITUTE(Screener!$B$19," ","")&amp;",")),2000000,IF(IF(OR(Screener!$B$18="All",AND(Screener!$B$18="With A-share",(Database!$AZ399="Y")),AND(Screener!$B$18="Without A-share",NOT((Database!$AZ399="Y")))),1,0)=0,-999999,IF(Screener!$B$16="cornerstone overlap first",H399*100000,IF(Screener!$B$16="demand-similar first",J399*100000,0))+W_SUB*B399+W_SEC*C399*(1-B399)+W_SIZE*D399+W_PROF*E399+W_AH*F399+W_REC*G399+W_CS*H399+W_PE*I399)))+ROW()/1000000</f>
        <v/>
      </c>
      <c r="AA399">
        <f>Database!B388</f>
        <v/>
      </c>
      <c r="AB399">
        <f>Database!D388</f>
        <v/>
      </c>
      <c r="AC399">
        <f>Database!E388</f>
        <v/>
      </c>
      <c r="AD399">
        <f>Database!I388</f>
        <v/>
      </c>
      <c r="AE399">
        <f>Database!AU388</f>
        <v/>
      </c>
      <c r="AF399">
        <f>Database!AZ388</f>
        <v/>
      </c>
      <c r="AG399">
        <f>Database!H388</f>
        <v/>
      </c>
      <c r="AH399">
        <f>Database!AV388</f>
        <v/>
      </c>
    </row>
    <row r="400">
      <c r="A400">
        <f>Database!B400</f>
        <v/>
      </c>
      <c r="B400">
        <f>IF(AND(Screener!$D$8&lt;&gt;"",Database!$E400=Screener!$D$8),1,0)</f>
        <v/>
      </c>
      <c r="C400">
        <f>IF(AND(Screener!$D$7&lt;&gt;"",Database!$D400=Screener!$D$7),1,0)</f>
        <v/>
      </c>
      <c r="D400">
        <f>IF(OR(N(Database!$I400)&lt;=0,N(Screener!$D$9)&lt;=0),0,MAX(0,1-ABS(LOG10(N(Database!$I400)/Screener!$D$9))/W_SIZEHW))</f>
        <v/>
      </c>
      <c r="E400">
        <f>IF(OR(Database!$AU400="",Screener!$D$10=""),0,IF(Database!$AU400=Screener!$D$10,1,0))</f>
        <v/>
      </c>
      <c r="F400">
        <f>IF(OR(Database!$AZ400="",Screener!$D$11=""),0,IF(Database!$AZ400=Screener!$D$11,1,0))</f>
        <v/>
      </c>
      <c r="G400">
        <f>IF(OR(Database!$H400="",N(Screener!$D$12)&lt;=0),0,MAX(0,1-(N(Screener!$D$12)-Database!$H400)/W_RECD))</f>
        <v/>
      </c>
      <c r="H400">
        <f>IF($U$1="",0,N(ISNUMBER(SEARCH($U$1,Database!$X400&amp;""))))+IF($V$1="",0,N(ISNUMBER(SEARCH($V$1,Database!$X400&amp;""))))+IF($W$1="",0,N(ISNUMBER(SEARCH($W$1,Database!$X400&amp;""))))+IF($X$1="",0,N(ISNUMBER(SEARCH($X$1,Database!$X400&amp;""))))+IF($Y$1="",0,N(ISNUMBER(SEARCH($Y$1,Database!$X400&amp;""))))+IF(Screener!$B$17="",0,N(ISNUMBER(SEARCH(LOWER(Screener!$B$17),Database!$X400&amp;""))))</f>
        <v/>
      </c>
      <c r="I400">
        <f>IF(OR(N(Database!$AV400)&lt;=0,N(Screener!$D$13)&lt;=0),0,MAX(0,1-ABS(LOG10(N(Database!$AV400)/Screener!$D$13))/W_PEHW))</f>
        <v/>
      </c>
      <c r="J400">
        <f>IF(OR(N(Database!$S400)&lt;=0,N(Screener!$D$14)&lt;=0),0,MAX(0,1-ABS(LOG10(Database!$S400/Screener!$D$14))/0.6))</f>
        <v/>
      </c>
      <c r="K400">
        <f>IF(Database!$B400=Screener!$B$5,-999999,IF(ISNUMBER(SEARCH(","&amp;Database!$A400&amp;",",","&amp;SUBSTITUTE(Screener!$B$19," ","")&amp;",")),2000000,IF(IF(OR(Screener!$B$18="All",AND(Screener!$B$18="With A-share",(Database!$AZ400="Y")),AND(Screener!$B$18="Without A-share",NOT((Database!$AZ400="Y")))),1,0)=0,-999999,IF(Screener!$B$16="cornerstone overlap first",H400*100000,IF(Screener!$B$16="demand-similar first",J400*100000,0))+W_SUB*B400+W_SEC*C400*(1-B400)+W_SIZE*D400+W_PROF*E400+W_AH*F400+W_REC*G400+W_CS*H400+W_PE*I400)))+ROW()/1000000</f>
        <v/>
      </c>
      <c r="AA400">
        <f>Database!B389</f>
        <v/>
      </c>
      <c r="AB400">
        <f>Database!D389</f>
        <v/>
      </c>
      <c r="AC400">
        <f>Database!E389</f>
        <v/>
      </c>
      <c r="AD400">
        <f>Database!I389</f>
        <v/>
      </c>
      <c r="AE400">
        <f>Database!AU389</f>
        <v/>
      </c>
      <c r="AF400">
        <f>Database!AZ389</f>
        <v/>
      </c>
      <c r="AG400">
        <f>Database!H389</f>
        <v/>
      </c>
      <c r="AH400">
        <f>Database!AV389</f>
        <v/>
      </c>
    </row>
    <row r="401">
      <c r="A401">
        <f>Database!B401</f>
        <v/>
      </c>
      <c r="B401">
        <f>IF(AND(Screener!$D$8&lt;&gt;"",Database!$E401=Screener!$D$8),1,0)</f>
        <v/>
      </c>
      <c r="C401">
        <f>IF(AND(Screener!$D$7&lt;&gt;"",Database!$D401=Screener!$D$7),1,0)</f>
        <v/>
      </c>
      <c r="D401">
        <f>IF(OR(N(Database!$I401)&lt;=0,N(Screener!$D$9)&lt;=0),0,MAX(0,1-ABS(LOG10(N(Database!$I401)/Screener!$D$9))/W_SIZEHW))</f>
        <v/>
      </c>
      <c r="E401">
        <f>IF(OR(Database!$AU401="",Screener!$D$10=""),0,IF(Database!$AU401=Screener!$D$10,1,0))</f>
        <v/>
      </c>
      <c r="F401">
        <f>IF(OR(Database!$AZ401="",Screener!$D$11=""),0,IF(Database!$AZ401=Screener!$D$11,1,0))</f>
        <v/>
      </c>
      <c r="G401">
        <f>IF(OR(Database!$H401="",N(Screener!$D$12)&lt;=0),0,MAX(0,1-(N(Screener!$D$12)-Database!$H401)/W_RECD))</f>
        <v/>
      </c>
      <c r="H401">
        <f>IF($U$1="",0,N(ISNUMBER(SEARCH($U$1,Database!$X401&amp;""))))+IF($V$1="",0,N(ISNUMBER(SEARCH($V$1,Database!$X401&amp;""))))+IF($W$1="",0,N(ISNUMBER(SEARCH($W$1,Database!$X401&amp;""))))+IF($X$1="",0,N(ISNUMBER(SEARCH($X$1,Database!$X401&amp;""))))+IF($Y$1="",0,N(ISNUMBER(SEARCH($Y$1,Database!$X401&amp;""))))+IF(Screener!$B$17="",0,N(ISNUMBER(SEARCH(LOWER(Screener!$B$17),Database!$X401&amp;""))))</f>
        <v/>
      </c>
      <c r="I401">
        <f>IF(OR(N(Database!$AV401)&lt;=0,N(Screener!$D$13)&lt;=0),0,MAX(0,1-ABS(LOG10(N(Database!$AV401)/Screener!$D$13))/W_PEHW))</f>
        <v/>
      </c>
      <c r="J401">
        <f>IF(OR(N(Database!$S401)&lt;=0,N(Screener!$D$14)&lt;=0),0,MAX(0,1-ABS(LOG10(Database!$S401/Screener!$D$14))/0.6))</f>
        <v/>
      </c>
      <c r="K401">
        <f>IF(Database!$B401=Screener!$B$5,-999999,IF(ISNUMBER(SEARCH(","&amp;Database!$A401&amp;",",","&amp;SUBSTITUTE(Screener!$B$19," ","")&amp;",")),2000000,IF(IF(OR(Screener!$B$18="All",AND(Screener!$B$18="With A-share",(Database!$AZ401="Y")),AND(Screener!$B$18="Without A-share",NOT((Database!$AZ401="Y")))),1,0)=0,-999999,IF(Screener!$B$16="cornerstone overlap first",H401*100000,IF(Screener!$B$16="demand-similar first",J401*100000,0))+W_SUB*B401+W_SEC*C401*(1-B401)+W_SIZE*D401+W_PROF*E401+W_AH*F401+W_REC*G401+W_CS*H401+W_PE*I401)))+ROW()/1000000</f>
        <v/>
      </c>
      <c r="AA401">
        <f>Database!B390</f>
        <v/>
      </c>
      <c r="AB401">
        <f>Database!D390</f>
        <v/>
      </c>
      <c r="AC401">
        <f>Database!E390</f>
        <v/>
      </c>
      <c r="AD401">
        <f>Database!I390</f>
        <v/>
      </c>
      <c r="AE401">
        <f>Database!AU390</f>
        <v/>
      </c>
      <c r="AF401">
        <f>Database!AZ390</f>
        <v/>
      </c>
      <c r="AG401">
        <f>Database!H390</f>
        <v/>
      </c>
      <c r="AH401">
        <f>Database!AV390</f>
        <v/>
      </c>
    </row>
    <row r="402">
      <c r="A402">
        <f>Database!B402</f>
        <v/>
      </c>
      <c r="B402">
        <f>IF(AND(Screener!$D$8&lt;&gt;"",Database!$E402=Screener!$D$8),1,0)</f>
        <v/>
      </c>
      <c r="C402">
        <f>IF(AND(Screener!$D$7&lt;&gt;"",Database!$D402=Screener!$D$7),1,0)</f>
        <v/>
      </c>
      <c r="D402">
        <f>IF(OR(N(Database!$I402)&lt;=0,N(Screener!$D$9)&lt;=0),0,MAX(0,1-ABS(LOG10(N(Database!$I402)/Screener!$D$9))/W_SIZEHW))</f>
        <v/>
      </c>
      <c r="E402">
        <f>IF(OR(Database!$AU402="",Screener!$D$10=""),0,IF(Database!$AU402=Screener!$D$10,1,0))</f>
        <v/>
      </c>
      <c r="F402">
        <f>IF(OR(Database!$AZ402="",Screener!$D$11=""),0,IF(Database!$AZ402=Screener!$D$11,1,0))</f>
        <v/>
      </c>
      <c r="G402">
        <f>IF(OR(Database!$H402="",N(Screener!$D$12)&lt;=0),0,MAX(0,1-(N(Screener!$D$12)-Database!$H402)/W_RECD))</f>
        <v/>
      </c>
      <c r="H402">
        <f>IF($U$1="",0,N(ISNUMBER(SEARCH($U$1,Database!$X402&amp;""))))+IF($V$1="",0,N(ISNUMBER(SEARCH($V$1,Database!$X402&amp;""))))+IF($W$1="",0,N(ISNUMBER(SEARCH($W$1,Database!$X402&amp;""))))+IF($X$1="",0,N(ISNUMBER(SEARCH($X$1,Database!$X402&amp;""))))+IF($Y$1="",0,N(ISNUMBER(SEARCH($Y$1,Database!$X402&amp;""))))+IF(Screener!$B$17="",0,N(ISNUMBER(SEARCH(LOWER(Screener!$B$17),Database!$X402&amp;""))))</f>
        <v/>
      </c>
      <c r="I402">
        <f>IF(OR(N(Database!$AV402)&lt;=0,N(Screener!$D$13)&lt;=0),0,MAX(0,1-ABS(LOG10(N(Database!$AV402)/Screener!$D$13))/W_PEHW))</f>
        <v/>
      </c>
      <c r="J402">
        <f>IF(OR(N(Database!$S402)&lt;=0,N(Screener!$D$14)&lt;=0),0,MAX(0,1-ABS(LOG10(Database!$S402/Screener!$D$14))/0.6))</f>
        <v/>
      </c>
      <c r="K402">
        <f>IF(Database!$B402=Screener!$B$5,-999999,IF(ISNUMBER(SEARCH(","&amp;Database!$A402&amp;",",","&amp;SUBSTITUTE(Screener!$B$19," ","")&amp;",")),2000000,IF(IF(OR(Screener!$B$18="All",AND(Screener!$B$18="With A-share",(Database!$AZ402="Y")),AND(Screener!$B$18="Without A-share",NOT((Database!$AZ402="Y")))),1,0)=0,-999999,IF(Screener!$B$16="cornerstone overlap first",H402*100000,IF(Screener!$B$16="demand-similar first",J402*100000,0))+W_SUB*B402+W_SEC*C402*(1-B402)+W_SIZE*D402+W_PROF*E402+W_AH*F402+W_REC*G402+W_CS*H402+W_PE*I402)))+ROW()/1000000</f>
        <v/>
      </c>
      <c r="AA402">
        <f>Database!B391</f>
        <v/>
      </c>
      <c r="AB402">
        <f>Database!D391</f>
        <v/>
      </c>
      <c r="AC402">
        <f>Database!E391</f>
        <v/>
      </c>
      <c r="AD402">
        <f>Database!I391</f>
        <v/>
      </c>
      <c r="AE402">
        <f>Database!AU391</f>
        <v/>
      </c>
      <c r="AF402">
        <f>Database!AZ391</f>
        <v/>
      </c>
      <c r="AG402">
        <f>Database!H391</f>
        <v/>
      </c>
      <c r="AH402">
        <f>Database!AV391</f>
        <v/>
      </c>
    </row>
    <row r="403">
      <c r="A403">
        <f>Database!B403</f>
        <v/>
      </c>
      <c r="B403">
        <f>IF(AND(Screener!$D$8&lt;&gt;"",Database!$E403=Screener!$D$8),1,0)</f>
        <v/>
      </c>
      <c r="C403">
        <f>IF(AND(Screener!$D$7&lt;&gt;"",Database!$D403=Screener!$D$7),1,0)</f>
        <v/>
      </c>
      <c r="D403">
        <f>IF(OR(N(Database!$I403)&lt;=0,N(Screener!$D$9)&lt;=0),0,MAX(0,1-ABS(LOG10(N(Database!$I403)/Screener!$D$9))/W_SIZEHW))</f>
        <v/>
      </c>
      <c r="E403">
        <f>IF(OR(Database!$AU403="",Screener!$D$10=""),0,IF(Database!$AU403=Screener!$D$10,1,0))</f>
        <v/>
      </c>
      <c r="F403">
        <f>IF(OR(Database!$AZ403="",Screener!$D$11=""),0,IF(Database!$AZ403=Screener!$D$11,1,0))</f>
        <v/>
      </c>
      <c r="G403">
        <f>IF(OR(Database!$H403="",N(Screener!$D$12)&lt;=0),0,MAX(0,1-(N(Screener!$D$12)-Database!$H403)/W_RECD))</f>
        <v/>
      </c>
      <c r="H403">
        <f>IF($U$1="",0,N(ISNUMBER(SEARCH($U$1,Database!$X403&amp;""))))+IF($V$1="",0,N(ISNUMBER(SEARCH($V$1,Database!$X403&amp;""))))+IF($W$1="",0,N(ISNUMBER(SEARCH($W$1,Database!$X403&amp;""))))+IF($X$1="",0,N(ISNUMBER(SEARCH($X$1,Database!$X403&amp;""))))+IF($Y$1="",0,N(ISNUMBER(SEARCH($Y$1,Database!$X403&amp;""))))+IF(Screener!$B$17="",0,N(ISNUMBER(SEARCH(LOWER(Screener!$B$17),Database!$X403&amp;""))))</f>
        <v/>
      </c>
      <c r="I403">
        <f>IF(OR(N(Database!$AV403)&lt;=0,N(Screener!$D$13)&lt;=0),0,MAX(0,1-ABS(LOG10(N(Database!$AV403)/Screener!$D$13))/W_PEHW))</f>
        <v/>
      </c>
      <c r="J403">
        <f>IF(OR(N(Database!$S403)&lt;=0,N(Screener!$D$14)&lt;=0),0,MAX(0,1-ABS(LOG10(Database!$S403/Screener!$D$14))/0.6))</f>
        <v/>
      </c>
      <c r="K403">
        <f>IF(Database!$B403=Screener!$B$5,-999999,IF(ISNUMBER(SEARCH(","&amp;Database!$A403&amp;",",","&amp;SUBSTITUTE(Screener!$B$19," ","")&amp;",")),2000000,IF(IF(OR(Screener!$B$18="All",AND(Screener!$B$18="With A-share",(Database!$AZ403="Y")),AND(Screener!$B$18="Without A-share",NOT((Database!$AZ403="Y")))),1,0)=0,-999999,IF(Screener!$B$16="cornerstone overlap first",H403*100000,IF(Screener!$B$16="demand-similar first",J403*100000,0))+W_SUB*B403+W_SEC*C403*(1-B403)+W_SIZE*D403+W_PROF*E403+W_AH*F403+W_REC*G403+W_CS*H403+W_PE*I403)))+ROW()/1000000</f>
        <v/>
      </c>
      <c r="AA403">
        <f>Database!B392</f>
        <v/>
      </c>
      <c r="AB403">
        <f>Database!D392</f>
        <v/>
      </c>
      <c r="AC403">
        <f>Database!E392</f>
        <v/>
      </c>
      <c r="AD403">
        <f>Database!I392</f>
        <v/>
      </c>
      <c r="AE403">
        <f>Database!AU392</f>
        <v/>
      </c>
      <c r="AF403">
        <f>Database!AZ392</f>
        <v/>
      </c>
      <c r="AG403">
        <f>Database!H392</f>
        <v/>
      </c>
      <c r="AH403">
        <f>Database!AV392</f>
        <v/>
      </c>
    </row>
    <row r="404">
      <c r="A404">
        <f>Database!B404</f>
        <v/>
      </c>
      <c r="B404">
        <f>IF(AND(Screener!$D$8&lt;&gt;"",Database!$E404=Screener!$D$8),1,0)</f>
        <v/>
      </c>
      <c r="C404">
        <f>IF(AND(Screener!$D$7&lt;&gt;"",Database!$D404=Screener!$D$7),1,0)</f>
        <v/>
      </c>
      <c r="D404">
        <f>IF(OR(N(Database!$I404)&lt;=0,N(Screener!$D$9)&lt;=0),0,MAX(0,1-ABS(LOG10(N(Database!$I404)/Screener!$D$9))/W_SIZEHW))</f>
        <v/>
      </c>
      <c r="E404">
        <f>IF(OR(Database!$AU404="",Screener!$D$10=""),0,IF(Database!$AU404=Screener!$D$10,1,0))</f>
        <v/>
      </c>
      <c r="F404">
        <f>IF(OR(Database!$AZ404="",Screener!$D$11=""),0,IF(Database!$AZ404=Screener!$D$11,1,0))</f>
        <v/>
      </c>
      <c r="G404">
        <f>IF(OR(Database!$H404="",N(Screener!$D$12)&lt;=0),0,MAX(0,1-(N(Screener!$D$12)-Database!$H404)/W_RECD))</f>
        <v/>
      </c>
      <c r="H404">
        <f>IF($U$1="",0,N(ISNUMBER(SEARCH($U$1,Database!$X404&amp;""))))+IF($V$1="",0,N(ISNUMBER(SEARCH($V$1,Database!$X404&amp;""))))+IF($W$1="",0,N(ISNUMBER(SEARCH($W$1,Database!$X404&amp;""))))+IF($X$1="",0,N(ISNUMBER(SEARCH($X$1,Database!$X404&amp;""))))+IF($Y$1="",0,N(ISNUMBER(SEARCH($Y$1,Database!$X404&amp;""))))+IF(Screener!$B$17="",0,N(ISNUMBER(SEARCH(LOWER(Screener!$B$17),Database!$X404&amp;""))))</f>
        <v/>
      </c>
      <c r="I404">
        <f>IF(OR(N(Database!$AV404)&lt;=0,N(Screener!$D$13)&lt;=0),0,MAX(0,1-ABS(LOG10(N(Database!$AV404)/Screener!$D$13))/W_PEHW))</f>
        <v/>
      </c>
      <c r="J404">
        <f>IF(OR(N(Database!$S404)&lt;=0,N(Screener!$D$14)&lt;=0),0,MAX(0,1-ABS(LOG10(Database!$S404/Screener!$D$14))/0.6))</f>
        <v/>
      </c>
      <c r="K404">
        <f>IF(Database!$B404=Screener!$B$5,-999999,IF(ISNUMBER(SEARCH(","&amp;Database!$A404&amp;",",","&amp;SUBSTITUTE(Screener!$B$19," ","")&amp;",")),2000000,IF(IF(OR(Screener!$B$18="All",AND(Screener!$B$18="With A-share",(Database!$AZ404="Y")),AND(Screener!$B$18="Without A-share",NOT((Database!$AZ404="Y")))),1,0)=0,-999999,IF(Screener!$B$16="cornerstone overlap first",H404*100000,IF(Screener!$B$16="demand-similar first",J404*100000,0))+W_SUB*B404+W_SEC*C404*(1-B404)+W_SIZE*D404+W_PROF*E404+W_AH*F404+W_REC*G404+W_CS*H404+W_PE*I404)))+ROW()/1000000</f>
        <v/>
      </c>
      <c r="AA404">
        <f>Database!B393</f>
        <v/>
      </c>
      <c r="AB404">
        <f>Database!D393</f>
        <v/>
      </c>
      <c r="AC404">
        <f>Database!E393</f>
        <v/>
      </c>
      <c r="AD404">
        <f>Database!I393</f>
        <v/>
      </c>
      <c r="AE404">
        <f>Database!AU393</f>
        <v/>
      </c>
      <c r="AF404">
        <f>Database!AZ393</f>
        <v/>
      </c>
      <c r="AG404">
        <f>Database!H393</f>
        <v/>
      </c>
      <c r="AH404">
        <f>Database!AV393</f>
        <v/>
      </c>
    </row>
    <row r="405">
      <c r="A405">
        <f>Database!B405</f>
        <v/>
      </c>
      <c r="B405">
        <f>IF(AND(Screener!$D$8&lt;&gt;"",Database!$E405=Screener!$D$8),1,0)</f>
        <v/>
      </c>
      <c r="C405">
        <f>IF(AND(Screener!$D$7&lt;&gt;"",Database!$D405=Screener!$D$7),1,0)</f>
        <v/>
      </c>
      <c r="D405">
        <f>IF(OR(N(Database!$I405)&lt;=0,N(Screener!$D$9)&lt;=0),0,MAX(0,1-ABS(LOG10(N(Database!$I405)/Screener!$D$9))/W_SIZEHW))</f>
        <v/>
      </c>
      <c r="E405">
        <f>IF(OR(Database!$AU405="",Screener!$D$10=""),0,IF(Database!$AU405=Screener!$D$10,1,0))</f>
        <v/>
      </c>
      <c r="F405">
        <f>IF(OR(Database!$AZ405="",Screener!$D$11=""),0,IF(Database!$AZ405=Screener!$D$11,1,0))</f>
        <v/>
      </c>
      <c r="G405">
        <f>IF(OR(Database!$H405="",N(Screener!$D$12)&lt;=0),0,MAX(0,1-(N(Screener!$D$12)-Database!$H405)/W_RECD))</f>
        <v/>
      </c>
      <c r="H405">
        <f>IF($U$1="",0,N(ISNUMBER(SEARCH($U$1,Database!$X405&amp;""))))+IF($V$1="",0,N(ISNUMBER(SEARCH($V$1,Database!$X405&amp;""))))+IF($W$1="",0,N(ISNUMBER(SEARCH($W$1,Database!$X405&amp;""))))+IF($X$1="",0,N(ISNUMBER(SEARCH($X$1,Database!$X405&amp;""))))+IF($Y$1="",0,N(ISNUMBER(SEARCH($Y$1,Database!$X405&amp;""))))+IF(Screener!$B$17="",0,N(ISNUMBER(SEARCH(LOWER(Screener!$B$17),Database!$X405&amp;""))))</f>
        <v/>
      </c>
      <c r="I405">
        <f>IF(OR(N(Database!$AV405)&lt;=0,N(Screener!$D$13)&lt;=0),0,MAX(0,1-ABS(LOG10(N(Database!$AV405)/Screener!$D$13))/W_PEHW))</f>
        <v/>
      </c>
      <c r="J405">
        <f>IF(OR(N(Database!$S405)&lt;=0,N(Screener!$D$14)&lt;=0),0,MAX(0,1-ABS(LOG10(Database!$S405/Screener!$D$14))/0.6))</f>
        <v/>
      </c>
      <c r="K405">
        <f>IF(Database!$B405=Screener!$B$5,-999999,IF(ISNUMBER(SEARCH(","&amp;Database!$A405&amp;",",","&amp;SUBSTITUTE(Screener!$B$19," ","")&amp;",")),2000000,IF(IF(OR(Screener!$B$18="All",AND(Screener!$B$18="With A-share",(Database!$AZ405="Y")),AND(Screener!$B$18="Without A-share",NOT((Database!$AZ405="Y")))),1,0)=0,-999999,IF(Screener!$B$16="cornerstone overlap first",H405*100000,IF(Screener!$B$16="demand-similar first",J405*100000,0))+W_SUB*B405+W_SEC*C405*(1-B405)+W_SIZE*D405+W_PROF*E405+W_AH*F405+W_REC*G405+W_CS*H405+W_PE*I405)))+ROW()/1000000</f>
        <v/>
      </c>
      <c r="AA405">
        <f>Database!B394</f>
        <v/>
      </c>
      <c r="AB405">
        <f>Database!D394</f>
        <v/>
      </c>
      <c r="AC405">
        <f>Database!E394</f>
        <v/>
      </c>
      <c r="AD405">
        <f>Database!I394</f>
        <v/>
      </c>
      <c r="AE405">
        <f>Database!AU394</f>
        <v/>
      </c>
      <c r="AF405">
        <f>Database!AZ394</f>
        <v/>
      </c>
      <c r="AG405">
        <f>Database!H394</f>
        <v/>
      </c>
      <c r="AH405">
        <f>Database!AV394</f>
        <v/>
      </c>
    </row>
    <row r="406">
      <c r="A406">
        <f>Database!B406</f>
        <v/>
      </c>
      <c r="B406">
        <f>IF(AND(Screener!$D$8&lt;&gt;"",Database!$E406=Screener!$D$8),1,0)</f>
        <v/>
      </c>
      <c r="C406">
        <f>IF(AND(Screener!$D$7&lt;&gt;"",Database!$D406=Screener!$D$7),1,0)</f>
        <v/>
      </c>
      <c r="D406">
        <f>IF(OR(N(Database!$I406)&lt;=0,N(Screener!$D$9)&lt;=0),0,MAX(0,1-ABS(LOG10(N(Database!$I406)/Screener!$D$9))/W_SIZEHW))</f>
        <v/>
      </c>
      <c r="E406">
        <f>IF(OR(Database!$AU406="",Screener!$D$10=""),0,IF(Database!$AU406=Screener!$D$10,1,0))</f>
        <v/>
      </c>
      <c r="F406">
        <f>IF(OR(Database!$AZ406="",Screener!$D$11=""),0,IF(Database!$AZ406=Screener!$D$11,1,0))</f>
        <v/>
      </c>
      <c r="G406">
        <f>IF(OR(Database!$H406="",N(Screener!$D$12)&lt;=0),0,MAX(0,1-(N(Screener!$D$12)-Database!$H406)/W_RECD))</f>
        <v/>
      </c>
      <c r="H406">
        <f>IF($U$1="",0,N(ISNUMBER(SEARCH($U$1,Database!$X406&amp;""))))+IF($V$1="",0,N(ISNUMBER(SEARCH($V$1,Database!$X406&amp;""))))+IF($W$1="",0,N(ISNUMBER(SEARCH($W$1,Database!$X406&amp;""))))+IF($X$1="",0,N(ISNUMBER(SEARCH($X$1,Database!$X406&amp;""))))+IF($Y$1="",0,N(ISNUMBER(SEARCH($Y$1,Database!$X406&amp;""))))+IF(Screener!$B$17="",0,N(ISNUMBER(SEARCH(LOWER(Screener!$B$17),Database!$X406&amp;""))))</f>
        <v/>
      </c>
      <c r="I406">
        <f>IF(OR(N(Database!$AV406)&lt;=0,N(Screener!$D$13)&lt;=0),0,MAX(0,1-ABS(LOG10(N(Database!$AV406)/Screener!$D$13))/W_PEHW))</f>
        <v/>
      </c>
      <c r="J406">
        <f>IF(OR(N(Database!$S406)&lt;=0,N(Screener!$D$14)&lt;=0),0,MAX(0,1-ABS(LOG10(Database!$S406/Screener!$D$14))/0.6))</f>
        <v/>
      </c>
      <c r="K406">
        <f>IF(Database!$B406=Screener!$B$5,-999999,IF(ISNUMBER(SEARCH(","&amp;Database!$A406&amp;",",","&amp;SUBSTITUTE(Screener!$B$19," ","")&amp;",")),2000000,IF(IF(OR(Screener!$B$18="All",AND(Screener!$B$18="With A-share",(Database!$AZ406="Y")),AND(Screener!$B$18="Without A-share",NOT((Database!$AZ406="Y")))),1,0)=0,-999999,IF(Screener!$B$16="cornerstone overlap first",H406*100000,IF(Screener!$B$16="demand-similar first",J406*100000,0))+W_SUB*B406+W_SEC*C406*(1-B406)+W_SIZE*D406+W_PROF*E406+W_AH*F406+W_REC*G406+W_CS*H406+W_PE*I406)))+ROW()/1000000</f>
        <v/>
      </c>
      <c r="AA406">
        <f>Database!B395</f>
        <v/>
      </c>
      <c r="AB406">
        <f>Database!D395</f>
        <v/>
      </c>
      <c r="AC406">
        <f>Database!E395</f>
        <v/>
      </c>
      <c r="AD406">
        <f>Database!I395</f>
        <v/>
      </c>
      <c r="AE406">
        <f>Database!AU395</f>
        <v/>
      </c>
      <c r="AF406">
        <f>Database!AZ395</f>
        <v/>
      </c>
      <c r="AG406">
        <f>Database!H395</f>
        <v/>
      </c>
      <c r="AH406">
        <f>Database!AV395</f>
        <v/>
      </c>
    </row>
    <row r="407">
      <c r="A407">
        <f>Database!B407</f>
        <v/>
      </c>
      <c r="B407">
        <f>IF(AND(Screener!$D$8&lt;&gt;"",Database!$E407=Screener!$D$8),1,0)</f>
        <v/>
      </c>
      <c r="C407">
        <f>IF(AND(Screener!$D$7&lt;&gt;"",Database!$D407=Screener!$D$7),1,0)</f>
        <v/>
      </c>
      <c r="D407">
        <f>IF(OR(N(Database!$I407)&lt;=0,N(Screener!$D$9)&lt;=0),0,MAX(0,1-ABS(LOG10(N(Database!$I407)/Screener!$D$9))/W_SIZEHW))</f>
        <v/>
      </c>
      <c r="E407">
        <f>IF(OR(Database!$AU407="",Screener!$D$10=""),0,IF(Database!$AU407=Screener!$D$10,1,0))</f>
        <v/>
      </c>
      <c r="F407">
        <f>IF(OR(Database!$AZ407="",Screener!$D$11=""),0,IF(Database!$AZ407=Screener!$D$11,1,0))</f>
        <v/>
      </c>
      <c r="G407">
        <f>IF(OR(Database!$H407="",N(Screener!$D$12)&lt;=0),0,MAX(0,1-(N(Screener!$D$12)-Database!$H407)/W_RECD))</f>
        <v/>
      </c>
      <c r="H407">
        <f>IF($U$1="",0,N(ISNUMBER(SEARCH($U$1,Database!$X407&amp;""))))+IF($V$1="",0,N(ISNUMBER(SEARCH($V$1,Database!$X407&amp;""))))+IF($W$1="",0,N(ISNUMBER(SEARCH($W$1,Database!$X407&amp;""))))+IF($X$1="",0,N(ISNUMBER(SEARCH($X$1,Database!$X407&amp;""))))+IF($Y$1="",0,N(ISNUMBER(SEARCH($Y$1,Database!$X407&amp;""))))+IF(Screener!$B$17="",0,N(ISNUMBER(SEARCH(LOWER(Screener!$B$17),Database!$X407&amp;""))))</f>
        <v/>
      </c>
      <c r="I407">
        <f>IF(OR(N(Database!$AV407)&lt;=0,N(Screener!$D$13)&lt;=0),0,MAX(0,1-ABS(LOG10(N(Database!$AV407)/Screener!$D$13))/W_PEHW))</f>
        <v/>
      </c>
      <c r="J407">
        <f>IF(OR(N(Database!$S407)&lt;=0,N(Screener!$D$14)&lt;=0),0,MAX(0,1-ABS(LOG10(Database!$S407/Screener!$D$14))/0.6))</f>
        <v/>
      </c>
      <c r="K407">
        <f>IF(Database!$B407=Screener!$B$5,-999999,IF(ISNUMBER(SEARCH(","&amp;Database!$A407&amp;",",","&amp;SUBSTITUTE(Screener!$B$19," ","")&amp;",")),2000000,IF(IF(OR(Screener!$B$18="All",AND(Screener!$B$18="With A-share",(Database!$AZ407="Y")),AND(Screener!$B$18="Without A-share",NOT((Database!$AZ407="Y")))),1,0)=0,-999999,IF(Screener!$B$16="cornerstone overlap first",H407*100000,IF(Screener!$B$16="demand-similar first",J407*100000,0))+W_SUB*B407+W_SEC*C407*(1-B407)+W_SIZE*D407+W_PROF*E407+W_AH*F407+W_REC*G407+W_CS*H407+W_PE*I407)))+ROW()/1000000</f>
        <v/>
      </c>
      <c r="AA407">
        <f>Database!B396</f>
        <v/>
      </c>
      <c r="AB407">
        <f>Database!D396</f>
        <v/>
      </c>
      <c r="AC407">
        <f>Database!E396</f>
        <v/>
      </c>
      <c r="AD407">
        <f>Database!I396</f>
        <v/>
      </c>
      <c r="AE407">
        <f>Database!AU396</f>
        <v/>
      </c>
      <c r="AF407">
        <f>Database!AZ396</f>
        <v/>
      </c>
      <c r="AG407">
        <f>Database!H396</f>
        <v/>
      </c>
      <c r="AH407">
        <f>Database!AV396</f>
        <v/>
      </c>
    </row>
    <row r="408">
      <c r="A408">
        <f>Database!B408</f>
        <v/>
      </c>
      <c r="B408">
        <f>IF(AND(Screener!$D$8&lt;&gt;"",Database!$E408=Screener!$D$8),1,0)</f>
        <v/>
      </c>
      <c r="C408">
        <f>IF(AND(Screener!$D$7&lt;&gt;"",Database!$D408=Screener!$D$7),1,0)</f>
        <v/>
      </c>
      <c r="D408">
        <f>IF(OR(N(Database!$I408)&lt;=0,N(Screener!$D$9)&lt;=0),0,MAX(0,1-ABS(LOG10(N(Database!$I408)/Screener!$D$9))/W_SIZEHW))</f>
        <v/>
      </c>
      <c r="E408">
        <f>IF(OR(Database!$AU408="",Screener!$D$10=""),0,IF(Database!$AU408=Screener!$D$10,1,0))</f>
        <v/>
      </c>
      <c r="F408">
        <f>IF(OR(Database!$AZ408="",Screener!$D$11=""),0,IF(Database!$AZ408=Screener!$D$11,1,0))</f>
        <v/>
      </c>
      <c r="G408">
        <f>IF(OR(Database!$H408="",N(Screener!$D$12)&lt;=0),0,MAX(0,1-(N(Screener!$D$12)-Database!$H408)/W_RECD))</f>
        <v/>
      </c>
      <c r="H408">
        <f>IF($U$1="",0,N(ISNUMBER(SEARCH($U$1,Database!$X408&amp;""))))+IF($V$1="",0,N(ISNUMBER(SEARCH($V$1,Database!$X408&amp;""))))+IF($W$1="",0,N(ISNUMBER(SEARCH($W$1,Database!$X408&amp;""))))+IF($X$1="",0,N(ISNUMBER(SEARCH($X$1,Database!$X408&amp;""))))+IF($Y$1="",0,N(ISNUMBER(SEARCH($Y$1,Database!$X408&amp;""))))+IF(Screener!$B$17="",0,N(ISNUMBER(SEARCH(LOWER(Screener!$B$17),Database!$X408&amp;""))))</f>
        <v/>
      </c>
      <c r="I408">
        <f>IF(OR(N(Database!$AV408)&lt;=0,N(Screener!$D$13)&lt;=0),0,MAX(0,1-ABS(LOG10(N(Database!$AV408)/Screener!$D$13))/W_PEHW))</f>
        <v/>
      </c>
      <c r="J408">
        <f>IF(OR(N(Database!$S408)&lt;=0,N(Screener!$D$14)&lt;=0),0,MAX(0,1-ABS(LOG10(Database!$S408/Screener!$D$14))/0.6))</f>
        <v/>
      </c>
      <c r="K408">
        <f>IF(Database!$B408=Screener!$B$5,-999999,IF(ISNUMBER(SEARCH(","&amp;Database!$A408&amp;",",","&amp;SUBSTITUTE(Screener!$B$19," ","")&amp;",")),2000000,IF(IF(OR(Screener!$B$18="All",AND(Screener!$B$18="With A-share",(Database!$AZ408="Y")),AND(Screener!$B$18="Without A-share",NOT((Database!$AZ408="Y")))),1,0)=0,-999999,IF(Screener!$B$16="cornerstone overlap first",H408*100000,IF(Screener!$B$16="demand-similar first",J408*100000,0))+W_SUB*B408+W_SEC*C408*(1-B408)+W_SIZE*D408+W_PROF*E408+W_AH*F408+W_REC*G408+W_CS*H408+W_PE*I408)))+ROW()/1000000</f>
        <v/>
      </c>
      <c r="AA408">
        <f>Database!B397</f>
        <v/>
      </c>
      <c r="AB408">
        <f>Database!D397</f>
        <v/>
      </c>
      <c r="AC408">
        <f>Database!E397</f>
        <v/>
      </c>
      <c r="AD408">
        <f>Database!I397</f>
        <v/>
      </c>
      <c r="AE408">
        <f>Database!AU397</f>
        <v/>
      </c>
      <c r="AF408">
        <f>Database!AZ397</f>
        <v/>
      </c>
      <c r="AG408">
        <f>Database!H397</f>
        <v/>
      </c>
      <c r="AH408">
        <f>Database!AV397</f>
        <v/>
      </c>
    </row>
    <row r="409">
      <c r="A409">
        <f>Database!B409</f>
        <v/>
      </c>
      <c r="B409">
        <f>IF(AND(Screener!$D$8&lt;&gt;"",Database!$E409=Screener!$D$8),1,0)</f>
        <v/>
      </c>
      <c r="C409">
        <f>IF(AND(Screener!$D$7&lt;&gt;"",Database!$D409=Screener!$D$7),1,0)</f>
        <v/>
      </c>
      <c r="D409">
        <f>IF(OR(N(Database!$I409)&lt;=0,N(Screener!$D$9)&lt;=0),0,MAX(0,1-ABS(LOG10(N(Database!$I409)/Screener!$D$9))/W_SIZEHW))</f>
        <v/>
      </c>
      <c r="E409">
        <f>IF(OR(Database!$AU409="",Screener!$D$10=""),0,IF(Database!$AU409=Screener!$D$10,1,0))</f>
        <v/>
      </c>
      <c r="F409">
        <f>IF(OR(Database!$AZ409="",Screener!$D$11=""),0,IF(Database!$AZ409=Screener!$D$11,1,0))</f>
        <v/>
      </c>
      <c r="G409">
        <f>IF(OR(Database!$H409="",N(Screener!$D$12)&lt;=0),0,MAX(0,1-(N(Screener!$D$12)-Database!$H409)/W_RECD))</f>
        <v/>
      </c>
      <c r="H409">
        <f>IF($U$1="",0,N(ISNUMBER(SEARCH($U$1,Database!$X409&amp;""))))+IF($V$1="",0,N(ISNUMBER(SEARCH($V$1,Database!$X409&amp;""))))+IF($W$1="",0,N(ISNUMBER(SEARCH($W$1,Database!$X409&amp;""))))+IF($X$1="",0,N(ISNUMBER(SEARCH($X$1,Database!$X409&amp;""))))+IF($Y$1="",0,N(ISNUMBER(SEARCH($Y$1,Database!$X409&amp;""))))+IF(Screener!$B$17="",0,N(ISNUMBER(SEARCH(LOWER(Screener!$B$17),Database!$X409&amp;""))))</f>
        <v/>
      </c>
      <c r="I409">
        <f>IF(OR(N(Database!$AV409)&lt;=0,N(Screener!$D$13)&lt;=0),0,MAX(0,1-ABS(LOG10(N(Database!$AV409)/Screener!$D$13))/W_PEHW))</f>
        <v/>
      </c>
      <c r="J409">
        <f>IF(OR(N(Database!$S409)&lt;=0,N(Screener!$D$14)&lt;=0),0,MAX(0,1-ABS(LOG10(Database!$S409/Screener!$D$14))/0.6))</f>
        <v/>
      </c>
      <c r="K409">
        <f>IF(Database!$B409=Screener!$B$5,-999999,IF(ISNUMBER(SEARCH(","&amp;Database!$A409&amp;",",","&amp;SUBSTITUTE(Screener!$B$19," ","")&amp;",")),2000000,IF(IF(OR(Screener!$B$18="All",AND(Screener!$B$18="With A-share",(Database!$AZ409="Y")),AND(Screener!$B$18="Without A-share",NOT((Database!$AZ409="Y")))),1,0)=0,-999999,IF(Screener!$B$16="cornerstone overlap first",H409*100000,IF(Screener!$B$16="demand-similar first",J409*100000,0))+W_SUB*B409+W_SEC*C409*(1-B409)+W_SIZE*D409+W_PROF*E409+W_AH*F409+W_REC*G409+W_CS*H409+W_PE*I409)))+ROW()/1000000</f>
        <v/>
      </c>
      <c r="AA409">
        <f>Database!B398</f>
        <v/>
      </c>
      <c r="AB409">
        <f>Database!D398</f>
        <v/>
      </c>
      <c r="AC409">
        <f>Database!E398</f>
        <v/>
      </c>
      <c r="AD409">
        <f>Database!I398</f>
        <v/>
      </c>
      <c r="AE409">
        <f>Database!AU398</f>
        <v/>
      </c>
      <c r="AF409">
        <f>Database!AZ398</f>
        <v/>
      </c>
      <c r="AG409">
        <f>Database!H398</f>
        <v/>
      </c>
      <c r="AH409">
        <f>Database!AV398</f>
        <v/>
      </c>
    </row>
    <row r="410">
      <c r="A410">
        <f>Database!B410</f>
        <v/>
      </c>
      <c r="B410">
        <f>IF(AND(Screener!$D$8&lt;&gt;"",Database!$E410=Screener!$D$8),1,0)</f>
        <v/>
      </c>
      <c r="C410">
        <f>IF(AND(Screener!$D$7&lt;&gt;"",Database!$D410=Screener!$D$7),1,0)</f>
        <v/>
      </c>
      <c r="D410">
        <f>IF(OR(N(Database!$I410)&lt;=0,N(Screener!$D$9)&lt;=0),0,MAX(0,1-ABS(LOG10(N(Database!$I410)/Screener!$D$9))/W_SIZEHW))</f>
        <v/>
      </c>
      <c r="E410">
        <f>IF(OR(Database!$AU410="",Screener!$D$10=""),0,IF(Database!$AU410=Screener!$D$10,1,0))</f>
        <v/>
      </c>
      <c r="F410">
        <f>IF(OR(Database!$AZ410="",Screener!$D$11=""),0,IF(Database!$AZ410=Screener!$D$11,1,0))</f>
        <v/>
      </c>
      <c r="G410">
        <f>IF(OR(Database!$H410="",N(Screener!$D$12)&lt;=0),0,MAX(0,1-(N(Screener!$D$12)-Database!$H410)/W_RECD))</f>
        <v/>
      </c>
      <c r="H410">
        <f>IF($U$1="",0,N(ISNUMBER(SEARCH($U$1,Database!$X410&amp;""))))+IF($V$1="",0,N(ISNUMBER(SEARCH($V$1,Database!$X410&amp;""))))+IF($W$1="",0,N(ISNUMBER(SEARCH($W$1,Database!$X410&amp;""))))+IF($X$1="",0,N(ISNUMBER(SEARCH($X$1,Database!$X410&amp;""))))+IF($Y$1="",0,N(ISNUMBER(SEARCH($Y$1,Database!$X410&amp;""))))+IF(Screener!$B$17="",0,N(ISNUMBER(SEARCH(LOWER(Screener!$B$17),Database!$X410&amp;""))))</f>
        <v/>
      </c>
      <c r="I410">
        <f>IF(OR(N(Database!$AV410)&lt;=0,N(Screener!$D$13)&lt;=0),0,MAX(0,1-ABS(LOG10(N(Database!$AV410)/Screener!$D$13))/W_PEHW))</f>
        <v/>
      </c>
      <c r="J410">
        <f>IF(OR(N(Database!$S410)&lt;=0,N(Screener!$D$14)&lt;=0),0,MAX(0,1-ABS(LOG10(Database!$S410/Screener!$D$14))/0.6))</f>
        <v/>
      </c>
      <c r="K410">
        <f>IF(Database!$B410=Screener!$B$5,-999999,IF(ISNUMBER(SEARCH(","&amp;Database!$A410&amp;",",","&amp;SUBSTITUTE(Screener!$B$19," ","")&amp;",")),2000000,IF(IF(OR(Screener!$B$18="All",AND(Screener!$B$18="With A-share",(Database!$AZ410="Y")),AND(Screener!$B$18="Without A-share",NOT((Database!$AZ410="Y")))),1,0)=0,-999999,IF(Screener!$B$16="cornerstone overlap first",H410*100000,IF(Screener!$B$16="demand-similar first",J410*100000,0))+W_SUB*B410+W_SEC*C410*(1-B410)+W_SIZE*D410+W_PROF*E410+W_AH*F410+W_REC*G410+W_CS*H410+W_PE*I410)))+ROW()/1000000</f>
        <v/>
      </c>
      <c r="AA410">
        <f>Database!B399</f>
        <v/>
      </c>
      <c r="AB410">
        <f>Database!D399</f>
        <v/>
      </c>
      <c r="AC410">
        <f>Database!E399</f>
        <v/>
      </c>
      <c r="AD410">
        <f>Database!I399</f>
        <v/>
      </c>
      <c r="AE410">
        <f>Database!AU399</f>
        <v/>
      </c>
      <c r="AF410">
        <f>Database!AZ399</f>
        <v/>
      </c>
      <c r="AG410">
        <f>Database!H399</f>
        <v/>
      </c>
      <c r="AH410">
        <f>Database!AV399</f>
        <v/>
      </c>
    </row>
    <row r="411">
      <c r="A411">
        <f>Database!B411</f>
        <v/>
      </c>
      <c r="B411">
        <f>IF(AND(Screener!$D$8&lt;&gt;"",Database!$E411=Screener!$D$8),1,0)</f>
        <v/>
      </c>
      <c r="C411">
        <f>IF(AND(Screener!$D$7&lt;&gt;"",Database!$D411=Screener!$D$7),1,0)</f>
        <v/>
      </c>
      <c r="D411">
        <f>IF(OR(N(Database!$I411)&lt;=0,N(Screener!$D$9)&lt;=0),0,MAX(0,1-ABS(LOG10(N(Database!$I411)/Screener!$D$9))/W_SIZEHW))</f>
        <v/>
      </c>
      <c r="E411">
        <f>IF(OR(Database!$AU411="",Screener!$D$10=""),0,IF(Database!$AU411=Screener!$D$10,1,0))</f>
        <v/>
      </c>
      <c r="F411">
        <f>IF(OR(Database!$AZ411="",Screener!$D$11=""),0,IF(Database!$AZ411=Screener!$D$11,1,0))</f>
        <v/>
      </c>
      <c r="G411">
        <f>IF(OR(Database!$H411="",N(Screener!$D$12)&lt;=0),0,MAX(0,1-(N(Screener!$D$12)-Database!$H411)/W_RECD))</f>
        <v/>
      </c>
      <c r="H411">
        <f>IF($U$1="",0,N(ISNUMBER(SEARCH($U$1,Database!$X411&amp;""))))+IF($V$1="",0,N(ISNUMBER(SEARCH($V$1,Database!$X411&amp;""))))+IF($W$1="",0,N(ISNUMBER(SEARCH($W$1,Database!$X411&amp;""))))+IF($X$1="",0,N(ISNUMBER(SEARCH($X$1,Database!$X411&amp;""))))+IF($Y$1="",0,N(ISNUMBER(SEARCH($Y$1,Database!$X411&amp;""))))+IF(Screener!$B$17="",0,N(ISNUMBER(SEARCH(LOWER(Screener!$B$17),Database!$X411&amp;""))))</f>
        <v/>
      </c>
      <c r="I411">
        <f>IF(OR(N(Database!$AV411)&lt;=0,N(Screener!$D$13)&lt;=0),0,MAX(0,1-ABS(LOG10(N(Database!$AV411)/Screener!$D$13))/W_PEHW))</f>
        <v/>
      </c>
      <c r="J411">
        <f>IF(OR(N(Database!$S411)&lt;=0,N(Screener!$D$14)&lt;=0),0,MAX(0,1-ABS(LOG10(Database!$S411/Screener!$D$14))/0.6))</f>
        <v/>
      </c>
      <c r="K411">
        <f>IF(Database!$B411=Screener!$B$5,-999999,IF(ISNUMBER(SEARCH(","&amp;Database!$A411&amp;",",","&amp;SUBSTITUTE(Screener!$B$19," ","")&amp;",")),2000000,IF(IF(OR(Screener!$B$18="All",AND(Screener!$B$18="With A-share",(Database!$AZ411="Y")),AND(Screener!$B$18="Without A-share",NOT((Database!$AZ411="Y")))),1,0)=0,-999999,IF(Screener!$B$16="cornerstone overlap first",H411*100000,IF(Screener!$B$16="demand-similar first",J411*100000,0))+W_SUB*B411+W_SEC*C411*(1-B411)+W_SIZE*D411+W_PROF*E411+W_AH*F411+W_REC*G411+W_CS*H411+W_PE*I411)))+ROW()/1000000</f>
        <v/>
      </c>
      <c r="AA411">
        <f>Database!B400</f>
        <v/>
      </c>
      <c r="AB411">
        <f>Database!D400</f>
        <v/>
      </c>
      <c r="AC411">
        <f>Database!E400</f>
        <v/>
      </c>
      <c r="AD411">
        <f>Database!I400</f>
        <v/>
      </c>
      <c r="AE411">
        <f>Database!AU400</f>
        <v/>
      </c>
      <c r="AF411">
        <f>Database!AZ400</f>
        <v/>
      </c>
      <c r="AG411">
        <f>Database!H400</f>
        <v/>
      </c>
      <c r="AH411">
        <f>Database!AV400</f>
        <v/>
      </c>
    </row>
    <row r="412">
      <c r="A412">
        <f>Database!B412</f>
        <v/>
      </c>
      <c r="B412">
        <f>IF(AND(Screener!$D$8&lt;&gt;"",Database!$E412=Screener!$D$8),1,0)</f>
        <v/>
      </c>
      <c r="C412">
        <f>IF(AND(Screener!$D$7&lt;&gt;"",Database!$D412=Screener!$D$7),1,0)</f>
        <v/>
      </c>
      <c r="D412">
        <f>IF(OR(N(Database!$I412)&lt;=0,N(Screener!$D$9)&lt;=0),0,MAX(0,1-ABS(LOG10(N(Database!$I412)/Screener!$D$9))/W_SIZEHW))</f>
        <v/>
      </c>
      <c r="E412">
        <f>IF(OR(Database!$AU412="",Screener!$D$10=""),0,IF(Database!$AU412=Screener!$D$10,1,0))</f>
        <v/>
      </c>
      <c r="F412">
        <f>IF(OR(Database!$AZ412="",Screener!$D$11=""),0,IF(Database!$AZ412=Screener!$D$11,1,0))</f>
        <v/>
      </c>
      <c r="G412">
        <f>IF(OR(Database!$H412="",N(Screener!$D$12)&lt;=0),0,MAX(0,1-(N(Screener!$D$12)-Database!$H412)/W_RECD))</f>
        <v/>
      </c>
      <c r="H412">
        <f>IF($U$1="",0,N(ISNUMBER(SEARCH($U$1,Database!$X412&amp;""))))+IF($V$1="",0,N(ISNUMBER(SEARCH($V$1,Database!$X412&amp;""))))+IF($W$1="",0,N(ISNUMBER(SEARCH($W$1,Database!$X412&amp;""))))+IF($X$1="",0,N(ISNUMBER(SEARCH($X$1,Database!$X412&amp;""))))+IF($Y$1="",0,N(ISNUMBER(SEARCH($Y$1,Database!$X412&amp;""))))+IF(Screener!$B$17="",0,N(ISNUMBER(SEARCH(LOWER(Screener!$B$17),Database!$X412&amp;""))))</f>
        <v/>
      </c>
      <c r="I412">
        <f>IF(OR(N(Database!$AV412)&lt;=0,N(Screener!$D$13)&lt;=0),0,MAX(0,1-ABS(LOG10(N(Database!$AV412)/Screener!$D$13))/W_PEHW))</f>
        <v/>
      </c>
      <c r="J412">
        <f>IF(OR(N(Database!$S412)&lt;=0,N(Screener!$D$14)&lt;=0),0,MAX(0,1-ABS(LOG10(Database!$S412/Screener!$D$14))/0.6))</f>
        <v/>
      </c>
      <c r="K412">
        <f>IF(Database!$B412=Screener!$B$5,-999999,IF(ISNUMBER(SEARCH(","&amp;Database!$A412&amp;",",","&amp;SUBSTITUTE(Screener!$B$19," ","")&amp;",")),2000000,IF(IF(OR(Screener!$B$18="All",AND(Screener!$B$18="With A-share",(Database!$AZ412="Y")),AND(Screener!$B$18="Without A-share",NOT((Database!$AZ412="Y")))),1,0)=0,-999999,IF(Screener!$B$16="cornerstone overlap first",H412*100000,IF(Screener!$B$16="demand-similar first",J412*100000,0))+W_SUB*B412+W_SEC*C412*(1-B412)+W_SIZE*D412+W_PROF*E412+W_AH*F412+W_REC*G412+W_CS*H412+W_PE*I412)))+ROW()/1000000</f>
        <v/>
      </c>
      <c r="AA412">
        <f>Database!B401</f>
        <v/>
      </c>
      <c r="AB412">
        <f>Database!D401</f>
        <v/>
      </c>
      <c r="AC412">
        <f>Database!E401</f>
        <v/>
      </c>
      <c r="AD412">
        <f>Database!I401</f>
        <v/>
      </c>
      <c r="AE412">
        <f>Database!AU401</f>
        <v/>
      </c>
      <c r="AF412">
        <f>Database!AZ401</f>
        <v/>
      </c>
      <c r="AG412">
        <f>Database!H401</f>
        <v/>
      </c>
      <c r="AH412">
        <f>Database!AV401</f>
        <v/>
      </c>
    </row>
    <row r="413">
      <c r="A413">
        <f>Database!B413</f>
        <v/>
      </c>
      <c r="B413">
        <f>IF(AND(Screener!$D$8&lt;&gt;"",Database!$E413=Screener!$D$8),1,0)</f>
        <v/>
      </c>
      <c r="C413">
        <f>IF(AND(Screener!$D$7&lt;&gt;"",Database!$D413=Screener!$D$7),1,0)</f>
        <v/>
      </c>
      <c r="D413">
        <f>IF(OR(N(Database!$I413)&lt;=0,N(Screener!$D$9)&lt;=0),0,MAX(0,1-ABS(LOG10(N(Database!$I413)/Screener!$D$9))/W_SIZEHW))</f>
        <v/>
      </c>
      <c r="E413">
        <f>IF(OR(Database!$AU413="",Screener!$D$10=""),0,IF(Database!$AU413=Screener!$D$10,1,0))</f>
        <v/>
      </c>
      <c r="F413">
        <f>IF(OR(Database!$AZ413="",Screener!$D$11=""),0,IF(Database!$AZ413=Screener!$D$11,1,0))</f>
        <v/>
      </c>
      <c r="G413">
        <f>IF(OR(Database!$H413="",N(Screener!$D$12)&lt;=0),0,MAX(0,1-(N(Screener!$D$12)-Database!$H413)/W_RECD))</f>
        <v/>
      </c>
      <c r="H413">
        <f>IF($U$1="",0,N(ISNUMBER(SEARCH($U$1,Database!$X413&amp;""))))+IF($V$1="",0,N(ISNUMBER(SEARCH($V$1,Database!$X413&amp;""))))+IF($W$1="",0,N(ISNUMBER(SEARCH($W$1,Database!$X413&amp;""))))+IF($X$1="",0,N(ISNUMBER(SEARCH($X$1,Database!$X413&amp;""))))+IF($Y$1="",0,N(ISNUMBER(SEARCH($Y$1,Database!$X413&amp;""))))+IF(Screener!$B$17="",0,N(ISNUMBER(SEARCH(LOWER(Screener!$B$17),Database!$X413&amp;""))))</f>
        <v/>
      </c>
      <c r="I413">
        <f>IF(OR(N(Database!$AV413)&lt;=0,N(Screener!$D$13)&lt;=0),0,MAX(0,1-ABS(LOG10(N(Database!$AV413)/Screener!$D$13))/W_PEHW))</f>
        <v/>
      </c>
      <c r="J413">
        <f>IF(OR(N(Database!$S413)&lt;=0,N(Screener!$D$14)&lt;=0),0,MAX(0,1-ABS(LOG10(Database!$S413/Screener!$D$14))/0.6))</f>
        <v/>
      </c>
      <c r="K413">
        <f>IF(Database!$B413=Screener!$B$5,-999999,IF(ISNUMBER(SEARCH(","&amp;Database!$A413&amp;",",","&amp;SUBSTITUTE(Screener!$B$19," ","")&amp;",")),2000000,IF(IF(OR(Screener!$B$18="All",AND(Screener!$B$18="With A-share",(Database!$AZ413="Y")),AND(Screener!$B$18="Without A-share",NOT((Database!$AZ413="Y")))),1,0)=0,-999999,IF(Screener!$B$16="cornerstone overlap first",H413*100000,IF(Screener!$B$16="demand-similar first",J413*100000,0))+W_SUB*B413+W_SEC*C413*(1-B413)+W_SIZE*D413+W_PROF*E413+W_AH*F413+W_REC*G413+W_CS*H413+W_PE*I413)))+ROW()/1000000</f>
        <v/>
      </c>
      <c r="AA413">
        <f>Database!B402</f>
        <v/>
      </c>
      <c r="AB413">
        <f>Database!D402</f>
        <v/>
      </c>
      <c r="AC413">
        <f>Database!E402</f>
        <v/>
      </c>
      <c r="AD413">
        <f>Database!I402</f>
        <v/>
      </c>
      <c r="AE413">
        <f>Database!AU402</f>
        <v/>
      </c>
      <c r="AF413">
        <f>Database!AZ402</f>
        <v/>
      </c>
      <c r="AG413">
        <f>Database!H402</f>
        <v/>
      </c>
      <c r="AH413">
        <f>Database!AV402</f>
        <v/>
      </c>
    </row>
    <row r="414">
      <c r="A414">
        <f>Database!B414</f>
        <v/>
      </c>
      <c r="B414">
        <f>IF(AND(Screener!$D$8&lt;&gt;"",Database!$E414=Screener!$D$8),1,0)</f>
        <v/>
      </c>
      <c r="C414">
        <f>IF(AND(Screener!$D$7&lt;&gt;"",Database!$D414=Screener!$D$7),1,0)</f>
        <v/>
      </c>
      <c r="D414">
        <f>IF(OR(N(Database!$I414)&lt;=0,N(Screener!$D$9)&lt;=0),0,MAX(0,1-ABS(LOG10(N(Database!$I414)/Screener!$D$9))/W_SIZEHW))</f>
        <v/>
      </c>
      <c r="E414">
        <f>IF(OR(Database!$AU414="",Screener!$D$10=""),0,IF(Database!$AU414=Screener!$D$10,1,0))</f>
        <v/>
      </c>
      <c r="F414">
        <f>IF(OR(Database!$AZ414="",Screener!$D$11=""),0,IF(Database!$AZ414=Screener!$D$11,1,0))</f>
        <v/>
      </c>
      <c r="G414">
        <f>IF(OR(Database!$H414="",N(Screener!$D$12)&lt;=0),0,MAX(0,1-(N(Screener!$D$12)-Database!$H414)/W_RECD))</f>
        <v/>
      </c>
      <c r="H414">
        <f>IF($U$1="",0,N(ISNUMBER(SEARCH($U$1,Database!$X414&amp;""))))+IF($V$1="",0,N(ISNUMBER(SEARCH($V$1,Database!$X414&amp;""))))+IF($W$1="",0,N(ISNUMBER(SEARCH($W$1,Database!$X414&amp;""))))+IF($X$1="",0,N(ISNUMBER(SEARCH($X$1,Database!$X414&amp;""))))+IF($Y$1="",0,N(ISNUMBER(SEARCH($Y$1,Database!$X414&amp;""))))+IF(Screener!$B$17="",0,N(ISNUMBER(SEARCH(LOWER(Screener!$B$17),Database!$X414&amp;""))))</f>
        <v/>
      </c>
      <c r="I414">
        <f>IF(OR(N(Database!$AV414)&lt;=0,N(Screener!$D$13)&lt;=0),0,MAX(0,1-ABS(LOG10(N(Database!$AV414)/Screener!$D$13))/W_PEHW))</f>
        <v/>
      </c>
      <c r="J414">
        <f>IF(OR(N(Database!$S414)&lt;=0,N(Screener!$D$14)&lt;=0),0,MAX(0,1-ABS(LOG10(Database!$S414/Screener!$D$14))/0.6))</f>
        <v/>
      </c>
      <c r="K414">
        <f>IF(Database!$B414=Screener!$B$5,-999999,IF(ISNUMBER(SEARCH(","&amp;Database!$A414&amp;",",","&amp;SUBSTITUTE(Screener!$B$19," ","")&amp;",")),2000000,IF(IF(OR(Screener!$B$18="All",AND(Screener!$B$18="With A-share",(Database!$AZ414="Y")),AND(Screener!$B$18="Without A-share",NOT((Database!$AZ414="Y")))),1,0)=0,-999999,IF(Screener!$B$16="cornerstone overlap first",H414*100000,IF(Screener!$B$16="demand-similar first",J414*100000,0))+W_SUB*B414+W_SEC*C414*(1-B414)+W_SIZE*D414+W_PROF*E414+W_AH*F414+W_REC*G414+W_CS*H414+W_PE*I414)))+ROW()/1000000</f>
        <v/>
      </c>
      <c r="AA414">
        <f>Database!B403</f>
        <v/>
      </c>
      <c r="AB414">
        <f>Database!D403</f>
        <v/>
      </c>
      <c r="AC414">
        <f>Database!E403</f>
        <v/>
      </c>
      <c r="AD414">
        <f>Database!I403</f>
        <v/>
      </c>
      <c r="AE414">
        <f>Database!AU403</f>
        <v/>
      </c>
      <c r="AF414">
        <f>Database!AZ403</f>
        <v/>
      </c>
      <c r="AG414">
        <f>Database!H403</f>
        <v/>
      </c>
      <c r="AH414">
        <f>Database!AV403</f>
        <v/>
      </c>
    </row>
    <row r="415">
      <c r="A415">
        <f>Database!B415</f>
        <v/>
      </c>
      <c r="B415">
        <f>IF(AND(Screener!$D$8&lt;&gt;"",Database!$E415=Screener!$D$8),1,0)</f>
        <v/>
      </c>
      <c r="C415">
        <f>IF(AND(Screener!$D$7&lt;&gt;"",Database!$D415=Screener!$D$7),1,0)</f>
        <v/>
      </c>
      <c r="D415">
        <f>IF(OR(N(Database!$I415)&lt;=0,N(Screener!$D$9)&lt;=0),0,MAX(0,1-ABS(LOG10(N(Database!$I415)/Screener!$D$9))/W_SIZEHW))</f>
        <v/>
      </c>
      <c r="E415">
        <f>IF(OR(Database!$AU415="",Screener!$D$10=""),0,IF(Database!$AU415=Screener!$D$10,1,0))</f>
        <v/>
      </c>
      <c r="F415">
        <f>IF(OR(Database!$AZ415="",Screener!$D$11=""),0,IF(Database!$AZ415=Screener!$D$11,1,0))</f>
        <v/>
      </c>
      <c r="G415">
        <f>IF(OR(Database!$H415="",N(Screener!$D$12)&lt;=0),0,MAX(0,1-(N(Screener!$D$12)-Database!$H415)/W_RECD))</f>
        <v/>
      </c>
      <c r="H415">
        <f>IF($U$1="",0,N(ISNUMBER(SEARCH($U$1,Database!$X415&amp;""))))+IF($V$1="",0,N(ISNUMBER(SEARCH($V$1,Database!$X415&amp;""))))+IF($W$1="",0,N(ISNUMBER(SEARCH($W$1,Database!$X415&amp;""))))+IF($X$1="",0,N(ISNUMBER(SEARCH($X$1,Database!$X415&amp;""))))+IF($Y$1="",0,N(ISNUMBER(SEARCH($Y$1,Database!$X415&amp;""))))+IF(Screener!$B$17="",0,N(ISNUMBER(SEARCH(LOWER(Screener!$B$17),Database!$X415&amp;""))))</f>
        <v/>
      </c>
      <c r="I415">
        <f>IF(OR(N(Database!$AV415)&lt;=0,N(Screener!$D$13)&lt;=0),0,MAX(0,1-ABS(LOG10(N(Database!$AV415)/Screener!$D$13))/W_PEHW))</f>
        <v/>
      </c>
      <c r="J415">
        <f>IF(OR(N(Database!$S415)&lt;=0,N(Screener!$D$14)&lt;=0),0,MAX(0,1-ABS(LOG10(Database!$S415/Screener!$D$14))/0.6))</f>
        <v/>
      </c>
      <c r="K415">
        <f>IF(Database!$B415=Screener!$B$5,-999999,IF(ISNUMBER(SEARCH(","&amp;Database!$A415&amp;",",","&amp;SUBSTITUTE(Screener!$B$19," ","")&amp;",")),2000000,IF(IF(OR(Screener!$B$18="All",AND(Screener!$B$18="With A-share",(Database!$AZ415="Y")),AND(Screener!$B$18="Without A-share",NOT((Database!$AZ415="Y")))),1,0)=0,-999999,IF(Screener!$B$16="cornerstone overlap first",H415*100000,IF(Screener!$B$16="demand-similar first",J415*100000,0))+W_SUB*B415+W_SEC*C415*(1-B415)+W_SIZE*D415+W_PROF*E415+W_AH*F415+W_REC*G415+W_CS*H415+W_PE*I415)))+ROW()/1000000</f>
        <v/>
      </c>
      <c r="AA415">
        <f>Database!B404</f>
        <v/>
      </c>
      <c r="AB415">
        <f>Database!D404</f>
        <v/>
      </c>
      <c r="AC415">
        <f>Database!E404</f>
        <v/>
      </c>
      <c r="AD415">
        <f>Database!I404</f>
        <v/>
      </c>
      <c r="AE415">
        <f>Database!AU404</f>
        <v/>
      </c>
      <c r="AF415">
        <f>Database!AZ404</f>
        <v/>
      </c>
      <c r="AG415">
        <f>Database!H404</f>
        <v/>
      </c>
      <c r="AH415">
        <f>Database!AV404</f>
        <v/>
      </c>
    </row>
    <row r="416">
      <c r="A416">
        <f>Database!B416</f>
        <v/>
      </c>
      <c r="B416">
        <f>IF(AND(Screener!$D$8&lt;&gt;"",Database!$E416=Screener!$D$8),1,0)</f>
        <v/>
      </c>
      <c r="C416">
        <f>IF(AND(Screener!$D$7&lt;&gt;"",Database!$D416=Screener!$D$7),1,0)</f>
        <v/>
      </c>
      <c r="D416">
        <f>IF(OR(N(Database!$I416)&lt;=0,N(Screener!$D$9)&lt;=0),0,MAX(0,1-ABS(LOG10(N(Database!$I416)/Screener!$D$9))/W_SIZEHW))</f>
        <v/>
      </c>
      <c r="E416">
        <f>IF(OR(Database!$AU416="",Screener!$D$10=""),0,IF(Database!$AU416=Screener!$D$10,1,0))</f>
        <v/>
      </c>
      <c r="F416">
        <f>IF(OR(Database!$AZ416="",Screener!$D$11=""),0,IF(Database!$AZ416=Screener!$D$11,1,0))</f>
        <v/>
      </c>
      <c r="G416">
        <f>IF(OR(Database!$H416="",N(Screener!$D$12)&lt;=0),0,MAX(0,1-(N(Screener!$D$12)-Database!$H416)/W_RECD))</f>
        <v/>
      </c>
      <c r="H416">
        <f>IF($U$1="",0,N(ISNUMBER(SEARCH($U$1,Database!$X416&amp;""))))+IF($V$1="",0,N(ISNUMBER(SEARCH($V$1,Database!$X416&amp;""))))+IF($W$1="",0,N(ISNUMBER(SEARCH($W$1,Database!$X416&amp;""))))+IF($X$1="",0,N(ISNUMBER(SEARCH($X$1,Database!$X416&amp;""))))+IF($Y$1="",0,N(ISNUMBER(SEARCH($Y$1,Database!$X416&amp;""))))+IF(Screener!$B$17="",0,N(ISNUMBER(SEARCH(LOWER(Screener!$B$17),Database!$X416&amp;""))))</f>
        <v/>
      </c>
      <c r="I416">
        <f>IF(OR(N(Database!$AV416)&lt;=0,N(Screener!$D$13)&lt;=0),0,MAX(0,1-ABS(LOG10(N(Database!$AV416)/Screener!$D$13))/W_PEHW))</f>
        <v/>
      </c>
      <c r="J416">
        <f>IF(OR(N(Database!$S416)&lt;=0,N(Screener!$D$14)&lt;=0),0,MAX(0,1-ABS(LOG10(Database!$S416/Screener!$D$14))/0.6))</f>
        <v/>
      </c>
      <c r="K416">
        <f>IF(Database!$B416=Screener!$B$5,-999999,IF(ISNUMBER(SEARCH(","&amp;Database!$A416&amp;",",","&amp;SUBSTITUTE(Screener!$B$19," ","")&amp;",")),2000000,IF(IF(OR(Screener!$B$18="All",AND(Screener!$B$18="With A-share",(Database!$AZ416="Y")),AND(Screener!$B$18="Without A-share",NOT((Database!$AZ416="Y")))),1,0)=0,-999999,IF(Screener!$B$16="cornerstone overlap first",H416*100000,IF(Screener!$B$16="demand-similar first",J416*100000,0))+W_SUB*B416+W_SEC*C416*(1-B416)+W_SIZE*D416+W_PROF*E416+W_AH*F416+W_REC*G416+W_CS*H416+W_PE*I416)))+ROW()/1000000</f>
        <v/>
      </c>
      <c r="AA416">
        <f>Database!B405</f>
        <v/>
      </c>
      <c r="AB416">
        <f>Database!D405</f>
        <v/>
      </c>
      <c r="AC416">
        <f>Database!E405</f>
        <v/>
      </c>
      <c r="AD416">
        <f>Database!I405</f>
        <v/>
      </c>
      <c r="AE416">
        <f>Database!AU405</f>
        <v/>
      </c>
      <c r="AF416">
        <f>Database!AZ405</f>
        <v/>
      </c>
      <c r="AG416">
        <f>Database!H405</f>
        <v/>
      </c>
      <c r="AH416">
        <f>Database!AV405</f>
        <v/>
      </c>
    </row>
    <row r="417">
      <c r="A417">
        <f>Database!B417</f>
        <v/>
      </c>
      <c r="B417">
        <f>IF(AND(Screener!$D$8&lt;&gt;"",Database!$E417=Screener!$D$8),1,0)</f>
        <v/>
      </c>
      <c r="C417">
        <f>IF(AND(Screener!$D$7&lt;&gt;"",Database!$D417=Screener!$D$7),1,0)</f>
        <v/>
      </c>
      <c r="D417">
        <f>IF(OR(N(Database!$I417)&lt;=0,N(Screener!$D$9)&lt;=0),0,MAX(0,1-ABS(LOG10(N(Database!$I417)/Screener!$D$9))/W_SIZEHW))</f>
        <v/>
      </c>
      <c r="E417">
        <f>IF(OR(Database!$AU417="",Screener!$D$10=""),0,IF(Database!$AU417=Screener!$D$10,1,0))</f>
        <v/>
      </c>
      <c r="F417">
        <f>IF(OR(Database!$AZ417="",Screener!$D$11=""),0,IF(Database!$AZ417=Screener!$D$11,1,0))</f>
        <v/>
      </c>
      <c r="G417">
        <f>IF(OR(Database!$H417="",N(Screener!$D$12)&lt;=0),0,MAX(0,1-(N(Screener!$D$12)-Database!$H417)/W_RECD))</f>
        <v/>
      </c>
      <c r="H417">
        <f>IF($U$1="",0,N(ISNUMBER(SEARCH($U$1,Database!$X417&amp;""))))+IF($V$1="",0,N(ISNUMBER(SEARCH($V$1,Database!$X417&amp;""))))+IF($W$1="",0,N(ISNUMBER(SEARCH($W$1,Database!$X417&amp;""))))+IF($X$1="",0,N(ISNUMBER(SEARCH($X$1,Database!$X417&amp;""))))+IF($Y$1="",0,N(ISNUMBER(SEARCH($Y$1,Database!$X417&amp;""))))+IF(Screener!$B$17="",0,N(ISNUMBER(SEARCH(LOWER(Screener!$B$17),Database!$X417&amp;""))))</f>
        <v/>
      </c>
      <c r="I417">
        <f>IF(OR(N(Database!$AV417)&lt;=0,N(Screener!$D$13)&lt;=0),0,MAX(0,1-ABS(LOG10(N(Database!$AV417)/Screener!$D$13))/W_PEHW))</f>
        <v/>
      </c>
      <c r="J417">
        <f>IF(OR(N(Database!$S417)&lt;=0,N(Screener!$D$14)&lt;=0),0,MAX(0,1-ABS(LOG10(Database!$S417/Screener!$D$14))/0.6))</f>
        <v/>
      </c>
      <c r="K417">
        <f>IF(Database!$B417=Screener!$B$5,-999999,IF(ISNUMBER(SEARCH(","&amp;Database!$A417&amp;",",","&amp;SUBSTITUTE(Screener!$B$19," ","")&amp;",")),2000000,IF(IF(OR(Screener!$B$18="All",AND(Screener!$B$18="With A-share",(Database!$AZ417="Y")),AND(Screener!$B$18="Without A-share",NOT((Database!$AZ417="Y")))),1,0)=0,-999999,IF(Screener!$B$16="cornerstone overlap first",H417*100000,IF(Screener!$B$16="demand-similar first",J417*100000,0))+W_SUB*B417+W_SEC*C417*(1-B417)+W_SIZE*D417+W_PROF*E417+W_AH*F417+W_REC*G417+W_CS*H417+W_PE*I417)))+ROW()/1000000</f>
        <v/>
      </c>
      <c r="AA417">
        <f>Database!B406</f>
        <v/>
      </c>
      <c r="AB417">
        <f>Database!D406</f>
        <v/>
      </c>
      <c r="AC417">
        <f>Database!E406</f>
        <v/>
      </c>
      <c r="AD417">
        <f>Database!I406</f>
        <v/>
      </c>
      <c r="AE417">
        <f>Database!AU406</f>
        <v/>
      </c>
      <c r="AF417">
        <f>Database!AZ406</f>
        <v/>
      </c>
      <c r="AG417">
        <f>Database!H406</f>
        <v/>
      </c>
      <c r="AH417">
        <f>Database!AV406</f>
        <v/>
      </c>
    </row>
    <row r="418">
      <c r="A418">
        <f>Database!B418</f>
        <v/>
      </c>
      <c r="B418">
        <f>IF(AND(Screener!$D$8&lt;&gt;"",Database!$E418=Screener!$D$8),1,0)</f>
        <v/>
      </c>
      <c r="C418">
        <f>IF(AND(Screener!$D$7&lt;&gt;"",Database!$D418=Screener!$D$7),1,0)</f>
        <v/>
      </c>
      <c r="D418">
        <f>IF(OR(N(Database!$I418)&lt;=0,N(Screener!$D$9)&lt;=0),0,MAX(0,1-ABS(LOG10(N(Database!$I418)/Screener!$D$9))/W_SIZEHW))</f>
        <v/>
      </c>
      <c r="E418">
        <f>IF(OR(Database!$AU418="",Screener!$D$10=""),0,IF(Database!$AU418=Screener!$D$10,1,0))</f>
        <v/>
      </c>
      <c r="F418">
        <f>IF(OR(Database!$AZ418="",Screener!$D$11=""),0,IF(Database!$AZ418=Screener!$D$11,1,0))</f>
        <v/>
      </c>
      <c r="G418">
        <f>IF(OR(Database!$H418="",N(Screener!$D$12)&lt;=0),0,MAX(0,1-(N(Screener!$D$12)-Database!$H418)/W_RECD))</f>
        <v/>
      </c>
      <c r="H418">
        <f>IF($U$1="",0,N(ISNUMBER(SEARCH($U$1,Database!$X418&amp;""))))+IF($V$1="",0,N(ISNUMBER(SEARCH($V$1,Database!$X418&amp;""))))+IF($W$1="",0,N(ISNUMBER(SEARCH($W$1,Database!$X418&amp;""))))+IF($X$1="",0,N(ISNUMBER(SEARCH($X$1,Database!$X418&amp;""))))+IF($Y$1="",0,N(ISNUMBER(SEARCH($Y$1,Database!$X418&amp;""))))+IF(Screener!$B$17="",0,N(ISNUMBER(SEARCH(LOWER(Screener!$B$17),Database!$X418&amp;""))))</f>
        <v/>
      </c>
      <c r="I418">
        <f>IF(OR(N(Database!$AV418)&lt;=0,N(Screener!$D$13)&lt;=0),0,MAX(0,1-ABS(LOG10(N(Database!$AV418)/Screener!$D$13))/W_PEHW))</f>
        <v/>
      </c>
      <c r="J418">
        <f>IF(OR(N(Database!$S418)&lt;=0,N(Screener!$D$14)&lt;=0),0,MAX(0,1-ABS(LOG10(Database!$S418/Screener!$D$14))/0.6))</f>
        <v/>
      </c>
      <c r="K418">
        <f>IF(Database!$B418=Screener!$B$5,-999999,IF(ISNUMBER(SEARCH(","&amp;Database!$A418&amp;",",","&amp;SUBSTITUTE(Screener!$B$19," ","")&amp;",")),2000000,IF(IF(OR(Screener!$B$18="All",AND(Screener!$B$18="With A-share",(Database!$AZ418="Y")),AND(Screener!$B$18="Without A-share",NOT((Database!$AZ418="Y")))),1,0)=0,-999999,IF(Screener!$B$16="cornerstone overlap first",H418*100000,IF(Screener!$B$16="demand-similar first",J418*100000,0))+W_SUB*B418+W_SEC*C418*(1-B418)+W_SIZE*D418+W_PROF*E418+W_AH*F418+W_REC*G418+W_CS*H418+W_PE*I418)))+ROW()/1000000</f>
        <v/>
      </c>
      <c r="AA418">
        <f>Database!B407</f>
        <v/>
      </c>
      <c r="AB418">
        <f>Database!D407</f>
        <v/>
      </c>
      <c r="AC418">
        <f>Database!E407</f>
        <v/>
      </c>
      <c r="AD418">
        <f>Database!I407</f>
        <v/>
      </c>
      <c r="AE418">
        <f>Database!AU407</f>
        <v/>
      </c>
      <c r="AF418">
        <f>Database!AZ407</f>
        <v/>
      </c>
      <c r="AG418">
        <f>Database!H407</f>
        <v/>
      </c>
      <c r="AH418">
        <f>Database!AV407</f>
        <v/>
      </c>
    </row>
    <row r="419">
      <c r="A419">
        <f>Database!B419</f>
        <v/>
      </c>
      <c r="B419">
        <f>IF(AND(Screener!$D$8&lt;&gt;"",Database!$E419=Screener!$D$8),1,0)</f>
        <v/>
      </c>
      <c r="C419">
        <f>IF(AND(Screener!$D$7&lt;&gt;"",Database!$D419=Screener!$D$7),1,0)</f>
        <v/>
      </c>
      <c r="D419">
        <f>IF(OR(N(Database!$I419)&lt;=0,N(Screener!$D$9)&lt;=0),0,MAX(0,1-ABS(LOG10(N(Database!$I419)/Screener!$D$9))/W_SIZEHW))</f>
        <v/>
      </c>
      <c r="E419">
        <f>IF(OR(Database!$AU419="",Screener!$D$10=""),0,IF(Database!$AU419=Screener!$D$10,1,0))</f>
        <v/>
      </c>
      <c r="F419">
        <f>IF(OR(Database!$AZ419="",Screener!$D$11=""),0,IF(Database!$AZ419=Screener!$D$11,1,0))</f>
        <v/>
      </c>
      <c r="G419">
        <f>IF(OR(Database!$H419="",N(Screener!$D$12)&lt;=0),0,MAX(0,1-(N(Screener!$D$12)-Database!$H419)/W_RECD))</f>
        <v/>
      </c>
      <c r="H419">
        <f>IF($U$1="",0,N(ISNUMBER(SEARCH($U$1,Database!$X419&amp;""))))+IF($V$1="",0,N(ISNUMBER(SEARCH($V$1,Database!$X419&amp;""))))+IF($W$1="",0,N(ISNUMBER(SEARCH($W$1,Database!$X419&amp;""))))+IF($X$1="",0,N(ISNUMBER(SEARCH($X$1,Database!$X419&amp;""))))+IF($Y$1="",0,N(ISNUMBER(SEARCH($Y$1,Database!$X419&amp;""))))+IF(Screener!$B$17="",0,N(ISNUMBER(SEARCH(LOWER(Screener!$B$17),Database!$X419&amp;""))))</f>
        <v/>
      </c>
      <c r="I419">
        <f>IF(OR(N(Database!$AV419)&lt;=0,N(Screener!$D$13)&lt;=0),0,MAX(0,1-ABS(LOG10(N(Database!$AV419)/Screener!$D$13))/W_PEHW))</f>
        <v/>
      </c>
      <c r="J419">
        <f>IF(OR(N(Database!$S419)&lt;=0,N(Screener!$D$14)&lt;=0),0,MAX(0,1-ABS(LOG10(Database!$S419/Screener!$D$14))/0.6))</f>
        <v/>
      </c>
      <c r="K419">
        <f>IF(Database!$B419=Screener!$B$5,-999999,IF(ISNUMBER(SEARCH(","&amp;Database!$A419&amp;",",","&amp;SUBSTITUTE(Screener!$B$19," ","")&amp;",")),2000000,IF(IF(OR(Screener!$B$18="All",AND(Screener!$B$18="With A-share",(Database!$AZ419="Y")),AND(Screener!$B$18="Without A-share",NOT((Database!$AZ419="Y")))),1,0)=0,-999999,IF(Screener!$B$16="cornerstone overlap first",H419*100000,IF(Screener!$B$16="demand-similar first",J419*100000,0))+W_SUB*B419+W_SEC*C419*(1-B419)+W_SIZE*D419+W_PROF*E419+W_AH*F419+W_REC*G419+W_CS*H419+W_PE*I419)))+ROW()/1000000</f>
        <v/>
      </c>
      <c r="AA419">
        <f>Database!B408</f>
        <v/>
      </c>
      <c r="AB419">
        <f>Database!D408</f>
        <v/>
      </c>
      <c r="AC419">
        <f>Database!E408</f>
        <v/>
      </c>
      <c r="AD419">
        <f>Database!I408</f>
        <v/>
      </c>
      <c r="AE419">
        <f>Database!AU408</f>
        <v/>
      </c>
      <c r="AF419">
        <f>Database!AZ408</f>
        <v/>
      </c>
      <c r="AG419">
        <f>Database!H408</f>
        <v/>
      </c>
      <c r="AH419">
        <f>Database!AV408</f>
        <v/>
      </c>
    </row>
    <row r="420">
      <c r="A420">
        <f>Database!B420</f>
        <v/>
      </c>
      <c r="B420">
        <f>IF(AND(Screener!$D$8&lt;&gt;"",Database!$E420=Screener!$D$8),1,0)</f>
        <v/>
      </c>
      <c r="C420">
        <f>IF(AND(Screener!$D$7&lt;&gt;"",Database!$D420=Screener!$D$7),1,0)</f>
        <v/>
      </c>
      <c r="D420">
        <f>IF(OR(N(Database!$I420)&lt;=0,N(Screener!$D$9)&lt;=0),0,MAX(0,1-ABS(LOG10(N(Database!$I420)/Screener!$D$9))/W_SIZEHW))</f>
        <v/>
      </c>
      <c r="E420">
        <f>IF(OR(Database!$AU420="",Screener!$D$10=""),0,IF(Database!$AU420=Screener!$D$10,1,0))</f>
        <v/>
      </c>
      <c r="F420">
        <f>IF(OR(Database!$AZ420="",Screener!$D$11=""),0,IF(Database!$AZ420=Screener!$D$11,1,0))</f>
        <v/>
      </c>
      <c r="G420">
        <f>IF(OR(Database!$H420="",N(Screener!$D$12)&lt;=0),0,MAX(0,1-(N(Screener!$D$12)-Database!$H420)/W_RECD))</f>
        <v/>
      </c>
      <c r="H420">
        <f>IF($U$1="",0,N(ISNUMBER(SEARCH($U$1,Database!$X420&amp;""))))+IF($V$1="",0,N(ISNUMBER(SEARCH($V$1,Database!$X420&amp;""))))+IF($W$1="",0,N(ISNUMBER(SEARCH($W$1,Database!$X420&amp;""))))+IF($X$1="",0,N(ISNUMBER(SEARCH($X$1,Database!$X420&amp;""))))+IF($Y$1="",0,N(ISNUMBER(SEARCH($Y$1,Database!$X420&amp;""))))+IF(Screener!$B$17="",0,N(ISNUMBER(SEARCH(LOWER(Screener!$B$17),Database!$X420&amp;""))))</f>
        <v/>
      </c>
      <c r="I420">
        <f>IF(OR(N(Database!$AV420)&lt;=0,N(Screener!$D$13)&lt;=0),0,MAX(0,1-ABS(LOG10(N(Database!$AV420)/Screener!$D$13))/W_PEHW))</f>
        <v/>
      </c>
      <c r="J420">
        <f>IF(OR(N(Database!$S420)&lt;=0,N(Screener!$D$14)&lt;=0),0,MAX(0,1-ABS(LOG10(Database!$S420/Screener!$D$14))/0.6))</f>
        <v/>
      </c>
      <c r="K420">
        <f>IF(Database!$B420=Screener!$B$5,-999999,IF(ISNUMBER(SEARCH(","&amp;Database!$A420&amp;",",","&amp;SUBSTITUTE(Screener!$B$19," ","")&amp;",")),2000000,IF(IF(OR(Screener!$B$18="All",AND(Screener!$B$18="With A-share",(Database!$AZ420="Y")),AND(Screener!$B$18="Without A-share",NOT((Database!$AZ420="Y")))),1,0)=0,-999999,IF(Screener!$B$16="cornerstone overlap first",H420*100000,IF(Screener!$B$16="demand-similar first",J420*100000,0))+W_SUB*B420+W_SEC*C420*(1-B420)+W_SIZE*D420+W_PROF*E420+W_AH*F420+W_REC*G420+W_CS*H420+W_PE*I420)))+ROW()/1000000</f>
        <v/>
      </c>
      <c r="AA420">
        <f>Database!B409</f>
        <v/>
      </c>
      <c r="AB420">
        <f>Database!D409</f>
        <v/>
      </c>
      <c r="AC420">
        <f>Database!E409</f>
        <v/>
      </c>
      <c r="AD420">
        <f>Database!I409</f>
        <v/>
      </c>
      <c r="AE420">
        <f>Database!AU409</f>
        <v/>
      </c>
      <c r="AF420">
        <f>Database!AZ409</f>
        <v/>
      </c>
      <c r="AG420">
        <f>Database!H409</f>
        <v/>
      </c>
      <c r="AH420">
        <f>Database!AV409</f>
        <v/>
      </c>
    </row>
    <row r="421">
      <c r="A421">
        <f>Database!B421</f>
        <v/>
      </c>
      <c r="B421">
        <f>IF(AND(Screener!$D$8&lt;&gt;"",Database!$E421=Screener!$D$8),1,0)</f>
        <v/>
      </c>
      <c r="C421">
        <f>IF(AND(Screener!$D$7&lt;&gt;"",Database!$D421=Screener!$D$7),1,0)</f>
        <v/>
      </c>
      <c r="D421">
        <f>IF(OR(N(Database!$I421)&lt;=0,N(Screener!$D$9)&lt;=0),0,MAX(0,1-ABS(LOG10(N(Database!$I421)/Screener!$D$9))/W_SIZEHW))</f>
        <v/>
      </c>
      <c r="E421">
        <f>IF(OR(Database!$AU421="",Screener!$D$10=""),0,IF(Database!$AU421=Screener!$D$10,1,0))</f>
        <v/>
      </c>
      <c r="F421">
        <f>IF(OR(Database!$AZ421="",Screener!$D$11=""),0,IF(Database!$AZ421=Screener!$D$11,1,0))</f>
        <v/>
      </c>
      <c r="G421">
        <f>IF(OR(Database!$H421="",N(Screener!$D$12)&lt;=0),0,MAX(0,1-(N(Screener!$D$12)-Database!$H421)/W_RECD))</f>
        <v/>
      </c>
      <c r="H421">
        <f>IF($U$1="",0,N(ISNUMBER(SEARCH($U$1,Database!$X421&amp;""))))+IF($V$1="",0,N(ISNUMBER(SEARCH($V$1,Database!$X421&amp;""))))+IF($W$1="",0,N(ISNUMBER(SEARCH($W$1,Database!$X421&amp;""))))+IF($X$1="",0,N(ISNUMBER(SEARCH($X$1,Database!$X421&amp;""))))+IF($Y$1="",0,N(ISNUMBER(SEARCH($Y$1,Database!$X421&amp;""))))+IF(Screener!$B$17="",0,N(ISNUMBER(SEARCH(LOWER(Screener!$B$17),Database!$X421&amp;""))))</f>
        <v/>
      </c>
      <c r="I421">
        <f>IF(OR(N(Database!$AV421)&lt;=0,N(Screener!$D$13)&lt;=0),0,MAX(0,1-ABS(LOG10(N(Database!$AV421)/Screener!$D$13))/W_PEHW))</f>
        <v/>
      </c>
      <c r="J421">
        <f>IF(OR(N(Database!$S421)&lt;=0,N(Screener!$D$14)&lt;=0),0,MAX(0,1-ABS(LOG10(Database!$S421/Screener!$D$14))/0.6))</f>
        <v/>
      </c>
      <c r="K421">
        <f>IF(Database!$B421=Screener!$B$5,-999999,IF(ISNUMBER(SEARCH(","&amp;Database!$A421&amp;",",","&amp;SUBSTITUTE(Screener!$B$19," ","")&amp;",")),2000000,IF(IF(OR(Screener!$B$18="All",AND(Screener!$B$18="With A-share",(Database!$AZ421="Y")),AND(Screener!$B$18="Without A-share",NOT((Database!$AZ421="Y")))),1,0)=0,-999999,IF(Screener!$B$16="cornerstone overlap first",H421*100000,IF(Screener!$B$16="demand-similar first",J421*100000,0))+W_SUB*B421+W_SEC*C421*(1-B421)+W_SIZE*D421+W_PROF*E421+W_AH*F421+W_REC*G421+W_CS*H421+W_PE*I421)))+ROW()/1000000</f>
        <v/>
      </c>
      <c r="AA421">
        <f>Database!B410</f>
        <v/>
      </c>
      <c r="AB421">
        <f>Database!D410</f>
        <v/>
      </c>
      <c r="AC421">
        <f>Database!E410</f>
        <v/>
      </c>
      <c r="AD421">
        <f>Database!I410</f>
        <v/>
      </c>
      <c r="AE421">
        <f>Database!AU410</f>
        <v/>
      </c>
      <c r="AF421">
        <f>Database!AZ410</f>
        <v/>
      </c>
      <c r="AG421">
        <f>Database!H410</f>
        <v/>
      </c>
      <c r="AH421">
        <f>Database!AV410</f>
        <v/>
      </c>
    </row>
    <row r="422">
      <c r="A422">
        <f>Database!B422</f>
        <v/>
      </c>
      <c r="B422">
        <f>IF(AND(Screener!$D$8&lt;&gt;"",Database!$E422=Screener!$D$8),1,0)</f>
        <v/>
      </c>
      <c r="C422">
        <f>IF(AND(Screener!$D$7&lt;&gt;"",Database!$D422=Screener!$D$7),1,0)</f>
        <v/>
      </c>
      <c r="D422">
        <f>IF(OR(N(Database!$I422)&lt;=0,N(Screener!$D$9)&lt;=0),0,MAX(0,1-ABS(LOG10(N(Database!$I422)/Screener!$D$9))/W_SIZEHW))</f>
        <v/>
      </c>
      <c r="E422">
        <f>IF(OR(Database!$AU422="",Screener!$D$10=""),0,IF(Database!$AU422=Screener!$D$10,1,0))</f>
        <v/>
      </c>
      <c r="F422">
        <f>IF(OR(Database!$AZ422="",Screener!$D$11=""),0,IF(Database!$AZ422=Screener!$D$11,1,0))</f>
        <v/>
      </c>
      <c r="G422">
        <f>IF(OR(Database!$H422="",N(Screener!$D$12)&lt;=0),0,MAX(0,1-(N(Screener!$D$12)-Database!$H422)/W_RECD))</f>
        <v/>
      </c>
      <c r="H422">
        <f>IF($U$1="",0,N(ISNUMBER(SEARCH($U$1,Database!$X422&amp;""))))+IF($V$1="",0,N(ISNUMBER(SEARCH($V$1,Database!$X422&amp;""))))+IF($W$1="",0,N(ISNUMBER(SEARCH($W$1,Database!$X422&amp;""))))+IF($X$1="",0,N(ISNUMBER(SEARCH($X$1,Database!$X422&amp;""))))+IF($Y$1="",0,N(ISNUMBER(SEARCH($Y$1,Database!$X422&amp;""))))+IF(Screener!$B$17="",0,N(ISNUMBER(SEARCH(LOWER(Screener!$B$17),Database!$X422&amp;""))))</f>
        <v/>
      </c>
      <c r="I422">
        <f>IF(OR(N(Database!$AV422)&lt;=0,N(Screener!$D$13)&lt;=0),0,MAX(0,1-ABS(LOG10(N(Database!$AV422)/Screener!$D$13))/W_PEHW))</f>
        <v/>
      </c>
      <c r="J422">
        <f>IF(OR(N(Database!$S422)&lt;=0,N(Screener!$D$14)&lt;=0),0,MAX(0,1-ABS(LOG10(Database!$S422/Screener!$D$14))/0.6))</f>
        <v/>
      </c>
      <c r="K422">
        <f>IF(Database!$B422=Screener!$B$5,-999999,IF(ISNUMBER(SEARCH(","&amp;Database!$A422&amp;",",","&amp;SUBSTITUTE(Screener!$B$19," ","")&amp;",")),2000000,IF(IF(OR(Screener!$B$18="All",AND(Screener!$B$18="With A-share",(Database!$AZ422="Y")),AND(Screener!$B$18="Without A-share",NOT((Database!$AZ422="Y")))),1,0)=0,-999999,IF(Screener!$B$16="cornerstone overlap first",H422*100000,IF(Screener!$B$16="demand-similar first",J422*100000,0))+W_SUB*B422+W_SEC*C422*(1-B422)+W_SIZE*D422+W_PROF*E422+W_AH*F422+W_REC*G422+W_CS*H422+W_PE*I422)))+ROW()/1000000</f>
        <v/>
      </c>
      <c r="AA422">
        <f>Database!B411</f>
        <v/>
      </c>
      <c r="AB422">
        <f>Database!D411</f>
        <v/>
      </c>
      <c r="AC422">
        <f>Database!E411</f>
        <v/>
      </c>
      <c r="AD422">
        <f>Database!I411</f>
        <v/>
      </c>
      <c r="AE422">
        <f>Database!AU411</f>
        <v/>
      </c>
      <c r="AF422">
        <f>Database!AZ411</f>
        <v/>
      </c>
      <c r="AG422">
        <f>Database!H411</f>
        <v/>
      </c>
      <c r="AH422">
        <f>Database!AV411</f>
        <v/>
      </c>
    </row>
    <row r="423">
      <c r="A423">
        <f>Database!B423</f>
        <v/>
      </c>
      <c r="B423">
        <f>IF(AND(Screener!$D$8&lt;&gt;"",Database!$E423=Screener!$D$8),1,0)</f>
        <v/>
      </c>
      <c r="C423">
        <f>IF(AND(Screener!$D$7&lt;&gt;"",Database!$D423=Screener!$D$7),1,0)</f>
        <v/>
      </c>
      <c r="D423">
        <f>IF(OR(N(Database!$I423)&lt;=0,N(Screener!$D$9)&lt;=0),0,MAX(0,1-ABS(LOG10(N(Database!$I423)/Screener!$D$9))/W_SIZEHW))</f>
        <v/>
      </c>
      <c r="E423">
        <f>IF(OR(Database!$AU423="",Screener!$D$10=""),0,IF(Database!$AU423=Screener!$D$10,1,0))</f>
        <v/>
      </c>
      <c r="F423">
        <f>IF(OR(Database!$AZ423="",Screener!$D$11=""),0,IF(Database!$AZ423=Screener!$D$11,1,0))</f>
        <v/>
      </c>
      <c r="G423">
        <f>IF(OR(Database!$H423="",N(Screener!$D$12)&lt;=0),0,MAX(0,1-(N(Screener!$D$12)-Database!$H423)/W_RECD))</f>
        <v/>
      </c>
      <c r="H423">
        <f>IF($U$1="",0,N(ISNUMBER(SEARCH($U$1,Database!$X423&amp;""))))+IF($V$1="",0,N(ISNUMBER(SEARCH($V$1,Database!$X423&amp;""))))+IF($W$1="",0,N(ISNUMBER(SEARCH($W$1,Database!$X423&amp;""))))+IF($X$1="",0,N(ISNUMBER(SEARCH($X$1,Database!$X423&amp;""))))+IF($Y$1="",0,N(ISNUMBER(SEARCH($Y$1,Database!$X423&amp;""))))+IF(Screener!$B$17="",0,N(ISNUMBER(SEARCH(LOWER(Screener!$B$17),Database!$X423&amp;""))))</f>
        <v/>
      </c>
      <c r="I423">
        <f>IF(OR(N(Database!$AV423)&lt;=0,N(Screener!$D$13)&lt;=0),0,MAX(0,1-ABS(LOG10(N(Database!$AV423)/Screener!$D$13))/W_PEHW))</f>
        <v/>
      </c>
      <c r="J423">
        <f>IF(OR(N(Database!$S423)&lt;=0,N(Screener!$D$14)&lt;=0),0,MAX(0,1-ABS(LOG10(Database!$S423/Screener!$D$14))/0.6))</f>
        <v/>
      </c>
      <c r="K423">
        <f>IF(Database!$B423=Screener!$B$5,-999999,IF(ISNUMBER(SEARCH(","&amp;Database!$A423&amp;",",","&amp;SUBSTITUTE(Screener!$B$19," ","")&amp;",")),2000000,IF(IF(OR(Screener!$B$18="All",AND(Screener!$B$18="With A-share",(Database!$AZ423="Y")),AND(Screener!$B$18="Without A-share",NOT((Database!$AZ423="Y")))),1,0)=0,-999999,IF(Screener!$B$16="cornerstone overlap first",H423*100000,IF(Screener!$B$16="demand-similar first",J423*100000,0))+W_SUB*B423+W_SEC*C423*(1-B423)+W_SIZE*D423+W_PROF*E423+W_AH*F423+W_REC*G423+W_CS*H423+W_PE*I423)))+ROW()/1000000</f>
        <v/>
      </c>
      <c r="AA423">
        <f>Database!B412</f>
        <v/>
      </c>
      <c r="AB423">
        <f>Database!D412</f>
        <v/>
      </c>
      <c r="AC423">
        <f>Database!E412</f>
        <v/>
      </c>
      <c r="AD423">
        <f>Database!I412</f>
        <v/>
      </c>
      <c r="AE423">
        <f>Database!AU412</f>
        <v/>
      </c>
      <c r="AF423">
        <f>Database!AZ412</f>
        <v/>
      </c>
      <c r="AG423">
        <f>Database!H412</f>
        <v/>
      </c>
      <c r="AH423">
        <f>Database!AV412</f>
        <v/>
      </c>
    </row>
    <row r="424">
      <c r="A424">
        <f>Database!B424</f>
        <v/>
      </c>
      <c r="B424">
        <f>IF(AND(Screener!$D$8&lt;&gt;"",Database!$E424=Screener!$D$8),1,0)</f>
        <v/>
      </c>
      <c r="C424">
        <f>IF(AND(Screener!$D$7&lt;&gt;"",Database!$D424=Screener!$D$7),1,0)</f>
        <v/>
      </c>
      <c r="D424">
        <f>IF(OR(N(Database!$I424)&lt;=0,N(Screener!$D$9)&lt;=0),0,MAX(0,1-ABS(LOG10(N(Database!$I424)/Screener!$D$9))/W_SIZEHW))</f>
        <v/>
      </c>
      <c r="E424">
        <f>IF(OR(Database!$AU424="",Screener!$D$10=""),0,IF(Database!$AU424=Screener!$D$10,1,0))</f>
        <v/>
      </c>
      <c r="F424">
        <f>IF(OR(Database!$AZ424="",Screener!$D$11=""),0,IF(Database!$AZ424=Screener!$D$11,1,0))</f>
        <v/>
      </c>
      <c r="G424">
        <f>IF(OR(Database!$H424="",N(Screener!$D$12)&lt;=0),0,MAX(0,1-(N(Screener!$D$12)-Database!$H424)/W_RECD))</f>
        <v/>
      </c>
      <c r="H424">
        <f>IF($U$1="",0,N(ISNUMBER(SEARCH($U$1,Database!$X424&amp;""))))+IF($V$1="",0,N(ISNUMBER(SEARCH($V$1,Database!$X424&amp;""))))+IF($W$1="",0,N(ISNUMBER(SEARCH($W$1,Database!$X424&amp;""))))+IF($X$1="",0,N(ISNUMBER(SEARCH($X$1,Database!$X424&amp;""))))+IF($Y$1="",0,N(ISNUMBER(SEARCH($Y$1,Database!$X424&amp;""))))+IF(Screener!$B$17="",0,N(ISNUMBER(SEARCH(LOWER(Screener!$B$17),Database!$X424&amp;""))))</f>
        <v/>
      </c>
      <c r="I424">
        <f>IF(OR(N(Database!$AV424)&lt;=0,N(Screener!$D$13)&lt;=0),0,MAX(0,1-ABS(LOG10(N(Database!$AV424)/Screener!$D$13))/W_PEHW))</f>
        <v/>
      </c>
      <c r="J424">
        <f>IF(OR(N(Database!$S424)&lt;=0,N(Screener!$D$14)&lt;=0),0,MAX(0,1-ABS(LOG10(Database!$S424/Screener!$D$14))/0.6))</f>
        <v/>
      </c>
      <c r="K424">
        <f>IF(Database!$B424=Screener!$B$5,-999999,IF(ISNUMBER(SEARCH(","&amp;Database!$A424&amp;",",","&amp;SUBSTITUTE(Screener!$B$19," ","")&amp;",")),2000000,IF(IF(OR(Screener!$B$18="All",AND(Screener!$B$18="With A-share",(Database!$AZ424="Y")),AND(Screener!$B$18="Without A-share",NOT((Database!$AZ424="Y")))),1,0)=0,-999999,IF(Screener!$B$16="cornerstone overlap first",H424*100000,IF(Screener!$B$16="demand-similar first",J424*100000,0))+W_SUB*B424+W_SEC*C424*(1-B424)+W_SIZE*D424+W_PROF*E424+W_AH*F424+W_REC*G424+W_CS*H424+W_PE*I424)))+ROW()/1000000</f>
        <v/>
      </c>
      <c r="AA424">
        <f>Database!B413</f>
        <v/>
      </c>
      <c r="AB424">
        <f>Database!D413</f>
        <v/>
      </c>
      <c r="AC424">
        <f>Database!E413</f>
        <v/>
      </c>
      <c r="AD424">
        <f>Database!I413</f>
        <v/>
      </c>
      <c r="AE424">
        <f>Database!AU413</f>
        <v/>
      </c>
      <c r="AF424">
        <f>Database!AZ413</f>
        <v/>
      </c>
      <c r="AG424">
        <f>Database!H413</f>
        <v/>
      </c>
      <c r="AH424">
        <f>Database!AV413</f>
        <v/>
      </c>
    </row>
    <row r="425">
      <c r="A425">
        <f>Database!B425</f>
        <v/>
      </c>
      <c r="B425">
        <f>IF(AND(Screener!$D$8&lt;&gt;"",Database!$E425=Screener!$D$8),1,0)</f>
        <v/>
      </c>
      <c r="C425">
        <f>IF(AND(Screener!$D$7&lt;&gt;"",Database!$D425=Screener!$D$7),1,0)</f>
        <v/>
      </c>
      <c r="D425">
        <f>IF(OR(N(Database!$I425)&lt;=0,N(Screener!$D$9)&lt;=0),0,MAX(0,1-ABS(LOG10(N(Database!$I425)/Screener!$D$9))/W_SIZEHW))</f>
        <v/>
      </c>
      <c r="E425">
        <f>IF(OR(Database!$AU425="",Screener!$D$10=""),0,IF(Database!$AU425=Screener!$D$10,1,0))</f>
        <v/>
      </c>
      <c r="F425">
        <f>IF(OR(Database!$AZ425="",Screener!$D$11=""),0,IF(Database!$AZ425=Screener!$D$11,1,0))</f>
        <v/>
      </c>
      <c r="G425">
        <f>IF(OR(Database!$H425="",N(Screener!$D$12)&lt;=0),0,MAX(0,1-(N(Screener!$D$12)-Database!$H425)/W_RECD))</f>
        <v/>
      </c>
      <c r="H425">
        <f>IF($U$1="",0,N(ISNUMBER(SEARCH($U$1,Database!$X425&amp;""))))+IF($V$1="",0,N(ISNUMBER(SEARCH($V$1,Database!$X425&amp;""))))+IF($W$1="",0,N(ISNUMBER(SEARCH($W$1,Database!$X425&amp;""))))+IF($X$1="",0,N(ISNUMBER(SEARCH($X$1,Database!$X425&amp;""))))+IF($Y$1="",0,N(ISNUMBER(SEARCH($Y$1,Database!$X425&amp;""))))+IF(Screener!$B$17="",0,N(ISNUMBER(SEARCH(LOWER(Screener!$B$17),Database!$X425&amp;""))))</f>
        <v/>
      </c>
      <c r="I425">
        <f>IF(OR(N(Database!$AV425)&lt;=0,N(Screener!$D$13)&lt;=0),0,MAX(0,1-ABS(LOG10(N(Database!$AV425)/Screener!$D$13))/W_PEHW))</f>
        <v/>
      </c>
      <c r="J425">
        <f>IF(OR(N(Database!$S425)&lt;=0,N(Screener!$D$14)&lt;=0),0,MAX(0,1-ABS(LOG10(Database!$S425/Screener!$D$14))/0.6))</f>
        <v/>
      </c>
      <c r="K425">
        <f>IF(Database!$B425=Screener!$B$5,-999999,IF(ISNUMBER(SEARCH(","&amp;Database!$A425&amp;",",","&amp;SUBSTITUTE(Screener!$B$19," ","")&amp;",")),2000000,IF(IF(OR(Screener!$B$18="All",AND(Screener!$B$18="With A-share",(Database!$AZ425="Y")),AND(Screener!$B$18="Without A-share",NOT((Database!$AZ425="Y")))),1,0)=0,-999999,IF(Screener!$B$16="cornerstone overlap first",H425*100000,IF(Screener!$B$16="demand-similar first",J425*100000,0))+W_SUB*B425+W_SEC*C425*(1-B425)+W_SIZE*D425+W_PROF*E425+W_AH*F425+W_REC*G425+W_CS*H425+W_PE*I425)))+ROW()/1000000</f>
        <v/>
      </c>
      <c r="AA425">
        <f>Database!B414</f>
        <v/>
      </c>
      <c r="AB425">
        <f>Database!D414</f>
        <v/>
      </c>
      <c r="AC425">
        <f>Database!E414</f>
        <v/>
      </c>
      <c r="AD425">
        <f>Database!I414</f>
        <v/>
      </c>
      <c r="AE425">
        <f>Database!AU414</f>
        <v/>
      </c>
      <c r="AF425">
        <f>Database!AZ414</f>
        <v/>
      </c>
      <c r="AG425">
        <f>Database!H414</f>
        <v/>
      </c>
      <c r="AH425">
        <f>Database!AV414</f>
        <v/>
      </c>
    </row>
    <row r="426">
      <c r="A426">
        <f>Database!B426</f>
        <v/>
      </c>
      <c r="B426">
        <f>IF(AND(Screener!$D$8&lt;&gt;"",Database!$E426=Screener!$D$8),1,0)</f>
        <v/>
      </c>
      <c r="C426">
        <f>IF(AND(Screener!$D$7&lt;&gt;"",Database!$D426=Screener!$D$7),1,0)</f>
        <v/>
      </c>
      <c r="D426">
        <f>IF(OR(N(Database!$I426)&lt;=0,N(Screener!$D$9)&lt;=0),0,MAX(0,1-ABS(LOG10(N(Database!$I426)/Screener!$D$9))/W_SIZEHW))</f>
        <v/>
      </c>
      <c r="E426">
        <f>IF(OR(Database!$AU426="",Screener!$D$10=""),0,IF(Database!$AU426=Screener!$D$10,1,0))</f>
        <v/>
      </c>
      <c r="F426">
        <f>IF(OR(Database!$AZ426="",Screener!$D$11=""),0,IF(Database!$AZ426=Screener!$D$11,1,0))</f>
        <v/>
      </c>
      <c r="G426">
        <f>IF(OR(Database!$H426="",N(Screener!$D$12)&lt;=0),0,MAX(0,1-(N(Screener!$D$12)-Database!$H426)/W_RECD))</f>
        <v/>
      </c>
      <c r="H426">
        <f>IF($U$1="",0,N(ISNUMBER(SEARCH($U$1,Database!$X426&amp;""))))+IF($V$1="",0,N(ISNUMBER(SEARCH($V$1,Database!$X426&amp;""))))+IF($W$1="",0,N(ISNUMBER(SEARCH($W$1,Database!$X426&amp;""))))+IF($X$1="",0,N(ISNUMBER(SEARCH($X$1,Database!$X426&amp;""))))+IF($Y$1="",0,N(ISNUMBER(SEARCH($Y$1,Database!$X426&amp;""))))+IF(Screener!$B$17="",0,N(ISNUMBER(SEARCH(LOWER(Screener!$B$17),Database!$X426&amp;""))))</f>
        <v/>
      </c>
      <c r="I426">
        <f>IF(OR(N(Database!$AV426)&lt;=0,N(Screener!$D$13)&lt;=0),0,MAX(0,1-ABS(LOG10(N(Database!$AV426)/Screener!$D$13))/W_PEHW))</f>
        <v/>
      </c>
      <c r="J426">
        <f>IF(OR(N(Database!$S426)&lt;=0,N(Screener!$D$14)&lt;=0),0,MAX(0,1-ABS(LOG10(Database!$S426/Screener!$D$14))/0.6))</f>
        <v/>
      </c>
      <c r="K426">
        <f>IF(Database!$B426=Screener!$B$5,-999999,IF(ISNUMBER(SEARCH(","&amp;Database!$A426&amp;",",","&amp;SUBSTITUTE(Screener!$B$19," ","")&amp;",")),2000000,IF(IF(OR(Screener!$B$18="All",AND(Screener!$B$18="With A-share",(Database!$AZ426="Y")),AND(Screener!$B$18="Without A-share",NOT((Database!$AZ426="Y")))),1,0)=0,-999999,IF(Screener!$B$16="cornerstone overlap first",H426*100000,IF(Screener!$B$16="demand-similar first",J426*100000,0))+W_SUB*B426+W_SEC*C426*(1-B426)+W_SIZE*D426+W_PROF*E426+W_AH*F426+W_REC*G426+W_CS*H426+W_PE*I426)))+ROW()/1000000</f>
        <v/>
      </c>
      <c r="AA426">
        <f>Database!B415</f>
        <v/>
      </c>
      <c r="AB426">
        <f>Database!D415</f>
        <v/>
      </c>
      <c r="AC426">
        <f>Database!E415</f>
        <v/>
      </c>
      <c r="AD426">
        <f>Database!I415</f>
        <v/>
      </c>
      <c r="AE426">
        <f>Database!AU415</f>
        <v/>
      </c>
      <c r="AF426">
        <f>Database!AZ415</f>
        <v/>
      </c>
      <c r="AG426">
        <f>Database!H415</f>
        <v/>
      </c>
      <c r="AH426">
        <f>Database!AV415</f>
        <v/>
      </c>
    </row>
    <row r="427">
      <c r="A427">
        <f>Database!B427</f>
        <v/>
      </c>
      <c r="B427">
        <f>IF(AND(Screener!$D$8&lt;&gt;"",Database!$E427=Screener!$D$8),1,0)</f>
        <v/>
      </c>
      <c r="C427">
        <f>IF(AND(Screener!$D$7&lt;&gt;"",Database!$D427=Screener!$D$7),1,0)</f>
        <v/>
      </c>
      <c r="D427">
        <f>IF(OR(N(Database!$I427)&lt;=0,N(Screener!$D$9)&lt;=0),0,MAX(0,1-ABS(LOG10(N(Database!$I427)/Screener!$D$9))/W_SIZEHW))</f>
        <v/>
      </c>
      <c r="E427">
        <f>IF(OR(Database!$AU427="",Screener!$D$10=""),0,IF(Database!$AU427=Screener!$D$10,1,0))</f>
        <v/>
      </c>
      <c r="F427">
        <f>IF(OR(Database!$AZ427="",Screener!$D$11=""),0,IF(Database!$AZ427=Screener!$D$11,1,0))</f>
        <v/>
      </c>
      <c r="G427">
        <f>IF(OR(Database!$H427="",N(Screener!$D$12)&lt;=0),0,MAX(0,1-(N(Screener!$D$12)-Database!$H427)/W_RECD))</f>
        <v/>
      </c>
      <c r="H427">
        <f>IF($U$1="",0,N(ISNUMBER(SEARCH($U$1,Database!$X427&amp;""))))+IF($V$1="",0,N(ISNUMBER(SEARCH($V$1,Database!$X427&amp;""))))+IF($W$1="",0,N(ISNUMBER(SEARCH($W$1,Database!$X427&amp;""))))+IF($X$1="",0,N(ISNUMBER(SEARCH($X$1,Database!$X427&amp;""))))+IF($Y$1="",0,N(ISNUMBER(SEARCH($Y$1,Database!$X427&amp;""))))+IF(Screener!$B$17="",0,N(ISNUMBER(SEARCH(LOWER(Screener!$B$17),Database!$X427&amp;""))))</f>
        <v/>
      </c>
      <c r="I427">
        <f>IF(OR(N(Database!$AV427)&lt;=0,N(Screener!$D$13)&lt;=0),0,MAX(0,1-ABS(LOG10(N(Database!$AV427)/Screener!$D$13))/W_PEHW))</f>
        <v/>
      </c>
      <c r="J427">
        <f>IF(OR(N(Database!$S427)&lt;=0,N(Screener!$D$14)&lt;=0),0,MAX(0,1-ABS(LOG10(Database!$S427/Screener!$D$14))/0.6))</f>
        <v/>
      </c>
      <c r="K427">
        <f>IF(Database!$B427=Screener!$B$5,-999999,IF(ISNUMBER(SEARCH(","&amp;Database!$A427&amp;",",","&amp;SUBSTITUTE(Screener!$B$19," ","")&amp;",")),2000000,IF(IF(OR(Screener!$B$18="All",AND(Screener!$B$18="With A-share",(Database!$AZ427="Y")),AND(Screener!$B$18="Without A-share",NOT((Database!$AZ427="Y")))),1,0)=0,-999999,IF(Screener!$B$16="cornerstone overlap first",H427*100000,IF(Screener!$B$16="demand-similar first",J427*100000,0))+W_SUB*B427+W_SEC*C427*(1-B427)+W_SIZE*D427+W_PROF*E427+W_AH*F427+W_REC*G427+W_CS*H427+W_PE*I427)))+ROW()/1000000</f>
        <v/>
      </c>
      <c r="AA427">
        <f>Database!B416</f>
        <v/>
      </c>
      <c r="AB427">
        <f>Database!D416</f>
        <v/>
      </c>
      <c r="AC427">
        <f>Database!E416</f>
        <v/>
      </c>
      <c r="AD427">
        <f>Database!I416</f>
        <v/>
      </c>
      <c r="AE427">
        <f>Database!AU416</f>
        <v/>
      </c>
      <c r="AF427">
        <f>Database!AZ416</f>
        <v/>
      </c>
      <c r="AG427">
        <f>Database!H416</f>
        <v/>
      </c>
      <c r="AH427">
        <f>Database!AV416</f>
        <v/>
      </c>
    </row>
    <row r="428">
      <c r="A428">
        <f>Database!B428</f>
        <v/>
      </c>
      <c r="B428">
        <f>IF(AND(Screener!$D$8&lt;&gt;"",Database!$E428=Screener!$D$8),1,0)</f>
        <v/>
      </c>
      <c r="C428">
        <f>IF(AND(Screener!$D$7&lt;&gt;"",Database!$D428=Screener!$D$7),1,0)</f>
        <v/>
      </c>
      <c r="D428">
        <f>IF(OR(N(Database!$I428)&lt;=0,N(Screener!$D$9)&lt;=0),0,MAX(0,1-ABS(LOG10(N(Database!$I428)/Screener!$D$9))/W_SIZEHW))</f>
        <v/>
      </c>
      <c r="E428">
        <f>IF(OR(Database!$AU428="",Screener!$D$10=""),0,IF(Database!$AU428=Screener!$D$10,1,0))</f>
        <v/>
      </c>
      <c r="F428">
        <f>IF(OR(Database!$AZ428="",Screener!$D$11=""),0,IF(Database!$AZ428=Screener!$D$11,1,0))</f>
        <v/>
      </c>
      <c r="G428">
        <f>IF(OR(Database!$H428="",N(Screener!$D$12)&lt;=0),0,MAX(0,1-(N(Screener!$D$12)-Database!$H428)/W_RECD))</f>
        <v/>
      </c>
      <c r="H428">
        <f>IF($U$1="",0,N(ISNUMBER(SEARCH($U$1,Database!$X428&amp;""))))+IF($V$1="",0,N(ISNUMBER(SEARCH($V$1,Database!$X428&amp;""))))+IF($W$1="",0,N(ISNUMBER(SEARCH($W$1,Database!$X428&amp;""))))+IF($X$1="",0,N(ISNUMBER(SEARCH($X$1,Database!$X428&amp;""))))+IF($Y$1="",0,N(ISNUMBER(SEARCH($Y$1,Database!$X428&amp;""))))+IF(Screener!$B$17="",0,N(ISNUMBER(SEARCH(LOWER(Screener!$B$17),Database!$X428&amp;""))))</f>
        <v/>
      </c>
      <c r="I428">
        <f>IF(OR(N(Database!$AV428)&lt;=0,N(Screener!$D$13)&lt;=0),0,MAX(0,1-ABS(LOG10(N(Database!$AV428)/Screener!$D$13))/W_PEHW))</f>
        <v/>
      </c>
      <c r="J428">
        <f>IF(OR(N(Database!$S428)&lt;=0,N(Screener!$D$14)&lt;=0),0,MAX(0,1-ABS(LOG10(Database!$S428/Screener!$D$14))/0.6))</f>
        <v/>
      </c>
      <c r="K428">
        <f>IF(Database!$B428=Screener!$B$5,-999999,IF(ISNUMBER(SEARCH(","&amp;Database!$A428&amp;",",","&amp;SUBSTITUTE(Screener!$B$19," ","")&amp;",")),2000000,IF(IF(OR(Screener!$B$18="All",AND(Screener!$B$18="With A-share",(Database!$AZ428="Y")),AND(Screener!$B$18="Without A-share",NOT((Database!$AZ428="Y")))),1,0)=0,-999999,IF(Screener!$B$16="cornerstone overlap first",H428*100000,IF(Screener!$B$16="demand-similar first",J428*100000,0))+W_SUB*B428+W_SEC*C428*(1-B428)+W_SIZE*D428+W_PROF*E428+W_AH*F428+W_REC*G428+W_CS*H428+W_PE*I428)))+ROW()/1000000</f>
        <v/>
      </c>
      <c r="AA428">
        <f>Database!B417</f>
        <v/>
      </c>
      <c r="AB428">
        <f>Database!D417</f>
        <v/>
      </c>
      <c r="AC428">
        <f>Database!E417</f>
        <v/>
      </c>
      <c r="AD428">
        <f>Database!I417</f>
        <v/>
      </c>
      <c r="AE428">
        <f>Database!AU417</f>
        <v/>
      </c>
      <c r="AF428">
        <f>Database!AZ417</f>
        <v/>
      </c>
      <c r="AG428">
        <f>Database!H417</f>
        <v/>
      </c>
      <c r="AH428">
        <f>Database!AV417</f>
        <v/>
      </c>
    </row>
    <row r="429">
      <c r="A429">
        <f>Database!B429</f>
        <v/>
      </c>
      <c r="B429">
        <f>IF(AND(Screener!$D$8&lt;&gt;"",Database!$E429=Screener!$D$8),1,0)</f>
        <v/>
      </c>
      <c r="C429">
        <f>IF(AND(Screener!$D$7&lt;&gt;"",Database!$D429=Screener!$D$7),1,0)</f>
        <v/>
      </c>
      <c r="D429">
        <f>IF(OR(N(Database!$I429)&lt;=0,N(Screener!$D$9)&lt;=0),0,MAX(0,1-ABS(LOG10(N(Database!$I429)/Screener!$D$9))/W_SIZEHW))</f>
        <v/>
      </c>
      <c r="E429">
        <f>IF(OR(Database!$AU429="",Screener!$D$10=""),0,IF(Database!$AU429=Screener!$D$10,1,0))</f>
        <v/>
      </c>
      <c r="F429">
        <f>IF(OR(Database!$AZ429="",Screener!$D$11=""),0,IF(Database!$AZ429=Screener!$D$11,1,0))</f>
        <v/>
      </c>
      <c r="G429">
        <f>IF(OR(Database!$H429="",N(Screener!$D$12)&lt;=0),0,MAX(0,1-(N(Screener!$D$12)-Database!$H429)/W_RECD))</f>
        <v/>
      </c>
      <c r="H429">
        <f>IF($U$1="",0,N(ISNUMBER(SEARCH($U$1,Database!$X429&amp;""))))+IF($V$1="",0,N(ISNUMBER(SEARCH($V$1,Database!$X429&amp;""))))+IF($W$1="",0,N(ISNUMBER(SEARCH($W$1,Database!$X429&amp;""))))+IF($X$1="",0,N(ISNUMBER(SEARCH($X$1,Database!$X429&amp;""))))+IF($Y$1="",0,N(ISNUMBER(SEARCH($Y$1,Database!$X429&amp;""))))+IF(Screener!$B$17="",0,N(ISNUMBER(SEARCH(LOWER(Screener!$B$17),Database!$X429&amp;""))))</f>
        <v/>
      </c>
      <c r="I429">
        <f>IF(OR(N(Database!$AV429)&lt;=0,N(Screener!$D$13)&lt;=0),0,MAX(0,1-ABS(LOG10(N(Database!$AV429)/Screener!$D$13))/W_PEHW))</f>
        <v/>
      </c>
      <c r="J429">
        <f>IF(OR(N(Database!$S429)&lt;=0,N(Screener!$D$14)&lt;=0),0,MAX(0,1-ABS(LOG10(Database!$S429/Screener!$D$14))/0.6))</f>
        <v/>
      </c>
      <c r="K429">
        <f>IF(Database!$B429=Screener!$B$5,-999999,IF(ISNUMBER(SEARCH(","&amp;Database!$A429&amp;",",","&amp;SUBSTITUTE(Screener!$B$19," ","")&amp;",")),2000000,IF(IF(OR(Screener!$B$18="All",AND(Screener!$B$18="With A-share",(Database!$AZ429="Y")),AND(Screener!$B$18="Without A-share",NOT((Database!$AZ429="Y")))),1,0)=0,-999999,IF(Screener!$B$16="cornerstone overlap first",H429*100000,IF(Screener!$B$16="demand-similar first",J429*100000,0))+W_SUB*B429+W_SEC*C429*(1-B429)+W_SIZE*D429+W_PROF*E429+W_AH*F429+W_REC*G429+W_CS*H429+W_PE*I429)))+ROW()/1000000</f>
        <v/>
      </c>
      <c r="AA429">
        <f>Database!B418</f>
        <v/>
      </c>
      <c r="AB429">
        <f>Database!D418</f>
        <v/>
      </c>
      <c r="AC429">
        <f>Database!E418</f>
        <v/>
      </c>
      <c r="AD429">
        <f>Database!I418</f>
        <v/>
      </c>
      <c r="AE429">
        <f>Database!AU418</f>
        <v/>
      </c>
      <c r="AF429">
        <f>Database!AZ418</f>
        <v/>
      </c>
      <c r="AG429">
        <f>Database!H418</f>
        <v/>
      </c>
      <c r="AH429">
        <f>Database!AV418</f>
        <v/>
      </c>
    </row>
    <row r="430">
      <c r="A430">
        <f>Database!B430</f>
        <v/>
      </c>
      <c r="B430">
        <f>IF(AND(Screener!$D$8&lt;&gt;"",Database!$E430=Screener!$D$8),1,0)</f>
        <v/>
      </c>
      <c r="C430">
        <f>IF(AND(Screener!$D$7&lt;&gt;"",Database!$D430=Screener!$D$7),1,0)</f>
        <v/>
      </c>
      <c r="D430">
        <f>IF(OR(N(Database!$I430)&lt;=0,N(Screener!$D$9)&lt;=0),0,MAX(0,1-ABS(LOG10(N(Database!$I430)/Screener!$D$9))/W_SIZEHW))</f>
        <v/>
      </c>
      <c r="E430">
        <f>IF(OR(Database!$AU430="",Screener!$D$10=""),0,IF(Database!$AU430=Screener!$D$10,1,0))</f>
        <v/>
      </c>
      <c r="F430">
        <f>IF(OR(Database!$AZ430="",Screener!$D$11=""),0,IF(Database!$AZ430=Screener!$D$11,1,0))</f>
        <v/>
      </c>
      <c r="G430">
        <f>IF(OR(Database!$H430="",N(Screener!$D$12)&lt;=0),0,MAX(0,1-(N(Screener!$D$12)-Database!$H430)/W_RECD))</f>
        <v/>
      </c>
      <c r="H430">
        <f>IF($U$1="",0,N(ISNUMBER(SEARCH($U$1,Database!$X430&amp;""))))+IF($V$1="",0,N(ISNUMBER(SEARCH($V$1,Database!$X430&amp;""))))+IF($W$1="",0,N(ISNUMBER(SEARCH($W$1,Database!$X430&amp;""))))+IF($X$1="",0,N(ISNUMBER(SEARCH($X$1,Database!$X430&amp;""))))+IF($Y$1="",0,N(ISNUMBER(SEARCH($Y$1,Database!$X430&amp;""))))+IF(Screener!$B$17="",0,N(ISNUMBER(SEARCH(LOWER(Screener!$B$17),Database!$X430&amp;""))))</f>
        <v/>
      </c>
      <c r="I430">
        <f>IF(OR(N(Database!$AV430)&lt;=0,N(Screener!$D$13)&lt;=0),0,MAX(0,1-ABS(LOG10(N(Database!$AV430)/Screener!$D$13))/W_PEHW))</f>
        <v/>
      </c>
      <c r="J430">
        <f>IF(OR(N(Database!$S430)&lt;=0,N(Screener!$D$14)&lt;=0),0,MAX(0,1-ABS(LOG10(Database!$S430/Screener!$D$14))/0.6))</f>
        <v/>
      </c>
      <c r="K430">
        <f>IF(Database!$B430=Screener!$B$5,-999999,IF(ISNUMBER(SEARCH(","&amp;Database!$A430&amp;",",","&amp;SUBSTITUTE(Screener!$B$19," ","")&amp;",")),2000000,IF(IF(OR(Screener!$B$18="All",AND(Screener!$B$18="With A-share",(Database!$AZ430="Y")),AND(Screener!$B$18="Without A-share",NOT((Database!$AZ430="Y")))),1,0)=0,-999999,IF(Screener!$B$16="cornerstone overlap first",H430*100000,IF(Screener!$B$16="demand-similar first",J430*100000,0))+W_SUB*B430+W_SEC*C430*(1-B430)+W_SIZE*D430+W_PROF*E430+W_AH*F430+W_REC*G430+W_CS*H430+W_PE*I430)))+ROW()/1000000</f>
        <v/>
      </c>
      <c r="AA430">
        <f>Database!B419</f>
        <v/>
      </c>
      <c r="AB430">
        <f>Database!D419</f>
        <v/>
      </c>
      <c r="AC430">
        <f>Database!E419</f>
        <v/>
      </c>
      <c r="AD430">
        <f>Database!I419</f>
        <v/>
      </c>
      <c r="AE430">
        <f>Database!AU419</f>
        <v/>
      </c>
      <c r="AF430">
        <f>Database!AZ419</f>
        <v/>
      </c>
      <c r="AG430">
        <f>Database!H419</f>
        <v/>
      </c>
      <c r="AH430">
        <f>Database!AV419</f>
        <v/>
      </c>
    </row>
    <row r="431">
      <c r="A431">
        <f>Database!B431</f>
        <v/>
      </c>
      <c r="B431">
        <f>IF(AND(Screener!$D$8&lt;&gt;"",Database!$E431=Screener!$D$8),1,0)</f>
        <v/>
      </c>
      <c r="C431">
        <f>IF(AND(Screener!$D$7&lt;&gt;"",Database!$D431=Screener!$D$7),1,0)</f>
        <v/>
      </c>
      <c r="D431">
        <f>IF(OR(N(Database!$I431)&lt;=0,N(Screener!$D$9)&lt;=0),0,MAX(0,1-ABS(LOG10(N(Database!$I431)/Screener!$D$9))/W_SIZEHW))</f>
        <v/>
      </c>
      <c r="E431">
        <f>IF(OR(Database!$AU431="",Screener!$D$10=""),0,IF(Database!$AU431=Screener!$D$10,1,0))</f>
        <v/>
      </c>
      <c r="F431">
        <f>IF(OR(Database!$AZ431="",Screener!$D$11=""),0,IF(Database!$AZ431=Screener!$D$11,1,0))</f>
        <v/>
      </c>
      <c r="G431">
        <f>IF(OR(Database!$H431="",N(Screener!$D$12)&lt;=0),0,MAX(0,1-(N(Screener!$D$12)-Database!$H431)/W_RECD))</f>
        <v/>
      </c>
      <c r="H431">
        <f>IF($U$1="",0,N(ISNUMBER(SEARCH($U$1,Database!$X431&amp;""))))+IF($V$1="",0,N(ISNUMBER(SEARCH($V$1,Database!$X431&amp;""))))+IF($W$1="",0,N(ISNUMBER(SEARCH($W$1,Database!$X431&amp;""))))+IF($X$1="",0,N(ISNUMBER(SEARCH($X$1,Database!$X431&amp;""))))+IF($Y$1="",0,N(ISNUMBER(SEARCH($Y$1,Database!$X431&amp;""))))+IF(Screener!$B$17="",0,N(ISNUMBER(SEARCH(LOWER(Screener!$B$17),Database!$X431&amp;""))))</f>
        <v/>
      </c>
      <c r="I431">
        <f>IF(OR(N(Database!$AV431)&lt;=0,N(Screener!$D$13)&lt;=0),0,MAX(0,1-ABS(LOG10(N(Database!$AV431)/Screener!$D$13))/W_PEHW))</f>
        <v/>
      </c>
      <c r="J431">
        <f>IF(OR(N(Database!$S431)&lt;=0,N(Screener!$D$14)&lt;=0),0,MAX(0,1-ABS(LOG10(Database!$S431/Screener!$D$14))/0.6))</f>
        <v/>
      </c>
      <c r="K431">
        <f>IF(Database!$B431=Screener!$B$5,-999999,IF(ISNUMBER(SEARCH(","&amp;Database!$A431&amp;",",","&amp;SUBSTITUTE(Screener!$B$19," ","")&amp;",")),2000000,IF(IF(OR(Screener!$B$18="All",AND(Screener!$B$18="With A-share",(Database!$AZ431="Y")),AND(Screener!$B$18="Without A-share",NOT((Database!$AZ431="Y")))),1,0)=0,-999999,IF(Screener!$B$16="cornerstone overlap first",H431*100000,IF(Screener!$B$16="demand-similar first",J431*100000,0))+W_SUB*B431+W_SEC*C431*(1-B431)+W_SIZE*D431+W_PROF*E431+W_AH*F431+W_REC*G431+W_CS*H431+W_PE*I431)))+ROW()/1000000</f>
        <v/>
      </c>
      <c r="AA431">
        <f>Database!B420</f>
        <v/>
      </c>
      <c r="AB431">
        <f>Database!D420</f>
        <v/>
      </c>
      <c r="AC431">
        <f>Database!E420</f>
        <v/>
      </c>
      <c r="AD431">
        <f>Database!I420</f>
        <v/>
      </c>
      <c r="AE431">
        <f>Database!AU420</f>
        <v/>
      </c>
      <c r="AF431">
        <f>Database!AZ420</f>
        <v/>
      </c>
      <c r="AG431">
        <f>Database!H420</f>
        <v/>
      </c>
      <c r="AH431">
        <f>Database!AV420</f>
        <v/>
      </c>
    </row>
    <row r="432">
      <c r="A432">
        <f>Database!B432</f>
        <v/>
      </c>
      <c r="B432">
        <f>IF(AND(Screener!$D$8&lt;&gt;"",Database!$E432=Screener!$D$8),1,0)</f>
        <v/>
      </c>
      <c r="C432">
        <f>IF(AND(Screener!$D$7&lt;&gt;"",Database!$D432=Screener!$D$7),1,0)</f>
        <v/>
      </c>
      <c r="D432">
        <f>IF(OR(N(Database!$I432)&lt;=0,N(Screener!$D$9)&lt;=0),0,MAX(0,1-ABS(LOG10(N(Database!$I432)/Screener!$D$9))/W_SIZEHW))</f>
        <v/>
      </c>
      <c r="E432">
        <f>IF(OR(Database!$AU432="",Screener!$D$10=""),0,IF(Database!$AU432=Screener!$D$10,1,0))</f>
        <v/>
      </c>
      <c r="F432">
        <f>IF(OR(Database!$AZ432="",Screener!$D$11=""),0,IF(Database!$AZ432=Screener!$D$11,1,0))</f>
        <v/>
      </c>
      <c r="G432">
        <f>IF(OR(Database!$H432="",N(Screener!$D$12)&lt;=0),0,MAX(0,1-(N(Screener!$D$12)-Database!$H432)/W_RECD))</f>
        <v/>
      </c>
      <c r="H432">
        <f>IF($U$1="",0,N(ISNUMBER(SEARCH($U$1,Database!$X432&amp;""))))+IF($V$1="",0,N(ISNUMBER(SEARCH($V$1,Database!$X432&amp;""))))+IF($W$1="",0,N(ISNUMBER(SEARCH($W$1,Database!$X432&amp;""))))+IF($X$1="",0,N(ISNUMBER(SEARCH($X$1,Database!$X432&amp;""))))+IF($Y$1="",0,N(ISNUMBER(SEARCH($Y$1,Database!$X432&amp;""))))+IF(Screener!$B$17="",0,N(ISNUMBER(SEARCH(LOWER(Screener!$B$17),Database!$X432&amp;""))))</f>
        <v/>
      </c>
      <c r="I432">
        <f>IF(OR(N(Database!$AV432)&lt;=0,N(Screener!$D$13)&lt;=0),0,MAX(0,1-ABS(LOG10(N(Database!$AV432)/Screener!$D$13))/W_PEHW))</f>
        <v/>
      </c>
      <c r="J432">
        <f>IF(OR(N(Database!$S432)&lt;=0,N(Screener!$D$14)&lt;=0),0,MAX(0,1-ABS(LOG10(Database!$S432/Screener!$D$14))/0.6))</f>
        <v/>
      </c>
      <c r="K432">
        <f>IF(Database!$B432=Screener!$B$5,-999999,IF(ISNUMBER(SEARCH(","&amp;Database!$A432&amp;",",","&amp;SUBSTITUTE(Screener!$B$19," ","")&amp;",")),2000000,IF(IF(OR(Screener!$B$18="All",AND(Screener!$B$18="With A-share",(Database!$AZ432="Y")),AND(Screener!$B$18="Without A-share",NOT((Database!$AZ432="Y")))),1,0)=0,-999999,IF(Screener!$B$16="cornerstone overlap first",H432*100000,IF(Screener!$B$16="demand-similar first",J432*100000,0))+W_SUB*B432+W_SEC*C432*(1-B432)+W_SIZE*D432+W_PROF*E432+W_AH*F432+W_REC*G432+W_CS*H432+W_PE*I432)))+ROW()/1000000</f>
        <v/>
      </c>
      <c r="AA432">
        <f>Database!B421</f>
        <v/>
      </c>
      <c r="AB432">
        <f>Database!D421</f>
        <v/>
      </c>
      <c r="AC432">
        <f>Database!E421</f>
        <v/>
      </c>
      <c r="AD432">
        <f>Database!I421</f>
        <v/>
      </c>
      <c r="AE432">
        <f>Database!AU421</f>
        <v/>
      </c>
      <c r="AF432">
        <f>Database!AZ421</f>
        <v/>
      </c>
      <c r="AG432">
        <f>Database!H421</f>
        <v/>
      </c>
      <c r="AH432">
        <f>Database!AV421</f>
        <v/>
      </c>
    </row>
    <row r="433">
      <c r="A433">
        <f>Database!B433</f>
        <v/>
      </c>
      <c r="B433">
        <f>IF(AND(Screener!$D$8&lt;&gt;"",Database!$E433=Screener!$D$8),1,0)</f>
        <v/>
      </c>
      <c r="C433">
        <f>IF(AND(Screener!$D$7&lt;&gt;"",Database!$D433=Screener!$D$7),1,0)</f>
        <v/>
      </c>
      <c r="D433">
        <f>IF(OR(N(Database!$I433)&lt;=0,N(Screener!$D$9)&lt;=0),0,MAX(0,1-ABS(LOG10(N(Database!$I433)/Screener!$D$9))/W_SIZEHW))</f>
        <v/>
      </c>
      <c r="E433">
        <f>IF(OR(Database!$AU433="",Screener!$D$10=""),0,IF(Database!$AU433=Screener!$D$10,1,0))</f>
        <v/>
      </c>
      <c r="F433">
        <f>IF(OR(Database!$AZ433="",Screener!$D$11=""),0,IF(Database!$AZ433=Screener!$D$11,1,0))</f>
        <v/>
      </c>
      <c r="G433">
        <f>IF(OR(Database!$H433="",N(Screener!$D$12)&lt;=0),0,MAX(0,1-(N(Screener!$D$12)-Database!$H433)/W_RECD))</f>
        <v/>
      </c>
      <c r="H433">
        <f>IF($U$1="",0,N(ISNUMBER(SEARCH($U$1,Database!$X433&amp;""))))+IF($V$1="",0,N(ISNUMBER(SEARCH($V$1,Database!$X433&amp;""))))+IF($W$1="",0,N(ISNUMBER(SEARCH($W$1,Database!$X433&amp;""))))+IF($X$1="",0,N(ISNUMBER(SEARCH($X$1,Database!$X433&amp;""))))+IF($Y$1="",0,N(ISNUMBER(SEARCH($Y$1,Database!$X433&amp;""))))+IF(Screener!$B$17="",0,N(ISNUMBER(SEARCH(LOWER(Screener!$B$17),Database!$X433&amp;""))))</f>
        <v/>
      </c>
      <c r="I433">
        <f>IF(OR(N(Database!$AV433)&lt;=0,N(Screener!$D$13)&lt;=0),0,MAX(0,1-ABS(LOG10(N(Database!$AV433)/Screener!$D$13))/W_PEHW))</f>
        <v/>
      </c>
      <c r="J433">
        <f>IF(OR(N(Database!$S433)&lt;=0,N(Screener!$D$14)&lt;=0),0,MAX(0,1-ABS(LOG10(Database!$S433/Screener!$D$14))/0.6))</f>
        <v/>
      </c>
      <c r="K433">
        <f>IF(Database!$B433=Screener!$B$5,-999999,IF(ISNUMBER(SEARCH(","&amp;Database!$A433&amp;",",","&amp;SUBSTITUTE(Screener!$B$19," ","")&amp;",")),2000000,IF(IF(OR(Screener!$B$18="All",AND(Screener!$B$18="With A-share",(Database!$AZ433="Y")),AND(Screener!$B$18="Without A-share",NOT((Database!$AZ433="Y")))),1,0)=0,-999999,IF(Screener!$B$16="cornerstone overlap first",H433*100000,IF(Screener!$B$16="demand-similar first",J433*100000,0))+W_SUB*B433+W_SEC*C433*(1-B433)+W_SIZE*D433+W_PROF*E433+W_AH*F433+W_REC*G433+W_CS*H433+W_PE*I433)))+ROW()/1000000</f>
        <v/>
      </c>
      <c r="AA433">
        <f>Database!B422</f>
        <v/>
      </c>
      <c r="AB433">
        <f>Database!D422</f>
        <v/>
      </c>
      <c r="AC433">
        <f>Database!E422</f>
        <v/>
      </c>
      <c r="AD433">
        <f>Database!I422</f>
        <v/>
      </c>
      <c r="AE433">
        <f>Database!AU422</f>
        <v/>
      </c>
      <c r="AF433">
        <f>Database!AZ422</f>
        <v/>
      </c>
      <c r="AG433">
        <f>Database!H422</f>
        <v/>
      </c>
      <c r="AH433">
        <f>Database!AV422</f>
        <v/>
      </c>
    </row>
    <row r="434">
      <c r="A434">
        <f>Database!B434</f>
        <v/>
      </c>
      <c r="B434">
        <f>IF(AND(Screener!$D$8&lt;&gt;"",Database!$E434=Screener!$D$8),1,0)</f>
        <v/>
      </c>
      <c r="C434">
        <f>IF(AND(Screener!$D$7&lt;&gt;"",Database!$D434=Screener!$D$7),1,0)</f>
        <v/>
      </c>
      <c r="D434">
        <f>IF(OR(N(Database!$I434)&lt;=0,N(Screener!$D$9)&lt;=0),0,MAX(0,1-ABS(LOG10(N(Database!$I434)/Screener!$D$9))/W_SIZEHW))</f>
        <v/>
      </c>
      <c r="E434">
        <f>IF(OR(Database!$AU434="",Screener!$D$10=""),0,IF(Database!$AU434=Screener!$D$10,1,0))</f>
        <v/>
      </c>
      <c r="F434">
        <f>IF(OR(Database!$AZ434="",Screener!$D$11=""),0,IF(Database!$AZ434=Screener!$D$11,1,0))</f>
        <v/>
      </c>
      <c r="G434">
        <f>IF(OR(Database!$H434="",N(Screener!$D$12)&lt;=0),0,MAX(0,1-(N(Screener!$D$12)-Database!$H434)/W_RECD))</f>
        <v/>
      </c>
      <c r="H434">
        <f>IF($U$1="",0,N(ISNUMBER(SEARCH($U$1,Database!$X434&amp;""))))+IF($V$1="",0,N(ISNUMBER(SEARCH($V$1,Database!$X434&amp;""))))+IF($W$1="",0,N(ISNUMBER(SEARCH($W$1,Database!$X434&amp;""))))+IF($X$1="",0,N(ISNUMBER(SEARCH($X$1,Database!$X434&amp;""))))+IF($Y$1="",0,N(ISNUMBER(SEARCH($Y$1,Database!$X434&amp;""))))+IF(Screener!$B$17="",0,N(ISNUMBER(SEARCH(LOWER(Screener!$B$17),Database!$X434&amp;""))))</f>
        <v/>
      </c>
      <c r="I434">
        <f>IF(OR(N(Database!$AV434)&lt;=0,N(Screener!$D$13)&lt;=0),0,MAX(0,1-ABS(LOG10(N(Database!$AV434)/Screener!$D$13))/W_PEHW))</f>
        <v/>
      </c>
      <c r="J434">
        <f>IF(OR(N(Database!$S434)&lt;=0,N(Screener!$D$14)&lt;=0),0,MAX(0,1-ABS(LOG10(Database!$S434/Screener!$D$14))/0.6))</f>
        <v/>
      </c>
      <c r="K434">
        <f>IF(Database!$B434=Screener!$B$5,-999999,IF(ISNUMBER(SEARCH(","&amp;Database!$A434&amp;",",","&amp;SUBSTITUTE(Screener!$B$19," ","")&amp;",")),2000000,IF(IF(OR(Screener!$B$18="All",AND(Screener!$B$18="With A-share",(Database!$AZ434="Y")),AND(Screener!$B$18="Without A-share",NOT((Database!$AZ434="Y")))),1,0)=0,-999999,IF(Screener!$B$16="cornerstone overlap first",H434*100000,IF(Screener!$B$16="demand-similar first",J434*100000,0))+W_SUB*B434+W_SEC*C434*(1-B434)+W_SIZE*D434+W_PROF*E434+W_AH*F434+W_REC*G434+W_CS*H434+W_PE*I434)))+ROW()/1000000</f>
        <v/>
      </c>
      <c r="AA434">
        <f>Database!B423</f>
        <v/>
      </c>
      <c r="AB434">
        <f>Database!D423</f>
        <v/>
      </c>
      <c r="AC434">
        <f>Database!E423</f>
        <v/>
      </c>
      <c r="AD434">
        <f>Database!I423</f>
        <v/>
      </c>
      <c r="AE434">
        <f>Database!AU423</f>
        <v/>
      </c>
      <c r="AF434">
        <f>Database!AZ423</f>
        <v/>
      </c>
      <c r="AG434">
        <f>Database!H423</f>
        <v/>
      </c>
      <c r="AH434">
        <f>Database!AV423</f>
        <v/>
      </c>
    </row>
    <row r="435">
      <c r="A435">
        <f>Database!B435</f>
        <v/>
      </c>
      <c r="B435">
        <f>IF(AND(Screener!$D$8&lt;&gt;"",Database!$E435=Screener!$D$8),1,0)</f>
        <v/>
      </c>
      <c r="C435">
        <f>IF(AND(Screener!$D$7&lt;&gt;"",Database!$D435=Screener!$D$7),1,0)</f>
        <v/>
      </c>
      <c r="D435">
        <f>IF(OR(N(Database!$I435)&lt;=0,N(Screener!$D$9)&lt;=0),0,MAX(0,1-ABS(LOG10(N(Database!$I435)/Screener!$D$9))/W_SIZEHW))</f>
        <v/>
      </c>
      <c r="E435">
        <f>IF(OR(Database!$AU435="",Screener!$D$10=""),0,IF(Database!$AU435=Screener!$D$10,1,0))</f>
        <v/>
      </c>
      <c r="F435">
        <f>IF(OR(Database!$AZ435="",Screener!$D$11=""),0,IF(Database!$AZ435=Screener!$D$11,1,0))</f>
        <v/>
      </c>
      <c r="G435">
        <f>IF(OR(Database!$H435="",N(Screener!$D$12)&lt;=0),0,MAX(0,1-(N(Screener!$D$12)-Database!$H435)/W_RECD))</f>
        <v/>
      </c>
      <c r="H435">
        <f>IF($U$1="",0,N(ISNUMBER(SEARCH($U$1,Database!$X435&amp;""))))+IF($V$1="",0,N(ISNUMBER(SEARCH($V$1,Database!$X435&amp;""))))+IF($W$1="",0,N(ISNUMBER(SEARCH($W$1,Database!$X435&amp;""))))+IF($X$1="",0,N(ISNUMBER(SEARCH($X$1,Database!$X435&amp;""))))+IF($Y$1="",0,N(ISNUMBER(SEARCH($Y$1,Database!$X435&amp;""))))+IF(Screener!$B$17="",0,N(ISNUMBER(SEARCH(LOWER(Screener!$B$17),Database!$X435&amp;""))))</f>
        <v/>
      </c>
      <c r="I435">
        <f>IF(OR(N(Database!$AV435)&lt;=0,N(Screener!$D$13)&lt;=0),0,MAX(0,1-ABS(LOG10(N(Database!$AV435)/Screener!$D$13))/W_PEHW))</f>
        <v/>
      </c>
      <c r="J435">
        <f>IF(OR(N(Database!$S435)&lt;=0,N(Screener!$D$14)&lt;=0),0,MAX(0,1-ABS(LOG10(Database!$S435/Screener!$D$14))/0.6))</f>
        <v/>
      </c>
      <c r="K435">
        <f>IF(Database!$B435=Screener!$B$5,-999999,IF(ISNUMBER(SEARCH(","&amp;Database!$A435&amp;",",","&amp;SUBSTITUTE(Screener!$B$19," ","")&amp;",")),2000000,IF(IF(OR(Screener!$B$18="All",AND(Screener!$B$18="With A-share",(Database!$AZ435="Y")),AND(Screener!$B$18="Without A-share",NOT((Database!$AZ435="Y")))),1,0)=0,-999999,IF(Screener!$B$16="cornerstone overlap first",H435*100000,IF(Screener!$B$16="demand-similar first",J435*100000,0))+W_SUB*B435+W_SEC*C435*(1-B435)+W_SIZE*D435+W_PROF*E435+W_AH*F435+W_REC*G435+W_CS*H435+W_PE*I435)))+ROW()/1000000</f>
        <v/>
      </c>
      <c r="AA435">
        <f>Database!B424</f>
        <v/>
      </c>
      <c r="AB435">
        <f>Database!D424</f>
        <v/>
      </c>
      <c r="AC435">
        <f>Database!E424</f>
        <v/>
      </c>
      <c r="AD435">
        <f>Database!I424</f>
        <v/>
      </c>
      <c r="AE435">
        <f>Database!AU424</f>
        <v/>
      </c>
      <c r="AF435">
        <f>Database!AZ424</f>
        <v/>
      </c>
      <c r="AG435">
        <f>Database!H424</f>
        <v/>
      </c>
      <c r="AH435">
        <f>Database!AV424</f>
        <v/>
      </c>
    </row>
    <row r="436">
      <c r="A436">
        <f>Database!B436</f>
        <v/>
      </c>
      <c r="B436">
        <f>IF(AND(Screener!$D$8&lt;&gt;"",Database!$E436=Screener!$D$8),1,0)</f>
        <v/>
      </c>
      <c r="C436">
        <f>IF(AND(Screener!$D$7&lt;&gt;"",Database!$D436=Screener!$D$7),1,0)</f>
        <v/>
      </c>
      <c r="D436">
        <f>IF(OR(N(Database!$I436)&lt;=0,N(Screener!$D$9)&lt;=0),0,MAX(0,1-ABS(LOG10(N(Database!$I436)/Screener!$D$9))/W_SIZEHW))</f>
        <v/>
      </c>
      <c r="E436">
        <f>IF(OR(Database!$AU436="",Screener!$D$10=""),0,IF(Database!$AU436=Screener!$D$10,1,0))</f>
        <v/>
      </c>
      <c r="F436">
        <f>IF(OR(Database!$AZ436="",Screener!$D$11=""),0,IF(Database!$AZ436=Screener!$D$11,1,0))</f>
        <v/>
      </c>
      <c r="G436">
        <f>IF(OR(Database!$H436="",N(Screener!$D$12)&lt;=0),0,MAX(0,1-(N(Screener!$D$12)-Database!$H436)/W_RECD))</f>
        <v/>
      </c>
      <c r="H436">
        <f>IF($U$1="",0,N(ISNUMBER(SEARCH($U$1,Database!$X436&amp;""))))+IF($V$1="",0,N(ISNUMBER(SEARCH($V$1,Database!$X436&amp;""))))+IF($W$1="",0,N(ISNUMBER(SEARCH($W$1,Database!$X436&amp;""))))+IF($X$1="",0,N(ISNUMBER(SEARCH($X$1,Database!$X436&amp;""))))+IF($Y$1="",0,N(ISNUMBER(SEARCH($Y$1,Database!$X436&amp;""))))+IF(Screener!$B$17="",0,N(ISNUMBER(SEARCH(LOWER(Screener!$B$17),Database!$X436&amp;""))))</f>
        <v/>
      </c>
      <c r="I436">
        <f>IF(OR(N(Database!$AV436)&lt;=0,N(Screener!$D$13)&lt;=0),0,MAX(0,1-ABS(LOG10(N(Database!$AV436)/Screener!$D$13))/W_PEHW))</f>
        <v/>
      </c>
      <c r="J436">
        <f>IF(OR(N(Database!$S436)&lt;=0,N(Screener!$D$14)&lt;=0),0,MAX(0,1-ABS(LOG10(Database!$S436/Screener!$D$14))/0.6))</f>
        <v/>
      </c>
      <c r="K436">
        <f>IF(Database!$B436=Screener!$B$5,-999999,IF(ISNUMBER(SEARCH(","&amp;Database!$A436&amp;",",","&amp;SUBSTITUTE(Screener!$B$19," ","")&amp;",")),2000000,IF(IF(OR(Screener!$B$18="All",AND(Screener!$B$18="With A-share",(Database!$AZ436="Y")),AND(Screener!$B$18="Without A-share",NOT((Database!$AZ436="Y")))),1,0)=0,-999999,IF(Screener!$B$16="cornerstone overlap first",H436*100000,IF(Screener!$B$16="demand-similar first",J436*100000,0))+W_SUB*B436+W_SEC*C436*(1-B436)+W_SIZE*D436+W_PROF*E436+W_AH*F436+W_REC*G436+W_CS*H436+W_PE*I436)))+ROW()/1000000</f>
        <v/>
      </c>
      <c r="AA436">
        <f>Database!B425</f>
        <v/>
      </c>
      <c r="AB436">
        <f>Database!D425</f>
        <v/>
      </c>
      <c r="AC436">
        <f>Database!E425</f>
        <v/>
      </c>
      <c r="AD436">
        <f>Database!I425</f>
        <v/>
      </c>
      <c r="AE436">
        <f>Database!AU425</f>
        <v/>
      </c>
      <c r="AF436">
        <f>Database!AZ425</f>
        <v/>
      </c>
      <c r="AG436">
        <f>Database!H425</f>
        <v/>
      </c>
      <c r="AH436">
        <f>Database!AV425</f>
        <v/>
      </c>
    </row>
    <row r="437">
      <c r="A437">
        <f>Database!B437</f>
        <v/>
      </c>
      <c r="B437">
        <f>IF(AND(Screener!$D$8&lt;&gt;"",Database!$E437=Screener!$D$8),1,0)</f>
        <v/>
      </c>
      <c r="C437">
        <f>IF(AND(Screener!$D$7&lt;&gt;"",Database!$D437=Screener!$D$7),1,0)</f>
        <v/>
      </c>
      <c r="D437">
        <f>IF(OR(N(Database!$I437)&lt;=0,N(Screener!$D$9)&lt;=0),0,MAX(0,1-ABS(LOG10(N(Database!$I437)/Screener!$D$9))/W_SIZEHW))</f>
        <v/>
      </c>
      <c r="E437">
        <f>IF(OR(Database!$AU437="",Screener!$D$10=""),0,IF(Database!$AU437=Screener!$D$10,1,0))</f>
        <v/>
      </c>
      <c r="F437">
        <f>IF(OR(Database!$AZ437="",Screener!$D$11=""),0,IF(Database!$AZ437=Screener!$D$11,1,0))</f>
        <v/>
      </c>
      <c r="G437">
        <f>IF(OR(Database!$H437="",N(Screener!$D$12)&lt;=0),0,MAX(0,1-(N(Screener!$D$12)-Database!$H437)/W_RECD))</f>
        <v/>
      </c>
      <c r="H437">
        <f>IF($U$1="",0,N(ISNUMBER(SEARCH($U$1,Database!$X437&amp;""))))+IF($V$1="",0,N(ISNUMBER(SEARCH($V$1,Database!$X437&amp;""))))+IF($W$1="",0,N(ISNUMBER(SEARCH($W$1,Database!$X437&amp;""))))+IF($X$1="",0,N(ISNUMBER(SEARCH($X$1,Database!$X437&amp;""))))+IF($Y$1="",0,N(ISNUMBER(SEARCH($Y$1,Database!$X437&amp;""))))+IF(Screener!$B$17="",0,N(ISNUMBER(SEARCH(LOWER(Screener!$B$17),Database!$X437&amp;""))))</f>
        <v/>
      </c>
      <c r="I437">
        <f>IF(OR(N(Database!$AV437)&lt;=0,N(Screener!$D$13)&lt;=0),0,MAX(0,1-ABS(LOG10(N(Database!$AV437)/Screener!$D$13))/W_PEHW))</f>
        <v/>
      </c>
      <c r="J437">
        <f>IF(OR(N(Database!$S437)&lt;=0,N(Screener!$D$14)&lt;=0),0,MAX(0,1-ABS(LOG10(Database!$S437/Screener!$D$14))/0.6))</f>
        <v/>
      </c>
      <c r="K437">
        <f>IF(Database!$B437=Screener!$B$5,-999999,IF(ISNUMBER(SEARCH(","&amp;Database!$A437&amp;",",","&amp;SUBSTITUTE(Screener!$B$19," ","")&amp;",")),2000000,IF(IF(OR(Screener!$B$18="All",AND(Screener!$B$18="With A-share",(Database!$AZ437="Y")),AND(Screener!$B$18="Without A-share",NOT((Database!$AZ437="Y")))),1,0)=0,-999999,IF(Screener!$B$16="cornerstone overlap first",H437*100000,IF(Screener!$B$16="demand-similar first",J437*100000,0))+W_SUB*B437+W_SEC*C437*(1-B437)+W_SIZE*D437+W_PROF*E437+W_AH*F437+W_REC*G437+W_CS*H437+W_PE*I437)))+ROW()/1000000</f>
        <v/>
      </c>
      <c r="AA437">
        <f>Database!B426</f>
        <v/>
      </c>
      <c r="AB437">
        <f>Database!D426</f>
        <v/>
      </c>
      <c r="AC437">
        <f>Database!E426</f>
        <v/>
      </c>
      <c r="AD437">
        <f>Database!I426</f>
        <v/>
      </c>
      <c r="AE437">
        <f>Database!AU426</f>
        <v/>
      </c>
      <c r="AF437">
        <f>Database!AZ426</f>
        <v/>
      </c>
      <c r="AG437">
        <f>Database!H426</f>
        <v/>
      </c>
      <c r="AH437">
        <f>Database!AV426</f>
        <v/>
      </c>
    </row>
    <row r="438">
      <c r="A438">
        <f>Database!B438</f>
        <v/>
      </c>
      <c r="B438">
        <f>IF(AND(Screener!$D$8&lt;&gt;"",Database!$E438=Screener!$D$8),1,0)</f>
        <v/>
      </c>
      <c r="C438">
        <f>IF(AND(Screener!$D$7&lt;&gt;"",Database!$D438=Screener!$D$7),1,0)</f>
        <v/>
      </c>
      <c r="D438">
        <f>IF(OR(N(Database!$I438)&lt;=0,N(Screener!$D$9)&lt;=0),0,MAX(0,1-ABS(LOG10(N(Database!$I438)/Screener!$D$9))/W_SIZEHW))</f>
        <v/>
      </c>
      <c r="E438">
        <f>IF(OR(Database!$AU438="",Screener!$D$10=""),0,IF(Database!$AU438=Screener!$D$10,1,0))</f>
        <v/>
      </c>
      <c r="F438">
        <f>IF(OR(Database!$AZ438="",Screener!$D$11=""),0,IF(Database!$AZ438=Screener!$D$11,1,0))</f>
        <v/>
      </c>
      <c r="G438">
        <f>IF(OR(Database!$H438="",N(Screener!$D$12)&lt;=0),0,MAX(0,1-(N(Screener!$D$12)-Database!$H438)/W_RECD))</f>
        <v/>
      </c>
      <c r="H438">
        <f>IF($U$1="",0,N(ISNUMBER(SEARCH($U$1,Database!$X438&amp;""))))+IF($V$1="",0,N(ISNUMBER(SEARCH($V$1,Database!$X438&amp;""))))+IF($W$1="",0,N(ISNUMBER(SEARCH($W$1,Database!$X438&amp;""))))+IF($X$1="",0,N(ISNUMBER(SEARCH($X$1,Database!$X438&amp;""))))+IF($Y$1="",0,N(ISNUMBER(SEARCH($Y$1,Database!$X438&amp;""))))+IF(Screener!$B$17="",0,N(ISNUMBER(SEARCH(LOWER(Screener!$B$17),Database!$X438&amp;""))))</f>
        <v/>
      </c>
      <c r="I438">
        <f>IF(OR(N(Database!$AV438)&lt;=0,N(Screener!$D$13)&lt;=0),0,MAX(0,1-ABS(LOG10(N(Database!$AV438)/Screener!$D$13))/W_PEHW))</f>
        <v/>
      </c>
      <c r="J438">
        <f>IF(OR(N(Database!$S438)&lt;=0,N(Screener!$D$14)&lt;=0),0,MAX(0,1-ABS(LOG10(Database!$S438/Screener!$D$14))/0.6))</f>
        <v/>
      </c>
      <c r="K438">
        <f>IF(Database!$B438=Screener!$B$5,-999999,IF(ISNUMBER(SEARCH(","&amp;Database!$A438&amp;",",","&amp;SUBSTITUTE(Screener!$B$19," ","")&amp;",")),2000000,IF(IF(OR(Screener!$B$18="All",AND(Screener!$B$18="With A-share",(Database!$AZ438="Y")),AND(Screener!$B$18="Without A-share",NOT((Database!$AZ438="Y")))),1,0)=0,-999999,IF(Screener!$B$16="cornerstone overlap first",H438*100000,IF(Screener!$B$16="demand-similar first",J438*100000,0))+W_SUB*B438+W_SEC*C438*(1-B438)+W_SIZE*D438+W_PROF*E438+W_AH*F438+W_REC*G438+W_CS*H438+W_PE*I438)))+ROW()/1000000</f>
        <v/>
      </c>
      <c r="AA438">
        <f>Database!B427</f>
        <v/>
      </c>
      <c r="AB438">
        <f>Database!D427</f>
        <v/>
      </c>
      <c r="AC438">
        <f>Database!E427</f>
        <v/>
      </c>
      <c r="AD438">
        <f>Database!I427</f>
        <v/>
      </c>
      <c r="AE438">
        <f>Database!AU427</f>
        <v/>
      </c>
      <c r="AF438">
        <f>Database!AZ427</f>
        <v/>
      </c>
      <c r="AG438">
        <f>Database!H427</f>
        <v/>
      </c>
      <c r="AH438">
        <f>Database!AV427</f>
        <v/>
      </c>
    </row>
    <row r="439">
      <c r="A439">
        <f>Database!B439</f>
        <v/>
      </c>
      <c r="B439">
        <f>IF(AND(Screener!$D$8&lt;&gt;"",Database!$E439=Screener!$D$8),1,0)</f>
        <v/>
      </c>
      <c r="C439">
        <f>IF(AND(Screener!$D$7&lt;&gt;"",Database!$D439=Screener!$D$7),1,0)</f>
        <v/>
      </c>
      <c r="D439">
        <f>IF(OR(N(Database!$I439)&lt;=0,N(Screener!$D$9)&lt;=0),0,MAX(0,1-ABS(LOG10(N(Database!$I439)/Screener!$D$9))/W_SIZEHW))</f>
        <v/>
      </c>
      <c r="E439">
        <f>IF(OR(Database!$AU439="",Screener!$D$10=""),0,IF(Database!$AU439=Screener!$D$10,1,0))</f>
        <v/>
      </c>
      <c r="F439">
        <f>IF(OR(Database!$AZ439="",Screener!$D$11=""),0,IF(Database!$AZ439=Screener!$D$11,1,0))</f>
        <v/>
      </c>
      <c r="G439">
        <f>IF(OR(Database!$H439="",N(Screener!$D$12)&lt;=0),0,MAX(0,1-(N(Screener!$D$12)-Database!$H439)/W_RECD))</f>
        <v/>
      </c>
      <c r="H439">
        <f>IF($U$1="",0,N(ISNUMBER(SEARCH($U$1,Database!$X439&amp;""))))+IF($V$1="",0,N(ISNUMBER(SEARCH($V$1,Database!$X439&amp;""))))+IF($W$1="",0,N(ISNUMBER(SEARCH($W$1,Database!$X439&amp;""))))+IF($X$1="",0,N(ISNUMBER(SEARCH($X$1,Database!$X439&amp;""))))+IF($Y$1="",0,N(ISNUMBER(SEARCH($Y$1,Database!$X439&amp;""))))+IF(Screener!$B$17="",0,N(ISNUMBER(SEARCH(LOWER(Screener!$B$17),Database!$X439&amp;""))))</f>
        <v/>
      </c>
      <c r="I439">
        <f>IF(OR(N(Database!$AV439)&lt;=0,N(Screener!$D$13)&lt;=0),0,MAX(0,1-ABS(LOG10(N(Database!$AV439)/Screener!$D$13))/W_PEHW))</f>
        <v/>
      </c>
      <c r="J439">
        <f>IF(OR(N(Database!$S439)&lt;=0,N(Screener!$D$14)&lt;=0),0,MAX(0,1-ABS(LOG10(Database!$S439/Screener!$D$14))/0.6))</f>
        <v/>
      </c>
      <c r="K439">
        <f>IF(Database!$B439=Screener!$B$5,-999999,IF(ISNUMBER(SEARCH(","&amp;Database!$A439&amp;",",","&amp;SUBSTITUTE(Screener!$B$19," ","")&amp;",")),2000000,IF(IF(OR(Screener!$B$18="All",AND(Screener!$B$18="With A-share",(Database!$AZ439="Y")),AND(Screener!$B$18="Without A-share",NOT((Database!$AZ439="Y")))),1,0)=0,-999999,IF(Screener!$B$16="cornerstone overlap first",H439*100000,IF(Screener!$B$16="demand-similar first",J439*100000,0))+W_SUB*B439+W_SEC*C439*(1-B439)+W_SIZE*D439+W_PROF*E439+W_AH*F439+W_REC*G439+W_CS*H439+W_PE*I439)))+ROW()/1000000</f>
        <v/>
      </c>
      <c r="AA439">
        <f>Database!B428</f>
        <v/>
      </c>
      <c r="AB439">
        <f>Database!D428</f>
        <v/>
      </c>
      <c r="AC439">
        <f>Database!E428</f>
        <v/>
      </c>
      <c r="AD439">
        <f>Database!I428</f>
        <v/>
      </c>
      <c r="AE439">
        <f>Database!AU428</f>
        <v/>
      </c>
      <c r="AF439">
        <f>Database!AZ428</f>
        <v/>
      </c>
      <c r="AG439">
        <f>Database!H428</f>
        <v/>
      </c>
      <c r="AH439">
        <f>Database!AV428</f>
        <v/>
      </c>
    </row>
    <row r="440">
      <c r="A440">
        <f>Database!B440</f>
        <v/>
      </c>
      <c r="B440">
        <f>IF(AND(Screener!$D$8&lt;&gt;"",Database!$E440=Screener!$D$8),1,0)</f>
        <v/>
      </c>
      <c r="C440">
        <f>IF(AND(Screener!$D$7&lt;&gt;"",Database!$D440=Screener!$D$7),1,0)</f>
        <v/>
      </c>
      <c r="D440">
        <f>IF(OR(N(Database!$I440)&lt;=0,N(Screener!$D$9)&lt;=0),0,MAX(0,1-ABS(LOG10(N(Database!$I440)/Screener!$D$9))/W_SIZEHW))</f>
        <v/>
      </c>
      <c r="E440">
        <f>IF(OR(Database!$AU440="",Screener!$D$10=""),0,IF(Database!$AU440=Screener!$D$10,1,0))</f>
        <v/>
      </c>
      <c r="F440">
        <f>IF(OR(Database!$AZ440="",Screener!$D$11=""),0,IF(Database!$AZ440=Screener!$D$11,1,0))</f>
        <v/>
      </c>
      <c r="G440">
        <f>IF(OR(Database!$H440="",N(Screener!$D$12)&lt;=0),0,MAX(0,1-(N(Screener!$D$12)-Database!$H440)/W_RECD))</f>
        <v/>
      </c>
      <c r="H440">
        <f>IF($U$1="",0,N(ISNUMBER(SEARCH($U$1,Database!$X440&amp;""))))+IF($V$1="",0,N(ISNUMBER(SEARCH($V$1,Database!$X440&amp;""))))+IF($W$1="",0,N(ISNUMBER(SEARCH($W$1,Database!$X440&amp;""))))+IF($X$1="",0,N(ISNUMBER(SEARCH($X$1,Database!$X440&amp;""))))+IF($Y$1="",0,N(ISNUMBER(SEARCH($Y$1,Database!$X440&amp;""))))+IF(Screener!$B$17="",0,N(ISNUMBER(SEARCH(LOWER(Screener!$B$17),Database!$X440&amp;""))))</f>
        <v/>
      </c>
      <c r="I440">
        <f>IF(OR(N(Database!$AV440)&lt;=0,N(Screener!$D$13)&lt;=0),0,MAX(0,1-ABS(LOG10(N(Database!$AV440)/Screener!$D$13))/W_PEHW))</f>
        <v/>
      </c>
      <c r="J440">
        <f>IF(OR(N(Database!$S440)&lt;=0,N(Screener!$D$14)&lt;=0),0,MAX(0,1-ABS(LOG10(Database!$S440/Screener!$D$14))/0.6))</f>
        <v/>
      </c>
      <c r="K440">
        <f>IF(Database!$B440=Screener!$B$5,-999999,IF(ISNUMBER(SEARCH(","&amp;Database!$A440&amp;",",","&amp;SUBSTITUTE(Screener!$B$19," ","")&amp;",")),2000000,IF(IF(OR(Screener!$B$18="All",AND(Screener!$B$18="With A-share",(Database!$AZ440="Y")),AND(Screener!$B$18="Without A-share",NOT((Database!$AZ440="Y")))),1,0)=0,-999999,IF(Screener!$B$16="cornerstone overlap first",H440*100000,IF(Screener!$B$16="demand-similar first",J440*100000,0))+W_SUB*B440+W_SEC*C440*(1-B440)+W_SIZE*D440+W_PROF*E440+W_AH*F440+W_REC*G440+W_CS*H440+W_PE*I440)))+ROW()/1000000</f>
        <v/>
      </c>
      <c r="AA440">
        <f>Database!B429</f>
        <v/>
      </c>
      <c r="AB440">
        <f>Database!D429</f>
        <v/>
      </c>
      <c r="AC440">
        <f>Database!E429</f>
        <v/>
      </c>
      <c r="AD440">
        <f>Database!I429</f>
        <v/>
      </c>
      <c r="AE440">
        <f>Database!AU429</f>
        <v/>
      </c>
      <c r="AF440">
        <f>Database!AZ429</f>
        <v/>
      </c>
      <c r="AG440">
        <f>Database!H429</f>
        <v/>
      </c>
      <c r="AH440">
        <f>Database!AV429</f>
        <v/>
      </c>
    </row>
    <row r="441">
      <c r="A441">
        <f>Database!B441</f>
        <v/>
      </c>
      <c r="B441">
        <f>IF(AND(Screener!$D$8&lt;&gt;"",Database!$E441=Screener!$D$8),1,0)</f>
        <v/>
      </c>
      <c r="C441">
        <f>IF(AND(Screener!$D$7&lt;&gt;"",Database!$D441=Screener!$D$7),1,0)</f>
        <v/>
      </c>
      <c r="D441">
        <f>IF(OR(N(Database!$I441)&lt;=0,N(Screener!$D$9)&lt;=0),0,MAX(0,1-ABS(LOG10(N(Database!$I441)/Screener!$D$9))/W_SIZEHW))</f>
        <v/>
      </c>
      <c r="E441">
        <f>IF(OR(Database!$AU441="",Screener!$D$10=""),0,IF(Database!$AU441=Screener!$D$10,1,0))</f>
        <v/>
      </c>
      <c r="F441">
        <f>IF(OR(Database!$AZ441="",Screener!$D$11=""),0,IF(Database!$AZ441=Screener!$D$11,1,0))</f>
        <v/>
      </c>
      <c r="G441">
        <f>IF(OR(Database!$H441="",N(Screener!$D$12)&lt;=0),0,MAX(0,1-(N(Screener!$D$12)-Database!$H441)/W_RECD))</f>
        <v/>
      </c>
      <c r="H441">
        <f>IF($U$1="",0,N(ISNUMBER(SEARCH($U$1,Database!$X441&amp;""))))+IF($V$1="",0,N(ISNUMBER(SEARCH($V$1,Database!$X441&amp;""))))+IF($W$1="",0,N(ISNUMBER(SEARCH($W$1,Database!$X441&amp;""))))+IF($X$1="",0,N(ISNUMBER(SEARCH($X$1,Database!$X441&amp;""))))+IF($Y$1="",0,N(ISNUMBER(SEARCH($Y$1,Database!$X441&amp;""))))+IF(Screener!$B$17="",0,N(ISNUMBER(SEARCH(LOWER(Screener!$B$17),Database!$X441&amp;""))))</f>
        <v/>
      </c>
      <c r="I441">
        <f>IF(OR(N(Database!$AV441)&lt;=0,N(Screener!$D$13)&lt;=0),0,MAX(0,1-ABS(LOG10(N(Database!$AV441)/Screener!$D$13))/W_PEHW))</f>
        <v/>
      </c>
      <c r="J441">
        <f>IF(OR(N(Database!$S441)&lt;=0,N(Screener!$D$14)&lt;=0),0,MAX(0,1-ABS(LOG10(Database!$S441/Screener!$D$14))/0.6))</f>
        <v/>
      </c>
      <c r="K441">
        <f>IF(Database!$B441=Screener!$B$5,-999999,IF(ISNUMBER(SEARCH(","&amp;Database!$A441&amp;",",","&amp;SUBSTITUTE(Screener!$B$19," ","")&amp;",")),2000000,IF(IF(OR(Screener!$B$18="All",AND(Screener!$B$18="With A-share",(Database!$AZ441="Y")),AND(Screener!$B$18="Without A-share",NOT((Database!$AZ441="Y")))),1,0)=0,-999999,IF(Screener!$B$16="cornerstone overlap first",H441*100000,IF(Screener!$B$16="demand-similar first",J441*100000,0))+W_SUB*B441+W_SEC*C441*(1-B441)+W_SIZE*D441+W_PROF*E441+W_AH*F441+W_REC*G441+W_CS*H441+W_PE*I441)))+ROW()/1000000</f>
        <v/>
      </c>
      <c r="AA441">
        <f>Database!B430</f>
        <v/>
      </c>
      <c r="AB441">
        <f>Database!D430</f>
        <v/>
      </c>
      <c r="AC441">
        <f>Database!E430</f>
        <v/>
      </c>
      <c r="AD441">
        <f>Database!I430</f>
        <v/>
      </c>
      <c r="AE441">
        <f>Database!AU430</f>
        <v/>
      </c>
      <c r="AF441">
        <f>Database!AZ430</f>
        <v/>
      </c>
      <c r="AG441">
        <f>Database!H430</f>
        <v/>
      </c>
      <c r="AH441">
        <f>Database!AV430</f>
        <v/>
      </c>
    </row>
    <row r="442">
      <c r="A442">
        <f>Database!B442</f>
        <v/>
      </c>
      <c r="B442">
        <f>IF(AND(Screener!$D$8&lt;&gt;"",Database!$E442=Screener!$D$8),1,0)</f>
        <v/>
      </c>
      <c r="C442">
        <f>IF(AND(Screener!$D$7&lt;&gt;"",Database!$D442=Screener!$D$7),1,0)</f>
        <v/>
      </c>
      <c r="D442">
        <f>IF(OR(N(Database!$I442)&lt;=0,N(Screener!$D$9)&lt;=0),0,MAX(0,1-ABS(LOG10(N(Database!$I442)/Screener!$D$9))/W_SIZEHW))</f>
        <v/>
      </c>
      <c r="E442">
        <f>IF(OR(Database!$AU442="",Screener!$D$10=""),0,IF(Database!$AU442=Screener!$D$10,1,0))</f>
        <v/>
      </c>
      <c r="F442">
        <f>IF(OR(Database!$AZ442="",Screener!$D$11=""),0,IF(Database!$AZ442=Screener!$D$11,1,0))</f>
        <v/>
      </c>
      <c r="G442">
        <f>IF(OR(Database!$H442="",N(Screener!$D$12)&lt;=0),0,MAX(0,1-(N(Screener!$D$12)-Database!$H442)/W_RECD))</f>
        <v/>
      </c>
      <c r="H442">
        <f>IF($U$1="",0,N(ISNUMBER(SEARCH($U$1,Database!$X442&amp;""))))+IF($V$1="",0,N(ISNUMBER(SEARCH($V$1,Database!$X442&amp;""))))+IF($W$1="",0,N(ISNUMBER(SEARCH($W$1,Database!$X442&amp;""))))+IF($X$1="",0,N(ISNUMBER(SEARCH($X$1,Database!$X442&amp;""))))+IF($Y$1="",0,N(ISNUMBER(SEARCH($Y$1,Database!$X442&amp;""))))+IF(Screener!$B$17="",0,N(ISNUMBER(SEARCH(LOWER(Screener!$B$17),Database!$X442&amp;""))))</f>
        <v/>
      </c>
      <c r="I442">
        <f>IF(OR(N(Database!$AV442)&lt;=0,N(Screener!$D$13)&lt;=0),0,MAX(0,1-ABS(LOG10(N(Database!$AV442)/Screener!$D$13))/W_PEHW))</f>
        <v/>
      </c>
      <c r="J442">
        <f>IF(OR(N(Database!$S442)&lt;=0,N(Screener!$D$14)&lt;=0),0,MAX(0,1-ABS(LOG10(Database!$S442/Screener!$D$14))/0.6))</f>
        <v/>
      </c>
      <c r="K442">
        <f>IF(Database!$B442=Screener!$B$5,-999999,IF(ISNUMBER(SEARCH(","&amp;Database!$A442&amp;",",","&amp;SUBSTITUTE(Screener!$B$19," ","")&amp;",")),2000000,IF(IF(OR(Screener!$B$18="All",AND(Screener!$B$18="With A-share",(Database!$AZ442="Y")),AND(Screener!$B$18="Without A-share",NOT((Database!$AZ442="Y")))),1,0)=0,-999999,IF(Screener!$B$16="cornerstone overlap first",H442*100000,IF(Screener!$B$16="demand-similar first",J442*100000,0))+W_SUB*B442+W_SEC*C442*(1-B442)+W_SIZE*D442+W_PROF*E442+W_AH*F442+W_REC*G442+W_CS*H442+W_PE*I442)))+ROW()/1000000</f>
        <v/>
      </c>
      <c r="AA442">
        <f>Database!B431</f>
        <v/>
      </c>
      <c r="AB442">
        <f>Database!D431</f>
        <v/>
      </c>
      <c r="AC442">
        <f>Database!E431</f>
        <v/>
      </c>
      <c r="AD442">
        <f>Database!I431</f>
        <v/>
      </c>
      <c r="AE442">
        <f>Database!AU431</f>
        <v/>
      </c>
      <c r="AF442">
        <f>Database!AZ431</f>
        <v/>
      </c>
      <c r="AG442">
        <f>Database!H431</f>
        <v/>
      </c>
      <c r="AH442">
        <f>Database!AV431</f>
        <v/>
      </c>
    </row>
    <row r="443">
      <c r="A443">
        <f>Database!B443</f>
        <v/>
      </c>
      <c r="B443">
        <f>IF(AND(Screener!$D$8&lt;&gt;"",Database!$E443=Screener!$D$8),1,0)</f>
        <v/>
      </c>
      <c r="C443">
        <f>IF(AND(Screener!$D$7&lt;&gt;"",Database!$D443=Screener!$D$7),1,0)</f>
        <v/>
      </c>
      <c r="D443">
        <f>IF(OR(N(Database!$I443)&lt;=0,N(Screener!$D$9)&lt;=0),0,MAX(0,1-ABS(LOG10(N(Database!$I443)/Screener!$D$9))/W_SIZEHW))</f>
        <v/>
      </c>
      <c r="E443">
        <f>IF(OR(Database!$AU443="",Screener!$D$10=""),0,IF(Database!$AU443=Screener!$D$10,1,0))</f>
        <v/>
      </c>
      <c r="F443">
        <f>IF(OR(Database!$AZ443="",Screener!$D$11=""),0,IF(Database!$AZ443=Screener!$D$11,1,0))</f>
        <v/>
      </c>
      <c r="G443">
        <f>IF(OR(Database!$H443="",N(Screener!$D$12)&lt;=0),0,MAX(0,1-(N(Screener!$D$12)-Database!$H443)/W_RECD))</f>
        <v/>
      </c>
      <c r="H443">
        <f>IF($U$1="",0,N(ISNUMBER(SEARCH($U$1,Database!$X443&amp;""))))+IF($V$1="",0,N(ISNUMBER(SEARCH($V$1,Database!$X443&amp;""))))+IF($W$1="",0,N(ISNUMBER(SEARCH($W$1,Database!$X443&amp;""))))+IF($X$1="",0,N(ISNUMBER(SEARCH($X$1,Database!$X443&amp;""))))+IF($Y$1="",0,N(ISNUMBER(SEARCH($Y$1,Database!$X443&amp;""))))+IF(Screener!$B$17="",0,N(ISNUMBER(SEARCH(LOWER(Screener!$B$17),Database!$X443&amp;""))))</f>
        <v/>
      </c>
      <c r="I443">
        <f>IF(OR(N(Database!$AV443)&lt;=0,N(Screener!$D$13)&lt;=0),0,MAX(0,1-ABS(LOG10(N(Database!$AV443)/Screener!$D$13))/W_PEHW))</f>
        <v/>
      </c>
      <c r="J443">
        <f>IF(OR(N(Database!$S443)&lt;=0,N(Screener!$D$14)&lt;=0),0,MAX(0,1-ABS(LOG10(Database!$S443/Screener!$D$14))/0.6))</f>
        <v/>
      </c>
      <c r="K443">
        <f>IF(Database!$B443=Screener!$B$5,-999999,IF(ISNUMBER(SEARCH(","&amp;Database!$A443&amp;",",","&amp;SUBSTITUTE(Screener!$B$19," ","")&amp;",")),2000000,IF(IF(OR(Screener!$B$18="All",AND(Screener!$B$18="With A-share",(Database!$AZ443="Y")),AND(Screener!$B$18="Without A-share",NOT((Database!$AZ443="Y")))),1,0)=0,-999999,IF(Screener!$B$16="cornerstone overlap first",H443*100000,IF(Screener!$B$16="demand-similar first",J443*100000,0))+W_SUB*B443+W_SEC*C443*(1-B443)+W_SIZE*D443+W_PROF*E443+W_AH*F443+W_REC*G443+W_CS*H443+W_PE*I443)))+ROW()/1000000</f>
        <v/>
      </c>
      <c r="AA443">
        <f>Database!B432</f>
        <v/>
      </c>
      <c r="AB443">
        <f>Database!D432</f>
        <v/>
      </c>
      <c r="AC443">
        <f>Database!E432</f>
        <v/>
      </c>
      <c r="AD443">
        <f>Database!I432</f>
        <v/>
      </c>
      <c r="AE443">
        <f>Database!AU432</f>
        <v/>
      </c>
      <c r="AF443">
        <f>Database!AZ432</f>
        <v/>
      </c>
      <c r="AG443">
        <f>Database!H432</f>
        <v/>
      </c>
      <c r="AH443">
        <f>Database!AV432</f>
        <v/>
      </c>
    </row>
    <row r="444">
      <c r="A444">
        <f>Database!B444</f>
        <v/>
      </c>
      <c r="B444">
        <f>IF(AND(Screener!$D$8&lt;&gt;"",Database!$E444=Screener!$D$8),1,0)</f>
        <v/>
      </c>
      <c r="C444">
        <f>IF(AND(Screener!$D$7&lt;&gt;"",Database!$D444=Screener!$D$7),1,0)</f>
        <v/>
      </c>
      <c r="D444">
        <f>IF(OR(N(Database!$I444)&lt;=0,N(Screener!$D$9)&lt;=0),0,MAX(0,1-ABS(LOG10(N(Database!$I444)/Screener!$D$9))/W_SIZEHW))</f>
        <v/>
      </c>
      <c r="E444">
        <f>IF(OR(Database!$AU444="",Screener!$D$10=""),0,IF(Database!$AU444=Screener!$D$10,1,0))</f>
        <v/>
      </c>
      <c r="F444">
        <f>IF(OR(Database!$AZ444="",Screener!$D$11=""),0,IF(Database!$AZ444=Screener!$D$11,1,0))</f>
        <v/>
      </c>
      <c r="G444">
        <f>IF(OR(Database!$H444="",N(Screener!$D$12)&lt;=0),0,MAX(0,1-(N(Screener!$D$12)-Database!$H444)/W_RECD))</f>
        <v/>
      </c>
      <c r="H444">
        <f>IF($U$1="",0,N(ISNUMBER(SEARCH($U$1,Database!$X444&amp;""))))+IF($V$1="",0,N(ISNUMBER(SEARCH($V$1,Database!$X444&amp;""))))+IF($W$1="",0,N(ISNUMBER(SEARCH($W$1,Database!$X444&amp;""))))+IF($X$1="",0,N(ISNUMBER(SEARCH($X$1,Database!$X444&amp;""))))+IF($Y$1="",0,N(ISNUMBER(SEARCH($Y$1,Database!$X444&amp;""))))+IF(Screener!$B$17="",0,N(ISNUMBER(SEARCH(LOWER(Screener!$B$17),Database!$X444&amp;""))))</f>
        <v/>
      </c>
      <c r="I444">
        <f>IF(OR(N(Database!$AV444)&lt;=0,N(Screener!$D$13)&lt;=0),0,MAX(0,1-ABS(LOG10(N(Database!$AV444)/Screener!$D$13))/W_PEHW))</f>
        <v/>
      </c>
      <c r="J444">
        <f>IF(OR(N(Database!$S444)&lt;=0,N(Screener!$D$14)&lt;=0),0,MAX(0,1-ABS(LOG10(Database!$S444/Screener!$D$14))/0.6))</f>
        <v/>
      </c>
      <c r="K444">
        <f>IF(Database!$B444=Screener!$B$5,-999999,IF(ISNUMBER(SEARCH(","&amp;Database!$A444&amp;",",","&amp;SUBSTITUTE(Screener!$B$19," ","")&amp;",")),2000000,IF(IF(OR(Screener!$B$18="All",AND(Screener!$B$18="With A-share",(Database!$AZ444="Y")),AND(Screener!$B$18="Without A-share",NOT((Database!$AZ444="Y")))),1,0)=0,-999999,IF(Screener!$B$16="cornerstone overlap first",H444*100000,IF(Screener!$B$16="demand-similar first",J444*100000,0))+W_SUB*B444+W_SEC*C444*(1-B444)+W_SIZE*D444+W_PROF*E444+W_AH*F444+W_REC*G444+W_CS*H444+W_PE*I444)))+ROW()/1000000</f>
        <v/>
      </c>
      <c r="AA444">
        <f>Database!B433</f>
        <v/>
      </c>
      <c r="AB444">
        <f>Database!D433</f>
        <v/>
      </c>
      <c r="AC444">
        <f>Database!E433</f>
        <v/>
      </c>
      <c r="AD444">
        <f>Database!I433</f>
        <v/>
      </c>
      <c r="AE444">
        <f>Database!AU433</f>
        <v/>
      </c>
      <c r="AF444">
        <f>Database!AZ433</f>
        <v/>
      </c>
      <c r="AG444">
        <f>Database!H433</f>
        <v/>
      </c>
      <c r="AH444">
        <f>Database!AV433</f>
        <v/>
      </c>
    </row>
    <row r="445">
      <c r="A445">
        <f>Database!B445</f>
        <v/>
      </c>
      <c r="B445">
        <f>IF(AND(Screener!$D$8&lt;&gt;"",Database!$E445=Screener!$D$8),1,0)</f>
        <v/>
      </c>
      <c r="C445">
        <f>IF(AND(Screener!$D$7&lt;&gt;"",Database!$D445=Screener!$D$7),1,0)</f>
        <v/>
      </c>
      <c r="D445">
        <f>IF(OR(N(Database!$I445)&lt;=0,N(Screener!$D$9)&lt;=0),0,MAX(0,1-ABS(LOG10(N(Database!$I445)/Screener!$D$9))/W_SIZEHW))</f>
        <v/>
      </c>
      <c r="E445">
        <f>IF(OR(Database!$AU445="",Screener!$D$10=""),0,IF(Database!$AU445=Screener!$D$10,1,0))</f>
        <v/>
      </c>
      <c r="F445">
        <f>IF(OR(Database!$AZ445="",Screener!$D$11=""),0,IF(Database!$AZ445=Screener!$D$11,1,0))</f>
        <v/>
      </c>
      <c r="G445">
        <f>IF(OR(Database!$H445="",N(Screener!$D$12)&lt;=0),0,MAX(0,1-(N(Screener!$D$12)-Database!$H445)/W_RECD))</f>
        <v/>
      </c>
      <c r="H445">
        <f>IF($U$1="",0,N(ISNUMBER(SEARCH($U$1,Database!$X445&amp;""))))+IF($V$1="",0,N(ISNUMBER(SEARCH($V$1,Database!$X445&amp;""))))+IF($W$1="",0,N(ISNUMBER(SEARCH($W$1,Database!$X445&amp;""))))+IF($X$1="",0,N(ISNUMBER(SEARCH($X$1,Database!$X445&amp;""))))+IF($Y$1="",0,N(ISNUMBER(SEARCH($Y$1,Database!$X445&amp;""))))+IF(Screener!$B$17="",0,N(ISNUMBER(SEARCH(LOWER(Screener!$B$17),Database!$X445&amp;""))))</f>
        <v/>
      </c>
      <c r="I445">
        <f>IF(OR(N(Database!$AV445)&lt;=0,N(Screener!$D$13)&lt;=0),0,MAX(0,1-ABS(LOG10(N(Database!$AV445)/Screener!$D$13))/W_PEHW))</f>
        <v/>
      </c>
      <c r="J445">
        <f>IF(OR(N(Database!$S445)&lt;=0,N(Screener!$D$14)&lt;=0),0,MAX(0,1-ABS(LOG10(Database!$S445/Screener!$D$14))/0.6))</f>
        <v/>
      </c>
      <c r="K445">
        <f>IF(Database!$B445=Screener!$B$5,-999999,IF(ISNUMBER(SEARCH(","&amp;Database!$A445&amp;",",","&amp;SUBSTITUTE(Screener!$B$19," ","")&amp;",")),2000000,IF(IF(OR(Screener!$B$18="All",AND(Screener!$B$18="With A-share",(Database!$AZ445="Y")),AND(Screener!$B$18="Without A-share",NOT((Database!$AZ445="Y")))),1,0)=0,-999999,IF(Screener!$B$16="cornerstone overlap first",H445*100000,IF(Screener!$B$16="demand-similar first",J445*100000,0))+W_SUB*B445+W_SEC*C445*(1-B445)+W_SIZE*D445+W_PROF*E445+W_AH*F445+W_REC*G445+W_CS*H445+W_PE*I445)))+ROW()/1000000</f>
        <v/>
      </c>
      <c r="AA445">
        <f>Database!B434</f>
        <v/>
      </c>
      <c r="AB445">
        <f>Database!D434</f>
        <v/>
      </c>
      <c r="AC445">
        <f>Database!E434</f>
        <v/>
      </c>
      <c r="AD445">
        <f>Database!I434</f>
        <v/>
      </c>
      <c r="AE445">
        <f>Database!AU434</f>
        <v/>
      </c>
      <c r="AF445">
        <f>Database!AZ434</f>
        <v/>
      </c>
      <c r="AG445">
        <f>Database!H434</f>
        <v/>
      </c>
      <c r="AH445">
        <f>Database!AV434</f>
        <v/>
      </c>
    </row>
    <row r="446">
      <c r="A446">
        <f>Database!B446</f>
        <v/>
      </c>
      <c r="B446">
        <f>IF(AND(Screener!$D$8&lt;&gt;"",Database!$E446=Screener!$D$8),1,0)</f>
        <v/>
      </c>
      <c r="C446">
        <f>IF(AND(Screener!$D$7&lt;&gt;"",Database!$D446=Screener!$D$7),1,0)</f>
        <v/>
      </c>
      <c r="D446">
        <f>IF(OR(N(Database!$I446)&lt;=0,N(Screener!$D$9)&lt;=0),0,MAX(0,1-ABS(LOG10(N(Database!$I446)/Screener!$D$9))/W_SIZEHW))</f>
        <v/>
      </c>
      <c r="E446">
        <f>IF(OR(Database!$AU446="",Screener!$D$10=""),0,IF(Database!$AU446=Screener!$D$10,1,0))</f>
        <v/>
      </c>
      <c r="F446">
        <f>IF(OR(Database!$AZ446="",Screener!$D$11=""),0,IF(Database!$AZ446=Screener!$D$11,1,0))</f>
        <v/>
      </c>
      <c r="G446">
        <f>IF(OR(Database!$H446="",N(Screener!$D$12)&lt;=0),0,MAX(0,1-(N(Screener!$D$12)-Database!$H446)/W_RECD))</f>
        <v/>
      </c>
      <c r="H446">
        <f>IF($U$1="",0,N(ISNUMBER(SEARCH($U$1,Database!$X446&amp;""))))+IF($V$1="",0,N(ISNUMBER(SEARCH($V$1,Database!$X446&amp;""))))+IF($W$1="",0,N(ISNUMBER(SEARCH($W$1,Database!$X446&amp;""))))+IF($X$1="",0,N(ISNUMBER(SEARCH($X$1,Database!$X446&amp;""))))+IF($Y$1="",0,N(ISNUMBER(SEARCH($Y$1,Database!$X446&amp;""))))+IF(Screener!$B$17="",0,N(ISNUMBER(SEARCH(LOWER(Screener!$B$17),Database!$X446&amp;""))))</f>
        <v/>
      </c>
      <c r="I446">
        <f>IF(OR(N(Database!$AV446)&lt;=0,N(Screener!$D$13)&lt;=0),0,MAX(0,1-ABS(LOG10(N(Database!$AV446)/Screener!$D$13))/W_PEHW))</f>
        <v/>
      </c>
      <c r="J446">
        <f>IF(OR(N(Database!$S446)&lt;=0,N(Screener!$D$14)&lt;=0),0,MAX(0,1-ABS(LOG10(Database!$S446/Screener!$D$14))/0.6))</f>
        <v/>
      </c>
      <c r="K446">
        <f>IF(Database!$B446=Screener!$B$5,-999999,IF(ISNUMBER(SEARCH(","&amp;Database!$A446&amp;",",","&amp;SUBSTITUTE(Screener!$B$19," ","")&amp;",")),2000000,IF(IF(OR(Screener!$B$18="All",AND(Screener!$B$18="With A-share",(Database!$AZ446="Y")),AND(Screener!$B$18="Without A-share",NOT((Database!$AZ446="Y")))),1,0)=0,-999999,IF(Screener!$B$16="cornerstone overlap first",H446*100000,IF(Screener!$B$16="demand-similar first",J446*100000,0))+W_SUB*B446+W_SEC*C446*(1-B446)+W_SIZE*D446+W_PROF*E446+W_AH*F446+W_REC*G446+W_CS*H446+W_PE*I446)))+ROW()/1000000</f>
        <v/>
      </c>
      <c r="AA446">
        <f>Database!B435</f>
        <v/>
      </c>
      <c r="AB446">
        <f>Database!D435</f>
        <v/>
      </c>
      <c r="AC446">
        <f>Database!E435</f>
        <v/>
      </c>
      <c r="AD446">
        <f>Database!I435</f>
        <v/>
      </c>
      <c r="AE446">
        <f>Database!AU435</f>
        <v/>
      </c>
      <c r="AF446">
        <f>Database!AZ435</f>
        <v/>
      </c>
      <c r="AG446">
        <f>Database!H435</f>
        <v/>
      </c>
      <c r="AH446">
        <f>Database!AV435</f>
        <v/>
      </c>
    </row>
    <row r="447">
      <c r="A447">
        <f>Database!B447</f>
        <v/>
      </c>
      <c r="B447">
        <f>IF(AND(Screener!$D$8&lt;&gt;"",Database!$E447=Screener!$D$8),1,0)</f>
        <v/>
      </c>
      <c r="C447">
        <f>IF(AND(Screener!$D$7&lt;&gt;"",Database!$D447=Screener!$D$7),1,0)</f>
        <v/>
      </c>
      <c r="D447">
        <f>IF(OR(N(Database!$I447)&lt;=0,N(Screener!$D$9)&lt;=0),0,MAX(0,1-ABS(LOG10(N(Database!$I447)/Screener!$D$9))/W_SIZEHW))</f>
        <v/>
      </c>
      <c r="E447">
        <f>IF(OR(Database!$AU447="",Screener!$D$10=""),0,IF(Database!$AU447=Screener!$D$10,1,0))</f>
        <v/>
      </c>
      <c r="F447">
        <f>IF(OR(Database!$AZ447="",Screener!$D$11=""),0,IF(Database!$AZ447=Screener!$D$11,1,0))</f>
        <v/>
      </c>
      <c r="G447">
        <f>IF(OR(Database!$H447="",N(Screener!$D$12)&lt;=0),0,MAX(0,1-(N(Screener!$D$12)-Database!$H447)/W_RECD))</f>
        <v/>
      </c>
      <c r="H447">
        <f>IF($U$1="",0,N(ISNUMBER(SEARCH($U$1,Database!$X447&amp;""))))+IF($V$1="",0,N(ISNUMBER(SEARCH($V$1,Database!$X447&amp;""))))+IF($W$1="",0,N(ISNUMBER(SEARCH($W$1,Database!$X447&amp;""))))+IF($X$1="",0,N(ISNUMBER(SEARCH($X$1,Database!$X447&amp;""))))+IF($Y$1="",0,N(ISNUMBER(SEARCH($Y$1,Database!$X447&amp;""))))+IF(Screener!$B$17="",0,N(ISNUMBER(SEARCH(LOWER(Screener!$B$17),Database!$X447&amp;""))))</f>
        <v/>
      </c>
      <c r="I447">
        <f>IF(OR(N(Database!$AV447)&lt;=0,N(Screener!$D$13)&lt;=0),0,MAX(0,1-ABS(LOG10(N(Database!$AV447)/Screener!$D$13))/W_PEHW))</f>
        <v/>
      </c>
      <c r="J447">
        <f>IF(OR(N(Database!$S447)&lt;=0,N(Screener!$D$14)&lt;=0),0,MAX(0,1-ABS(LOG10(Database!$S447/Screener!$D$14))/0.6))</f>
        <v/>
      </c>
      <c r="K447">
        <f>IF(Database!$B447=Screener!$B$5,-999999,IF(ISNUMBER(SEARCH(","&amp;Database!$A447&amp;",",","&amp;SUBSTITUTE(Screener!$B$19," ","")&amp;",")),2000000,IF(IF(OR(Screener!$B$18="All",AND(Screener!$B$18="With A-share",(Database!$AZ447="Y")),AND(Screener!$B$18="Without A-share",NOT((Database!$AZ447="Y")))),1,0)=0,-999999,IF(Screener!$B$16="cornerstone overlap first",H447*100000,IF(Screener!$B$16="demand-similar first",J447*100000,0))+W_SUB*B447+W_SEC*C447*(1-B447)+W_SIZE*D447+W_PROF*E447+W_AH*F447+W_REC*G447+W_CS*H447+W_PE*I447)))+ROW()/1000000</f>
        <v/>
      </c>
      <c r="AA447">
        <f>Database!B436</f>
        <v/>
      </c>
      <c r="AB447">
        <f>Database!D436</f>
        <v/>
      </c>
      <c r="AC447">
        <f>Database!E436</f>
        <v/>
      </c>
      <c r="AD447">
        <f>Database!I436</f>
        <v/>
      </c>
      <c r="AE447">
        <f>Database!AU436</f>
        <v/>
      </c>
      <c r="AF447">
        <f>Database!AZ436</f>
        <v/>
      </c>
      <c r="AG447">
        <f>Database!H436</f>
        <v/>
      </c>
      <c r="AH447">
        <f>Database!AV436</f>
        <v/>
      </c>
    </row>
    <row r="448">
      <c r="A448">
        <f>Database!B448</f>
        <v/>
      </c>
      <c r="B448">
        <f>IF(AND(Screener!$D$8&lt;&gt;"",Database!$E448=Screener!$D$8),1,0)</f>
        <v/>
      </c>
      <c r="C448">
        <f>IF(AND(Screener!$D$7&lt;&gt;"",Database!$D448=Screener!$D$7),1,0)</f>
        <v/>
      </c>
      <c r="D448">
        <f>IF(OR(N(Database!$I448)&lt;=0,N(Screener!$D$9)&lt;=0),0,MAX(0,1-ABS(LOG10(N(Database!$I448)/Screener!$D$9))/W_SIZEHW))</f>
        <v/>
      </c>
      <c r="E448">
        <f>IF(OR(Database!$AU448="",Screener!$D$10=""),0,IF(Database!$AU448=Screener!$D$10,1,0))</f>
        <v/>
      </c>
      <c r="F448">
        <f>IF(OR(Database!$AZ448="",Screener!$D$11=""),0,IF(Database!$AZ448=Screener!$D$11,1,0))</f>
        <v/>
      </c>
      <c r="G448">
        <f>IF(OR(Database!$H448="",N(Screener!$D$12)&lt;=0),0,MAX(0,1-(N(Screener!$D$12)-Database!$H448)/W_RECD))</f>
        <v/>
      </c>
      <c r="H448">
        <f>IF($U$1="",0,N(ISNUMBER(SEARCH($U$1,Database!$X448&amp;""))))+IF($V$1="",0,N(ISNUMBER(SEARCH($V$1,Database!$X448&amp;""))))+IF($W$1="",0,N(ISNUMBER(SEARCH($W$1,Database!$X448&amp;""))))+IF($X$1="",0,N(ISNUMBER(SEARCH($X$1,Database!$X448&amp;""))))+IF($Y$1="",0,N(ISNUMBER(SEARCH($Y$1,Database!$X448&amp;""))))+IF(Screener!$B$17="",0,N(ISNUMBER(SEARCH(LOWER(Screener!$B$17),Database!$X448&amp;""))))</f>
        <v/>
      </c>
      <c r="I448">
        <f>IF(OR(N(Database!$AV448)&lt;=0,N(Screener!$D$13)&lt;=0),0,MAX(0,1-ABS(LOG10(N(Database!$AV448)/Screener!$D$13))/W_PEHW))</f>
        <v/>
      </c>
      <c r="J448">
        <f>IF(OR(N(Database!$S448)&lt;=0,N(Screener!$D$14)&lt;=0),0,MAX(0,1-ABS(LOG10(Database!$S448/Screener!$D$14))/0.6))</f>
        <v/>
      </c>
      <c r="K448">
        <f>IF(Database!$B448=Screener!$B$5,-999999,IF(ISNUMBER(SEARCH(","&amp;Database!$A448&amp;",",","&amp;SUBSTITUTE(Screener!$B$19," ","")&amp;",")),2000000,IF(IF(OR(Screener!$B$18="All",AND(Screener!$B$18="With A-share",(Database!$AZ448="Y")),AND(Screener!$B$18="Without A-share",NOT((Database!$AZ448="Y")))),1,0)=0,-999999,IF(Screener!$B$16="cornerstone overlap first",H448*100000,IF(Screener!$B$16="demand-similar first",J448*100000,0))+W_SUB*B448+W_SEC*C448*(1-B448)+W_SIZE*D448+W_PROF*E448+W_AH*F448+W_REC*G448+W_CS*H448+W_PE*I448)))+ROW()/1000000</f>
        <v/>
      </c>
      <c r="AA448">
        <f>Database!B437</f>
        <v/>
      </c>
      <c r="AB448">
        <f>Database!D437</f>
        <v/>
      </c>
      <c r="AC448">
        <f>Database!E437</f>
        <v/>
      </c>
      <c r="AD448">
        <f>Database!I437</f>
        <v/>
      </c>
      <c r="AE448">
        <f>Database!AU437</f>
        <v/>
      </c>
      <c r="AF448">
        <f>Database!AZ437</f>
        <v/>
      </c>
      <c r="AG448">
        <f>Database!H437</f>
        <v/>
      </c>
      <c r="AH448">
        <f>Database!AV437</f>
        <v/>
      </c>
    </row>
    <row r="449">
      <c r="A449">
        <f>Database!B449</f>
        <v/>
      </c>
      <c r="B449">
        <f>IF(AND(Screener!$D$8&lt;&gt;"",Database!$E449=Screener!$D$8),1,0)</f>
        <v/>
      </c>
      <c r="C449">
        <f>IF(AND(Screener!$D$7&lt;&gt;"",Database!$D449=Screener!$D$7),1,0)</f>
        <v/>
      </c>
      <c r="D449">
        <f>IF(OR(N(Database!$I449)&lt;=0,N(Screener!$D$9)&lt;=0),0,MAX(0,1-ABS(LOG10(N(Database!$I449)/Screener!$D$9))/W_SIZEHW))</f>
        <v/>
      </c>
      <c r="E449">
        <f>IF(OR(Database!$AU449="",Screener!$D$10=""),0,IF(Database!$AU449=Screener!$D$10,1,0))</f>
        <v/>
      </c>
      <c r="F449">
        <f>IF(OR(Database!$AZ449="",Screener!$D$11=""),0,IF(Database!$AZ449=Screener!$D$11,1,0))</f>
        <v/>
      </c>
      <c r="G449">
        <f>IF(OR(Database!$H449="",N(Screener!$D$12)&lt;=0),0,MAX(0,1-(N(Screener!$D$12)-Database!$H449)/W_RECD))</f>
        <v/>
      </c>
      <c r="H449">
        <f>IF($U$1="",0,N(ISNUMBER(SEARCH($U$1,Database!$X449&amp;""))))+IF($V$1="",0,N(ISNUMBER(SEARCH($V$1,Database!$X449&amp;""))))+IF($W$1="",0,N(ISNUMBER(SEARCH($W$1,Database!$X449&amp;""))))+IF($X$1="",0,N(ISNUMBER(SEARCH($X$1,Database!$X449&amp;""))))+IF($Y$1="",0,N(ISNUMBER(SEARCH($Y$1,Database!$X449&amp;""))))+IF(Screener!$B$17="",0,N(ISNUMBER(SEARCH(LOWER(Screener!$B$17),Database!$X449&amp;""))))</f>
        <v/>
      </c>
      <c r="I449">
        <f>IF(OR(N(Database!$AV449)&lt;=0,N(Screener!$D$13)&lt;=0),0,MAX(0,1-ABS(LOG10(N(Database!$AV449)/Screener!$D$13))/W_PEHW))</f>
        <v/>
      </c>
      <c r="J449">
        <f>IF(OR(N(Database!$S449)&lt;=0,N(Screener!$D$14)&lt;=0),0,MAX(0,1-ABS(LOG10(Database!$S449/Screener!$D$14))/0.6))</f>
        <v/>
      </c>
      <c r="K449">
        <f>IF(Database!$B449=Screener!$B$5,-999999,IF(ISNUMBER(SEARCH(","&amp;Database!$A449&amp;",",","&amp;SUBSTITUTE(Screener!$B$19," ","")&amp;",")),2000000,IF(IF(OR(Screener!$B$18="All",AND(Screener!$B$18="With A-share",(Database!$AZ449="Y")),AND(Screener!$B$18="Without A-share",NOT((Database!$AZ449="Y")))),1,0)=0,-999999,IF(Screener!$B$16="cornerstone overlap first",H449*100000,IF(Screener!$B$16="demand-similar first",J449*100000,0))+W_SUB*B449+W_SEC*C449*(1-B449)+W_SIZE*D449+W_PROF*E449+W_AH*F449+W_REC*G449+W_CS*H449+W_PE*I449)))+ROW()/1000000</f>
        <v/>
      </c>
      <c r="AA449">
        <f>Database!B438</f>
        <v/>
      </c>
      <c r="AB449">
        <f>Database!D438</f>
        <v/>
      </c>
      <c r="AC449">
        <f>Database!E438</f>
        <v/>
      </c>
      <c r="AD449">
        <f>Database!I438</f>
        <v/>
      </c>
      <c r="AE449">
        <f>Database!AU438</f>
        <v/>
      </c>
      <c r="AF449">
        <f>Database!AZ438</f>
        <v/>
      </c>
      <c r="AG449">
        <f>Database!H438</f>
        <v/>
      </c>
      <c r="AH449">
        <f>Database!AV438</f>
        <v/>
      </c>
    </row>
    <row r="450">
      <c r="A450">
        <f>Database!B450</f>
        <v/>
      </c>
      <c r="B450">
        <f>IF(AND(Screener!$D$8&lt;&gt;"",Database!$E450=Screener!$D$8),1,0)</f>
        <v/>
      </c>
      <c r="C450">
        <f>IF(AND(Screener!$D$7&lt;&gt;"",Database!$D450=Screener!$D$7),1,0)</f>
        <v/>
      </c>
      <c r="D450">
        <f>IF(OR(N(Database!$I450)&lt;=0,N(Screener!$D$9)&lt;=0),0,MAX(0,1-ABS(LOG10(N(Database!$I450)/Screener!$D$9))/W_SIZEHW))</f>
        <v/>
      </c>
      <c r="E450">
        <f>IF(OR(Database!$AU450="",Screener!$D$10=""),0,IF(Database!$AU450=Screener!$D$10,1,0))</f>
        <v/>
      </c>
      <c r="F450">
        <f>IF(OR(Database!$AZ450="",Screener!$D$11=""),0,IF(Database!$AZ450=Screener!$D$11,1,0))</f>
        <v/>
      </c>
      <c r="G450">
        <f>IF(OR(Database!$H450="",N(Screener!$D$12)&lt;=0),0,MAX(0,1-(N(Screener!$D$12)-Database!$H450)/W_RECD))</f>
        <v/>
      </c>
      <c r="H450">
        <f>IF($U$1="",0,N(ISNUMBER(SEARCH($U$1,Database!$X450&amp;""))))+IF($V$1="",0,N(ISNUMBER(SEARCH($V$1,Database!$X450&amp;""))))+IF($W$1="",0,N(ISNUMBER(SEARCH($W$1,Database!$X450&amp;""))))+IF($X$1="",0,N(ISNUMBER(SEARCH($X$1,Database!$X450&amp;""))))+IF($Y$1="",0,N(ISNUMBER(SEARCH($Y$1,Database!$X450&amp;""))))+IF(Screener!$B$17="",0,N(ISNUMBER(SEARCH(LOWER(Screener!$B$17),Database!$X450&amp;""))))</f>
        <v/>
      </c>
      <c r="I450">
        <f>IF(OR(N(Database!$AV450)&lt;=0,N(Screener!$D$13)&lt;=0),0,MAX(0,1-ABS(LOG10(N(Database!$AV450)/Screener!$D$13))/W_PEHW))</f>
        <v/>
      </c>
      <c r="J450">
        <f>IF(OR(N(Database!$S450)&lt;=0,N(Screener!$D$14)&lt;=0),0,MAX(0,1-ABS(LOG10(Database!$S450/Screener!$D$14))/0.6))</f>
        <v/>
      </c>
      <c r="K450">
        <f>IF(Database!$B450=Screener!$B$5,-999999,IF(ISNUMBER(SEARCH(","&amp;Database!$A450&amp;",",","&amp;SUBSTITUTE(Screener!$B$19," ","")&amp;",")),2000000,IF(IF(OR(Screener!$B$18="All",AND(Screener!$B$18="With A-share",(Database!$AZ450="Y")),AND(Screener!$B$18="Without A-share",NOT((Database!$AZ450="Y")))),1,0)=0,-999999,IF(Screener!$B$16="cornerstone overlap first",H450*100000,IF(Screener!$B$16="demand-similar first",J450*100000,0))+W_SUB*B450+W_SEC*C450*(1-B450)+W_SIZE*D450+W_PROF*E450+W_AH*F450+W_REC*G450+W_CS*H450+W_PE*I450)))+ROW()/1000000</f>
        <v/>
      </c>
      <c r="AA450">
        <f>Database!B439</f>
        <v/>
      </c>
      <c r="AB450">
        <f>Database!D439</f>
        <v/>
      </c>
      <c r="AC450">
        <f>Database!E439</f>
        <v/>
      </c>
      <c r="AD450">
        <f>Database!I439</f>
        <v/>
      </c>
      <c r="AE450">
        <f>Database!AU439</f>
        <v/>
      </c>
      <c r="AF450">
        <f>Database!AZ439</f>
        <v/>
      </c>
      <c r="AG450">
        <f>Database!H439</f>
        <v/>
      </c>
      <c r="AH450">
        <f>Database!AV439</f>
        <v/>
      </c>
    </row>
    <row r="451">
      <c r="A451">
        <f>Database!B451</f>
        <v/>
      </c>
      <c r="B451">
        <f>IF(AND(Screener!$D$8&lt;&gt;"",Database!$E451=Screener!$D$8),1,0)</f>
        <v/>
      </c>
      <c r="C451">
        <f>IF(AND(Screener!$D$7&lt;&gt;"",Database!$D451=Screener!$D$7),1,0)</f>
        <v/>
      </c>
      <c r="D451">
        <f>IF(OR(N(Database!$I451)&lt;=0,N(Screener!$D$9)&lt;=0),0,MAX(0,1-ABS(LOG10(N(Database!$I451)/Screener!$D$9))/W_SIZEHW))</f>
        <v/>
      </c>
      <c r="E451">
        <f>IF(OR(Database!$AU451="",Screener!$D$10=""),0,IF(Database!$AU451=Screener!$D$10,1,0))</f>
        <v/>
      </c>
      <c r="F451">
        <f>IF(OR(Database!$AZ451="",Screener!$D$11=""),0,IF(Database!$AZ451=Screener!$D$11,1,0))</f>
        <v/>
      </c>
      <c r="G451">
        <f>IF(OR(Database!$H451="",N(Screener!$D$12)&lt;=0),0,MAX(0,1-(N(Screener!$D$12)-Database!$H451)/W_RECD))</f>
        <v/>
      </c>
      <c r="H451">
        <f>IF($U$1="",0,N(ISNUMBER(SEARCH($U$1,Database!$X451&amp;""))))+IF($V$1="",0,N(ISNUMBER(SEARCH($V$1,Database!$X451&amp;""))))+IF($W$1="",0,N(ISNUMBER(SEARCH($W$1,Database!$X451&amp;""))))+IF($X$1="",0,N(ISNUMBER(SEARCH($X$1,Database!$X451&amp;""))))+IF($Y$1="",0,N(ISNUMBER(SEARCH($Y$1,Database!$X451&amp;""))))+IF(Screener!$B$17="",0,N(ISNUMBER(SEARCH(LOWER(Screener!$B$17),Database!$X451&amp;""))))</f>
        <v/>
      </c>
      <c r="I451">
        <f>IF(OR(N(Database!$AV451)&lt;=0,N(Screener!$D$13)&lt;=0),0,MAX(0,1-ABS(LOG10(N(Database!$AV451)/Screener!$D$13))/W_PEHW))</f>
        <v/>
      </c>
      <c r="J451">
        <f>IF(OR(N(Database!$S451)&lt;=0,N(Screener!$D$14)&lt;=0),0,MAX(0,1-ABS(LOG10(Database!$S451/Screener!$D$14))/0.6))</f>
        <v/>
      </c>
      <c r="K451">
        <f>IF(Database!$B451=Screener!$B$5,-999999,IF(ISNUMBER(SEARCH(","&amp;Database!$A451&amp;",",","&amp;SUBSTITUTE(Screener!$B$19," ","")&amp;",")),2000000,IF(IF(OR(Screener!$B$18="All",AND(Screener!$B$18="With A-share",(Database!$AZ451="Y")),AND(Screener!$B$18="Without A-share",NOT((Database!$AZ451="Y")))),1,0)=0,-999999,IF(Screener!$B$16="cornerstone overlap first",H451*100000,IF(Screener!$B$16="demand-similar first",J451*100000,0))+W_SUB*B451+W_SEC*C451*(1-B451)+W_SIZE*D451+W_PROF*E451+W_AH*F451+W_REC*G451+W_CS*H451+W_PE*I451)))+ROW()/1000000</f>
        <v/>
      </c>
      <c r="AA451">
        <f>Database!B440</f>
        <v/>
      </c>
      <c r="AB451">
        <f>Database!D440</f>
        <v/>
      </c>
      <c r="AC451">
        <f>Database!E440</f>
        <v/>
      </c>
      <c r="AD451">
        <f>Database!I440</f>
        <v/>
      </c>
      <c r="AE451">
        <f>Database!AU440</f>
        <v/>
      </c>
      <c r="AF451">
        <f>Database!AZ440</f>
        <v/>
      </c>
      <c r="AG451">
        <f>Database!H440</f>
        <v/>
      </c>
      <c r="AH451">
        <f>Database!AV440</f>
        <v/>
      </c>
    </row>
    <row r="452">
      <c r="A452">
        <f>Database!B452</f>
        <v/>
      </c>
      <c r="B452">
        <f>IF(AND(Screener!$D$8&lt;&gt;"",Database!$E452=Screener!$D$8),1,0)</f>
        <v/>
      </c>
      <c r="C452">
        <f>IF(AND(Screener!$D$7&lt;&gt;"",Database!$D452=Screener!$D$7),1,0)</f>
        <v/>
      </c>
      <c r="D452">
        <f>IF(OR(N(Database!$I452)&lt;=0,N(Screener!$D$9)&lt;=0),0,MAX(0,1-ABS(LOG10(N(Database!$I452)/Screener!$D$9))/W_SIZEHW))</f>
        <v/>
      </c>
      <c r="E452">
        <f>IF(OR(Database!$AU452="",Screener!$D$10=""),0,IF(Database!$AU452=Screener!$D$10,1,0))</f>
        <v/>
      </c>
      <c r="F452">
        <f>IF(OR(Database!$AZ452="",Screener!$D$11=""),0,IF(Database!$AZ452=Screener!$D$11,1,0))</f>
        <v/>
      </c>
      <c r="G452">
        <f>IF(OR(Database!$H452="",N(Screener!$D$12)&lt;=0),0,MAX(0,1-(N(Screener!$D$12)-Database!$H452)/W_RECD))</f>
        <v/>
      </c>
      <c r="H452">
        <f>IF($U$1="",0,N(ISNUMBER(SEARCH($U$1,Database!$X452&amp;""))))+IF($V$1="",0,N(ISNUMBER(SEARCH($V$1,Database!$X452&amp;""))))+IF($W$1="",0,N(ISNUMBER(SEARCH($W$1,Database!$X452&amp;""))))+IF($X$1="",0,N(ISNUMBER(SEARCH($X$1,Database!$X452&amp;""))))+IF($Y$1="",0,N(ISNUMBER(SEARCH($Y$1,Database!$X452&amp;""))))+IF(Screener!$B$17="",0,N(ISNUMBER(SEARCH(LOWER(Screener!$B$17),Database!$X452&amp;""))))</f>
        <v/>
      </c>
      <c r="I452">
        <f>IF(OR(N(Database!$AV452)&lt;=0,N(Screener!$D$13)&lt;=0),0,MAX(0,1-ABS(LOG10(N(Database!$AV452)/Screener!$D$13))/W_PEHW))</f>
        <v/>
      </c>
      <c r="J452">
        <f>IF(OR(N(Database!$S452)&lt;=0,N(Screener!$D$14)&lt;=0),0,MAX(0,1-ABS(LOG10(Database!$S452/Screener!$D$14))/0.6))</f>
        <v/>
      </c>
      <c r="K452">
        <f>IF(Database!$B452=Screener!$B$5,-999999,IF(ISNUMBER(SEARCH(","&amp;Database!$A452&amp;",",","&amp;SUBSTITUTE(Screener!$B$19," ","")&amp;",")),2000000,IF(IF(OR(Screener!$B$18="All",AND(Screener!$B$18="With A-share",(Database!$AZ452="Y")),AND(Screener!$B$18="Without A-share",NOT((Database!$AZ452="Y")))),1,0)=0,-999999,IF(Screener!$B$16="cornerstone overlap first",H452*100000,IF(Screener!$B$16="demand-similar first",J452*100000,0))+W_SUB*B452+W_SEC*C452*(1-B452)+W_SIZE*D452+W_PROF*E452+W_AH*F452+W_REC*G452+W_CS*H452+W_PE*I452)))+ROW()/1000000</f>
        <v/>
      </c>
      <c r="AA452">
        <f>Database!B441</f>
        <v/>
      </c>
      <c r="AB452">
        <f>Database!D441</f>
        <v/>
      </c>
      <c r="AC452">
        <f>Database!E441</f>
        <v/>
      </c>
      <c r="AD452">
        <f>Database!I441</f>
        <v/>
      </c>
      <c r="AE452">
        <f>Database!AU441</f>
        <v/>
      </c>
      <c r="AF452">
        <f>Database!AZ441</f>
        <v/>
      </c>
      <c r="AG452">
        <f>Database!H441</f>
        <v/>
      </c>
      <c r="AH452">
        <f>Database!AV441</f>
        <v/>
      </c>
    </row>
    <row r="453">
      <c r="A453">
        <f>Database!B453</f>
        <v/>
      </c>
      <c r="B453">
        <f>IF(AND(Screener!$D$8&lt;&gt;"",Database!$E453=Screener!$D$8),1,0)</f>
        <v/>
      </c>
      <c r="C453">
        <f>IF(AND(Screener!$D$7&lt;&gt;"",Database!$D453=Screener!$D$7),1,0)</f>
        <v/>
      </c>
      <c r="D453">
        <f>IF(OR(N(Database!$I453)&lt;=0,N(Screener!$D$9)&lt;=0),0,MAX(0,1-ABS(LOG10(N(Database!$I453)/Screener!$D$9))/W_SIZEHW))</f>
        <v/>
      </c>
      <c r="E453">
        <f>IF(OR(Database!$AU453="",Screener!$D$10=""),0,IF(Database!$AU453=Screener!$D$10,1,0))</f>
        <v/>
      </c>
      <c r="F453">
        <f>IF(OR(Database!$AZ453="",Screener!$D$11=""),0,IF(Database!$AZ453=Screener!$D$11,1,0))</f>
        <v/>
      </c>
      <c r="G453">
        <f>IF(OR(Database!$H453="",N(Screener!$D$12)&lt;=0),0,MAX(0,1-(N(Screener!$D$12)-Database!$H453)/W_RECD))</f>
        <v/>
      </c>
      <c r="H453">
        <f>IF($U$1="",0,N(ISNUMBER(SEARCH($U$1,Database!$X453&amp;""))))+IF($V$1="",0,N(ISNUMBER(SEARCH($V$1,Database!$X453&amp;""))))+IF($W$1="",0,N(ISNUMBER(SEARCH($W$1,Database!$X453&amp;""))))+IF($X$1="",0,N(ISNUMBER(SEARCH($X$1,Database!$X453&amp;""))))+IF($Y$1="",0,N(ISNUMBER(SEARCH($Y$1,Database!$X453&amp;""))))+IF(Screener!$B$17="",0,N(ISNUMBER(SEARCH(LOWER(Screener!$B$17),Database!$X453&amp;""))))</f>
        <v/>
      </c>
      <c r="I453">
        <f>IF(OR(N(Database!$AV453)&lt;=0,N(Screener!$D$13)&lt;=0),0,MAX(0,1-ABS(LOG10(N(Database!$AV453)/Screener!$D$13))/W_PEHW))</f>
        <v/>
      </c>
      <c r="J453">
        <f>IF(OR(N(Database!$S453)&lt;=0,N(Screener!$D$14)&lt;=0),0,MAX(0,1-ABS(LOG10(Database!$S453/Screener!$D$14))/0.6))</f>
        <v/>
      </c>
      <c r="K453">
        <f>IF(Database!$B453=Screener!$B$5,-999999,IF(ISNUMBER(SEARCH(","&amp;Database!$A453&amp;",",","&amp;SUBSTITUTE(Screener!$B$19," ","")&amp;",")),2000000,IF(IF(OR(Screener!$B$18="All",AND(Screener!$B$18="With A-share",(Database!$AZ453="Y")),AND(Screener!$B$18="Without A-share",NOT((Database!$AZ453="Y")))),1,0)=0,-999999,IF(Screener!$B$16="cornerstone overlap first",H453*100000,IF(Screener!$B$16="demand-similar first",J453*100000,0))+W_SUB*B453+W_SEC*C453*(1-B453)+W_SIZE*D453+W_PROF*E453+W_AH*F453+W_REC*G453+W_CS*H453+W_PE*I453)))+ROW()/1000000</f>
        <v/>
      </c>
      <c r="AA453">
        <f>Database!B442</f>
        <v/>
      </c>
      <c r="AB453">
        <f>Database!D442</f>
        <v/>
      </c>
      <c r="AC453">
        <f>Database!E442</f>
        <v/>
      </c>
      <c r="AD453">
        <f>Database!I442</f>
        <v/>
      </c>
      <c r="AE453">
        <f>Database!AU442</f>
        <v/>
      </c>
      <c r="AF453">
        <f>Database!AZ442</f>
        <v/>
      </c>
      <c r="AG453">
        <f>Database!H442</f>
        <v/>
      </c>
      <c r="AH453">
        <f>Database!AV442</f>
        <v/>
      </c>
    </row>
    <row r="454">
      <c r="A454">
        <f>Database!B454</f>
        <v/>
      </c>
      <c r="B454">
        <f>IF(AND(Screener!$D$8&lt;&gt;"",Database!$E454=Screener!$D$8),1,0)</f>
        <v/>
      </c>
      <c r="C454">
        <f>IF(AND(Screener!$D$7&lt;&gt;"",Database!$D454=Screener!$D$7),1,0)</f>
        <v/>
      </c>
      <c r="D454">
        <f>IF(OR(N(Database!$I454)&lt;=0,N(Screener!$D$9)&lt;=0),0,MAX(0,1-ABS(LOG10(N(Database!$I454)/Screener!$D$9))/W_SIZEHW))</f>
        <v/>
      </c>
      <c r="E454">
        <f>IF(OR(Database!$AU454="",Screener!$D$10=""),0,IF(Database!$AU454=Screener!$D$10,1,0))</f>
        <v/>
      </c>
      <c r="F454">
        <f>IF(OR(Database!$AZ454="",Screener!$D$11=""),0,IF(Database!$AZ454=Screener!$D$11,1,0))</f>
        <v/>
      </c>
      <c r="G454">
        <f>IF(OR(Database!$H454="",N(Screener!$D$12)&lt;=0),0,MAX(0,1-(N(Screener!$D$12)-Database!$H454)/W_RECD))</f>
        <v/>
      </c>
      <c r="H454">
        <f>IF($U$1="",0,N(ISNUMBER(SEARCH($U$1,Database!$X454&amp;""))))+IF($V$1="",0,N(ISNUMBER(SEARCH($V$1,Database!$X454&amp;""))))+IF($W$1="",0,N(ISNUMBER(SEARCH($W$1,Database!$X454&amp;""))))+IF($X$1="",0,N(ISNUMBER(SEARCH($X$1,Database!$X454&amp;""))))+IF($Y$1="",0,N(ISNUMBER(SEARCH($Y$1,Database!$X454&amp;""))))+IF(Screener!$B$17="",0,N(ISNUMBER(SEARCH(LOWER(Screener!$B$17),Database!$X454&amp;""))))</f>
        <v/>
      </c>
      <c r="I454">
        <f>IF(OR(N(Database!$AV454)&lt;=0,N(Screener!$D$13)&lt;=0),0,MAX(0,1-ABS(LOG10(N(Database!$AV454)/Screener!$D$13))/W_PEHW))</f>
        <v/>
      </c>
      <c r="J454">
        <f>IF(OR(N(Database!$S454)&lt;=0,N(Screener!$D$14)&lt;=0),0,MAX(0,1-ABS(LOG10(Database!$S454/Screener!$D$14))/0.6))</f>
        <v/>
      </c>
      <c r="K454">
        <f>IF(Database!$B454=Screener!$B$5,-999999,IF(ISNUMBER(SEARCH(","&amp;Database!$A454&amp;",",","&amp;SUBSTITUTE(Screener!$B$19," ","")&amp;",")),2000000,IF(IF(OR(Screener!$B$18="All",AND(Screener!$B$18="With A-share",(Database!$AZ454="Y")),AND(Screener!$B$18="Without A-share",NOT((Database!$AZ454="Y")))),1,0)=0,-999999,IF(Screener!$B$16="cornerstone overlap first",H454*100000,IF(Screener!$B$16="demand-similar first",J454*100000,0))+W_SUB*B454+W_SEC*C454*(1-B454)+W_SIZE*D454+W_PROF*E454+W_AH*F454+W_REC*G454+W_CS*H454+W_PE*I454)))+ROW()/1000000</f>
        <v/>
      </c>
      <c r="AA454">
        <f>Database!B443</f>
        <v/>
      </c>
      <c r="AB454">
        <f>Database!D443</f>
        <v/>
      </c>
      <c r="AC454">
        <f>Database!E443</f>
        <v/>
      </c>
      <c r="AD454">
        <f>Database!I443</f>
        <v/>
      </c>
      <c r="AE454">
        <f>Database!AU443</f>
        <v/>
      </c>
      <c r="AF454">
        <f>Database!AZ443</f>
        <v/>
      </c>
      <c r="AG454">
        <f>Database!H443</f>
        <v/>
      </c>
      <c r="AH454">
        <f>Database!AV443</f>
        <v/>
      </c>
    </row>
    <row r="455">
      <c r="A455">
        <f>Database!B455</f>
        <v/>
      </c>
      <c r="B455">
        <f>IF(AND(Screener!$D$8&lt;&gt;"",Database!$E455=Screener!$D$8),1,0)</f>
        <v/>
      </c>
      <c r="C455">
        <f>IF(AND(Screener!$D$7&lt;&gt;"",Database!$D455=Screener!$D$7),1,0)</f>
        <v/>
      </c>
      <c r="D455">
        <f>IF(OR(N(Database!$I455)&lt;=0,N(Screener!$D$9)&lt;=0),0,MAX(0,1-ABS(LOG10(N(Database!$I455)/Screener!$D$9))/W_SIZEHW))</f>
        <v/>
      </c>
      <c r="E455">
        <f>IF(OR(Database!$AU455="",Screener!$D$10=""),0,IF(Database!$AU455=Screener!$D$10,1,0))</f>
        <v/>
      </c>
      <c r="F455">
        <f>IF(OR(Database!$AZ455="",Screener!$D$11=""),0,IF(Database!$AZ455=Screener!$D$11,1,0))</f>
        <v/>
      </c>
      <c r="G455">
        <f>IF(OR(Database!$H455="",N(Screener!$D$12)&lt;=0),0,MAX(0,1-(N(Screener!$D$12)-Database!$H455)/W_RECD))</f>
        <v/>
      </c>
      <c r="H455">
        <f>IF($U$1="",0,N(ISNUMBER(SEARCH($U$1,Database!$X455&amp;""))))+IF($V$1="",0,N(ISNUMBER(SEARCH($V$1,Database!$X455&amp;""))))+IF($W$1="",0,N(ISNUMBER(SEARCH($W$1,Database!$X455&amp;""))))+IF($X$1="",0,N(ISNUMBER(SEARCH($X$1,Database!$X455&amp;""))))+IF($Y$1="",0,N(ISNUMBER(SEARCH($Y$1,Database!$X455&amp;""))))+IF(Screener!$B$17="",0,N(ISNUMBER(SEARCH(LOWER(Screener!$B$17),Database!$X455&amp;""))))</f>
        <v/>
      </c>
      <c r="I455">
        <f>IF(OR(N(Database!$AV455)&lt;=0,N(Screener!$D$13)&lt;=0),0,MAX(0,1-ABS(LOG10(N(Database!$AV455)/Screener!$D$13))/W_PEHW))</f>
        <v/>
      </c>
      <c r="J455">
        <f>IF(OR(N(Database!$S455)&lt;=0,N(Screener!$D$14)&lt;=0),0,MAX(0,1-ABS(LOG10(Database!$S455/Screener!$D$14))/0.6))</f>
        <v/>
      </c>
      <c r="K455">
        <f>IF(Database!$B455=Screener!$B$5,-999999,IF(ISNUMBER(SEARCH(","&amp;Database!$A455&amp;",",","&amp;SUBSTITUTE(Screener!$B$19," ","")&amp;",")),2000000,IF(IF(OR(Screener!$B$18="All",AND(Screener!$B$18="With A-share",(Database!$AZ455="Y")),AND(Screener!$B$18="Without A-share",NOT((Database!$AZ455="Y")))),1,0)=0,-999999,IF(Screener!$B$16="cornerstone overlap first",H455*100000,IF(Screener!$B$16="demand-similar first",J455*100000,0))+W_SUB*B455+W_SEC*C455*(1-B455)+W_SIZE*D455+W_PROF*E455+W_AH*F455+W_REC*G455+W_CS*H455+W_PE*I455)))+ROW()/1000000</f>
        <v/>
      </c>
      <c r="AA455">
        <f>Database!B444</f>
        <v/>
      </c>
      <c r="AB455">
        <f>Database!D444</f>
        <v/>
      </c>
      <c r="AC455">
        <f>Database!E444</f>
        <v/>
      </c>
      <c r="AD455">
        <f>Database!I444</f>
        <v/>
      </c>
      <c r="AE455">
        <f>Database!AU444</f>
        <v/>
      </c>
      <c r="AF455">
        <f>Database!AZ444</f>
        <v/>
      </c>
      <c r="AG455">
        <f>Database!H444</f>
        <v/>
      </c>
      <c r="AH455">
        <f>Database!AV444</f>
        <v/>
      </c>
    </row>
    <row r="456">
      <c r="A456">
        <f>Database!B456</f>
        <v/>
      </c>
      <c r="B456">
        <f>IF(AND(Screener!$D$8&lt;&gt;"",Database!$E456=Screener!$D$8),1,0)</f>
        <v/>
      </c>
      <c r="C456">
        <f>IF(AND(Screener!$D$7&lt;&gt;"",Database!$D456=Screener!$D$7),1,0)</f>
        <v/>
      </c>
      <c r="D456">
        <f>IF(OR(N(Database!$I456)&lt;=0,N(Screener!$D$9)&lt;=0),0,MAX(0,1-ABS(LOG10(N(Database!$I456)/Screener!$D$9))/W_SIZEHW))</f>
        <v/>
      </c>
      <c r="E456">
        <f>IF(OR(Database!$AU456="",Screener!$D$10=""),0,IF(Database!$AU456=Screener!$D$10,1,0))</f>
        <v/>
      </c>
      <c r="F456">
        <f>IF(OR(Database!$AZ456="",Screener!$D$11=""),0,IF(Database!$AZ456=Screener!$D$11,1,0))</f>
        <v/>
      </c>
      <c r="G456">
        <f>IF(OR(Database!$H456="",N(Screener!$D$12)&lt;=0),0,MAX(0,1-(N(Screener!$D$12)-Database!$H456)/W_RECD))</f>
        <v/>
      </c>
      <c r="H456">
        <f>IF($U$1="",0,N(ISNUMBER(SEARCH($U$1,Database!$X456&amp;""))))+IF($V$1="",0,N(ISNUMBER(SEARCH($V$1,Database!$X456&amp;""))))+IF($W$1="",0,N(ISNUMBER(SEARCH($W$1,Database!$X456&amp;""))))+IF($X$1="",0,N(ISNUMBER(SEARCH($X$1,Database!$X456&amp;""))))+IF($Y$1="",0,N(ISNUMBER(SEARCH($Y$1,Database!$X456&amp;""))))+IF(Screener!$B$17="",0,N(ISNUMBER(SEARCH(LOWER(Screener!$B$17),Database!$X456&amp;""))))</f>
        <v/>
      </c>
      <c r="I456">
        <f>IF(OR(N(Database!$AV456)&lt;=0,N(Screener!$D$13)&lt;=0),0,MAX(0,1-ABS(LOG10(N(Database!$AV456)/Screener!$D$13))/W_PEHW))</f>
        <v/>
      </c>
      <c r="J456">
        <f>IF(OR(N(Database!$S456)&lt;=0,N(Screener!$D$14)&lt;=0),0,MAX(0,1-ABS(LOG10(Database!$S456/Screener!$D$14))/0.6))</f>
        <v/>
      </c>
      <c r="K456">
        <f>IF(Database!$B456=Screener!$B$5,-999999,IF(ISNUMBER(SEARCH(","&amp;Database!$A456&amp;",",","&amp;SUBSTITUTE(Screener!$B$19," ","")&amp;",")),2000000,IF(IF(OR(Screener!$B$18="All",AND(Screener!$B$18="With A-share",(Database!$AZ456="Y")),AND(Screener!$B$18="Without A-share",NOT((Database!$AZ456="Y")))),1,0)=0,-999999,IF(Screener!$B$16="cornerstone overlap first",H456*100000,IF(Screener!$B$16="demand-similar first",J456*100000,0))+W_SUB*B456+W_SEC*C456*(1-B456)+W_SIZE*D456+W_PROF*E456+W_AH*F456+W_REC*G456+W_CS*H456+W_PE*I456)))+ROW()/1000000</f>
        <v/>
      </c>
      <c r="AA456">
        <f>Database!B445</f>
        <v/>
      </c>
      <c r="AB456">
        <f>Database!D445</f>
        <v/>
      </c>
      <c r="AC456">
        <f>Database!E445</f>
        <v/>
      </c>
      <c r="AD456">
        <f>Database!I445</f>
        <v/>
      </c>
      <c r="AE456">
        <f>Database!AU445</f>
        <v/>
      </c>
      <c r="AF456">
        <f>Database!AZ445</f>
        <v/>
      </c>
      <c r="AG456">
        <f>Database!H445</f>
        <v/>
      </c>
      <c r="AH456">
        <f>Database!AV445</f>
        <v/>
      </c>
    </row>
    <row r="457">
      <c r="A457">
        <f>Database!B457</f>
        <v/>
      </c>
      <c r="B457">
        <f>IF(AND(Screener!$D$8&lt;&gt;"",Database!$E457=Screener!$D$8),1,0)</f>
        <v/>
      </c>
      <c r="C457">
        <f>IF(AND(Screener!$D$7&lt;&gt;"",Database!$D457=Screener!$D$7),1,0)</f>
        <v/>
      </c>
      <c r="D457">
        <f>IF(OR(N(Database!$I457)&lt;=0,N(Screener!$D$9)&lt;=0),0,MAX(0,1-ABS(LOG10(N(Database!$I457)/Screener!$D$9))/W_SIZEHW))</f>
        <v/>
      </c>
      <c r="E457">
        <f>IF(OR(Database!$AU457="",Screener!$D$10=""),0,IF(Database!$AU457=Screener!$D$10,1,0))</f>
        <v/>
      </c>
      <c r="F457">
        <f>IF(OR(Database!$AZ457="",Screener!$D$11=""),0,IF(Database!$AZ457=Screener!$D$11,1,0))</f>
        <v/>
      </c>
      <c r="G457">
        <f>IF(OR(Database!$H457="",N(Screener!$D$12)&lt;=0),0,MAX(0,1-(N(Screener!$D$12)-Database!$H457)/W_RECD))</f>
        <v/>
      </c>
      <c r="H457">
        <f>IF($U$1="",0,N(ISNUMBER(SEARCH($U$1,Database!$X457&amp;""))))+IF($V$1="",0,N(ISNUMBER(SEARCH($V$1,Database!$X457&amp;""))))+IF($W$1="",0,N(ISNUMBER(SEARCH($W$1,Database!$X457&amp;""))))+IF($X$1="",0,N(ISNUMBER(SEARCH($X$1,Database!$X457&amp;""))))+IF($Y$1="",0,N(ISNUMBER(SEARCH($Y$1,Database!$X457&amp;""))))+IF(Screener!$B$17="",0,N(ISNUMBER(SEARCH(LOWER(Screener!$B$17),Database!$X457&amp;""))))</f>
        <v/>
      </c>
      <c r="I457">
        <f>IF(OR(N(Database!$AV457)&lt;=0,N(Screener!$D$13)&lt;=0),0,MAX(0,1-ABS(LOG10(N(Database!$AV457)/Screener!$D$13))/W_PEHW))</f>
        <v/>
      </c>
      <c r="J457">
        <f>IF(OR(N(Database!$S457)&lt;=0,N(Screener!$D$14)&lt;=0),0,MAX(0,1-ABS(LOG10(Database!$S457/Screener!$D$14))/0.6))</f>
        <v/>
      </c>
      <c r="K457">
        <f>IF(Database!$B457=Screener!$B$5,-999999,IF(ISNUMBER(SEARCH(","&amp;Database!$A457&amp;",",","&amp;SUBSTITUTE(Screener!$B$19," ","")&amp;",")),2000000,IF(IF(OR(Screener!$B$18="All",AND(Screener!$B$18="With A-share",(Database!$AZ457="Y")),AND(Screener!$B$18="Without A-share",NOT((Database!$AZ457="Y")))),1,0)=0,-999999,IF(Screener!$B$16="cornerstone overlap first",H457*100000,IF(Screener!$B$16="demand-similar first",J457*100000,0))+W_SUB*B457+W_SEC*C457*(1-B457)+W_SIZE*D457+W_PROF*E457+W_AH*F457+W_REC*G457+W_CS*H457+W_PE*I457)))+ROW()/1000000</f>
        <v/>
      </c>
      <c r="AA457">
        <f>Database!B446</f>
        <v/>
      </c>
      <c r="AB457">
        <f>Database!D446</f>
        <v/>
      </c>
      <c r="AC457">
        <f>Database!E446</f>
        <v/>
      </c>
      <c r="AD457">
        <f>Database!I446</f>
        <v/>
      </c>
      <c r="AE457">
        <f>Database!AU446</f>
        <v/>
      </c>
      <c r="AF457">
        <f>Database!AZ446</f>
        <v/>
      </c>
      <c r="AG457">
        <f>Database!H446</f>
        <v/>
      </c>
      <c r="AH457">
        <f>Database!AV446</f>
        <v/>
      </c>
    </row>
    <row r="458">
      <c r="A458">
        <f>Database!B458</f>
        <v/>
      </c>
      <c r="B458">
        <f>IF(AND(Screener!$D$8&lt;&gt;"",Database!$E458=Screener!$D$8),1,0)</f>
        <v/>
      </c>
      <c r="C458">
        <f>IF(AND(Screener!$D$7&lt;&gt;"",Database!$D458=Screener!$D$7),1,0)</f>
        <v/>
      </c>
      <c r="D458">
        <f>IF(OR(N(Database!$I458)&lt;=0,N(Screener!$D$9)&lt;=0),0,MAX(0,1-ABS(LOG10(N(Database!$I458)/Screener!$D$9))/W_SIZEHW))</f>
        <v/>
      </c>
      <c r="E458">
        <f>IF(OR(Database!$AU458="",Screener!$D$10=""),0,IF(Database!$AU458=Screener!$D$10,1,0))</f>
        <v/>
      </c>
      <c r="F458">
        <f>IF(OR(Database!$AZ458="",Screener!$D$11=""),0,IF(Database!$AZ458=Screener!$D$11,1,0))</f>
        <v/>
      </c>
      <c r="G458">
        <f>IF(OR(Database!$H458="",N(Screener!$D$12)&lt;=0),0,MAX(0,1-(N(Screener!$D$12)-Database!$H458)/W_RECD))</f>
        <v/>
      </c>
      <c r="H458">
        <f>IF($U$1="",0,N(ISNUMBER(SEARCH($U$1,Database!$X458&amp;""))))+IF($V$1="",0,N(ISNUMBER(SEARCH($V$1,Database!$X458&amp;""))))+IF($W$1="",0,N(ISNUMBER(SEARCH($W$1,Database!$X458&amp;""))))+IF($X$1="",0,N(ISNUMBER(SEARCH($X$1,Database!$X458&amp;""))))+IF($Y$1="",0,N(ISNUMBER(SEARCH($Y$1,Database!$X458&amp;""))))+IF(Screener!$B$17="",0,N(ISNUMBER(SEARCH(LOWER(Screener!$B$17),Database!$X458&amp;""))))</f>
        <v/>
      </c>
      <c r="I458">
        <f>IF(OR(N(Database!$AV458)&lt;=0,N(Screener!$D$13)&lt;=0),0,MAX(0,1-ABS(LOG10(N(Database!$AV458)/Screener!$D$13))/W_PEHW))</f>
        <v/>
      </c>
      <c r="J458">
        <f>IF(OR(N(Database!$S458)&lt;=0,N(Screener!$D$14)&lt;=0),0,MAX(0,1-ABS(LOG10(Database!$S458/Screener!$D$14))/0.6))</f>
        <v/>
      </c>
      <c r="K458">
        <f>IF(Database!$B458=Screener!$B$5,-999999,IF(ISNUMBER(SEARCH(","&amp;Database!$A458&amp;",",","&amp;SUBSTITUTE(Screener!$B$19," ","")&amp;",")),2000000,IF(IF(OR(Screener!$B$18="All",AND(Screener!$B$18="With A-share",(Database!$AZ458="Y")),AND(Screener!$B$18="Without A-share",NOT((Database!$AZ458="Y")))),1,0)=0,-999999,IF(Screener!$B$16="cornerstone overlap first",H458*100000,IF(Screener!$B$16="demand-similar first",J458*100000,0))+W_SUB*B458+W_SEC*C458*(1-B458)+W_SIZE*D458+W_PROF*E458+W_AH*F458+W_REC*G458+W_CS*H458+W_PE*I458)))+ROW()/1000000</f>
        <v/>
      </c>
      <c r="AA458">
        <f>Database!B447</f>
        <v/>
      </c>
      <c r="AB458">
        <f>Database!D447</f>
        <v/>
      </c>
      <c r="AC458">
        <f>Database!E447</f>
        <v/>
      </c>
      <c r="AD458">
        <f>Database!I447</f>
        <v/>
      </c>
      <c r="AE458">
        <f>Database!AU447</f>
        <v/>
      </c>
      <c r="AF458">
        <f>Database!AZ447</f>
        <v/>
      </c>
      <c r="AG458">
        <f>Database!H447</f>
        <v/>
      </c>
      <c r="AH458">
        <f>Database!AV447</f>
        <v/>
      </c>
    </row>
    <row r="459">
      <c r="A459">
        <f>Database!B459</f>
        <v/>
      </c>
      <c r="B459">
        <f>IF(AND(Screener!$D$8&lt;&gt;"",Database!$E459=Screener!$D$8),1,0)</f>
        <v/>
      </c>
      <c r="C459">
        <f>IF(AND(Screener!$D$7&lt;&gt;"",Database!$D459=Screener!$D$7),1,0)</f>
        <v/>
      </c>
      <c r="D459">
        <f>IF(OR(N(Database!$I459)&lt;=0,N(Screener!$D$9)&lt;=0),0,MAX(0,1-ABS(LOG10(N(Database!$I459)/Screener!$D$9))/W_SIZEHW))</f>
        <v/>
      </c>
      <c r="E459">
        <f>IF(OR(Database!$AU459="",Screener!$D$10=""),0,IF(Database!$AU459=Screener!$D$10,1,0))</f>
        <v/>
      </c>
      <c r="F459">
        <f>IF(OR(Database!$AZ459="",Screener!$D$11=""),0,IF(Database!$AZ459=Screener!$D$11,1,0))</f>
        <v/>
      </c>
      <c r="G459">
        <f>IF(OR(Database!$H459="",N(Screener!$D$12)&lt;=0),0,MAX(0,1-(N(Screener!$D$12)-Database!$H459)/W_RECD))</f>
        <v/>
      </c>
      <c r="H459">
        <f>IF($U$1="",0,N(ISNUMBER(SEARCH($U$1,Database!$X459&amp;""))))+IF($V$1="",0,N(ISNUMBER(SEARCH($V$1,Database!$X459&amp;""))))+IF($W$1="",0,N(ISNUMBER(SEARCH($W$1,Database!$X459&amp;""))))+IF($X$1="",0,N(ISNUMBER(SEARCH($X$1,Database!$X459&amp;""))))+IF($Y$1="",0,N(ISNUMBER(SEARCH($Y$1,Database!$X459&amp;""))))+IF(Screener!$B$17="",0,N(ISNUMBER(SEARCH(LOWER(Screener!$B$17),Database!$X459&amp;""))))</f>
        <v/>
      </c>
      <c r="I459">
        <f>IF(OR(N(Database!$AV459)&lt;=0,N(Screener!$D$13)&lt;=0),0,MAX(0,1-ABS(LOG10(N(Database!$AV459)/Screener!$D$13))/W_PEHW))</f>
        <v/>
      </c>
      <c r="J459">
        <f>IF(OR(N(Database!$S459)&lt;=0,N(Screener!$D$14)&lt;=0),0,MAX(0,1-ABS(LOG10(Database!$S459/Screener!$D$14))/0.6))</f>
        <v/>
      </c>
      <c r="K459">
        <f>IF(Database!$B459=Screener!$B$5,-999999,IF(ISNUMBER(SEARCH(","&amp;Database!$A459&amp;",",","&amp;SUBSTITUTE(Screener!$B$19," ","")&amp;",")),2000000,IF(IF(OR(Screener!$B$18="All",AND(Screener!$B$18="With A-share",(Database!$AZ459="Y")),AND(Screener!$B$18="Without A-share",NOT((Database!$AZ459="Y")))),1,0)=0,-999999,IF(Screener!$B$16="cornerstone overlap first",H459*100000,IF(Screener!$B$16="demand-similar first",J459*100000,0))+W_SUB*B459+W_SEC*C459*(1-B459)+W_SIZE*D459+W_PROF*E459+W_AH*F459+W_REC*G459+W_CS*H459+W_PE*I459)))+ROW()/1000000</f>
        <v/>
      </c>
      <c r="AA459">
        <f>Database!B448</f>
        <v/>
      </c>
      <c r="AB459">
        <f>Database!D448</f>
        <v/>
      </c>
      <c r="AC459">
        <f>Database!E448</f>
        <v/>
      </c>
      <c r="AD459">
        <f>Database!I448</f>
        <v/>
      </c>
      <c r="AE459">
        <f>Database!AU448</f>
        <v/>
      </c>
      <c r="AF459">
        <f>Database!AZ448</f>
        <v/>
      </c>
      <c r="AG459">
        <f>Database!H448</f>
        <v/>
      </c>
      <c r="AH459">
        <f>Database!AV448</f>
        <v/>
      </c>
    </row>
    <row r="460">
      <c r="A460">
        <f>Database!B460</f>
        <v/>
      </c>
      <c r="B460">
        <f>IF(AND(Screener!$D$8&lt;&gt;"",Database!$E460=Screener!$D$8),1,0)</f>
        <v/>
      </c>
      <c r="C460">
        <f>IF(AND(Screener!$D$7&lt;&gt;"",Database!$D460=Screener!$D$7),1,0)</f>
        <v/>
      </c>
      <c r="D460">
        <f>IF(OR(N(Database!$I460)&lt;=0,N(Screener!$D$9)&lt;=0),0,MAX(0,1-ABS(LOG10(N(Database!$I460)/Screener!$D$9))/W_SIZEHW))</f>
        <v/>
      </c>
      <c r="E460">
        <f>IF(OR(Database!$AU460="",Screener!$D$10=""),0,IF(Database!$AU460=Screener!$D$10,1,0))</f>
        <v/>
      </c>
      <c r="F460">
        <f>IF(OR(Database!$AZ460="",Screener!$D$11=""),0,IF(Database!$AZ460=Screener!$D$11,1,0))</f>
        <v/>
      </c>
      <c r="G460">
        <f>IF(OR(Database!$H460="",N(Screener!$D$12)&lt;=0),0,MAX(0,1-(N(Screener!$D$12)-Database!$H460)/W_RECD))</f>
        <v/>
      </c>
      <c r="H460">
        <f>IF($U$1="",0,N(ISNUMBER(SEARCH($U$1,Database!$X460&amp;""))))+IF($V$1="",0,N(ISNUMBER(SEARCH($V$1,Database!$X460&amp;""))))+IF($W$1="",0,N(ISNUMBER(SEARCH($W$1,Database!$X460&amp;""))))+IF($X$1="",0,N(ISNUMBER(SEARCH($X$1,Database!$X460&amp;""))))+IF($Y$1="",0,N(ISNUMBER(SEARCH($Y$1,Database!$X460&amp;""))))+IF(Screener!$B$17="",0,N(ISNUMBER(SEARCH(LOWER(Screener!$B$17),Database!$X460&amp;""))))</f>
        <v/>
      </c>
      <c r="I460">
        <f>IF(OR(N(Database!$AV460)&lt;=0,N(Screener!$D$13)&lt;=0),0,MAX(0,1-ABS(LOG10(N(Database!$AV460)/Screener!$D$13))/W_PEHW))</f>
        <v/>
      </c>
      <c r="J460">
        <f>IF(OR(N(Database!$S460)&lt;=0,N(Screener!$D$14)&lt;=0),0,MAX(0,1-ABS(LOG10(Database!$S460/Screener!$D$14))/0.6))</f>
        <v/>
      </c>
      <c r="K460">
        <f>IF(Database!$B460=Screener!$B$5,-999999,IF(ISNUMBER(SEARCH(","&amp;Database!$A460&amp;",",","&amp;SUBSTITUTE(Screener!$B$19," ","")&amp;",")),2000000,IF(IF(OR(Screener!$B$18="All",AND(Screener!$B$18="With A-share",(Database!$AZ460="Y")),AND(Screener!$B$18="Without A-share",NOT((Database!$AZ460="Y")))),1,0)=0,-999999,IF(Screener!$B$16="cornerstone overlap first",H460*100000,IF(Screener!$B$16="demand-similar first",J460*100000,0))+W_SUB*B460+W_SEC*C460*(1-B460)+W_SIZE*D460+W_PROF*E460+W_AH*F460+W_REC*G460+W_CS*H460+W_PE*I460)))+ROW()/1000000</f>
        <v/>
      </c>
      <c r="AA460">
        <f>Database!B449</f>
        <v/>
      </c>
      <c r="AB460">
        <f>Database!D449</f>
        <v/>
      </c>
      <c r="AC460">
        <f>Database!E449</f>
        <v/>
      </c>
      <c r="AD460">
        <f>Database!I449</f>
        <v/>
      </c>
      <c r="AE460">
        <f>Database!AU449</f>
        <v/>
      </c>
      <c r="AF460">
        <f>Database!AZ449</f>
        <v/>
      </c>
      <c r="AG460">
        <f>Database!H449</f>
        <v/>
      </c>
      <c r="AH460">
        <f>Database!AV449</f>
        <v/>
      </c>
    </row>
    <row r="461">
      <c r="A461">
        <f>Database!B461</f>
        <v/>
      </c>
      <c r="B461">
        <f>IF(AND(Screener!$D$8&lt;&gt;"",Database!$E461=Screener!$D$8),1,0)</f>
        <v/>
      </c>
      <c r="C461">
        <f>IF(AND(Screener!$D$7&lt;&gt;"",Database!$D461=Screener!$D$7),1,0)</f>
        <v/>
      </c>
      <c r="D461">
        <f>IF(OR(N(Database!$I461)&lt;=0,N(Screener!$D$9)&lt;=0),0,MAX(0,1-ABS(LOG10(N(Database!$I461)/Screener!$D$9))/W_SIZEHW))</f>
        <v/>
      </c>
      <c r="E461">
        <f>IF(OR(Database!$AU461="",Screener!$D$10=""),0,IF(Database!$AU461=Screener!$D$10,1,0))</f>
        <v/>
      </c>
      <c r="F461">
        <f>IF(OR(Database!$AZ461="",Screener!$D$11=""),0,IF(Database!$AZ461=Screener!$D$11,1,0))</f>
        <v/>
      </c>
      <c r="G461">
        <f>IF(OR(Database!$H461="",N(Screener!$D$12)&lt;=0),0,MAX(0,1-(N(Screener!$D$12)-Database!$H461)/W_RECD))</f>
        <v/>
      </c>
      <c r="H461">
        <f>IF($U$1="",0,N(ISNUMBER(SEARCH($U$1,Database!$X461&amp;""))))+IF($V$1="",0,N(ISNUMBER(SEARCH($V$1,Database!$X461&amp;""))))+IF($W$1="",0,N(ISNUMBER(SEARCH($W$1,Database!$X461&amp;""))))+IF($X$1="",0,N(ISNUMBER(SEARCH($X$1,Database!$X461&amp;""))))+IF($Y$1="",0,N(ISNUMBER(SEARCH($Y$1,Database!$X461&amp;""))))+IF(Screener!$B$17="",0,N(ISNUMBER(SEARCH(LOWER(Screener!$B$17),Database!$X461&amp;""))))</f>
        <v/>
      </c>
      <c r="I461">
        <f>IF(OR(N(Database!$AV461)&lt;=0,N(Screener!$D$13)&lt;=0),0,MAX(0,1-ABS(LOG10(N(Database!$AV461)/Screener!$D$13))/W_PEHW))</f>
        <v/>
      </c>
      <c r="J461">
        <f>IF(OR(N(Database!$S461)&lt;=0,N(Screener!$D$14)&lt;=0),0,MAX(0,1-ABS(LOG10(Database!$S461/Screener!$D$14))/0.6))</f>
        <v/>
      </c>
      <c r="K461">
        <f>IF(Database!$B461=Screener!$B$5,-999999,IF(ISNUMBER(SEARCH(","&amp;Database!$A461&amp;",",","&amp;SUBSTITUTE(Screener!$B$19," ","")&amp;",")),2000000,IF(IF(OR(Screener!$B$18="All",AND(Screener!$B$18="With A-share",(Database!$AZ461="Y")),AND(Screener!$B$18="Without A-share",NOT((Database!$AZ461="Y")))),1,0)=0,-999999,IF(Screener!$B$16="cornerstone overlap first",H461*100000,IF(Screener!$B$16="demand-similar first",J461*100000,0))+W_SUB*B461+W_SEC*C461*(1-B461)+W_SIZE*D461+W_PROF*E461+W_AH*F461+W_REC*G461+W_CS*H461+W_PE*I461)))+ROW()/1000000</f>
        <v/>
      </c>
      <c r="AA461">
        <f>Database!B450</f>
        <v/>
      </c>
      <c r="AB461">
        <f>Database!D450</f>
        <v/>
      </c>
      <c r="AC461">
        <f>Database!E450</f>
        <v/>
      </c>
      <c r="AD461">
        <f>Database!I450</f>
        <v/>
      </c>
      <c r="AE461">
        <f>Database!AU450</f>
        <v/>
      </c>
      <c r="AF461">
        <f>Database!AZ450</f>
        <v/>
      </c>
      <c r="AG461">
        <f>Database!H450</f>
        <v/>
      </c>
      <c r="AH461">
        <f>Database!AV450</f>
        <v/>
      </c>
    </row>
    <row r="462">
      <c r="A462">
        <f>Database!B462</f>
        <v/>
      </c>
      <c r="B462">
        <f>IF(AND(Screener!$D$8&lt;&gt;"",Database!$E462=Screener!$D$8),1,0)</f>
        <v/>
      </c>
      <c r="C462">
        <f>IF(AND(Screener!$D$7&lt;&gt;"",Database!$D462=Screener!$D$7),1,0)</f>
        <v/>
      </c>
      <c r="D462">
        <f>IF(OR(N(Database!$I462)&lt;=0,N(Screener!$D$9)&lt;=0),0,MAX(0,1-ABS(LOG10(N(Database!$I462)/Screener!$D$9))/W_SIZEHW))</f>
        <v/>
      </c>
      <c r="E462">
        <f>IF(OR(Database!$AU462="",Screener!$D$10=""),0,IF(Database!$AU462=Screener!$D$10,1,0))</f>
        <v/>
      </c>
      <c r="F462">
        <f>IF(OR(Database!$AZ462="",Screener!$D$11=""),0,IF(Database!$AZ462=Screener!$D$11,1,0))</f>
        <v/>
      </c>
      <c r="G462">
        <f>IF(OR(Database!$H462="",N(Screener!$D$12)&lt;=0),0,MAX(0,1-(N(Screener!$D$12)-Database!$H462)/W_RECD))</f>
        <v/>
      </c>
      <c r="H462">
        <f>IF($U$1="",0,N(ISNUMBER(SEARCH($U$1,Database!$X462&amp;""))))+IF($V$1="",0,N(ISNUMBER(SEARCH($V$1,Database!$X462&amp;""))))+IF($W$1="",0,N(ISNUMBER(SEARCH($W$1,Database!$X462&amp;""))))+IF($X$1="",0,N(ISNUMBER(SEARCH($X$1,Database!$X462&amp;""))))+IF($Y$1="",0,N(ISNUMBER(SEARCH($Y$1,Database!$X462&amp;""))))+IF(Screener!$B$17="",0,N(ISNUMBER(SEARCH(LOWER(Screener!$B$17),Database!$X462&amp;""))))</f>
        <v/>
      </c>
      <c r="I462">
        <f>IF(OR(N(Database!$AV462)&lt;=0,N(Screener!$D$13)&lt;=0),0,MAX(0,1-ABS(LOG10(N(Database!$AV462)/Screener!$D$13))/W_PEHW))</f>
        <v/>
      </c>
      <c r="J462">
        <f>IF(OR(N(Database!$S462)&lt;=0,N(Screener!$D$14)&lt;=0),0,MAX(0,1-ABS(LOG10(Database!$S462/Screener!$D$14))/0.6))</f>
        <v/>
      </c>
      <c r="K462">
        <f>IF(Database!$B462=Screener!$B$5,-999999,IF(ISNUMBER(SEARCH(","&amp;Database!$A462&amp;",",","&amp;SUBSTITUTE(Screener!$B$19," ","")&amp;",")),2000000,IF(IF(OR(Screener!$B$18="All",AND(Screener!$B$18="With A-share",(Database!$AZ462="Y")),AND(Screener!$B$18="Without A-share",NOT((Database!$AZ462="Y")))),1,0)=0,-999999,IF(Screener!$B$16="cornerstone overlap first",H462*100000,IF(Screener!$B$16="demand-similar first",J462*100000,0))+W_SUB*B462+W_SEC*C462*(1-B462)+W_SIZE*D462+W_PROF*E462+W_AH*F462+W_REC*G462+W_CS*H462+W_PE*I462)))+ROW()/1000000</f>
        <v/>
      </c>
      <c r="AA462">
        <f>Database!B451</f>
        <v/>
      </c>
      <c r="AB462">
        <f>Database!D451</f>
        <v/>
      </c>
      <c r="AC462">
        <f>Database!E451</f>
        <v/>
      </c>
      <c r="AD462">
        <f>Database!I451</f>
        <v/>
      </c>
      <c r="AE462">
        <f>Database!AU451</f>
        <v/>
      </c>
      <c r="AF462">
        <f>Database!AZ451</f>
        <v/>
      </c>
      <c r="AG462">
        <f>Database!H451</f>
        <v/>
      </c>
      <c r="AH462">
        <f>Database!AV451</f>
        <v/>
      </c>
    </row>
    <row r="463">
      <c r="A463">
        <f>Database!B463</f>
        <v/>
      </c>
      <c r="B463">
        <f>IF(AND(Screener!$D$8&lt;&gt;"",Database!$E463=Screener!$D$8),1,0)</f>
        <v/>
      </c>
      <c r="C463">
        <f>IF(AND(Screener!$D$7&lt;&gt;"",Database!$D463=Screener!$D$7),1,0)</f>
        <v/>
      </c>
      <c r="D463">
        <f>IF(OR(N(Database!$I463)&lt;=0,N(Screener!$D$9)&lt;=0),0,MAX(0,1-ABS(LOG10(N(Database!$I463)/Screener!$D$9))/W_SIZEHW))</f>
        <v/>
      </c>
      <c r="E463">
        <f>IF(OR(Database!$AU463="",Screener!$D$10=""),0,IF(Database!$AU463=Screener!$D$10,1,0))</f>
        <v/>
      </c>
      <c r="F463">
        <f>IF(OR(Database!$AZ463="",Screener!$D$11=""),0,IF(Database!$AZ463=Screener!$D$11,1,0))</f>
        <v/>
      </c>
      <c r="G463">
        <f>IF(OR(Database!$H463="",N(Screener!$D$12)&lt;=0),0,MAX(0,1-(N(Screener!$D$12)-Database!$H463)/W_RECD))</f>
        <v/>
      </c>
      <c r="H463">
        <f>IF($U$1="",0,N(ISNUMBER(SEARCH($U$1,Database!$X463&amp;""))))+IF($V$1="",0,N(ISNUMBER(SEARCH($V$1,Database!$X463&amp;""))))+IF($W$1="",0,N(ISNUMBER(SEARCH($W$1,Database!$X463&amp;""))))+IF($X$1="",0,N(ISNUMBER(SEARCH($X$1,Database!$X463&amp;""))))+IF($Y$1="",0,N(ISNUMBER(SEARCH($Y$1,Database!$X463&amp;""))))+IF(Screener!$B$17="",0,N(ISNUMBER(SEARCH(LOWER(Screener!$B$17),Database!$X463&amp;""))))</f>
        <v/>
      </c>
      <c r="I463">
        <f>IF(OR(N(Database!$AV463)&lt;=0,N(Screener!$D$13)&lt;=0),0,MAX(0,1-ABS(LOG10(N(Database!$AV463)/Screener!$D$13))/W_PEHW))</f>
        <v/>
      </c>
      <c r="J463">
        <f>IF(OR(N(Database!$S463)&lt;=0,N(Screener!$D$14)&lt;=0),0,MAX(0,1-ABS(LOG10(Database!$S463/Screener!$D$14))/0.6))</f>
        <v/>
      </c>
      <c r="K463">
        <f>IF(Database!$B463=Screener!$B$5,-999999,IF(ISNUMBER(SEARCH(","&amp;Database!$A463&amp;",",","&amp;SUBSTITUTE(Screener!$B$19," ","")&amp;",")),2000000,IF(IF(OR(Screener!$B$18="All",AND(Screener!$B$18="With A-share",(Database!$AZ463="Y")),AND(Screener!$B$18="Without A-share",NOT((Database!$AZ463="Y")))),1,0)=0,-999999,IF(Screener!$B$16="cornerstone overlap first",H463*100000,IF(Screener!$B$16="demand-similar first",J463*100000,0))+W_SUB*B463+W_SEC*C463*(1-B463)+W_SIZE*D463+W_PROF*E463+W_AH*F463+W_REC*G463+W_CS*H463+W_PE*I463)))+ROW()/1000000</f>
        <v/>
      </c>
      <c r="AA463">
        <f>Database!B452</f>
        <v/>
      </c>
      <c r="AB463">
        <f>Database!D452</f>
        <v/>
      </c>
      <c r="AC463">
        <f>Database!E452</f>
        <v/>
      </c>
      <c r="AD463">
        <f>Database!I452</f>
        <v/>
      </c>
      <c r="AE463">
        <f>Database!AU452</f>
        <v/>
      </c>
      <c r="AF463">
        <f>Database!AZ452</f>
        <v/>
      </c>
      <c r="AG463">
        <f>Database!H452</f>
        <v/>
      </c>
      <c r="AH463">
        <f>Database!AV452</f>
        <v/>
      </c>
    </row>
    <row r="464">
      <c r="A464">
        <f>Database!B464</f>
        <v/>
      </c>
      <c r="B464">
        <f>IF(AND(Screener!$D$8&lt;&gt;"",Database!$E464=Screener!$D$8),1,0)</f>
        <v/>
      </c>
      <c r="C464">
        <f>IF(AND(Screener!$D$7&lt;&gt;"",Database!$D464=Screener!$D$7),1,0)</f>
        <v/>
      </c>
      <c r="D464">
        <f>IF(OR(N(Database!$I464)&lt;=0,N(Screener!$D$9)&lt;=0),0,MAX(0,1-ABS(LOG10(N(Database!$I464)/Screener!$D$9))/W_SIZEHW))</f>
        <v/>
      </c>
      <c r="E464">
        <f>IF(OR(Database!$AU464="",Screener!$D$10=""),0,IF(Database!$AU464=Screener!$D$10,1,0))</f>
        <v/>
      </c>
      <c r="F464">
        <f>IF(OR(Database!$AZ464="",Screener!$D$11=""),0,IF(Database!$AZ464=Screener!$D$11,1,0))</f>
        <v/>
      </c>
      <c r="G464">
        <f>IF(OR(Database!$H464="",N(Screener!$D$12)&lt;=0),0,MAX(0,1-(N(Screener!$D$12)-Database!$H464)/W_RECD))</f>
        <v/>
      </c>
      <c r="H464">
        <f>IF($U$1="",0,N(ISNUMBER(SEARCH($U$1,Database!$X464&amp;""))))+IF($V$1="",0,N(ISNUMBER(SEARCH($V$1,Database!$X464&amp;""))))+IF($W$1="",0,N(ISNUMBER(SEARCH($W$1,Database!$X464&amp;""))))+IF($X$1="",0,N(ISNUMBER(SEARCH($X$1,Database!$X464&amp;""))))+IF($Y$1="",0,N(ISNUMBER(SEARCH($Y$1,Database!$X464&amp;""))))+IF(Screener!$B$17="",0,N(ISNUMBER(SEARCH(LOWER(Screener!$B$17),Database!$X464&amp;""))))</f>
        <v/>
      </c>
      <c r="I464">
        <f>IF(OR(N(Database!$AV464)&lt;=0,N(Screener!$D$13)&lt;=0),0,MAX(0,1-ABS(LOG10(N(Database!$AV464)/Screener!$D$13))/W_PEHW))</f>
        <v/>
      </c>
      <c r="J464">
        <f>IF(OR(N(Database!$S464)&lt;=0,N(Screener!$D$14)&lt;=0),0,MAX(0,1-ABS(LOG10(Database!$S464/Screener!$D$14))/0.6))</f>
        <v/>
      </c>
      <c r="K464">
        <f>IF(Database!$B464=Screener!$B$5,-999999,IF(ISNUMBER(SEARCH(","&amp;Database!$A464&amp;",",","&amp;SUBSTITUTE(Screener!$B$19," ","")&amp;",")),2000000,IF(IF(OR(Screener!$B$18="All",AND(Screener!$B$18="With A-share",(Database!$AZ464="Y")),AND(Screener!$B$18="Without A-share",NOT((Database!$AZ464="Y")))),1,0)=0,-999999,IF(Screener!$B$16="cornerstone overlap first",H464*100000,IF(Screener!$B$16="demand-similar first",J464*100000,0))+W_SUB*B464+W_SEC*C464*(1-B464)+W_SIZE*D464+W_PROF*E464+W_AH*F464+W_REC*G464+W_CS*H464+W_PE*I464)))+ROW()/1000000</f>
        <v/>
      </c>
      <c r="AA464">
        <f>Database!B453</f>
        <v/>
      </c>
      <c r="AB464">
        <f>Database!D453</f>
        <v/>
      </c>
      <c r="AC464">
        <f>Database!E453</f>
        <v/>
      </c>
      <c r="AD464">
        <f>Database!I453</f>
        <v/>
      </c>
      <c r="AE464">
        <f>Database!AU453</f>
        <v/>
      </c>
      <c r="AF464">
        <f>Database!AZ453</f>
        <v/>
      </c>
      <c r="AG464">
        <f>Database!H453</f>
        <v/>
      </c>
      <c r="AH464">
        <f>Database!AV453</f>
        <v/>
      </c>
    </row>
    <row r="465">
      <c r="A465">
        <f>Database!B465</f>
        <v/>
      </c>
      <c r="B465">
        <f>IF(AND(Screener!$D$8&lt;&gt;"",Database!$E465=Screener!$D$8),1,0)</f>
        <v/>
      </c>
      <c r="C465">
        <f>IF(AND(Screener!$D$7&lt;&gt;"",Database!$D465=Screener!$D$7),1,0)</f>
        <v/>
      </c>
      <c r="D465">
        <f>IF(OR(N(Database!$I465)&lt;=0,N(Screener!$D$9)&lt;=0),0,MAX(0,1-ABS(LOG10(N(Database!$I465)/Screener!$D$9))/W_SIZEHW))</f>
        <v/>
      </c>
      <c r="E465">
        <f>IF(OR(Database!$AU465="",Screener!$D$10=""),0,IF(Database!$AU465=Screener!$D$10,1,0))</f>
        <v/>
      </c>
      <c r="F465">
        <f>IF(OR(Database!$AZ465="",Screener!$D$11=""),0,IF(Database!$AZ465=Screener!$D$11,1,0))</f>
        <v/>
      </c>
      <c r="G465">
        <f>IF(OR(Database!$H465="",N(Screener!$D$12)&lt;=0),0,MAX(0,1-(N(Screener!$D$12)-Database!$H465)/W_RECD))</f>
        <v/>
      </c>
      <c r="H465">
        <f>IF($U$1="",0,N(ISNUMBER(SEARCH($U$1,Database!$X465&amp;""))))+IF($V$1="",0,N(ISNUMBER(SEARCH($V$1,Database!$X465&amp;""))))+IF($W$1="",0,N(ISNUMBER(SEARCH($W$1,Database!$X465&amp;""))))+IF($X$1="",0,N(ISNUMBER(SEARCH($X$1,Database!$X465&amp;""))))+IF($Y$1="",0,N(ISNUMBER(SEARCH($Y$1,Database!$X465&amp;""))))+IF(Screener!$B$17="",0,N(ISNUMBER(SEARCH(LOWER(Screener!$B$17),Database!$X465&amp;""))))</f>
        <v/>
      </c>
      <c r="I465">
        <f>IF(OR(N(Database!$AV465)&lt;=0,N(Screener!$D$13)&lt;=0),0,MAX(0,1-ABS(LOG10(N(Database!$AV465)/Screener!$D$13))/W_PEHW))</f>
        <v/>
      </c>
      <c r="J465">
        <f>IF(OR(N(Database!$S465)&lt;=0,N(Screener!$D$14)&lt;=0),0,MAX(0,1-ABS(LOG10(Database!$S465/Screener!$D$14))/0.6))</f>
        <v/>
      </c>
      <c r="K465">
        <f>IF(Database!$B465=Screener!$B$5,-999999,IF(ISNUMBER(SEARCH(","&amp;Database!$A465&amp;",",","&amp;SUBSTITUTE(Screener!$B$19," ","")&amp;",")),2000000,IF(IF(OR(Screener!$B$18="All",AND(Screener!$B$18="With A-share",(Database!$AZ465="Y")),AND(Screener!$B$18="Without A-share",NOT((Database!$AZ465="Y")))),1,0)=0,-999999,IF(Screener!$B$16="cornerstone overlap first",H465*100000,IF(Screener!$B$16="demand-similar first",J465*100000,0))+W_SUB*B465+W_SEC*C465*(1-B465)+W_SIZE*D465+W_PROF*E465+W_AH*F465+W_REC*G465+W_CS*H465+W_PE*I465)))+ROW()/1000000</f>
        <v/>
      </c>
      <c r="AA465">
        <f>Database!B454</f>
        <v/>
      </c>
      <c r="AB465">
        <f>Database!D454</f>
        <v/>
      </c>
      <c r="AC465">
        <f>Database!E454</f>
        <v/>
      </c>
      <c r="AD465">
        <f>Database!I454</f>
        <v/>
      </c>
      <c r="AE465">
        <f>Database!AU454</f>
        <v/>
      </c>
      <c r="AF465">
        <f>Database!AZ454</f>
        <v/>
      </c>
      <c r="AG465">
        <f>Database!H454</f>
        <v/>
      </c>
      <c r="AH465">
        <f>Database!AV454</f>
        <v/>
      </c>
    </row>
    <row r="466">
      <c r="A466">
        <f>Database!B466</f>
        <v/>
      </c>
      <c r="B466">
        <f>IF(AND(Screener!$D$8&lt;&gt;"",Database!$E466=Screener!$D$8),1,0)</f>
        <v/>
      </c>
      <c r="C466">
        <f>IF(AND(Screener!$D$7&lt;&gt;"",Database!$D466=Screener!$D$7),1,0)</f>
        <v/>
      </c>
      <c r="D466">
        <f>IF(OR(N(Database!$I466)&lt;=0,N(Screener!$D$9)&lt;=0),0,MAX(0,1-ABS(LOG10(N(Database!$I466)/Screener!$D$9))/W_SIZEHW))</f>
        <v/>
      </c>
      <c r="E466">
        <f>IF(OR(Database!$AU466="",Screener!$D$10=""),0,IF(Database!$AU466=Screener!$D$10,1,0))</f>
        <v/>
      </c>
      <c r="F466">
        <f>IF(OR(Database!$AZ466="",Screener!$D$11=""),0,IF(Database!$AZ466=Screener!$D$11,1,0))</f>
        <v/>
      </c>
      <c r="G466">
        <f>IF(OR(Database!$H466="",N(Screener!$D$12)&lt;=0),0,MAX(0,1-(N(Screener!$D$12)-Database!$H466)/W_RECD))</f>
        <v/>
      </c>
      <c r="H466">
        <f>IF($U$1="",0,N(ISNUMBER(SEARCH($U$1,Database!$X466&amp;""))))+IF($V$1="",0,N(ISNUMBER(SEARCH($V$1,Database!$X466&amp;""))))+IF($W$1="",0,N(ISNUMBER(SEARCH($W$1,Database!$X466&amp;""))))+IF($X$1="",0,N(ISNUMBER(SEARCH($X$1,Database!$X466&amp;""))))+IF($Y$1="",0,N(ISNUMBER(SEARCH($Y$1,Database!$X466&amp;""))))+IF(Screener!$B$17="",0,N(ISNUMBER(SEARCH(LOWER(Screener!$B$17),Database!$X466&amp;""))))</f>
        <v/>
      </c>
      <c r="I466">
        <f>IF(OR(N(Database!$AV466)&lt;=0,N(Screener!$D$13)&lt;=0),0,MAX(0,1-ABS(LOG10(N(Database!$AV466)/Screener!$D$13))/W_PEHW))</f>
        <v/>
      </c>
      <c r="J466">
        <f>IF(OR(N(Database!$S466)&lt;=0,N(Screener!$D$14)&lt;=0),0,MAX(0,1-ABS(LOG10(Database!$S466/Screener!$D$14))/0.6))</f>
        <v/>
      </c>
      <c r="K466">
        <f>IF(Database!$B466=Screener!$B$5,-999999,IF(ISNUMBER(SEARCH(","&amp;Database!$A466&amp;",",","&amp;SUBSTITUTE(Screener!$B$19," ","")&amp;",")),2000000,IF(IF(OR(Screener!$B$18="All",AND(Screener!$B$18="With A-share",(Database!$AZ466="Y")),AND(Screener!$B$18="Without A-share",NOT((Database!$AZ466="Y")))),1,0)=0,-999999,IF(Screener!$B$16="cornerstone overlap first",H466*100000,IF(Screener!$B$16="demand-similar first",J466*100000,0))+W_SUB*B466+W_SEC*C466*(1-B466)+W_SIZE*D466+W_PROF*E466+W_AH*F466+W_REC*G466+W_CS*H466+W_PE*I466)))+ROW()/1000000</f>
        <v/>
      </c>
      <c r="AA466">
        <f>Database!B455</f>
        <v/>
      </c>
      <c r="AB466">
        <f>Database!D455</f>
        <v/>
      </c>
      <c r="AC466">
        <f>Database!E455</f>
        <v/>
      </c>
      <c r="AD466">
        <f>Database!I455</f>
        <v/>
      </c>
      <c r="AE466">
        <f>Database!AU455</f>
        <v/>
      </c>
      <c r="AF466">
        <f>Database!AZ455</f>
        <v/>
      </c>
      <c r="AG466">
        <f>Database!H455</f>
        <v/>
      </c>
      <c r="AH466">
        <f>Database!AV455</f>
        <v/>
      </c>
    </row>
    <row r="467">
      <c r="A467">
        <f>Database!B467</f>
        <v/>
      </c>
      <c r="B467">
        <f>IF(AND(Screener!$D$8&lt;&gt;"",Database!$E467=Screener!$D$8),1,0)</f>
        <v/>
      </c>
      <c r="C467">
        <f>IF(AND(Screener!$D$7&lt;&gt;"",Database!$D467=Screener!$D$7),1,0)</f>
        <v/>
      </c>
      <c r="D467">
        <f>IF(OR(N(Database!$I467)&lt;=0,N(Screener!$D$9)&lt;=0),0,MAX(0,1-ABS(LOG10(N(Database!$I467)/Screener!$D$9))/W_SIZEHW))</f>
        <v/>
      </c>
      <c r="E467">
        <f>IF(OR(Database!$AU467="",Screener!$D$10=""),0,IF(Database!$AU467=Screener!$D$10,1,0))</f>
        <v/>
      </c>
      <c r="F467">
        <f>IF(OR(Database!$AZ467="",Screener!$D$11=""),0,IF(Database!$AZ467=Screener!$D$11,1,0))</f>
        <v/>
      </c>
      <c r="G467">
        <f>IF(OR(Database!$H467="",N(Screener!$D$12)&lt;=0),0,MAX(0,1-(N(Screener!$D$12)-Database!$H467)/W_RECD))</f>
        <v/>
      </c>
      <c r="H467">
        <f>IF($U$1="",0,N(ISNUMBER(SEARCH($U$1,Database!$X467&amp;""))))+IF($V$1="",0,N(ISNUMBER(SEARCH($V$1,Database!$X467&amp;""))))+IF($W$1="",0,N(ISNUMBER(SEARCH($W$1,Database!$X467&amp;""))))+IF($X$1="",0,N(ISNUMBER(SEARCH($X$1,Database!$X467&amp;""))))+IF($Y$1="",0,N(ISNUMBER(SEARCH($Y$1,Database!$X467&amp;""))))+IF(Screener!$B$17="",0,N(ISNUMBER(SEARCH(LOWER(Screener!$B$17),Database!$X467&amp;""))))</f>
        <v/>
      </c>
      <c r="I467">
        <f>IF(OR(N(Database!$AV467)&lt;=0,N(Screener!$D$13)&lt;=0),0,MAX(0,1-ABS(LOG10(N(Database!$AV467)/Screener!$D$13))/W_PEHW))</f>
        <v/>
      </c>
      <c r="J467">
        <f>IF(OR(N(Database!$S467)&lt;=0,N(Screener!$D$14)&lt;=0),0,MAX(0,1-ABS(LOG10(Database!$S467/Screener!$D$14))/0.6))</f>
        <v/>
      </c>
      <c r="K467">
        <f>IF(Database!$B467=Screener!$B$5,-999999,IF(ISNUMBER(SEARCH(","&amp;Database!$A467&amp;",",","&amp;SUBSTITUTE(Screener!$B$19," ","")&amp;",")),2000000,IF(IF(OR(Screener!$B$18="All",AND(Screener!$B$18="With A-share",(Database!$AZ467="Y")),AND(Screener!$B$18="Without A-share",NOT((Database!$AZ467="Y")))),1,0)=0,-999999,IF(Screener!$B$16="cornerstone overlap first",H467*100000,IF(Screener!$B$16="demand-similar first",J467*100000,0))+W_SUB*B467+W_SEC*C467*(1-B467)+W_SIZE*D467+W_PROF*E467+W_AH*F467+W_REC*G467+W_CS*H467+W_PE*I467)))+ROW()/1000000</f>
        <v/>
      </c>
      <c r="AA467">
        <f>Database!B456</f>
        <v/>
      </c>
      <c r="AB467">
        <f>Database!D456</f>
        <v/>
      </c>
      <c r="AC467">
        <f>Database!E456</f>
        <v/>
      </c>
      <c r="AD467">
        <f>Database!I456</f>
        <v/>
      </c>
      <c r="AE467">
        <f>Database!AU456</f>
        <v/>
      </c>
      <c r="AF467">
        <f>Database!AZ456</f>
        <v/>
      </c>
      <c r="AG467">
        <f>Database!H456</f>
        <v/>
      </c>
      <c r="AH467">
        <f>Database!AV456</f>
        <v/>
      </c>
    </row>
    <row r="468">
      <c r="A468">
        <f>Database!B468</f>
        <v/>
      </c>
      <c r="B468">
        <f>IF(AND(Screener!$D$8&lt;&gt;"",Database!$E468=Screener!$D$8),1,0)</f>
        <v/>
      </c>
      <c r="C468">
        <f>IF(AND(Screener!$D$7&lt;&gt;"",Database!$D468=Screener!$D$7),1,0)</f>
        <v/>
      </c>
      <c r="D468">
        <f>IF(OR(N(Database!$I468)&lt;=0,N(Screener!$D$9)&lt;=0),0,MAX(0,1-ABS(LOG10(N(Database!$I468)/Screener!$D$9))/W_SIZEHW))</f>
        <v/>
      </c>
      <c r="E468">
        <f>IF(OR(Database!$AU468="",Screener!$D$10=""),0,IF(Database!$AU468=Screener!$D$10,1,0))</f>
        <v/>
      </c>
      <c r="F468">
        <f>IF(OR(Database!$AZ468="",Screener!$D$11=""),0,IF(Database!$AZ468=Screener!$D$11,1,0))</f>
        <v/>
      </c>
      <c r="G468">
        <f>IF(OR(Database!$H468="",N(Screener!$D$12)&lt;=0),0,MAX(0,1-(N(Screener!$D$12)-Database!$H468)/W_RECD))</f>
        <v/>
      </c>
      <c r="H468">
        <f>IF($U$1="",0,N(ISNUMBER(SEARCH($U$1,Database!$X468&amp;""))))+IF($V$1="",0,N(ISNUMBER(SEARCH($V$1,Database!$X468&amp;""))))+IF($W$1="",0,N(ISNUMBER(SEARCH($W$1,Database!$X468&amp;""))))+IF($X$1="",0,N(ISNUMBER(SEARCH($X$1,Database!$X468&amp;""))))+IF($Y$1="",0,N(ISNUMBER(SEARCH($Y$1,Database!$X468&amp;""))))+IF(Screener!$B$17="",0,N(ISNUMBER(SEARCH(LOWER(Screener!$B$17),Database!$X468&amp;""))))</f>
        <v/>
      </c>
      <c r="I468">
        <f>IF(OR(N(Database!$AV468)&lt;=0,N(Screener!$D$13)&lt;=0),0,MAX(0,1-ABS(LOG10(N(Database!$AV468)/Screener!$D$13))/W_PEHW))</f>
        <v/>
      </c>
      <c r="J468">
        <f>IF(OR(N(Database!$S468)&lt;=0,N(Screener!$D$14)&lt;=0),0,MAX(0,1-ABS(LOG10(Database!$S468/Screener!$D$14))/0.6))</f>
        <v/>
      </c>
      <c r="K468">
        <f>IF(Database!$B468=Screener!$B$5,-999999,IF(ISNUMBER(SEARCH(","&amp;Database!$A468&amp;",",","&amp;SUBSTITUTE(Screener!$B$19," ","")&amp;",")),2000000,IF(IF(OR(Screener!$B$18="All",AND(Screener!$B$18="With A-share",(Database!$AZ468="Y")),AND(Screener!$B$18="Without A-share",NOT((Database!$AZ468="Y")))),1,0)=0,-999999,IF(Screener!$B$16="cornerstone overlap first",H468*100000,IF(Screener!$B$16="demand-similar first",J468*100000,0))+W_SUB*B468+W_SEC*C468*(1-B468)+W_SIZE*D468+W_PROF*E468+W_AH*F468+W_REC*G468+W_CS*H468+W_PE*I468)))+ROW()/1000000</f>
        <v/>
      </c>
      <c r="AA468">
        <f>Database!B457</f>
        <v/>
      </c>
      <c r="AB468">
        <f>Database!D457</f>
        <v/>
      </c>
      <c r="AC468">
        <f>Database!E457</f>
        <v/>
      </c>
      <c r="AD468">
        <f>Database!I457</f>
        <v/>
      </c>
      <c r="AE468">
        <f>Database!AU457</f>
        <v/>
      </c>
      <c r="AF468">
        <f>Database!AZ457</f>
        <v/>
      </c>
      <c r="AG468">
        <f>Database!H457</f>
        <v/>
      </c>
      <c r="AH468">
        <f>Database!AV457</f>
        <v/>
      </c>
    </row>
    <row r="469">
      <c r="A469">
        <f>Database!B469</f>
        <v/>
      </c>
      <c r="B469">
        <f>IF(AND(Screener!$D$8&lt;&gt;"",Database!$E469=Screener!$D$8),1,0)</f>
        <v/>
      </c>
      <c r="C469">
        <f>IF(AND(Screener!$D$7&lt;&gt;"",Database!$D469=Screener!$D$7),1,0)</f>
        <v/>
      </c>
      <c r="D469">
        <f>IF(OR(N(Database!$I469)&lt;=0,N(Screener!$D$9)&lt;=0),0,MAX(0,1-ABS(LOG10(N(Database!$I469)/Screener!$D$9))/W_SIZEHW))</f>
        <v/>
      </c>
      <c r="E469">
        <f>IF(OR(Database!$AU469="",Screener!$D$10=""),0,IF(Database!$AU469=Screener!$D$10,1,0))</f>
        <v/>
      </c>
      <c r="F469">
        <f>IF(OR(Database!$AZ469="",Screener!$D$11=""),0,IF(Database!$AZ469=Screener!$D$11,1,0))</f>
        <v/>
      </c>
      <c r="G469">
        <f>IF(OR(Database!$H469="",N(Screener!$D$12)&lt;=0),0,MAX(0,1-(N(Screener!$D$12)-Database!$H469)/W_RECD))</f>
        <v/>
      </c>
      <c r="H469">
        <f>IF($U$1="",0,N(ISNUMBER(SEARCH($U$1,Database!$X469&amp;""))))+IF($V$1="",0,N(ISNUMBER(SEARCH($V$1,Database!$X469&amp;""))))+IF($W$1="",0,N(ISNUMBER(SEARCH($W$1,Database!$X469&amp;""))))+IF($X$1="",0,N(ISNUMBER(SEARCH($X$1,Database!$X469&amp;""))))+IF($Y$1="",0,N(ISNUMBER(SEARCH($Y$1,Database!$X469&amp;""))))+IF(Screener!$B$17="",0,N(ISNUMBER(SEARCH(LOWER(Screener!$B$17),Database!$X469&amp;""))))</f>
        <v/>
      </c>
      <c r="I469">
        <f>IF(OR(N(Database!$AV469)&lt;=0,N(Screener!$D$13)&lt;=0),0,MAX(0,1-ABS(LOG10(N(Database!$AV469)/Screener!$D$13))/W_PEHW))</f>
        <v/>
      </c>
      <c r="J469">
        <f>IF(OR(N(Database!$S469)&lt;=0,N(Screener!$D$14)&lt;=0),0,MAX(0,1-ABS(LOG10(Database!$S469/Screener!$D$14))/0.6))</f>
        <v/>
      </c>
      <c r="K469">
        <f>IF(Database!$B469=Screener!$B$5,-999999,IF(ISNUMBER(SEARCH(","&amp;Database!$A469&amp;",",","&amp;SUBSTITUTE(Screener!$B$19," ","")&amp;",")),2000000,IF(IF(OR(Screener!$B$18="All",AND(Screener!$B$18="With A-share",(Database!$AZ469="Y")),AND(Screener!$B$18="Without A-share",NOT((Database!$AZ469="Y")))),1,0)=0,-999999,IF(Screener!$B$16="cornerstone overlap first",H469*100000,IF(Screener!$B$16="demand-similar first",J469*100000,0))+W_SUB*B469+W_SEC*C469*(1-B469)+W_SIZE*D469+W_PROF*E469+W_AH*F469+W_REC*G469+W_CS*H469+W_PE*I469)))+ROW()/1000000</f>
        <v/>
      </c>
      <c r="AA469">
        <f>Database!B458</f>
        <v/>
      </c>
      <c r="AB469">
        <f>Database!D458</f>
        <v/>
      </c>
      <c r="AC469">
        <f>Database!E458</f>
        <v/>
      </c>
      <c r="AD469">
        <f>Database!I458</f>
        <v/>
      </c>
      <c r="AE469">
        <f>Database!AU458</f>
        <v/>
      </c>
      <c r="AF469">
        <f>Database!AZ458</f>
        <v/>
      </c>
      <c r="AG469">
        <f>Database!H458</f>
        <v/>
      </c>
      <c r="AH469">
        <f>Database!AV458</f>
        <v/>
      </c>
    </row>
    <row r="470">
      <c r="A470">
        <f>Database!B470</f>
        <v/>
      </c>
      <c r="B470">
        <f>IF(AND(Screener!$D$8&lt;&gt;"",Database!$E470=Screener!$D$8),1,0)</f>
        <v/>
      </c>
      <c r="C470">
        <f>IF(AND(Screener!$D$7&lt;&gt;"",Database!$D470=Screener!$D$7),1,0)</f>
        <v/>
      </c>
      <c r="D470">
        <f>IF(OR(N(Database!$I470)&lt;=0,N(Screener!$D$9)&lt;=0),0,MAX(0,1-ABS(LOG10(N(Database!$I470)/Screener!$D$9))/W_SIZEHW))</f>
        <v/>
      </c>
      <c r="E470">
        <f>IF(OR(Database!$AU470="",Screener!$D$10=""),0,IF(Database!$AU470=Screener!$D$10,1,0))</f>
        <v/>
      </c>
      <c r="F470">
        <f>IF(OR(Database!$AZ470="",Screener!$D$11=""),0,IF(Database!$AZ470=Screener!$D$11,1,0))</f>
        <v/>
      </c>
      <c r="G470">
        <f>IF(OR(Database!$H470="",N(Screener!$D$12)&lt;=0),0,MAX(0,1-(N(Screener!$D$12)-Database!$H470)/W_RECD))</f>
        <v/>
      </c>
      <c r="H470">
        <f>IF($U$1="",0,N(ISNUMBER(SEARCH($U$1,Database!$X470&amp;""))))+IF($V$1="",0,N(ISNUMBER(SEARCH($V$1,Database!$X470&amp;""))))+IF($W$1="",0,N(ISNUMBER(SEARCH($W$1,Database!$X470&amp;""))))+IF($X$1="",0,N(ISNUMBER(SEARCH($X$1,Database!$X470&amp;""))))+IF($Y$1="",0,N(ISNUMBER(SEARCH($Y$1,Database!$X470&amp;""))))+IF(Screener!$B$17="",0,N(ISNUMBER(SEARCH(LOWER(Screener!$B$17),Database!$X470&amp;""))))</f>
        <v/>
      </c>
      <c r="I470">
        <f>IF(OR(N(Database!$AV470)&lt;=0,N(Screener!$D$13)&lt;=0),0,MAX(0,1-ABS(LOG10(N(Database!$AV470)/Screener!$D$13))/W_PEHW))</f>
        <v/>
      </c>
      <c r="J470">
        <f>IF(OR(N(Database!$S470)&lt;=0,N(Screener!$D$14)&lt;=0),0,MAX(0,1-ABS(LOG10(Database!$S470/Screener!$D$14))/0.6))</f>
        <v/>
      </c>
      <c r="K470">
        <f>IF(Database!$B470=Screener!$B$5,-999999,IF(ISNUMBER(SEARCH(","&amp;Database!$A470&amp;",",","&amp;SUBSTITUTE(Screener!$B$19," ","")&amp;",")),2000000,IF(IF(OR(Screener!$B$18="All",AND(Screener!$B$18="With A-share",(Database!$AZ470="Y")),AND(Screener!$B$18="Without A-share",NOT((Database!$AZ470="Y")))),1,0)=0,-999999,IF(Screener!$B$16="cornerstone overlap first",H470*100000,IF(Screener!$B$16="demand-similar first",J470*100000,0))+W_SUB*B470+W_SEC*C470*(1-B470)+W_SIZE*D470+W_PROF*E470+W_AH*F470+W_REC*G470+W_CS*H470+W_PE*I470)))+ROW()/1000000</f>
        <v/>
      </c>
      <c r="AA470">
        <f>Database!B459</f>
        <v/>
      </c>
      <c r="AB470">
        <f>Database!D459</f>
        <v/>
      </c>
      <c r="AC470">
        <f>Database!E459</f>
        <v/>
      </c>
      <c r="AD470">
        <f>Database!I459</f>
        <v/>
      </c>
      <c r="AE470">
        <f>Database!AU459</f>
        <v/>
      </c>
      <c r="AF470">
        <f>Database!AZ459</f>
        <v/>
      </c>
      <c r="AG470">
        <f>Database!H459</f>
        <v/>
      </c>
      <c r="AH470">
        <f>Database!AV459</f>
        <v/>
      </c>
    </row>
    <row r="471">
      <c r="A471">
        <f>Database!B471</f>
        <v/>
      </c>
      <c r="B471">
        <f>IF(AND(Screener!$D$8&lt;&gt;"",Database!$E471=Screener!$D$8),1,0)</f>
        <v/>
      </c>
      <c r="C471">
        <f>IF(AND(Screener!$D$7&lt;&gt;"",Database!$D471=Screener!$D$7),1,0)</f>
        <v/>
      </c>
      <c r="D471">
        <f>IF(OR(N(Database!$I471)&lt;=0,N(Screener!$D$9)&lt;=0),0,MAX(0,1-ABS(LOG10(N(Database!$I471)/Screener!$D$9))/W_SIZEHW))</f>
        <v/>
      </c>
      <c r="E471">
        <f>IF(OR(Database!$AU471="",Screener!$D$10=""),0,IF(Database!$AU471=Screener!$D$10,1,0))</f>
        <v/>
      </c>
      <c r="F471">
        <f>IF(OR(Database!$AZ471="",Screener!$D$11=""),0,IF(Database!$AZ471=Screener!$D$11,1,0))</f>
        <v/>
      </c>
      <c r="G471">
        <f>IF(OR(Database!$H471="",N(Screener!$D$12)&lt;=0),0,MAX(0,1-(N(Screener!$D$12)-Database!$H471)/W_RECD))</f>
        <v/>
      </c>
      <c r="H471">
        <f>IF($U$1="",0,N(ISNUMBER(SEARCH($U$1,Database!$X471&amp;""))))+IF($V$1="",0,N(ISNUMBER(SEARCH($V$1,Database!$X471&amp;""))))+IF($W$1="",0,N(ISNUMBER(SEARCH($W$1,Database!$X471&amp;""))))+IF($X$1="",0,N(ISNUMBER(SEARCH($X$1,Database!$X471&amp;""))))+IF($Y$1="",0,N(ISNUMBER(SEARCH($Y$1,Database!$X471&amp;""))))+IF(Screener!$B$17="",0,N(ISNUMBER(SEARCH(LOWER(Screener!$B$17),Database!$X471&amp;""))))</f>
        <v/>
      </c>
      <c r="I471">
        <f>IF(OR(N(Database!$AV471)&lt;=0,N(Screener!$D$13)&lt;=0),0,MAX(0,1-ABS(LOG10(N(Database!$AV471)/Screener!$D$13))/W_PEHW))</f>
        <v/>
      </c>
      <c r="J471">
        <f>IF(OR(N(Database!$S471)&lt;=0,N(Screener!$D$14)&lt;=0),0,MAX(0,1-ABS(LOG10(Database!$S471/Screener!$D$14))/0.6))</f>
        <v/>
      </c>
      <c r="K471">
        <f>IF(Database!$B471=Screener!$B$5,-999999,IF(ISNUMBER(SEARCH(","&amp;Database!$A471&amp;",",","&amp;SUBSTITUTE(Screener!$B$19," ","")&amp;",")),2000000,IF(IF(OR(Screener!$B$18="All",AND(Screener!$B$18="With A-share",(Database!$AZ471="Y")),AND(Screener!$B$18="Without A-share",NOT((Database!$AZ471="Y")))),1,0)=0,-999999,IF(Screener!$B$16="cornerstone overlap first",H471*100000,IF(Screener!$B$16="demand-similar first",J471*100000,0))+W_SUB*B471+W_SEC*C471*(1-B471)+W_SIZE*D471+W_PROF*E471+W_AH*F471+W_REC*G471+W_CS*H471+W_PE*I471)))+ROW()/1000000</f>
        <v/>
      </c>
      <c r="AA471">
        <f>Database!B460</f>
        <v/>
      </c>
      <c r="AB471">
        <f>Database!D460</f>
        <v/>
      </c>
      <c r="AC471">
        <f>Database!E460</f>
        <v/>
      </c>
      <c r="AD471">
        <f>Database!I460</f>
        <v/>
      </c>
      <c r="AE471">
        <f>Database!AU460</f>
        <v/>
      </c>
      <c r="AF471">
        <f>Database!AZ460</f>
        <v/>
      </c>
      <c r="AG471">
        <f>Database!H460</f>
        <v/>
      </c>
      <c r="AH471">
        <f>Database!AV460</f>
        <v/>
      </c>
    </row>
    <row r="472">
      <c r="A472">
        <f>Database!B472</f>
        <v/>
      </c>
      <c r="B472">
        <f>IF(AND(Screener!$D$8&lt;&gt;"",Database!$E472=Screener!$D$8),1,0)</f>
        <v/>
      </c>
      <c r="C472">
        <f>IF(AND(Screener!$D$7&lt;&gt;"",Database!$D472=Screener!$D$7),1,0)</f>
        <v/>
      </c>
      <c r="D472">
        <f>IF(OR(N(Database!$I472)&lt;=0,N(Screener!$D$9)&lt;=0),0,MAX(0,1-ABS(LOG10(N(Database!$I472)/Screener!$D$9))/W_SIZEHW))</f>
        <v/>
      </c>
      <c r="E472">
        <f>IF(OR(Database!$AU472="",Screener!$D$10=""),0,IF(Database!$AU472=Screener!$D$10,1,0))</f>
        <v/>
      </c>
      <c r="F472">
        <f>IF(OR(Database!$AZ472="",Screener!$D$11=""),0,IF(Database!$AZ472=Screener!$D$11,1,0))</f>
        <v/>
      </c>
      <c r="G472">
        <f>IF(OR(Database!$H472="",N(Screener!$D$12)&lt;=0),0,MAX(0,1-(N(Screener!$D$12)-Database!$H472)/W_RECD))</f>
        <v/>
      </c>
      <c r="H472">
        <f>IF($U$1="",0,N(ISNUMBER(SEARCH($U$1,Database!$X472&amp;""))))+IF($V$1="",0,N(ISNUMBER(SEARCH($V$1,Database!$X472&amp;""))))+IF($W$1="",0,N(ISNUMBER(SEARCH($W$1,Database!$X472&amp;""))))+IF($X$1="",0,N(ISNUMBER(SEARCH($X$1,Database!$X472&amp;""))))+IF($Y$1="",0,N(ISNUMBER(SEARCH($Y$1,Database!$X472&amp;""))))+IF(Screener!$B$17="",0,N(ISNUMBER(SEARCH(LOWER(Screener!$B$17),Database!$X472&amp;""))))</f>
        <v/>
      </c>
      <c r="I472">
        <f>IF(OR(N(Database!$AV472)&lt;=0,N(Screener!$D$13)&lt;=0),0,MAX(0,1-ABS(LOG10(N(Database!$AV472)/Screener!$D$13))/W_PEHW))</f>
        <v/>
      </c>
      <c r="J472">
        <f>IF(OR(N(Database!$S472)&lt;=0,N(Screener!$D$14)&lt;=0),0,MAX(0,1-ABS(LOG10(Database!$S472/Screener!$D$14))/0.6))</f>
        <v/>
      </c>
      <c r="K472">
        <f>IF(Database!$B472=Screener!$B$5,-999999,IF(ISNUMBER(SEARCH(","&amp;Database!$A472&amp;",",","&amp;SUBSTITUTE(Screener!$B$19," ","")&amp;",")),2000000,IF(IF(OR(Screener!$B$18="All",AND(Screener!$B$18="With A-share",(Database!$AZ472="Y")),AND(Screener!$B$18="Without A-share",NOT((Database!$AZ472="Y")))),1,0)=0,-999999,IF(Screener!$B$16="cornerstone overlap first",H472*100000,IF(Screener!$B$16="demand-similar first",J472*100000,0))+W_SUB*B472+W_SEC*C472*(1-B472)+W_SIZE*D472+W_PROF*E472+W_AH*F472+W_REC*G472+W_CS*H472+W_PE*I472)))+ROW()/1000000</f>
        <v/>
      </c>
      <c r="AA472">
        <f>Database!B461</f>
        <v/>
      </c>
      <c r="AB472">
        <f>Database!D461</f>
        <v/>
      </c>
      <c r="AC472">
        <f>Database!E461</f>
        <v/>
      </c>
      <c r="AD472">
        <f>Database!I461</f>
        <v/>
      </c>
      <c r="AE472">
        <f>Database!AU461</f>
        <v/>
      </c>
      <c r="AF472">
        <f>Database!AZ461</f>
        <v/>
      </c>
      <c r="AG472">
        <f>Database!H461</f>
        <v/>
      </c>
      <c r="AH472">
        <f>Database!AV461</f>
        <v/>
      </c>
    </row>
    <row r="473">
      <c r="A473">
        <f>Database!B473</f>
        <v/>
      </c>
      <c r="B473">
        <f>IF(AND(Screener!$D$8&lt;&gt;"",Database!$E473=Screener!$D$8),1,0)</f>
        <v/>
      </c>
      <c r="C473">
        <f>IF(AND(Screener!$D$7&lt;&gt;"",Database!$D473=Screener!$D$7),1,0)</f>
        <v/>
      </c>
      <c r="D473">
        <f>IF(OR(N(Database!$I473)&lt;=0,N(Screener!$D$9)&lt;=0),0,MAX(0,1-ABS(LOG10(N(Database!$I473)/Screener!$D$9))/W_SIZEHW))</f>
        <v/>
      </c>
      <c r="E473">
        <f>IF(OR(Database!$AU473="",Screener!$D$10=""),0,IF(Database!$AU473=Screener!$D$10,1,0))</f>
        <v/>
      </c>
      <c r="F473">
        <f>IF(OR(Database!$AZ473="",Screener!$D$11=""),0,IF(Database!$AZ473=Screener!$D$11,1,0))</f>
        <v/>
      </c>
      <c r="G473">
        <f>IF(OR(Database!$H473="",N(Screener!$D$12)&lt;=0),0,MAX(0,1-(N(Screener!$D$12)-Database!$H473)/W_RECD))</f>
        <v/>
      </c>
      <c r="H473">
        <f>IF($U$1="",0,N(ISNUMBER(SEARCH($U$1,Database!$X473&amp;""))))+IF($V$1="",0,N(ISNUMBER(SEARCH($V$1,Database!$X473&amp;""))))+IF($W$1="",0,N(ISNUMBER(SEARCH($W$1,Database!$X473&amp;""))))+IF($X$1="",0,N(ISNUMBER(SEARCH($X$1,Database!$X473&amp;""))))+IF($Y$1="",0,N(ISNUMBER(SEARCH($Y$1,Database!$X473&amp;""))))+IF(Screener!$B$17="",0,N(ISNUMBER(SEARCH(LOWER(Screener!$B$17),Database!$X473&amp;""))))</f>
        <v/>
      </c>
      <c r="I473">
        <f>IF(OR(N(Database!$AV473)&lt;=0,N(Screener!$D$13)&lt;=0),0,MAX(0,1-ABS(LOG10(N(Database!$AV473)/Screener!$D$13))/W_PEHW))</f>
        <v/>
      </c>
      <c r="J473">
        <f>IF(OR(N(Database!$S473)&lt;=0,N(Screener!$D$14)&lt;=0),0,MAX(0,1-ABS(LOG10(Database!$S473/Screener!$D$14))/0.6))</f>
        <v/>
      </c>
      <c r="K473">
        <f>IF(Database!$B473=Screener!$B$5,-999999,IF(ISNUMBER(SEARCH(","&amp;Database!$A473&amp;",",","&amp;SUBSTITUTE(Screener!$B$19," ","")&amp;",")),2000000,IF(IF(OR(Screener!$B$18="All",AND(Screener!$B$18="With A-share",(Database!$AZ473="Y")),AND(Screener!$B$18="Without A-share",NOT((Database!$AZ473="Y")))),1,0)=0,-999999,IF(Screener!$B$16="cornerstone overlap first",H473*100000,IF(Screener!$B$16="demand-similar first",J473*100000,0))+W_SUB*B473+W_SEC*C473*(1-B473)+W_SIZE*D473+W_PROF*E473+W_AH*F473+W_REC*G473+W_CS*H473+W_PE*I473)))+ROW()/1000000</f>
        <v/>
      </c>
      <c r="AA473">
        <f>Database!B462</f>
        <v/>
      </c>
      <c r="AB473">
        <f>Database!D462</f>
        <v/>
      </c>
      <c r="AC473">
        <f>Database!E462</f>
        <v/>
      </c>
      <c r="AD473">
        <f>Database!I462</f>
        <v/>
      </c>
      <c r="AE473">
        <f>Database!AU462</f>
        <v/>
      </c>
      <c r="AF473">
        <f>Database!AZ462</f>
        <v/>
      </c>
      <c r="AG473">
        <f>Database!H462</f>
        <v/>
      </c>
      <c r="AH473">
        <f>Database!AV462</f>
        <v/>
      </c>
    </row>
    <row r="474">
      <c r="A474">
        <f>Database!B474</f>
        <v/>
      </c>
      <c r="B474">
        <f>IF(AND(Screener!$D$8&lt;&gt;"",Database!$E474=Screener!$D$8),1,0)</f>
        <v/>
      </c>
      <c r="C474">
        <f>IF(AND(Screener!$D$7&lt;&gt;"",Database!$D474=Screener!$D$7),1,0)</f>
        <v/>
      </c>
      <c r="D474">
        <f>IF(OR(N(Database!$I474)&lt;=0,N(Screener!$D$9)&lt;=0),0,MAX(0,1-ABS(LOG10(N(Database!$I474)/Screener!$D$9))/W_SIZEHW))</f>
        <v/>
      </c>
      <c r="E474">
        <f>IF(OR(Database!$AU474="",Screener!$D$10=""),0,IF(Database!$AU474=Screener!$D$10,1,0))</f>
        <v/>
      </c>
      <c r="F474">
        <f>IF(OR(Database!$AZ474="",Screener!$D$11=""),0,IF(Database!$AZ474=Screener!$D$11,1,0))</f>
        <v/>
      </c>
      <c r="G474">
        <f>IF(OR(Database!$H474="",N(Screener!$D$12)&lt;=0),0,MAX(0,1-(N(Screener!$D$12)-Database!$H474)/W_RECD))</f>
        <v/>
      </c>
      <c r="H474">
        <f>IF($U$1="",0,N(ISNUMBER(SEARCH($U$1,Database!$X474&amp;""))))+IF($V$1="",0,N(ISNUMBER(SEARCH($V$1,Database!$X474&amp;""))))+IF($W$1="",0,N(ISNUMBER(SEARCH($W$1,Database!$X474&amp;""))))+IF($X$1="",0,N(ISNUMBER(SEARCH($X$1,Database!$X474&amp;""))))+IF($Y$1="",0,N(ISNUMBER(SEARCH($Y$1,Database!$X474&amp;""))))+IF(Screener!$B$17="",0,N(ISNUMBER(SEARCH(LOWER(Screener!$B$17),Database!$X474&amp;""))))</f>
        <v/>
      </c>
      <c r="I474">
        <f>IF(OR(N(Database!$AV474)&lt;=0,N(Screener!$D$13)&lt;=0),0,MAX(0,1-ABS(LOG10(N(Database!$AV474)/Screener!$D$13))/W_PEHW))</f>
        <v/>
      </c>
      <c r="J474">
        <f>IF(OR(N(Database!$S474)&lt;=0,N(Screener!$D$14)&lt;=0),0,MAX(0,1-ABS(LOG10(Database!$S474/Screener!$D$14))/0.6))</f>
        <v/>
      </c>
      <c r="K474">
        <f>IF(Database!$B474=Screener!$B$5,-999999,IF(ISNUMBER(SEARCH(","&amp;Database!$A474&amp;",",","&amp;SUBSTITUTE(Screener!$B$19," ","")&amp;",")),2000000,IF(IF(OR(Screener!$B$18="All",AND(Screener!$B$18="With A-share",(Database!$AZ474="Y")),AND(Screener!$B$18="Without A-share",NOT((Database!$AZ474="Y")))),1,0)=0,-999999,IF(Screener!$B$16="cornerstone overlap first",H474*100000,IF(Screener!$B$16="demand-similar first",J474*100000,0))+W_SUB*B474+W_SEC*C474*(1-B474)+W_SIZE*D474+W_PROF*E474+W_AH*F474+W_REC*G474+W_CS*H474+W_PE*I474)))+ROW()/1000000</f>
        <v/>
      </c>
      <c r="AA474">
        <f>Database!B463</f>
        <v/>
      </c>
      <c r="AB474">
        <f>Database!D463</f>
        <v/>
      </c>
      <c r="AC474">
        <f>Database!E463</f>
        <v/>
      </c>
      <c r="AD474">
        <f>Database!I463</f>
        <v/>
      </c>
      <c r="AE474">
        <f>Database!AU463</f>
        <v/>
      </c>
      <c r="AF474">
        <f>Database!AZ463</f>
        <v/>
      </c>
      <c r="AG474">
        <f>Database!H463</f>
        <v/>
      </c>
      <c r="AH474">
        <f>Database!AV463</f>
        <v/>
      </c>
    </row>
    <row r="475">
      <c r="A475">
        <f>Database!B475</f>
        <v/>
      </c>
      <c r="B475">
        <f>IF(AND(Screener!$D$8&lt;&gt;"",Database!$E475=Screener!$D$8),1,0)</f>
        <v/>
      </c>
      <c r="C475">
        <f>IF(AND(Screener!$D$7&lt;&gt;"",Database!$D475=Screener!$D$7),1,0)</f>
        <v/>
      </c>
      <c r="D475">
        <f>IF(OR(N(Database!$I475)&lt;=0,N(Screener!$D$9)&lt;=0),0,MAX(0,1-ABS(LOG10(N(Database!$I475)/Screener!$D$9))/W_SIZEHW))</f>
        <v/>
      </c>
      <c r="E475">
        <f>IF(OR(Database!$AU475="",Screener!$D$10=""),0,IF(Database!$AU475=Screener!$D$10,1,0))</f>
        <v/>
      </c>
      <c r="F475">
        <f>IF(OR(Database!$AZ475="",Screener!$D$11=""),0,IF(Database!$AZ475=Screener!$D$11,1,0))</f>
        <v/>
      </c>
      <c r="G475">
        <f>IF(OR(Database!$H475="",N(Screener!$D$12)&lt;=0),0,MAX(0,1-(N(Screener!$D$12)-Database!$H475)/W_RECD))</f>
        <v/>
      </c>
      <c r="H475">
        <f>IF($U$1="",0,N(ISNUMBER(SEARCH($U$1,Database!$X475&amp;""))))+IF($V$1="",0,N(ISNUMBER(SEARCH($V$1,Database!$X475&amp;""))))+IF($W$1="",0,N(ISNUMBER(SEARCH($W$1,Database!$X475&amp;""))))+IF($X$1="",0,N(ISNUMBER(SEARCH($X$1,Database!$X475&amp;""))))+IF($Y$1="",0,N(ISNUMBER(SEARCH($Y$1,Database!$X475&amp;""))))+IF(Screener!$B$17="",0,N(ISNUMBER(SEARCH(LOWER(Screener!$B$17),Database!$X475&amp;""))))</f>
        <v/>
      </c>
      <c r="I475">
        <f>IF(OR(N(Database!$AV475)&lt;=0,N(Screener!$D$13)&lt;=0),0,MAX(0,1-ABS(LOG10(N(Database!$AV475)/Screener!$D$13))/W_PEHW))</f>
        <v/>
      </c>
      <c r="J475">
        <f>IF(OR(N(Database!$S475)&lt;=0,N(Screener!$D$14)&lt;=0),0,MAX(0,1-ABS(LOG10(Database!$S475/Screener!$D$14))/0.6))</f>
        <v/>
      </c>
      <c r="K475">
        <f>IF(Database!$B475=Screener!$B$5,-999999,IF(ISNUMBER(SEARCH(","&amp;Database!$A475&amp;",",","&amp;SUBSTITUTE(Screener!$B$19," ","")&amp;",")),2000000,IF(IF(OR(Screener!$B$18="All",AND(Screener!$B$18="With A-share",(Database!$AZ475="Y")),AND(Screener!$B$18="Without A-share",NOT((Database!$AZ475="Y")))),1,0)=0,-999999,IF(Screener!$B$16="cornerstone overlap first",H475*100000,IF(Screener!$B$16="demand-similar first",J475*100000,0))+W_SUB*B475+W_SEC*C475*(1-B475)+W_SIZE*D475+W_PROF*E475+W_AH*F475+W_REC*G475+W_CS*H475+W_PE*I475)))+ROW()/1000000</f>
        <v/>
      </c>
      <c r="AA475">
        <f>Database!B464</f>
        <v/>
      </c>
      <c r="AB475">
        <f>Database!D464</f>
        <v/>
      </c>
      <c r="AC475">
        <f>Database!E464</f>
        <v/>
      </c>
      <c r="AD475">
        <f>Database!I464</f>
        <v/>
      </c>
      <c r="AE475">
        <f>Database!AU464</f>
        <v/>
      </c>
      <c r="AF475">
        <f>Database!AZ464</f>
        <v/>
      </c>
      <c r="AG475">
        <f>Database!H464</f>
        <v/>
      </c>
      <c r="AH475">
        <f>Database!AV464</f>
        <v/>
      </c>
    </row>
    <row r="476">
      <c r="A476">
        <f>Database!B476</f>
        <v/>
      </c>
      <c r="B476">
        <f>IF(AND(Screener!$D$8&lt;&gt;"",Database!$E476=Screener!$D$8),1,0)</f>
        <v/>
      </c>
      <c r="C476">
        <f>IF(AND(Screener!$D$7&lt;&gt;"",Database!$D476=Screener!$D$7),1,0)</f>
        <v/>
      </c>
      <c r="D476">
        <f>IF(OR(N(Database!$I476)&lt;=0,N(Screener!$D$9)&lt;=0),0,MAX(0,1-ABS(LOG10(N(Database!$I476)/Screener!$D$9))/W_SIZEHW))</f>
        <v/>
      </c>
      <c r="E476">
        <f>IF(OR(Database!$AU476="",Screener!$D$10=""),0,IF(Database!$AU476=Screener!$D$10,1,0))</f>
        <v/>
      </c>
      <c r="F476">
        <f>IF(OR(Database!$AZ476="",Screener!$D$11=""),0,IF(Database!$AZ476=Screener!$D$11,1,0))</f>
        <v/>
      </c>
      <c r="G476">
        <f>IF(OR(Database!$H476="",N(Screener!$D$12)&lt;=0),0,MAX(0,1-(N(Screener!$D$12)-Database!$H476)/W_RECD))</f>
        <v/>
      </c>
      <c r="H476">
        <f>IF($U$1="",0,N(ISNUMBER(SEARCH($U$1,Database!$X476&amp;""))))+IF($V$1="",0,N(ISNUMBER(SEARCH($V$1,Database!$X476&amp;""))))+IF($W$1="",0,N(ISNUMBER(SEARCH($W$1,Database!$X476&amp;""))))+IF($X$1="",0,N(ISNUMBER(SEARCH($X$1,Database!$X476&amp;""))))+IF($Y$1="",0,N(ISNUMBER(SEARCH($Y$1,Database!$X476&amp;""))))+IF(Screener!$B$17="",0,N(ISNUMBER(SEARCH(LOWER(Screener!$B$17),Database!$X476&amp;""))))</f>
        <v/>
      </c>
      <c r="I476">
        <f>IF(OR(N(Database!$AV476)&lt;=0,N(Screener!$D$13)&lt;=0),0,MAX(0,1-ABS(LOG10(N(Database!$AV476)/Screener!$D$13))/W_PEHW))</f>
        <v/>
      </c>
      <c r="J476">
        <f>IF(OR(N(Database!$S476)&lt;=0,N(Screener!$D$14)&lt;=0),0,MAX(0,1-ABS(LOG10(Database!$S476/Screener!$D$14))/0.6))</f>
        <v/>
      </c>
      <c r="K476">
        <f>IF(Database!$B476=Screener!$B$5,-999999,IF(ISNUMBER(SEARCH(","&amp;Database!$A476&amp;",",","&amp;SUBSTITUTE(Screener!$B$19," ","")&amp;",")),2000000,IF(IF(OR(Screener!$B$18="All",AND(Screener!$B$18="With A-share",(Database!$AZ476="Y")),AND(Screener!$B$18="Without A-share",NOT((Database!$AZ476="Y")))),1,0)=0,-999999,IF(Screener!$B$16="cornerstone overlap first",H476*100000,IF(Screener!$B$16="demand-similar first",J476*100000,0))+W_SUB*B476+W_SEC*C476*(1-B476)+W_SIZE*D476+W_PROF*E476+W_AH*F476+W_REC*G476+W_CS*H476+W_PE*I476)))+ROW()/1000000</f>
        <v/>
      </c>
      <c r="AA476">
        <f>Database!B465</f>
        <v/>
      </c>
      <c r="AB476">
        <f>Database!D465</f>
        <v/>
      </c>
      <c r="AC476">
        <f>Database!E465</f>
        <v/>
      </c>
      <c r="AD476">
        <f>Database!I465</f>
        <v/>
      </c>
      <c r="AE476">
        <f>Database!AU465</f>
        <v/>
      </c>
      <c r="AF476">
        <f>Database!AZ465</f>
        <v/>
      </c>
      <c r="AG476">
        <f>Database!H465</f>
        <v/>
      </c>
      <c r="AH476">
        <f>Database!AV465</f>
        <v/>
      </c>
    </row>
    <row r="477">
      <c r="A477">
        <f>Database!B477</f>
        <v/>
      </c>
      <c r="B477">
        <f>IF(AND(Screener!$D$8&lt;&gt;"",Database!$E477=Screener!$D$8),1,0)</f>
        <v/>
      </c>
      <c r="C477">
        <f>IF(AND(Screener!$D$7&lt;&gt;"",Database!$D477=Screener!$D$7),1,0)</f>
        <v/>
      </c>
      <c r="D477">
        <f>IF(OR(N(Database!$I477)&lt;=0,N(Screener!$D$9)&lt;=0),0,MAX(0,1-ABS(LOG10(N(Database!$I477)/Screener!$D$9))/W_SIZEHW))</f>
        <v/>
      </c>
      <c r="E477">
        <f>IF(OR(Database!$AU477="",Screener!$D$10=""),0,IF(Database!$AU477=Screener!$D$10,1,0))</f>
        <v/>
      </c>
      <c r="F477">
        <f>IF(OR(Database!$AZ477="",Screener!$D$11=""),0,IF(Database!$AZ477=Screener!$D$11,1,0))</f>
        <v/>
      </c>
      <c r="G477">
        <f>IF(OR(Database!$H477="",N(Screener!$D$12)&lt;=0),0,MAX(0,1-(N(Screener!$D$12)-Database!$H477)/W_RECD))</f>
        <v/>
      </c>
      <c r="H477">
        <f>IF($U$1="",0,N(ISNUMBER(SEARCH($U$1,Database!$X477&amp;""))))+IF($V$1="",0,N(ISNUMBER(SEARCH($V$1,Database!$X477&amp;""))))+IF($W$1="",0,N(ISNUMBER(SEARCH($W$1,Database!$X477&amp;""))))+IF($X$1="",0,N(ISNUMBER(SEARCH($X$1,Database!$X477&amp;""))))+IF($Y$1="",0,N(ISNUMBER(SEARCH($Y$1,Database!$X477&amp;""))))+IF(Screener!$B$17="",0,N(ISNUMBER(SEARCH(LOWER(Screener!$B$17),Database!$X477&amp;""))))</f>
        <v/>
      </c>
      <c r="I477">
        <f>IF(OR(N(Database!$AV477)&lt;=0,N(Screener!$D$13)&lt;=0),0,MAX(0,1-ABS(LOG10(N(Database!$AV477)/Screener!$D$13))/W_PEHW))</f>
        <v/>
      </c>
      <c r="J477">
        <f>IF(OR(N(Database!$S477)&lt;=0,N(Screener!$D$14)&lt;=0),0,MAX(0,1-ABS(LOG10(Database!$S477/Screener!$D$14))/0.6))</f>
        <v/>
      </c>
      <c r="K477">
        <f>IF(Database!$B477=Screener!$B$5,-999999,IF(ISNUMBER(SEARCH(","&amp;Database!$A477&amp;",",","&amp;SUBSTITUTE(Screener!$B$19," ","")&amp;",")),2000000,IF(IF(OR(Screener!$B$18="All",AND(Screener!$B$18="With A-share",(Database!$AZ477="Y")),AND(Screener!$B$18="Without A-share",NOT((Database!$AZ477="Y")))),1,0)=0,-999999,IF(Screener!$B$16="cornerstone overlap first",H477*100000,IF(Screener!$B$16="demand-similar first",J477*100000,0))+W_SUB*B477+W_SEC*C477*(1-B477)+W_SIZE*D477+W_PROF*E477+W_AH*F477+W_REC*G477+W_CS*H477+W_PE*I477)))+ROW()/1000000</f>
        <v/>
      </c>
      <c r="AA477">
        <f>Database!B466</f>
        <v/>
      </c>
      <c r="AB477">
        <f>Database!D466</f>
        <v/>
      </c>
      <c r="AC477">
        <f>Database!E466</f>
        <v/>
      </c>
      <c r="AD477">
        <f>Database!I466</f>
        <v/>
      </c>
      <c r="AE477">
        <f>Database!AU466</f>
        <v/>
      </c>
      <c r="AF477">
        <f>Database!AZ466</f>
        <v/>
      </c>
      <c r="AG477">
        <f>Database!H466</f>
        <v/>
      </c>
      <c r="AH477">
        <f>Database!AV466</f>
        <v/>
      </c>
    </row>
    <row r="478">
      <c r="A478">
        <f>Database!B478</f>
        <v/>
      </c>
      <c r="B478">
        <f>IF(AND(Screener!$D$8&lt;&gt;"",Database!$E478=Screener!$D$8),1,0)</f>
        <v/>
      </c>
      <c r="C478">
        <f>IF(AND(Screener!$D$7&lt;&gt;"",Database!$D478=Screener!$D$7),1,0)</f>
        <v/>
      </c>
      <c r="D478">
        <f>IF(OR(N(Database!$I478)&lt;=0,N(Screener!$D$9)&lt;=0),0,MAX(0,1-ABS(LOG10(N(Database!$I478)/Screener!$D$9))/W_SIZEHW))</f>
        <v/>
      </c>
      <c r="E478">
        <f>IF(OR(Database!$AU478="",Screener!$D$10=""),0,IF(Database!$AU478=Screener!$D$10,1,0))</f>
        <v/>
      </c>
      <c r="F478">
        <f>IF(OR(Database!$AZ478="",Screener!$D$11=""),0,IF(Database!$AZ478=Screener!$D$11,1,0))</f>
        <v/>
      </c>
      <c r="G478">
        <f>IF(OR(Database!$H478="",N(Screener!$D$12)&lt;=0),0,MAX(0,1-(N(Screener!$D$12)-Database!$H478)/W_RECD))</f>
        <v/>
      </c>
      <c r="H478">
        <f>IF($U$1="",0,N(ISNUMBER(SEARCH($U$1,Database!$X478&amp;""))))+IF($V$1="",0,N(ISNUMBER(SEARCH($V$1,Database!$X478&amp;""))))+IF($W$1="",0,N(ISNUMBER(SEARCH($W$1,Database!$X478&amp;""))))+IF($X$1="",0,N(ISNUMBER(SEARCH($X$1,Database!$X478&amp;""))))+IF($Y$1="",0,N(ISNUMBER(SEARCH($Y$1,Database!$X478&amp;""))))+IF(Screener!$B$17="",0,N(ISNUMBER(SEARCH(LOWER(Screener!$B$17),Database!$X478&amp;""))))</f>
        <v/>
      </c>
      <c r="I478">
        <f>IF(OR(N(Database!$AV478)&lt;=0,N(Screener!$D$13)&lt;=0),0,MAX(0,1-ABS(LOG10(N(Database!$AV478)/Screener!$D$13))/W_PEHW))</f>
        <v/>
      </c>
      <c r="J478">
        <f>IF(OR(N(Database!$S478)&lt;=0,N(Screener!$D$14)&lt;=0),0,MAX(0,1-ABS(LOG10(Database!$S478/Screener!$D$14))/0.6))</f>
        <v/>
      </c>
      <c r="K478">
        <f>IF(Database!$B478=Screener!$B$5,-999999,IF(ISNUMBER(SEARCH(","&amp;Database!$A478&amp;",",","&amp;SUBSTITUTE(Screener!$B$19," ","")&amp;",")),2000000,IF(IF(OR(Screener!$B$18="All",AND(Screener!$B$18="With A-share",(Database!$AZ478="Y")),AND(Screener!$B$18="Without A-share",NOT((Database!$AZ478="Y")))),1,0)=0,-999999,IF(Screener!$B$16="cornerstone overlap first",H478*100000,IF(Screener!$B$16="demand-similar first",J478*100000,0))+W_SUB*B478+W_SEC*C478*(1-B478)+W_SIZE*D478+W_PROF*E478+W_AH*F478+W_REC*G478+W_CS*H478+W_PE*I478)))+ROW()/1000000</f>
        <v/>
      </c>
      <c r="AA478">
        <f>Database!B467</f>
        <v/>
      </c>
      <c r="AB478">
        <f>Database!D467</f>
        <v/>
      </c>
      <c r="AC478">
        <f>Database!E467</f>
        <v/>
      </c>
      <c r="AD478">
        <f>Database!I467</f>
        <v/>
      </c>
      <c r="AE478">
        <f>Database!AU467</f>
        <v/>
      </c>
      <c r="AF478">
        <f>Database!AZ467</f>
        <v/>
      </c>
      <c r="AG478">
        <f>Database!H467</f>
        <v/>
      </c>
      <c r="AH478">
        <f>Database!AV467</f>
        <v/>
      </c>
    </row>
    <row r="479">
      <c r="A479">
        <f>Database!B479</f>
        <v/>
      </c>
      <c r="B479">
        <f>IF(AND(Screener!$D$8&lt;&gt;"",Database!$E479=Screener!$D$8),1,0)</f>
        <v/>
      </c>
      <c r="C479">
        <f>IF(AND(Screener!$D$7&lt;&gt;"",Database!$D479=Screener!$D$7),1,0)</f>
        <v/>
      </c>
      <c r="D479">
        <f>IF(OR(N(Database!$I479)&lt;=0,N(Screener!$D$9)&lt;=0),0,MAX(0,1-ABS(LOG10(N(Database!$I479)/Screener!$D$9))/W_SIZEHW))</f>
        <v/>
      </c>
      <c r="E479">
        <f>IF(OR(Database!$AU479="",Screener!$D$10=""),0,IF(Database!$AU479=Screener!$D$10,1,0))</f>
        <v/>
      </c>
      <c r="F479">
        <f>IF(OR(Database!$AZ479="",Screener!$D$11=""),0,IF(Database!$AZ479=Screener!$D$11,1,0))</f>
        <v/>
      </c>
      <c r="G479">
        <f>IF(OR(Database!$H479="",N(Screener!$D$12)&lt;=0),0,MAX(0,1-(N(Screener!$D$12)-Database!$H479)/W_RECD))</f>
        <v/>
      </c>
      <c r="H479">
        <f>IF($U$1="",0,N(ISNUMBER(SEARCH($U$1,Database!$X479&amp;""))))+IF($V$1="",0,N(ISNUMBER(SEARCH($V$1,Database!$X479&amp;""))))+IF($W$1="",0,N(ISNUMBER(SEARCH($W$1,Database!$X479&amp;""))))+IF($X$1="",0,N(ISNUMBER(SEARCH($X$1,Database!$X479&amp;""))))+IF($Y$1="",0,N(ISNUMBER(SEARCH($Y$1,Database!$X479&amp;""))))+IF(Screener!$B$17="",0,N(ISNUMBER(SEARCH(LOWER(Screener!$B$17),Database!$X479&amp;""))))</f>
        <v/>
      </c>
      <c r="I479">
        <f>IF(OR(N(Database!$AV479)&lt;=0,N(Screener!$D$13)&lt;=0),0,MAX(0,1-ABS(LOG10(N(Database!$AV479)/Screener!$D$13))/W_PEHW))</f>
        <v/>
      </c>
      <c r="J479">
        <f>IF(OR(N(Database!$S479)&lt;=0,N(Screener!$D$14)&lt;=0),0,MAX(0,1-ABS(LOG10(Database!$S479/Screener!$D$14))/0.6))</f>
        <v/>
      </c>
      <c r="K479">
        <f>IF(Database!$B479=Screener!$B$5,-999999,IF(ISNUMBER(SEARCH(","&amp;Database!$A479&amp;",",","&amp;SUBSTITUTE(Screener!$B$19," ","")&amp;",")),2000000,IF(IF(OR(Screener!$B$18="All",AND(Screener!$B$18="With A-share",(Database!$AZ479="Y")),AND(Screener!$B$18="Without A-share",NOT((Database!$AZ479="Y")))),1,0)=0,-999999,IF(Screener!$B$16="cornerstone overlap first",H479*100000,IF(Screener!$B$16="demand-similar first",J479*100000,0))+W_SUB*B479+W_SEC*C479*(1-B479)+W_SIZE*D479+W_PROF*E479+W_AH*F479+W_REC*G479+W_CS*H479+W_PE*I479)))+ROW()/1000000</f>
        <v/>
      </c>
      <c r="AA479">
        <f>Database!B468</f>
        <v/>
      </c>
      <c r="AB479">
        <f>Database!D468</f>
        <v/>
      </c>
      <c r="AC479">
        <f>Database!E468</f>
        <v/>
      </c>
      <c r="AD479">
        <f>Database!I468</f>
        <v/>
      </c>
      <c r="AE479">
        <f>Database!AU468</f>
        <v/>
      </c>
      <c r="AF479">
        <f>Database!AZ468</f>
        <v/>
      </c>
      <c r="AG479">
        <f>Database!H468</f>
        <v/>
      </c>
      <c r="AH479">
        <f>Database!AV468</f>
        <v/>
      </c>
    </row>
    <row r="480">
      <c r="A480">
        <f>Database!B480</f>
        <v/>
      </c>
      <c r="B480">
        <f>IF(AND(Screener!$D$8&lt;&gt;"",Database!$E480=Screener!$D$8),1,0)</f>
        <v/>
      </c>
      <c r="C480">
        <f>IF(AND(Screener!$D$7&lt;&gt;"",Database!$D480=Screener!$D$7),1,0)</f>
        <v/>
      </c>
      <c r="D480">
        <f>IF(OR(N(Database!$I480)&lt;=0,N(Screener!$D$9)&lt;=0),0,MAX(0,1-ABS(LOG10(N(Database!$I480)/Screener!$D$9))/W_SIZEHW))</f>
        <v/>
      </c>
      <c r="E480">
        <f>IF(OR(Database!$AU480="",Screener!$D$10=""),0,IF(Database!$AU480=Screener!$D$10,1,0))</f>
        <v/>
      </c>
      <c r="F480">
        <f>IF(OR(Database!$AZ480="",Screener!$D$11=""),0,IF(Database!$AZ480=Screener!$D$11,1,0))</f>
        <v/>
      </c>
      <c r="G480">
        <f>IF(OR(Database!$H480="",N(Screener!$D$12)&lt;=0),0,MAX(0,1-(N(Screener!$D$12)-Database!$H480)/W_RECD))</f>
        <v/>
      </c>
      <c r="H480">
        <f>IF($U$1="",0,N(ISNUMBER(SEARCH($U$1,Database!$X480&amp;""))))+IF($V$1="",0,N(ISNUMBER(SEARCH($V$1,Database!$X480&amp;""))))+IF($W$1="",0,N(ISNUMBER(SEARCH($W$1,Database!$X480&amp;""))))+IF($X$1="",0,N(ISNUMBER(SEARCH($X$1,Database!$X480&amp;""))))+IF($Y$1="",0,N(ISNUMBER(SEARCH($Y$1,Database!$X480&amp;""))))+IF(Screener!$B$17="",0,N(ISNUMBER(SEARCH(LOWER(Screener!$B$17),Database!$X480&amp;""))))</f>
        <v/>
      </c>
      <c r="I480">
        <f>IF(OR(N(Database!$AV480)&lt;=0,N(Screener!$D$13)&lt;=0),0,MAX(0,1-ABS(LOG10(N(Database!$AV480)/Screener!$D$13))/W_PEHW))</f>
        <v/>
      </c>
      <c r="J480">
        <f>IF(OR(N(Database!$S480)&lt;=0,N(Screener!$D$14)&lt;=0),0,MAX(0,1-ABS(LOG10(Database!$S480/Screener!$D$14))/0.6))</f>
        <v/>
      </c>
      <c r="K480">
        <f>IF(Database!$B480=Screener!$B$5,-999999,IF(ISNUMBER(SEARCH(","&amp;Database!$A480&amp;",",","&amp;SUBSTITUTE(Screener!$B$19," ","")&amp;",")),2000000,IF(IF(OR(Screener!$B$18="All",AND(Screener!$B$18="With A-share",(Database!$AZ480="Y")),AND(Screener!$B$18="Without A-share",NOT((Database!$AZ480="Y")))),1,0)=0,-999999,IF(Screener!$B$16="cornerstone overlap first",H480*100000,IF(Screener!$B$16="demand-similar first",J480*100000,0))+W_SUB*B480+W_SEC*C480*(1-B480)+W_SIZE*D480+W_PROF*E480+W_AH*F480+W_REC*G480+W_CS*H480+W_PE*I480)))+ROW()/1000000</f>
        <v/>
      </c>
      <c r="AA480">
        <f>Database!B469</f>
        <v/>
      </c>
      <c r="AB480">
        <f>Database!D469</f>
        <v/>
      </c>
      <c r="AC480">
        <f>Database!E469</f>
        <v/>
      </c>
      <c r="AD480">
        <f>Database!I469</f>
        <v/>
      </c>
      <c r="AE480">
        <f>Database!AU469</f>
        <v/>
      </c>
      <c r="AF480">
        <f>Database!AZ469</f>
        <v/>
      </c>
      <c r="AG480">
        <f>Database!H469</f>
        <v/>
      </c>
      <c r="AH480">
        <f>Database!AV469</f>
        <v/>
      </c>
    </row>
    <row r="481">
      <c r="A481">
        <f>Database!B481</f>
        <v/>
      </c>
      <c r="B481">
        <f>IF(AND(Screener!$D$8&lt;&gt;"",Database!$E481=Screener!$D$8),1,0)</f>
        <v/>
      </c>
      <c r="C481">
        <f>IF(AND(Screener!$D$7&lt;&gt;"",Database!$D481=Screener!$D$7),1,0)</f>
        <v/>
      </c>
      <c r="D481">
        <f>IF(OR(N(Database!$I481)&lt;=0,N(Screener!$D$9)&lt;=0),0,MAX(0,1-ABS(LOG10(N(Database!$I481)/Screener!$D$9))/W_SIZEHW))</f>
        <v/>
      </c>
      <c r="E481">
        <f>IF(OR(Database!$AU481="",Screener!$D$10=""),0,IF(Database!$AU481=Screener!$D$10,1,0))</f>
        <v/>
      </c>
      <c r="F481">
        <f>IF(OR(Database!$AZ481="",Screener!$D$11=""),0,IF(Database!$AZ481=Screener!$D$11,1,0))</f>
        <v/>
      </c>
      <c r="G481">
        <f>IF(OR(Database!$H481="",N(Screener!$D$12)&lt;=0),0,MAX(0,1-(N(Screener!$D$12)-Database!$H481)/W_RECD))</f>
        <v/>
      </c>
      <c r="H481">
        <f>IF($U$1="",0,N(ISNUMBER(SEARCH($U$1,Database!$X481&amp;""))))+IF($V$1="",0,N(ISNUMBER(SEARCH($V$1,Database!$X481&amp;""))))+IF($W$1="",0,N(ISNUMBER(SEARCH($W$1,Database!$X481&amp;""))))+IF($X$1="",0,N(ISNUMBER(SEARCH($X$1,Database!$X481&amp;""))))+IF($Y$1="",0,N(ISNUMBER(SEARCH($Y$1,Database!$X481&amp;""))))+IF(Screener!$B$17="",0,N(ISNUMBER(SEARCH(LOWER(Screener!$B$17),Database!$X481&amp;""))))</f>
        <v/>
      </c>
      <c r="I481">
        <f>IF(OR(N(Database!$AV481)&lt;=0,N(Screener!$D$13)&lt;=0),0,MAX(0,1-ABS(LOG10(N(Database!$AV481)/Screener!$D$13))/W_PEHW))</f>
        <v/>
      </c>
      <c r="J481">
        <f>IF(OR(N(Database!$S481)&lt;=0,N(Screener!$D$14)&lt;=0),0,MAX(0,1-ABS(LOG10(Database!$S481/Screener!$D$14))/0.6))</f>
        <v/>
      </c>
      <c r="K481">
        <f>IF(Database!$B481=Screener!$B$5,-999999,IF(ISNUMBER(SEARCH(","&amp;Database!$A481&amp;",",","&amp;SUBSTITUTE(Screener!$B$19," ","")&amp;",")),2000000,IF(IF(OR(Screener!$B$18="All",AND(Screener!$B$18="With A-share",(Database!$AZ481="Y")),AND(Screener!$B$18="Without A-share",NOT((Database!$AZ481="Y")))),1,0)=0,-999999,IF(Screener!$B$16="cornerstone overlap first",H481*100000,IF(Screener!$B$16="demand-similar first",J481*100000,0))+W_SUB*B481+W_SEC*C481*(1-B481)+W_SIZE*D481+W_PROF*E481+W_AH*F481+W_REC*G481+W_CS*H481+W_PE*I481)))+ROW()/1000000</f>
        <v/>
      </c>
      <c r="AA481">
        <f>Database!B470</f>
        <v/>
      </c>
      <c r="AB481">
        <f>Database!D470</f>
        <v/>
      </c>
      <c r="AC481">
        <f>Database!E470</f>
        <v/>
      </c>
      <c r="AD481">
        <f>Database!I470</f>
        <v/>
      </c>
      <c r="AE481">
        <f>Database!AU470</f>
        <v/>
      </c>
      <c r="AF481">
        <f>Database!AZ470</f>
        <v/>
      </c>
      <c r="AG481">
        <f>Database!H470</f>
        <v/>
      </c>
      <c r="AH481">
        <f>Database!AV470</f>
        <v/>
      </c>
    </row>
    <row r="482">
      <c r="A482">
        <f>Database!B482</f>
        <v/>
      </c>
      <c r="B482">
        <f>IF(AND(Screener!$D$8&lt;&gt;"",Database!$E482=Screener!$D$8),1,0)</f>
        <v/>
      </c>
      <c r="C482">
        <f>IF(AND(Screener!$D$7&lt;&gt;"",Database!$D482=Screener!$D$7),1,0)</f>
        <v/>
      </c>
      <c r="D482">
        <f>IF(OR(N(Database!$I482)&lt;=0,N(Screener!$D$9)&lt;=0),0,MAX(0,1-ABS(LOG10(N(Database!$I482)/Screener!$D$9))/W_SIZEHW))</f>
        <v/>
      </c>
      <c r="E482">
        <f>IF(OR(Database!$AU482="",Screener!$D$10=""),0,IF(Database!$AU482=Screener!$D$10,1,0))</f>
        <v/>
      </c>
      <c r="F482">
        <f>IF(OR(Database!$AZ482="",Screener!$D$11=""),0,IF(Database!$AZ482=Screener!$D$11,1,0))</f>
        <v/>
      </c>
      <c r="G482">
        <f>IF(OR(Database!$H482="",N(Screener!$D$12)&lt;=0),0,MAX(0,1-(N(Screener!$D$12)-Database!$H482)/W_RECD))</f>
        <v/>
      </c>
      <c r="H482">
        <f>IF($U$1="",0,N(ISNUMBER(SEARCH($U$1,Database!$X482&amp;""))))+IF($V$1="",0,N(ISNUMBER(SEARCH($V$1,Database!$X482&amp;""))))+IF($W$1="",0,N(ISNUMBER(SEARCH($W$1,Database!$X482&amp;""))))+IF($X$1="",0,N(ISNUMBER(SEARCH($X$1,Database!$X482&amp;""))))+IF($Y$1="",0,N(ISNUMBER(SEARCH($Y$1,Database!$X482&amp;""))))+IF(Screener!$B$17="",0,N(ISNUMBER(SEARCH(LOWER(Screener!$B$17),Database!$X482&amp;""))))</f>
        <v/>
      </c>
      <c r="I482">
        <f>IF(OR(N(Database!$AV482)&lt;=0,N(Screener!$D$13)&lt;=0),0,MAX(0,1-ABS(LOG10(N(Database!$AV482)/Screener!$D$13))/W_PEHW))</f>
        <v/>
      </c>
      <c r="J482">
        <f>IF(OR(N(Database!$S482)&lt;=0,N(Screener!$D$14)&lt;=0),0,MAX(0,1-ABS(LOG10(Database!$S482/Screener!$D$14))/0.6))</f>
        <v/>
      </c>
      <c r="K482">
        <f>IF(Database!$B482=Screener!$B$5,-999999,IF(ISNUMBER(SEARCH(","&amp;Database!$A482&amp;",",","&amp;SUBSTITUTE(Screener!$B$19," ","")&amp;",")),2000000,IF(IF(OR(Screener!$B$18="All",AND(Screener!$B$18="With A-share",(Database!$AZ482="Y")),AND(Screener!$B$18="Without A-share",NOT((Database!$AZ482="Y")))),1,0)=0,-999999,IF(Screener!$B$16="cornerstone overlap first",H482*100000,IF(Screener!$B$16="demand-similar first",J482*100000,0))+W_SUB*B482+W_SEC*C482*(1-B482)+W_SIZE*D482+W_PROF*E482+W_AH*F482+W_REC*G482+W_CS*H482+W_PE*I482)))+ROW()/1000000</f>
        <v/>
      </c>
      <c r="AA482">
        <f>Database!B471</f>
        <v/>
      </c>
      <c r="AB482">
        <f>Database!D471</f>
        <v/>
      </c>
      <c r="AC482">
        <f>Database!E471</f>
        <v/>
      </c>
      <c r="AD482">
        <f>Database!I471</f>
        <v/>
      </c>
      <c r="AE482">
        <f>Database!AU471</f>
        <v/>
      </c>
      <c r="AF482">
        <f>Database!AZ471</f>
        <v/>
      </c>
      <c r="AG482">
        <f>Database!H471</f>
        <v/>
      </c>
      <c r="AH482">
        <f>Database!AV471</f>
        <v/>
      </c>
    </row>
    <row r="483">
      <c r="A483">
        <f>Database!B483</f>
        <v/>
      </c>
      <c r="B483">
        <f>IF(AND(Screener!$D$8&lt;&gt;"",Database!$E483=Screener!$D$8),1,0)</f>
        <v/>
      </c>
      <c r="C483">
        <f>IF(AND(Screener!$D$7&lt;&gt;"",Database!$D483=Screener!$D$7),1,0)</f>
        <v/>
      </c>
      <c r="D483">
        <f>IF(OR(N(Database!$I483)&lt;=0,N(Screener!$D$9)&lt;=0),0,MAX(0,1-ABS(LOG10(N(Database!$I483)/Screener!$D$9))/W_SIZEHW))</f>
        <v/>
      </c>
      <c r="E483">
        <f>IF(OR(Database!$AU483="",Screener!$D$10=""),0,IF(Database!$AU483=Screener!$D$10,1,0))</f>
        <v/>
      </c>
      <c r="F483">
        <f>IF(OR(Database!$AZ483="",Screener!$D$11=""),0,IF(Database!$AZ483=Screener!$D$11,1,0))</f>
        <v/>
      </c>
      <c r="G483">
        <f>IF(OR(Database!$H483="",N(Screener!$D$12)&lt;=0),0,MAX(0,1-(N(Screener!$D$12)-Database!$H483)/W_RECD))</f>
        <v/>
      </c>
      <c r="H483">
        <f>IF($U$1="",0,N(ISNUMBER(SEARCH($U$1,Database!$X483&amp;""))))+IF($V$1="",0,N(ISNUMBER(SEARCH($V$1,Database!$X483&amp;""))))+IF($W$1="",0,N(ISNUMBER(SEARCH($W$1,Database!$X483&amp;""))))+IF($X$1="",0,N(ISNUMBER(SEARCH($X$1,Database!$X483&amp;""))))+IF($Y$1="",0,N(ISNUMBER(SEARCH($Y$1,Database!$X483&amp;""))))+IF(Screener!$B$17="",0,N(ISNUMBER(SEARCH(LOWER(Screener!$B$17),Database!$X483&amp;""))))</f>
        <v/>
      </c>
      <c r="I483">
        <f>IF(OR(N(Database!$AV483)&lt;=0,N(Screener!$D$13)&lt;=0),0,MAX(0,1-ABS(LOG10(N(Database!$AV483)/Screener!$D$13))/W_PEHW))</f>
        <v/>
      </c>
      <c r="J483">
        <f>IF(OR(N(Database!$S483)&lt;=0,N(Screener!$D$14)&lt;=0),0,MAX(0,1-ABS(LOG10(Database!$S483/Screener!$D$14))/0.6))</f>
        <v/>
      </c>
      <c r="K483">
        <f>IF(Database!$B483=Screener!$B$5,-999999,IF(ISNUMBER(SEARCH(","&amp;Database!$A483&amp;",",","&amp;SUBSTITUTE(Screener!$B$19," ","")&amp;",")),2000000,IF(IF(OR(Screener!$B$18="All",AND(Screener!$B$18="With A-share",(Database!$AZ483="Y")),AND(Screener!$B$18="Without A-share",NOT((Database!$AZ483="Y")))),1,0)=0,-999999,IF(Screener!$B$16="cornerstone overlap first",H483*100000,IF(Screener!$B$16="demand-similar first",J483*100000,0))+W_SUB*B483+W_SEC*C483*(1-B483)+W_SIZE*D483+W_PROF*E483+W_AH*F483+W_REC*G483+W_CS*H483+W_PE*I483)))+ROW()/1000000</f>
        <v/>
      </c>
      <c r="AA483">
        <f>Database!B472</f>
        <v/>
      </c>
      <c r="AB483">
        <f>Database!D472</f>
        <v/>
      </c>
      <c r="AC483">
        <f>Database!E472</f>
        <v/>
      </c>
      <c r="AD483">
        <f>Database!I472</f>
        <v/>
      </c>
      <c r="AE483">
        <f>Database!AU472</f>
        <v/>
      </c>
      <c r="AF483">
        <f>Database!AZ472</f>
        <v/>
      </c>
      <c r="AG483">
        <f>Database!H472</f>
        <v/>
      </c>
      <c r="AH483">
        <f>Database!AV472</f>
        <v/>
      </c>
    </row>
    <row r="484">
      <c r="A484">
        <f>Database!B484</f>
        <v/>
      </c>
      <c r="B484">
        <f>IF(AND(Screener!$D$8&lt;&gt;"",Database!$E484=Screener!$D$8),1,0)</f>
        <v/>
      </c>
      <c r="C484">
        <f>IF(AND(Screener!$D$7&lt;&gt;"",Database!$D484=Screener!$D$7),1,0)</f>
        <v/>
      </c>
      <c r="D484">
        <f>IF(OR(N(Database!$I484)&lt;=0,N(Screener!$D$9)&lt;=0),0,MAX(0,1-ABS(LOG10(N(Database!$I484)/Screener!$D$9))/W_SIZEHW))</f>
        <v/>
      </c>
      <c r="E484">
        <f>IF(OR(Database!$AU484="",Screener!$D$10=""),0,IF(Database!$AU484=Screener!$D$10,1,0))</f>
        <v/>
      </c>
      <c r="F484">
        <f>IF(OR(Database!$AZ484="",Screener!$D$11=""),0,IF(Database!$AZ484=Screener!$D$11,1,0))</f>
        <v/>
      </c>
      <c r="G484">
        <f>IF(OR(Database!$H484="",N(Screener!$D$12)&lt;=0),0,MAX(0,1-(N(Screener!$D$12)-Database!$H484)/W_RECD))</f>
        <v/>
      </c>
      <c r="H484">
        <f>IF($U$1="",0,N(ISNUMBER(SEARCH($U$1,Database!$X484&amp;""))))+IF($V$1="",0,N(ISNUMBER(SEARCH($V$1,Database!$X484&amp;""))))+IF($W$1="",0,N(ISNUMBER(SEARCH($W$1,Database!$X484&amp;""))))+IF($X$1="",0,N(ISNUMBER(SEARCH($X$1,Database!$X484&amp;""))))+IF($Y$1="",0,N(ISNUMBER(SEARCH($Y$1,Database!$X484&amp;""))))+IF(Screener!$B$17="",0,N(ISNUMBER(SEARCH(LOWER(Screener!$B$17),Database!$X484&amp;""))))</f>
        <v/>
      </c>
      <c r="I484">
        <f>IF(OR(N(Database!$AV484)&lt;=0,N(Screener!$D$13)&lt;=0),0,MAX(0,1-ABS(LOG10(N(Database!$AV484)/Screener!$D$13))/W_PEHW))</f>
        <v/>
      </c>
      <c r="J484">
        <f>IF(OR(N(Database!$S484)&lt;=0,N(Screener!$D$14)&lt;=0),0,MAX(0,1-ABS(LOG10(Database!$S484/Screener!$D$14))/0.6))</f>
        <v/>
      </c>
      <c r="K484">
        <f>IF(Database!$B484=Screener!$B$5,-999999,IF(ISNUMBER(SEARCH(","&amp;Database!$A484&amp;",",","&amp;SUBSTITUTE(Screener!$B$19," ","")&amp;",")),2000000,IF(IF(OR(Screener!$B$18="All",AND(Screener!$B$18="With A-share",(Database!$AZ484="Y")),AND(Screener!$B$18="Without A-share",NOT((Database!$AZ484="Y")))),1,0)=0,-999999,IF(Screener!$B$16="cornerstone overlap first",H484*100000,IF(Screener!$B$16="demand-similar first",J484*100000,0))+W_SUB*B484+W_SEC*C484*(1-B484)+W_SIZE*D484+W_PROF*E484+W_AH*F484+W_REC*G484+W_CS*H484+W_PE*I484)))+ROW()/1000000</f>
        <v/>
      </c>
      <c r="AA484">
        <f>Database!B473</f>
        <v/>
      </c>
      <c r="AB484">
        <f>Database!D473</f>
        <v/>
      </c>
      <c r="AC484">
        <f>Database!E473</f>
        <v/>
      </c>
      <c r="AD484">
        <f>Database!I473</f>
        <v/>
      </c>
      <c r="AE484">
        <f>Database!AU473</f>
        <v/>
      </c>
      <c r="AF484">
        <f>Database!AZ473</f>
        <v/>
      </c>
      <c r="AG484">
        <f>Database!H473</f>
        <v/>
      </c>
      <c r="AH484">
        <f>Database!AV473</f>
        <v/>
      </c>
    </row>
    <row r="485">
      <c r="A485">
        <f>Database!B485</f>
        <v/>
      </c>
      <c r="B485">
        <f>IF(AND(Screener!$D$8&lt;&gt;"",Database!$E485=Screener!$D$8),1,0)</f>
        <v/>
      </c>
      <c r="C485">
        <f>IF(AND(Screener!$D$7&lt;&gt;"",Database!$D485=Screener!$D$7),1,0)</f>
        <v/>
      </c>
      <c r="D485">
        <f>IF(OR(N(Database!$I485)&lt;=0,N(Screener!$D$9)&lt;=0),0,MAX(0,1-ABS(LOG10(N(Database!$I485)/Screener!$D$9))/W_SIZEHW))</f>
        <v/>
      </c>
      <c r="E485">
        <f>IF(OR(Database!$AU485="",Screener!$D$10=""),0,IF(Database!$AU485=Screener!$D$10,1,0))</f>
        <v/>
      </c>
      <c r="F485">
        <f>IF(OR(Database!$AZ485="",Screener!$D$11=""),0,IF(Database!$AZ485=Screener!$D$11,1,0))</f>
        <v/>
      </c>
      <c r="G485">
        <f>IF(OR(Database!$H485="",N(Screener!$D$12)&lt;=0),0,MAX(0,1-(N(Screener!$D$12)-Database!$H485)/W_RECD))</f>
        <v/>
      </c>
      <c r="H485">
        <f>IF($U$1="",0,N(ISNUMBER(SEARCH($U$1,Database!$X485&amp;""))))+IF($V$1="",0,N(ISNUMBER(SEARCH($V$1,Database!$X485&amp;""))))+IF($W$1="",0,N(ISNUMBER(SEARCH($W$1,Database!$X485&amp;""))))+IF($X$1="",0,N(ISNUMBER(SEARCH($X$1,Database!$X485&amp;""))))+IF($Y$1="",0,N(ISNUMBER(SEARCH($Y$1,Database!$X485&amp;""))))+IF(Screener!$B$17="",0,N(ISNUMBER(SEARCH(LOWER(Screener!$B$17),Database!$X485&amp;""))))</f>
        <v/>
      </c>
      <c r="I485">
        <f>IF(OR(N(Database!$AV485)&lt;=0,N(Screener!$D$13)&lt;=0),0,MAX(0,1-ABS(LOG10(N(Database!$AV485)/Screener!$D$13))/W_PEHW))</f>
        <v/>
      </c>
      <c r="J485">
        <f>IF(OR(N(Database!$S485)&lt;=0,N(Screener!$D$14)&lt;=0),0,MAX(0,1-ABS(LOG10(Database!$S485/Screener!$D$14))/0.6))</f>
        <v/>
      </c>
      <c r="K485">
        <f>IF(Database!$B485=Screener!$B$5,-999999,IF(ISNUMBER(SEARCH(","&amp;Database!$A485&amp;",",","&amp;SUBSTITUTE(Screener!$B$19," ","")&amp;",")),2000000,IF(IF(OR(Screener!$B$18="All",AND(Screener!$B$18="With A-share",(Database!$AZ485="Y")),AND(Screener!$B$18="Without A-share",NOT((Database!$AZ485="Y")))),1,0)=0,-999999,IF(Screener!$B$16="cornerstone overlap first",H485*100000,IF(Screener!$B$16="demand-similar first",J485*100000,0))+W_SUB*B485+W_SEC*C485*(1-B485)+W_SIZE*D485+W_PROF*E485+W_AH*F485+W_REC*G485+W_CS*H485+W_PE*I485)))+ROW()/1000000</f>
        <v/>
      </c>
      <c r="AA485">
        <f>Database!B474</f>
        <v/>
      </c>
      <c r="AB485">
        <f>Database!D474</f>
        <v/>
      </c>
      <c r="AC485">
        <f>Database!E474</f>
        <v/>
      </c>
      <c r="AD485">
        <f>Database!I474</f>
        <v/>
      </c>
      <c r="AE485">
        <f>Database!AU474</f>
        <v/>
      </c>
      <c r="AF485">
        <f>Database!AZ474</f>
        <v/>
      </c>
      <c r="AG485">
        <f>Database!H474</f>
        <v/>
      </c>
      <c r="AH485">
        <f>Database!AV474</f>
        <v/>
      </c>
    </row>
    <row r="486">
      <c r="A486">
        <f>Database!B486</f>
        <v/>
      </c>
      <c r="B486">
        <f>IF(AND(Screener!$D$8&lt;&gt;"",Database!$E486=Screener!$D$8),1,0)</f>
        <v/>
      </c>
      <c r="C486">
        <f>IF(AND(Screener!$D$7&lt;&gt;"",Database!$D486=Screener!$D$7),1,0)</f>
        <v/>
      </c>
      <c r="D486">
        <f>IF(OR(N(Database!$I486)&lt;=0,N(Screener!$D$9)&lt;=0),0,MAX(0,1-ABS(LOG10(N(Database!$I486)/Screener!$D$9))/W_SIZEHW))</f>
        <v/>
      </c>
      <c r="E486">
        <f>IF(OR(Database!$AU486="",Screener!$D$10=""),0,IF(Database!$AU486=Screener!$D$10,1,0))</f>
        <v/>
      </c>
      <c r="F486">
        <f>IF(OR(Database!$AZ486="",Screener!$D$11=""),0,IF(Database!$AZ486=Screener!$D$11,1,0))</f>
        <v/>
      </c>
      <c r="G486">
        <f>IF(OR(Database!$H486="",N(Screener!$D$12)&lt;=0),0,MAX(0,1-(N(Screener!$D$12)-Database!$H486)/W_RECD))</f>
        <v/>
      </c>
      <c r="H486">
        <f>IF($U$1="",0,N(ISNUMBER(SEARCH($U$1,Database!$X486&amp;""))))+IF($V$1="",0,N(ISNUMBER(SEARCH($V$1,Database!$X486&amp;""))))+IF($W$1="",0,N(ISNUMBER(SEARCH($W$1,Database!$X486&amp;""))))+IF($X$1="",0,N(ISNUMBER(SEARCH($X$1,Database!$X486&amp;""))))+IF($Y$1="",0,N(ISNUMBER(SEARCH($Y$1,Database!$X486&amp;""))))+IF(Screener!$B$17="",0,N(ISNUMBER(SEARCH(LOWER(Screener!$B$17),Database!$X486&amp;""))))</f>
        <v/>
      </c>
      <c r="I486">
        <f>IF(OR(N(Database!$AV486)&lt;=0,N(Screener!$D$13)&lt;=0),0,MAX(0,1-ABS(LOG10(N(Database!$AV486)/Screener!$D$13))/W_PEHW))</f>
        <v/>
      </c>
      <c r="J486">
        <f>IF(OR(N(Database!$S486)&lt;=0,N(Screener!$D$14)&lt;=0),0,MAX(0,1-ABS(LOG10(Database!$S486/Screener!$D$14))/0.6))</f>
        <v/>
      </c>
      <c r="K486">
        <f>IF(Database!$B486=Screener!$B$5,-999999,IF(ISNUMBER(SEARCH(","&amp;Database!$A486&amp;",",","&amp;SUBSTITUTE(Screener!$B$19," ","")&amp;",")),2000000,IF(IF(OR(Screener!$B$18="All",AND(Screener!$B$18="With A-share",(Database!$AZ486="Y")),AND(Screener!$B$18="Without A-share",NOT((Database!$AZ486="Y")))),1,0)=0,-999999,IF(Screener!$B$16="cornerstone overlap first",H486*100000,IF(Screener!$B$16="demand-similar first",J486*100000,0))+W_SUB*B486+W_SEC*C486*(1-B486)+W_SIZE*D486+W_PROF*E486+W_AH*F486+W_REC*G486+W_CS*H486+W_PE*I486)))+ROW()/1000000</f>
        <v/>
      </c>
      <c r="AA486">
        <f>Database!B475</f>
        <v/>
      </c>
      <c r="AB486">
        <f>Database!D475</f>
        <v/>
      </c>
      <c r="AC486">
        <f>Database!E475</f>
        <v/>
      </c>
      <c r="AD486">
        <f>Database!I475</f>
        <v/>
      </c>
      <c r="AE486">
        <f>Database!AU475</f>
        <v/>
      </c>
      <c r="AF486">
        <f>Database!AZ475</f>
        <v/>
      </c>
      <c r="AG486">
        <f>Database!H475</f>
        <v/>
      </c>
      <c r="AH486">
        <f>Database!AV475</f>
        <v/>
      </c>
    </row>
    <row r="487">
      <c r="A487">
        <f>Database!B487</f>
        <v/>
      </c>
      <c r="B487">
        <f>IF(AND(Screener!$D$8&lt;&gt;"",Database!$E487=Screener!$D$8),1,0)</f>
        <v/>
      </c>
      <c r="C487">
        <f>IF(AND(Screener!$D$7&lt;&gt;"",Database!$D487=Screener!$D$7),1,0)</f>
        <v/>
      </c>
      <c r="D487">
        <f>IF(OR(N(Database!$I487)&lt;=0,N(Screener!$D$9)&lt;=0),0,MAX(0,1-ABS(LOG10(N(Database!$I487)/Screener!$D$9))/W_SIZEHW))</f>
        <v/>
      </c>
      <c r="E487">
        <f>IF(OR(Database!$AU487="",Screener!$D$10=""),0,IF(Database!$AU487=Screener!$D$10,1,0))</f>
        <v/>
      </c>
      <c r="F487">
        <f>IF(OR(Database!$AZ487="",Screener!$D$11=""),0,IF(Database!$AZ487=Screener!$D$11,1,0))</f>
        <v/>
      </c>
      <c r="G487">
        <f>IF(OR(Database!$H487="",N(Screener!$D$12)&lt;=0),0,MAX(0,1-(N(Screener!$D$12)-Database!$H487)/W_RECD))</f>
        <v/>
      </c>
      <c r="H487">
        <f>IF($U$1="",0,N(ISNUMBER(SEARCH($U$1,Database!$X487&amp;""))))+IF($V$1="",0,N(ISNUMBER(SEARCH($V$1,Database!$X487&amp;""))))+IF($W$1="",0,N(ISNUMBER(SEARCH($W$1,Database!$X487&amp;""))))+IF($X$1="",0,N(ISNUMBER(SEARCH($X$1,Database!$X487&amp;""))))+IF($Y$1="",0,N(ISNUMBER(SEARCH($Y$1,Database!$X487&amp;""))))+IF(Screener!$B$17="",0,N(ISNUMBER(SEARCH(LOWER(Screener!$B$17),Database!$X487&amp;""))))</f>
        <v/>
      </c>
      <c r="I487">
        <f>IF(OR(N(Database!$AV487)&lt;=0,N(Screener!$D$13)&lt;=0),0,MAX(0,1-ABS(LOG10(N(Database!$AV487)/Screener!$D$13))/W_PEHW))</f>
        <v/>
      </c>
      <c r="J487">
        <f>IF(OR(N(Database!$S487)&lt;=0,N(Screener!$D$14)&lt;=0),0,MAX(0,1-ABS(LOG10(Database!$S487/Screener!$D$14))/0.6))</f>
        <v/>
      </c>
      <c r="K487">
        <f>IF(Database!$B487=Screener!$B$5,-999999,IF(ISNUMBER(SEARCH(","&amp;Database!$A487&amp;",",","&amp;SUBSTITUTE(Screener!$B$19," ","")&amp;",")),2000000,IF(IF(OR(Screener!$B$18="All",AND(Screener!$B$18="With A-share",(Database!$AZ487="Y")),AND(Screener!$B$18="Without A-share",NOT((Database!$AZ487="Y")))),1,0)=0,-999999,IF(Screener!$B$16="cornerstone overlap first",H487*100000,IF(Screener!$B$16="demand-similar first",J487*100000,0))+W_SUB*B487+W_SEC*C487*(1-B487)+W_SIZE*D487+W_PROF*E487+W_AH*F487+W_REC*G487+W_CS*H487+W_PE*I487)))+ROW()/1000000</f>
        <v/>
      </c>
      <c r="AA487">
        <f>Database!B476</f>
        <v/>
      </c>
      <c r="AB487">
        <f>Database!D476</f>
        <v/>
      </c>
      <c r="AC487">
        <f>Database!E476</f>
        <v/>
      </c>
      <c r="AD487">
        <f>Database!I476</f>
        <v/>
      </c>
      <c r="AE487">
        <f>Database!AU476</f>
        <v/>
      </c>
      <c r="AF487">
        <f>Database!AZ476</f>
        <v/>
      </c>
      <c r="AG487">
        <f>Database!H476</f>
        <v/>
      </c>
      <c r="AH487">
        <f>Database!AV476</f>
        <v/>
      </c>
    </row>
    <row r="488">
      <c r="A488">
        <f>Database!B488</f>
        <v/>
      </c>
      <c r="B488">
        <f>IF(AND(Screener!$D$8&lt;&gt;"",Database!$E488=Screener!$D$8),1,0)</f>
        <v/>
      </c>
      <c r="C488">
        <f>IF(AND(Screener!$D$7&lt;&gt;"",Database!$D488=Screener!$D$7),1,0)</f>
        <v/>
      </c>
      <c r="D488">
        <f>IF(OR(N(Database!$I488)&lt;=0,N(Screener!$D$9)&lt;=0),0,MAX(0,1-ABS(LOG10(N(Database!$I488)/Screener!$D$9))/W_SIZEHW))</f>
        <v/>
      </c>
      <c r="E488">
        <f>IF(OR(Database!$AU488="",Screener!$D$10=""),0,IF(Database!$AU488=Screener!$D$10,1,0))</f>
        <v/>
      </c>
      <c r="F488">
        <f>IF(OR(Database!$AZ488="",Screener!$D$11=""),0,IF(Database!$AZ488=Screener!$D$11,1,0))</f>
        <v/>
      </c>
      <c r="G488">
        <f>IF(OR(Database!$H488="",N(Screener!$D$12)&lt;=0),0,MAX(0,1-(N(Screener!$D$12)-Database!$H488)/W_RECD))</f>
        <v/>
      </c>
      <c r="H488">
        <f>IF($U$1="",0,N(ISNUMBER(SEARCH($U$1,Database!$X488&amp;""))))+IF($V$1="",0,N(ISNUMBER(SEARCH($V$1,Database!$X488&amp;""))))+IF($W$1="",0,N(ISNUMBER(SEARCH($W$1,Database!$X488&amp;""))))+IF($X$1="",0,N(ISNUMBER(SEARCH($X$1,Database!$X488&amp;""))))+IF($Y$1="",0,N(ISNUMBER(SEARCH($Y$1,Database!$X488&amp;""))))+IF(Screener!$B$17="",0,N(ISNUMBER(SEARCH(LOWER(Screener!$B$17),Database!$X488&amp;""))))</f>
        <v/>
      </c>
      <c r="I488">
        <f>IF(OR(N(Database!$AV488)&lt;=0,N(Screener!$D$13)&lt;=0),0,MAX(0,1-ABS(LOG10(N(Database!$AV488)/Screener!$D$13))/W_PEHW))</f>
        <v/>
      </c>
      <c r="J488">
        <f>IF(OR(N(Database!$S488)&lt;=0,N(Screener!$D$14)&lt;=0),0,MAX(0,1-ABS(LOG10(Database!$S488/Screener!$D$14))/0.6))</f>
        <v/>
      </c>
      <c r="K488">
        <f>IF(Database!$B488=Screener!$B$5,-999999,IF(ISNUMBER(SEARCH(","&amp;Database!$A488&amp;",",","&amp;SUBSTITUTE(Screener!$B$19," ","")&amp;",")),2000000,IF(IF(OR(Screener!$B$18="All",AND(Screener!$B$18="With A-share",(Database!$AZ488="Y")),AND(Screener!$B$18="Without A-share",NOT((Database!$AZ488="Y")))),1,0)=0,-999999,IF(Screener!$B$16="cornerstone overlap first",H488*100000,IF(Screener!$B$16="demand-similar first",J488*100000,0))+W_SUB*B488+W_SEC*C488*(1-B488)+W_SIZE*D488+W_PROF*E488+W_AH*F488+W_REC*G488+W_CS*H488+W_PE*I488)))+ROW()/1000000</f>
        <v/>
      </c>
      <c r="AA488">
        <f>Database!B477</f>
        <v/>
      </c>
      <c r="AB488">
        <f>Database!D477</f>
        <v/>
      </c>
      <c r="AC488">
        <f>Database!E477</f>
        <v/>
      </c>
      <c r="AD488">
        <f>Database!I477</f>
        <v/>
      </c>
      <c r="AE488">
        <f>Database!AU477</f>
        <v/>
      </c>
      <c r="AF488">
        <f>Database!AZ477</f>
        <v/>
      </c>
      <c r="AG488">
        <f>Database!H477</f>
        <v/>
      </c>
      <c r="AH488">
        <f>Database!AV477</f>
        <v/>
      </c>
    </row>
    <row r="489">
      <c r="A489">
        <f>Database!B489</f>
        <v/>
      </c>
      <c r="B489">
        <f>IF(AND(Screener!$D$8&lt;&gt;"",Database!$E489=Screener!$D$8),1,0)</f>
        <v/>
      </c>
      <c r="C489">
        <f>IF(AND(Screener!$D$7&lt;&gt;"",Database!$D489=Screener!$D$7),1,0)</f>
        <v/>
      </c>
      <c r="D489">
        <f>IF(OR(N(Database!$I489)&lt;=0,N(Screener!$D$9)&lt;=0),0,MAX(0,1-ABS(LOG10(N(Database!$I489)/Screener!$D$9))/W_SIZEHW))</f>
        <v/>
      </c>
      <c r="E489">
        <f>IF(OR(Database!$AU489="",Screener!$D$10=""),0,IF(Database!$AU489=Screener!$D$10,1,0))</f>
        <v/>
      </c>
      <c r="F489">
        <f>IF(OR(Database!$AZ489="",Screener!$D$11=""),0,IF(Database!$AZ489=Screener!$D$11,1,0))</f>
        <v/>
      </c>
      <c r="G489">
        <f>IF(OR(Database!$H489="",N(Screener!$D$12)&lt;=0),0,MAX(0,1-(N(Screener!$D$12)-Database!$H489)/W_RECD))</f>
        <v/>
      </c>
      <c r="H489">
        <f>IF($U$1="",0,N(ISNUMBER(SEARCH($U$1,Database!$X489&amp;""))))+IF($V$1="",0,N(ISNUMBER(SEARCH($V$1,Database!$X489&amp;""))))+IF($W$1="",0,N(ISNUMBER(SEARCH($W$1,Database!$X489&amp;""))))+IF($X$1="",0,N(ISNUMBER(SEARCH($X$1,Database!$X489&amp;""))))+IF($Y$1="",0,N(ISNUMBER(SEARCH($Y$1,Database!$X489&amp;""))))+IF(Screener!$B$17="",0,N(ISNUMBER(SEARCH(LOWER(Screener!$B$17),Database!$X489&amp;""))))</f>
        <v/>
      </c>
      <c r="I489">
        <f>IF(OR(N(Database!$AV489)&lt;=0,N(Screener!$D$13)&lt;=0),0,MAX(0,1-ABS(LOG10(N(Database!$AV489)/Screener!$D$13))/W_PEHW))</f>
        <v/>
      </c>
      <c r="J489">
        <f>IF(OR(N(Database!$S489)&lt;=0,N(Screener!$D$14)&lt;=0),0,MAX(0,1-ABS(LOG10(Database!$S489/Screener!$D$14))/0.6))</f>
        <v/>
      </c>
      <c r="K489">
        <f>IF(Database!$B489=Screener!$B$5,-999999,IF(ISNUMBER(SEARCH(","&amp;Database!$A489&amp;",",","&amp;SUBSTITUTE(Screener!$B$19," ","")&amp;",")),2000000,IF(IF(OR(Screener!$B$18="All",AND(Screener!$B$18="With A-share",(Database!$AZ489="Y")),AND(Screener!$B$18="Without A-share",NOT((Database!$AZ489="Y")))),1,0)=0,-999999,IF(Screener!$B$16="cornerstone overlap first",H489*100000,IF(Screener!$B$16="demand-similar first",J489*100000,0))+W_SUB*B489+W_SEC*C489*(1-B489)+W_SIZE*D489+W_PROF*E489+W_AH*F489+W_REC*G489+W_CS*H489+W_PE*I489)))+ROW()/1000000</f>
        <v/>
      </c>
      <c r="AA489">
        <f>Database!B478</f>
        <v/>
      </c>
      <c r="AB489">
        <f>Database!D478</f>
        <v/>
      </c>
      <c r="AC489">
        <f>Database!E478</f>
        <v/>
      </c>
      <c r="AD489">
        <f>Database!I478</f>
        <v/>
      </c>
      <c r="AE489">
        <f>Database!AU478</f>
        <v/>
      </c>
      <c r="AF489">
        <f>Database!AZ478</f>
        <v/>
      </c>
      <c r="AG489">
        <f>Database!H478</f>
        <v/>
      </c>
      <c r="AH489">
        <f>Database!AV478</f>
        <v/>
      </c>
    </row>
    <row r="490">
      <c r="A490">
        <f>Database!B490</f>
        <v/>
      </c>
      <c r="B490">
        <f>IF(AND(Screener!$D$8&lt;&gt;"",Database!$E490=Screener!$D$8),1,0)</f>
        <v/>
      </c>
      <c r="C490">
        <f>IF(AND(Screener!$D$7&lt;&gt;"",Database!$D490=Screener!$D$7),1,0)</f>
        <v/>
      </c>
      <c r="D490">
        <f>IF(OR(N(Database!$I490)&lt;=0,N(Screener!$D$9)&lt;=0),0,MAX(0,1-ABS(LOG10(N(Database!$I490)/Screener!$D$9))/W_SIZEHW))</f>
        <v/>
      </c>
      <c r="E490">
        <f>IF(OR(Database!$AU490="",Screener!$D$10=""),0,IF(Database!$AU490=Screener!$D$10,1,0))</f>
        <v/>
      </c>
      <c r="F490">
        <f>IF(OR(Database!$AZ490="",Screener!$D$11=""),0,IF(Database!$AZ490=Screener!$D$11,1,0))</f>
        <v/>
      </c>
      <c r="G490">
        <f>IF(OR(Database!$H490="",N(Screener!$D$12)&lt;=0),0,MAX(0,1-(N(Screener!$D$12)-Database!$H490)/W_RECD))</f>
        <v/>
      </c>
      <c r="H490">
        <f>IF($U$1="",0,N(ISNUMBER(SEARCH($U$1,Database!$X490&amp;""))))+IF($V$1="",0,N(ISNUMBER(SEARCH($V$1,Database!$X490&amp;""))))+IF($W$1="",0,N(ISNUMBER(SEARCH($W$1,Database!$X490&amp;""))))+IF($X$1="",0,N(ISNUMBER(SEARCH($X$1,Database!$X490&amp;""))))+IF($Y$1="",0,N(ISNUMBER(SEARCH($Y$1,Database!$X490&amp;""))))+IF(Screener!$B$17="",0,N(ISNUMBER(SEARCH(LOWER(Screener!$B$17),Database!$X490&amp;""))))</f>
        <v/>
      </c>
      <c r="I490">
        <f>IF(OR(N(Database!$AV490)&lt;=0,N(Screener!$D$13)&lt;=0),0,MAX(0,1-ABS(LOG10(N(Database!$AV490)/Screener!$D$13))/W_PEHW))</f>
        <v/>
      </c>
      <c r="J490">
        <f>IF(OR(N(Database!$S490)&lt;=0,N(Screener!$D$14)&lt;=0),0,MAX(0,1-ABS(LOG10(Database!$S490/Screener!$D$14))/0.6))</f>
        <v/>
      </c>
      <c r="K490">
        <f>IF(Database!$B490=Screener!$B$5,-999999,IF(ISNUMBER(SEARCH(","&amp;Database!$A490&amp;",",","&amp;SUBSTITUTE(Screener!$B$19," ","")&amp;",")),2000000,IF(IF(OR(Screener!$B$18="All",AND(Screener!$B$18="With A-share",(Database!$AZ490="Y")),AND(Screener!$B$18="Without A-share",NOT((Database!$AZ490="Y")))),1,0)=0,-999999,IF(Screener!$B$16="cornerstone overlap first",H490*100000,IF(Screener!$B$16="demand-similar first",J490*100000,0))+W_SUB*B490+W_SEC*C490*(1-B490)+W_SIZE*D490+W_PROF*E490+W_AH*F490+W_REC*G490+W_CS*H490+W_PE*I490)))+ROW()/1000000</f>
        <v/>
      </c>
      <c r="AA490">
        <f>Database!B479</f>
        <v/>
      </c>
      <c r="AB490">
        <f>Database!D479</f>
        <v/>
      </c>
      <c r="AC490">
        <f>Database!E479</f>
        <v/>
      </c>
      <c r="AD490">
        <f>Database!I479</f>
        <v/>
      </c>
      <c r="AE490">
        <f>Database!AU479</f>
        <v/>
      </c>
      <c r="AF490">
        <f>Database!AZ479</f>
        <v/>
      </c>
      <c r="AG490">
        <f>Database!H479</f>
        <v/>
      </c>
      <c r="AH490">
        <f>Database!AV479</f>
        <v/>
      </c>
    </row>
    <row r="491">
      <c r="A491">
        <f>Database!B491</f>
        <v/>
      </c>
      <c r="B491">
        <f>IF(AND(Screener!$D$8&lt;&gt;"",Database!$E491=Screener!$D$8),1,0)</f>
        <v/>
      </c>
      <c r="C491">
        <f>IF(AND(Screener!$D$7&lt;&gt;"",Database!$D491=Screener!$D$7),1,0)</f>
        <v/>
      </c>
      <c r="D491">
        <f>IF(OR(N(Database!$I491)&lt;=0,N(Screener!$D$9)&lt;=0),0,MAX(0,1-ABS(LOG10(N(Database!$I491)/Screener!$D$9))/W_SIZEHW))</f>
        <v/>
      </c>
      <c r="E491">
        <f>IF(OR(Database!$AU491="",Screener!$D$10=""),0,IF(Database!$AU491=Screener!$D$10,1,0))</f>
        <v/>
      </c>
      <c r="F491">
        <f>IF(OR(Database!$AZ491="",Screener!$D$11=""),0,IF(Database!$AZ491=Screener!$D$11,1,0))</f>
        <v/>
      </c>
      <c r="G491">
        <f>IF(OR(Database!$H491="",N(Screener!$D$12)&lt;=0),0,MAX(0,1-(N(Screener!$D$12)-Database!$H491)/W_RECD))</f>
        <v/>
      </c>
      <c r="H491">
        <f>IF($U$1="",0,N(ISNUMBER(SEARCH($U$1,Database!$X491&amp;""))))+IF($V$1="",0,N(ISNUMBER(SEARCH($V$1,Database!$X491&amp;""))))+IF($W$1="",0,N(ISNUMBER(SEARCH($W$1,Database!$X491&amp;""))))+IF($X$1="",0,N(ISNUMBER(SEARCH($X$1,Database!$X491&amp;""))))+IF($Y$1="",0,N(ISNUMBER(SEARCH($Y$1,Database!$X491&amp;""))))+IF(Screener!$B$17="",0,N(ISNUMBER(SEARCH(LOWER(Screener!$B$17),Database!$X491&amp;""))))</f>
        <v/>
      </c>
      <c r="I491">
        <f>IF(OR(N(Database!$AV491)&lt;=0,N(Screener!$D$13)&lt;=0),0,MAX(0,1-ABS(LOG10(N(Database!$AV491)/Screener!$D$13))/W_PEHW))</f>
        <v/>
      </c>
      <c r="J491">
        <f>IF(OR(N(Database!$S491)&lt;=0,N(Screener!$D$14)&lt;=0),0,MAX(0,1-ABS(LOG10(Database!$S491/Screener!$D$14))/0.6))</f>
        <v/>
      </c>
      <c r="K491">
        <f>IF(Database!$B491=Screener!$B$5,-999999,IF(ISNUMBER(SEARCH(","&amp;Database!$A491&amp;",",","&amp;SUBSTITUTE(Screener!$B$19," ","")&amp;",")),2000000,IF(IF(OR(Screener!$B$18="All",AND(Screener!$B$18="With A-share",(Database!$AZ491="Y")),AND(Screener!$B$18="Without A-share",NOT((Database!$AZ491="Y")))),1,0)=0,-999999,IF(Screener!$B$16="cornerstone overlap first",H491*100000,IF(Screener!$B$16="demand-similar first",J491*100000,0))+W_SUB*B491+W_SEC*C491*(1-B491)+W_SIZE*D491+W_PROF*E491+W_AH*F491+W_REC*G491+W_CS*H491+W_PE*I491)))+ROW()/1000000</f>
        <v/>
      </c>
      <c r="AA491">
        <f>Database!B480</f>
        <v/>
      </c>
      <c r="AB491">
        <f>Database!D480</f>
        <v/>
      </c>
      <c r="AC491">
        <f>Database!E480</f>
        <v/>
      </c>
      <c r="AD491">
        <f>Database!I480</f>
        <v/>
      </c>
      <c r="AE491">
        <f>Database!AU480</f>
        <v/>
      </c>
      <c r="AF491">
        <f>Database!AZ480</f>
        <v/>
      </c>
      <c r="AG491">
        <f>Database!H480</f>
        <v/>
      </c>
      <c r="AH491">
        <f>Database!AV480</f>
        <v/>
      </c>
    </row>
    <row r="492">
      <c r="A492">
        <f>Database!B492</f>
        <v/>
      </c>
      <c r="B492">
        <f>IF(AND(Screener!$D$8&lt;&gt;"",Database!$E492=Screener!$D$8),1,0)</f>
        <v/>
      </c>
      <c r="C492">
        <f>IF(AND(Screener!$D$7&lt;&gt;"",Database!$D492=Screener!$D$7),1,0)</f>
        <v/>
      </c>
      <c r="D492">
        <f>IF(OR(N(Database!$I492)&lt;=0,N(Screener!$D$9)&lt;=0),0,MAX(0,1-ABS(LOG10(N(Database!$I492)/Screener!$D$9))/W_SIZEHW))</f>
        <v/>
      </c>
      <c r="E492">
        <f>IF(OR(Database!$AU492="",Screener!$D$10=""),0,IF(Database!$AU492=Screener!$D$10,1,0))</f>
        <v/>
      </c>
      <c r="F492">
        <f>IF(OR(Database!$AZ492="",Screener!$D$11=""),0,IF(Database!$AZ492=Screener!$D$11,1,0))</f>
        <v/>
      </c>
      <c r="G492">
        <f>IF(OR(Database!$H492="",N(Screener!$D$12)&lt;=0),0,MAX(0,1-(N(Screener!$D$12)-Database!$H492)/W_RECD))</f>
        <v/>
      </c>
      <c r="H492">
        <f>IF($U$1="",0,N(ISNUMBER(SEARCH($U$1,Database!$X492&amp;""))))+IF($V$1="",0,N(ISNUMBER(SEARCH($V$1,Database!$X492&amp;""))))+IF($W$1="",0,N(ISNUMBER(SEARCH($W$1,Database!$X492&amp;""))))+IF($X$1="",0,N(ISNUMBER(SEARCH($X$1,Database!$X492&amp;""))))+IF($Y$1="",0,N(ISNUMBER(SEARCH($Y$1,Database!$X492&amp;""))))+IF(Screener!$B$17="",0,N(ISNUMBER(SEARCH(LOWER(Screener!$B$17),Database!$X492&amp;""))))</f>
        <v/>
      </c>
      <c r="I492">
        <f>IF(OR(N(Database!$AV492)&lt;=0,N(Screener!$D$13)&lt;=0),0,MAX(0,1-ABS(LOG10(N(Database!$AV492)/Screener!$D$13))/W_PEHW))</f>
        <v/>
      </c>
      <c r="J492">
        <f>IF(OR(N(Database!$S492)&lt;=0,N(Screener!$D$14)&lt;=0),0,MAX(0,1-ABS(LOG10(Database!$S492/Screener!$D$14))/0.6))</f>
        <v/>
      </c>
      <c r="K492">
        <f>IF(Database!$B492=Screener!$B$5,-999999,IF(ISNUMBER(SEARCH(","&amp;Database!$A492&amp;",",","&amp;SUBSTITUTE(Screener!$B$19," ","")&amp;",")),2000000,IF(IF(OR(Screener!$B$18="All",AND(Screener!$B$18="With A-share",(Database!$AZ492="Y")),AND(Screener!$B$18="Without A-share",NOT((Database!$AZ492="Y")))),1,0)=0,-999999,IF(Screener!$B$16="cornerstone overlap first",H492*100000,IF(Screener!$B$16="demand-similar first",J492*100000,0))+W_SUB*B492+W_SEC*C492*(1-B492)+W_SIZE*D492+W_PROF*E492+W_AH*F492+W_REC*G492+W_CS*H492+W_PE*I492)))+ROW()/1000000</f>
        <v/>
      </c>
      <c r="AA492">
        <f>Database!B481</f>
        <v/>
      </c>
      <c r="AB492">
        <f>Database!D481</f>
        <v/>
      </c>
      <c r="AC492">
        <f>Database!E481</f>
        <v/>
      </c>
      <c r="AD492">
        <f>Database!I481</f>
        <v/>
      </c>
      <c r="AE492">
        <f>Database!AU481</f>
        <v/>
      </c>
      <c r="AF492">
        <f>Database!AZ481</f>
        <v/>
      </c>
      <c r="AG492">
        <f>Database!H481</f>
        <v/>
      </c>
      <c r="AH492">
        <f>Database!AV481</f>
        <v/>
      </c>
    </row>
    <row r="493">
      <c r="A493">
        <f>Database!B493</f>
        <v/>
      </c>
      <c r="B493">
        <f>IF(AND(Screener!$D$8&lt;&gt;"",Database!$E493=Screener!$D$8),1,0)</f>
        <v/>
      </c>
      <c r="C493">
        <f>IF(AND(Screener!$D$7&lt;&gt;"",Database!$D493=Screener!$D$7),1,0)</f>
        <v/>
      </c>
      <c r="D493">
        <f>IF(OR(N(Database!$I493)&lt;=0,N(Screener!$D$9)&lt;=0),0,MAX(0,1-ABS(LOG10(N(Database!$I493)/Screener!$D$9))/W_SIZEHW))</f>
        <v/>
      </c>
      <c r="E493">
        <f>IF(OR(Database!$AU493="",Screener!$D$10=""),0,IF(Database!$AU493=Screener!$D$10,1,0))</f>
        <v/>
      </c>
      <c r="F493">
        <f>IF(OR(Database!$AZ493="",Screener!$D$11=""),0,IF(Database!$AZ493=Screener!$D$11,1,0))</f>
        <v/>
      </c>
      <c r="G493">
        <f>IF(OR(Database!$H493="",N(Screener!$D$12)&lt;=0),0,MAX(0,1-(N(Screener!$D$12)-Database!$H493)/W_RECD))</f>
        <v/>
      </c>
      <c r="H493">
        <f>IF($U$1="",0,N(ISNUMBER(SEARCH($U$1,Database!$X493&amp;""))))+IF($V$1="",0,N(ISNUMBER(SEARCH($V$1,Database!$X493&amp;""))))+IF($W$1="",0,N(ISNUMBER(SEARCH($W$1,Database!$X493&amp;""))))+IF($X$1="",0,N(ISNUMBER(SEARCH($X$1,Database!$X493&amp;""))))+IF($Y$1="",0,N(ISNUMBER(SEARCH($Y$1,Database!$X493&amp;""))))+IF(Screener!$B$17="",0,N(ISNUMBER(SEARCH(LOWER(Screener!$B$17),Database!$X493&amp;""))))</f>
        <v/>
      </c>
      <c r="I493">
        <f>IF(OR(N(Database!$AV493)&lt;=0,N(Screener!$D$13)&lt;=0),0,MAX(0,1-ABS(LOG10(N(Database!$AV493)/Screener!$D$13))/W_PEHW))</f>
        <v/>
      </c>
      <c r="J493">
        <f>IF(OR(N(Database!$S493)&lt;=0,N(Screener!$D$14)&lt;=0),0,MAX(0,1-ABS(LOG10(Database!$S493/Screener!$D$14))/0.6))</f>
        <v/>
      </c>
      <c r="K493">
        <f>IF(Database!$B493=Screener!$B$5,-999999,IF(ISNUMBER(SEARCH(","&amp;Database!$A493&amp;",",","&amp;SUBSTITUTE(Screener!$B$19," ","")&amp;",")),2000000,IF(IF(OR(Screener!$B$18="All",AND(Screener!$B$18="With A-share",(Database!$AZ493="Y")),AND(Screener!$B$18="Without A-share",NOT((Database!$AZ493="Y")))),1,0)=0,-999999,IF(Screener!$B$16="cornerstone overlap first",H493*100000,IF(Screener!$B$16="demand-similar first",J493*100000,0))+W_SUB*B493+W_SEC*C493*(1-B493)+W_SIZE*D493+W_PROF*E493+W_AH*F493+W_REC*G493+W_CS*H493+W_PE*I493)))+ROW()/1000000</f>
        <v/>
      </c>
      <c r="AA493">
        <f>Database!B482</f>
        <v/>
      </c>
      <c r="AB493">
        <f>Database!D482</f>
        <v/>
      </c>
      <c r="AC493">
        <f>Database!E482</f>
        <v/>
      </c>
      <c r="AD493">
        <f>Database!I482</f>
        <v/>
      </c>
      <c r="AE493">
        <f>Database!AU482</f>
        <v/>
      </c>
      <c r="AF493">
        <f>Database!AZ482</f>
        <v/>
      </c>
      <c r="AG493">
        <f>Database!H482</f>
        <v/>
      </c>
      <c r="AH493">
        <f>Database!AV482</f>
        <v/>
      </c>
    </row>
    <row r="494">
      <c r="A494">
        <f>Database!B494</f>
        <v/>
      </c>
      <c r="B494">
        <f>IF(AND(Screener!$D$8&lt;&gt;"",Database!$E494=Screener!$D$8),1,0)</f>
        <v/>
      </c>
      <c r="C494">
        <f>IF(AND(Screener!$D$7&lt;&gt;"",Database!$D494=Screener!$D$7),1,0)</f>
        <v/>
      </c>
      <c r="D494">
        <f>IF(OR(N(Database!$I494)&lt;=0,N(Screener!$D$9)&lt;=0),0,MAX(0,1-ABS(LOG10(N(Database!$I494)/Screener!$D$9))/W_SIZEHW))</f>
        <v/>
      </c>
      <c r="E494">
        <f>IF(OR(Database!$AU494="",Screener!$D$10=""),0,IF(Database!$AU494=Screener!$D$10,1,0))</f>
        <v/>
      </c>
      <c r="F494">
        <f>IF(OR(Database!$AZ494="",Screener!$D$11=""),0,IF(Database!$AZ494=Screener!$D$11,1,0))</f>
        <v/>
      </c>
      <c r="G494">
        <f>IF(OR(Database!$H494="",N(Screener!$D$12)&lt;=0),0,MAX(0,1-(N(Screener!$D$12)-Database!$H494)/W_RECD))</f>
        <v/>
      </c>
      <c r="H494">
        <f>IF($U$1="",0,N(ISNUMBER(SEARCH($U$1,Database!$X494&amp;""))))+IF($V$1="",0,N(ISNUMBER(SEARCH($V$1,Database!$X494&amp;""))))+IF($W$1="",0,N(ISNUMBER(SEARCH($W$1,Database!$X494&amp;""))))+IF($X$1="",0,N(ISNUMBER(SEARCH($X$1,Database!$X494&amp;""))))+IF($Y$1="",0,N(ISNUMBER(SEARCH($Y$1,Database!$X494&amp;""))))+IF(Screener!$B$17="",0,N(ISNUMBER(SEARCH(LOWER(Screener!$B$17),Database!$X494&amp;""))))</f>
        <v/>
      </c>
      <c r="I494">
        <f>IF(OR(N(Database!$AV494)&lt;=0,N(Screener!$D$13)&lt;=0),0,MAX(0,1-ABS(LOG10(N(Database!$AV494)/Screener!$D$13))/W_PEHW))</f>
        <v/>
      </c>
      <c r="J494">
        <f>IF(OR(N(Database!$S494)&lt;=0,N(Screener!$D$14)&lt;=0),0,MAX(0,1-ABS(LOG10(Database!$S494/Screener!$D$14))/0.6))</f>
        <v/>
      </c>
      <c r="K494">
        <f>IF(Database!$B494=Screener!$B$5,-999999,IF(ISNUMBER(SEARCH(","&amp;Database!$A494&amp;",",","&amp;SUBSTITUTE(Screener!$B$19," ","")&amp;",")),2000000,IF(IF(OR(Screener!$B$18="All",AND(Screener!$B$18="With A-share",(Database!$AZ494="Y")),AND(Screener!$B$18="Without A-share",NOT((Database!$AZ494="Y")))),1,0)=0,-999999,IF(Screener!$B$16="cornerstone overlap first",H494*100000,IF(Screener!$B$16="demand-similar first",J494*100000,0))+W_SUB*B494+W_SEC*C494*(1-B494)+W_SIZE*D494+W_PROF*E494+W_AH*F494+W_REC*G494+W_CS*H494+W_PE*I494)))+ROW()/1000000</f>
        <v/>
      </c>
      <c r="AA494">
        <f>Database!B483</f>
        <v/>
      </c>
      <c r="AB494">
        <f>Database!D483</f>
        <v/>
      </c>
      <c r="AC494">
        <f>Database!E483</f>
        <v/>
      </c>
      <c r="AD494">
        <f>Database!I483</f>
        <v/>
      </c>
      <c r="AE494">
        <f>Database!AU483</f>
        <v/>
      </c>
      <c r="AF494">
        <f>Database!AZ483</f>
        <v/>
      </c>
      <c r="AG494">
        <f>Database!H483</f>
        <v/>
      </c>
      <c r="AH494">
        <f>Database!AV483</f>
        <v/>
      </c>
    </row>
    <row r="495">
      <c r="A495">
        <f>Database!B495</f>
        <v/>
      </c>
      <c r="B495">
        <f>IF(AND(Screener!$D$8&lt;&gt;"",Database!$E495=Screener!$D$8),1,0)</f>
        <v/>
      </c>
      <c r="C495">
        <f>IF(AND(Screener!$D$7&lt;&gt;"",Database!$D495=Screener!$D$7),1,0)</f>
        <v/>
      </c>
      <c r="D495">
        <f>IF(OR(N(Database!$I495)&lt;=0,N(Screener!$D$9)&lt;=0),0,MAX(0,1-ABS(LOG10(N(Database!$I495)/Screener!$D$9))/W_SIZEHW))</f>
        <v/>
      </c>
      <c r="E495">
        <f>IF(OR(Database!$AU495="",Screener!$D$10=""),0,IF(Database!$AU495=Screener!$D$10,1,0))</f>
        <v/>
      </c>
      <c r="F495">
        <f>IF(OR(Database!$AZ495="",Screener!$D$11=""),0,IF(Database!$AZ495=Screener!$D$11,1,0))</f>
        <v/>
      </c>
      <c r="G495">
        <f>IF(OR(Database!$H495="",N(Screener!$D$12)&lt;=0),0,MAX(0,1-(N(Screener!$D$12)-Database!$H495)/W_RECD))</f>
        <v/>
      </c>
      <c r="H495">
        <f>IF($U$1="",0,N(ISNUMBER(SEARCH($U$1,Database!$X495&amp;""))))+IF($V$1="",0,N(ISNUMBER(SEARCH($V$1,Database!$X495&amp;""))))+IF($W$1="",0,N(ISNUMBER(SEARCH($W$1,Database!$X495&amp;""))))+IF($X$1="",0,N(ISNUMBER(SEARCH($X$1,Database!$X495&amp;""))))+IF($Y$1="",0,N(ISNUMBER(SEARCH($Y$1,Database!$X495&amp;""))))+IF(Screener!$B$17="",0,N(ISNUMBER(SEARCH(LOWER(Screener!$B$17),Database!$X495&amp;""))))</f>
        <v/>
      </c>
      <c r="I495">
        <f>IF(OR(N(Database!$AV495)&lt;=0,N(Screener!$D$13)&lt;=0),0,MAX(0,1-ABS(LOG10(N(Database!$AV495)/Screener!$D$13))/W_PEHW))</f>
        <v/>
      </c>
      <c r="J495">
        <f>IF(OR(N(Database!$S495)&lt;=0,N(Screener!$D$14)&lt;=0),0,MAX(0,1-ABS(LOG10(Database!$S495/Screener!$D$14))/0.6))</f>
        <v/>
      </c>
      <c r="K495">
        <f>IF(Database!$B495=Screener!$B$5,-999999,IF(ISNUMBER(SEARCH(","&amp;Database!$A495&amp;",",","&amp;SUBSTITUTE(Screener!$B$19," ","")&amp;",")),2000000,IF(IF(OR(Screener!$B$18="All",AND(Screener!$B$18="With A-share",(Database!$AZ495="Y")),AND(Screener!$B$18="Without A-share",NOT((Database!$AZ495="Y")))),1,0)=0,-999999,IF(Screener!$B$16="cornerstone overlap first",H495*100000,IF(Screener!$B$16="demand-similar first",J495*100000,0))+W_SUB*B495+W_SEC*C495*(1-B495)+W_SIZE*D495+W_PROF*E495+W_AH*F495+W_REC*G495+W_CS*H495+W_PE*I495)))+ROW()/1000000</f>
        <v/>
      </c>
      <c r="AA495">
        <f>Database!B484</f>
        <v/>
      </c>
      <c r="AB495">
        <f>Database!D484</f>
        <v/>
      </c>
      <c r="AC495">
        <f>Database!E484</f>
        <v/>
      </c>
      <c r="AD495">
        <f>Database!I484</f>
        <v/>
      </c>
      <c r="AE495">
        <f>Database!AU484</f>
        <v/>
      </c>
      <c r="AF495">
        <f>Database!AZ484</f>
        <v/>
      </c>
      <c r="AG495">
        <f>Database!H484</f>
        <v/>
      </c>
      <c r="AH495">
        <f>Database!AV484</f>
        <v/>
      </c>
    </row>
    <row r="496">
      <c r="A496">
        <f>Database!B496</f>
        <v/>
      </c>
      <c r="B496">
        <f>IF(AND(Screener!$D$8&lt;&gt;"",Database!$E496=Screener!$D$8),1,0)</f>
        <v/>
      </c>
      <c r="C496">
        <f>IF(AND(Screener!$D$7&lt;&gt;"",Database!$D496=Screener!$D$7),1,0)</f>
        <v/>
      </c>
      <c r="D496">
        <f>IF(OR(N(Database!$I496)&lt;=0,N(Screener!$D$9)&lt;=0),0,MAX(0,1-ABS(LOG10(N(Database!$I496)/Screener!$D$9))/W_SIZEHW))</f>
        <v/>
      </c>
      <c r="E496">
        <f>IF(OR(Database!$AU496="",Screener!$D$10=""),0,IF(Database!$AU496=Screener!$D$10,1,0))</f>
        <v/>
      </c>
      <c r="F496">
        <f>IF(OR(Database!$AZ496="",Screener!$D$11=""),0,IF(Database!$AZ496=Screener!$D$11,1,0))</f>
        <v/>
      </c>
      <c r="G496">
        <f>IF(OR(Database!$H496="",N(Screener!$D$12)&lt;=0),0,MAX(0,1-(N(Screener!$D$12)-Database!$H496)/W_RECD))</f>
        <v/>
      </c>
      <c r="H496">
        <f>IF($U$1="",0,N(ISNUMBER(SEARCH($U$1,Database!$X496&amp;""))))+IF($V$1="",0,N(ISNUMBER(SEARCH($V$1,Database!$X496&amp;""))))+IF($W$1="",0,N(ISNUMBER(SEARCH($W$1,Database!$X496&amp;""))))+IF($X$1="",0,N(ISNUMBER(SEARCH($X$1,Database!$X496&amp;""))))+IF($Y$1="",0,N(ISNUMBER(SEARCH($Y$1,Database!$X496&amp;""))))+IF(Screener!$B$17="",0,N(ISNUMBER(SEARCH(LOWER(Screener!$B$17),Database!$X496&amp;""))))</f>
        <v/>
      </c>
      <c r="I496">
        <f>IF(OR(N(Database!$AV496)&lt;=0,N(Screener!$D$13)&lt;=0),0,MAX(0,1-ABS(LOG10(N(Database!$AV496)/Screener!$D$13))/W_PEHW))</f>
        <v/>
      </c>
      <c r="J496">
        <f>IF(OR(N(Database!$S496)&lt;=0,N(Screener!$D$14)&lt;=0),0,MAX(0,1-ABS(LOG10(Database!$S496/Screener!$D$14))/0.6))</f>
        <v/>
      </c>
      <c r="K496">
        <f>IF(Database!$B496=Screener!$B$5,-999999,IF(ISNUMBER(SEARCH(","&amp;Database!$A496&amp;",",","&amp;SUBSTITUTE(Screener!$B$19," ","")&amp;",")),2000000,IF(IF(OR(Screener!$B$18="All",AND(Screener!$B$18="With A-share",(Database!$AZ496="Y")),AND(Screener!$B$18="Without A-share",NOT((Database!$AZ496="Y")))),1,0)=0,-999999,IF(Screener!$B$16="cornerstone overlap first",H496*100000,IF(Screener!$B$16="demand-similar first",J496*100000,0))+W_SUB*B496+W_SEC*C496*(1-B496)+W_SIZE*D496+W_PROF*E496+W_AH*F496+W_REC*G496+W_CS*H496+W_PE*I496)))+ROW()/1000000</f>
        <v/>
      </c>
      <c r="AA496">
        <f>Database!B485</f>
        <v/>
      </c>
      <c r="AB496">
        <f>Database!D485</f>
        <v/>
      </c>
      <c r="AC496">
        <f>Database!E485</f>
        <v/>
      </c>
      <c r="AD496">
        <f>Database!I485</f>
        <v/>
      </c>
      <c r="AE496">
        <f>Database!AU485</f>
        <v/>
      </c>
      <c r="AF496">
        <f>Database!AZ485</f>
        <v/>
      </c>
      <c r="AG496">
        <f>Database!H485</f>
        <v/>
      </c>
      <c r="AH496">
        <f>Database!AV485</f>
        <v/>
      </c>
    </row>
    <row r="497">
      <c r="A497">
        <f>Database!B497</f>
        <v/>
      </c>
      <c r="B497">
        <f>IF(AND(Screener!$D$8&lt;&gt;"",Database!$E497=Screener!$D$8),1,0)</f>
        <v/>
      </c>
      <c r="C497">
        <f>IF(AND(Screener!$D$7&lt;&gt;"",Database!$D497=Screener!$D$7),1,0)</f>
        <v/>
      </c>
      <c r="D497">
        <f>IF(OR(N(Database!$I497)&lt;=0,N(Screener!$D$9)&lt;=0),0,MAX(0,1-ABS(LOG10(N(Database!$I497)/Screener!$D$9))/W_SIZEHW))</f>
        <v/>
      </c>
      <c r="E497">
        <f>IF(OR(Database!$AU497="",Screener!$D$10=""),0,IF(Database!$AU497=Screener!$D$10,1,0))</f>
        <v/>
      </c>
      <c r="F497">
        <f>IF(OR(Database!$AZ497="",Screener!$D$11=""),0,IF(Database!$AZ497=Screener!$D$11,1,0))</f>
        <v/>
      </c>
      <c r="G497">
        <f>IF(OR(Database!$H497="",N(Screener!$D$12)&lt;=0),0,MAX(0,1-(N(Screener!$D$12)-Database!$H497)/W_RECD))</f>
        <v/>
      </c>
      <c r="H497">
        <f>IF($U$1="",0,N(ISNUMBER(SEARCH($U$1,Database!$X497&amp;""))))+IF($V$1="",0,N(ISNUMBER(SEARCH($V$1,Database!$X497&amp;""))))+IF($W$1="",0,N(ISNUMBER(SEARCH($W$1,Database!$X497&amp;""))))+IF($X$1="",0,N(ISNUMBER(SEARCH($X$1,Database!$X497&amp;""))))+IF($Y$1="",0,N(ISNUMBER(SEARCH($Y$1,Database!$X497&amp;""))))+IF(Screener!$B$17="",0,N(ISNUMBER(SEARCH(LOWER(Screener!$B$17),Database!$X497&amp;""))))</f>
        <v/>
      </c>
      <c r="I497">
        <f>IF(OR(N(Database!$AV497)&lt;=0,N(Screener!$D$13)&lt;=0),0,MAX(0,1-ABS(LOG10(N(Database!$AV497)/Screener!$D$13))/W_PEHW))</f>
        <v/>
      </c>
      <c r="J497">
        <f>IF(OR(N(Database!$S497)&lt;=0,N(Screener!$D$14)&lt;=0),0,MAX(0,1-ABS(LOG10(Database!$S497/Screener!$D$14))/0.6))</f>
        <v/>
      </c>
      <c r="K497">
        <f>IF(Database!$B497=Screener!$B$5,-999999,IF(ISNUMBER(SEARCH(","&amp;Database!$A497&amp;",",","&amp;SUBSTITUTE(Screener!$B$19," ","")&amp;",")),2000000,IF(IF(OR(Screener!$B$18="All",AND(Screener!$B$18="With A-share",(Database!$AZ497="Y")),AND(Screener!$B$18="Without A-share",NOT((Database!$AZ497="Y")))),1,0)=0,-999999,IF(Screener!$B$16="cornerstone overlap first",H497*100000,IF(Screener!$B$16="demand-similar first",J497*100000,0))+W_SUB*B497+W_SEC*C497*(1-B497)+W_SIZE*D497+W_PROF*E497+W_AH*F497+W_REC*G497+W_CS*H497+W_PE*I497)))+ROW()/1000000</f>
        <v/>
      </c>
      <c r="AA497">
        <f>Database!B486</f>
        <v/>
      </c>
      <c r="AB497">
        <f>Database!D486</f>
        <v/>
      </c>
      <c r="AC497">
        <f>Database!E486</f>
        <v/>
      </c>
      <c r="AD497">
        <f>Database!I486</f>
        <v/>
      </c>
      <c r="AE497">
        <f>Database!AU486</f>
        <v/>
      </c>
      <c r="AF497">
        <f>Database!AZ486</f>
        <v/>
      </c>
      <c r="AG497">
        <f>Database!H486</f>
        <v/>
      </c>
      <c r="AH497">
        <f>Database!AV486</f>
        <v/>
      </c>
    </row>
    <row r="498">
      <c r="A498">
        <f>Database!B498</f>
        <v/>
      </c>
      <c r="B498">
        <f>IF(AND(Screener!$D$8&lt;&gt;"",Database!$E498=Screener!$D$8),1,0)</f>
        <v/>
      </c>
      <c r="C498">
        <f>IF(AND(Screener!$D$7&lt;&gt;"",Database!$D498=Screener!$D$7),1,0)</f>
        <v/>
      </c>
      <c r="D498">
        <f>IF(OR(N(Database!$I498)&lt;=0,N(Screener!$D$9)&lt;=0),0,MAX(0,1-ABS(LOG10(N(Database!$I498)/Screener!$D$9))/W_SIZEHW))</f>
        <v/>
      </c>
      <c r="E498">
        <f>IF(OR(Database!$AU498="",Screener!$D$10=""),0,IF(Database!$AU498=Screener!$D$10,1,0))</f>
        <v/>
      </c>
      <c r="F498">
        <f>IF(OR(Database!$AZ498="",Screener!$D$11=""),0,IF(Database!$AZ498=Screener!$D$11,1,0))</f>
        <v/>
      </c>
      <c r="G498">
        <f>IF(OR(Database!$H498="",N(Screener!$D$12)&lt;=0),0,MAX(0,1-(N(Screener!$D$12)-Database!$H498)/W_RECD))</f>
        <v/>
      </c>
      <c r="H498">
        <f>IF($U$1="",0,N(ISNUMBER(SEARCH($U$1,Database!$X498&amp;""))))+IF($V$1="",0,N(ISNUMBER(SEARCH($V$1,Database!$X498&amp;""))))+IF($W$1="",0,N(ISNUMBER(SEARCH($W$1,Database!$X498&amp;""))))+IF($X$1="",0,N(ISNUMBER(SEARCH($X$1,Database!$X498&amp;""))))+IF($Y$1="",0,N(ISNUMBER(SEARCH($Y$1,Database!$X498&amp;""))))+IF(Screener!$B$17="",0,N(ISNUMBER(SEARCH(LOWER(Screener!$B$17),Database!$X498&amp;""))))</f>
        <v/>
      </c>
      <c r="I498">
        <f>IF(OR(N(Database!$AV498)&lt;=0,N(Screener!$D$13)&lt;=0),0,MAX(0,1-ABS(LOG10(N(Database!$AV498)/Screener!$D$13))/W_PEHW))</f>
        <v/>
      </c>
      <c r="J498">
        <f>IF(OR(N(Database!$S498)&lt;=0,N(Screener!$D$14)&lt;=0),0,MAX(0,1-ABS(LOG10(Database!$S498/Screener!$D$14))/0.6))</f>
        <v/>
      </c>
      <c r="K498">
        <f>IF(Database!$B498=Screener!$B$5,-999999,IF(ISNUMBER(SEARCH(","&amp;Database!$A498&amp;",",","&amp;SUBSTITUTE(Screener!$B$19," ","")&amp;",")),2000000,IF(IF(OR(Screener!$B$18="All",AND(Screener!$B$18="With A-share",(Database!$AZ498="Y")),AND(Screener!$B$18="Without A-share",NOT((Database!$AZ498="Y")))),1,0)=0,-999999,IF(Screener!$B$16="cornerstone overlap first",H498*100000,IF(Screener!$B$16="demand-similar first",J498*100000,0))+W_SUB*B498+W_SEC*C498*(1-B498)+W_SIZE*D498+W_PROF*E498+W_AH*F498+W_REC*G498+W_CS*H498+W_PE*I498)))+ROW()/1000000</f>
        <v/>
      </c>
      <c r="AA498">
        <f>Database!B487</f>
        <v/>
      </c>
      <c r="AB498">
        <f>Database!D487</f>
        <v/>
      </c>
      <c r="AC498">
        <f>Database!E487</f>
        <v/>
      </c>
      <c r="AD498">
        <f>Database!I487</f>
        <v/>
      </c>
      <c r="AE498">
        <f>Database!AU487</f>
        <v/>
      </c>
      <c r="AF498">
        <f>Database!AZ487</f>
        <v/>
      </c>
      <c r="AG498">
        <f>Database!H487</f>
        <v/>
      </c>
      <c r="AH498">
        <f>Database!AV487</f>
        <v/>
      </c>
    </row>
    <row r="499">
      <c r="A499">
        <f>Database!B499</f>
        <v/>
      </c>
      <c r="B499">
        <f>IF(AND(Screener!$D$8&lt;&gt;"",Database!$E499=Screener!$D$8),1,0)</f>
        <v/>
      </c>
      <c r="C499">
        <f>IF(AND(Screener!$D$7&lt;&gt;"",Database!$D499=Screener!$D$7),1,0)</f>
        <v/>
      </c>
      <c r="D499">
        <f>IF(OR(N(Database!$I499)&lt;=0,N(Screener!$D$9)&lt;=0),0,MAX(0,1-ABS(LOG10(N(Database!$I499)/Screener!$D$9))/W_SIZEHW))</f>
        <v/>
      </c>
      <c r="E499">
        <f>IF(OR(Database!$AU499="",Screener!$D$10=""),0,IF(Database!$AU499=Screener!$D$10,1,0))</f>
        <v/>
      </c>
      <c r="F499">
        <f>IF(OR(Database!$AZ499="",Screener!$D$11=""),0,IF(Database!$AZ499=Screener!$D$11,1,0))</f>
        <v/>
      </c>
      <c r="G499">
        <f>IF(OR(Database!$H499="",N(Screener!$D$12)&lt;=0),0,MAX(0,1-(N(Screener!$D$12)-Database!$H499)/W_RECD))</f>
        <v/>
      </c>
      <c r="H499">
        <f>IF($U$1="",0,N(ISNUMBER(SEARCH($U$1,Database!$X499&amp;""))))+IF($V$1="",0,N(ISNUMBER(SEARCH($V$1,Database!$X499&amp;""))))+IF($W$1="",0,N(ISNUMBER(SEARCH($W$1,Database!$X499&amp;""))))+IF($X$1="",0,N(ISNUMBER(SEARCH($X$1,Database!$X499&amp;""))))+IF($Y$1="",0,N(ISNUMBER(SEARCH($Y$1,Database!$X499&amp;""))))+IF(Screener!$B$17="",0,N(ISNUMBER(SEARCH(LOWER(Screener!$B$17),Database!$X499&amp;""))))</f>
        <v/>
      </c>
      <c r="I499">
        <f>IF(OR(N(Database!$AV499)&lt;=0,N(Screener!$D$13)&lt;=0),0,MAX(0,1-ABS(LOG10(N(Database!$AV499)/Screener!$D$13))/W_PEHW))</f>
        <v/>
      </c>
      <c r="J499">
        <f>IF(OR(N(Database!$S499)&lt;=0,N(Screener!$D$14)&lt;=0),0,MAX(0,1-ABS(LOG10(Database!$S499/Screener!$D$14))/0.6))</f>
        <v/>
      </c>
      <c r="K499">
        <f>IF(Database!$B499=Screener!$B$5,-999999,IF(ISNUMBER(SEARCH(","&amp;Database!$A499&amp;",",","&amp;SUBSTITUTE(Screener!$B$19," ","")&amp;",")),2000000,IF(IF(OR(Screener!$B$18="All",AND(Screener!$B$18="With A-share",(Database!$AZ499="Y")),AND(Screener!$B$18="Without A-share",NOT((Database!$AZ499="Y")))),1,0)=0,-999999,IF(Screener!$B$16="cornerstone overlap first",H499*100000,IF(Screener!$B$16="demand-similar first",J499*100000,0))+W_SUB*B499+W_SEC*C499*(1-B499)+W_SIZE*D499+W_PROF*E499+W_AH*F499+W_REC*G499+W_CS*H499+W_PE*I499)))+ROW()/1000000</f>
        <v/>
      </c>
      <c r="AA499">
        <f>Database!B488</f>
        <v/>
      </c>
      <c r="AB499">
        <f>Database!D488</f>
        <v/>
      </c>
      <c r="AC499">
        <f>Database!E488</f>
        <v/>
      </c>
      <c r="AD499">
        <f>Database!I488</f>
        <v/>
      </c>
      <c r="AE499">
        <f>Database!AU488</f>
        <v/>
      </c>
      <c r="AF499">
        <f>Database!AZ488</f>
        <v/>
      </c>
      <c r="AG499">
        <f>Database!H488</f>
        <v/>
      </c>
      <c r="AH499">
        <f>Database!AV488</f>
        <v/>
      </c>
    </row>
    <row r="500">
      <c r="A500">
        <f>Database!B500</f>
        <v/>
      </c>
      <c r="B500">
        <f>IF(AND(Screener!$D$8&lt;&gt;"",Database!$E500=Screener!$D$8),1,0)</f>
        <v/>
      </c>
      <c r="C500">
        <f>IF(AND(Screener!$D$7&lt;&gt;"",Database!$D500=Screener!$D$7),1,0)</f>
        <v/>
      </c>
      <c r="D500">
        <f>IF(OR(N(Database!$I500)&lt;=0,N(Screener!$D$9)&lt;=0),0,MAX(0,1-ABS(LOG10(N(Database!$I500)/Screener!$D$9))/W_SIZEHW))</f>
        <v/>
      </c>
      <c r="E500">
        <f>IF(OR(Database!$AU500="",Screener!$D$10=""),0,IF(Database!$AU500=Screener!$D$10,1,0))</f>
        <v/>
      </c>
      <c r="F500">
        <f>IF(OR(Database!$AZ500="",Screener!$D$11=""),0,IF(Database!$AZ500=Screener!$D$11,1,0))</f>
        <v/>
      </c>
      <c r="G500">
        <f>IF(OR(Database!$H500="",N(Screener!$D$12)&lt;=0),0,MAX(0,1-(N(Screener!$D$12)-Database!$H500)/W_RECD))</f>
        <v/>
      </c>
      <c r="H500">
        <f>IF($U$1="",0,N(ISNUMBER(SEARCH($U$1,Database!$X500&amp;""))))+IF($V$1="",0,N(ISNUMBER(SEARCH($V$1,Database!$X500&amp;""))))+IF($W$1="",0,N(ISNUMBER(SEARCH($W$1,Database!$X500&amp;""))))+IF($X$1="",0,N(ISNUMBER(SEARCH($X$1,Database!$X500&amp;""))))+IF($Y$1="",0,N(ISNUMBER(SEARCH($Y$1,Database!$X500&amp;""))))+IF(Screener!$B$17="",0,N(ISNUMBER(SEARCH(LOWER(Screener!$B$17),Database!$X500&amp;""))))</f>
        <v/>
      </c>
      <c r="I500">
        <f>IF(OR(N(Database!$AV500)&lt;=0,N(Screener!$D$13)&lt;=0),0,MAX(0,1-ABS(LOG10(N(Database!$AV500)/Screener!$D$13))/W_PEHW))</f>
        <v/>
      </c>
      <c r="J500">
        <f>IF(OR(N(Database!$S500)&lt;=0,N(Screener!$D$14)&lt;=0),0,MAX(0,1-ABS(LOG10(Database!$S500/Screener!$D$14))/0.6))</f>
        <v/>
      </c>
      <c r="K500">
        <f>IF(Database!$B500=Screener!$B$5,-999999,IF(ISNUMBER(SEARCH(","&amp;Database!$A500&amp;",",","&amp;SUBSTITUTE(Screener!$B$19," ","")&amp;",")),2000000,IF(IF(OR(Screener!$B$18="All",AND(Screener!$B$18="With A-share",(Database!$AZ500="Y")),AND(Screener!$B$18="Without A-share",NOT((Database!$AZ500="Y")))),1,0)=0,-999999,IF(Screener!$B$16="cornerstone overlap first",H500*100000,IF(Screener!$B$16="demand-similar first",J500*100000,0))+W_SUB*B500+W_SEC*C500*(1-B500)+W_SIZE*D500+W_PROF*E500+W_AH*F500+W_REC*G500+W_CS*H500+W_PE*I500)))+ROW()/1000000</f>
        <v/>
      </c>
      <c r="AA500">
        <f>Database!B489</f>
        <v/>
      </c>
      <c r="AB500">
        <f>Database!D489</f>
        <v/>
      </c>
      <c r="AC500">
        <f>Database!E489</f>
        <v/>
      </c>
      <c r="AD500">
        <f>Database!I489</f>
        <v/>
      </c>
      <c r="AE500">
        <f>Database!AU489</f>
        <v/>
      </c>
      <c r="AF500">
        <f>Database!AZ489</f>
        <v/>
      </c>
      <c r="AG500">
        <f>Database!H489</f>
        <v/>
      </c>
      <c r="AH500">
        <f>Database!AV489</f>
        <v/>
      </c>
    </row>
    <row r="501">
      <c r="A501">
        <f>Database!B501</f>
        <v/>
      </c>
      <c r="B501">
        <f>IF(AND(Screener!$D$8&lt;&gt;"",Database!$E501=Screener!$D$8),1,0)</f>
        <v/>
      </c>
      <c r="C501">
        <f>IF(AND(Screener!$D$7&lt;&gt;"",Database!$D501=Screener!$D$7),1,0)</f>
        <v/>
      </c>
      <c r="D501">
        <f>IF(OR(N(Database!$I501)&lt;=0,N(Screener!$D$9)&lt;=0),0,MAX(0,1-ABS(LOG10(N(Database!$I501)/Screener!$D$9))/W_SIZEHW))</f>
        <v/>
      </c>
      <c r="E501">
        <f>IF(OR(Database!$AU501="",Screener!$D$10=""),0,IF(Database!$AU501=Screener!$D$10,1,0))</f>
        <v/>
      </c>
      <c r="F501">
        <f>IF(OR(Database!$AZ501="",Screener!$D$11=""),0,IF(Database!$AZ501=Screener!$D$11,1,0))</f>
        <v/>
      </c>
      <c r="G501">
        <f>IF(OR(Database!$H501="",N(Screener!$D$12)&lt;=0),0,MAX(0,1-(N(Screener!$D$12)-Database!$H501)/W_RECD))</f>
        <v/>
      </c>
      <c r="H501">
        <f>IF($U$1="",0,N(ISNUMBER(SEARCH($U$1,Database!$X501&amp;""))))+IF($V$1="",0,N(ISNUMBER(SEARCH($V$1,Database!$X501&amp;""))))+IF($W$1="",0,N(ISNUMBER(SEARCH($W$1,Database!$X501&amp;""))))+IF($X$1="",0,N(ISNUMBER(SEARCH($X$1,Database!$X501&amp;""))))+IF($Y$1="",0,N(ISNUMBER(SEARCH($Y$1,Database!$X501&amp;""))))+IF(Screener!$B$17="",0,N(ISNUMBER(SEARCH(LOWER(Screener!$B$17),Database!$X501&amp;""))))</f>
        <v/>
      </c>
      <c r="I501">
        <f>IF(OR(N(Database!$AV501)&lt;=0,N(Screener!$D$13)&lt;=0),0,MAX(0,1-ABS(LOG10(N(Database!$AV501)/Screener!$D$13))/W_PEHW))</f>
        <v/>
      </c>
      <c r="J501">
        <f>IF(OR(N(Database!$S501)&lt;=0,N(Screener!$D$14)&lt;=0),0,MAX(0,1-ABS(LOG10(Database!$S501/Screener!$D$14))/0.6))</f>
        <v/>
      </c>
      <c r="K501">
        <f>IF(Database!$B501=Screener!$B$5,-999999,IF(ISNUMBER(SEARCH(","&amp;Database!$A501&amp;",",","&amp;SUBSTITUTE(Screener!$B$19," ","")&amp;",")),2000000,IF(IF(OR(Screener!$B$18="All",AND(Screener!$B$18="With A-share",(Database!$AZ501="Y")),AND(Screener!$B$18="Without A-share",NOT((Database!$AZ501="Y")))),1,0)=0,-999999,IF(Screener!$B$16="cornerstone overlap first",H501*100000,IF(Screener!$B$16="demand-similar first",J501*100000,0))+W_SUB*B501+W_SEC*C501*(1-B501)+W_SIZE*D501+W_PROF*E501+W_AH*F501+W_REC*G501+W_CS*H501+W_PE*I501)))+ROW()/1000000</f>
        <v/>
      </c>
      <c r="AA501">
        <f>Database!B490</f>
        <v/>
      </c>
      <c r="AB501">
        <f>Database!D490</f>
        <v/>
      </c>
      <c r="AC501">
        <f>Database!E490</f>
        <v/>
      </c>
      <c r="AD501">
        <f>Database!I490</f>
        <v/>
      </c>
      <c r="AE501">
        <f>Database!AU490</f>
        <v/>
      </c>
      <c r="AF501">
        <f>Database!AZ490</f>
        <v/>
      </c>
      <c r="AG501">
        <f>Database!H490</f>
        <v/>
      </c>
      <c r="AH501">
        <f>Database!AV490</f>
        <v/>
      </c>
    </row>
    <row r="502">
      <c r="A502">
        <f>Database!B502</f>
        <v/>
      </c>
      <c r="B502">
        <f>IF(AND(Screener!$D$8&lt;&gt;"",Database!$E502=Screener!$D$8),1,0)</f>
        <v/>
      </c>
      <c r="C502">
        <f>IF(AND(Screener!$D$7&lt;&gt;"",Database!$D502=Screener!$D$7),1,0)</f>
        <v/>
      </c>
      <c r="D502">
        <f>IF(OR(N(Database!$I502)&lt;=0,N(Screener!$D$9)&lt;=0),0,MAX(0,1-ABS(LOG10(N(Database!$I502)/Screener!$D$9))/W_SIZEHW))</f>
        <v/>
      </c>
      <c r="E502">
        <f>IF(OR(Database!$AU502="",Screener!$D$10=""),0,IF(Database!$AU502=Screener!$D$10,1,0))</f>
        <v/>
      </c>
      <c r="F502">
        <f>IF(OR(Database!$AZ502="",Screener!$D$11=""),0,IF(Database!$AZ502=Screener!$D$11,1,0))</f>
        <v/>
      </c>
      <c r="G502">
        <f>IF(OR(Database!$H502="",N(Screener!$D$12)&lt;=0),0,MAX(0,1-(N(Screener!$D$12)-Database!$H502)/W_RECD))</f>
        <v/>
      </c>
      <c r="H502">
        <f>IF($U$1="",0,N(ISNUMBER(SEARCH($U$1,Database!$X502&amp;""))))+IF($V$1="",0,N(ISNUMBER(SEARCH($V$1,Database!$X502&amp;""))))+IF($W$1="",0,N(ISNUMBER(SEARCH($W$1,Database!$X502&amp;""))))+IF($X$1="",0,N(ISNUMBER(SEARCH($X$1,Database!$X502&amp;""))))+IF($Y$1="",0,N(ISNUMBER(SEARCH($Y$1,Database!$X502&amp;""))))+IF(Screener!$B$17="",0,N(ISNUMBER(SEARCH(LOWER(Screener!$B$17),Database!$X502&amp;""))))</f>
        <v/>
      </c>
      <c r="I502">
        <f>IF(OR(N(Database!$AV502)&lt;=0,N(Screener!$D$13)&lt;=0),0,MAX(0,1-ABS(LOG10(N(Database!$AV502)/Screener!$D$13))/W_PEHW))</f>
        <v/>
      </c>
      <c r="J502">
        <f>IF(OR(N(Database!$S502)&lt;=0,N(Screener!$D$14)&lt;=0),0,MAX(0,1-ABS(LOG10(Database!$S502/Screener!$D$14))/0.6))</f>
        <v/>
      </c>
      <c r="K502">
        <f>IF(Database!$B502=Screener!$B$5,-999999,IF(ISNUMBER(SEARCH(","&amp;Database!$A502&amp;",",","&amp;SUBSTITUTE(Screener!$B$19," ","")&amp;",")),2000000,IF(IF(OR(Screener!$B$18="All",AND(Screener!$B$18="With A-share",(Database!$AZ502="Y")),AND(Screener!$B$18="Without A-share",NOT((Database!$AZ502="Y")))),1,0)=0,-999999,IF(Screener!$B$16="cornerstone overlap first",H502*100000,IF(Screener!$B$16="demand-similar first",J502*100000,0))+W_SUB*B502+W_SEC*C502*(1-B502)+W_SIZE*D502+W_PROF*E502+W_AH*F502+W_REC*G502+W_CS*H502+W_PE*I502)))+ROW()/1000000</f>
        <v/>
      </c>
      <c r="AA502">
        <f>Database!B491</f>
        <v/>
      </c>
      <c r="AB502">
        <f>Database!D491</f>
        <v/>
      </c>
      <c r="AC502">
        <f>Database!E491</f>
        <v/>
      </c>
      <c r="AD502">
        <f>Database!I491</f>
        <v/>
      </c>
      <c r="AE502">
        <f>Database!AU491</f>
        <v/>
      </c>
      <c r="AF502">
        <f>Database!AZ491</f>
        <v/>
      </c>
      <c r="AG502">
        <f>Database!H491</f>
        <v/>
      </c>
      <c r="AH502">
        <f>Database!AV491</f>
        <v/>
      </c>
    </row>
    <row r="503">
      <c r="A503">
        <f>Database!B503</f>
        <v/>
      </c>
      <c r="B503">
        <f>IF(AND(Screener!$D$8&lt;&gt;"",Database!$E503=Screener!$D$8),1,0)</f>
        <v/>
      </c>
      <c r="C503">
        <f>IF(AND(Screener!$D$7&lt;&gt;"",Database!$D503=Screener!$D$7),1,0)</f>
        <v/>
      </c>
      <c r="D503">
        <f>IF(OR(N(Database!$I503)&lt;=0,N(Screener!$D$9)&lt;=0),0,MAX(0,1-ABS(LOG10(N(Database!$I503)/Screener!$D$9))/W_SIZEHW))</f>
        <v/>
      </c>
      <c r="E503">
        <f>IF(OR(Database!$AU503="",Screener!$D$10=""),0,IF(Database!$AU503=Screener!$D$10,1,0))</f>
        <v/>
      </c>
      <c r="F503">
        <f>IF(OR(Database!$AZ503="",Screener!$D$11=""),0,IF(Database!$AZ503=Screener!$D$11,1,0))</f>
        <v/>
      </c>
      <c r="G503">
        <f>IF(OR(Database!$H503="",N(Screener!$D$12)&lt;=0),0,MAX(0,1-(N(Screener!$D$12)-Database!$H503)/W_RECD))</f>
        <v/>
      </c>
      <c r="H503">
        <f>IF($U$1="",0,N(ISNUMBER(SEARCH($U$1,Database!$X503&amp;""))))+IF($V$1="",0,N(ISNUMBER(SEARCH($V$1,Database!$X503&amp;""))))+IF($W$1="",0,N(ISNUMBER(SEARCH($W$1,Database!$X503&amp;""))))+IF($X$1="",0,N(ISNUMBER(SEARCH($X$1,Database!$X503&amp;""))))+IF($Y$1="",0,N(ISNUMBER(SEARCH($Y$1,Database!$X503&amp;""))))+IF(Screener!$B$17="",0,N(ISNUMBER(SEARCH(LOWER(Screener!$B$17),Database!$X503&amp;""))))</f>
        <v/>
      </c>
      <c r="I503">
        <f>IF(OR(N(Database!$AV503)&lt;=0,N(Screener!$D$13)&lt;=0),0,MAX(0,1-ABS(LOG10(N(Database!$AV503)/Screener!$D$13))/W_PEHW))</f>
        <v/>
      </c>
      <c r="J503">
        <f>IF(OR(N(Database!$S503)&lt;=0,N(Screener!$D$14)&lt;=0),0,MAX(0,1-ABS(LOG10(Database!$S503/Screener!$D$14))/0.6))</f>
        <v/>
      </c>
      <c r="K503">
        <f>IF(Database!$B503=Screener!$B$5,-999999,IF(ISNUMBER(SEARCH(","&amp;Database!$A503&amp;",",","&amp;SUBSTITUTE(Screener!$B$19," ","")&amp;",")),2000000,IF(IF(OR(Screener!$B$18="All",AND(Screener!$B$18="With A-share",(Database!$AZ503="Y")),AND(Screener!$B$18="Without A-share",NOT((Database!$AZ503="Y")))),1,0)=0,-999999,IF(Screener!$B$16="cornerstone overlap first",H503*100000,IF(Screener!$B$16="demand-similar first",J503*100000,0))+W_SUB*B503+W_SEC*C503*(1-B503)+W_SIZE*D503+W_PROF*E503+W_AH*F503+W_REC*G503+W_CS*H503+W_PE*I503)))+ROW()/1000000</f>
        <v/>
      </c>
      <c r="AA503">
        <f>Database!B492</f>
        <v/>
      </c>
      <c r="AB503">
        <f>Database!D492</f>
        <v/>
      </c>
      <c r="AC503">
        <f>Database!E492</f>
        <v/>
      </c>
      <c r="AD503">
        <f>Database!I492</f>
        <v/>
      </c>
      <c r="AE503">
        <f>Database!AU492</f>
        <v/>
      </c>
      <c r="AF503">
        <f>Database!AZ492</f>
        <v/>
      </c>
      <c r="AG503">
        <f>Database!H492</f>
        <v/>
      </c>
      <c r="AH503">
        <f>Database!AV492</f>
        <v/>
      </c>
    </row>
    <row r="504">
      <c r="A504">
        <f>Database!B504</f>
        <v/>
      </c>
      <c r="B504">
        <f>IF(AND(Screener!$D$8&lt;&gt;"",Database!$E504=Screener!$D$8),1,0)</f>
        <v/>
      </c>
      <c r="C504">
        <f>IF(AND(Screener!$D$7&lt;&gt;"",Database!$D504=Screener!$D$7),1,0)</f>
        <v/>
      </c>
      <c r="D504">
        <f>IF(OR(N(Database!$I504)&lt;=0,N(Screener!$D$9)&lt;=0),0,MAX(0,1-ABS(LOG10(N(Database!$I504)/Screener!$D$9))/W_SIZEHW))</f>
        <v/>
      </c>
      <c r="E504">
        <f>IF(OR(Database!$AU504="",Screener!$D$10=""),0,IF(Database!$AU504=Screener!$D$10,1,0))</f>
        <v/>
      </c>
      <c r="F504">
        <f>IF(OR(Database!$AZ504="",Screener!$D$11=""),0,IF(Database!$AZ504=Screener!$D$11,1,0))</f>
        <v/>
      </c>
      <c r="G504">
        <f>IF(OR(Database!$H504="",N(Screener!$D$12)&lt;=0),0,MAX(0,1-(N(Screener!$D$12)-Database!$H504)/W_RECD))</f>
        <v/>
      </c>
      <c r="H504">
        <f>IF($U$1="",0,N(ISNUMBER(SEARCH($U$1,Database!$X504&amp;""))))+IF($V$1="",0,N(ISNUMBER(SEARCH($V$1,Database!$X504&amp;""))))+IF($W$1="",0,N(ISNUMBER(SEARCH($W$1,Database!$X504&amp;""))))+IF($X$1="",0,N(ISNUMBER(SEARCH($X$1,Database!$X504&amp;""))))+IF($Y$1="",0,N(ISNUMBER(SEARCH($Y$1,Database!$X504&amp;""))))+IF(Screener!$B$17="",0,N(ISNUMBER(SEARCH(LOWER(Screener!$B$17),Database!$X504&amp;""))))</f>
        <v/>
      </c>
      <c r="I504">
        <f>IF(OR(N(Database!$AV504)&lt;=0,N(Screener!$D$13)&lt;=0),0,MAX(0,1-ABS(LOG10(N(Database!$AV504)/Screener!$D$13))/W_PEHW))</f>
        <v/>
      </c>
      <c r="J504">
        <f>IF(OR(N(Database!$S504)&lt;=0,N(Screener!$D$14)&lt;=0),0,MAX(0,1-ABS(LOG10(Database!$S504/Screener!$D$14))/0.6))</f>
        <v/>
      </c>
      <c r="K504">
        <f>IF(Database!$B504=Screener!$B$5,-999999,IF(ISNUMBER(SEARCH(","&amp;Database!$A504&amp;",",","&amp;SUBSTITUTE(Screener!$B$19," ","")&amp;",")),2000000,IF(IF(OR(Screener!$B$18="All",AND(Screener!$B$18="With A-share",(Database!$AZ504="Y")),AND(Screener!$B$18="Without A-share",NOT((Database!$AZ504="Y")))),1,0)=0,-999999,IF(Screener!$B$16="cornerstone overlap first",H504*100000,IF(Screener!$B$16="demand-similar first",J504*100000,0))+W_SUB*B504+W_SEC*C504*(1-B504)+W_SIZE*D504+W_PROF*E504+W_AH*F504+W_REC*G504+W_CS*H504+W_PE*I504)))+ROW()/1000000</f>
        <v/>
      </c>
      <c r="AA504">
        <f>Database!B493</f>
        <v/>
      </c>
      <c r="AB504">
        <f>Database!D493</f>
        <v/>
      </c>
      <c r="AC504">
        <f>Database!E493</f>
        <v/>
      </c>
      <c r="AD504">
        <f>Database!I493</f>
        <v/>
      </c>
      <c r="AE504">
        <f>Database!AU493</f>
        <v/>
      </c>
      <c r="AF504">
        <f>Database!AZ493</f>
        <v/>
      </c>
      <c r="AG504">
        <f>Database!H493</f>
        <v/>
      </c>
      <c r="AH504">
        <f>Database!AV493</f>
        <v/>
      </c>
    </row>
    <row r="505">
      <c r="A505">
        <f>Database!B505</f>
        <v/>
      </c>
      <c r="B505">
        <f>IF(AND(Screener!$D$8&lt;&gt;"",Database!$E505=Screener!$D$8),1,0)</f>
        <v/>
      </c>
      <c r="C505">
        <f>IF(AND(Screener!$D$7&lt;&gt;"",Database!$D505=Screener!$D$7),1,0)</f>
        <v/>
      </c>
      <c r="D505">
        <f>IF(OR(N(Database!$I505)&lt;=0,N(Screener!$D$9)&lt;=0),0,MAX(0,1-ABS(LOG10(N(Database!$I505)/Screener!$D$9))/W_SIZEHW))</f>
        <v/>
      </c>
      <c r="E505">
        <f>IF(OR(Database!$AU505="",Screener!$D$10=""),0,IF(Database!$AU505=Screener!$D$10,1,0))</f>
        <v/>
      </c>
      <c r="F505">
        <f>IF(OR(Database!$AZ505="",Screener!$D$11=""),0,IF(Database!$AZ505=Screener!$D$11,1,0))</f>
        <v/>
      </c>
      <c r="G505">
        <f>IF(OR(Database!$H505="",N(Screener!$D$12)&lt;=0),0,MAX(0,1-(N(Screener!$D$12)-Database!$H505)/W_RECD))</f>
        <v/>
      </c>
      <c r="H505">
        <f>IF($U$1="",0,N(ISNUMBER(SEARCH($U$1,Database!$X505&amp;""))))+IF($V$1="",0,N(ISNUMBER(SEARCH($V$1,Database!$X505&amp;""))))+IF($W$1="",0,N(ISNUMBER(SEARCH($W$1,Database!$X505&amp;""))))+IF($X$1="",0,N(ISNUMBER(SEARCH($X$1,Database!$X505&amp;""))))+IF($Y$1="",0,N(ISNUMBER(SEARCH($Y$1,Database!$X505&amp;""))))+IF(Screener!$B$17="",0,N(ISNUMBER(SEARCH(LOWER(Screener!$B$17),Database!$X505&amp;""))))</f>
        <v/>
      </c>
      <c r="I505">
        <f>IF(OR(N(Database!$AV505)&lt;=0,N(Screener!$D$13)&lt;=0),0,MAX(0,1-ABS(LOG10(N(Database!$AV505)/Screener!$D$13))/W_PEHW))</f>
        <v/>
      </c>
      <c r="J505">
        <f>IF(OR(N(Database!$S505)&lt;=0,N(Screener!$D$14)&lt;=0),0,MAX(0,1-ABS(LOG10(Database!$S505/Screener!$D$14))/0.6))</f>
        <v/>
      </c>
      <c r="K505">
        <f>IF(Database!$B505=Screener!$B$5,-999999,IF(ISNUMBER(SEARCH(","&amp;Database!$A505&amp;",",","&amp;SUBSTITUTE(Screener!$B$19," ","")&amp;",")),2000000,IF(IF(OR(Screener!$B$18="All",AND(Screener!$B$18="With A-share",(Database!$AZ505="Y")),AND(Screener!$B$18="Without A-share",NOT((Database!$AZ505="Y")))),1,0)=0,-999999,IF(Screener!$B$16="cornerstone overlap first",H505*100000,IF(Screener!$B$16="demand-similar first",J505*100000,0))+W_SUB*B505+W_SEC*C505*(1-B505)+W_SIZE*D505+W_PROF*E505+W_AH*F505+W_REC*G505+W_CS*H505+W_PE*I505)))+ROW()/1000000</f>
        <v/>
      </c>
      <c r="AA505">
        <f>Database!B494</f>
        <v/>
      </c>
      <c r="AB505">
        <f>Database!D494</f>
        <v/>
      </c>
      <c r="AC505">
        <f>Database!E494</f>
        <v/>
      </c>
      <c r="AD505">
        <f>Database!I494</f>
        <v/>
      </c>
      <c r="AE505">
        <f>Database!AU494</f>
        <v/>
      </c>
      <c r="AF505">
        <f>Database!AZ494</f>
        <v/>
      </c>
      <c r="AG505">
        <f>Database!H494</f>
        <v/>
      </c>
      <c r="AH505">
        <f>Database!AV494</f>
        <v/>
      </c>
    </row>
    <row r="506">
      <c r="A506">
        <f>Database!B506</f>
        <v/>
      </c>
      <c r="B506">
        <f>IF(AND(Screener!$D$8&lt;&gt;"",Database!$E506=Screener!$D$8),1,0)</f>
        <v/>
      </c>
      <c r="C506">
        <f>IF(AND(Screener!$D$7&lt;&gt;"",Database!$D506=Screener!$D$7),1,0)</f>
        <v/>
      </c>
      <c r="D506">
        <f>IF(OR(N(Database!$I506)&lt;=0,N(Screener!$D$9)&lt;=0),0,MAX(0,1-ABS(LOG10(N(Database!$I506)/Screener!$D$9))/W_SIZEHW))</f>
        <v/>
      </c>
      <c r="E506">
        <f>IF(OR(Database!$AU506="",Screener!$D$10=""),0,IF(Database!$AU506=Screener!$D$10,1,0))</f>
        <v/>
      </c>
      <c r="F506">
        <f>IF(OR(Database!$AZ506="",Screener!$D$11=""),0,IF(Database!$AZ506=Screener!$D$11,1,0))</f>
        <v/>
      </c>
      <c r="G506">
        <f>IF(OR(Database!$H506="",N(Screener!$D$12)&lt;=0),0,MAX(0,1-(N(Screener!$D$12)-Database!$H506)/W_RECD))</f>
        <v/>
      </c>
      <c r="H506">
        <f>IF($U$1="",0,N(ISNUMBER(SEARCH($U$1,Database!$X506&amp;""))))+IF($V$1="",0,N(ISNUMBER(SEARCH($V$1,Database!$X506&amp;""))))+IF($W$1="",0,N(ISNUMBER(SEARCH($W$1,Database!$X506&amp;""))))+IF($X$1="",0,N(ISNUMBER(SEARCH($X$1,Database!$X506&amp;""))))+IF($Y$1="",0,N(ISNUMBER(SEARCH($Y$1,Database!$X506&amp;""))))+IF(Screener!$B$17="",0,N(ISNUMBER(SEARCH(LOWER(Screener!$B$17),Database!$X506&amp;""))))</f>
        <v/>
      </c>
      <c r="I506">
        <f>IF(OR(N(Database!$AV506)&lt;=0,N(Screener!$D$13)&lt;=0),0,MAX(0,1-ABS(LOG10(N(Database!$AV506)/Screener!$D$13))/W_PEHW))</f>
        <v/>
      </c>
      <c r="J506">
        <f>IF(OR(N(Database!$S506)&lt;=0,N(Screener!$D$14)&lt;=0),0,MAX(0,1-ABS(LOG10(Database!$S506/Screener!$D$14))/0.6))</f>
        <v/>
      </c>
      <c r="K506">
        <f>IF(Database!$B506=Screener!$B$5,-999999,IF(ISNUMBER(SEARCH(","&amp;Database!$A506&amp;",",","&amp;SUBSTITUTE(Screener!$B$19," ","")&amp;",")),2000000,IF(IF(OR(Screener!$B$18="All",AND(Screener!$B$18="With A-share",(Database!$AZ506="Y")),AND(Screener!$B$18="Without A-share",NOT((Database!$AZ506="Y")))),1,0)=0,-999999,IF(Screener!$B$16="cornerstone overlap first",H506*100000,IF(Screener!$B$16="demand-similar first",J506*100000,0))+W_SUB*B506+W_SEC*C506*(1-B506)+W_SIZE*D506+W_PROF*E506+W_AH*F506+W_REC*G506+W_CS*H506+W_PE*I506)))+ROW()/1000000</f>
        <v/>
      </c>
      <c r="AA506">
        <f>Database!B495</f>
        <v/>
      </c>
      <c r="AB506">
        <f>Database!D495</f>
        <v/>
      </c>
      <c r="AC506">
        <f>Database!E495</f>
        <v/>
      </c>
      <c r="AD506">
        <f>Database!I495</f>
        <v/>
      </c>
      <c r="AE506">
        <f>Database!AU495</f>
        <v/>
      </c>
      <c r="AF506">
        <f>Database!AZ495</f>
        <v/>
      </c>
      <c r="AG506">
        <f>Database!H495</f>
        <v/>
      </c>
      <c r="AH506">
        <f>Database!AV495</f>
        <v/>
      </c>
    </row>
    <row r="507">
      <c r="A507">
        <f>Database!B507</f>
        <v/>
      </c>
      <c r="B507">
        <f>IF(AND(Screener!$D$8&lt;&gt;"",Database!$E507=Screener!$D$8),1,0)</f>
        <v/>
      </c>
      <c r="C507">
        <f>IF(AND(Screener!$D$7&lt;&gt;"",Database!$D507=Screener!$D$7),1,0)</f>
        <v/>
      </c>
      <c r="D507">
        <f>IF(OR(N(Database!$I507)&lt;=0,N(Screener!$D$9)&lt;=0),0,MAX(0,1-ABS(LOG10(N(Database!$I507)/Screener!$D$9))/W_SIZEHW))</f>
        <v/>
      </c>
      <c r="E507">
        <f>IF(OR(Database!$AU507="",Screener!$D$10=""),0,IF(Database!$AU507=Screener!$D$10,1,0))</f>
        <v/>
      </c>
      <c r="F507">
        <f>IF(OR(Database!$AZ507="",Screener!$D$11=""),0,IF(Database!$AZ507=Screener!$D$11,1,0))</f>
        <v/>
      </c>
      <c r="G507">
        <f>IF(OR(Database!$H507="",N(Screener!$D$12)&lt;=0),0,MAX(0,1-(N(Screener!$D$12)-Database!$H507)/W_RECD))</f>
        <v/>
      </c>
      <c r="H507">
        <f>IF($U$1="",0,N(ISNUMBER(SEARCH($U$1,Database!$X507&amp;""))))+IF($V$1="",0,N(ISNUMBER(SEARCH($V$1,Database!$X507&amp;""))))+IF($W$1="",0,N(ISNUMBER(SEARCH($W$1,Database!$X507&amp;""))))+IF($X$1="",0,N(ISNUMBER(SEARCH($X$1,Database!$X507&amp;""))))+IF($Y$1="",0,N(ISNUMBER(SEARCH($Y$1,Database!$X507&amp;""))))+IF(Screener!$B$17="",0,N(ISNUMBER(SEARCH(LOWER(Screener!$B$17),Database!$X507&amp;""))))</f>
        <v/>
      </c>
      <c r="I507">
        <f>IF(OR(N(Database!$AV507)&lt;=0,N(Screener!$D$13)&lt;=0),0,MAX(0,1-ABS(LOG10(N(Database!$AV507)/Screener!$D$13))/W_PEHW))</f>
        <v/>
      </c>
      <c r="J507">
        <f>IF(OR(N(Database!$S507)&lt;=0,N(Screener!$D$14)&lt;=0),0,MAX(0,1-ABS(LOG10(Database!$S507/Screener!$D$14))/0.6))</f>
        <v/>
      </c>
      <c r="K507">
        <f>IF(Database!$B507=Screener!$B$5,-999999,IF(ISNUMBER(SEARCH(","&amp;Database!$A507&amp;",",","&amp;SUBSTITUTE(Screener!$B$19," ","")&amp;",")),2000000,IF(IF(OR(Screener!$B$18="All",AND(Screener!$B$18="With A-share",(Database!$AZ507="Y")),AND(Screener!$B$18="Without A-share",NOT((Database!$AZ507="Y")))),1,0)=0,-999999,IF(Screener!$B$16="cornerstone overlap first",H507*100000,IF(Screener!$B$16="demand-similar first",J507*100000,0))+W_SUB*B507+W_SEC*C507*(1-B507)+W_SIZE*D507+W_PROF*E507+W_AH*F507+W_REC*G507+W_CS*H507+W_PE*I507)))+ROW()/1000000</f>
        <v/>
      </c>
      <c r="AA507">
        <f>Database!B496</f>
        <v/>
      </c>
      <c r="AB507">
        <f>Database!D496</f>
        <v/>
      </c>
      <c r="AC507">
        <f>Database!E496</f>
        <v/>
      </c>
      <c r="AD507">
        <f>Database!I496</f>
        <v/>
      </c>
      <c r="AE507">
        <f>Database!AU496</f>
        <v/>
      </c>
      <c r="AF507">
        <f>Database!AZ496</f>
        <v/>
      </c>
      <c r="AG507">
        <f>Database!H496</f>
        <v/>
      </c>
      <c r="AH507">
        <f>Database!AV496</f>
        <v/>
      </c>
    </row>
    <row r="508">
      <c r="A508">
        <f>Database!B508</f>
        <v/>
      </c>
      <c r="B508">
        <f>IF(AND(Screener!$D$8&lt;&gt;"",Database!$E508=Screener!$D$8),1,0)</f>
        <v/>
      </c>
      <c r="C508">
        <f>IF(AND(Screener!$D$7&lt;&gt;"",Database!$D508=Screener!$D$7),1,0)</f>
        <v/>
      </c>
      <c r="D508">
        <f>IF(OR(N(Database!$I508)&lt;=0,N(Screener!$D$9)&lt;=0),0,MAX(0,1-ABS(LOG10(N(Database!$I508)/Screener!$D$9))/W_SIZEHW))</f>
        <v/>
      </c>
      <c r="E508">
        <f>IF(OR(Database!$AU508="",Screener!$D$10=""),0,IF(Database!$AU508=Screener!$D$10,1,0))</f>
        <v/>
      </c>
      <c r="F508">
        <f>IF(OR(Database!$AZ508="",Screener!$D$11=""),0,IF(Database!$AZ508=Screener!$D$11,1,0))</f>
        <v/>
      </c>
      <c r="G508">
        <f>IF(OR(Database!$H508="",N(Screener!$D$12)&lt;=0),0,MAX(0,1-(N(Screener!$D$12)-Database!$H508)/W_RECD))</f>
        <v/>
      </c>
      <c r="H508">
        <f>IF($U$1="",0,N(ISNUMBER(SEARCH($U$1,Database!$X508&amp;""))))+IF($V$1="",0,N(ISNUMBER(SEARCH($V$1,Database!$X508&amp;""))))+IF($W$1="",0,N(ISNUMBER(SEARCH($W$1,Database!$X508&amp;""))))+IF($X$1="",0,N(ISNUMBER(SEARCH($X$1,Database!$X508&amp;""))))+IF($Y$1="",0,N(ISNUMBER(SEARCH($Y$1,Database!$X508&amp;""))))+IF(Screener!$B$17="",0,N(ISNUMBER(SEARCH(LOWER(Screener!$B$17),Database!$X508&amp;""))))</f>
        <v/>
      </c>
      <c r="I508">
        <f>IF(OR(N(Database!$AV508)&lt;=0,N(Screener!$D$13)&lt;=0),0,MAX(0,1-ABS(LOG10(N(Database!$AV508)/Screener!$D$13))/W_PEHW))</f>
        <v/>
      </c>
      <c r="J508">
        <f>IF(OR(N(Database!$S508)&lt;=0,N(Screener!$D$14)&lt;=0),0,MAX(0,1-ABS(LOG10(Database!$S508/Screener!$D$14))/0.6))</f>
        <v/>
      </c>
      <c r="K508">
        <f>IF(Database!$B508=Screener!$B$5,-999999,IF(ISNUMBER(SEARCH(","&amp;Database!$A508&amp;",",","&amp;SUBSTITUTE(Screener!$B$19," ","")&amp;",")),2000000,IF(IF(OR(Screener!$B$18="All",AND(Screener!$B$18="With A-share",(Database!$AZ508="Y")),AND(Screener!$B$18="Without A-share",NOT((Database!$AZ508="Y")))),1,0)=0,-999999,IF(Screener!$B$16="cornerstone overlap first",H508*100000,IF(Screener!$B$16="demand-similar first",J508*100000,0))+W_SUB*B508+W_SEC*C508*(1-B508)+W_SIZE*D508+W_PROF*E508+W_AH*F508+W_REC*G508+W_CS*H508+W_PE*I508)))+ROW()/1000000</f>
        <v/>
      </c>
      <c r="AA508">
        <f>Database!B497</f>
        <v/>
      </c>
      <c r="AB508">
        <f>Database!D497</f>
        <v/>
      </c>
      <c r="AC508">
        <f>Database!E497</f>
        <v/>
      </c>
      <c r="AD508">
        <f>Database!I497</f>
        <v/>
      </c>
      <c r="AE508">
        <f>Database!AU497</f>
        <v/>
      </c>
      <c r="AF508">
        <f>Database!AZ497</f>
        <v/>
      </c>
      <c r="AG508">
        <f>Database!H497</f>
        <v/>
      </c>
      <c r="AH508">
        <f>Database!AV497</f>
        <v/>
      </c>
    </row>
    <row r="509">
      <c r="A509">
        <f>Database!B509</f>
        <v/>
      </c>
      <c r="B509">
        <f>IF(AND(Screener!$D$8&lt;&gt;"",Database!$E509=Screener!$D$8),1,0)</f>
        <v/>
      </c>
      <c r="C509">
        <f>IF(AND(Screener!$D$7&lt;&gt;"",Database!$D509=Screener!$D$7),1,0)</f>
        <v/>
      </c>
      <c r="D509">
        <f>IF(OR(N(Database!$I509)&lt;=0,N(Screener!$D$9)&lt;=0),0,MAX(0,1-ABS(LOG10(N(Database!$I509)/Screener!$D$9))/W_SIZEHW))</f>
        <v/>
      </c>
      <c r="E509">
        <f>IF(OR(Database!$AU509="",Screener!$D$10=""),0,IF(Database!$AU509=Screener!$D$10,1,0))</f>
        <v/>
      </c>
      <c r="F509">
        <f>IF(OR(Database!$AZ509="",Screener!$D$11=""),0,IF(Database!$AZ509=Screener!$D$11,1,0))</f>
        <v/>
      </c>
      <c r="G509">
        <f>IF(OR(Database!$H509="",N(Screener!$D$12)&lt;=0),0,MAX(0,1-(N(Screener!$D$12)-Database!$H509)/W_RECD))</f>
        <v/>
      </c>
      <c r="H509">
        <f>IF($U$1="",0,N(ISNUMBER(SEARCH($U$1,Database!$X509&amp;""))))+IF($V$1="",0,N(ISNUMBER(SEARCH($V$1,Database!$X509&amp;""))))+IF($W$1="",0,N(ISNUMBER(SEARCH($W$1,Database!$X509&amp;""))))+IF($X$1="",0,N(ISNUMBER(SEARCH($X$1,Database!$X509&amp;""))))+IF($Y$1="",0,N(ISNUMBER(SEARCH($Y$1,Database!$X509&amp;""))))+IF(Screener!$B$17="",0,N(ISNUMBER(SEARCH(LOWER(Screener!$B$17),Database!$X509&amp;""))))</f>
        <v/>
      </c>
      <c r="I509">
        <f>IF(OR(N(Database!$AV509)&lt;=0,N(Screener!$D$13)&lt;=0),0,MAX(0,1-ABS(LOG10(N(Database!$AV509)/Screener!$D$13))/W_PEHW))</f>
        <v/>
      </c>
      <c r="J509">
        <f>IF(OR(N(Database!$S509)&lt;=0,N(Screener!$D$14)&lt;=0),0,MAX(0,1-ABS(LOG10(Database!$S509/Screener!$D$14))/0.6))</f>
        <v/>
      </c>
      <c r="K509">
        <f>IF(Database!$B509=Screener!$B$5,-999999,IF(ISNUMBER(SEARCH(","&amp;Database!$A509&amp;",",","&amp;SUBSTITUTE(Screener!$B$19," ","")&amp;",")),2000000,IF(IF(OR(Screener!$B$18="All",AND(Screener!$B$18="With A-share",(Database!$AZ509="Y")),AND(Screener!$B$18="Without A-share",NOT((Database!$AZ509="Y")))),1,0)=0,-999999,IF(Screener!$B$16="cornerstone overlap first",H509*100000,IF(Screener!$B$16="demand-similar first",J509*100000,0))+W_SUB*B509+W_SEC*C509*(1-B509)+W_SIZE*D509+W_PROF*E509+W_AH*F509+W_REC*G509+W_CS*H509+W_PE*I509)))+ROW()/1000000</f>
        <v/>
      </c>
      <c r="AA509">
        <f>Database!B498</f>
        <v/>
      </c>
      <c r="AB509">
        <f>Database!D498</f>
        <v/>
      </c>
      <c r="AC509">
        <f>Database!E498</f>
        <v/>
      </c>
      <c r="AD509">
        <f>Database!I498</f>
        <v/>
      </c>
      <c r="AE509">
        <f>Database!AU498</f>
        <v/>
      </c>
      <c r="AF509">
        <f>Database!AZ498</f>
        <v/>
      </c>
      <c r="AG509">
        <f>Database!H498</f>
        <v/>
      </c>
      <c r="AH509">
        <f>Database!AV498</f>
        <v/>
      </c>
    </row>
    <row r="510">
      <c r="A510">
        <f>Database!B510</f>
        <v/>
      </c>
      <c r="B510">
        <f>IF(AND(Screener!$D$8&lt;&gt;"",Database!$E510=Screener!$D$8),1,0)</f>
        <v/>
      </c>
      <c r="C510">
        <f>IF(AND(Screener!$D$7&lt;&gt;"",Database!$D510=Screener!$D$7),1,0)</f>
        <v/>
      </c>
      <c r="D510">
        <f>IF(OR(N(Database!$I510)&lt;=0,N(Screener!$D$9)&lt;=0),0,MAX(0,1-ABS(LOG10(N(Database!$I510)/Screener!$D$9))/W_SIZEHW))</f>
        <v/>
      </c>
      <c r="E510">
        <f>IF(OR(Database!$AU510="",Screener!$D$10=""),0,IF(Database!$AU510=Screener!$D$10,1,0))</f>
        <v/>
      </c>
      <c r="F510">
        <f>IF(OR(Database!$AZ510="",Screener!$D$11=""),0,IF(Database!$AZ510=Screener!$D$11,1,0))</f>
        <v/>
      </c>
      <c r="G510">
        <f>IF(OR(Database!$H510="",N(Screener!$D$12)&lt;=0),0,MAX(0,1-(N(Screener!$D$12)-Database!$H510)/W_RECD))</f>
        <v/>
      </c>
      <c r="H510">
        <f>IF($U$1="",0,N(ISNUMBER(SEARCH($U$1,Database!$X510&amp;""))))+IF($V$1="",0,N(ISNUMBER(SEARCH($V$1,Database!$X510&amp;""))))+IF($W$1="",0,N(ISNUMBER(SEARCH($W$1,Database!$X510&amp;""))))+IF($X$1="",0,N(ISNUMBER(SEARCH($X$1,Database!$X510&amp;""))))+IF($Y$1="",0,N(ISNUMBER(SEARCH($Y$1,Database!$X510&amp;""))))+IF(Screener!$B$17="",0,N(ISNUMBER(SEARCH(LOWER(Screener!$B$17),Database!$X510&amp;""))))</f>
        <v/>
      </c>
      <c r="I510">
        <f>IF(OR(N(Database!$AV510)&lt;=0,N(Screener!$D$13)&lt;=0),0,MAX(0,1-ABS(LOG10(N(Database!$AV510)/Screener!$D$13))/W_PEHW))</f>
        <v/>
      </c>
      <c r="J510">
        <f>IF(OR(N(Database!$S510)&lt;=0,N(Screener!$D$14)&lt;=0),0,MAX(0,1-ABS(LOG10(Database!$S510/Screener!$D$14))/0.6))</f>
        <v/>
      </c>
      <c r="K510">
        <f>IF(Database!$B510=Screener!$B$5,-999999,IF(ISNUMBER(SEARCH(","&amp;Database!$A510&amp;",",","&amp;SUBSTITUTE(Screener!$B$19," ","")&amp;",")),2000000,IF(IF(OR(Screener!$B$18="All",AND(Screener!$B$18="With A-share",(Database!$AZ510="Y")),AND(Screener!$B$18="Without A-share",NOT((Database!$AZ510="Y")))),1,0)=0,-999999,IF(Screener!$B$16="cornerstone overlap first",H510*100000,IF(Screener!$B$16="demand-similar first",J510*100000,0))+W_SUB*B510+W_SEC*C510*(1-B510)+W_SIZE*D510+W_PROF*E510+W_AH*F510+W_REC*G510+W_CS*H510+W_PE*I510)))+ROW()/1000000</f>
        <v/>
      </c>
      <c r="AA510">
        <f>Database!B499</f>
        <v/>
      </c>
      <c r="AB510">
        <f>Database!D499</f>
        <v/>
      </c>
      <c r="AC510">
        <f>Database!E499</f>
        <v/>
      </c>
      <c r="AD510">
        <f>Database!I499</f>
        <v/>
      </c>
      <c r="AE510">
        <f>Database!AU499</f>
        <v/>
      </c>
      <c r="AF510">
        <f>Database!AZ499</f>
        <v/>
      </c>
      <c r="AG510">
        <f>Database!H499</f>
        <v/>
      </c>
      <c r="AH510">
        <f>Database!AV499</f>
        <v/>
      </c>
    </row>
    <row r="511">
      <c r="A511">
        <f>Database!B511</f>
        <v/>
      </c>
      <c r="B511">
        <f>IF(AND(Screener!$D$8&lt;&gt;"",Database!$E511=Screener!$D$8),1,0)</f>
        <v/>
      </c>
      <c r="C511">
        <f>IF(AND(Screener!$D$7&lt;&gt;"",Database!$D511=Screener!$D$7),1,0)</f>
        <v/>
      </c>
      <c r="D511">
        <f>IF(OR(N(Database!$I511)&lt;=0,N(Screener!$D$9)&lt;=0),0,MAX(0,1-ABS(LOG10(N(Database!$I511)/Screener!$D$9))/W_SIZEHW))</f>
        <v/>
      </c>
      <c r="E511">
        <f>IF(OR(Database!$AU511="",Screener!$D$10=""),0,IF(Database!$AU511=Screener!$D$10,1,0))</f>
        <v/>
      </c>
      <c r="F511">
        <f>IF(OR(Database!$AZ511="",Screener!$D$11=""),0,IF(Database!$AZ511=Screener!$D$11,1,0))</f>
        <v/>
      </c>
      <c r="G511">
        <f>IF(OR(Database!$H511="",N(Screener!$D$12)&lt;=0),0,MAX(0,1-(N(Screener!$D$12)-Database!$H511)/W_RECD))</f>
        <v/>
      </c>
      <c r="H511">
        <f>IF($U$1="",0,N(ISNUMBER(SEARCH($U$1,Database!$X511&amp;""))))+IF($V$1="",0,N(ISNUMBER(SEARCH($V$1,Database!$X511&amp;""))))+IF($W$1="",0,N(ISNUMBER(SEARCH($W$1,Database!$X511&amp;""))))+IF($X$1="",0,N(ISNUMBER(SEARCH($X$1,Database!$X511&amp;""))))+IF($Y$1="",0,N(ISNUMBER(SEARCH($Y$1,Database!$X511&amp;""))))+IF(Screener!$B$17="",0,N(ISNUMBER(SEARCH(LOWER(Screener!$B$17),Database!$X511&amp;""))))</f>
        <v/>
      </c>
      <c r="I511">
        <f>IF(OR(N(Database!$AV511)&lt;=0,N(Screener!$D$13)&lt;=0),0,MAX(0,1-ABS(LOG10(N(Database!$AV511)/Screener!$D$13))/W_PEHW))</f>
        <v/>
      </c>
      <c r="J511">
        <f>IF(OR(N(Database!$S511)&lt;=0,N(Screener!$D$14)&lt;=0),0,MAX(0,1-ABS(LOG10(Database!$S511/Screener!$D$14))/0.6))</f>
        <v/>
      </c>
      <c r="K511">
        <f>IF(Database!$B511=Screener!$B$5,-999999,IF(ISNUMBER(SEARCH(","&amp;Database!$A511&amp;",",","&amp;SUBSTITUTE(Screener!$B$19," ","")&amp;",")),2000000,IF(IF(OR(Screener!$B$18="All",AND(Screener!$B$18="With A-share",(Database!$AZ511="Y")),AND(Screener!$B$18="Without A-share",NOT((Database!$AZ511="Y")))),1,0)=0,-999999,IF(Screener!$B$16="cornerstone overlap first",H511*100000,IF(Screener!$B$16="demand-similar first",J511*100000,0))+W_SUB*B511+W_SEC*C511*(1-B511)+W_SIZE*D511+W_PROF*E511+W_AH*F511+W_REC*G511+W_CS*H511+W_PE*I511)))+ROW()/1000000</f>
        <v/>
      </c>
      <c r="AA511">
        <f>Database!B500</f>
        <v/>
      </c>
      <c r="AB511">
        <f>Database!D500</f>
        <v/>
      </c>
      <c r="AC511">
        <f>Database!E500</f>
        <v/>
      </c>
      <c r="AD511">
        <f>Database!I500</f>
        <v/>
      </c>
      <c r="AE511">
        <f>Database!AU500</f>
        <v/>
      </c>
      <c r="AF511">
        <f>Database!AZ500</f>
        <v/>
      </c>
      <c r="AG511">
        <f>Database!H500</f>
        <v/>
      </c>
      <c r="AH511">
        <f>Database!AV500</f>
        <v/>
      </c>
    </row>
    <row r="512">
      <c r="A512">
        <f>Database!B512</f>
        <v/>
      </c>
      <c r="B512">
        <f>IF(AND(Screener!$D$8&lt;&gt;"",Database!$E512=Screener!$D$8),1,0)</f>
        <v/>
      </c>
      <c r="C512">
        <f>IF(AND(Screener!$D$7&lt;&gt;"",Database!$D512=Screener!$D$7),1,0)</f>
        <v/>
      </c>
      <c r="D512">
        <f>IF(OR(N(Database!$I512)&lt;=0,N(Screener!$D$9)&lt;=0),0,MAX(0,1-ABS(LOG10(N(Database!$I512)/Screener!$D$9))/W_SIZEHW))</f>
        <v/>
      </c>
      <c r="E512">
        <f>IF(OR(Database!$AU512="",Screener!$D$10=""),0,IF(Database!$AU512=Screener!$D$10,1,0))</f>
        <v/>
      </c>
      <c r="F512">
        <f>IF(OR(Database!$AZ512="",Screener!$D$11=""),0,IF(Database!$AZ512=Screener!$D$11,1,0))</f>
        <v/>
      </c>
      <c r="G512">
        <f>IF(OR(Database!$H512="",N(Screener!$D$12)&lt;=0),0,MAX(0,1-(N(Screener!$D$12)-Database!$H512)/W_RECD))</f>
        <v/>
      </c>
      <c r="H512">
        <f>IF($U$1="",0,N(ISNUMBER(SEARCH($U$1,Database!$X512&amp;""))))+IF($V$1="",0,N(ISNUMBER(SEARCH($V$1,Database!$X512&amp;""))))+IF($W$1="",0,N(ISNUMBER(SEARCH($W$1,Database!$X512&amp;""))))+IF($X$1="",0,N(ISNUMBER(SEARCH($X$1,Database!$X512&amp;""))))+IF($Y$1="",0,N(ISNUMBER(SEARCH($Y$1,Database!$X512&amp;""))))+IF(Screener!$B$17="",0,N(ISNUMBER(SEARCH(LOWER(Screener!$B$17),Database!$X512&amp;""))))</f>
        <v/>
      </c>
      <c r="I512">
        <f>IF(OR(N(Database!$AV512)&lt;=0,N(Screener!$D$13)&lt;=0),0,MAX(0,1-ABS(LOG10(N(Database!$AV512)/Screener!$D$13))/W_PEHW))</f>
        <v/>
      </c>
      <c r="J512">
        <f>IF(OR(N(Database!$S512)&lt;=0,N(Screener!$D$14)&lt;=0),0,MAX(0,1-ABS(LOG10(Database!$S512/Screener!$D$14))/0.6))</f>
        <v/>
      </c>
      <c r="K512">
        <f>IF(Database!$B512=Screener!$B$5,-999999,IF(ISNUMBER(SEARCH(","&amp;Database!$A512&amp;",",","&amp;SUBSTITUTE(Screener!$B$19," ","")&amp;",")),2000000,IF(IF(OR(Screener!$B$18="All",AND(Screener!$B$18="With A-share",(Database!$AZ512="Y")),AND(Screener!$B$18="Without A-share",NOT((Database!$AZ512="Y")))),1,0)=0,-999999,IF(Screener!$B$16="cornerstone overlap first",H512*100000,IF(Screener!$B$16="demand-similar first",J512*100000,0))+W_SUB*B512+W_SEC*C512*(1-B512)+W_SIZE*D512+W_PROF*E512+W_AH*F512+W_REC*G512+W_CS*H512+W_PE*I512)))+ROW()/1000000</f>
        <v/>
      </c>
      <c r="AA512">
        <f>Database!B501</f>
        <v/>
      </c>
      <c r="AB512">
        <f>Database!D501</f>
        <v/>
      </c>
      <c r="AC512">
        <f>Database!E501</f>
        <v/>
      </c>
      <c r="AD512">
        <f>Database!I501</f>
        <v/>
      </c>
      <c r="AE512">
        <f>Database!AU501</f>
        <v/>
      </c>
      <c r="AF512">
        <f>Database!AZ501</f>
        <v/>
      </c>
      <c r="AG512">
        <f>Database!H501</f>
        <v/>
      </c>
      <c r="AH512">
        <f>Database!AV501</f>
        <v/>
      </c>
    </row>
    <row r="513">
      <c r="A513">
        <f>Database!B513</f>
        <v/>
      </c>
      <c r="B513">
        <f>IF(AND(Screener!$D$8&lt;&gt;"",Database!$E513=Screener!$D$8),1,0)</f>
        <v/>
      </c>
      <c r="C513">
        <f>IF(AND(Screener!$D$7&lt;&gt;"",Database!$D513=Screener!$D$7),1,0)</f>
        <v/>
      </c>
      <c r="D513">
        <f>IF(OR(N(Database!$I513)&lt;=0,N(Screener!$D$9)&lt;=0),0,MAX(0,1-ABS(LOG10(N(Database!$I513)/Screener!$D$9))/W_SIZEHW))</f>
        <v/>
      </c>
      <c r="E513">
        <f>IF(OR(Database!$AU513="",Screener!$D$10=""),0,IF(Database!$AU513=Screener!$D$10,1,0))</f>
        <v/>
      </c>
      <c r="F513">
        <f>IF(OR(Database!$AZ513="",Screener!$D$11=""),0,IF(Database!$AZ513=Screener!$D$11,1,0))</f>
        <v/>
      </c>
      <c r="G513">
        <f>IF(OR(Database!$H513="",N(Screener!$D$12)&lt;=0),0,MAX(0,1-(N(Screener!$D$12)-Database!$H513)/W_RECD))</f>
        <v/>
      </c>
      <c r="H513">
        <f>IF($U$1="",0,N(ISNUMBER(SEARCH($U$1,Database!$X513&amp;""))))+IF($V$1="",0,N(ISNUMBER(SEARCH($V$1,Database!$X513&amp;""))))+IF($W$1="",0,N(ISNUMBER(SEARCH($W$1,Database!$X513&amp;""))))+IF($X$1="",0,N(ISNUMBER(SEARCH($X$1,Database!$X513&amp;""))))+IF($Y$1="",0,N(ISNUMBER(SEARCH($Y$1,Database!$X513&amp;""))))+IF(Screener!$B$17="",0,N(ISNUMBER(SEARCH(LOWER(Screener!$B$17),Database!$X513&amp;""))))</f>
        <v/>
      </c>
      <c r="I513">
        <f>IF(OR(N(Database!$AV513)&lt;=0,N(Screener!$D$13)&lt;=0),0,MAX(0,1-ABS(LOG10(N(Database!$AV513)/Screener!$D$13))/W_PEHW))</f>
        <v/>
      </c>
      <c r="J513">
        <f>IF(OR(N(Database!$S513)&lt;=0,N(Screener!$D$14)&lt;=0),0,MAX(0,1-ABS(LOG10(Database!$S513/Screener!$D$14))/0.6))</f>
        <v/>
      </c>
      <c r="K513">
        <f>IF(Database!$B513=Screener!$B$5,-999999,IF(ISNUMBER(SEARCH(","&amp;Database!$A513&amp;",",","&amp;SUBSTITUTE(Screener!$B$19," ","")&amp;",")),2000000,IF(IF(OR(Screener!$B$18="All",AND(Screener!$B$18="With A-share",(Database!$AZ513="Y")),AND(Screener!$B$18="Without A-share",NOT((Database!$AZ513="Y")))),1,0)=0,-999999,IF(Screener!$B$16="cornerstone overlap first",H513*100000,IF(Screener!$B$16="demand-similar first",J513*100000,0))+W_SUB*B513+W_SEC*C513*(1-B513)+W_SIZE*D513+W_PROF*E513+W_AH*F513+W_REC*G513+W_CS*H513+W_PE*I513)))+ROW()/1000000</f>
        <v/>
      </c>
      <c r="AA513">
        <f>Database!B502</f>
        <v/>
      </c>
      <c r="AB513">
        <f>Database!D502</f>
        <v/>
      </c>
      <c r="AC513">
        <f>Database!E502</f>
        <v/>
      </c>
      <c r="AD513">
        <f>Database!I502</f>
        <v/>
      </c>
      <c r="AE513">
        <f>Database!AU502</f>
        <v/>
      </c>
      <c r="AF513">
        <f>Database!AZ502</f>
        <v/>
      </c>
      <c r="AG513">
        <f>Database!H502</f>
        <v/>
      </c>
      <c r="AH513">
        <f>Database!AV502</f>
        <v/>
      </c>
    </row>
    <row r="514">
      <c r="A514">
        <f>Database!B514</f>
        <v/>
      </c>
      <c r="B514">
        <f>IF(AND(Screener!$D$8&lt;&gt;"",Database!$E514=Screener!$D$8),1,0)</f>
        <v/>
      </c>
      <c r="C514">
        <f>IF(AND(Screener!$D$7&lt;&gt;"",Database!$D514=Screener!$D$7),1,0)</f>
        <v/>
      </c>
      <c r="D514">
        <f>IF(OR(N(Database!$I514)&lt;=0,N(Screener!$D$9)&lt;=0),0,MAX(0,1-ABS(LOG10(N(Database!$I514)/Screener!$D$9))/W_SIZEHW))</f>
        <v/>
      </c>
      <c r="E514">
        <f>IF(OR(Database!$AU514="",Screener!$D$10=""),0,IF(Database!$AU514=Screener!$D$10,1,0))</f>
        <v/>
      </c>
      <c r="F514">
        <f>IF(OR(Database!$AZ514="",Screener!$D$11=""),0,IF(Database!$AZ514=Screener!$D$11,1,0))</f>
        <v/>
      </c>
      <c r="G514">
        <f>IF(OR(Database!$H514="",N(Screener!$D$12)&lt;=0),0,MAX(0,1-(N(Screener!$D$12)-Database!$H514)/W_RECD))</f>
        <v/>
      </c>
      <c r="H514">
        <f>IF($U$1="",0,N(ISNUMBER(SEARCH($U$1,Database!$X514&amp;""))))+IF($V$1="",0,N(ISNUMBER(SEARCH($V$1,Database!$X514&amp;""))))+IF($W$1="",0,N(ISNUMBER(SEARCH($W$1,Database!$X514&amp;""))))+IF($X$1="",0,N(ISNUMBER(SEARCH($X$1,Database!$X514&amp;""))))+IF($Y$1="",0,N(ISNUMBER(SEARCH($Y$1,Database!$X514&amp;""))))+IF(Screener!$B$17="",0,N(ISNUMBER(SEARCH(LOWER(Screener!$B$17),Database!$X514&amp;""))))</f>
        <v/>
      </c>
      <c r="I514">
        <f>IF(OR(N(Database!$AV514)&lt;=0,N(Screener!$D$13)&lt;=0),0,MAX(0,1-ABS(LOG10(N(Database!$AV514)/Screener!$D$13))/W_PEHW))</f>
        <v/>
      </c>
      <c r="J514">
        <f>IF(OR(N(Database!$S514)&lt;=0,N(Screener!$D$14)&lt;=0),0,MAX(0,1-ABS(LOG10(Database!$S514/Screener!$D$14))/0.6))</f>
        <v/>
      </c>
      <c r="K514">
        <f>IF(Database!$B514=Screener!$B$5,-999999,IF(ISNUMBER(SEARCH(","&amp;Database!$A514&amp;",",","&amp;SUBSTITUTE(Screener!$B$19," ","")&amp;",")),2000000,IF(IF(OR(Screener!$B$18="All",AND(Screener!$B$18="With A-share",(Database!$AZ514="Y")),AND(Screener!$B$18="Without A-share",NOT((Database!$AZ514="Y")))),1,0)=0,-999999,IF(Screener!$B$16="cornerstone overlap first",H514*100000,IF(Screener!$B$16="demand-similar first",J514*100000,0))+W_SUB*B514+W_SEC*C514*(1-B514)+W_SIZE*D514+W_PROF*E514+W_AH*F514+W_REC*G514+W_CS*H514+W_PE*I514)))+ROW()/1000000</f>
        <v/>
      </c>
      <c r="AA514">
        <f>Database!B503</f>
        <v/>
      </c>
      <c r="AB514">
        <f>Database!D503</f>
        <v/>
      </c>
      <c r="AC514">
        <f>Database!E503</f>
        <v/>
      </c>
      <c r="AD514">
        <f>Database!I503</f>
        <v/>
      </c>
      <c r="AE514">
        <f>Database!AU503</f>
        <v/>
      </c>
      <c r="AF514">
        <f>Database!AZ503</f>
        <v/>
      </c>
      <c r="AG514">
        <f>Database!H503</f>
        <v/>
      </c>
      <c r="AH514">
        <f>Database!AV503</f>
        <v/>
      </c>
    </row>
    <row r="515">
      <c r="A515">
        <f>Database!B515</f>
        <v/>
      </c>
      <c r="B515">
        <f>IF(AND(Screener!$D$8&lt;&gt;"",Database!$E515=Screener!$D$8),1,0)</f>
        <v/>
      </c>
      <c r="C515">
        <f>IF(AND(Screener!$D$7&lt;&gt;"",Database!$D515=Screener!$D$7),1,0)</f>
        <v/>
      </c>
      <c r="D515">
        <f>IF(OR(N(Database!$I515)&lt;=0,N(Screener!$D$9)&lt;=0),0,MAX(0,1-ABS(LOG10(N(Database!$I515)/Screener!$D$9))/W_SIZEHW))</f>
        <v/>
      </c>
      <c r="E515">
        <f>IF(OR(Database!$AU515="",Screener!$D$10=""),0,IF(Database!$AU515=Screener!$D$10,1,0))</f>
        <v/>
      </c>
      <c r="F515">
        <f>IF(OR(Database!$AZ515="",Screener!$D$11=""),0,IF(Database!$AZ515=Screener!$D$11,1,0))</f>
        <v/>
      </c>
      <c r="G515">
        <f>IF(OR(Database!$H515="",N(Screener!$D$12)&lt;=0),0,MAX(0,1-(N(Screener!$D$12)-Database!$H515)/W_RECD))</f>
        <v/>
      </c>
      <c r="H515">
        <f>IF($U$1="",0,N(ISNUMBER(SEARCH($U$1,Database!$X515&amp;""))))+IF($V$1="",0,N(ISNUMBER(SEARCH($V$1,Database!$X515&amp;""))))+IF($W$1="",0,N(ISNUMBER(SEARCH($W$1,Database!$X515&amp;""))))+IF($X$1="",0,N(ISNUMBER(SEARCH($X$1,Database!$X515&amp;""))))+IF($Y$1="",0,N(ISNUMBER(SEARCH($Y$1,Database!$X515&amp;""))))+IF(Screener!$B$17="",0,N(ISNUMBER(SEARCH(LOWER(Screener!$B$17),Database!$X515&amp;""))))</f>
        <v/>
      </c>
      <c r="I515">
        <f>IF(OR(N(Database!$AV515)&lt;=0,N(Screener!$D$13)&lt;=0),0,MAX(0,1-ABS(LOG10(N(Database!$AV515)/Screener!$D$13))/W_PEHW))</f>
        <v/>
      </c>
      <c r="J515">
        <f>IF(OR(N(Database!$S515)&lt;=0,N(Screener!$D$14)&lt;=0),0,MAX(0,1-ABS(LOG10(Database!$S515/Screener!$D$14))/0.6))</f>
        <v/>
      </c>
      <c r="K515">
        <f>IF(Database!$B515=Screener!$B$5,-999999,IF(ISNUMBER(SEARCH(","&amp;Database!$A515&amp;",",","&amp;SUBSTITUTE(Screener!$B$19," ","")&amp;",")),2000000,IF(IF(OR(Screener!$B$18="All",AND(Screener!$B$18="With A-share",(Database!$AZ515="Y")),AND(Screener!$B$18="Without A-share",NOT((Database!$AZ515="Y")))),1,0)=0,-999999,IF(Screener!$B$16="cornerstone overlap first",H515*100000,IF(Screener!$B$16="demand-similar first",J515*100000,0))+W_SUB*B515+W_SEC*C515*(1-B515)+W_SIZE*D515+W_PROF*E515+W_AH*F515+W_REC*G515+W_CS*H515+W_PE*I515)))+ROW()/1000000</f>
        <v/>
      </c>
      <c r="AA515">
        <f>Database!B504</f>
        <v/>
      </c>
      <c r="AB515">
        <f>Database!D504</f>
        <v/>
      </c>
      <c r="AC515">
        <f>Database!E504</f>
        <v/>
      </c>
      <c r="AD515">
        <f>Database!I504</f>
        <v/>
      </c>
      <c r="AE515">
        <f>Database!AU504</f>
        <v/>
      </c>
      <c r="AF515">
        <f>Database!AZ504</f>
        <v/>
      </c>
      <c r="AG515">
        <f>Database!H504</f>
        <v/>
      </c>
      <c r="AH515">
        <f>Database!AV504</f>
        <v/>
      </c>
    </row>
    <row r="516">
      <c r="AA516">
        <f>Database!B505</f>
        <v/>
      </c>
      <c r="AB516">
        <f>Database!D505</f>
        <v/>
      </c>
      <c r="AC516">
        <f>Database!E505</f>
        <v/>
      </c>
      <c r="AD516">
        <f>Database!I505</f>
        <v/>
      </c>
      <c r="AE516">
        <f>Database!AU505</f>
        <v/>
      </c>
      <c r="AF516">
        <f>Database!AZ505</f>
        <v/>
      </c>
      <c r="AG516">
        <f>Database!H505</f>
        <v/>
      </c>
      <c r="AH516">
        <f>Database!AV505</f>
        <v/>
      </c>
    </row>
    <row r="517">
      <c r="AA517">
        <f>Database!B506</f>
        <v/>
      </c>
      <c r="AB517">
        <f>Database!D506</f>
        <v/>
      </c>
      <c r="AC517">
        <f>Database!E506</f>
        <v/>
      </c>
      <c r="AD517">
        <f>Database!I506</f>
        <v/>
      </c>
      <c r="AE517">
        <f>Database!AU506</f>
        <v/>
      </c>
      <c r="AF517">
        <f>Database!AZ506</f>
        <v/>
      </c>
      <c r="AG517">
        <f>Database!H506</f>
        <v/>
      </c>
      <c r="AH517">
        <f>Database!AV506</f>
        <v/>
      </c>
    </row>
    <row r="518">
      <c r="AA518">
        <f>Database!B507</f>
        <v/>
      </c>
      <c r="AB518">
        <f>Database!D507</f>
        <v/>
      </c>
      <c r="AC518">
        <f>Database!E507</f>
        <v/>
      </c>
      <c r="AD518">
        <f>Database!I507</f>
        <v/>
      </c>
      <c r="AE518">
        <f>Database!AU507</f>
        <v/>
      </c>
      <c r="AF518">
        <f>Database!AZ507</f>
        <v/>
      </c>
      <c r="AG518">
        <f>Database!H507</f>
        <v/>
      </c>
      <c r="AH518">
        <f>Database!AV507</f>
        <v/>
      </c>
    </row>
    <row r="519">
      <c r="AA519">
        <f>Database!B508</f>
        <v/>
      </c>
      <c r="AB519">
        <f>Database!D508</f>
        <v/>
      </c>
      <c r="AC519">
        <f>Database!E508</f>
        <v/>
      </c>
      <c r="AD519">
        <f>Database!I508</f>
        <v/>
      </c>
      <c r="AE519">
        <f>Database!AU508</f>
        <v/>
      </c>
      <c r="AF519">
        <f>Database!AZ508</f>
        <v/>
      </c>
      <c r="AG519">
        <f>Database!H508</f>
        <v/>
      </c>
      <c r="AH519">
        <f>Database!AV508</f>
        <v/>
      </c>
    </row>
    <row r="520">
      <c r="AA520">
        <f>Database!B509</f>
        <v/>
      </c>
      <c r="AB520">
        <f>Database!D509</f>
        <v/>
      </c>
      <c r="AC520">
        <f>Database!E509</f>
        <v/>
      </c>
      <c r="AD520">
        <f>Database!I509</f>
        <v/>
      </c>
      <c r="AE520">
        <f>Database!AU509</f>
        <v/>
      </c>
      <c r="AF520">
        <f>Database!AZ509</f>
        <v/>
      </c>
      <c r="AG520">
        <f>Database!H509</f>
        <v/>
      </c>
      <c r="AH520">
        <f>Database!AV509</f>
        <v/>
      </c>
    </row>
    <row r="521">
      <c r="AA521">
        <f>Database!B510</f>
        <v/>
      </c>
      <c r="AB521">
        <f>Database!D510</f>
        <v/>
      </c>
      <c r="AC521">
        <f>Database!E510</f>
        <v/>
      </c>
      <c r="AD521">
        <f>Database!I510</f>
        <v/>
      </c>
      <c r="AE521">
        <f>Database!AU510</f>
        <v/>
      </c>
      <c r="AF521">
        <f>Database!AZ510</f>
        <v/>
      </c>
      <c r="AG521">
        <f>Database!H510</f>
        <v/>
      </c>
      <c r="AH521">
        <f>Database!AV510</f>
        <v/>
      </c>
    </row>
    <row r="522">
      <c r="AA522">
        <f>Database!B511</f>
        <v/>
      </c>
      <c r="AB522">
        <f>Database!D511</f>
        <v/>
      </c>
      <c r="AC522">
        <f>Database!E511</f>
        <v/>
      </c>
      <c r="AD522">
        <f>Database!I511</f>
        <v/>
      </c>
      <c r="AE522">
        <f>Database!AU511</f>
        <v/>
      </c>
      <c r="AF522">
        <f>Database!AZ511</f>
        <v/>
      </c>
      <c r="AG522">
        <f>Database!H511</f>
        <v/>
      </c>
      <c r="AH522">
        <f>Database!AV511</f>
        <v/>
      </c>
    </row>
    <row r="523">
      <c r="AA523">
        <f>Database!B512</f>
        <v/>
      </c>
      <c r="AB523">
        <f>Database!D512</f>
        <v/>
      </c>
      <c r="AC523">
        <f>Database!E512</f>
        <v/>
      </c>
      <c r="AD523">
        <f>Database!I512</f>
        <v/>
      </c>
      <c r="AE523">
        <f>Database!AU512</f>
        <v/>
      </c>
      <c r="AF523">
        <f>Database!AZ512</f>
        <v/>
      </c>
      <c r="AG523">
        <f>Database!H512</f>
        <v/>
      </c>
      <c r="AH523">
        <f>Database!AV512</f>
        <v/>
      </c>
    </row>
    <row r="524">
      <c r="AA524">
        <f>Database!B513</f>
        <v/>
      </c>
      <c r="AB524">
        <f>Database!D513</f>
        <v/>
      </c>
      <c r="AC524">
        <f>Database!E513</f>
        <v/>
      </c>
      <c r="AD524">
        <f>Database!I513</f>
        <v/>
      </c>
      <c r="AE524">
        <f>Database!AU513</f>
        <v/>
      </c>
      <c r="AF524">
        <f>Database!AZ513</f>
        <v/>
      </c>
      <c r="AG524">
        <f>Database!H513</f>
        <v/>
      </c>
      <c r="AH524">
        <f>Database!AV513</f>
        <v/>
      </c>
    </row>
    <row r="525">
      <c r="AA525">
        <f>Database!B514</f>
        <v/>
      </c>
      <c r="AB525">
        <f>Database!D514</f>
        <v/>
      </c>
      <c r="AC525">
        <f>Database!E514</f>
        <v/>
      </c>
      <c r="AD525">
        <f>Database!I514</f>
        <v/>
      </c>
      <c r="AE525">
        <f>Database!AU514</f>
        <v/>
      </c>
      <c r="AF525">
        <f>Database!AZ514</f>
        <v/>
      </c>
      <c r="AG525">
        <f>Database!H514</f>
        <v/>
      </c>
      <c r="AH525">
        <f>Database!AV514</f>
        <v/>
      </c>
    </row>
    <row r="526">
      <c r="AA526">
        <f>Database!B515</f>
        <v/>
      </c>
      <c r="AB526">
        <f>Database!D515</f>
        <v/>
      </c>
      <c r="AC526">
        <f>Database!E515</f>
        <v/>
      </c>
      <c r="AD526">
        <f>Database!I515</f>
        <v/>
      </c>
      <c r="AE526">
        <f>Database!AU515</f>
        <v/>
      </c>
      <c r="AF526">
        <f>Database!AZ515</f>
        <v/>
      </c>
      <c r="AG526">
        <f>Database!H515</f>
        <v/>
      </c>
      <c r="AH526">
        <f>Database!AV515</f>
        <v/>
      </c>
    </row>
  </sheetData>
  <pageMargins left="0.75" right="0.75" top="1" bottom="1" header="0.5" footer="0.5"/>
</worksheet>
</file>

<file path=xl/worksheets/sheet13.xml><?xml version="1.0" encoding="utf-8"?>
<worksheet xmlns="http://schemas.openxmlformats.org/spreadsheetml/2006/main">
  <sheetPr>
    <tabColor rgb="00BFBFBF"/>
    <outlinePr summaryBelow="1" summaryRight="1"/>
    <pageSetUpPr/>
  </sheetPr>
  <dimension ref="A1:C73"/>
  <sheetViews>
    <sheetView workbookViewId="0">
      <selection activeCell="A1" sqref="A1"/>
    </sheetView>
  </sheetViews>
  <sheetFormatPr baseColWidth="8" defaultRowHeight="15"/>
  <cols>
    <col width="24" customWidth="1" min="1" max="1"/>
    <col width="96" customWidth="1" min="2" max="2"/>
    <col width="40" customWidth="1" min="3" max="3"/>
  </cols>
  <sheetData>
    <row r="1">
      <c r="A1" s="1" t="inlineStr">
        <is>
          <t>HK IPO DATABASE</t>
        </is>
      </c>
    </row>
    <row r="2">
      <c r="A2" s="2" t="inlineStr">
        <is>
          <t>511 Main Board IPOs 2021-2026 + pipeline · data as of 2026-08-25</t>
        </is>
      </c>
    </row>
    <row r="3"/>
    <row r="4">
      <c r="A4" s="62" t="inlineStr"/>
      <c r="B4" s="62" t="inlineStr"/>
    </row>
    <row r="5">
      <c r="A5" s="14" t="inlineStr">
        <is>
          <t>Blue cells</t>
        </is>
      </c>
      <c r="B5" s="62" t="inlineStr">
        <is>
          <t>you type these. Everything else calculates.</t>
        </is>
      </c>
    </row>
    <row r="6">
      <c r="A6" s="14" t="inlineStr">
        <is>
          <t>Start here</t>
        </is>
      </c>
      <c r="B6" s="62" t="inlineStr">
        <is>
          <t>Screener tab — pick a deal OR type your own terms; comps rank instantly.</t>
        </is>
      </c>
    </row>
    <row r="7">
      <c r="A7" s="14" t="inlineStr">
        <is>
          <t>Screener</t>
        </is>
      </c>
      <c r="B7" s="62" t="inlineStr">
        <is>
          <t>pick any past or pipeline deal, get its closest comps.</t>
        </is>
      </c>
    </row>
    <row r="8">
      <c r="A8" s="14" t="inlineStr">
        <is>
          <t>CS League</t>
        </is>
      </c>
      <c r="B8" s="62" t="inlineStr">
        <is>
          <t>one row per cornerstone investor: every deal they anchored, average day-1 pop and 1w/1m/3m ex-pop. Same grouping key as the Screener.</t>
        </is>
      </c>
    </row>
    <row r="9">
      <c r="A9" s="14" t="inlineStr">
        <is>
          <t>Eff. free float</t>
        </is>
      </c>
      <c r="B9" s="62" t="inlineStr">
        <is>
          <t>deal size x (1 - cornerstone %) / market cap - the slice of the company that can actually trade on day 1 (cornerstones are locked 6 months).</t>
        </is>
      </c>
    </row>
    <row r="10">
      <c r="A10" s="14" t="inlineStr">
        <is>
          <t>Analogs</t>
        </is>
      </c>
      <c r="B10" s="62" t="inlineStr">
        <is>
          <t>the raw subscription-bucket history behind the Screener read-out.</t>
        </is>
      </c>
    </row>
    <row r="11">
      <c r="A11" s="14" t="inlineStr">
        <is>
          <t>Green / amber</t>
        </is>
      </c>
      <c r="B11" s="62" t="inlineStr">
        <is>
          <t>cross-checked / single-source or judgment.</t>
        </is>
      </c>
    </row>
    <row r="12">
      <c r="A12" s="14" t="inlineStr">
        <is>
          <t>Money</t>
        </is>
      </c>
      <c r="B12" s="62" t="inlineStr">
        <is>
          <t>HK$ millions. Day-1 + = closed above offer. A premium + = A trades ABOVE H.</t>
        </is>
      </c>
    </row>
    <row r="13">
      <c r="A13" s="14" t="inlineStr">
        <is>
          <t>Subscription</t>
        </is>
      </c>
      <c r="B13" s="62" t="inlineStr">
        <is>
          <t>filing basis: 10x = ten times the shares on offer. Bloomberg CP036/CP037 override the scrape wherever the desk paste carries them.</t>
        </is>
      </c>
    </row>
    <row r="14">
      <c r="A14" s="14" t="inlineStr">
        <is>
          <t>Ex-pop columns</t>
        </is>
      </c>
      <c r="B14" s="62" t="inlineStr">
        <is>
          <t>TEAL headers. 1w/1m/3m ex-pop start at the day-1 CLOSE (standard aftermarket basis); Alpha 1m ex-pop nets the index over the identical window. The TRADEABLE-entry view — buy at the day-1 OPEN — is the Day-1 open→close column here plus the open-rebased charts in the dashboard.</t>
        </is>
      </c>
    </row>
    <row r="15">
      <c r="A15" s="14" t="inlineStr">
        <is>
          <t>P/E &amp; P/S basis</t>
        </is>
      </c>
      <c r="B15" s="62" t="inlineStr">
        <is>
          <t>ALL at-IPO multiples are TRAILING, never forward: market cap at the final offer price ÷ the last FULL pre-IPO fiscal year's net income (P/E) or revenue (P/S), as filed in the prospectus. One basis for every deal AND the pipeline's expected multiples, so they compare. Loss-makers show n/m P/E — use P/S; an 18A pre-revenue biotech's huge P/S is shown with its scale explained rather than left blank.</t>
        </is>
      </c>
    </row>
    <row r="16">
      <c r="A16" s="14" t="inlineStr">
        <is>
          <t>P/E, two readings</t>
        </is>
      </c>
      <c r="B16" s="62" t="inlineStr">
        <is>
          <t>P/E at IPO = final mktcap ÷ last PRE-IPO fiscal-year net income (prospectus basis). P/E at IPO (BBG) = price ÷ trailing-12m EPS at listing. They diverge most for 2021-23 vintages (median BBG/ours ≈0.5) because earnings grew between the covered FY and listing and BBG uses weighted pre-deal shares. Neither is wrong — they answer different questions; both are shown.</t>
        </is>
      </c>
    </row>
    <row r="17">
      <c r="A17" s="14" t="inlineStr">
        <is>
          <t>P/S now (Screener)</t>
        </is>
      </c>
      <c r="B17" s="62" t="inlineStr">
        <is>
          <t>live BDP PX_TO_SALES_RATIO beside P/E now — resolves on the terminal; off-terminal it falls back to the at-IPO P/S.</t>
        </is>
      </c>
    </row>
    <row r="18">
      <c r="A18" s="14" t="inlineStr">
        <is>
          <t>Force-include (B19)</t>
        </is>
      </c>
      <c r="B18" s="62" t="inlineStr">
        <is>
          <t>type codes comma-separated (e.g. 9888, 2015) and those deals pin to the top of the comps, past every filter. Same control exists in the dashboard's Screener.</t>
        </is>
      </c>
    </row>
    <row r="19">
      <c r="A19" s="62" t="inlineStr"/>
      <c r="B19" s="62" t="inlineStr"/>
    </row>
    <row r="20">
      <c r="A20" s="14" t="inlineStr">
        <is>
          <t>Not captured</t>
        </is>
      </c>
      <c r="B20" s="62" t="inlineStr">
        <is>
          <t>underwriting fee splits (never public per deal).</t>
        </is>
      </c>
    </row>
    <row r="21">
      <c r="A21" s="14" t="inlineStr">
        <is>
          <t>Judgment call</t>
        </is>
      </c>
      <c r="B21" s="62" t="inlineStr">
        <is>
          <t>sector and subsector are analyst-assigned, shown amber.</t>
        </is>
      </c>
    </row>
    <row r="22"/>
    <row r="23">
      <c r="A23" s="14" t="inlineStr">
        <is>
          <t>SCREENER WEIGHTS (edit to re-tune)</t>
        </is>
      </c>
    </row>
    <row r="24">
      <c r="A24" s="14" t="inlineStr">
        <is>
          <t>W_SUB</t>
        </is>
      </c>
      <c r="B24" s="7" t="n">
        <v>1000</v>
      </c>
      <c r="C24" s="2" t="inlineStr">
        <is>
          <t>same subsector — dominant by design</t>
        </is>
      </c>
    </row>
    <row r="25">
      <c r="A25" s="14" t="inlineStr">
        <is>
          <t>W_SEC</t>
        </is>
      </c>
      <c r="B25" s="7" t="n">
        <v>300</v>
      </c>
      <c r="C25" s="2" t="inlineStr">
        <is>
          <t>same sector fallback</t>
        </is>
      </c>
    </row>
    <row r="26">
      <c r="A26" s="14" t="inlineStr">
        <is>
          <t>W_SIZE</t>
        </is>
      </c>
      <c r="B26" s="7" t="n">
        <v>200</v>
      </c>
      <c r="C26" s="2" t="inlineStr">
        <is>
          <t>size proximity</t>
        </is>
      </c>
    </row>
    <row r="27">
      <c r="A27" s="14" t="inlineStr">
        <is>
          <t>W_PROF</t>
        </is>
      </c>
      <c r="B27" s="7" t="n">
        <v>80</v>
      </c>
      <c r="C27" s="2" t="inlineStr">
        <is>
          <t>profitability match</t>
        </is>
      </c>
    </row>
    <row r="28">
      <c r="A28" s="14" t="inlineStr">
        <is>
          <t>W_AH</t>
        </is>
      </c>
      <c r="B28" s="7" t="n">
        <v>50</v>
      </c>
      <c r="C28" s="2" t="inlineStr">
        <is>
          <t>H-share match</t>
        </is>
      </c>
    </row>
    <row r="29">
      <c r="A29" s="14" t="inlineStr">
        <is>
          <t>W_REC</t>
        </is>
      </c>
      <c r="B29" s="7" t="n">
        <v>80</v>
      </c>
      <c r="C29" s="2" t="inlineStr">
        <is>
          <t>recency</t>
        </is>
      </c>
    </row>
    <row r="30">
      <c r="A30" s="14" t="inlineStr">
        <is>
          <t>W_CS</t>
        </is>
      </c>
      <c r="B30" s="7" t="n">
        <v>12</v>
      </c>
      <c r="C30" s="2" t="inlineStr">
        <is>
          <t>shares a cornerstone investor with the target</t>
        </is>
      </c>
    </row>
    <row r="31">
      <c r="A31" s="14" t="inlineStr">
        <is>
          <t>W_PE</t>
        </is>
      </c>
      <c r="B31" s="7" t="n">
        <v>150</v>
      </c>
      <c r="C31" s="2" t="inlineStr">
        <is>
          <t>P/E proximity — closer multiples rank higher (beats profitability)</t>
        </is>
      </c>
    </row>
    <row r="32">
      <c r="A32" s="14" t="inlineStr">
        <is>
          <t>W_PEHW</t>
        </is>
      </c>
      <c r="B32" s="7" t="n">
        <v>0.6</v>
      </c>
      <c r="C32" s="2" t="inlineStr">
        <is>
          <t>P/E log half-width</t>
        </is>
      </c>
    </row>
    <row r="33">
      <c r="A33" s="14" t="inlineStr">
        <is>
          <t>W_SIZEHW</t>
        </is>
      </c>
      <c r="B33" s="7" t="n">
        <v>1.5</v>
      </c>
      <c r="C33" s="2" t="inlineStr">
        <is>
          <t>size log half-width</t>
        </is>
      </c>
    </row>
    <row r="34">
      <c r="A34" s="14" t="inlineStr">
        <is>
          <t>W_RECD</t>
        </is>
      </c>
      <c r="B34" s="7" t="n">
        <v>1825</v>
      </c>
      <c r="C34" s="2" t="inlineStr">
        <is>
          <t>recency horizon (days)</t>
        </is>
      </c>
    </row>
    <row r="35"/>
    <row r="36">
      <c r="A36" s="14" t="inlineStr">
        <is>
          <t>WHY THESE WEIGHTS (measured, not assumed)</t>
        </is>
      </c>
    </row>
    <row r="37">
      <c r="A37" s="2" t="inlineStr">
        <is>
          <t>Tested on 24,090 deal pairs: how close were two deals' day-1 returns when they</t>
        </is>
      </c>
    </row>
    <row r="38">
      <c r="A38" s="2" t="inlineStr">
        <is>
          <t>matched on each factor, versus two random deals (median gap 27.5pp)?</t>
        </is>
      </c>
    </row>
    <row r="39">
      <c r="A39" s="2" t="inlineStr">
        <is>
          <t xml:space="preserve">  both A+H .................. 14.2pp  (+49% better than random)</t>
        </is>
      </c>
    </row>
    <row r="40">
      <c r="A40" s="2" t="inlineStr">
        <is>
          <t xml:space="preserve">  subscription within 2x .... 18.6pp  (+32% better)</t>
        </is>
      </c>
    </row>
    <row r="41">
      <c r="A41" s="2" t="inlineStr">
        <is>
          <t xml:space="preserve">  same sector ............... 26.3pp  (+4% better)</t>
        </is>
      </c>
    </row>
    <row r="42">
      <c r="A42" s="2" t="inlineStr">
        <is>
          <t xml:space="preserve">  same subsector ............ 29.2pp  (no better than random)</t>
        </is>
      </c>
    </row>
    <row r="43">
      <c r="A43" s="2" t="inlineStr">
        <is>
          <t xml:space="preserve">  size / P/E / cornerstone .. 29-33pp (no better than random)</t>
        </is>
      </c>
    </row>
    <row r="44">
      <c r="A44" s="2" t="inlineStr">
        <is>
          <t>So subsector-first still decides WHICH companies are comparable (a chip maker is</t>
        </is>
      </c>
    </row>
    <row r="45">
      <c r="A45" s="2" t="inlineStr">
        <is>
          <t>valued against chip makers), but it does NOT predict the debut. When the question</t>
        </is>
      </c>
    </row>
    <row r="46">
      <c r="A46" s="2" t="inlineStr">
        <is>
          <t>is 'how will it trade', switch Rank by -&gt; 'demand-similar first', and read the</t>
        </is>
      </c>
    </row>
    <row r="47">
      <c r="A47" s="2" t="inlineStr">
        <is>
          <t>Analogs tab, where subscription buckets carry the real signal.</t>
        </is>
      </c>
    </row>
    <row r="48"/>
    <row r="49">
      <c r="A49" s="14" t="inlineStr">
        <is>
          <t>WHERE EACH DATABASE COLUMN COMES FROM</t>
        </is>
      </c>
    </row>
    <row r="50">
      <c r="A50" s="12" t="inlineStr">
        <is>
          <t>Column</t>
        </is>
      </c>
      <c r="B50" s="12" t="inlineStr">
        <is>
          <t>Source and method</t>
        </is>
      </c>
    </row>
    <row r="51" ht="26" customHeight="1">
      <c r="A51" s="44" t="inlineStr">
        <is>
          <t>Code / Name / date</t>
        </is>
      </c>
      <c r="B51" s="107" t="inlineStr">
        <is>
          <t>HKEX Allotment Results announcement — every IPO must file one, so the roster is enumerated from the filings themselves, not from a list.</t>
        </is>
      </c>
    </row>
    <row r="52" ht="26" customHeight="1">
      <c r="A52" s="44" t="inlineStr">
        <is>
          <t>Name (CN)</t>
        </is>
      </c>
      <c r="B52" s="107" t="inlineStr">
        <is>
          <t>HKEX bilingual securities feed (activestock/inactivestock _c.json).</t>
        </is>
      </c>
    </row>
    <row r="53" ht="26" customHeight="1">
      <c r="A53" s="44" t="inlineStr">
        <is>
          <t>Sector / Subsector</t>
        </is>
      </c>
      <c r="B53" s="107" t="inlineStr">
        <is>
          <t>Analyst-assigned against data/taxonomy.json. New deals get a provisional keyword label (~49% exact) shown amber until relabelled.</t>
        </is>
      </c>
    </row>
    <row r="54" ht="26" customHeight="1">
      <c r="A54" s="44" t="inlineStr">
        <is>
          <t>Deal size</t>
        </is>
      </c>
      <c r="B54" s="107" t="inlineStr">
        <is>
          <t>Ladder, and the basis is printed beside it: stated gross proceeds &gt; final price x offer shares &gt; net proceeds. From the final-price announcement and the prospectus.</t>
        </is>
      </c>
    </row>
    <row r="55" ht="26" customHeight="1">
      <c r="A55" s="44" t="inlineStr">
        <is>
          <t>Range low / Max-cap</t>
        </is>
      </c>
      <c r="B55" s="107" t="inlineStr">
        <is>
          <t>Prospectus indicative range; the cap is the 'Maximum Offer Price'. A fixed-price offer has no range and is labelled as such.</t>
        </is>
      </c>
    </row>
    <row r="56" ht="26" customHeight="1">
      <c r="A56" s="44" t="inlineStr">
        <is>
          <t>Final px</t>
        </is>
      </c>
      <c r="B56" s="107" t="inlineStr">
        <is>
          <t>Allotment Results announcement (the struck price).</t>
        </is>
      </c>
    </row>
    <row r="57" ht="26" customHeight="1">
      <c r="A57" s="44" t="inlineStr">
        <is>
          <t>% of cap</t>
        </is>
      </c>
      <c r="B57" s="107" t="inlineStr">
        <is>
          <t>final price / cap. Fixed-price offers are 100% by definition.</t>
        </is>
      </c>
    </row>
    <row r="58" ht="26" customHeight="1">
      <c r="A58" s="44" t="inlineStr">
        <is>
          <t>Mkt cap at IPO</t>
        </is>
      </c>
      <c r="B58" s="107" t="inlineStr">
        <is>
          <t>Ladder, printed in 'Mkt cap basis': final price x shares on listing &gt; deal size / offer % of enlarged capital &gt; issuer-stated expected market cap &gt; AAStocks 上市市值 scaled to the struck price. Cross-checked against AAStocks; &gt;25% disagreement is flagged orange.</t>
        </is>
      </c>
    </row>
    <row r="59" ht="26" customHeight="1">
      <c r="A59" s="44" t="inlineStr">
        <is>
          <t>Public / Intl sub</t>
        </is>
      </c>
      <c r="B59" s="107" t="inlineStr">
        <is>
          <t>Allotment Results — the subscription section, read per tranche. Under-subscription (&lt;1x) is captured as data, not dropped.</t>
        </is>
      </c>
    </row>
    <row r="60" ht="26" customHeight="1">
      <c r="A60" s="44" t="inlineStr">
        <is>
          <t>Cornerstone % / investors</t>
        </is>
      </c>
      <c r="B60" s="107" t="inlineStr">
        <is>
          <t>Prospectus cornerstone section (names cleaned of PDF table damage), filled from AAStocks 機構性投資者 where the filing text did not survive extraction.</t>
        </is>
      </c>
    </row>
    <row r="61" ht="26" customHeight="1">
      <c r="A61" s="44" t="inlineStr">
        <is>
          <t>Greenshoe size</t>
        </is>
      </c>
      <c r="B61" s="107" t="inlineStr">
        <is>
          <t>over-allocated shares / offer shares, from the prospectus.</t>
        </is>
      </c>
    </row>
    <row r="62" ht="26" customHeight="1">
      <c r="A62" s="44" t="inlineStr">
        <is>
          <t>Shoe outcome</t>
        </is>
      </c>
      <c r="B62" s="107" t="inlineStr">
        <is>
          <t>The END OF STABILISATION notice filed ~30 days after listing — the allotment-day wording can only ever say 'not yet'.</t>
        </is>
      </c>
    </row>
    <row r="63" ht="26" customHeight="1">
      <c r="A63" s="44" t="inlineStr">
        <is>
          <t>Day-1</t>
        </is>
      </c>
      <c r="B63" s="107" t="inlineStr">
        <is>
          <t>Listing-day close vs the struck offer price (Yahoo). Where Yahoo has no session at the listing date the value comes from AAStocks instead — it is never measured off a later session.</t>
        </is>
      </c>
    </row>
    <row r="64" ht="26" customHeight="1">
      <c r="A64" s="44" t="inlineStr">
        <is>
          <t>1-week / 1-month / 3-month</t>
        </is>
      </c>
      <c r="B64" s="107" t="inlineStr">
        <is>
          <t>Close 5 / 21 / 63 trading bars after the debut, all vs the OFFER price.</t>
        </is>
      </c>
    </row>
    <row r="65" ht="26" customHeight="1">
      <c r="A65" s="44" t="inlineStr">
        <is>
          <t>1m ex-pop</t>
        </is>
      </c>
      <c r="B65" s="107" t="inlineStr">
        <is>
          <t>Same horizon measured from the day-1 CLOSE instead — strips the debut pop and answers whether it held.</t>
        </is>
      </c>
    </row>
    <row r="66" ht="26" customHeight="1">
      <c r="A66" s="44" t="inlineStr">
        <is>
          <t>Alpha / Index</t>
        </is>
      </c>
      <c r="B66" s="107" t="inlineStr">
        <is>
          <t>The deal's own sector index over the identical window, anchored at the index close BEFORE the listing (the moment the subscription money was committed). Index named per row; map on the Taxonomy tab.</t>
        </is>
      </c>
    </row>
    <row r="67" ht="26" customHeight="1">
      <c r="A67" s="44" t="inlineStr">
        <is>
          <t>Since IPO</t>
        </is>
      </c>
      <c r="B67" s="107" t="inlineStr">
        <is>
          <t>Latest close vs the offer price.</t>
        </is>
      </c>
    </row>
    <row r="68" ht="26" customHeight="1">
      <c r="A68" s="44" t="inlineStr">
        <is>
          <t>Revenue / NI</t>
        </is>
      </c>
      <c r="B68" s="107" t="inlineStr">
        <is>
          <t>Prospectus Financial Information section, latest full year, converted to HK$ at a fixed rate stated in the file.</t>
        </is>
      </c>
    </row>
    <row r="69" ht="26" customHeight="1">
      <c r="A69" s="44" t="inlineStr">
        <is>
          <t>P/E at IPO</t>
        </is>
      </c>
      <c r="B69" s="107" t="inlineStr">
        <is>
          <t>market cap / latest FY net income. Loss-makers read n/m — a negative P/E is meaningless — and carry P/S instead.</t>
        </is>
      </c>
    </row>
    <row r="70" ht="26" customHeight="1">
      <c r="A70" s="44" t="inlineStr">
        <is>
          <t>H disc vs A at IPO</t>
        </is>
      </c>
      <c r="B70" s="107" t="inlineStr">
        <is>
          <t>H offer price vs the A-share close on the last session BEFORE the H listing, converted at that day's CNYHKD. Negative = H struck below the A line. Verified by hand on CATL (-6.7%).</t>
        </is>
      </c>
    </row>
    <row r="71" ht="26" customHeight="1">
      <c r="A71" s="44" t="inlineStr">
        <is>
          <t>A/H premium (today)</t>
        </is>
      </c>
      <c r="B71" s="107" t="inlineStr">
        <is>
          <t>Latest A and H closes, same conversion.</t>
        </is>
      </c>
    </row>
    <row r="72" ht="26" customHeight="1">
      <c r="A72" s="44" t="inlineStr">
        <is>
          <t>Sponsors / Bookrunners</t>
        </is>
      </c>
      <c r="B72" s="107" t="inlineStr">
        <is>
          <t>Prospectus cover page. The AAStocks columns beside them are 保薦人 and 包銷商 from the deal's AAStocks page — a second, independent print of the same fact.</t>
        </is>
      </c>
    </row>
    <row r="73" ht="26" customHeight="1">
      <c r="A73" s="44" t="inlineStr">
        <is>
          <t>Prospectus / Allotment / Stabilisation</t>
        </is>
      </c>
      <c r="B73" s="107" t="inlineStr">
        <is>
          <t>Direct HKEX filing URLs, resolved per stock code.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2026-08-25T13:41:09Z</dcterms:created>
  <dcterms:modified xmlns:dcterms="http://purl.org/dc/terms/" xmlns:xsi="http://www.w3.org/2001/XMLSchema-instance" xsi:type="dcterms:W3CDTF">2026-08-25T13:41:11Z</dcterms:modified>
</cp:coreProperties>
</file>